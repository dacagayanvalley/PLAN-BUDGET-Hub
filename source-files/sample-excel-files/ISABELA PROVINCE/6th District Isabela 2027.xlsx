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HALAL" sheetId="6" r:id="rId9"/>
    <sheet state="visible" name="FMR" sheetId="7" r:id="rId10"/>
    <sheet state="hidden" name="OAP" sheetId="8" r:id="rId11"/>
    <sheet state="visible" name="SAAD" sheetId="9" r:id="rId12"/>
    <sheet state="visible" name="MCRA" sheetId="10" r:id="rId13"/>
    <sheet state="visible" name="NSHP" sheetId="11" r:id="rId14"/>
    <sheet state="visible" name="PRDP" sheetId="12" r:id="rId15"/>
    <sheet state="visible" name="GRAND TOTAL" sheetId="13" r:id="rId16"/>
  </sheets>
  <definedNames/>
  <calcPr/>
  <extLst>
    <ext uri="GoogleSheetsCustomDataVersion2">
      <go:sheetsCustomData xmlns:go="http://customooxmlschemas.google.com/" r:id="rId17" roundtripDataChecksum="IzIkX1WiRxaZdl83ktl7G7Fi5j1Cbx6vIqtz7xUYe8Y="/>
    </ext>
  </extLst>
</workbook>
</file>

<file path=xl/sharedStrings.xml><?xml version="1.0" encoding="utf-8"?>
<sst xmlns="http://schemas.openxmlformats.org/spreadsheetml/2006/main" count="2056" uniqueCount="910">
  <si>
    <t>DEPARTMENT OF AGRICULTURE-REGIONAL FIELD OFFICE NO. 02</t>
  </si>
  <si>
    <t>CY 2025 &amp; FY 2026 PROGRAM ACCOMPLISHMENTS/STATUS AND FY 2027 PLAN AND BUDGET PROPOSAL</t>
  </si>
  <si>
    <t>RICE PROGRAM</t>
  </si>
  <si>
    <t>PROVINCE: ISABELA</t>
  </si>
  <si>
    <t>DISTRICT: VI</t>
  </si>
  <si>
    <t>PROGRAM/SUBPROGRAM/
 INDICATORS</t>
  </si>
  <si>
    <t>UNIT OF MEASURE</t>
  </si>
  <si>
    <t xml:space="preserve">CY 2025 GAA </t>
  </si>
  <si>
    <t>FY 2026 GAA</t>
  </si>
  <si>
    <t>FY 2027 PROPOSAL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</si>
  <si>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</si>
  <si>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</si>
  <si>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</si>
  <si>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</si>
  <si>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</si>
  <si>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ANNUAL BUDGET
(₱ '000) </t>
  </si>
  <si>
    <t>ACCOMPLISHMENT</t>
  </si>
  <si>
    <t>PHYSICAL TARGET</t>
  </si>
  <si>
    <t>ANNUAL BUDGET
(₱ '000)</t>
  </si>
  <si>
    <t>I. TECHNICAL AND SUPPORT SERVICES PROGRAM (TSSP)</t>
  </si>
  <si>
    <t>1. Production Support Services (PSS)</t>
  </si>
  <si>
    <t>Fertilizer Assistance - Ameliorants (solid)</t>
  </si>
  <si>
    <t>Kg</t>
  </si>
  <si>
    <t>Fertilizer Assistance - Bio Fertilizer (pack)</t>
  </si>
  <si>
    <t>Fertilizer Assistance - inorganic - hybrid area</t>
  </si>
  <si>
    <t>hectare</t>
  </si>
  <si>
    <t xml:space="preserve"> CITY OF CAUAYAN 
 ECHAGUE 
 SAN GUILLERMO 
 SAN ISIDRO 
</t>
  </si>
  <si>
    <t>Fertilizer Assistance - inorganic - inbred area</t>
  </si>
  <si>
    <t>Seed assistance-Commercial Hybrid</t>
  </si>
  <si>
    <t>FDV/IMC for Inbred</t>
  </si>
  <si>
    <t>FDV/IMC for Hybrid</t>
  </si>
  <si>
    <t>Drone voucher</t>
  </si>
  <si>
    <t>Hermetic cocoon</t>
  </si>
  <si>
    <t>number</t>
  </si>
  <si>
    <t>2. Extension Support, Education and Training Services (ESETS)</t>
  </si>
  <si>
    <t>Rice Farm Cluster Establishment</t>
  </si>
  <si>
    <t>site</t>
  </si>
  <si>
    <t>Scale-up Palayamanan for Rice Based Farm</t>
  </si>
  <si>
    <t>II. AGRICULTURAL MACHINERY, EQUIPMENT, FACILITIES AND INFRASTRUCTURES PROGRAM (AMEFIP)</t>
  </si>
  <si>
    <t>1. AGRICULTURAL MACHINERY, EQUIPMENT, AND FACILITIES SUPPORT SERVICES (AMEFSS)</t>
  </si>
  <si>
    <t>Vaccum Pack Sealer</t>
  </si>
  <si>
    <t>Fork Lift</t>
  </si>
  <si>
    <t>Seed Processing center</t>
  </si>
  <si>
    <t>Rice Processing Center</t>
  </si>
  <si>
    <t>Recirculating Dryer</t>
  </si>
  <si>
    <t>Drying Pavement</t>
  </si>
  <si>
    <t>Paddy Rice HAuler</t>
  </si>
  <si>
    <t>Packaging System</t>
  </si>
  <si>
    <t>Hauling Truck</t>
  </si>
  <si>
    <t>distributed (no.)</t>
  </si>
  <si>
    <t>Combine Harvester</t>
  </si>
  <si>
    <t>4wd Tractor</t>
  </si>
  <si>
    <t>Seeder</t>
  </si>
  <si>
    <t>Upgrading RPC (Color Sorter with Control Tank)</t>
  </si>
  <si>
    <t>A. Provision of Farm Production -Related Machinery and Equiment</t>
  </si>
  <si>
    <t>Four-Wheel Drive Tractor with accessories</t>
  </si>
  <si>
    <t>B. Construction Post Harvest Facilities</t>
  </si>
  <si>
    <t>Machinery Shed</t>
  </si>
  <si>
    <t>Palayshed</t>
  </si>
  <si>
    <t>Construction of Warehouse</t>
  </si>
  <si>
    <t>MCDP with palay shed</t>
  </si>
  <si>
    <t>Construction-Multi-Purpose Drying Pavement (MPDP)</t>
  </si>
  <si>
    <t>III.2. IRRIGATION NETWORK SERVICES (INS)</t>
  </si>
  <si>
    <t>GRAND TOTAL</t>
  </si>
  <si>
    <t>Prepared by:</t>
  </si>
  <si>
    <t>In coordination with:</t>
  </si>
  <si>
    <t>Concurred by:</t>
  </si>
  <si>
    <t>BERNADETTE T. GALOSO</t>
  </si>
  <si>
    <t>Chief, PMED</t>
  </si>
  <si>
    <t>MACARIO B. ANDAL, CPA</t>
  </si>
  <si>
    <t>ROSE MARY G. AQUINO, Ph.D.</t>
  </si>
  <si>
    <t>Chief, Budget Section</t>
  </si>
  <si>
    <t>Regional Executive Director</t>
  </si>
  <si>
    <t>CORN PROGRAM</t>
  </si>
  <si>
    <t xml:space="preserve">FY 2025 GAA </t>
  </si>
  <si>
    <r>
      <rPr>
        <rFont val="Arial"/>
        <b/>
        <color theme="1"/>
        <sz val="17.0"/>
      </rPr>
      <t xml:space="preserve">Remarks </t>
    </r>
    <r>
      <rPr>
        <rFont val="Arial"/>
        <b/>
        <color theme="1"/>
        <sz val="17.0"/>
      </rPr>
      <t>(Breakdown of Municipality Target for FY 2027 )</t>
    </r>
  </si>
  <si>
    <t>PHYSICAL</t>
  </si>
  <si>
    <t>BUDGET (Actual Obligation)</t>
  </si>
  <si>
    <t>I. PRODUCTION SUPPORT SERVICES</t>
  </si>
  <si>
    <t>1. Registered Seed (RS) Production</t>
  </si>
  <si>
    <t>Flint</t>
  </si>
  <si>
    <t>Glutinous</t>
  </si>
  <si>
    <t>2. Recommended Corn Production Technologies (RCPT)</t>
  </si>
  <si>
    <t>Hybrid Yellow</t>
  </si>
  <si>
    <t>kilograms</t>
  </si>
  <si>
    <t>San Guillermo</t>
  </si>
  <si>
    <t>Inorganic Fertilizer</t>
  </si>
  <si>
    <t>Bio-N</t>
  </si>
  <si>
    <t>packs</t>
  </si>
  <si>
    <t>Agricultural Lime</t>
  </si>
  <si>
    <t>Plant Growth Enhancer</t>
  </si>
  <si>
    <t>Complete Foliar Fertilizer</t>
  </si>
  <si>
    <t>3. Corn Production Enhancement Project (CPEP)</t>
  </si>
  <si>
    <t>Hybrid (GM)</t>
  </si>
  <si>
    <t>Cauayan City, Echague, San Guillermo, San Isidro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</si>
  <si>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</si>
  <si>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</si>
  <si>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</si>
  <si>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</si>
  <si>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</si>
  <si>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</si>
  <si>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</si>
  <si>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Cauayan City, Echague</t>
  </si>
  <si>
    <t>Procurement of cassava seed pieces</t>
  </si>
  <si>
    <t>Procurement of Inorganic Fertilizer</t>
  </si>
  <si>
    <t>Solar Bubble Dryer</t>
  </si>
  <si>
    <t>5. Support to Sorghum</t>
  </si>
  <si>
    <t>Sorghum Seeds</t>
  </si>
  <si>
    <t>Cauayan City</t>
  </si>
  <si>
    <t>6. Support to Soybean</t>
  </si>
  <si>
    <t>Soybean Seeds</t>
  </si>
  <si>
    <t>Echague</t>
  </si>
  <si>
    <t>7. White Corn Production Enhancement Project (WCPEP)</t>
  </si>
  <si>
    <t>OPV White Glutinous</t>
  </si>
  <si>
    <t>II. EXTENSION SUPPORT, EDUCATION &amp; TRAINING SERVICES</t>
  </si>
  <si>
    <t>Soybean Model Farm</t>
  </si>
  <si>
    <t>Soybean Techno Demo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</si>
  <si>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</si>
  <si>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</si>
  <si>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</si>
  <si>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</si>
  <si>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</si>
  <si>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</si>
  <si>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</si>
  <si>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</si>
  <si>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Two-row seeder</t>
  </si>
  <si>
    <t>Corn Combine Harvester</t>
  </si>
  <si>
    <t>Hauling Truck (cargo truck)</t>
  </si>
  <si>
    <t>Hauling Truck (heavy cargo truck)</t>
  </si>
  <si>
    <t>Corn Mill (village-type)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</si>
  <si>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</si>
  <si>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</si>
  <si>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</si>
  <si>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</si>
  <si>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</si>
  <si>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</si>
  <si>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</si>
  <si>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</si>
  <si>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</si>
  <si>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</si>
  <si>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Corn Complex (Phase 2)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</si>
  <si>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</si>
  <si>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</si>
  <si>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</si>
  <si>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</si>
  <si>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</si>
  <si>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unit</t>
  </si>
  <si>
    <t>Mobile Solar Powered Irrigation System</t>
  </si>
  <si>
    <t>HIGH VALUE CROPS DEVELOPMENT PROGRAM</t>
  </si>
  <si>
    <t xml:space="preserve">PROVINCE: ISABELA 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</si>
  <si>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</si>
  <si>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OPERATIONS</t>
  </si>
  <si>
    <t>I. TECHNICAL AND SUPPORT SEVICES PROGRAM</t>
  </si>
  <si>
    <t>1.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</si>
  <si>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</si>
  <si>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</si>
  <si>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</si>
  <si>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</si>
  <si>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</si>
  <si>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</si>
  <si>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kilogram</t>
  </si>
  <si>
    <t>Seed Distribution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</si>
  <si>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</si>
  <si>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</si>
  <si>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</si>
  <si>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</si>
  <si>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</si>
  <si>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</si>
  <si>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</si>
  <si>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</si>
  <si>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</si>
  <si>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</si>
  <si>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</si>
  <si>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</si>
  <si>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</si>
  <si>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</si>
  <si>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</si>
  <si>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</si>
  <si>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</si>
  <si>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</si>
  <si>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</si>
  <si>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</si>
  <si>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</si>
  <si>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</si>
  <si>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</si>
  <si>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</si>
  <si>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</si>
  <si>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</si>
  <si>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</si>
  <si>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</si>
  <si>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</si>
  <si>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</si>
  <si>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</si>
  <si>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</si>
  <si>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</si>
  <si>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</si>
  <si>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</si>
  <si>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</si>
  <si>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</si>
  <si>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</si>
  <si>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</si>
  <si>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</si>
  <si>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</si>
  <si>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</si>
  <si>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</si>
  <si>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</si>
  <si>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</si>
  <si>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</si>
  <si>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</si>
  <si>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</si>
  <si>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</si>
  <si>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</si>
  <si>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</si>
  <si>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</si>
  <si>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</si>
  <si>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</si>
  <si>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</si>
  <si>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</si>
  <si>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</si>
  <si>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</si>
  <si>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</si>
  <si>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</si>
  <si>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</si>
  <si>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</si>
  <si>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</si>
  <si>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</si>
  <si>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</si>
  <si>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</si>
  <si>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</si>
  <si>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</si>
  <si>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</si>
  <si>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</si>
  <si>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</si>
  <si>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</si>
  <si>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</si>
  <si>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</si>
  <si>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</si>
  <si>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</si>
  <si>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</si>
  <si>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Inorganic fertilizer</t>
  </si>
  <si>
    <t>Organic fertilizer</t>
  </si>
  <si>
    <t>Foliar Fertilizer</t>
  </si>
  <si>
    <t>Liquid Fertilizer</t>
  </si>
  <si>
    <t>Other agri-chemical</t>
  </si>
  <si>
    <t>Pesticide</t>
  </si>
  <si>
    <t>Insecticide</t>
  </si>
  <si>
    <t>Fungicide</t>
  </si>
  <si>
    <t>Herbicide</t>
  </si>
  <si>
    <t>Pheromone Lure</t>
  </si>
  <si>
    <t>Soil Conditioner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</si>
  <si>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</si>
  <si>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</si>
  <si>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</si>
  <si>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</si>
  <si>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</si>
  <si>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</si>
  <si>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</si>
  <si>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</si>
  <si>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</si>
  <si>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</si>
  <si>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</si>
  <si>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</si>
  <si>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</si>
  <si>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</si>
  <si>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</si>
  <si>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</si>
  <si>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</si>
  <si>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</si>
  <si>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</si>
  <si>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</si>
  <si>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</si>
  <si>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</si>
  <si>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</si>
  <si>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</si>
  <si>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</si>
  <si>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</si>
  <si>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</si>
  <si>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</si>
  <si>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</si>
  <si>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</si>
  <si>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</si>
  <si>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</si>
  <si>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</si>
  <si>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</si>
  <si>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</si>
  <si>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</si>
  <si>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</si>
  <si>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</si>
  <si>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</si>
  <si>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</si>
  <si>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</si>
  <si>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</si>
  <si>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</si>
  <si>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</si>
  <si>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</si>
  <si>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</si>
  <si>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</si>
  <si>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</si>
  <si>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</si>
  <si>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</si>
  <si>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sa bayan</t>
  </si>
  <si>
    <t>All Municipalities except City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</si>
  <si>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</si>
  <si>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</si>
  <si>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</si>
  <si>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</si>
  <si>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</si>
  <si>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</si>
  <si>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</si>
  <si>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</si>
  <si>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</si>
  <si>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</si>
  <si>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</si>
  <si>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</si>
  <si>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</si>
  <si>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</si>
  <si>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</si>
  <si>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</si>
  <si>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</si>
  <si>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</si>
  <si>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</si>
  <si>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</si>
  <si>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</si>
  <si>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</si>
  <si>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</si>
  <si>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</si>
  <si>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</si>
  <si>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2.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</si>
  <si>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</si>
  <si>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</si>
  <si>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</si>
  <si>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</si>
  <si>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</si>
  <si>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</si>
  <si>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</si>
  <si>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</si>
  <si>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</si>
  <si>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</si>
  <si>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</si>
  <si>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</si>
  <si>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</si>
  <si>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</si>
  <si>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</si>
  <si>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</si>
  <si>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</si>
  <si>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</si>
  <si>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</si>
  <si>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</si>
  <si>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</si>
  <si>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</si>
  <si>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</si>
  <si>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</si>
  <si>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</si>
  <si>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</si>
  <si>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</si>
  <si>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</si>
  <si>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</si>
  <si>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</si>
  <si>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</si>
  <si>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</si>
  <si>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</si>
  <si>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</si>
  <si>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</si>
  <si>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</si>
  <si>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</si>
  <si>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</si>
  <si>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</si>
  <si>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</si>
  <si>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</si>
  <si>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</si>
  <si>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</si>
  <si>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</si>
  <si>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</si>
  <si>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</si>
  <si>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</si>
  <si>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</si>
  <si>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</si>
  <si>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</si>
  <si>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</si>
  <si>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</si>
  <si>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</si>
  <si>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</si>
  <si>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</si>
  <si>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</si>
  <si>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</si>
  <si>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</si>
  <si>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</si>
  <si>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</si>
  <si>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</si>
  <si>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</si>
  <si>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</si>
  <si>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</si>
  <si>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</si>
  <si>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</si>
  <si>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</si>
  <si>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</si>
  <si>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</si>
  <si>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</si>
  <si>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</si>
  <si>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</si>
  <si>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 (AMEFIP)</t>
  </si>
  <si>
    <t>1. Agricultural Machinery, Equipment and Facilities Support Services (AMEFSS)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</si>
  <si>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</si>
  <si>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</si>
  <si>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</si>
  <si>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</si>
  <si>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</si>
  <si>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</si>
  <si>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</si>
  <si>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</si>
  <si>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</si>
  <si>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</si>
  <si>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</si>
  <si>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</si>
  <si>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</si>
  <si>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</si>
  <si>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</si>
  <si>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School Garden</t>
  </si>
  <si>
    <t>Gulayan sa Barangay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</si>
  <si>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</si>
  <si>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</si>
  <si>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</si>
  <si>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</si>
  <si>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</si>
  <si>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</si>
  <si>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</si>
  <si>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</si>
  <si>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</si>
  <si>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</si>
  <si>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</si>
  <si>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</si>
  <si>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</si>
  <si>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</si>
  <si>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</si>
  <si>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</si>
  <si>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</si>
  <si>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</si>
  <si>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</si>
  <si>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</si>
  <si>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</si>
  <si>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</si>
  <si>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</si>
  <si>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</si>
  <si>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</si>
  <si>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</si>
  <si>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</si>
  <si>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</si>
  <si>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</si>
  <si>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</si>
  <si>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</si>
  <si>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</si>
  <si>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</si>
  <si>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</si>
  <si>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</si>
  <si>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</si>
  <si>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</si>
  <si>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</si>
  <si>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</si>
  <si>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</si>
  <si>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</si>
  <si>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</si>
  <si>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</si>
  <si>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</si>
  <si>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</si>
  <si>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</si>
  <si>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</si>
  <si>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</si>
  <si>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</si>
  <si>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</si>
  <si>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</si>
  <si>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</si>
  <si>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</si>
  <si>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</si>
  <si>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 xml:space="preserve">Individual Quick Freezing 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</si>
  <si>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</si>
  <si>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</si>
  <si>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</si>
  <si>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</si>
  <si>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</si>
  <si>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</si>
  <si>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</si>
  <si>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</si>
  <si>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</si>
  <si>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</si>
  <si>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</si>
  <si>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</si>
  <si>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</si>
  <si>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</si>
  <si>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</si>
  <si>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</si>
  <si>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</si>
  <si>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</si>
  <si>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</si>
  <si>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</si>
  <si>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</si>
  <si>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</si>
  <si>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</si>
  <si>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</si>
  <si>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</si>
  <si>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</si>
  <si>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</si>
  <si>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</si>
  <si>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</si>
  <si>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2. Irrigation Network Services Sub-Program</t>
  </si>
  <si>
    <t>Service area generated form the establishment and installation of small scale irrigation projects (SSPI's)</t>
  </si>
  <si>
    <t>LGU's assisted with the small-scale irrigation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</si>
  <si>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</si>
  <si>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</si>
  <si>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</si>
  <si>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</si>
  <si>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</si>
  <si>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</si>
  <si>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</si>
  <si>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</si>
  <si>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</si>
  <si>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</si>
  <si>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NATIONAL URBAN AND PERI-URBAN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</si>
  <si>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</si>
  <si>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1.1. Seeds Procured for Distribution</t>
  </si>
  <si>
    <t>kilograms distributed</t>
  </si>
  <si>
    <t>1.2. Planting Materials for Distribution</t>
  </si>
  <si>
    <t>Fruit Bearing Tree (seedlings)</t>
  </si>
  <si>
    <t>Strawberry (cuttings)</t>
  </si>
  <si>
    <t>1.3. Soil Mix/Fertilizer:</t>
  </si>
  <si>
    <t>Organic Fertilizer - Solid</t>
  </si>
  <si>
    <t>Soilless Media/Potting Mix</t>
  </si>
  <si>
    <t>Liquid Fertilizer - Hydroponic Solution</t>
  </si>
  <si>
    <t>liter</t>
  </si>
  <si>
    <t>1.4. Other Farm Inputs</t>
  </si>
  <si>
    <t>Seedling Tray</t>
  </si>
  <si>
    <t>Plastic Crate</t>
  </si>
  <si>
    <t>Plastic Mulch</t>
  </si>
  <si>
    <t>rolls</t>
  </si>
  <si>
    <t>Set of Garden Tools</t>
  </si>
  <si>
    <t>Clay Pot</t>
  </si>
  <si>
    <t>Stackable pots</t>
  </si>
  <si>
    <t>Plastic Drum</t>
  </si>
  <si>
    <t>Garden Hose</t>
  </si>
  <si>
    <t>Wheel Barrow</t>
  </si>
  <si>
    <t>II. AGRICULTURAL MACHINERY, EQUIPMENT, FACILITIES AND INFRASTRUCTURE PROGRAM</t>
  </si>
  <si>
    <t>1. Agricultural Machinery, Equipment and Facilities Support Services Sub-Program</t>
  </si>
  <si>
    <t>1.1. Farm production-related machinery and equipment distributed</t>
  </si>
  <si>
    <t>Multi Cultivator</t>
  </si>
  <si>
    <t>1.2. Other facilities and activities</t>
  </si>
  <si>
    <t>Mushroom House with Spawn</t>
  </si>
  <si>
    <t>Greenhouse with Hydroponics and Water System</t>
  </si>
  <si>
    <t>Rabbit Module with Housing</t>
  </si>
  <si>
    <t>Poultry House with Chickens</t>
  </si>
  <si>
    <t>1.3. Postharvest/processing equipment and machineries distributed/ constructed</t>
  </si>
  <si>
    <t>2. Irrigation Network Services (INS) Sub-program</t>
  </si>
  <si>
    <t>In coordination with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</si>
  <si>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</si>
  <si>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</si>
  <si>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Production Support Services Sub-Program</t>
  </si>
  <si>
    <t>1. National Animal Genetic Resources Improvement Program</t>
  </si>
  <si>
    <t>1.1. Unified National Artificial Insemination Program</t>
  </si>
  <si>
    <t>Cattle</t>
  </si>
  <si>
    <t>Goat</t>
  </si>
  <si>
    <t>Planting Materials distributed</t>
  </si>
  <si>
    <t>2. Philippine Native Animal Development</t>
  </si>
  <si>
    <t xml:space="preserve">Duck Stock Distribution </t>
  </si>
  <si>
    <t>3. Development, Maintenance, and Rehabilitation/ Upgrading of Government Stock Farms, and Other Facilities</t>
  </si>
  <si>
    <t>Sheep</t>
  </si>
  <si>
    <t>4. Support to Prevention and Control of Economically Important Diseases</t>
  </si>
  <si>
    <t>1. Drug and Biologic Support</t>
  </si>
  <si>
    <t>doses</t>
  </si>
  <si>
    <t>2. Calibrated sentinelling and Repopulation</t>
  </si>
  <si>
    <t>No. of Piglets Distributed</t>
  </si>
  <si>
    <t>No. of Feeds Distributed</t>
  </si>
  <si>
    <t>No. of Test Kit Distributed</t>
  </si>
  <si>
    <t>LEED</t>
  </si>
  <si>
    <t>Duck Multiplier Farm</t>
  </si>
  <si>
    <t>Sheep Multiplier Farm</t>
  </si>
  <si>
    <t>Agricultural Machinery, Equipment and Facilities Support Services (AMEFSS)</t>
  </si>
  <si>
    <t>1. Production Facilities Established</t>
  </si>
  <si>
    <t>1.1 Livestock Economic Enterprise Development (LEED)</t>
  </si>
  <si>
    <t>Cattle Multiplier Farm</t>
  </si>
  <si>
    <t>San Guillermo/Echague</t>
  </si>
  <si>
    <t>Geese Multiplier Farm</t>
  </si>
  <si>
    <t>Chicken Multiplier Farm</t>
  </si>
  <si>
    <t>Goat Multiplier FArm</t>
  </si>
  <si>
    <t>Carabao Multiplier Farm</t>
  </si>
  <si>
    <t>San Isidro/Cauayan City</t>
  </si>
  <si>
    <t>Animal Hauling Trucks</t>
  </si>
  <si>
    <t>solar sets</t>
  </si>
  <si>
    <t>-</t>
  </si>
  <si>
    <t>HALAL PROGRAM</t>
  </si>
  <si>
    <t>PROVINCE:ISABELA</t>
  </si>
  <si>
    <t>PROGRAM/SUBPROGRAM/
INDICATORS</t>
  </si>
  <si>
    <t>FY 2025 GAA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</si>
  <si>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</si>
  <si>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TECHNICAL AND SUPPORT SERVICES PROGRAM</t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</si>
  <si>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</si>
  <si>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</si>
  <si>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</si>
  <si>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</si>
  <si>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</si>
  <si>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Product for certification</t>
  </si>
  <si>
    <t>3. Assistance on the Production of DA Assisted Halal Certified Products</t>
  </si>
  <si>
    <t>Products assisted</t>
  </si>
  <si>
    <t>B. Field Program Management Activities (FPMA)</t>
  </si>
  <si>
    <t>1. Halal Product Certification Assistance</t>
  </si>
  <si>
    <t xml:space="preserve">Hiring of </t>
  </si>
  <si>
    <t xml:space="preserve">  </t>
  </si>
  <si>
    <t>FARM-TO-MARKET ROAD DEVELOPMENT PROGRAM</t>
  </si>
  <si>
    <t>DISTRICT:VI</t>
  </si>
  <si>
    <t>FY 2025 NEP</t>
  </si>
  <si>
    <t>FY 2025 PROPOSAL (TIER I)</t>
  </si>
  <si>
    <t>CAUAYAN CITY</t>
  </si>
  <si>
    <t>Naganacan</t>
  </si>
  <si>
    <t>Concreting of Naganacan-Alinam FMR</t>
  </si>
  <si>
    <t>Santa Luciana-San Francisco</t>
  </si>
  <si>
    <t>Concreting of Santa Luciana-San Francisco FMR</t>
  </si>
  <si>
    <t>SAN ISIDRO</t>
  </si>
  <si>
    <t>Camarag-Doña Paulina</t>
  </si>
  <si>
    <t>Concreting of Camarag-Doña Paulina FMR</t>
  </si>
  <si>
    <t>Purok 4,Gud-Nagbukel</t>
  </si>
  <si>
    <t>Concreting of Purok 4, Gud-Nagbukel FMR</t>
  </si>
  <si>
    <t>SUBTOTAL</t>
  </si>
  <si>
    <t>FY 2025 PROPOSAL TIER II</t>
  </si>
  <si>
    <t>Rogus</t>
  </si>
  <si>
    <t>Concreting Of Rogus-De Vera FMR</t>
  </si>
  <si>
    <t>Faustino</t>
  </si>
  <si>
    <t>Concreting Of Brgy. Faustino Farm-To-Market Road</t>
  </si>
  <si>
    <t>Villa Concepcion</t>
  </si>
  <si>
    <t>Concreting Of Brgy Villa Concepcion FMR</t>
  </si>
  <si>
    <t>Palawan-San Mariano Sur</t>
  </si>
  <si>
    <t>Concreting Of Palawan-San Mariano Sur FMR</t>
  </si>
  <si>
    <t>Concreting of Naganacan- Alinam FMR, Brgy. Naganacan, Cauayan City, Isabela</t>
  </si>
  <si>
    <t>Santa Luciana- San Francisco</t>
  </si>
  <si>
    <t>Concreting of Santa Luciana- San Francisco FMR, Brgy. Santa Luciana- San Francisco, Cauayan City, Isabela</t>
  </si>
  <si>
    <t>Marabulig- Nagrumbuan</t>
  </si>
  <si>
    <t>Concreting of Brgy. Marabulig- Brgy. Nagrumbuan FMR Phase II, Brgy. Marabulig- Brgy. Nagrumbuan, Cauayan City, Isabela</t>
  </si>
  <si>
    <t>Nagrumbuan- Pinoma</t>
  </si>
  <si>
    <t>Concreting of Brgy. Nagrumbuan- Brgy. Pinoma FMR Phase II,Brgy. Nagrumbuan- Brgy. Pinoma, Cauayan City, Isabela</t>
  </si>
  <si>
    <t>Nungnungan I</t>
  </si>
  <si>
    <t>Concreting of Brgy. Nungnungan I FMR Phase II, Brgy. Nungnungan I, Cauayan City, Isabela</t>
  </si>
  <si>
    <t>San Francisco - Faustino</t>
  </si>
  <si>
    <t>Concreting of Brgy. San Francisco - Brgy. Faustino  FMR Phase II, Brgy. San Francisco - Brgy. Faustino , Cauayan City, Isabela</t>
  </si>
  <si>
    <t>Buena Suerte</t>
  </si>
  <si>
    <t>Concreting of Brgy. Buena Suerte FMR Phase II, Brgy. Buena Suerte, Cauayan City, Isabela</t>
  </si>
  <si>
    <t>Labinab</t>
  </si>
  <si>
    <t>Concreting of Brgy. Labinab FMR Phase II, Brgy. Labinab, Cauayan City, Isabela</t>
  </si>
  <si>
    <t>Santa Maria - Villa Concepcion</t>
  </si>
  <si>
    <t>Construction of Brgy. Santa Maria - Villa Concepcion FMR,Brgy. Santa Maria - Brgy. Villa Concepcion , Cauayan City, Isabela</t>
  </si>
  <si>
    <t>ECHAGUE</t>
  </si>
  <si>
    <t>Narra</t>
  </si>
  <si>
    <t>Concreting of Brgy. Narra FMR, Brgy. Narra, Echague, Isabela</t>
  </si>
  <si>
    <t>CY 2025 GAA</t>
  </si>
  <si>
    <t>Naganacan- Alinam</t>
  </si>
  <si>
    <t>Sitio Calagui, San Pablo</t>
  </si>
  <si>
    <t>Concreting of Sitio Calagui, Brgy. San Pablo FMR, Brgy. San Pablo, Cauayan City, Isabela</t>
  </si>
  <si>
    <t>Dianao</t>
  </si>
  <si>
    <t>Concreting of Brgy. Dianao FMR, Brgy. Dianao, Cauayan City, Isabela</t>
  </si>
  <si>
    <t>San Francisco - Dabburab</t>
  </si>
  <si>
    <t>Concreting of Brgy. San Francisco to Brgy. Dabburab FMR, Brgy. San Francisco to Brgy. Dabburab, Cauayan City, Isabela</t>
  </si>
  <si>
    <t>Linglingay</t>
  </si>
  <si>
    <t>Concreting of Brgy. Linglingay FMR, Brgy. Linglingay, Cauayan City, Isabela</t>
  </si>
  <si>
    <t>Purok 2 . Villa Concepcion,</t>
  </si>
  <si>
    <t>Concreting of Purok 2 , Brgy. Villa Concepcion FMR, Brgy. Villa Concepcion, Cauayan City, Isabela</t>
  </si>
  <si>
    <t xml:space="preserve">Santa Maria - Villa Concepcion </t>
  </si>
  <si>
    <t>Concreting of Brgy. Santa Maria - Villa Concepcion FMR,Brgy. Santa Maria - Brgy. Villa Concepcion , Cauayan City, Isabela</t>
  </si>
  <si>
    <t>Pangal Norte</t>
  </si>
  <si>
    <t>Concreting of Brgy. Pangal Norte FMR, Brgy. Pangal Norte, Echague, Isabela</t>
  </si>
  <si>
    <t>Villa Victoria - Villa Fermin</t>
  </si>
  <si>
    <t>Concreting of Villa Victoria to Villa Fermin FMR, Brgy Villa Victoria - Brgy. Villa Fermin, Echague, Isabela</t>
  </si>
  <si>
    <t>FY 2026 NEP</t>
  </si>
  <si>
    <t>San Francisco</t>
  </si>
  <si>
    <t>Caniguing</t>
  </si>
  <si>
    <t>Concreting of Caniguing FMR, Brgy. Caniguing, Echague, Isabela</t>
  </si>
  <si>
    <t>SAN GUILLERMO</t>
  </si>
  <si>
    <t>Concreting of Palawan-San Mariano Sur FMR, Brgy. Palawan-San Mariano Sur, San Guillermo, Isabela</t>
  </si>
  <si>
    <t>Rizal</t>
  </si>
  <si>
    <t>Concreting of Brgy. Rizal-San Francisco FMR, Brgy. Rizal, Cauayan City, Isabela</t>
  </si>
  <si>
    <t>Disimuray</t>
  </si>
  <si>
    <t>Concreting of Brgy. Disimuray FMR, Cauayan City, Isabela</t>
  </si>
  <si>
    <t>Gud-Nagbukel</t>
  </si>
  <si>
    <t>Concreting of Purok 4, Gud-Nagbukel FMR, Brgy. Gud-Brgy. Nagbukel, San Isidro, Isabela</t>
  </si>
  <si>
    <t>Santa Luciana 
and Brgy. San Francisco</t>
  </si>
  <si>
    <t>Concreting of Brgy. Santa Luciana - Brgy. San Francisco FMR Phase II, Brgy. Santa Luciana 
and Brgy. San Francisco, Cauayan City, Isabela</t>
  </si>
  <si>
    <t>Gappal</t>
  </si>
  <si>
    <t>Concreting of Brgy. Gappal FMR, Brgy. Gappal, Cauayan City, Isabela</t>
  </si>
  <si>
    <t>Maligaya</t>
  </si>
  <si>
    <t>Concreting of Brgy. Maligaya FMR, Brgy. Maligaya, Cauayan City, Isabela</t>
  </si>
  <si>
    <t>Sta. Maria</t>
  </si>
  <si>
    <t>Concreting of Brgy. Sta. Maria FMR 2, Brgy. Sta. Maria, Cauayan City, Isabela</t>
  </si>
  <si>
    <t>Concreting of Brgy. Disimuray Phase II FMR, Brgy. Disimuray, Cauayan City, Isabela</t>
  </si>
  <si>
    <t>San Pablo</t>
  </si>
  <si>
    <t>Concreting of Brgy. San Pablo FMR, Brgy. San Pablo, Cauayan City, Isabela</t>
  </si>
  <si>
    <t>Rizal and San Francisco</t>
  </si>
  <si>
    <t>Concreting of Brgy. Rizal-Brgy. San Francisco FMR Phase I, Brgy. Rizal, Cauayan City, Isabela</t>
  </si>
  <si>
    <t>Concreting of Brgy. Disimuray FMR Phase I, Brgy. Disimuray, Cauayan City, Isabela</t>
  </si>
  <si>
    <t>San Antonio</t>
  </si>
  <si>
    <t>Concreting of Brgy. San Antonio FMR, Brgy. San Antonio, Cauayan City, Isabela</t>
  </si>
  <si>
    <t>Nungnungan</t>
  </si>
  <si>
    <t xml:space="preserve">Concreting of Brgy. Nungnungan I FMR Phase II, Cauayan City, Isabela </t>
  </si>
  <si>
    <t>Nagrumbuan-Pinoma</t>
  </si>
  <si>
    <t xml:space="preserve">Concreting of Brgy. Nagrumbuan - Brgy. Pinoma FMR Phase III, Cauayan City, Isabela </t>
  </si>
  <si>
    <t xml:space="preserve">Concreting of Brgy. Faustino FMR, Cauayan City, Isabela </t>
  </si>
  <si>
    <t>Minante</t>
  </si>
  <si>
    <t xml:space="preserve">Concreting of Brgy. Minante 2 FMR Phase II, Cauayan City, Isabela </t>
  </si>
  <si>
    <t>Concreting of Brgy. San Francisco FMR, Brgy. San Francisco, Cauayan City, Isabela</t>
  </si>
  <si>
    <t>San Isidro and Alinam</t>
  </si>
  <si>
    <t>Concreting of Brgy. San Isidro to Alinam FMR, Brgy. San Isidro, Cauayan City, Isabela</t>
  </si>
  <si>
    <t>Arabiat and Sta. Monica</t>
  </si>
  <si>
    <t>Concreting of Brgy. Arabiat-Sta. Monica FMR, Brgy. Arabiat and Sta. Monica Echague, Isabela</t>
  </si>
  <si>
    <t>Sta Cruz</t>
  </si>
  <si>
    <t>Concreting of Brgy. Sta Cruz FMR, Brgy. Sta Cruz, Echague, Isabela</t>
  </si>
  <si>
    <t>Concreting of Brgy. Caniguing FMR Phase I, Brgy. Caniguing, Echague, Isabela</t>
  </si>
  <si>
    <t>San Antonio Minit and Libertad</t>
  </si>
  <si>
    <t xml:space="preserve">Concreting of San Antonio Minit-Libertad FMR, Echague, Isabela </t>
  </si>
  <si>
    <t>Nagassican</t>
  </si>
  <si>
    <t>Concreting of Nagassican, Santiago City to Arabiat, Echague FMR, Brgy. Nagassican, Echague, Isabela</t>
  </si>
  <si>
    <t>Sta. Monica</t>
  </si>
  <si>
    <t>Concreting of Sta Monica to Libertad FMR, Brgy. Sta. Monica, Echague, Isabela</t>
  </si>
  <si>
    <t>Guam and Burgos</t>
  </si>
  <si>
    <t>Concreting of Brgy. Guam-Brgy. Burgos FMR, Brgy. Guam and Brgy. Burgos, San Guillermo, Isabela</t>
  </si>
  <si>
    <t>Estrella and Nakar</t>
  </si>
  <si>
    <t>Concreting of Brgy. Estrella-Brgy. Nakar FMR, Brgy. Estrella and Brgy. Nakar, San Guillermo, Isabela</t>
  </si>
  <si>
    <t>Centro 2 and Villa Remedios</t>
  </si>
  <si>
    <t>Concreting of Brgy. Centro 2 to Brgy. Villa Remedios Access Road FMR, Brgy. Centro 2 
and Brgy. Villa Remedios, San Guillermo, Isabela</t>
  </si>
  <si>
    <t>Dietban and Burgos</t>
  </si>
  <si>
    <t xml:space="preserve">Concreting of Brgy. Dietban-Brgy. Burgos FMR, San Guillermo, Isabela </t>
  </si>
  <si>
    <t>San Isidro</t>
  </si>
  <si>
    <t>Victoria and Camarag</t>
  </si>
  <si>
    <t>Concreting of Brgy. Victoria-Brgy. Camarag FMR, Brgy. Victoria and Brgy. Camarag,
San Isidro, Isabela</t>
  </si>
  <si>
    <t>Victoria and Gomez</t>
  </si>
  <si>
    <t>Concreting of Brgy. Victoria-Brgy. Gomez FMR, Brgy. Victoria and Brgy. Gomez, 
San Isidro, Isabela</t>
  </si>
  <si>
    <t>FY 2027 PROPOSAL (TIER I)</t>
  </si>
  <si>
    <t>Guam and San Francisco</t>
  </si>
  <si>
    <t>Concreting of Sitio Americana-San Francisco Norte FMR, Brgy. Guam and Brgy. San Francisco, San Guillermo, Isabela</t>
  </si>
  <si>
    <t>Ramos West and Ramos East</t>
  </si>
  <si>
    <t>Concreting of Brgy. Ramos West-Ramos East FMR, Brgy. Ramos West and Brgy. Ramos East, San Isidro, Isabela</t>
  </si>
  <si>
    <t>Concreting of Sitio Maligaya, Brgy. Maligaya 
FMR, Brgy. Maligaya, Cauayan City, Isabela</t>
  </si>
  <si>
    <t>Gud</t>
  </si>
  <si>
    <t>Concreting of Brgy Gud FMR, Brgy. Gud, San Isidro, Isabela</t>
  </si>
  <si>
    <t>San Luis</t>
  </si>
  <si>
    <t>Concreting of Brgy. San Luis FMR, Brgy. San Luis, Cauayan City, Isabela</t>
  </si>
  <si>
    <t>FY 2027 PROPOSAL (TIER II)</t>
  </si>
  <si>
    <t>Concreting of Rogus FMR Phase 2, Brgy. Rogus, Cauayan City, Isabela</t>
  </si>
  <si>
    <t>Villa Sanchez and Villa Rose</t>
  </si>
  <si>
    <t>Concreting of Brgy Villa Sanchez-Villa Rose FMR, Brgy Villa Sanchez and Villa Rose, 
San Guillermo, Isabela</t>
  </si>
  <si>
    <t>Ramos East</t>
  </si>
  <si>
    <t>Concreting of Brgy. Ramos East FMR, Brgy. Ramos East, San Isidro, Isabela</t>
  </si>
  <si>
    <t>Quezon</t>
  </si>
  <si>
    <t>Concreting of Brgy. Quezon FMR, Brgy. Quezon, San Isidro, Isabela</t>
  </si>
  <si>
    <t>Baculod</t>
  </si>
  <si>
    <t>Concreting of Brgy Baculod-Brgy Dianao FMR, Brgy.  Baculod and Brgy Dianao, 
Cauayan City, Cagayan</t>
  </si>
  <si>
    <t>Cabugao and Sinippil</t>
  </si>
  <si>
    <t>Concreting of Brgy Cabugao-Brgy Sinippil FMR, Brgy Cabugao and Brgy Sinippil, 
Cauayan City, Cagayan</t>
  </si>
  <si>
    <t>Pinoma</t>
  </si>
  <si>
    <t>Concreting of Brgy Pinoma FMR, Brgy. Pinoma, Cauayan City, Isabela</t>
  </si>
  <si>
    <t>DEPARTMENT OF AGRICULTURE-REGIONAL FIELD OFFICE 02</t>
  </si>
  <si>
    <t xml:space="preserve">CY 2023-2024 PROGRAM ACCOMPLISHMENTS/STATUS AND FY 2025 PLAN AND BUDGET BASED ON NEP </t>
  </si>
  <si>
    <t>ORGANIC AGRICULTURE PROGRAM</t>
  </si>
  <si>
    <t>CY 2023 GAA</t>
  </si>
  <si>
    <t xml:space="preserve">CY 2024 GAA </t>
  </si>
  <si>
    <t>FY 2025 PROPOSAL</t>
  </si>
  <si>
    <t>ANNUAL BUDGET 
(₱ '000)</t>
  </si>
  <si>
    <t>ACTUAL OBLIGATION</t>
  </si>
  <si>
    <t>PHYSICAL TARGET
(June 30,2024)</t>
  </si>
  <si>
    <t>BUDGET</t>
  </si>
  <si>
    <t>1. Production Support Services Sub-program</t>
  </si>
  <si>
    <t>II. AGRICULTURAL, MACHINERIES, FACILITIES AND INFRASTRUCTURE PROGAM</t>
  </si>
  <si>
    <t>1. Agricultural and Fishery Machinery, Equipment and Facilities Support Services Sub-program</t>
  </si>
  <si>
    <t>2.Irrigation Network Services (INS) Sub-program</t>
  </si>
  <si>
    <t>Reviewed by:</t>
  </si>
  <si>
    <t xml:space="preserve"> Approved by:</t>
  </si>
  <si>
    <t>JONAZON JEFF T. FACTORA</t>
  </si>
  <si>
    <t xml:space="preserve">Chief, Planning and Investment </t>
  </si>
  <si>
    <t>OIC-Chief, PMED</t>
  </si>
  <si>
    <t xml:space="preserve">  Programming Section</t>
  </si>
  <si>
    <t>SPECIAL AREA FOR AGRICULTURAL DEVELOPMENT (SAAD)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</si>
  <si>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</si>
  <si>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SOCIAL PREPARATION</t>
  </si>
  <si>
    <t>A. Community Needs Assessment (CNA)</t>
  </si>
  <si>
    <t>a.1 Orientations, Meetings, Assessments and Consultation conducted</t>
  </si>
  <si>
    <t>a.2 Beneficiary Needs Assessment/ 
Participatory Rural Appraisal (PRA) conducted</t>
  </si>
  <si>
    <t>group</t>
  </si>
  <si>
    <t>B. Beneficiary Capacitation and General Development</t>
  </si>
  <si>
    <t>b.1 Capability Building activities conducted</t>
  </si>
  <si>
    <t>C. Database and Profiling</t>
  </si>
  <si>
    <t>c.1 Beneficiary Profiling conducted</t>
  </si>
  <si>
    <t>c.2 Database Uploading conducted</t>
  </si>
  <si>
    <t>II. FOOD PRODUCTION AND LIVELIHOOD INTERVENTIONS</t>
  </si>
  <si>
    <t>2.1 HVC-based Project distributed</t>
  </si>
  <si>
    <t>2.2 Specialized Trainings conducted</t>
  </si>
  <si>
    <t>III. MARKETING ASSISTANCE AND ENTERPRISE DEVELOPMENT</t>
  </si>
  <si>
    <t>3.1 Market-related trainings conducted</t>
  </si>
  <si>
    <t>3.2 Partially established CBEs</t>
  </si>
  <si>
    <t>IV. PROGRAM MANAGEMENT</t>
  </si>
  <si>
    <t xml:space="preserve">     4.1.1. Hiring/renewal of manpower</t>
  </si>
  <si>
    <t xml:space="preserve">          A. RPMSO</t>
  </si>
  <si>
    <t xml:space="preserve">          B. PPMSO</t>
  </si>
  <si>
    <t xml:space="preserve">     4.1.2 Office Oprating Requirements</t>
  </si>
  <si>
    <t>4.2. Review and Planning Workshop</t>
  </si>
  <si>
    <t xml:space="preserve">          A. Plan and Budget Preparation (PBP)</t>
  </si>
  <si>
    <t xml:space="preserve">          B. Budget Execution Document (BED) Preparation</t>
  </si>
  <si>
    <t>4.3. Monitoring and Evaluation</t>
  </si>
  <si>
    <t xml:space="preserve">     4.3.1. Conduct of Performance and Budget</t>
  </si>
  <si>
    <t xml:space="preserve">     4.3.2. Implementation of management information</t>
  </si>
  <si>
    <t xml:space="preserve">          - Sub-project monitoring</t>
  </si>
  <si>
    <t>4.4. Project Assessment (PA)</t>
  </si>
  <si>
    <t>4.5. Quarterly Assessment Review</t>
  </si>
  <si>
    <t xml:space="preserve">     4.3.1. National Assessment</t>
  </si>
  <si>
    <t xml:space="preserve">     4.3.2. Regional Assessment</t>
  </si>
  <si>
    <t>4.1. Project Management Offices Maintained</t>
  </si>
  <si>
    <t>Note: FY 2027 budget allocation for the Social Preparation and MAED is by component.</t>
  </si>
  <si>
    <t>MAINSTREAMING CLIMATE RESILIENT AGRICULTURE (MCRA) TO THE REGIONAL PROGRAMS &amp; PROJECTS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</si>
  <si>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</si>
  <si>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- Hauling Truck</t>
  </si>
  <si>
    <t>Number</t>
  </si>
  <si>
    <t>- Rotary tilling type-hand tractor</t>
  </si>
  <si>
    <t>- Direct corn seeder</t>
  </si>
  <si>
    <t>-Impulse Plastic Bag Sealer</t>
  </si>
  <si>
    <t>- Digital Weighing Scale</t>
  </si>
  <si>
    <t>- Plastic mulch</t>
  </si>
  <si>
    <t>roll</t>
  </si>
  <si>
    <t>- Four wheel tractor (corn)</t>
  </si>
  <si>
    <t>-Multifunction-tiller/cultivator  (long foong)</t>
  </si>
  <si>
    <t>-Rotary tilling type hand tractor</t>
  </si>
  <si>
    <t>- Shredder</t>
  </si>
  <si>
    <t>- Ready to Lay Chicken</t>
  </si>
  <si>
    <t>heads</t>
  </si>
  <si>
    <t>- Poultry Feeds</t>
  </si>
  <si>
    <t>bags</t>
  </si>
  <si>
    <t>-Biologics</t>
  </si>
  <si>
    <t>boxes</t>
  </si>
  <si>
    <t>-Fruiting bags</t>
  </si>
  <si>
    <t>bag</t>
  </si>
  <si>
    <t>-Assorted vegetables</t>
  </si>
  <si>
    <t>- Seedling tray</t>
  </si>
  <si>
    <t>- shading net</t>
  </si>
  <si>
    <t>-seedling rack</t>
  </si>
  <si>
    <t>Unit</t>
  </si>
  <si>
    <t>-Organic Fertilizer</t>
  </si>
  <si>
    <t>- Portable Thumb Edible Garden Nursery</t>
  </si>
  <si>
    <t>Provision of Swine</t>
  </si>
  <si>
    <t>Provision of Feeds</t>
  </si>
  <si>
    <t>Provision of Assorted vegetable seeds</t>
  </si>
  <si>
    <t>Provision Inorganic Fertilizer</t>
  </si>
  <si>
    <t>Provision of Organic Fertilizer</t>
  </si>
  <si>
    <t>Provision of Free-Range Chicken</t>
  </si>
  <si>
    <t>Provision of MungBean</t>
  </si>
  <si>
    <t>Distribution of Ready-to-Lay Chicken with Battery Cage</t>
  </si>
  <si>
    <t>Provision of Biologics</t>
  </si>
  <si>
    <t>Agricultural Machinery, Equipment and Facilities Support Services Sub-Program</t>
  </si>
  <si>
    <t>- Four Wheel Drive Tractor</t>
  </si>
  <si>
    <t>no.</t>
  </si>
  <si>
    <t>NATIONAL SOIL HEALTH PROGRAM (NSHP)*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</si>
  <si>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</si>
  <si>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</si>
  <si>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</si>
  <si>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</si>
  <si>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</si>
  <si>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</si>
  <si>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</si>
  <si>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</si>
  <si>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</si>
  <si>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</si>
  <si>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</si>
  <si>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</si>
  <si>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</si>
  <si>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</si>
  <si>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</si>
  <si>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</si>
  <si>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</si>
  <si>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</si>
  <si>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</si>
  <si>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</si>
  <si>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</si>
  <si>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</si>
  <si>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*Program Implementation will only start on FY 2025</t>
  </si>
  <si>
    <t>PHILIPPINE RURAL DEVELOPMENT PROJECT*</t>
  </si>
  <si>
    <t>MUNICIPALITY</t>
  </si>
  <si>
    <t>LOCATION (BARANGAY)</t>
  </si>
  <si>
    <t xml:space="preserve">NAME OF PROJECTS </t>
  </si>
  <si>
    <t>ESTIMATED LENGTH (KM)</t>
  </si>
  <si>
    <t>ESTIMATED AMOUNT (₱ '000)</t>
  </si>
  <si>
    <t>CY 2026 PIPELINED/PROPOSAL</t>
  </si>
  <si>
    <t xml:space="preserve">Echague
</t>
  </si>
  <si>
    <t>Villa Rey, San Carlos</t>
  </si>
  <si>
    <t xml:space="preserve">Rehabilitation/Concreting of Villa Rey-San Carlos FMR
</t>
  </si>
  <si>
    <t xml:space="preserve">San Isidro
</t>
  </si>
  <si>
    <t>Gomez</t>
  </si>
  <si>
    <t>Construction of  San Isidro Warehouse with Solar Dryer</t>
  </si>
  <si>
    <t>1084.4 sq.m.</t>
  </si>
  <si>
    <t>Construction of  Cauayan City  Warehouse</t>
  </si>
  <si>
    <t>CY 2024, 2025 AND FY 2026 BUDGET SUMMARY (₱ '000)</t>
  </si>
  <si>
    <t>REGION 02</t>
  </si>
  <si>
    <t>ISABELA PROVINCE</t>
  </si>
  <si>
    <t>DISTRICT VI</t>
  </si>
  <si>
    <t>PROGRAM/PROJECT FUND SOURCE</t>
  </si>
  <si>
    <t>Variance</t>
  </si>
  <si>
    <t>% Change
(Increase/Decrease)</t>
  </si>
  <si>
    <t>TIER I</t>
  </si>
  <si>
    <t>TIER II</t>
  </si>
  <si>
    <t>National Rice Program</t>
  </si>
  <si>
    <t>National Corn Program</t>
  </si>
  <si>
    <t>National High Value Crops Development Program</t>
  </si>
  <si>
    <t>National Urban and Peri-Urban Agriculture Program</t>
  </si>
  <si>
    <t>HALAL Food Industry Development Program</t>
  </si>
  <si>
    <t>National Livestock Program</t>
  </si>
  <si>
    <t>Locally Funded Projects</t>
  </si>
  <si>
    <t>Farm-to-Market Road (FMR) Development Program</t>
  </si>
  <si>
    <t>Special Area for Agricultural Development (SAAD) Program</t>
  </si>
  <si>
    <t>Mainstreaming Climate Resilient Agriculture (MCRA)  to the Regional Programs &amp; Projects</t>
  </si>
  <si>
    <t>National Soil Health Program</t>
  </si>
  <si>
    <t>Foreign Assisted Project</t>
  </si>
  <si>
    <t>Philippine Rural Development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</si>
</sst>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_);_(* \(#,##0\);_(* &quot;-&quot;??_);_(@_)"/>
    <numFmt numFmtId="165" formatCode="_-* #,##0_-;\-* #,##0_-;_-* &quot;-&quot;??_-;_-@"/>
    <numFmt numFmtId="166" formatCode="_(* #,##0.00_);_(* \(#,##0.00\);_(* &quot;-&quot;??_);_(@_)"/>
    <numFmt numFmtId="167" formatCode="_(* #,##0.0_);_(* \(#,##0.0\);_(* &quot;-&quot;??_);_(@_)"/>
    <numFmt numFmtId="168" formatCode="_-* #,##0.00_-;\-* #,##0.00_-;_-* &quot;-&quot;??.00_-;_-@"/>
    <numFmt numFmtId="169" formatCode="_-* #,##0.0_-;\-* #,##0.0_-;_-* &quot;-&quot;??_-;_-@"/>
    <numFmt numFmtId="170" formatCode="_-* #,##0.00_-;\-* #,##0.00_-;_-* &quot;-&quot;??_-;_-@"/>
    <numFmt numFmtId="171" formatCode="#,##0.000"/>
    <numFmt numFmtId="172" formatCode="_(* #,##0.000_);_(* \(#,##0.000\);_(* &quot;-&quot;??.000_);_(@_)"/>
    <numFmt numFmtId="173" formatCode="_(* #,##0.00_);_(* \(#,##0.00\);_(* &quot;-&quot;??.00_);_(@_)"/>
  </numFmts>
  <fonts count="53">
    <font>
      <sz val="11.0"/>
      <color theme="1"/>
      <name val="Calibri"/>
      <scheme val="minor"/>
    </font>
    <font>
      <b/>
      <sz val="20.0"/>
      <color theme="1"/>
      <name val="Arial"/>
    </font>
    <font>
      <sz val="20.0"/>
      <color theme="1"/>
      <name val="Arial"/>
    </font>
    <font>
      <sz val="11.0"/>
      <color theme="1"/>
      <name val="Arial"/>
    </font>
    <font>
      <i/>
      <sz val="14.0"/>
      <color theme="1"/>
      <name val="Arial"/>
    </font>
    <font>
      <sz val="12.0"/>
      <color theme="1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theme="1"/>
      <name val="Arial"/>
    </font>
    <font>
      <sz val="17.0"/>
      <color theme="1"/>
      <name val="Arial"/>
    </font>
    <font>
      <sz val="17.0"/>
      <color rgb="FF000000"/>
      <name val="Arial"/>
    </font>
    <font>
      <sz val="14.0"/>
      <color theme="1"/>
      <name val="Arial"/>
    </font>
    <font>
      <color theme="1"/>
      <name val="Arial"/>
    </font>
    <font>
      <b/>
      <sz val="20.0"/>
      <color theme="1"/>
      <name val="Arial Narrow"/>
    </font>
    <font>
      <sz val="12.0"/>
      <color theme="1"/>
      <name val="Arial Narrow"/>
    </font>
    <font>
      <sz val="12.0"/>
      <color rgb="FF000000"/>
      <name val="Arial Narrow"/>
    </font>
    <font>
      <sz val="11.0"/>
      <color theme="1"/>
      <name val="Calibri"/>
    </font>
    <font>
      <i/>
      <sz val="14.0"/>
      <color theme="1"/>
      <name val="Calibri"/>
    </font>
    <font>
      <b/>
      <sz val="20.0"/>
      <color rgb="FF000000"/>
      <name val="Arial Narrow"/>
    </font>
    <font>
      <b/>
      <sz val="16.0"/>
      <color theme="1"/>
      <name val="Arial Narrow"/>
    </font>
    <font>
      <b/>
      <sz val="16.0"/>
      <color rgb="FF000000"/>
      <name val="Arial Narrow"/>
    </font>
    <font>
      <sz val="16.0"/>
      <color rgb="FF000000"/>
      <name val="Arial Narrow"/>
    </font>
    <font>
      <sz val="16.0"/>
      <color theme="1"/>
      <name val="Arial Narrow"/>
    </font>
    <font>
      <sz val="14.0"/>
      <color theme="1"/>
      <name val="Arial Narrow"/>
    </font>
    <font>
      <color theme="1"/>
      <name val="Arial Narrow"/>
    </font>
    <font>
      <sz val="11.0"/>
      <color theme="1"/>
      <name val="Arial Narrow"/>
    </font>
    <font>
      <b/>
      <sz val="16.0"/>
      <color rgb="FF000000"/>
      <name val="Arial"/>
    </font>
    <font>
      <sz val="16.0"/>
      <color rgb="FF000000"/>
      <name val="Arial"/>
    </font>
    <font>
      <i/>
      <sz val="16.0"/>
      <color rgb="FF000000"/>
      <name val="Arial"/>
    </font>
    <font>
      <b/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sz val="15.0"/>
      <color theme="1"/>
      <name val="Arial"/>
    </font>
    <font>
      <sz val="15.0"/>
      <color theme="1"/>
      <name val="Calibri"/>
    </font>
    <font>
      <b/>
      <sz val="15.0"/>
      <color theme="1"/>
      <name val="Arial"/>
    </font>
    <font>
      <sz val="12.0"/>
      <color rgb="FF000000"/>
      <name val="Arial"/>
    </font>
    <font>
      <sz val="16.0"/>
      <color theme="1"/>
      <name val="Calibri"/>
    </font>
    <font>
      <sz val="20.0"/>
      <color rgb="FF000000"/>
      <name val="Arial"/>
    </font>
    <font>
      <b/>
      <sz val="20.0"/>
      <color rgb="FF000000"/>
      <name val="Arial"/>
    </font>
    <font>
      <b/>
      <sz val="16.0"/>
      <color rgb="FF1F1F1F"/>
      <name val="Arial"/>
    </font>
    <font>
      <b/>
      <sz val="17.0"/>
      <color rgb="FF000000"/>
      <name val="Arial"/>
    </font>
    <font>
      <color theme="1"/>
      <name val="Calibri"/>
    </font>
    <font>
      <color theme="1"/>
      <name val="Calibri"/>
      <scheme val="minor"/>
    </font>
    <font>
      <sz val="20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4.0"/>
      <color theme="1"/>
      <name val="Calibri"/>
    </font>
    <font>
      <b/>
      <sz val="13.0"/>
      <color theme="1"/>
      <name val="Arial"/>
    </font>
    <font>
      <sz val="13.0"/>
      <color theme="1"/>
      <name val="Arial"/>
    </font>
    <font>
      <i/>
      <sz val="12.0"/>
      <color theme="1"/>
      <name val="Arial"/>
    </font>
    <font>
      <sz val="14.0"/>
      <color theme="1"/>
      <name val="Cambria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5"/>
        <bgColor theme="5"/>
      </patternFill>
    </fill>
    <fill>
      <patternFill patternType="solid">
        <fgColor rgb="FFD8D8D8"/>
        <bgColor rgb="FFD8D8D8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/>
      <top/>
      <bottom/>
    </border>
    <border>
      <top/>
      <bottom/>
    </border>
    <border>
      <left/>
      <right/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</border>
    <border>
      <left/>
      <right/>
      <bottom/>
    </border>
  </borders>
  <cellStyleXfs count="1">
    <xf borderId="0" fillId="0" fontId="0" numFmtId="0" applyAlignment="1" applyFont="1"/>
  </cellStyleXfs>
  <cellXfs count="59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2" fillId="2" fontId="6" numFmtId="3" xfId="0" applyAlignment="1" applyBorder="1" applyFont="1" applyNumberFormat="1">
      <alignment horizontal="center" readingOrder="0" shrinkToFit="0" vertical="bottom" wrapText="1"/>
    </xf>
    <xf borderId="3" fillId="0" fontId="7" numFmtId="0" xfId="0" applyBorder="1" applyFont="1"/>
    <xf borderId="2" fillId="2" fontId="8" numFmtId="3" xfId="0" applyAlignment="1" applyBorder="1" applyFont="1" applyNumberFormat="1">
      <alignment horizontal="center" shrinkToFit="0" wrapText="1"/>
    </xf>
    <xf borderId="4" fillId="2" fontId="6" numFmtId="3" xfId="0" applyAlignment="1" applyBorder="1" applyFont="1" applyNumberFormat="1">
      <alignment horizontal="center" shrinkToFit="0" vertical="bottom" wrapText="1"/>
    </xf>
    <xf borderId="5" fillId="0" fontId="7" numFmtId="0" xfId="0" applyBorder="1" applyFont="1"/>
    <xf borderId="6" fillId="0" fontId="7" numFmtId="0" xfId="0" applyBorder="1" applyFont="1"/>
    <xf borderId="1" fillId="2" fontId="8" numFmtId="4" xfId="0" applyAlignment="1" applyBorder="1" applyFont="1" applyNumberForma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4" xfId="0" applyAlignment="1" applyBorder="1" applyFont="1" applyNumberFormat="1">
      <alignment horizontal="center" shrinkToFit="0" vertical="center" wrapText="1"/>
    </xf>
    <xf borderId="2" fillId="2" fontId="8" numFmtId="3" xfId="0" applyAlignment="1" applyBorder="1" applyFont="1" applyNumberFormat="1">
      <alignment horizontal="center" shrinkToFit="0" vertical="center" wrapText="1"/>
    </xf>
    <xf borderId="1" fillId="2" fontId="6" numFmtId="3" xfId="0" applyAlignment="1" applyBorder="1" applyFont="1" applyNumberFormat="1">
      <alignment horizontal="center" shrinkToFit="0" vertical="center" wrapText="1"/>
    </xf>
    <xf borderId="1" fillId="2" fontId="8" numFmtId="166" xfId="0" applyAlignment="1" applyBorder="1" applyFont="1" applyNumberFormat="1">
      <alignment horizontal="center" shrinkToFit="0" vertical="center" wrapText="1"/>
    </xf>
    <xf borderId="10" fillId="0" fontId="7" numFmtId="0" xfId="0" applyBorder="1" applyFont="1"/>
    <xf borderId="1" fillId="2" fontId="8" numFmtId="3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shrinkToFit="0" vertical="center" wrapText="1"/>
    </xf>
    <xf borderId="11" fillId="0" fontId="9" numFmtId="164" xfId="0" applyAlignment="1" applyBorder="1" applyFont="1" applyNumberFormat="1">
      <alignment horizontal="center" shrinkToFit="0" vertical="center" wrapText="1"/>
    </xf>
    <xf borderId="11" fillId="2" fontId="6" numFmtId="166" xfId="0" applyAlignment="1" applyBorder="1" applyFont="1" applyNumberFormat="1">
      <alignment horizontal="right" shrinkToFit="0" vertical="center" wrapText="1"/>
    </xf>
    <xf borderId="11" fillId="2" fontId="9" numFmtId="164" xfId="0" applyAlignment="1" applyBorder="1" applyFont="1" applyNumberFormat="1">
      <alignment shrinkToFit="0" vertical="center" wrapText="1"/>
    </xf>
    <xf borderId="11" fillId="0" fontId="6" numFmtId="4" xfId="0" applyAlignment="1" applyBorder="1" applyFont="1" applyNumberFormat="1">
      <alignment horizontal="right" shrinkToFit="0" vertical="center" wrapText="1"/>
    </xf>
    <xf borderId="11" fillId="2" fontId="6" numFmtId="164" xfId="0" applyAlignment="1" applyBorder="1" applyFont="1" applyNumberFormat="1">
      <alignment shrinkToFit="0" vertical="center" wrapText="1"/>
    </xf>
    <xf borderId="11" fillId="0" fontId="9" numFmtId="164" xfId="0" applyAlignment="1" applyBorder="1" applyFont="1" applyNumberFormat="1">
      <alignment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1" fillId="2" fontId="10" numFmtId="164" xfId="0" applyAlignment="1" applyBorder="1" applyFont="1" applyNumberFormat="1">
      <alignment shrinkToFit="0" vertical="center" wrapText="1"/>
    </xf>
    <xf borderId="11" fillId="2" fontId="9" numFmtId="166" xfId="0" applyAlignment="1" applyBorder="1" applyFont="1" applyNumberFormat="1">
      <alignment shrinkToFit="0" vertical="center" wrapText="1"/>
    </xf>
    <xf borderId="11" fillId="0" fontId="9" numFmtId="4" xfId="0" applyAlignment="1" applyBorder="1" applyFont="1" applyNumberForma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11" fillId="2" fontId="10" numFmtId="166" xfId="0" applyAlignment="1" applyBorder="1" applyFont="1" applyNumberFormat="1">
      <alignment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1" fillId="0" fontId="11" numFmtId="4" xfId="0" applyAlignment="1" applyBorder="1" applyFont="1" applyNumberFormat="1">
      <alignment shrinkToFit="0" vertical="center" wrapText="1"/>
    </xf>
    <xf borderId="11" fillId="0" fontId="9" numFmtId="3" xfId="0" applyAlignment="1" applyBorder="1" applyFont="1" applyNumberFormat="1">
      <alignment horizontal="right" readingOrder="0" shrinkToFit="0" vertical="center" wrapText="1"/>
    </xf>
    <xf borderId="11" fillId="0" fontId="9" numFmtId="4" xfId="0" applyAlignment="1" applyBorder="1" applyFont="1" applyNumberFormat="1">
      <alignment horizontal="right" shrinkToFit="0" vertical="center" wrapText="1"/>
    </xf>
    <xf borderId="11" fillId="0" fontId="9" numFmtId="4" xfId="0" applyAlignment="1" applyBorder="1" applyFont="1" applyNumberFormat="1">
      <alignment horizontal="right" readingOrder="0" shrinkToFit="0" vertical="center" wrapText="1"/>
    </xf>
    <xf borderId="1" fillId="0" fontId="9" numFmtId="4" xfId="0" applyAlignment="1" applyBorder="1" applyFont="1" applyNumberFormat="1">
      <alignment horizontal="left" readingOrder="0" shrinkToFit="0" vertical="center" wrapText="1"/>
    </xf>
    <xf borderId="11" fillId="0" fontId="9" numFmtId="0" xfId="0" applyAlignment="1" applyBorder="1" applyFont="1">
      <alignment shrinkToFit="0" vertical="bottom" wrapText="1"/>
    </xf>
    <xf borderId="11" fillId="0" fontId="9" numFmtId="0" xfId="0" applyAlignment="1" applyBorder="1" applyFont="1">
      <alignment horizontal="center" vertical="center"/>
    </xf>
    <xf borderId="11" fillId="2" fontId="9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1" fillId="2" fontId="9" numFmtId="4" xfId="0" applyAlignment="1" applyBorder="1" applyFont="1" applyNumberFormat="1">
      <alignment shrinkToFit="0" vertical="center" wrapText="1"/>
    </xf>
    <xf borderId="11" fillId="0" fontId="6" numFmtId="4" xfId="0" applyAlignment="1" applyBorder="1" applyFont="1" applyNumberFormat="1">
      <alignment shrinkToFit="0" vertical="center" wrapText="1"/>
    </xf>
    <xf borderId="11" fillId="0" fontId="9" numFmtId="166" xfId="0" applyAlignment="1" applyBorder="1" applyFont="1" applyNumberFormat="1">
      <alignment shrinkToFit="0" vertical="center" wrapText="1"/>
    </xf>
    <xf borderId="11" fillId="3" fontId="9" numFmtId="4" xfId="0" applyAlignment="1" applyBorder="1" applyFill="1" applyFont="1" applyNumberFormat="1">
      <alignment horizontal="right" vertical="bottom"/>
    </xf>
    <xf borderId="11" fillId="0" fontId="9" numFmtId="3" xfId="0" applyAlignment="1" applyBorder="1" applyFont="1" applyNumberFormat="1">
      <alignment shrinkToFit="0" vertical="center" wrapText="1"/>
    </xf>
    <xf borderId="11" fillId="0" fontId="9" numFmtId="0" xfId="0" applyAlignment="1" applyBorder="1" applyFont="1">
      <alignment vertical="center"/>
    </xf>
    <xf borderId="11" fillId="0" fontId="6" numFmtId="0" xfId="0" applyAlignment="1" applyBorder="1" applyFont="1">
      <alignment horizontal="center" shrinkToFit="0" vertical="center" wrapText="1"/>
    </xf>
    <xf borderId="12" fillId="3" fontId="12" numFmtId="164" xfId="0" applyBorder="1" applyFont="1" applyNumberFormat="1"/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2" fillId="3" fontId="3" numFmtId="164" xfId="0" applyBorder="1" applyFont="1" applyNumberFormat="1"/>
    <xf borderId="12" fillId="3" fontId="12" numFmtId="0" xfId="0" applyAlignment="1" applyBorder="1" applyFont="1">
      <alignment shrinkToFit="0" vertical="center" wrapText="1"/>
    </xf>
    <xf borderId="0" fillId="0" fontId="9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2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Font="1"/>
    <xf borderId="12" fillId="3" fontId="3" numFmtId="164" xfId="0" applyAlignment="1" applyBorder="1" applyFont="1" applyNumberFormat="1">
      <alignment vertical="center"/>
    </xf>
    <xf borderId="12" fillId="3" fontId="6" numFmtId="164" xfId="0" applyBorder="1" applyFont="1" applyNumberFormat="1"/>
    <xf borderId="0" fillId="0" fontId="6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12" fillId="3" fontId="12" numFmtId="0" xfId="0" applyAlignment="1" applyBorder="1" applyFont="1">
      <alignment vertical="top"/>
    </xf>
    <xf borderId="0" fillId="0" fontId="13" numFmtId="0" xfId="0" applyFont="1"/>
    <xf borderId="12" fillId="3" fontId="12" numFmtId="164" xfId="0" applyAlignment="1" applyBorder="1" applyFont="1" applyNumberFormat="1">
      <alignment vertical="center"/>
    </xf>
    <xf borderId="12" fillId="3" fontId="12" numFmtId="0" xfId="0" applyAlignment="1" applyBorder="1" applyFont="1">
      <alignment vertical="center"/>
    </xf>
    <xf borderId="12" fillId="2" fontId="5" numFmtId="0" xfId="0" applyAlignment="1" applyBorder="1" applyFont="1">
      <alignment vertical="center"/>
    </xf>
    <xf borderId="12" fillId="3" fontId="3" numFmtId="165" xfId="0" applyAlignment="1" applyBorder="1" applyFont="1" applyNumberFormat="1">
      <alignment vertical="center"/>
    </xf>
    <xf borderId="0" fillId="2" fontId="5" numFmtId="0" xfId="0" applyAlignment="1" applyFont="1">
      <alignment vertical="center"/>
    </xf>
    <xf borderId="0" fillId="0" fontId="14" numFmtId="49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3" xfId="0" applyAlignment="1" applyFont="1" applyNumberFormat="1">
      <alignment vertical="center"/>
    </xf>
    <xf borderId="0" fillId="0" fontId="17" numFmtId="4" xfId="0" applyAlignment="1" applyFont="1" applyNumberFormat="1">
      <alignment vertical="bottom"/>
    </xf>
    <xf borderId="0" fillId="0" fontId="17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3" fontId="18" numFmtId="0" xfId="0" applyAlignment="1" applyFont="1">
      <alignment shrinkToFit="0" vertical="bottom" wrapText="1"/>
    </xf>
    <xf borderId="0" fillId="0" fontId="19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1" fillId="3" fontId="20" numFmtId="0" xfId="0" applyAlignment="1" applyBorder="1" applyFont="1">
      <alignment horizontal="center" shrinkToFit="0" vertical="center" wrapText="1"/>
    </xf>
    <xf borderId="2" fillId="3" fontId="20" numFmtId="3" xfId="0" applyAlignment="1" applyBorder="1" applyFont="1" applyNumberFormat="1">
      <alignment horizontal="center" readingOrder="0" shrinkToFit="0" vertical="center" wrapText="1"/>
    </xf>
    <xf borderId="2" fillId="3" fontId="20" numFmtId="3" xfId="0" applyAlignment="1" applyBorder="1" applyFont="1" applyNumberFormat="1">
      <alignment horizontal="center" shrinkToFit="0" vertical="bottom" wrapText="1"/>
    </xf>
    <xf borderId="2" fillId="3" fontId="8" numFmtId="3" xfId="0" applyAlignment="1" applyBorder="1" applyFont="1" applyNumberFormat="1">
      <alignment horizontal="center" shrinkToFit="0" wrapText="1"/>
    </xf>
    <xf borderId="4" fillId="3" fontId="6" numFmtId="3" xfId="0" applyAlignment="1" applyBorder="1" applyFont="1" applyNumberFormat="1">
      <alignment horizontal="center" shrinkToFit="0" vertical="bottom" wrapText="1"/>
    </xf>
    <xf borderId="1" fillId="3" fontId="8" numFmtId="4" xfId="0" applyAlignment="1" applyBorder="1" applyFont="1" applyNumberFormat="1">
      <alignment horizontal="center" shrinkToFit="0" vertical="bottom" wrapText="1"/>
    </xf>
    <xf borderId="7" fillId="3" fontId="20" numFmtId="165" xfId="0" applyAlignment="1" applyBorder="1" applyFont="1" applyNumberFormat="1">
      <alignment horizontal="center" shrinkToFit="0" vertical="center" wrapText="1"/>
    </xf>
    <xf borderId="7" fillId="3" fontId="20" numFmtId="4" xfId="0" applyAlignment="1" applyBorder="1" applyFont="1" applyNumberFormat="1">
      <alignment horizontal="center" shrinkToFit="0" vertical="center" wrapText="1"/>
    </xf>
    <xf borderId="8" fillId="3" fontId="20" numFmtId="3" xfId="0" applyAlignment="1" applyBorder="1" applyFont="1" applyNumberFormat="1">
      <alignment horizontal="center" shrinkToFit="0" vertical="bottom" wrapText="1"/>
    </xf>
    <xf borderId="1" fillId="3" fontId="6" numFmtId="3" xfId="0" applyAlignment="1" applyBorder="1" applyFont="1" applyNumberFormat="1">
      <alignment horizontal="center" shrinkToFit="0" vertical="bottom" wrapText="1"/>
    </xf>
    <xf borderId="1" fillId="3" fontId="8" numFmtId="166" xfId="0" applyAlignment="1" applyBorder="1" applyFont="1" applyNumberFormat="1">
      <alignment horizontal="center" shrinkToFit="0" vertical="bottom" wrapText="1"/>
    </xf>
    <xf borderId="10" fillId="3" fontId="20" numFmtId="3" xfId="0" applyAlignment="1" applyBorder="1" applyFont="1" applyNumberFormat="1">
      <alignment horizontal="center" shrinkToFit="0" vertical="center" wrapText="1"/>
    </xf>
    <xf borderId="10" fillId="3" fontId="20" numFmtId="4" xfId="0" applyAlignment="1" applyBorder="1" applyFont="1" applyNumberFormat="1">
      <alignment horizontal="center" shrinkToFit="0" vertical="center" wrapText="1"/>
    </xf>
    <xf borderId="1" fillId="3" fontId="8" numFmtId="3" xfId="0" applyAlignment="1" applyBorder="1" applyFont="1" applyNumberFormat="1">
      <alignment horizontal="center" shrinkToFit="0" wrapText="1"/>
    </xf>
    <xf borderId="1" fillId="3" fontId="8" numFmtId="166" xfId="0" applyAlignment="1" applyBorder="1" applyFont="1" applyNumberFormat="1">
      <alignment horizontal="center" shrinkToFit="0" wrapText="1"/>
    </xf>
    <xf borderId="11" fillId="0" fontId="21" numFmtId="0" xfId="0" applyAlignment="1" applyBorder="1" applyFont="1">
      <alignment shrinkToFit="0" vertical="center" wrapText="1"/>
    </xf>
    <xf borderId="11" fillId="0" fontId="21" numFmtId="0" xfId="0" applyAlignment="1" applyBorder="1" applyFont="1">
      <alignment horizontal="center" vertical="center"/>
    </xf>
    <xf borderId="11" fillId="0" fontId="21" numFmtId="165" xfId="0" applyAlignment="1" applyBorder="1" applyFont="1" applyNumberFormat="1">
      <alignment vertical="center"/>
    </xf>
    <xf borderId="11" fillId="0" fontId="21" numFmtId="166" xfId="0" applyAlignment="1" applyBorder="1" applyFont="1" applyNumberFormat="1">
      <alignment vertical="center"/>
    </xf>
    <xf borderId="11" fillId="0" fontId="21" numFmtId="3" xfId="0" applyAlignment="1" applyBorder="1" applyFont="1" applyNumberFormat="1">
      <alignment vertical="center"/>
    </xf>
    <xf borderId="11" fillId="0" fontId="22" numFmtId="166" xfId="0" applyAlignment="1" applyBorder="1" applyFont="1" applyNumberFormat="1">
      <alignment vertical="center"/>
    </xf>
    <xf borderId="11" fillId="0" fontId="22" numFmtId="0" xfId="0" applyAlignment="1" applyBorder="1" applyFont="1">
      <alignment horizontal="center" vertical="center"/>
    </xf>
    <xf borderId="11" fillId="0" fontId="22" numFmtId="165" xfId="0" applyAlignment="1" applyBorder="1" applyFont="1" applyNumberFormat="1">
      <alignment vertical="center"/>
    </xf>
    <xf borderId="11" fillId="0" fontId="22" numFmtId="3" xfId="0" applyAlignment="1" applyBorder="1" applyFont="1" applyNumberFormat="1">
      <alignment vertical="center"/>
    </xf>
    <xf borderId="11" fillId="0" fontId="22" numFmtId="0" xfId="0" applyAlignment="1" applyBorder="1" applyFont="1">
      <alignment horizontal="left" shrinkToFit="0" vertical="center" wrapText="1"/>
    </xf>
    <xf borderId="11" fillId="0" fontId="22" numFmtId="0" xfId="0" applyAlignment="1" applyBorder="1" applyFont="1">
      <alignment horizontal="left" readingOrder="0" shrinkToFit="0" vertical="center" wrapText="1"/>
    </xf>
    <xf borderId="11" fillId="0" fontId="23" numFmtId="166" xfId="0" applyAlignment="1" applyBorder="1" applyFont="1" applyNumberFormat="1">
      <alignment horizontal="right" vertical="center"/>
    </xf>
    <xf borderId="11" fillId="0" fontId="23" numFmtId="3" xfId="0" applyAlignment="1" applyBorder="1" applyFont="1" applyNumberFormat="1">
      <alignment horizontal="right" vertical="bottom"/>
    </xf>
    <xf borderId="11" fillId="0" fontId="23" numFmtId="166" xfId="0" applyAlignment="1" applyBorder="1" applyFont="1" applyNumberFormat="1">
      <alignment horizontal="right" vertical="bottom"/>
    </xf>
    <xf borderId="11" fillId="0" fontId="23" numFmtId="4" xfId="0" applyAlignment="1" applyBorder="1" applyFont="1" applyNumberFormat="1">
      <alignment horizontal="right" vertical="bottom"/>
    </xf>
    <xf borderId="11" fillId="0" fontId="22" numFmtId="166" xfId="0" applyAlignment="1" applyBorder="1" applyFont="1" applyNumberFormat="1">
      <alignment readingOrder="0" vertical="center"/>
    </xf>
    <xf borderId="11" fillId="0" fontId="23" numFmtId="0" xfId="0" applyAlignment="1" applyBorder="1" applyFont="1">
      <alignment shrinkToFit="0" vertical="center" wrapText="1"/>
    </xf>
    <xf borderId="11" fillId="0" fontId="23" numFmtId="0" xfId="0" applyAlignment="1" applyBorder="1" applyFont="1">
      <alignment horizontal="center" vertical="center"/>
    </xf>
    <xf borderId="11" fillId="0" fontId="22" numFmtId="164" xfId="0" applyAlignment="1" applyBorder="1" applyFont="1" applyNumberFormat="1">
      <alignment readingOrder="0" vertical="center"/>
    </xf>
    <xf borderId="1" fillId="0" fontId="22" numFmtId="166" xfId="0" applyAlignment="1" applyBorder="1" applyFont="1" applyNumberFormat="1">
      <alignment readingOrder="0" shrinkToFit="0" vertical="center" wrapText="1"/>
    </xf>
    <xf borderId="11" fillId="0" fontId="23" numFmtId="0" xfId="0" applyAlignment="1" applyBorder="1" applyFont="1">
      <alignment readingOrder="0" shrinkToFit="0" vertical="center" wrapText="1"/>
    </xf>
    <xf borderId="11" fillId="0" fontId="23" numFmtId="166" xfId="0" applyAlignment="1" applyBorder="1" applyFont="1" applyNumberFormat="1">
      <alignment horizontal="right" readingOrder="0"/>
    </xf>
    <xf borderId="11" fillId="0" fontId="23" numFmtId="166" xfId="0" applyAlignment="1" applyBorder="1" applyFont="1" applyNumberFormat="1">
      <alignment horizontal="right"/>
    </xf>
    <xf borderId="11" fillId="0" fontId="17" numFmtId="166" xfId="0" applyBorder="1" applyFont="1" applyNumberFormat="1"/>
    <xf borderId="11" fillId="0" fontId="23" numFmtId="165" xfId="0" applyAlignment="1" applyBorder="1" applyFont="1" applyNumberFormat="1">
      <alignment horizontal="right" vertical="bottom"/>
    </xf>
    <xf borderId="11" fillId="0" fontId="22" numFmtId="0" xfId="0" applyAlignment="1" applyBorder="1" applyFont="1">
      <alignment shrinkToFit="0" vertical="center" wrapText="1"/>
    </xf>
    <xf borderId="11" fillId="0" fontId="23" numFmtId="166" xfId="0" applyAlignment="1" applyBorder="1" applyFont="1" applyNumberFormat="1">
      <alignment horizontal="right" readingOrder="0" vertical="bottom"/>
    </xf>
    <xf borderId="11" fillId="0" fontId="20" numFmtId="4" xfId="0" applyAlignment="1" applyBorder="1" applyFont="1" applyNumberFormat="1">
      <alignment shrinkToFit="0" vertical="center" wrapText="1"/>
    </xf>
    <xf borderId="11" fillId="0" fontId="23" numFmtId="0" xfId="0" applyAlignment="1" applyBorder="1" applyFont="1">
      <alignment vertical="center"/>
    </xf>
    <xf borderId="11" fillId="0" fontId="23" numFmtId="4" xfId="0" applyAlignment="1" applyBorder="1" applyFont="1" applyNumberFormat="1">
      <alignment shrinkToFit="0" vertical="center" wrapText="1"/>
    </xf>
    <xf borderId="11" fillId="0" fontId="23" numFmtId="4" xfId="0" applyAlignment="1" applyBorder="1" applyFont="1" applyNumberFormat="1">
      <alignment horizontal="right" vertical="center"/>
    </xf>
    <xf borderId="11" fillId="0" fontId="20" numFmtId="0" xfId="0" applyAlignment="1" applyBorder="1" applyFont="1">
      <alignment shrinkToFit="0" vertical="center" wrapText="1"/>
    </xf>
    <xf borderId="11" fillId="2" fontId="23" numFmtId="165" xfId="0" applyAlignment="1" applyBorder="1" applyFont="1" applyNumberFormat="1">
      <alignment vertical="center"/>
    </xf>
    <xf borderId="11" fillId="0" fontId="23" numFmtId="166" xfId="0" applyAlignment="1" applyBorder="1" applyFont="1" applyNumberFormat="1">
      <alignment vertical="center"/>
    </xf>
    <xf borderId="11" fillId="0" fontId="23" numFmtId="165" xfId="0" applyAlignment="1" applyBorder="1" applyFont="1" applyNumberFormat="1">
      <alignment vertical="center"/>
    </xf>
    <xf borderId="11" fillId="0" fontId="23" numFmtId="3" xfId="0" applyAlignment="1" applyBorder="1" applyFont="1" applyNumberFormat="1">
      <alignment vertical="center"/>
    </xf>
    <xf borderId="11" fillId="0" fontId="23" numFmtId="4" xfId="0" applyAlignment="1" applyBorder="1" applyFont="1" applyNumberFormat="1">
      <alignment horizontal="right"/>
    </xf>
    <xf borderId="11" fillId="0" fontId="23" numFmtId="0" xfId="0" applyAlignment="1" applyBorder="1" applyFont="1">
      <alignment shrinkToFit="0" wrapText="1"/>
    </xf>
    <xf borderId="11" fillId="0" fontId="23" numFmtId="0" xfId="0" applyAlignment="1" applyBorder="1" applyFont="1">
      <alignment horizontal="center"/>
    </xf>
    <xf borderId="11" fillId="0" fontId="17" numFmtId="3" xfId="0" applyBorder="1" applyFont="1" applyNumberFormat="1"/>
    <xf borderId="11" fillId="0" fontId="20" numFmtId="0" xfId="0" applyAlignment="1" applyBorder="1" applyFont="1">
      <alignment horizontal="center" vertical="center"/>
    </xf>
    <xf borderId="11" fillId="0" fontId="20" numFmtId="165" xfId="0" applyAlignment="1" applyBorder="1" applyFont="1" applyNumberFormat="1">
      <alignment vertical="center"/>
    </xf>
    <xf borderId="11" fillId="0" fontId="20" numFmtId="166" xfId="0" applyAlignment="1" applyBorder="1" applyFont="1" applyNumberFormat="1">
      <alignment vertical="center"/>
    </xf>
    <xf borderId="11" fillId="0" fontId="20" numFmtId="3" xfId="0" applyAlignment="1" applyBorder="1" applyFont="1" applyNumberFormat="1">
      <alignment vertical="center"/>
    </xf>
    <xf borderId="11" fillId="2" fontId="23" numFmtId="166" xfId="0" applyAlignment="1" applyBorder="1" applyFont="1" applyNumberFormat="1">
      <alignment vertical="center"/>
    </xf>
    <xf borderId="11" fillId="2" fontId="23" numFmtId="3" xfId="0" applyAlignment="1" applyBorder="1" applyFont="1" applyNumberFormat="1">
      <alignment vertical="center"/>
    </xf>
    <xf borderId="11" fillId="0" fontId="23" numFmtId="3" xfId="0" applyAlignment="1" applyBorder="1" applyFont="1" applyNumberFormat="1">
      <alignment horizontal="right"/>
    </xf>
    <xf borderId="11" fillId="2" fontId="23" numFmtId="0" xfId="0" applyAlignment="1" applyBorder="1" applyFont="1">
      <alignment vertical="center"/>
    </xf>
    <xf borderId="11" fillId="2" fontId="23" numFmtId="0" xfId="0" applyAlignment="1" applyBorder="1" applyFont="1">
      <alignment horizontal="center" vertical="center"/>
    </xf>
    <xf borderId="11" fillId="2" fontId="23" numFmtId="4" xfId="0" applyAlignment="1" applyBorder="1" applyFont="1" applyNumberFormat="1">
      <alignment vertical="center"/>
    </xf>
    <xf borderId="11" fillId="0" fontId="21" numFmtId="0" xfId="0" applyAlignment="1" applyBorder="1" applyFont="1">
      <alignment horizontal="center" shrinkToFit="0" vertical="center" wrapText="1"/>
    </xf>
    <xf borderId="12" fillId="3" fontId="15" numFmtId="164" xfId="0" applyAlignment="1" applyBorder="1" applyFont="1" applyNumberFormat="1">
      <alignment vertical="center"/>
    </xf>
    <xf borderId="0" fillId="0" fontId="15" numFmtId="3" xfId="0" applyAlignment="1" applyFont="1" applyNumberFormat="1">
      <alignment vertical="center"/>
    </xf>
    <xf borderId="12" fillId="3" fontId="15" numFmtId="0" xfId="0" applyAlignment="1" applyBorder="1" applyFont="1">
      <alignment vertical="center"/>
    </xf>
    <xf borderId="12" fillId="2" fontId="15" numFmtId="0" xfId="0" applyAlignment="1" applyBorder="1" applyFont="1">
      <alignment vertical="center"/>
    </xf>
    <xf borderId="12" fillId="3" fontId="15" numFmtId="3" xfId="0" applyAlignment="1" applyBorder="1" applyFont="1" applyNumberFormat="1">
      <alignment vertical="center"/>
    </xf>
    <xf borderId="12" fillId="3" fontId="15" numFmtId="165" xfId="0" applyAlignment="1" applyBorder="1" applyFont="1" applyNumberFormat="1">
      <alignment vertical="center"/>
    </xf>
    <xf borderId="0" fillId="3" fontId="15" numFmtId="165" xfId="0" applyAlignment="1" applyFont="1" applyNumberFormat="1">
      <alignment vertical="center"/>
    </xf>
    <xf borderId="0" fillId="0" fontId="15" numFmtId="164" xfId="0" applyAlignment="1" applyFont="1" applyNumberFormat="1">
      <alignment vertical="center"/>
    </xf>
    <xf borderId="12" fillId="3" fontId="15" numFmtId="164" xfId="0" applyAlignment="1" applyBorder="1" applyFont="1" applyNumberFormat="1">
      <alignment shrinkToFit="0" vertical="center" wrapText="1"/>
    </xf>
    <xf borderId="12" fillId="3" fontId="15" numFmtId="3" xfId="0" applyAlignment="1" applyBorder="1" applyFont="1" applyNumberFormat="1">
      <alignment shrinkToFit="0" vertical="center" wrapText="1"/>
    </xf>
    <xf borderId="0" fillId="3" fontId="15" numFmtId="164" xfId="0" applyAlignment="1" applyFont="1" applyNumberFormat="1">
      <alignment shrinkToFit="0" vertical="center" wrapText="1"/>
    </xf>
    <xf borderId="12" fillId="3" fontId="24" numFmtId="164" xfId="0" applyBorder="1" applyFont="1" applyNumberFormat="1"/>
    <xf borderId="0" fillId="0" fontId="25" numFmtId="0" xfId="0" applyFont="1"/>
    <xf borderId="0" fillId="0" fontId="17" numFmtId="0" xfId="0" applyAlignment="1" applyFont="1">
      <alignment vertical="bottom"/>
    </xf>
    <xf borderId="0" fillId="0" fontId="17" numFmtId="0" xfId="0" applyFont="1"/>
    <xf borderId="12" fillId="3" fontId="26" numFmtId="164" xfId="0" applyBorder="1" applyFont="1" applyNumberFormat="1"/>
    <xf borderId="12" fillId="3" fontId="20" numFmtId="164" xfId="0" applyBorder="1" applyFont="1" applyNumberFormat="1"/>
    <xf borderId="0" fillId="0" fontId="17" numFmtId="165" xfId="0" applyAlignment="1" applyFont="1" applyNumberFormat="1">
      <alignment vertical="bottom"/>
    </xf>
    <xf borderId="0" fillId="0" fontId="15" numFmtId="0" xfId="0" applyAlignment="1" applyFont="1">
      <alignment horizontal="center" vertical="center"/>
    </xf>
    <xf borderId="0" fillId="0" fontId="25" numFmtId="3" xfId="0" applyFont="1" applyNumberFormat="1"/>
    <xf borderId="0" fillId="0" fontId="1" numFmtId="49" xfId="0" applyFont="1" applyNumberFormat="1"/>
    <xf borderId="0" fillId="0" fontId="2" numFmtId="166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" numFmtId="0" xfId="0" applyFont="1"/>
    <xf borderId="0" fillId="3" fontId="18" numFmtId="4" xfId="0" applyAlignment="1" applyFont="1" applyNumberFormat="1">
      <alignment shrinkToFit="0" vertical="bottom" wrapText="1"/>
    </xf>
    <xf borderId="0" fillId="0" fontId="5" numFmtId="166" xfId="0" applyAlignment="1" applyFont="1" applyNumberFormat="1">
      <alignment vertical="center"/>
    </xf>
    <xf borderId="0" fillId="0" fontId="5" numFmtId="4" xfId="0" applyAlignment="1" applyFont="1" applyNumberForma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2" fillId="3" fontId="6" numFmtId="3" xfId="0" applyAlignment="1" applyBorder="1" applyFont="1" applyNumberFormat="1">
      <alignment horizontal="center" readingOrder="0" shrinkToFit="0" vertical="center" wrapText="1"/>
    </xf>
    <xf borderId="7" fillId="3" fontId="6" numFmtId="165" xfId="0" applyAlignment="1" applyBorder="1" applyFont="1" applyNumberFormat="1">
      <alignment horizontal="center" shrinkToFit="0" vertical="center" wrapText="1"/>
    </xf>
    <xf borderId="7" fillId="3" fontId="6" numFmtId="4" xfId="0" applyAlignment="1" applyBorder="1" applyFont="1" applyNumberFormat="1">
      <alignment horizontal="center" shrinkToFit="0" vertical="center" wrapText="1"/>
    </xf>
    <xf borderId="11" fillId="3" fontId="27" numFmtId="166" xfId="0" applyAlignment="1" applyBorder="1" applyFont="1" applyNumberFormat="1">
      <alignment shrinkToFit="0" vertical="center" wrapText="1"/>
    </xf>
    <xf borderId="11" fillId="0" fontId="6" numFmtId="166" xfId="0" applyAlignment="1" applyBorder="1" applyFont="1" applyNumberFormat="1">
      <alignment horizontal="center" shrinkToFit="0" vertical="center" wrapText="1"/>
    </xf>
    <xf borderId="11" fillId="0" fontId="6" numFmtId="166" xfId="0" applyAlignment="1" applyBorder="1" applyFont="1" applyNumberFormat="1">
      <alignment vertical="center"/>
    </xf>
    <xf borderId="11" fillId="0" fontId="9" numFmtId="0" xfId="0" applyBorder="1" applyFont="1"/>
    <xf borderId="11" fillId="0" fontId="9" numFmtId="4" xfId="0" applyBorder="1" applyFont="1" applyNumberFormat="1"/>
    <xf borderId="11" fillId="0" fontId="3" numFmtId="0" xfId="0" applyBorder="1" applyFont="1"/>
    <xf borderId="11" fillId="3" fontId="27" numFmtId="166" xfId="0" applyAlignment="1" applyBorder="1" applyFont="1" applyNumberFormat="1">
      <alignment horizontal="left" shrinkToFit="0" vertical="center" wrapText="1"/>
    </xf>
    <xf borderId="11" fillId="0" fontId="9" numFmtId="166" xfId="0" applyAlignment="1" applyBorder="1" applyFont="1" applyNumberFormat="1">
      <alignment vertical="center"/>
    </xf>
    <xf borderId="11" fillId="0" fontId="6" numFmtId="4" xfId="0" applyBorder="1" applyFont="1" applyNumberFormat="1"/>
    <xf borderId="11" fillId="0" fontId="27" numFmtId="166" xfId="0" applyAlignment="1" applyBorder="1" applyFont="1" applyNumberFormat="1">
      <alignment horizontal="left" shrinkToFit="0" vertical="center" wrapText="1"/>
    </xf>
    <xf borderId="11" fillId="0" fontId="9" numFmtId="165" xfId="0" applyAlignment="1" applyBorder="1" applyFont="1" applyNumberFormat="1">
      <alignment vertical="center"/>
    </xf>
    <xf borderId="11" fillId="0" fontId="9" numFmtId="4" xfId="0" applyAlignment="1" applyBorder="1" applyFont="1" applyNumberFormat="1">
      <alignment vertical="center"/>
    </xf>
    <xf borderId="11" fillId="0" fontId="9" numFmtId="167" xfId="0" applyAlignment="1" applyBorder="1" applyFont="1" applyNumberFormat="1">
      <alignment vertical="center"/>
    </xf>
    <xf borderId="11" fillId="0" fontId="28" numFmtId="166" xfId="0" applyAlignment="1" applyBorder="1" applyFont="1" applyNumberFormat="1">
      <alignment horizontal="left" shrinkToFit="0" vertical="center" wrapText="1"/>
    </xf>
    <xf borderId="11" fillId="0" fontId="6" numFmtId="166" xfId="0" applyAlignment="1" applyBorder="1" applyFont="1" applyNumberFormat="1">
      <alignment horizontal="center" vertical="center"/>
    </xf>
    <xf borderId="11" fillId="3" fontId="28" numFmtId="166" xfId="0" applyAlignment="1" applyBorder="1" applyFont="1" applyNumberFormat="1">
      <alignment horizontal="left" shrinkToFit="0" vertical="center" wrapText="1"/>
    </xf>
    <xf borderId="11" fillId="3" fontId="28" numFmtId="0" xfId="0" applyAlignment="1" applyBorder="1" applyFont="1">
      <alignment horizontal="left" shrinkToFit="0" vertical="center" wrapText="1"/>
    </xf>
    <xf borderId="11" fillId="0" fontId="9" numFmtId="168" xfId="0" applyAlignment="1" applyBorder="1" applyFont="1" applyNumberFormat="1">
      <alignment vertical="center"/>
    </xf>
    <xf borderId="11" fillId="0" fontId="27" numFmtId="166" xfId="0" applyAlignment="1" applyBorder="1" applyFont="1" applyNumberFormat="1">
      <alignment horizontal="left"/>
    </xf>
    <xf borderId="11" fillId="0" fontId="28" numFmtId="166" xfId="0" applyAlignment="1" applyBorder="1" applyFont="1" applyNumberFormat="1">
      <alignment horizontal="left"/>
    </xf>
    <xf borderId="11" fillId="0" fontId="28" numFmtId="165" xfId="0" applyAlignment="1" applyBorder="1" applyFont="1" applyNumberFormat="1">
      <alignment horizontal="right"/>
    </xf>
    <xf borderId="11" fillId="0" fontId="28" numFmtId="165" xfId="0" applyBorder="1" applyFont="1" applyNumberFormat="1"/>
    <xf borderId="11" fillId="3" fontId="9" numFmtId="166" xfId="0" applyAlignment="1" applyBorder="1" applyFont="1" applyNumberFormat="1">
      <alignment horizontal="left" shrinkToFit="0" vertical="center" wrapText="1"/>
    </xf>
    <xf borderId="11" fillId="3" fontId="27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1" fillId="4" fontId="28" numFmtId="166" xfId="0" applyAlignment="1" applyBorder="1" applyFill="1" applyFont="1" applyNumberFormat="1">
      <alignment horizontal="left" shrinkToFit="0" vertical="center" wrapText="1"/>
    </xf>
    <xf borderId="11" fillId="0" fontId="28" numFmtId="166" xfId="0" applyAlignment="1" applyBorder="1" applyFont="1" applyNumberFormat="1">
      <alignment shrinkToFit="0" vertical="center" wrapText="1"/>
    </xf>
    <xf borderId="11" fillId="2" fontId="27" numFmtId="166" xfId="0" applyAlignment="1" applyBorder="1" applyFont="1" applyNumberFormat="1">
      <alignment horizontal="left" shrinkToFit="0" vertical="center" wrapText="1"/>
    </xf>
    <xf borderId="11" fillId="0" fontId="29" numFmtId="166" xfId="0" applyAlignment="1" applyBorder="1" applyFont="1" applyNumberFormat="1">
      <alignment horizontal="left" shrinkToFit="0" vertical="center" wrapText="1"/>
    </xf>
    <xf borderId="11" fillId="0" fontId="29" numFmtId="0" xfId="0" applyAlignment="1" applyBorder="1" applyFont="1">
      <alignment horizontal="left" shrinkToFit="0" vertical="center" wrapText="1"/>
    </xf>
    <xf borderId="11" fillId="3" fontId="6" numFmtId="166" xfId="0" applyAlignment="1" applyBorder="1" applyFont="1" applyNumberFormat="1">
      <alignment horizontal="left" shrinkToFit="0" vertical="center" wrapText="1"/>
    </xf>
    <xf borderId="11" fillId="3" fontId="30" numFmtId="166" xfId="0" applyAlignment="1" applyBorder="1" applyFont="1" applyNumberFormat="1">
      <alignment horizontal="left" shrinkToFit="0" vertical="center" wrapText="1"/>
    </xf>
    <xf borderId="11" fillId="3" fontId="31" numFmtId="166" xfId="0" applyAlignment="1" applyBorder="1" applyFont="1" applyNumberFormat="1">
      <alignment horizontal="left" shrinkToFit="0" vertical="center" wrapText="1"/>
    </xf>
    <xf borderId="11" fillId="3" fontId="32" numFmtId="166" xfId="0" applyAlignment="1" applyBorder="1" applyFont="1" applyNumberFormat="1">
      <alignment horizontal="left" shrinkToFit="0" vertical="center" wrapText="1"/>
    </xf>
    <xf borderId="11" fillId="3" fontId="28" numFmtId="166" xfId="0" applyAlignment="1" applyBorder="1" applyFont="1" applyNumberFormat="1">
      <alignment shrinkToFit="0" vertical="center" wrapText="1"/>
    </xf>
    <xf borderId="11" fillId="3" fontId="27" numFmtId="166" xfId="0" applyAlignment="1" applyBorder="1" applyFont="1" applyNumberFormat="1">
      <alignment horizontal="center" shrinkToFit="0" vertical="center" wrapText="1"/>
    </xf>
    <xf borderId="11" fillId="0" fontId="6" numFmtId="4" xfId="0" applyAlignment="1" applyBorder="1" applyFont="1" applyNumberFormat="1">
      <alignment readingOrder="0"/>
    </xf>
    <xf borderId="12" fillId="3" fontId="27" numFmtId="166" xfId="0" applyAlignment="1" applyBorder="1" applyFont="1" applyNumberFormat="1">
      <alignment horizontal="center" shrinkToFit="0" vertical="center" wrapText="1"/>
    </xf>
    <xf borderId="0" fillId="0" fontId="9" numFmtId="166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3" numFmtId="4" xfId="0" applyFont="1" applyNumberFormat="1"/>
    <xf borderId="12" fillId="3" fontId="12" numFmtId="164" xfId="0" applyAlignment="1" applyBorder="1" applyFont="1" applyNumberFormat="1">
      <alignment shrinkToFit="0" wrapText="1"/>
    </xf>
    <xf borderId="12" fillId="3" fontId="12" numFmtId="166" xfId="0" applyAlignment="1" applyBorder="1" applyFont="1" applyNumberFormat="1">
      <alignment shrinkToFit="0" wrapText="1"/>
    </xf>
    <xf borderId="12" fillId="3" fontId="12" numFmtId="164" xfId="0" applyAlignment="1" applyBorder="1" applyFont="1" applyNumberFormat="1">
      <alignment vertical="top"/>
    </xf>
    <xf borderId="12" fillId="3" fontId="17" numFmtId="0" xfId="0" applyBorder="1" applyFont="1"/>
    <xf borderId="12" fillId="3" fontId="17" numFmtId="164" xfId="0" applyBorder="1" applyFont="1" applyNumberFormat="1"/>
    <xf borderId="0" fillId="0" fontId="17" numFmtId="164" xfId="0" applyFont="1" applyNumberFormat="1"/>
    <xf borderId="0" fillId="0" fontId="12" numFmtId="0" xfId="0" applyAlignment="1" applyFont="1">
      <alignment vertical="center"/>
    </xf>
    <xf borderId="0" fillId="0" fontId="12" numFmtId="4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4" xfId="0" applyAlignment="1" applyFont="1" applyNumberFormat="1">
      <alignment vertical="center"/>
    </xf>
    <xf borderId="12" fillId="3" fontId="12" numFmtId="0" xfId="0" applyBorder="1" applyFont="1"/>
    <xf borderId="12" fillId="3" fontId="33" numFmtId="164" xfId="0" applyBorder="1" applyFont="1" applyNumberFormat="1"/>
    <xf borderId="0" fillId="0" fontId="34" numFmtId="0" xfId="0" applyFont="1"/>
    <xf borderId="0" fillId="0" fontId="9" numFmtId="4" xfId="0" applyAlignment="1" applyFont="1" applyNumberFormat="1">
      <alignment vertical="bottom"/>
    </xf>
    <xf borderId="12" fillId="3" fontId="34" numFmtId="164" xfId="0" applyBorder="1" applyFont="1" applyNumberFormat="1"/>
    <xf borderId="12" fillId="3" fontId="35" numFmtId="164" xfId="0" applyBorder="1" applyFont="1" applyNumberFormat="1"/>
    <xf borderId="0" fillId="0" fontId="6" numFmtId="4" xfId="0" applyAlignment="1" applyFont="1" applyNumberFormat="1">
      <alignment vertical="bottom"/>
    </xf>
    <xf borderId="0" fillId="0" fontId="17" numFmtId="165" xfId="0" applyFont="1" applyNumberFormat="1"/>
    <xf borderId="0" fillId="0" fontId="5" numFmtId="166" xfId="0" applyAlignment="1" applyFont="1" applyNumberFormat="1">
      <alignment shrinkToFit="0" vertical="center" wrapText="1"/>
    </xf>
    <xf borderId="0" fillId="0" fontId="36" numFmtId="0" xfId="0" applyAlignment="1" applyFont="1">
      <alignment vertical="center"/>
    </xf>
    <xf borderId="0" fillId="0" fontId="9" numFmtId="0" xfId="0" applyFont="1"/>
    <xf borderId="11" fillId="0" fontId="6" numFmtId="166" xfId="0" applyAlignment="1" applyBorder="1" applyFont="1" applyNumberFormat="1">
      <alignment shrinkToFit="0" vertical="center" wrapText="1"/>
    </xf>
    <xf borderId="11" fillId="0" fontId="6" numFmtId="166" xfId="0" applyAlignment="1" applyBorder="1" applyFont="1" applyNumberFormat="1">
      <alignment horizontal="right" shrinkToFit="0" vertical="center" wrapText="1"/>
    </xf>
    <xf borderId="11" fillId="0" fontId="9" numFmtId="166" xfId="0" applyBorder="1" applyFont="1" applyNumberFormat="1"/>
    <xf borderId="11" fillId="0" fontId="6" numFmtId="166" xfId="0" applyAlignment="1" applyBorder="1" applyFont="1" applyNumberFormat="1">
      <alignment horizontal="right"/>
    </xf>
    <xf borderId="11" fillId="0" fontId="6" numFmtId="0" xfId="0" applyAlignment="1" applyBorder="1" applyFont="1">
      <alignment vertical="center"/>
    </xf>
    <xf borderId="11" fillId="0" fontId="6" numFmtId="169" xfId="0" applyAlignment="1" applyBorder="1" applyFont="1" applyNumberFormat="1">
      <alignment vertical="center"/>
    </xf>
    <xf borderId="11" fillId="0" fontId="9" numFmtId="169" xfId="0" applyAlignment="1" applyBorder="1" applyFont="1" applyNumberFormat="1">
      <alignment vertical="center"/>
    </xf>
    <xf borderId="11" fillId="0" fontId="9" numFmtId="2" xfId="0" applyBorder="1" applyFont="1" applyNumberFormat="1"/>
    <xf borderId="11" fillId="0" fontId="9" numFmtId="3" xfId="0" applyAlignment="1" applyBorder="1" applyFont="1" applyNumberFormat="1">
      <alignment horizontal="right"/>
    </xf>
    <xf borderId="11" fillId="0" fontId="9" numFmtId="166" xfId="0" applyAlignment="1" applyBorder="1" applyFont="1" applyNumberFormat="1">
      <alignment horizontal="right"/>
    </xf>
    <xf borderId="11" fillId="0" fontId="9" numFmtId="3" xfId="0" applyBorder="1" applyFont="1" applyNumberFormat="1"/>
    <xf borderId="11" fillId="0" fontId="6" numFmtId="4" xfId="0" applyAlignment="1" applyBorder="1" applyFont="1" applyNumberFormat="1">
      <alignment horizontal="right" vertical="center"/>
    </xf>
    <xf borderId="11" fillId="0" fontId="6" numFmtId="166" xfId="0" applyBorder="1" applyFont="1" applyNumberFormat="1"/>
    <xf borderId="11" fillId="0" fontId="6" numFmtId="4" xfId="0" applyAlignment="1" applyBorder="1" applyFont="1" applyNumberFormat="1">
      <alignment horizontal="right" readingOrder="0"/>
    </xf>
    <xf borderId="11" fillId="0" fontId="6" numFmtId="4" xfId="0" applyAlignment="1" applyBorder="1" applyFont="1" applyNumberFormat="1">
      <alignment horizontal="right"/>
    </xf>
    <xf borderId="0" fillId="0" fontId="6" numFmtId="0" xfId="0" applyAlignment="1" applyFont="1">
      <alignment horizontal="center" shrinkToFit="0" vertical="center" wrapText="1"/>
    </xf>
    <xf borderId="0" fillId="0" fontId="9" numFmtId="166" xfId="0" applyFont="1" applyNumberFormat="1"/>
    <xf borderId="12" fillId="3" fontId="9" numFmtId="164" xfId="0" applyAlignment="1" applyBorder="1" applyFont="1" applyNumberFormat="1">
      <alignment shrinkToFit="0" wrapText="1"/>
    </xf>
    <xf borderId="12" fillId="3" fontId="9" numFmtId="0" xfId="0" applyAlignment="1" applyBorder="1" applyFont="1">
      <alignment shrinkToFit="0" wrapText="1"/>
    </xf>
    <xf borderId="12" fillId="3" fontId="9" numFmtId="164" xfId="0" applyBorder="1" applyFont="1" applyNumberFormat="1"/>
    <xf borderId="0" fillId="0" fontId="9" numFmtId="164" xfId="0" applyFont="1" applyNumberFormat="1"/>
    <xf borderId="12" fillId="3" fontId="9" numFmtId="0" xfId="0" applyBorder="1" applyFont="1"/>
    <xf borderId="0" fillId="0" fontId="9" numFmtId="2" xfId="0" applyFont="1" applyNumberFormat="1"/>
    <xf borderId="0" fillId="0" fontId="9" numFmtId="4" xfId="0" applyFont="1" applyNumberFormat="1"/>
    <xf borderId="12" fillId="3" fontId="9" numFmtId="0" xfId="0" applyAlignment="1" applyBorder="1" applyFont="1">
      <alignment vertical="top"/>
    </xf>
    <xf borderId="12" fillId="2" fontId="9" numFmtId="0" xfId="0" applyAlignment="1" applyBorder="1" applyFont="1">
      <alignment vertical="center"/>
    </xf>
    <xf borderId="0" fillId="0" fontId="37" numFmtId="0" xfId="0" applyFont="1"/>
    <xf borderId="12" fillId="3" fontId="37" numFmtId="164" xfId="0" applyBorder="1" applyFont="1" applyNumberFormat="1"/>
    <xf borderId="0" fillId="0" fontId="6" numFmtId="166" xfId="0" applyAlignment="1" applyFont="1" applyNumberFormat="1">
      <alignment horizontal="right"/>
    </xf>
    <xf borderId="0" fillId="0" fontId="1" numFmtId="166" xfId="0" applyAlignment="1" applyFont="1" applyNumberFormat="1">
      <alignment vertical="center"/>
    </xf>
    <xf borderId="0" fillId="0" fontId="38" numFmtId="0" xfId="0" applyAlignment="1" applyFont="1">
      <alignment shrinkToFit="0" vertical="center" wrapText="1"/>
    </xf>
    <xf borderId="0" fillId="0" fontId="38" numFmtId="4" xfId="0" applyAlignment="1" applyFont="1" applyNumberFormat="1">
      <alignment shrinkToFit="0" vertical="center" wrapText="1"/>
    </xf>
    <xf borderId="0" fillId="0" fontId="1" numFmtId="0" xfId="0" applyAlignment="1" applyFont="1">
      <alignment vertical="center"/>
    </xf>
    <xf borderId="0" fillId="0" fontId="39" numFmtId="0" xfId="0" applyAlignment="1" applyFont="1">
      <alignment shrinkToFit="0" vertical="center" wrapText="1"/>
    </xf>
    <xf borderId="0" fillId="0" fontId="36" numFmtId="0" xfId="0" applyAlignment="1" applyFont="1">
      <alignment shrinkToFit="0" vertical="center" wrapText="1"/>
    </xf>
    <xf borderId="0" fillId="0" fontId="36" numFmtId="4" xfId="0" applyAlignment="1" applyFont="1" applyNumberFormat="1">
      <alignment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2" fillId="3" fontId="6" numFmtId="4" xfId="0" applyAlignment="1" applyBorder="1" applyFont="1" applyNumberFormat="1">
      <alignment horizontal="center" shrinkToFit="0" vertical="center" wrapText="1"/>
    </xf>
    <xf borderId="8" fillId="3" fontId="6" numFmtId="4" xfId="0" applyAlignment="1" applyBorder="1" applyFont="1" applyNumberFormat="1">
      <alignment horizontal="center" shrinkToFit="0" vertical="bottom" wrapText="1"/>
    </xf>
    <xf borderId="10" fillId="3" fontId="6" numFmtId="4" xfId="0" applyAlignment="1" applyBorder="1" applyFont="1" applyNumberFormat="1">
      <alignment horizontal="center" shrinkToFit="0" vertical="center" wrapText="1"/>
    </xf>
    <xf borderId="11" fillId="0" fontId="27" numFmtId="0" xfId="0" applyAlignment="1" applyBorder="1" applyFont="1">
      <alignment shrinkToFit="0" vertical="center" wrapText="1"/>
    </xf>
    <xf borderId="11" fillId="0" fontId="28" numFmtId="0" xfId="0" applyAlignment="1" applyBorder="1" applyFont="1">
      <alignment shrinkToFit="0" vertical="center" wrapText="1"/>
    </xf>
    <xf borderId="11" fillId="0" fontId="27" numFmtId="0" xfId="0" applyAlignment="1" applyBorder="1" applyFont="1">
      <alignment horizontal="right" vertical="center"/>
    </xf>
    <xf borderId="11" fillId="0" fontId="27" numFmtId="4" xfId="0" applyAlignment="1" applyBorder="1" applyFont="1" applyNumberFormat="1">
      <alignment horizontal="right" vertical="center"/>
    </xf>
    <xf borderId="11" fillId="0" fontId="28" numFmtId="4" xfId="0" applyAlignment="1" applyBorder="1" applyFont="1" applyNumberFormat="1">
      <alignment shrinkToFit="0" vertical="center" wrapText="1"/>
    </xf>
    <xf borderId="11" fillId="0" fontId="28" numFmtId="0" xfId="0" applyAlignment="1" applyBorder="1" applyFont="1">
      <alignment horizontal="center" shrinkToFit="0" vertical="center" wrapText="1"/>
    </xf>
    <xf borderId="11" fillId="0" fontId="28" numFmtId="0" xfId="0" applyAlignment="1" applyBorder="1" applyFont="1">
      <alignment horizontal="right" vertical="center"/>
    </xf>
    <xf borderId="11" fillId="0" fontId="28" numFmtId="4" xfId="0" applyAlignment="1" applyBorder="1" applyFont="1" applyNumberFormat="1">
      <alignment horizontal="right" vertical="center"/>
    </xf>
    <xf borderId="11" fillId="0" fontId="28" numFmtId="4" xfId="0" applyAlignment="1" applyBorder="1" applyFont="1" applyNumberFormat="1">
      <alignment horizontal="right" readingOrder="0" vertical="center"/>
    </xf>
    <xf borderId="11" fillId="0" fontId="27" numFmtId="0" xfId="0" applyAlignment="1" applyBorder="1" applyFont="1">
      <alignment readingOrder="0" vertical="center"/>
    </xf>
    <xf borderId="11" fillId="0" fontId="27" numFmtId="0" xfId="0" applyAlignment="1" applyBorder="1" applyFont="1">
      <alignment vertical="center"/>
    </xf>
    <xf borderId="11" fillId="0" fontId="27" numFmtId="0" xfId="0" applyAlignment="1" applyBorder="1" applyFont="1">
      <alignment readingOrder="0" shrinkToFit="0" vertical="center" wrapText="1"/>
    </xf>
    <xf borderId="11" fillId="3" fontId="40" numFmtId="0" xfId="0" applyAlignment="1" applyBorder="1" applyFont="1">
      <alignment shrinkToFit="0" vertical="center" wrapText="1"/>
    </xf>
    <xf borderId="11" fillId="0" fontId="28" numFmtId="0" xfId="0" applyAlignment="1" applyBorder="1" applyFont="1">
      <alignment horizontal="right" shrinkToFit="0" vertical="center" wrapText="1"/>
    </xf>
    <xf borderId="11" fillId="0" fontId="28" numFmtId="4" xfId="0" applyAlignment="1" applyBorder="1" applyFont="1" applyNumberFormat="1">
      <alignment horizontal="right" shrinkToFit="0" vertical="center" wrapText="1"/>
    </xf>
    <xf borderId="11" fillId="0" fontId="11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horizontal="right" shrinkToFit="0" vertical="center" wrapText="1"/>
    </xf>
    <xf borderId="11" fillId="0" fontId="11" numFmtId="4" xfId="0" applyAlignment="1" applyBorder="1" applyFont="1" applyNumberFormat="1">
      <alignment horizontal="right" shrinkToFit="0" vertical="center" wrapText="1"/>
    </xf>
    <xf borderId="11" fillId="0" fontId="27" numFmtId="4" xfId="0" applyAlignment="1" applyBorder="1" applyFont="1" applyNumberFormat="1">
      <alignment shrinkToFit="0" vertical="center" wrapText="1"/>
    </xf>
    <xf borderId="11" fillId="0" fontId="27" numFmtId="4" xfId="0" applyAlignment="1" applyBorder="1" applyFont="1" applyNumberFormat="1">
      <alignment horizontal="right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1" fillId="0" fontId="27" numFmtId="4" xfId="0" applyAlignment="1" applyBorder="1" applyFont="1" applyNumberFormat="1">
      <alignment horizontal="right" readingOrder="0" vertical="center"/>
    </xf>
    <xf borderId="11" fillId="0" fontId="28" numFmtId="0" xfId="0" applyAlignment="1" applyBorder="1" applyFont="1">
      <alignment readingOrder="0" shrinkToFit="0" vertical="center" wrapText="1"/>
    </xf>
    <xf borderId="11" fillId="0" fontId="28" numFmtId="4" xfId="0" applyAlignment="1" applyBorder="1" applyFont="1" applyNumberFormat="1">
      <alignment horizontal="left" readingOrder="0" shrinkToFit="0" vertical="center" wrapText="1"/>
    </xf>
    <xf borderId="11" fillId="0" fontId="27" numFmtId="0" xfId="0" applyAlignment="1" applyBorder="1" applyFont="1">
      <alignment horizontal="center" shrinkToFit="0" vertical="center" wrapText="1"/>
    </xf>
    <xf borderId="11" fillId="3" fontId="28" numFmtId="0" xfId="0" applyAlignment="1" applyBorder="1" applyFont="1">
      <alignment shrinkToFit="0" vertical="center" wrapText="1"/>
    </xf>
    <xf borderId="11" fillId="3" fontId="41" numFmtId="4" xfId="0" applyAlignment="1" applyBorder="1" applyFont="1" applyNumberFormat="1">
      <alignment horizontal="right" shrinkToFit="0" vertical="center" wrapText="1"/>
    </xf>
    <xf borderId="11" fillId="3" fontId="27" numFmtId="4" xfId="0" applyAlignment="1" applyBorder="1" applyFont="1" applyNumberFormat="1">
      <alignment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12" fillId="3" fontId="12" numFmtId="164" xfId="0" applyAlignment="1" applyBorder="1" applyFont="1" applyNumberFormat="1">
      <alignment shrinkToFit="0" vertical="center" wrapText="1"/>
    </xf>
    <xf borderId="0" fillId="0" fontId="17" numFmtId="4" xfId="0" applyAlignment="1" applyFont="1" applyNumberFormat="1">
      <alignment vertical="center"/>
    </xf>
    <xf borderId="12" fillId="3" fontId="17" numFmtId="164" xfId="0" applyAlignment="1" applyBorder="1" applyFont="1" applyNumberFormat="1">
      <alignment vertical="center"/>
    </xf>
    <xf borderId="12" fillId="3" fontId="17" numFmtId="0" xfId="0" applyAlignment="1" applyBorder="1" applyFont="1">
      <alignment vertical="center"/>
    </xf>
    <xf borderId="12" fillId="3" fontId="6" numFmtId="164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12" fillId="3" fontId="5" numFmtId="164" xfId="0" applyAlignment="1" applyBorder="1" applyFont="1" applyNumberFormat="1">
      <alignment vertical="center"/>
    </xf>
    <xf borderId="0" fillId="0" fontId="36" numFmtId="4" xfId="0" applyAlignment="1" applyFont="1" applyNumberFormat="1">
      <alignment vertical="center"/>
    </xf>
    <xf borderId="12" fillId="5" fontId="36" numFmtId="0" xfId="0" applyAlignment="1" applyBorder="1" applyFill="1" applyFont="1">
      <alignment shrinkToFit="0" vertical="center" wrapText="1"/>
    </xf>
    <xf borderId="12" fillId="5" fontId="36" numFmtId="4" xfId="0" applyAlignment="1" applyBorder="1" applyFont="1" applyNumberFormat="1">
      <alignment shrinkToFit="0" vertical="center" wrapText="1"/>
    </xf>
    <xf borderId="0" fillId="5" fontId="36" numFmtId="4" xfId="0" applyAlignment="1" applyFont="1" applyNumberFormat="1">
      <alignment shrinkToFit="0" vertical="center" wrapText="1"/>
    </xf>
    <xf borderId="0" fillId="0" fontId="1" numFmtId="0" xfId="0" applyAlignment="1" applyFont="1">
      <alignment horizontal="left"/>
    </xf>
    <xf borderId="0" fillId="0" fontId="1" numFmtId="166" xfId="0" applyFont="1" applyNumberFormat="1"/>
    <xf borderId="0" fillId="0" fontId="9" numFmtId="0" xfId="0" applyAlignment="1" applyFont="1">
      <alignment shrinkToFit="0" vertical="center" wrapText="1"/>
    </xf>
    <xf borderId="0" fillId="0" fontId="9" numFmtId="170" xfId="0" applyAlignment="1" applyFont="1" applyNumberFormat="1">
      <alignment shrinkToFit="0" vertical="center" wrapText="1"/>
    </xf>
    <xf borderId="0" fillId="0" fontId="1" numFmtId="0" xfId="0" applyFont="1"/>
    <xf borderId="4" fillId="3" fontId="6" numFmtId="3" xfId="0" applyAlignment="1" applyBorder="1" applyFont="1" applyNumberFormat="1">
      <alignment horizontal="center" readingOrder="0" shrinkToFit="0" vertical="center" wrapText="1"/>
    </xf>
    <xf borderId="2" fillId="3" fontId="8" numFmtId="3" xfId="0" applyAlignment="1" applyBorder="1" applyFont="1" applyNumberFormat="1">
      <alignment horizontal="center" shrinkToFit="0" vertical="center" wrapText="1"/>
    </xf>
    <xf borderId="1" fillId="3" fontId="6" numFmtId="165" xfId="0" applyAlignment="1" applyBorder="1" applyFont="1" applyNumberFormat="1">
      <alignment horizontal="center" shrinkToFit="0" vertical="center" wrapText="1"/>
    </xf>
    <xf borderId="1" fillId="3" fontId="6" numFmtId="4" xfId="0" applyAlignment="1" applyBorder="1" applyFont="1" applyNumberFormat="1">
      <alignment horizontal="center" shrinkToFit="0" vertical="center" wrapText="1"/>
    </xf>
    <xf borderId="11" fillId="0" fontId="6" numFmtId="170" xfId="0" applyAlignment="1" applyBorder="1" applyFont="1" applyNumberFormat="1">
      <alignment horizontal="right" shrinkToFit="0" vertical="center" wrapText="1"/>
    </xf>
    <xf borderId="11" fillId="0" fontId="9" numFmtId="170" xfId="0" applyAlignment="1" applyBorder="1" applyFont="1" applyNumberFormat="1">
      <alignment horizontal="right" shrinkToFit="0" vertical="center" wrapText="1"/>
    </xf>
    <xf borderId="11" fillId="0" fontId="9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horizontal="right" shrinkToFit="0" vertical="center" wrapText="1"/>
    </xf>
    <xf borderId="11" fillId="0" fontId="9" numFmtId="170" xfId="0" applyAlignment="1" applyBorder="1" applyFont="1" applyNumberFormat="1">
      <alignment shrinkToFit="0" vertical="center" wrapText="1"/>
    </xf>
    <xf borderId="11" fillId="0" fontId="6" numFmtId="4" xfId="0" applyAlignment="1" applyBorder="1" applyFont="1" applyNumberFormat="1">
      <alignment readingOrder="0" vertical="center"/>
    </xf>
    <xf borderId="11" fillId="0" fontId="6" numFmtId="4" xfId="0" applyAlignment="1" applyBorder="1" applyFont="1" applyNumberFormat="1">
      <alignment vertical="center"/>
    </xf>
    <xf borderId="12" fillId="3" fontId="9" numFmtId="0" xfId="0" applyAlignment="1" applyBorder="1" applyFont="1">
      <alignment shrinkToFit="0" vertical="center" wrapText="1"/>
    </xf>
    <xf borderId="12" fillId="3" fontId="9" numFmtId="170" xfId="0" applyAlignment="1" applyBorder="1" applyFont="1" applyNumberFormat="1">
      <alignment shrinkToFit="0" vertical="center" wrapText="1"/>
    </xf>
    <xf borderId="12" fillId="3" fontId="37" numFmtId="165" xfId="0" applyBorder="1" applyFont="1" applyNumberFormat="1"/>
    <xf borderId="12" fillId="3" fontId="9" numFmtId="165" xfId="0" applyAlignment="1" applyBorder="1" applyFont="1" applyNumberFormat="1">
      <alignment vertical="top"/>
    </xf>
    <xf borderId="0" fillId="0" fontId="9" numFmtId="170" xfId="0" applyAlignment="1" applyFont="1" applyNumberFormat="1">
      <alignment vertical="center"/>
    </xf>
    <xf borderId="12" fillId="3" fontId="6" numFmtId="0" xfId="0" applyAlignment="1" applyBorder="1" applyFont="1">
      <alignment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9" numFmtId="171" xfId="0" applyAlignment="1" applyFont="1" applyNumberFormat="1">
      <alignment shrinkToFit="0" vertical="center" wrapText="1"/>
    </xf>
    <xf borderId="0" fillId="0" fontId="9" numFmtId="4" xfId="0" applyAlignment="1" applyFont="1" applyNumberForma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11" fillId="0" fontId="9" numFmtId="171" xfId="0" applyAlignment="1" applyBorder="1" applyFont="1" applyNumberForma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shrinkToFit="0" vertical="center" wrapText="1"/>
    </xf>
    <xf borderId="11" fillId="0" fontId="9" numFmtId="171" xfId="0" applyAlignment="1" applyBorder="1" applyFont="1" applyNumberFormat="1">
      <alignment horizontal="right" shrinkToFit="0" vertical="center" wrapText="1"/>
    </xf>
    <xf borderId="11" fillId="3" fontId="6" numFmtId="171" xfId="0" applyAlignment="1" applyBorder="1" applyFont="1" applyNumberFormat="1">
      <alignment horizontal="right" shrinkToFit="0" vertical="center" wrapText="1"/>
    </xf>
    <xf borderId="11" fillId="0" fontId="6" numFmtId="171" xfId="0" applyAlignment="1" applyBorder="1" applyFont="1" applyNumberFormat="1">
      <alignment horizontal="right" shrinkToFit="0" vertical="center" wrapText="1"/>
    </xf>
    <xf borderId="11" fillId="3" fontId="9" numFmtId="164" xfId="0" applyAlignment="1" applyBorder="1" applyFont="1" applyNumberFormat="1">
      <alignment shrinkToFit="0" vertical="center" wrapText="1"/>
    </xf>
    <xf borderId="11" fillId="3" fontId="9" numFmtId="172" xfId="0" applyAlignment="1" applyBorder="1" applyFont="1" applyNumberFormat="1">
      <alignment vertical="center"/>
    </xf>
    <xf borderId="11" fillId="3" fontId="9" numFmtId="4" xfId="0" applyAlignment="1" applyBorder="1" applyFont="1" applyNumberFormat="1">
      <alignment shrinkToFit="0" vertical="center" wrapText="1"/>
    </xf>
    <xf borderId="12" fillId="3" fontId="9" numFmtId="164" xfId="0" applyAlignment="1" applyBorder="1" applyFont="1" applyNumberFormat="1">
      <alignment shrinkToFit="0" vertical="center" wrapText="1"/>
    </xf>
    <xf borderId="11" fillId="3" fontId="6" numFmtId="164" xfId="0" applyAlignment="1" applyBorder="1" applyFont="1" applyNumberFormat="1">
      <alignment horizontal="center" shrinkToFit="0" vertical="center" wrapText="1"/>
    </xf>
    <xf borderId="11" fillId="3" fontId="6" numFmtId="172" xfId="0" applyAlignment="1" applyBorder="1" applyFont="1" applyNumberFormat="1">
      <alignment vertical="center"/>
    </xf>
    <xf borderId="11" fillId="3" fontId="6" numFmtId="173" xfId="0" applyAlignment="1" applyBorder="1" applyFont="1" applyNumberFormat="1">
      <alignment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left" readingOrder="0" shrinkToFit="0" vertical="center" wrapText="1"/>
    </xf>
    <xf borderId="12" fillId="3" fontId="9" numFmtId="0" xfId="0" applyAlignment="1" applyBorder="1" applyFont="1">
      <alignment vertical="center"/>
    </xf>
    <xf borderId="11" fillId="3" fontId="28" numFmtId="0" xfId="0" applyAlignment="1" applyBorder="1" applyFont="1">
      <alignment horizontal="center" vertical="center"/>
    </xf>
    <xf borderId="11" fillId="0" fontId="28" numFmtId="0" xfId="0" applyAlignment="1" applyBorder="1" applyFont="1">
      <alignment horizontal="center" vertical="center"/>
    </xf>
    <xf borderId="11" fillId="0" fontId="9" numFmtId="171" xfId="0" applyAlignment="1" applyBorder="1" applyFont="1" applyNumberFormat="1">
      <alignment horizontal="right" vertical="center"/>
    </xf>
    <xf borderId="11" fillId="3" fontId="28" numFmtId="4" xfId="0" applyAlignment="1" applyBorder="1" applyFont="1" applyNumberFormat="1">
      <alignment horizontal="right" vertical="center"/>
    </xf>
    <xf borderId="4" fillId="3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center" wrapText="1"/>
    </xf>
    <xf borderId="12" fillId="7" fontId="9" numFmtId="0" xfId="0" applyAlignment="1" applyBorder="1" applyFont="1">
      <alignment shrinkToFit="0" vertical="center" wrapText="1"/>
    </xf>
    <xf borderId="0" fillId="7" fontId="42" numFmtId="0" xfId="0" applyFont="1"/>
    <xf borderId="13" fillId="0" fontId="6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shrinkToFit="0" vertical="center" wrapText="1"/>
    </xf>
    <xf borderId="11" fillId="3" fontId="28" numFmtId="171" xfId="0" applyAlignment="1" applyBorder="1" applyFont="1" applyNumberFormat="1">
      <alignment horizontal="right" vertical="center"/>
    </xf>
    <xf borderId="11" fillId="3" fontId="9" numFmtId="4" xfId="0" applyAlignment="1" applyBorder="1" applyFont="1" applyNumberFormat="1">
      <alignment horizontal="right"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6" fillId="3" fontId="9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readingOrder="0" shrinkToFit="0" vertical="center" wrapText="1"/>
    </xf>
    <xf borderId="11" fillId="3" fontId="28" numFmtId="171" xfId="0" applyAlignment="1" applyBorder="1" applyFont="1" applyNumberFormat="1">
      <alignment horizontal="right" readingOrder="0" vertical="center"/>
    </xf>
    <xf borderId="11" fillId="3" fontId="9" numFmtId="4" xfId="0" applyAlignment="1" applyBorder="1" applyFont="1" applyNumberFormat="1">
      <alignment horizontal="right" readingOrder="0" shrinkToFit="0" vertical="center" wrapText="1"/>
    </xf>
    <xf borderId="11" fillId="3" fontId="6" numFmtId="173" xfId="0" applyAlignment="1" applyBorder="1" applyFont="1" applyNumberFormat="1">
      <alignment vertical="center"/>
    </xf>
    <xf borderId="4" fillId="8" fontId="6" numFmtId="0" xfId="0" applyAlignment="1" applyBorder="1" applyFill="1" applyFont="1">
      <alignment horizontal="left" shrinkToFit="0" vertical="center" wrapText="1"/>
    </xf>
    <xf borderId="12" fillId="3" fontId="9" numFmtId="164" xfId="0" applyAlignment="1" applyBorder="1" applyFont="1" applyNumberFormat="1">
      <alignment vertical="top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71" xfId="0" applyAlignment="1" applyFont="1" applyNumberFormat="1">
      <alignment readingOrder="0" shrinkToFit="0" vertical="center" wrapText="1"/>
    </xf>
    <xf borderId="0" fillId="0" fontId="6" numFmtId="4" xfId="0" applyAlignment="1" applyFont="1" applyNumberFormat="1">
      <alignment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1" fillId="0" fontId="6" numFmtId="4" xfId="0" applyAlignment="1" applyBorder="1" applyFont="1" applyNumberFormat="1">
      <alignment readingOrder="0" shrinkToFit="0" vertical="center" wrapText="1"/>
    </xf>
    <xf borderId="11" fillId="0" fontId="6" numFmtId="171" xfId="0" applyAlignment="1" applyBorder="1" applyFont="1" applyNumberForma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71" xfId="0" applyAlignment="1" applyFont="1" applyNumberFormat="1">
      <alignment readingOrder="0" shrinkToFit="0" vertical="center" wrapText="1"/>
    </xf>
    <xf borderId="0" fillId="0" fontId="9" numFmtId="4" xfId="0" applyAlignment="1" applyFont="1" applyNumberFormat="1">
      <alignment readingOrder="0" shrinkToFit="0" vertical="center" wrapText="1"/>
    </xf>
    <xf borderId="0" fillId="0" fontId="43" numFmtId="0" xfId="0" applyAlignment="1" applyFont="1">
      <alignment horizontal="center" vertical="center"/>
    </xf>
    <xf borderId="0" fillId="0" fontId="39" numFmtId="0" xfId="0" applyFont="1"/>
    <xf borderId="0" fillId="0" fontId="44" numFmtId="0" xfId="0" applyFont="1"/>
    <xf borderId="0" fillId="0" fontId="38" numFmtId="0" xfId="0" applyFont="1"/>
    <xf borderId="0" fillId="0" fontId="38" numFmtId="0" xfId="0" applyAlignment="1" applyFont="1">
      <alignment horizontal="center"/>
    </xf>
    <xf borderId="0" fillId="0" fontId="45" numFmtId="0" xfId="0" applyFont="1"/>
    <xf borderId="0" fillId="0" fontId="46" numFmtId="0" xfId="0" applyFont="1"/>
    <xf borderId="3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0" fontId="6" numFmtId="0" xfId="0" applyAlignment="1" applyBorder="1" applyFont="1">
      <alignment horizontal="center" shrinkToFit="0" vertical="center" wrapText="1"/>
    </xf>
    <xf borderId="1" fillId="0" fontId="6" numFmtId="4" xfId="0" applyAlignment="1" applyBorder="1" applyFont="1" applyNumberFormat="1">
      <alignment horizontal="center" shrinkToFit="0" vertical="center" wrapText="1"/>
    </xf>
    <xf borderId="17" fillId="0" fontId="7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6" numFmtId="4" xfId="0" applyAlignment="1" applyBorder="1" applyFont="1" applyNumberFormat="1">
      <alignment horizontal="center" shrinkToFit="0" vertical="center" wrapText="1"/>
    </xf>
    <xf borderId="11" fillId="0" fontId="6" numFmtId="4" xfId="0" applyAlignment="1" applyBorder="1" applyFont="1" applyNumberFormat="1">
      <alignment horizontal="center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0" fontId="6" numFmtId="4" xfId="0" applyAlignment="1" applyBorder="1" applyFont="1" applyNumberFormat="1">
      <alignment horizontal="center" shrinkToFit="0" vertical="center" wrapText="1"/>
    </xf>
    <xf borderId="9" fillId="0" fontId="6" numFmtId="166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shrinkToFit="0" wrapText="1"/>
    </xf>
    <xf borderId="4" fillId="0" fontId="9" numFmtId="0" xfId="0" applyBorder="1" applyFont="1"/>
    <xf borderId="11" fillId="0" fontId="9" numFmtId="0" xfId="0" applyAlignment="1" applyBorder="1" applyFont="1">
      <alignment horizontal="right"/>
    </xf>
    <xf borderId="11" fillId="0" fontId="9" numFmtId="4" xfId="0" applyAlignment="1" applyBorder="1" applyFont="1" applyNumberFormat="1">
      <alignment horizontal="right"/>
    </xf>
    <xf borderId="4" fillId="0" fontId="6" numFmtId="0" xfId="0" applyAlignment="1" applyBorder="1" applyFont="1">
      <alignment shrinkToFit="0" wrapText="1"/>
    </xf>
    <xf borderId="12" fillId="2" fontId="3" numFmtId="0" xfId="0" applyBorder="1" applyFont="1"/>
    <xf borderId="12" fillId="3" fontId="47" numFmtId="0" xfId="0" applyBorder="1" applyFont="1"/>
    <xf borderId="18" fillId="3" fontId="12" numFmtId="0" xfId="0" applyAlignment="1" applyBorder="1" applyFont="1">
      <alignment shrinkToFit="0" wrapText="1"/>
    </xf>
    <xf borderId="19" fillId="0" fontId="7" numFmtId="0" xfId="0" applyBorder="1" applyFont="1"/>
    <xf borderId="18" fillId="3" fontId="12" numFmtId="164" xfId="0" applyBorder="1" applyFont="1" applyNumberFormat="1"/>
    <xf borderId="12" fillId="3" fontId="47" numFmtId="164" xfId="0" applyBorder="1" applyFont="1" applyNumberFormat="1"/>
    <xf borderId="12" fillId="3" fontId="47" numFmtId="164" xfId="0" applyAlignment="1" applyBorder="1" applyFont="1" applyNumberFormat="1">
      <alignment vertical="top"/>
    </xf>
    <xf borderId="0" fillId="0" fontId="12" numFmtId="0" xfId="0" applyFont="1"/>
    <xf borderId="12" fillId="3" fontId="17" numFmtId="165" xfId="0" applyBorder="1" applyFont="1" applyNumberFormat="1"/>
    <xf borderId="12" fillId="3" fontId="17" numFmtId="4" xfId="0" applyBorder="1" applyFont="1" applyNumberFormat="1"/>
    <xf borderId="12" fillId="3" fontId="37" numFmtId="0" xfId="0" applyBorder="1" applyFont="1"/>
    <xf borderId="18" fillId="3" fontId="6" numFmtId="164" xfId="0" applyBorder="1" applyFont="1" applyNumberFormat="1"/>
    <xf borderId="12" fillId="3" fontId="47" numFmtId="165" xfId="0" applyBorder="1" applyFont="1" applyNumberFormat="1"/>
    <xf borderId="12" fillId="3" fontId="47" numFmtId="166" xfId="0" applyBorder="1" applyFont="1" applyNumberFormat="1"/>
    <xf borderId="12" fillId="3" fontId="2" numFmtId="166" xfId="0" applyAlignment="1" applyBorder="1" applyFont="1" applyNumberFormat="1">
      <alignment vertical="center"/>
    </xf>
    <xf borderId="12" fillId="3" fontId="2" numFmtId="0" xfId="0" applyAlignment="1" applyBorder="1" applyFont="1">
      <alignment vertical="center"/>
    </xf>
    <xf borderId="12" fillId="3" fontId="1" numFmtId="49" xfId="0" applyAlignment="1" applyBorder="1" applyFont="1" applyNumberFormat="1">
      <alignment vertical="center"/>
    </xf>
    <xf borderId="12" fillId="3" fontId="48" numFmtId="166" xfId="0" applyAlignment="1" applyBorder="1" applyFont="1" applyNumberFormat="1">
      <alignment vertical="center"/>
    </xf>
    <xf borderId="12" fillId="3" fontId="49" numFmtId="166" xfId="0" applyAlignment="1" applyBorder="1" applyFont="1" applyNumberFormat="1">
      <alignment vertical="center"/>
    </xf>
    <xf borderId="20" fillId="3" fontId="49" numFmtId="0" xfId="0" applyAlignment="1" applyBorder="1" applyFont="1">
      <alignment vertical="center"/>
    </xf>
    <xf borderId="1" fillId="3" fontId="6" numFmtId="166" xfId="0" applyAlignment="1" applyBorder="1" applyFont="1" applyNumberFormat="1">
      <alignment horizontal="center" shrinkToFit="0" vertical="center" wrapText="1"/>
    </xf>
    <xf borderId="11" fillId="3" fontId="6" numFmtId="0" xfId="0" applyAlignment="1" applyBorder="1" applyFont="1">
      <alignment shrinkToFit="0" vertical="center" wrapText="1"/>
    </xf>
    <xf borderId="21" fillId="3" fontId="9" numFmtId="164" xfId="0" applyAlignment="1" applyBorder="1" applyFont="1" applyNumberFormat="1">
      <alignment shrinkToFit="0" vertical="center" wrapText="1"/>
    </xf>
    <xf borderId="11" fillId="3" fontId="6" numFmtId="166" xfId="0" applyAlignment="1" applyBorder="1" applyFont="1" applyNumberFormat="1">
      <alignment horizontal="right" shrinkToFit="0" vertical="center" wrapText="1"/>
    </xf>
    <xf borderId="11" fillId="3" fontId="9" numFmtId="166" xfId="0" applyAlignment="1" applyBorder="1" applyFont="1" applyNumberFormat="1">
      <alignment horizontal="right" shrinkToFit="0" vertical="center" wrapText="1"/>
    </xf>
    <xf borderId="11" fillId="3" fontId="6" numFmtId="166" xfId="0" applyAlignment="1" applyBorder="1" applyFont="1" applyNumberFormat="1">
      <alignment horizontal="right" readingOrder="0" shrinkToFit="0" vertical="center" wrapText="1"/>
    </xf>
    <xf borderId="21" fillId="3" fontId="9" numFmtId="166" xfId="0" applyAlignment="1" applyBorder="1" applyFont="1" applyNumberFormat="1">
      <alignment shrinkToFit="0" vertical="center" wrapText="1"/>
    </xf>
    <xf borderId="11" fillId="3" fontId="9" numFmtId="166" xfId="0" applyAlignment="1" applyBorder="1" applyFont="1" applyNumberFormat="1">
      <alignment shrinkToFit="0" vertical="center" wrapText="1"/>
    </xf>
    <xf borderId="21" fillId="3" fontId="9" numFmtId="164" xfId="0" applyAlignment="1" applyBorder="1" applyFont="1" applyNumberFormat="1">
      <alignment horizontal="center" shrinkToFit="0" vertical="center" wrapText="1"/>
    </xf>
    <xf borderId="11" fillId="3" fontId="9" numFmtId="164" xfId="0" applyAlignment="1" applyBorder="1" applyFont="1" applyNumberFormat="1">
      <alignment horizontal="center" shrinkToFit="0" vertical="center" wrapText="1"/>
    </xf>
    <xf borderId="11" fillId="3" fontId="9" numFmtId="166" xfId="0" applyAlignment="1" applyBorder="1" applyFont="1" applyNumberFormat="1">
      <alignment horizontal="right" readingOrder="0" shrinkToFit="0" vertical="center" wrapText="1"/>
    </xf>
    <xf borderId="21" fillId="3" fontId="9" numFmtId="0" xfId="0" applyAlignment="1" applyBorder="1" applyFont="1">
      <alignment shrinkToFit="0" vertical="center" wrapText="1"/>
    </xf>
    <xf borderId="21" fillId="3" fontId="9" numFmtId="0" xfId="0" applyAlignment="1" applyBorder="1" applyFont="1">
      <alignment horizontal="center" shrinkToFit="0" vertical="center" wrapText="1"/>
    </xf>
    <xf borderId="11" fillId="3" fontId="17" numFmtId="0" xfId="0" applyAlignment="1" applyBorder="1" applyFont="1">
      <alignment shrinkToFit="0" vertical="center" wrapText="1"/>
    </xf>
    <xf borderId="11" fillId="3" fontId="9" numFmtId="3" xfId="0" applyAlignment="1" applyBorder="1" applyFont="1" applyNumberFormat="1">
      <alignment horizontal="center" shrinkToFit="0" vertical="center" wrapText="1"/>
    </xf>
    <xf borderId="11" fillId="3" fontId="9" numFmtId="3" xfId="0" applyAlignment="1" applyBorder="1" applyFont="1" applyNumberFormat="1">
      <alignment shrinkToFit="0" vertical="center" wrapText="1"/>
    </xf>
    <xf borderId="11" fillId="3" fontId="6" numFmtId="4" xfId="0" applyAlignment="1" applyBorder="1" applyFont="1" applyNumberFormat="1">
      <alignment horizontal="right" shrinkToFit="0" vertical="center" wrapText="1"/>
    </xf>
    <xf borderId="11" fillId="3" fontId="28" numFmtId="164" xfId="0" applyAlignment="1" applyBorder="1" applyFont="1" applyNumberFormat="1">
      <alignment horizontal="center"/>
    </xf>
    <xf borderId="11" fillId="3" fontId="28" numFmtId="4" xfId="0" applyAlignment="1" applyBorder="1" applyFont="1" applyNumberFormat="1">
      <alignment horizontal="right"/>
    </xf>
    <xf borderId="11" fillId="3" fontId="9" numFmtId="3" xfId="0" applyAlignment="1" applyBorder="1" applyFont="1" applyNumberFormat="1">
      <alignment horizontal="right" shrinkToFit="0" vertical="center" wrapText="1"/>
    </xf>
    <xf borderId="11" fillId="3" fontId="9" numFmtId="165" xfId="0" applyAlignment="1" applyBorder="1" applyFont="1" applyNumberFormat="1">
      <alignment horizontal="center" shrinkToFit="0" vertical="center" wrapText="1"/>
    </xf>
    <xf borderId="11" fillId="3" fontId="9" numFmtId="164" xfId="0" applyAlignment="1" applyBorder="1" applyFont="1" applyNumberFormat="1">
      <alignment horizontal="right" shrinkToFit="0" vertical="center" wrapText="1"/>
    </xf>
    <xf borderId="11" fillId="3" fontId="9" numFmtId="2" xfId="0" applyAlignment="1" applyBorder="1" applyFont="1" applyNumberFormat="1">
      <alignment horizontal="right" shrinkToFit="0" vertical="center" wrapText="1"/>
    </xf>
    <xf borderId="22" fillId="3" fontId="9" numFmtId="164" xfId="0" applyAlignment="1" applyBorder="1" applyFont="1" applyNumberFormat="1">
      <alignment shrinkToFit="0" vertical="center" wrapText="1"/>
    </xf>
    <xf borderId="11" fillId="3" fontId="9" numFmtId="165" xfId="0" applyAlignment="1" applyBorder="1" applyFont="1" applyNumberFormat="1">
      <alignment shrinkToFit="0" vertical="center" wrapText="1"/>
    </xf>
    <xf borderId="11" fillId="3" fontId="9" numFmtId="2" xfId="0" applyAlignment="1" applyBorder="1" applyFont="1" applyNumberFormat="1">
      <alignment shrinkToFit="0" vertical="center" wrapText="1"/>
    </xf>
    <xf borderId="11" fillId="3" fontId="6" numFmtId="164" xfId="0" applyAlignment="1" applyBorder="1" applyFont="1" applyNumberFormat="1">
      <alignment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1" fillId="3" fontId="6" numFmtId="4" xfId="0" applyAlignment="1" applyBorder="1" applyFont="1" applyNumberFormat="1">
      <alignment horizontal="right" readingOrder="0" shrinkToFit="0" vertical="center" wrapText="1"/>
    </xf>
    <xf borderId="12" fillId="3" fontId="50" numFmtId="0" xfId="0" applyAlignment="1" applyBorder="1" applyFont="1">
      <alignment readingOrder="0" vertical="center"/>
    </xf>
    <xf borderId="0" fillId="3" fontId="17" numFmtId="165" xfId="0" applyFont="1" applyNumberFormat="1"/>
    <xf borderId="0" fillId="3" fontId="12" numFmtId="164" xfId="0" applyAlignment="1" applyFont="1" applyNumberFormat="1">
      <alignment shrinkToFit="0" vertical="center" wrapText="1"/>
    </xf>
    <xf borderId="0" fillId="3" fontId="5" numFmtId="0" xfId="0" applyAlignment="1" applyFont="1">
      <alignment vertical="center"/>
    </xf>
    <xf borderId="12" fillId="3" fontId="5" numFmtId="0" xfId="0" applyAlignment="1" applyBorder="1" applyFont="1">
      <alignment vertical="center"/>
    </xf>
    <xf borderId="0" fillId="0" fontId="2" numFmtId="166" xfId="0" applyAlignment="1" applyFont="1" applyNumberFormat="1">
      <alignment horizontal="center" vertical="center"/>
    </xf>
    <xf borderId="0" fillId="0" fontId="9" numFmtId="49" xfId="0" applyAlignment="1" applyFont="1" applyNumberFormat="1">
      <alignment vertical="center"/>
    </xf>
    <xf borderId="0" fillId="0" fontId="9" numFmtId="166" xfId="0" applyAlignment="1" applyFont="1" applyNumberFormat="1">
      <alignment horizontal="center" vertical="center"/>
    </xf>
    <xf borderId="11" fillId="3" fontId="6" numFmtId="166" xfId="0" applyAlignment="1" applyBorder="1" applyFont="1" applyNumberFormat="1">
      <alignment shrinkToFit="0" vertical="center" wrapText="1"/>
    </xf>
    <xf borderId="11" fillId="0" fontId="9" numFmtId="166" xfId="0" applyAlignment="1" applyBorder="1" applyFont="1" applyNumberFormat="1">
      <alignment horizontal="center" shrinkToFit="0" vertical="center" wrapText="1"/>
    </xf>
    <xf borderId="11" fillId="0" fontId="6" numFmtId="170" xfId="0" applyBorder="1" applyFont="1" applyNumberFormat="1"/>
    <xf borderId="11" fillId="0" fontId="9" numFmtId="170" xfId="0" applyAlignment="1" applyBorder="1" applyFont="1" applyNumberFormat="1">
      <alignment horizontal="right"/>
    </xf>
    <xf borderId="11" fillId="3" fontId="6" numFmtId="170" xfId="0" applyBorder="1" applyFont="1" applyNumberFormat="1"/>
    <xf borderId="11" fillId="3" fontId="9" numFmtId="170" xfId="0" applyBorder="1" applyFont="1" applyNumberFormat="1"/>
    <xf quotePrefix="1" borderId="11" fillId="3" fontId="9" numFmtId="0" xfId="0" applyAlignment="1" applyBorder="1" applyFont="1">
      <alignment shrinkToFit="0" vertical="center" wrapText="1"/>
    </xf>
    <xf borderId="11" fillId="0" fontId="10" numFmtId="1" xfId="0" applyAlignment="1" applyBorder="1" applyFont="1" applyNumberFormat="1">
      <alignment horizontal="right" shrinkToFit="0" vertical="center" wrapText="1"/>
    </xf>
    <xf borderId="11" fillId="0" fontId="10" numFmtId="4" xfId="0" applyAlignment="1" applyBorder="1" applyFont="1" applyNumberFormat="1">
      <alignment horizontal="right" shrinkToFit="0" vertical="center" wrapText="1"/>
    </xf>
    <xf borderId="11" fillId="0" fontId="10" numFmtId="2" xfId="0" applyAlignment="1" applyBorder="1" applyFont="1" applyNumberFormat="1">
      <alignment horizontal="right"/>
    </xf>
    <xf borderId="11" fillId="3" fontId="10" numFmtId="166" xfId="0" applyAlignment="1" applyBorder="1" applyFont="1" applyNumberFormat="1">
      <alignment shrinkToFit="0" vertical="center" wrapText="1"/>
    </xf>
    <xf borderId="11" fillId="0" fontId="10" numFmtId="0" xfId="0" applyAlignment="1" applyBorder="1" applyFont="1">
      <alignment shrinkToFit="0" vertical="center" wrapText="1"/>
    </xf>
    <xf borderId="9" fillId="3" fontId="51" numFmtId="0" xfId="0" applyAlignment="1" applyBorder="1" applyFont="1">
      <alignment horizontal="left" readingOrder="0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2" fillId="3" fontId="9" numFmtId="166" xfId="0" applyBorder="1" applyFont="1" applyNumberFormat="1"/>
    <xf borderId="0" fillId="2" fontId="9" numFmtId="164" xfId="0" applyAlignment="1" applyFont="1" applyNumberFormat="1">
      <alignment shrinkToFit="0" vertical="center" wrapText="1"/>
    </xf>
    <xf borderId="12" fillId="2" fontId="9" numFmtId="164" xfId="0" applyAlignment="1" applyBorder="1" applyFont="1" applyNumberFormat="1">
      <alignment shrinkToFit="0" vertical="center" wrapText="1"/>
    </xf>
    <xf borderId="0" fillId="0" fontId="9" numFmtId="0" xfId="0" applyAlignment="1" applyFont="1">
      <alignment horizontal="center" vertical="center"/>
    </xf>
    <xf borderId="4" fillId="0" fontId="6" numFmtId="0" xfId="0" applyAlignment="1" applyBorder="1" applyFont="1">
      <alignment shrinkToFit="0" vertical="center" wrapText="1"/>
    </xf>
    <xf borderId="11" fillId="0" fontId="28" numFmtId="3" xfId="0" applyAlignment="1" applyBorder="1" applyFont="1" applyNumberFormat="1">
      <alignment horizontal="center" shrinkToFit="0" vertical="center" wrapText="1"/>
    </xf>
    <xf borderId="11" fillId="0" fontId="28" numFmtId="170" xfId="0" applyAlignment="1" applyBorder="1" applyFont="1" applyNumberFormat="1">
      <alignment horizontal="center" shrinkToFit="0" vertical="center" wrapText="1"/>
    </xf>
    <xf borderId="11" fillId="0" fontId="28" numFmtId="3" xfId="0" applyAlignment="1" applyBorder="1" applyFont="1" applyNumberFormat="1">
      <alignment horizontal="right" shrinkToFit="0" vertical="center" wrapText="1"/>
    </xf>
    <xf borderId="11" fillId="0" fontId="28" numFmtId="166" xfId="0" applyAlignment="1" applyBorder="1" applyFont="1" applyNumberFormat="1">
      <alignment horizontal="right" shrinkToFit="0" vertical="center" wrapText="1"/>
    </xf>
    <xf borderId="11" fillId="0" fontId="9" numFmtId="3" xfId="0" applyAlignment="1" applyBorder="1" applyFont="1" applyNumberFormat="1">
      <alignment horizontal="right" shrinkToFit="0" vertical="center" wrapText="1"/>
    </xf>
    <xf borderId="11" fillId="0" fontId="6" numFmtId="3" xfId="0" applyAlignment="1" applyBorder="1" applyFont="1" applyNumberFormat="1">
      <alignment horizontal="center" shrinkToFit="0" vertical="center" wrapText="1"/>
    </xf>
    <xf borderId="11" fillId="0" fontId="6" numFmtId="170" xfId="0" applyAlignment="1" applyBorder="1" applyFont="1" applyNumberFormat="1">
      <alignment horizontal="center" shrinkToFit="0" vertical="center" wrapText="1"/>
    </xf>
    <xf borderId="12" fillId="2" fontId="32" numFmtId="0" xfId="0" applyAlignment="1" applyBorder="1" applyFont="1">
      <alignment horizontal="left" shrinkToFit="0" vertical="center" wrapText="1"/>
    </xf>
    <xf borderId="12" fillId="3" fontId="17" numFmtId="165" xfId="0" applyAlignment="1" applyBorder="1" applyFont="1" applyNumberFormat="1">
      <alignment vertical="center"/>
    </xf>
    <xf borderId="12" fillId="2" fontId="12" numFmtId="164" xfId="0" applyAlignment="1" applyBorder="1" applyFont="1" applyNumberFormat="1">
      <alignment shrinkToFit="0" vertical="center" wrapText="1"/>
    </xf>
    <xf borderId="0" fillId="0" fontId="47" numFmtId="0" xfId="0" applyFont="1"/>
    <xf borderId="11" fillId="6" fontId="6" numFmtId="0" xfId="0" applyAlignment="1" applyBorder="1" applyFont="1">
      <alignment horizontal="center" shrinkToFit="0" vertical="center" wrapText="1"/>
    </xf>
    <xf borderId="11" fillId="6" fontId="6" numFmtId="171" xfId="0" applyAlignment="1" applyBorder="1" applyFont="1" applyNumberFormat="1">
      <alignment horizontal="center" shrinkToFit="0" vertical="center" wrapText="1"/>
    </xf>
    <xf borderId="11" fillId="6" fontId="6" numFmtId="4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ont="1">
      <alignment readingOrder="0" shrinkToFit="0" wrapText="1"/>
    </xf>
    <xf borderId="11" fillId="3" fontId="9" numFmtId="0" xfId="0" applyAlignment="1" applyBorder="1" applyFont="1">
      <alignment horizontal="left" vertical="top"/>
    </xf>
    <xf borderId="11" fillId="3" fontId="9" numFmtId="0" xfId="0" applyAlignment="1" applyBorder="1" applyFont="1">
      <alignment vertical="top"/>
    </xf>
    <xf borderId="11" fillId="3" fontId="9" numFmtId="0" xfId="0" applyAlignment="1" applyBorder="1" applyFont="1">
      <alignment shrinkToFit="0" vertical="top" wrapText="1"/>
    </xf>
    <xf borderId="11" fillId="3" fontId="9" numFmtId="171" xfId="0" applyAlignment="1" applyBorder="1" applyFont="1" applyNumberFormat="1">
      <alignment horizontal="right" readingOrder="0" vertical="top"/>
    </xf>
    <xf borderId="11" fillId="3" fontId="9" numFmtId="4" xfId="0" applyAlignment="1" applyBorder="1" applyFont="1" applyNumberFormat="1">
      <alignment horizontal="right" vertical="top"/>
    </xf>
    <xf borderId="11" fillId="0" fontId="9" numFmtId="0" xfId="0" applyAlignment="1" applyBorder="1" applyFont="1">
      <alignment horizontal="left" vertical="top"/>
    </xf>
    <xf borderId="11" fillId="0" fontId="9" numFmtId="0" xfId="0" applyAlignment="1" applyBorder="1" applyFont="1">
      <alignment readingOrder="0" shrinkToFit="0" vertical="top" wrapText="1"/>
    </xf>
    <xf borderId="11" fillId="0" fontId="9" numFmtId="171" xfId="0" applyAlignment="1" applyBorder="1" applyFont="1" applyNumberFormat="1">
      <alignment horizontal="right" readingOrder="0" vertical="top"/>
    </xf>
    <xf borderId="11" fillId="0" fontId="9" numFmtId="4" xfId="0" applyAlignment="1" applyBorder="1" applyFont="1" applyNumberFormat="1">
      <alignment horizontal="right" vertical="top"/>
    </xf>
    <xf borderId="11" fillId="3" fontId="9" numFmtId="0" xfId="0" applyAlignment="1" applyBorder="1" applyFont="1">
      <alignment horizontal="left" readingOrder="0" shrinkToFit="0" vertical="top" wrapText="1"/>
    </xf>
    <xf borderId="0" fillId="0" fontId="43" numFmtId="0" xfId="0" applyAlignment="1" applyFont="1">
      <alignment horizontal="left" shrinkToFit="0" vertical="top" wrapText="1"/>
    </xf>
    <xf borderId="11" fillId="3" fontId="6" numFmtId="0" xfId="0" applyAlignment="1" applyBorder="1" applyFont="1">
      <alignment vertical="top"/>
    </xf>
    <xf borderId="11" fillId="3" fontId="3" numFmtId="0" xfId="0" applyAlignment="1" applyBorder="1" applyFont="1">
      <alignment vertical="top"/>
    </xf>
    <xf borderId="11" fillId="3" fontId="6" numFmtId="0" xfId="0" applyAlignment="1" applyBorder="1" applyFont="1">
      <alignment shrinkToFit="0" vertical="top" wrapText="1"/>
    </xf>
    <xf borderId="11" fillId="3" fontId="6" numFmtId="171" xfId="0" applyAlignment="1" applyBorder="1" applyFont="1" applyNumberFormat="1">
      <alignment horizontal="right" vertical="top"/>
    </xf>
    <xf borderId="11" fillId="3" fontId="6" numFmtId="4" xfId="0" applyAlignment="1" applyBorder="1" applyFont="1" applyNumberFormat="1">
      <alignment horizontal="right" vertical="top"/>
    </xf>
    <xf borderId="4" fillId="0" fontId="6" numFmtId="0" xfId="0" applyAlignment="1" applyBorder="1" applyFont="1">
      <alignment horizontal="center" vertical="top"/>
    </xf>
    <xf borderId="11" fillId="0" fontId="6" numFmtId="171" xfId="0" applyAlignment="1" applyBorder="1" applyFont="1" applyNumberFormat="1">
      <alignment horizontal="right" vertical="top"/>
    </xf>
    <xf borderId="11" fillId="0" fontId="6" numFmtId="4" xfId="0" applyAlignment="1" applyBorder="1" applyFont="1" applyNumberFormat="1">
      <alignment horizontal="right" vertical="top"/>
    </xf>
    <xf borderId="18" fillId="3" fontId="32" numFmtId="0" xfId="0" applyAlignment="1" applyBorder="1" applyFont="1">
      <alignment shrinkToFit="0" vertical="top" wrapText="1"/>
    </xf>
    <xf borderId="12" fillId="3" fontId="3" numFmtId="166" xfId="0" applyBorder="1" applyFont="1" applyNumberFormat="1"/>
    <xf borderId="0" fillId="0" fontId="1" numFmtId="0" xfId="0" applyAlignment="1" applyFont="1">
      <alignment horizontal="center" shrinkToFit="0" wrapText="1"/>
    </xf>
    <xf borderId="0" fillId="0" fontId="52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3" fontId="17" numFmtId="3" xfId="0" applyFont="1" applyNumberFormat="1"/>
    <xf borderId="1" fillId="6" fontId="6" numFmtId="0" xfId="0" applyAlignment="1" applyBorder="1" applyFont="1">
      <alignment horizontal="center" readingOrder="0" vertical="center"/>
    </xf>
    <xf borderId="23" fillId="9" fontId="8" numFmtId="0" xfId="0" applyAlignment="1" applyBorder="1" applyFill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shrinkToFit="0" wrapText="1"/>
    </xf>
    <xf borderId="23" fillId="4" fontId="8" numFmtId="0" xfId="0" applyAlignment="1" applyBorder="1" applyFont="1">
      <alignment horizontal="center" shrinkToFit="0" vertical="center" wrapText="1"/>
    </xf>
    <xf borderId="24" fillId="0" fontId="7" numFmtId="0" xfId="0" applyBorder="1" applyFont="1"/>
    <xf borderId="11" fillId="4" fontId="8" numFmtId="166" xfId="0" applyAlignment="1" applyBorder="1" applyFont="1" applyNumberFormat="1">
      <alignment horizontal="center" shrinkToFit="0" wrapText="1"/>
    </xf>
    <xf borderId="11" fillId="4" fontId="6" numFmtId="3" xfId="0" applyAlignment="1" applyBorder="1" applyFont="1" applyNumberFormat="1">
      <alignment horizontal="center" shrinkToFit="0" wrapText="1"/>
    </xf>
    <xf borderId="25" fillId="0" fontId="7" numFmtId="0" xfId="0" applyBorder="1" applyFont="1"/>
    <xf borderId="11" fillId="3" fontId="9" numFmtId="170" xfId="0" applyAlignment="1" applyBorder="1" applyFont="1" applyNumberFormat="1">
      <alignment vertical="center"/>
    </xf>
    <xf borderId="4" fillId="3" fontId="9" numFmtId="170" xfId="0" applyAlignment="1" applyBorder="1" applyFont="1" applyNumberFormat="1">
      <alignment vertical="center"/>
    </xf>
    <xf borderId="11" fillId="3" fontId="9" numFmtId="4" xfId="0" applyAlignment="1" applyBorder="1" applyFont="1" applyNumberFormat="1">
      <alignment horizontal="right"/>
    </xf>
    <xf borderId="11" fillId="0" fontId="9" numFmtId="170" xfId="0" applyAlignment="1" applyBorder="1" applyFont="1" applyNumberFormat="1">
      <alignment vertical="center"/>
    </xf>
    <xf borderId="4" fillId="0" fontId="9" numFmtId="170" xfId="0" applyAlignment="1" applyBorder="1" applyFont="1" applyNumberFormat="1">
      <alignment vertical="center"/>
    </xf>
    <xf borderId="11" fillId="3" fontId="9" numFmtId="4" xfId="0" applyAlignment="1" applyBorder="1" applyFont="1" applyNumberFormat="1">
      <alignment horizontal="center" shrinkToFit="0" wrapText="1"/>
    </xf>
    <xf borderId="11" fillId="0" fontId="17" numFmtId="4" xfId="0" applyBorder="1" applyFont="1" applyNumberFormat="1"/>
    <xf borderId="11" fillId="0" fontId="9" numFmtId="170" xfId="0" applyAlignment="1" applyBorder="1" applyFont="1" applyNumberFormat="1">
      <alignment horizontal="right" vertical="center"/>
    </xf>
    <xf borderId="4" fillId="0" fontId="6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11" fillId="0" fontId="9" numFmtId="0" xfId="0" applyAlignment="1" applyBorder="1" applyFont="1">
      <alignment horizontal="left" vertical="center"/>
    </xf>
    <xf borderId="4" fillId="0" fontId="10" numFmtId="170" xfId="0" applyAlignment="1" applyBorder="1" applyFont="1" applyNumberFormat="1">
      <alignment vertical="center"/>
    </xf>
    <xf borderId="11" fillId="0" fontId="17" numFmtId="170" xfId="0" applyBorder="1" applyFont="1" applyNumberFormat="1"/>
    <xf borderId="4" fillId="0" fontId="17" numFmtId="170" xfId="0" applyBorder="1" applyFont="1" applyNumberFormat="1"/>
    <xf borderId="11" fillId="0" fontId="6" numFmtId="170" xfId="0" applyAlignment="1" applyBorder="1" applyFont="1" applyNumberFormat="1">
      <alignment horizontal="right"/>
    </xf>
    <xf borderId="11" fillId="0" fontId="10" numFmtId="170" xfId="0" applyAlignment="1" applyBorder="1" applyFont="1" applyNumberFormat="1">
      <alignment vertical="center"/>
    </xf>
    <xf borderId="11" fillId="0" fontId="9" numFmtId="164" xfId="0" applyBorder="1" applyFont="1" applyNumberFormat="1"/>
    <xf borderId="11" fillId="0" fontId="6" numFmtId="0" xfId="0" applyAlignment="1" applyBorder="1" applyFont="1">
      <alignment horizontal="center" vertical="center"/>
    </xf>
    <xf borderId="11" fillId="0" fontId="6" numFmtId="170" xfId="0" applyAlignment="1" applyBorder="1" applyFont="1" applyNumberFormat="1">
      <alignment vertical="center"/>
    </xf>
    <xf borderId="11" fillId="3" fontId="6" numFmtId="4" xfId="0" applyAlignment="1" applyBorder="1" applyFont="1" applyNumberFormat="1">
      <alignment horizontal="right"/>
    </xf>
    <xf borderId="10" fillId="0" fontId="6" numFmtId="170" xfId="0" applyAlignment="1" applyBorder="1" applyFont="1" applyNumberFormat="1">
      <alignment vertical="center"/>
    </xf>
    <xf borderId="0" fillId="0" fontId="46" numFmtId="0" xfId="0" applyAlignment="1" applyFont="1">
      <alignment vertical="center"/>
    </xf>
    <xf borderId="26" fillId="3" fontId="17" numFmtId="165" xfId="0" applyBorder="1" applyFont="1" applyNumberFormat="1"/>
    <xf borderId="26" fillId="3" fontId="17" numFmtId="164" xfId="0" applyBorder="1" applyFont="1" applyNumberFormat="1"/>
    <xf borderId="0" fillId="0" fontId="17" numFmtId="0" xfId="0" applyFont="1"/>
    <xf borderId="0" fillId="0" fontId="17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0.71"/>
    <col customWidth="1" min="2" max="2" width="25.29"/>
    <col customWidth="1" min="3" max="5" width="24.29"/>
    <col customWidth="1" min="6" max="12" width="20.0"/>
    <col customWidth="1" min="13" max="13" width="32.0"/>
  </cols>
  <sheetData>
    <row r="1" ht="26.25" customHeight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5"/>
      <c r="L1" s="4"/>
      <c r="M1" s="4"/>
    </row>
    <row r="2" ht="21.0" customHeight="1">
      <c r="A2" s="6" t="s">
        <v>1</v>
      </c>
      <c r="B2" s="3"/>
      <c r="C2" s="3"/>
      <c r="D2" s="3"/>
      <c r="E2" s="3"/>
      <c r="F2" s="3"/>
      <c r="G2" s="7"/>
      <c r="H2" s="8"/>
      <c r="K2" s="5"/>
      <c r="L2" s="7"/>
      <c r="M2" s="7"/>
    </row>
    <row r="3" ht="27.0" customHeight="1">
      <c r="A3" s="9" t="s">
        <v>2</v>
      </c>
      <c r="B3" s="2"/>
      <c r="C3" s="3"/>
      <c r="D3" s="3"/>
      <c r="E3" s="3"/>
      <c r="F3" s="3"/>
      <c r="G3" s="7"/>
      <c r="K3" s="7"/>
      <c r="L3" s="7"/>
      <c r="M3" s="7"/>
    </row>
    <row r="4" ht="21.75" customHeight="1">
      <c r="A4" s="9" t="s">
        <v>3</v>
      </c>
      <c r="B4" s="2"/>
      <c r="C4" s="3"/>
      <c r="D4" s="3"/>
      <c r="E4" s="3"/>
      <c r="F4" s="3"/>
      <c r="G4" s="7"/>
      <c r="K4" s="7"/>
      <c r="L4" s="7"/>
      <c r="M4" s="7"/>
    </row>
    <row r="5" ht="21.75" customHeight="1">
      <c r="A5" s="9" t="s">
        <v>4</v>
      </c>
      <c r="B5" s="2"/>
      <c r="C5" s="3"/>
      <c r="D5" s="3"/>
      <c r="E5" s="3"/>
      <c r="F5" s="3"/>
      <c r="G5" s="7"/>
      <c r="H5" s="7"/>
      <c r="I5" s="7"/>
      <c r="J5" s="7"/>
      <c r="K5" s="7"/>
      <c r="L5" s="7"/>
      <c r="M5" s="7"/>
    </row>
    <row r="6" ht="15.75" customHeight="1">
      <c r="A6" s="10"/>
      <c r="B6" s="11"/>
      <c r="C6" s="10"/>
      <c r="D6" s="10"/>
      <c r="E6" s="10"/>
      <c r="F6" s="10"/>
      <c r="G6" s="7"/>
      <c r="H6" s="7"/>
      <c r="I6" s="7"/>
      <c r="J6" s="7"/>
      <c r="K6" s="7"/>
      <c r="L6" s="7"/>
      <c r="M6" s="7"/>
    </row>
    <row r="7">
      <c r="A7" s="12" t="s">
        <v>5</v>
      </c>
      <c r="B7" s="12" t="s">
        <v>6</v>
      </c>
      <c r="C7" s="13" t="s">
        <v>7</v>
      </c>
      <c r="D7" s="14"/>
      <c r="E7" s="15" t="s">
        <v>8</v>
      </c>
      <c r="F7" s="14"/>
      <c r="G7" s="16" t="s">
        <v>9</v>
      </c>
      <c r="H7" s="17"/>
      <c r="I7" s="17"/>
      <c r="J7" s="17"/>
      <c r="K7" s="17"/>
      <c r="L7" s="18"/>
      <c r="M7" s="19" t="s">
        <v>10</v>
      </c>
    </row>
    <row r="8">
      <c r="A8" s="20"/>
      <c r="B8" s="20"/>
      <c r="C8" s="21"/>
      <c r="D8" s="22"/>
      <c r="E8" s="21"/>
      <c r="F8" s="22"/>
      <c r="G8" s="16" t="s">
        <v>11</v>
      </c>
      <c r="H8" s="18"/>
      <c r="I8" s="16" t="s">
        <v>12</v>
      </c>
      <c r="J8" s="18"/>
      <c r="K8" s="16" t="s">
        <v>13</v>
      </c>
      <c r="L8" s="18"/>
      <c r="M8" s="20"/>
    </row>
    <row r="9">
      <c r="A9" s="20"/>
      <c r="B9" s="20"/>
      <c r="C9" s="23" t="s">
        <v>14</v>
      </c>
      <c r="D9" s="24" t="s">
        <v>15</v>
      </c>
      <c r="E9" s="25" t="s">
        <v>16</v>
      </c>
      <c r="F9" s="14"/>
      <c r="G9" s="26" t="s">
        <v>17</v>
      </c>
      <c r="H9" s="27" t="s">
        <v>18</v>
      </c>
      <c r="I9" s="26" t="s">
        <v>17</v>
      </c>
      <c r="J9" s="27" t="s">
        <v>18</v>
      </c>
      <c r="K9" s="26" t="s">
        <v>17</v>
      </c>
      <c r="L9" s="27" t="s">
        <v>18</v>
      </c>
      <c r="M9" s="20"/>
    </row>
    <row r="10" ht="60.75" customHeight="1">
      <c r="A10" s="28"/>
      <c r="B10" s="28"/>
      <c r="C10" s="28"/>
      <c r="D10" s="28"/>
      <c r="E10" s="29" t="s">
        <v>17</v>
      </c>
      <c r="F10" s="27" t="s">
        <v>18</v>
      </c>
      <c r="G10" s="28"/>
      <c r="H10" s="28"/>
      <c r="I10" s="28"/>
      <c r="J10" s="28"/>
      <c r="K10" s="28"/>
      <c r="L10" s="28"/>
      <c r="M10" s="28"/>
    </row>
    <row r="11">
      <c r="A11" s="30" t="s">
        <v>19</v>
      </c>
      <c r="B11" s="31"/>
      <c r="C11" s="32">
        <f t="shared" ref="C11:D11" si="1">C12+C22</f>
        <v>0</v>
      </c>
      <c r="D11" s="32">
        <f t="shared" si="1"/>
        <v>140386.48</v>
      </c>
      <c r="E11" s="33"/>
      <c r="F11" s="32">
        <f>F12+F22</f>
        <v>253198.7942</v>
      </c>
      <c r="G11" s="34"/>
      <c r="H11" s="32">
        <f>H12+H22</f>
        <v>268699.1288</v>
      </c>
      <c r="I11" s="34"/>
      <c r="J11" s="32">
        <f>J12+J22</f>
        <v>24078.75971</v>
      </c>
      <c r="K11" s="34"/>
      <c r="L11" s="32">
        <f>L12+L22</f>
        <v>381899.7777</v>
      </c>
      <c r="M11" s="34"/>
    </row>
    <row r="12">
      <c r="A12" s="30" t="s">
        <v>20</v>
      </c>
      <c r="B12" s="31"/>
      <c r="C12" s="32"/>
      <c r="D12" s="32">
        <f>SUM(D13:D17)</f>
        <v>140386.48</v>
      </c>
      <c r="E12" s="35"/>
      <c r="F12" s="34">
        <f>SUM(F14:F17)</f>
        <v>253198.7942</v>
      </c>
      <c r="G12" s="34"/>
      <c r="H12" s="34">
        <f>SUM(H14:H17)</f>
        <v>268699.1288</v>
      </c>
      <c r="I12" s="34"/>
      <c r="J12" s="34">
        <f>SUM(J14:J17)</f>
        <v>24078.75971</v>
      </c>
      <c r="K12" s="34"/>
      <c r="L12" s="34">
        <f>SUM(L15:L19)</f>
        <v>381899.7777</v>
      </c>
      <c r="M12" s="34"/>
    </row>
    <row r="13">
      <c r="A13" s="36" t="s">
        <v>21</v>
      </c>
      <c r="B13" s="37" t="s">
        <v>22</v>
      </c>
      <c r="C13" s="38">
        <v>17769.0</v>
      </c>
      <c r="D13" s="39">
        <f>C13*0.92</f>
        <v>16347.48</v>
      </c>
      <c r="E13" s="33"/>
      <c r="F13" s="40"/>
      <c r="G13" s="34"/>
      <c r="H13" s="34"/>
      <c r="I13" s="34"/>
      <c r="J13" s="34"/>
      <c r="K13" s="34"/>
      <c r="L13" s="34"/>
      <c r="M13" s="34"/>
    </row>
    <row r="14">
      <c r="A14" s="41" t="s">
        <v>23</v>
      </c>
      <c r="B14" s="37" t="s">
        <v>22</v>
      </c>
      <c r="C14" s="38">
        <v>11479.0</v>
      </c>
      <c r="D14" s="42">
        <v>11479.0</v>
      </c>
      <c r="E14" s="33"/>
      <c r="F14" s="40"/>
      <c r="G14" s="34"/>
      <c r="H14" s="34"/>
      <c r="I14" s="34"/>
      <c r="J14" s="34"/>
      <c r="K14" s="34"/>
      <c r="L14" s="34"/>
      <c r="M14" s="34"/>
    </row>
    <row r="15">
      <c r="A15" s="41" t="s">
        <v>24</v>
      </c>
      <c r="B15" s="43" t="s">
        <v>25</v>
      </c>
      <c r="C15" s="38">
        <v>13400.0</v>
      </c>
      <c r="D15" s="39">
        <f>C15*3.4</f>
        <v>45560</v>
      </c>
      <c r="E15" s="38">
        <v>26962.5452802273</v>
      </c>
      <c r="F15" s="44">
        <v>91672.6539527729</v>
      </c>
      <c r="G15" s="45">
        <v>28050.0</v>
      </c>
      <c r="H15" s="46">
        <f>56100677.32/1000</f>
        <v>56100.67732</v>
      </c>
      <c r="I15" s="47">
        <v>2575.27</v>
      </c>
      <c r="J15" s="46">
        <f>5150536.84/1000</f>
        <v>5150.53684</v>
      </c>
      <c r="K15" s="34">
        <f t="shared" ref="K15:L15" si="2">G15+I15</f>
        <v>30625.27</v>
      </c>
      <c r="L15" s="34">
        <f t="shared" si="2"/>
        <v>61251.21416</v>
      </c>
      <c r="M15" s="48" t="s">
        <v>26</v>
      </c>
    </row>
    <row r="16">
      <c r="A16" s="41" t="s">
        <v>27</v>
      </c>
      <c r="B16" s="43" t="s">
        <v>25</v>
      </c>
      <c r="C16" s="33"/>
      <c r="D16" s="39"/>
      <c r="E16" s="38">
        <v>7856.8864157334</v>
      </c>
      <c r="F16" s="44">
        <v>26713.4138134936</v>
      </c>
      <c r="G16" s="47">
        <v>8123.04</v>
      </c>
      <c r="H16" s="46">
        <f>16246080.81/1000</f>
        <v>16246.08081</v>
      </c>
      <c r="I16" s="46"/>
      <c r="J16" s="46"/>
      <c r="K16" s="34">
        <f t="shared" ref="K16:L16" si="3">G16+I16</f>
        <v>8123.04</v>
      </c>
      <c r="L16" s="34">
        <f t="shared" si="3"/>
        <v>16246.08081</v>
      </c>
      <c r="M16" s="20"/>
    </row>
    <row r="17">
      <c r="A17" s="41" t="s">
        <v>28</v>
      </c>
      <c r="B17" s="43" t="s">
        <v>25</v>
      </c>
      <c r="C17" s="38">
        <v>13400.0</v>
      </c>
      <c r="D17" s="39">
        <f>C17*5</f>
        <v>67000</v>
      </c>
      <c r="E17" s="38">
        <v>26962.5452802273</v>
      </c>
      <c r="F17" s="44">
        <v>134812.726401137</v>
      </c>
      <c r="G17" s="45">
        <v>28050.0</v>
      </c>
      <c r="H17" s="46">
        <f>196352370.62/1000</f>
        <v>196352.3706</v>
      </c>
      <c r="I17" s="47">
        <v>2575.27</v>
      </c>
      <c r="J17" s="46">
        <f>18928222.87/1000</f>
        <v>18928.22287</v>
      </c>
      <c r="K17" s="34">
        <f t="shared" ref="K17:L17" si="4">G17+I17</f>
        <v>30625.27</v>
      </c>
      <c r="L17" s="34">
        <f t="shared" si="4"/>
        <v>215280.5935</v>
      </c>
      <c r="M17" s="20"/>
    </row>
    <row r="18">
      <c r="A18" s="49" t="s">
        <v>29</v>
      </c>
      <c r="B18" s="50"/>
      <c r="C18" s="51"/>
      <c r="D18" s="51"/>
      <c r="E18" s="51"/>
      <c r="F18" s="40"/>
      <c r="G18" s="46"/>
      <c r="H18" s="46"/>
      <c r="I18" s="47">
        <v>8123.04</v>
      </c>
      <c r="J18" s="46">
        <f>18682992.94/1000</f>
        <v>18682.99294</v>
      </c>
      <c r="K18" s="34">
        <f t="shared" ref="K18:L18" si="5">G18+I18</f>
        <v>8123.04</v>
      </c>
      <c r="L18" s="34">
        <f t="shared" si="5"/>
        <v>18682.99294</v>
      </c>
      <c r="M18" s="20"/>
    </row>
    <row r="19">
      <c r="A19" s="49" t="s">
        <v>30</v>
      </c>
      <c r="B19" s="50"/>
      <c r="C19" s="51"/>
      <c r="D19" s="51"/>
      <c r="E19" s="51"/>
      <c r="F19" s="40"/>
      <c r="G19" s="46"/>
      <c r="H19" s="46"/>
      <c r="I19" s="47">
        <v>30625.61</v>
      </c>
      <c r="J19" s="46">
        <f>70438896.28/1000</f>
        <v>70438.89628</v>
      </c>
      <c r="K19" s="34">
        <f t="shared" ref="K19:L19" si="6">G19+I19</f>
        <v>30625.61</v>
      </c>
      <c r="L19" s="34">
        <f t="shared" si="6"/>
        <v>70438.89628</v>
      </c>
      <c r="M19" s="28"/>
    </row>
    <row r="20">
      <c r="A20" s="41" t="s">
        <v>31</v>
      </c>
      <c r="B20" s="50" t="s">
        <v>25</v>
      </c>
      <c r="C20" s="51"/>
      <c r="D20" s="51"/>
      <c r="E20" s="51"/>
      <c r="F20" s="40"/>
      <c r="G20" s="46"/>
      <c r="H20" s="46"/>
      <c r="I20" s="46"/>
      <c r="J20" s="46"/>
      <c r="K20" s="34">
        <f t="shared" ref="K20:L20" si="7">G20+I20</f>
        <v>0</v>
      </c>
      <c r="L20" s="34">
        <f t="shared" si="7"/>
        <v>0</v>
      </c>
      <c r="M20" s="34"/>
    </row>
    <row r="21">
      <c r="A21" s="41" t="s">
        <v>32</v>
      </c>
      <c r="B21" s="50" t="s">
        <v>33</v>
      </c>
      <c r="C21" s="51"/>
      <c r="D21" s="51"/>
      <c r="E21" s="51"/>
      <c r="F21" s="40"/>
      <c r="G21" s="34"/>
      <c r="H21" s="34"/>
      <c r="I21" s="34"/>
      <c r="J21" s="34"/>
      <c r="K21" s="34">
        <f t="shared" ref="K21:L21" si="8">G21+I21</f>
        <v>0</v>
      </c>
      <c r="L21" s="34">
        <f t="shared" si="8"/>
        <v>0</v>
      </c>
      <c r="M21" s="34"/>
    </row>
    <row r="22">
      <c r="A22" s="52" t="s">
        <v>34</v>
      </c>
      <c r="B22" s="43"/>
      <c r="C22" s="51"/>
      <c r="D22" s="53"/>
      <c r="E22" s="51"/>
      <c r="F22" s="54">
        <f>SUM(F23:F24)</f>
        <v>0</v>
      </c>
      <c r="G22" s="34"/>
      <c r="H22" s="34"/>
      <c r="I22" s="34"/>
      <c r="J22" s="34"/>
      <c r="K22" s="34">
        <f t="shared" ref="K22:L22" si="9">G22+I22</f>
        <v>0</v>
      </c>
      <c r="L22" s="34">
        <f t="shared" si="9"/>
        <v>0</v>
      </c>
      <c r="M22" s="34"/>
    </row>
    <row r="23" ht="19.5" customHeight="1">
      <c r="A23" s="41" t="s">
        <v>35</v>
      </c>
      <c r="B23" s="50" t="s">
        <v>36</v>
      </c>
      <c r="C23" s="41"/>
      <c r="D23" s="40"/>
      <c r="E23" s="36"/>
      <c r="F23" s="55"/>
      <c r="G23" s="47">
        <v>1.0</v>
      </c>
      <c r="H23" s="47">
        <v>4800.0</v>
      </c>
      <c r="I23" s="34"/>
      <c r="J23" s="34"/>
      <c r="K23" s="34">
        <f t="shared" ref="K23:L23" si="10">G23+I23</f>
        <v>1</v>
      </c>
      <c r="L23" s="34">
        <f t="shared" si="10"/>
        <v>4800</v>
      </c>
      <c r="M23" s="34"/>
    </row>
    <row r="24" ht="28.5" customHeight="1">
      <c r="A24" s="41" t="s">
        <v>37</v>
      </c>
      <c r="B24" s="50" t="s">
        <v>36</v>
      </c>
      <c r="C24" s="40"/>
      <c r="D24" s="40"/>
      <c r="E24" s="36"/>
      <c r="F24" s="40"/>
      <c r="G24" s="56">
        <v>13.0</v>
      </c>
      <c r="H24" s="56">
        <v>6500.0</v>
      </c>
      <c r="I24" s="34"/>
      <c r="J24" s="34"/>
      <c r="K24" s="34">
        <f t="shared" ref="K24:L24" si="11">G24+I24</f>
        <v>13</v>
      </c>
      <c r="L24" s="34">
        <f t="shared" si="11"/>
        <v>6500</v>
      </c>
      <c r="M24" s="34"/>
    </row>
    <row r="25" ht="64.5" customHeight="1">
      <c r="A25" s="52" t="s">
        <v>38</v>
      </c>
      <c r="B25" s="43"/>
      <c r="C25" s="34"/>
      <c r="D25" s="34"/>
      <c r="E25" s="41"/>
      <c r="F25" s="34">
        <f>F26+F50</f>
        <v>0</v>
      </c>
      <c r="G25" s="34"/>
      <c r="H25" s="34"/>
      <c r="I25" s="34"/>
      <c r="J25" s="34"/>
      <c r="K25" s="34"/>
      <c r="L25" s="34"/>
      <c r="M25" s="34"/>
    </row>
    <row r="26" ht="57.75" customHeight="1">
      <c r="A26" s="52" t="s">
        <v>39</v>
      </c>
      <c r="B26" s="43"/>
      <c r="C26" s="41"/>
      <c r="D26" s="34"/>
      <c r="E26" s="41"/>
      <c r="F26" s="34">
        <f>SUM(F28:F49)</f>
        <v>0</v>
      </c>
      <c r="G26" s="34"/>
      <c r="H26" s="34"/>
      <c r="I26" s="34"/>
      <c r="J26" s="34"/>
      <c r="K26" s="34"/>
      <c r="L26" s="34"/>
      <c r="M26" s="34"/>
    </row>
    <row r="27" ht="15.75" customHeight="1">
      <c r="A27" s="52"/>
      <c r="B27" s="43"/>
      <c r="C27" s="41"/>
      <c r="D27" s="41"/>
      <c r="E27" s="41"/>
      <c r="F27" s="40"/>
      <c r="G27" s="34"/>
      <c r="H27" s="34"/>
      <c r="I27" s="34"/>
      <c r="J27" s="34"/>
      <c r="K27" s="34"/>
      <c r="L27" s="34"/>
      <c r="M27" s="34"/>
    </row>
    <row r="28" ht="24.0" customHeight="1">
      <c r="A28" s="41" t="s">
        <v>40</v>
      </c>
      <c r="B28" s="43" t="s">
        <v>33</v>
      </c>
      <c r="C28" s="41"/>
      <c r="D28" s="40"/>
      <c r="E28" s="41"/>
      <c r="F28" s="40"/>
      <c r="G28" s="34"/>
      <c r="H28" s="34"/>
      <c r="I28" s="34"/>
      <c r="J28" s="34"/>
      <c r="K28" s="34"/>
      <c r="L28" s="34"/>
      <c r="M28" s="34"/>
    </row>
    <row r="29" ht="24.0" customHeight="1">
      <c r="A29" s="41" t="s">
        <v>41</v>
      </c>
      <c r="B29" s="43" t="s">
        <v>33</v>
      </c>
      <c r="C29" s="41"/>
      <c r="D29" s="40"/>
      <c r="E29" s="41"/>
      <c r="F29" s="40"/>
      <c r="G29" s="34"/>
      <c r="H29" s="34"/>
      <c r="I29" s="34"/>
      <c r="J29" s="34"/>
      <c r="K29" s="34"/>
      <c r="L29" s="34"/>
      <c r="M29" s="34"/>
    </row>
    <row r="30" ht="36.0" customHeight="1">
      <c r="A30" s="41" t="s">
        <v>42</v>
      </c>
      <c r="B30" s="43" t="s">
        <v>33</v>
      </c>
      <c r="C30" s="41"/>
      <c r="D30" s="40"/>
      <c r="E30" s="41"/>
      <c r="F30" s="40"/>
      <c r="G30" s="34"/>
      <c r="H30" s="34"/>
      <c r="I30" s="34"/>
      <c r="J30" s="34"/>
      <c r="K30" s="34"/>
      <c r="L30" s="34"/>
      <c r="M30" s="34"/>
    </row>
    <row r="31" ht="34.5" customHeight="1">
      <c r="A31" s="41" t="s">
        <v>43</v>
      </c>
      <c r="B31" s="43" t="s">
        <v>33</v>
      </c>
      <c r="C31" s="41"/>
      <c r="D31" s="40"/>
      <c r="E31" s="41"/>
      <c r="F31" s="40"/>
      <c r="G31" s="34"/>
      <c r="H31" s="34"/>
      <c r="I31" s="34"/>
      <c r="J31" s="34"/>
      <c r="K31" s="34"/>
      <c r="L31" s="34"/>
      <c r="M31" s="34"/>
    </row>
    <row r="32" ht="31.5" customHeight="1">
      <c r="A32" s="41" t="s">
        <v>44</v>
      </c>
      <c r="B32" s="43" t="s">
        <v>33</v>
      </c>
      <c r="C32" s="41"/>
      <c r="D32" s="40"/>
      <c r="E32" s="41"/>
      <c r="F32" s="40"/>
      <c r="G32" s="34"/>
      <c r="H32" s="34"/>
      <c r="I32" s="34"/>
      <c r="J32" s="34"/>
      <c r="K32" s="34"/>
      <c r="L32" s="34"/>
      <c r="M32" s="34"/>
    </row>
    <row r="33" ht="27.0" customHeight="1">
      <c r="A33" s="41" t="s">
        <v>45</v>
      </c>
      <c r="B33" s="43"/>
      <c r="C33" s="41"/>
      <c r="D33" s="55"/>
      <c r="E33" s="41"/>
      <c r="F33" s="40"/>
      <c r="G33" s="34"/>
      <c r="H33" s="34"/>
      <c r="I33" s="34"/>
      <c r="J33" s="34"/>
      <c r="K33" s="34"/>
      <c r="L33" s="34"/>
      <c r="M33" s="34"/>
    </row>
    <row r="34" ht="27.0" customHeight="1">
      <c r="A34" s="41" t="s">
        <v>46</v>
      </c>
      <c r="B34" s="43" t="s">
        <v>33</v>
      </c>
      <c r="C34" s="41"/>
      <c r="D34" s="55"/>
      <c r="E34" s="41"/>
      <c r="F34" s="40"/>
      <c r="G34" s="34"/>
      <c r="H34" s="34"/>
      <c r="I34" s="34"/>
      <c r="J34" s="34"/>
      <c r="K34" s="34"/>
      <c r="L34" s="34"/>
      <c r="M34" s="34"/>
    </row>
    <row r="35" ht="40.5" customHeight="1">
      <c r="A35" s="41" t="s">
        <v>47</v>
      </c>
      <c r="B35" s="43" t="s">
        <v>33</v>
      </c>
      <c r="C35" s="41"/>
      <c r="D35" s="41"/>
      <c r="E35" s="41"/>
      <c r="F35" s="40"/>
      <c r="G35" s="34"/>
      <c r="H35" s="34"/>
      <c r="I35" s="34"/>
      <c r="J35" s="34"/>
      <c r="K35" s="34"/>
      <c r="L35" s="34"/>
      <c r="M35" s="34"/>
    </row>
    <row r="36" ht="42.75" customHeight="1">
      <c r="A36" s="41" t="s">
        <v>48</v>
      </c>
      <c r="B36" s="43" t="s">
        <v>49</v>
      </c>
      <c r="C36" s="41"/>
      <c r="D36" s="40"/>
      <c r="E36" s="41"/>
      <c r="F36" s="40"/>
      <c r="G36" s="34"/>
      <c r="H36" s="34"/>
      <c r="I36" s="34"/>
      <c r="J36" s="34"/>
      <c r="K36" s="34"/>
      <c r="L36" s="34"/>
      <c r="M36" s="34"/>
    </row>
    <row r="37" ht="28.5" customHeight="1">
      <c r="A37" s="41" t="s">
        <v>50</v>
      </c>
      <c r="B37" s="43" t="s">
        <v>33</v>
      </c>
      <c r="C37" s="41"/>
      <c r="D37" s="40"/>
      <c r="E37" s="41"/>
      <c r="F37" s="40"/>
      <c r="G37" s="34"/>
      <c r="H37" s="34"/>
      <c r="I37" s="34"/>
      <c r="J37" s="34"/>
      <c r="K37" s="34"/>
      <c r="L37" s="34"/>
      <c r="M37" s="34"/>
    </row>
    <row r="38" ht="28.5" customHeight="1">
      <c r="A38" s="41" t="s">
        <v>51</v>
      </c>
      <c r="B38" s="43" t="s">
        <v>33</v>
      </c>
      <c r="C38" s="41"/>
      <c r="D38" s="41"/>
      <c r="E38" s="41"/>
      <c r="F38" s="40"/>
      <c r="G38" s="34"/>
      <c r="H38" s="34"/>
      <c r="I38" s="34"/>
      <c r="J38" s="34"/>
      <c r="K38" s="34"/>
      <c r="L38" s="34"/>
      <c r="M38" s="34"/>
    </row>
    <row r="39" ht="45.0" customHeight="1">
      <c r="A39" s="41" t="s">
        <v>52</v>
      </c>
      <c r="B39" s="43" t="s">
        <v>49</v>
      </c>
      <c r="C39" s="41"/>
      <c r="D39" s="41"/>
      <c r="E39" s="41"/>
      <c r="F39" s="40"/>
      <c r="G39" s="34"/>
      <c r="H39" s="34"/>
      <c r="I39" s="34"/>
      <c r="J39" s="34"/>
      <c r="K39" s="34"/>
      <c r="L39" s="34"/>
      <c r="M39" s="34"/>
    </row>
    <row r="40" ht="36.75" customHeight="1">
      <c r="A40" s="41" t="s">
        <v>53</v>
      </c>
      <c r="B40" s="43" t="s">
        <v>49</v>
      </c>
      <c r="C40" s="41"/>
      <c r="D40" s="41"/>
      <c r="E40" s="41"/>
      <c r="F40" s="40"/>
      <c r="G40" s="34"/>
      <c r="H40" s="34"/>
      <c r="I40" s="34"/>
      <c r="J40" s="34"/>
      <c r="K40" s="34"/>
      <c r="L40" s="34"/>
      <c r="M40" s="34"/>
    </row>
    <row r="41" ht="36.75" customHeight="1">
      <c r="A41" s="52" t="s">
        <v>54</v>
      </c>
      <c r="B41" s="43" t="s">
        <v>49</v>
      </c>
      <c r="C41" s="41"/>
      <c r="D41" s="41"/>
      <c r="E41" s="41"/>
      <c r="F41" s="40"/>
      <c r="G41" s="34"/>
      <c r="H41" s="34"/>
      <c r="I41" s="34"/>
      <c r="J41" s="34"/>
      <c r="K41" s="34"/>
      <c r="L41" s="34"/>
      <c r="M41" s="34"/>
    </row>
    <row r="42" ht="36.75" customHeight="1">
      <c r="A42" s="41" t="s">
        <v>55</v>
      </c>
      <c r="B42" s="43" t="s">
        <v>49</v>
      </c>
      <c r="C42" s="41"/>
      <c r="D42" s="40"/>
      <c r="E42" s="41"/>
      <c r="F42" s="40"/>
      <c r="G42" s="34"/>
      <c r="H42" s="34"/>
      <c r="I42" s="34"/>
      <c r="J42" s="34"/>
      <c r="K42" s="34"/>
      <c r="L42" s="34"/>
      <c r="M42" s="34"/>
    </row>
    <row r="43" ht="36.75" customHeight="1">
      <c r="A43" s="52" t="s">
        <v>56</v>
      </c>
      <c r="B43" s="43"/>
      <c r="C43" s="41"/>
      <c r="D43" s="41"/>
      <c r="E43" s="41"/>
      <c r="F43" s="40"/>
      <c r="G43" s="34"/>
      <c r="H43" s="34"/>
      <c r="I43" s="34"/>
      <c r="J43" s="34"/>
      <c r="K43" s="34"/>
      <c r="L43" s="34"/>
      <c r="M43" s="34"/>
    </row>
    <row r="44" ht="30.75" customHeight="1">
      <c r="A44" s="41" t="s">
        <v>44</v>
      </c>
      <c r="B44" s="43" t="s">
        <v>49</v>
      </c>
      <c r="C44" s="41"/>
      <c r="D44" s="46"/>
      <c r="E44" s="41"/>
      <c r="F44" s="40"/>
      <c r="G44" s="34"/>
      <c r="H44" s="34"/>
      <c r="I44" s="34"/>
      <c r="J44" s="34"/>
      <c r="K44" s="34"/>
      <c r="L44" s="34"/>
      <c r="M44" s="34"/>
    </row>
    <row r="45" ht="27.75" customHeight="1">
      <c r="A45" s="41" t="s">
        <v>57</v>
      </c>
      <c r="B45" s="43" t="s">
        <v>49</v>
      </c>
      <c r="C45" s="41"/>
      <c r="D45" s="40"/>
      <c r="E45" s="41"/>
      <c r="F45" s="40"/>
      <c r="G45" s="34"/>
      <c r="H45" s="34"/>
      <c r="I45" s="34"/>
      <c r="J45" s="34"/>
      <c r="K45" s="34"/>
      <c r="L45" s="34"/>
      <c r="M45" s="34"/>
    </row>
    <row r="46" ht="28.5" customHeight="1">
      <c r="A46" s="41" t="s">
        <v>58</v>
      </c>
      <c r="B46" s="43" t="s">
        <v>49</v>
      </c>
      <c r="C46" s="57"/>
      <c r="D46" s="40"/>
      <c r="E46" s="41"/>
      <c r="F46" s="40"/>
      <c r="G46" s="34"/>
      <c r="H46" s="34"/>
      <c r="I46" s="34"/>
      <c r="J46" s="34"/>
      <c r="K46" s="34"/>
      <c r="L46" s="34"/>
      <c r="M46" s="34"/>
    </row>
    <row r="47" ht="33.0" customHeight="1">
      <c r="A47" s="41" t="s">
        <v>59</v>
      </c>
      <c r="B47" s="43" t="s">
        <v>49</v>
      </c>
      <c r="C47" s="57"/>
      <c r="D47" s="40"/>
      <c r="E47" s="41"/>
      <c r="F47" s="40"/>
      <c r="G47" s="34"/>
      <c r="H47" s="34"/>
      <c r="I47" s="34"/>
      <c r="J47" s="34"/>
      <c r="K47" s="34"/>
      <c r="L47" s="34"/>
      <c r="M47" s="34"/>
    </row>
    <row r="48" ht="33.0" customHeight="1">
      <c r="A48" s="41" t="s">
        <v>60</v>
      </c>
      <c r="B48" s="43" t="s">
        <v>33</v>
      </c>
      <c r="C48" s="41"/>
      <c r="D48" s="41"/>
      <c r="E48" s="41"/>
      <c r="F48" s="40"/>
      <c r="G48" s="34"/>
      <c r="H48" s="34"/>
      <c r="I48" s="34"/>
      <c r="J48" s="34"/>
      <c r="K48" s="34"/>
      <c r="L48" s="34"/>
      <c r="M48" s="34"/>
    </row>
    <row r="49" ht="33.0" customHeight="1">
      <c r="A49" s="58" t="s">
        <v>61</v>
      </c>
      <c r="B49" s="43" t="s">
        <v>33</v>
      </c>
      <c r="C49" s="41"/>
      <c r="D49" s="41"/>
      <c r="E49" s="40"/>
      <c r="F49" s="40"/>
      <c r="G49" s="34"/>
      <c r="H49" s="34"/>
      <c r="I49" s="34"/>
      <c r="J49" s="34"/>
      <c r="K49" s="34"/>
      <c r="L49" s="34"/>
      <c r="M49" s="34"/>
    </row>
    <row r="50" ht="33.0" customHeight="1">
      <c r="A50" s="52" t="s">
        <v>62</v>
      </c>
      <c r="B50" s="43"/>
      <c r="C50" s="41"/>
      <c r="D50" s="41"/>
      <c r="E50" s="40"/>
      <c r="F50" s="40"/>
      <c r="G50" s="34"/>
      <c r="H50" s="34"/>
      <c r="I50" s="34"/>
      <c r="J50" s="34"/>
      <c r="K50" s="34"/>
      <c r="L50" s="34"/>
      <c r="M50" s="34"/>
    </row>
    <row r="51" ht="33.0" customHeight="1">
      <c r="A51" s="41"/>
      <c r="B51" s="43"/>
      <c r="C51" s="41"/>
      <c r="D51" s="41"/>
      <c r="E51" s="40"/>
      <c r="F51" s="40"/>
      <c r="G51" s="34"/>
      <c r="H51" s="34"/>
      <c r="I51" s="34"/>
      <c r="J51" s="34"/>
      <c r="K51" s="34"/>
      <c r="L51" s="34"/>
      <c r="M51" s="34"/>
    </row>
    <row r="52" ht="33.0" customHeight="1">
      <c r="A52" s="41"/>
      <c r="B52" s="43"/>
      <c r="C52" s="41"/>
      <c r="D52" s="40"/>
      <c r="E52" s="40"/>
      <c r="F52" s="40"/>
      <c r="G52" s="34"/>
      <c r="H52" s="34"/>
      <c r="I52" s="34"/>
      <c r="J52" s="34"/>
      <c r="K52" s="34"/>
      <c r="L52" s="34"/>
      <c r="M52" s="34"/>
    </row>
    <row r="53" ht="30.0" customHeight="1">
      <c r="A53" s="59" t="s">
        <v>63</v>
      </c>
      <c r="B53" s="43"/>
      <c r="C53" s="34">
        <f t="shared" ref="C53:D53" si="12">C26+C22+C12</f>
        <v>0</v>
      </c>
      <c r="D53" s="34">
        <f t="shared" si="12"/>
        <v>140386.48</v>
      </c>
      <c r="E53" s="40"/>
      <c r="F53" s="34">
        <f>F50+F26+F22+F12</f>
        <v>253198.7942</v>
      </c>
      <c r="G53" s="34"/>
      <c r="H53" s="34">
        <f t="shared" ref="H53:K53" si="13">SUM(H15:H52)</f>
        <v>279999.1288</v>
      </c>
      <c r="I53" s="34">
        <f t="shared" si="13"/>
        <v>43899.19</v>
      </c>
      <c r="J53" s="34">
        <f t="shared" si="13"/>
        <v>113200.6489</v>
      </c>
      <c r="K53" s="34">
        <f t="shared" si="13"/>
        <v>108136.23</v>
      </c>
      <c r="L53" s="34">
        <f>L50+L26+L22+L12</f>
        <v>381899.7777</v>
      </c>
      <c r="M53" s="34"/>
    </row>
    <row r="54" ht="4.5" customHeight="1">
      <c r="A54" s="60" t="s">
        <v>64</v>
      </c>
      <c r="B54" s="61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</row>
    <row r="55" ht="21.0" customHeight="1">
      <c r="A55" s="63"/>
      <c r="B55" s="64"/>
      <c r="C55" s="65" t="s">
        <v>65</v>
      </c>
      <c r="D55" s="66"/>
      <c r="E55" s="67"/>
      <c r="F55" s="68"/>
      <c r="G55" s="68"/>
      <c r="H55" s="65" t="s">
        <v>66</v>
      </c>
      <c r="I55" s="69"/>
      <c r="J55" s="69"/>
      <c r="K55" s="68"/>
      <c r="L55" s="68"/>
      <c r="M55" s="68"/>
    </row>
    <row r="56" ht="21.0" customHeight="1">
      <c r="A56" s="63"/>
      <c r="B56" s="67"/>
      <c r="C56" s="5"/>
      <c r="D56" s="66"/>
      <c r="E56" s="70"/>
      <c r="F56" s="68"/>
      <c r="G56" s="68"/>
      <c r="H56" s="5"/>
      <c r="I56" s="69"/>
      <c r="J56" s="69"/>
      <c r="K56" s="68"/>
      <c r="L56" s="68"/>
      <c r="M56" s="68"/>
    </row>
    <row r="57" ht="31.5" customHeight="1">
      <c r="A57" s="71" t="s">
        <v>67</v>
      </c>
      <c r="B57" s="67"/>
      <c r="C57" s="5"/>
      <c r="D57" s="66"/>
      <c r="E57" s="67"/>
      <c r="F57" s="68"/>
      <c r="G57" s="68"/>
      <c r="H57" s="5"/>
      <c r="I57" s="69"/>
      <c r="J57" s="69"/>
      <c r="K57" s="68"/>
      <c r="L57" s="68"/>
      <c r="M57" s="68"/>
    </row>
    <row r="58" ht="27.0" customHeight="1">
      <c r="A58" s="60" t="s">
        <v>68</v>
      </c>
      <c r="B58" s="67"/>
      <c r="C58" s="72" t="s">
        <v>69</v>
      </c>
      <c r="D58" s="73"/>
      <c r="E58" s="67"/>
      <c r="F58" s="68"/>
      <c r="G58" s="68"/>
      <c r="H58" s="72" t="s">
        <v>70</v>
      </c>
      <c r="I58" s="69"/>
      <c r="J58" s="69"/>
      <c r="K58" s="68"/>
      <c r="L58" s="68"/>
      <c r="M58" s="68"/>
    </row>
    <row r="59" ht="20.25" customHeight="1">
      <c r="A59" s="74"/>
      <c r="B59" s="70"/>
      <c r="C59" s="65" t="s">
        <v>71</v>
      </c>
      <c r="D59" s="7"/>
      <c r="E59" s="67"/>
      <c r="F59" s="68"/>
      <c r="G59" s="68"/>
      <c r="H59" s="65" t="s">
        <v>72</v>
      </c>
      <c r="I59" s="69"/>
      <c r="J59" s="69"/>
      <c r="K59" s="68"/>
      <c r="L59" s="68"/>
      <c r="M59" s="68"/>
    </row>
    <row r="60" ht="21.0" customHeight="1">
      <c r="A60" s="10"/>
      <c r="B60" s="68"/>
      <c r="C60" s="75"/>
      <c r="D60" s="75"/>
      <c r="E60" s="67"/>
      <c r="F60" s="68"/>
      <c r="G60" s="68"/>
      <c r="H60" s="68"/>
      <c r="I60" s="68"/>
      <c r="J60" s="68"/>
      <c r="K60" s="68"/>
      <c r="L60" s="68"/>
      <c r="M60" s="68"/>
    </row>
    <row r="61" ht="15.75" customHeight="1">
      <c r="A61" s="10"/>
      <c r="B61" s="68"/>
      <c r="C61" s="76"/>
      <c r="D61" s="68"/>
      <c r="E61" s="67"/>
      <c r="F61" s="68"/>
      <c r="G61" s="68"/>
      <c r="H61" s="68"/>
      <c r="I61" s="68"/>
      <c r="J61" s="68"/>
      <c r="K61" s="68"/>
      <c r="L61" s="68"/>
      <c r="M61" s="68"/>
    </row>
    <row r="62" ht="15.75" customHeight="1">
      <c r="A62" s="77"/>
      <c r="B62" s="67"/>
      <c r="C62" s="78"/>
      <c r="D62" s="79"/>
      <c r="E62" s="78"/>
      <c r="F62" s="78"/>
      <c r="G62" s="80"/>
      <c r="H62" s="80"/>
      <c r="I62" s="80"/>
      <c r="J62" s="80"/>
      <c r="K62" s="80"/>
      <c r="L62" s="80"/>
      <c r="M62" s="80"/>
    </row>
    <row r="63" ht="20.25" customHeight="1">
      <c r="A63" s="68"/>
      <c r="B63" s="78"/>
      <c r="C63" s="78"/>
      <c r="D63" s="68"/>
      <c r="E63" s="68"/>
      <c r="F63" s="78"/>
      <c r="G63" s="80"/>
      <c r="H63" s="80"/>
      <c r="I63" s="80"/>
      <c r="J63" s="80"/>
      <c r="K63" s="80"/>
      <c r="L63" s="80"/>
      <c r="M63" s="80"/>
    </row>
    <row r="64" ht="20.25" customHeight="1">
      <c r="A64" s="60"/>
      <c r="B64" s="75"/>
      <c r="C64" s="65"/>
      <c r="D64" s="66"/>
      <c r="E64" s="75"/>
      <c r="F64" s="75"/>
      <c r="G64" s="65"/>
      <c r="H64" s="69"/>
      <c r="I64" s="69"/>
      <c r="J64" s="69"/>
      <c r="K64" s="69"/>
      <c r="L64" s="69"/>
      <c r="M64" s="69"/>
    </row>
    <row r="65" ht="14.25" customHeight="1">
      <c r="A65" s="63"/>
      <c r="B65" s="75"/>
      <c r="C65" s="5"/>
      <c r="D65" s="66"/>
      <c r="E65" s="75"/>
      <c r="F65" s="75"/>
      <c r="G65" s="5"/>
      <c r="H65" s="69"/>
      <c r="I65" s="69"/>
      <c r="J65" s="69"/>
      <c r="K65" s="69"/>
      <c r="L65" s="69"/>
      <c r="M65" s="69"/>
    </row>
    <row r="66" ht="26.25" customHeight="1">
      <c r="A66" s="63"/>
      <c r="B66" s="75"/>
      <c r="C66" s="5"/>
      <c r="D66" s="66"/>
      <c r="E66" s="75"/>
      <c r="F66" s="75"/>
      <c r="G66" s="5"/>
      <c r="H66" s="69"/>
      <c r="I66" s="69"/>
      <c r="J66" s="69"/>
      <c r="K66" s="69"/>
      <c r="L66" s="69"/>
      <c r="M66" s="69"/>
    </row>
    <row r="67" ht="27.0" customHeight="1">
      <c r="A67" s="71"/>
      <c r="B67" s="75"/>
      <c r="C67" s="72"/>
      <c r="D67" s="73"/>
      <c r="E67" s="75"/>
      <c r="F67" s="75"/>
      <c r="G67" s="72"/>
      <c r="H67" s="69"/>
      <c r="I67" s="69"/>
      <c r="J67" s="69"/>
      <c r="K67" s="69"/>
      <c r="L67" s="69"/>
      <c r="M67" s="69"/>
    </row>
    <row r="68" ht="24.0" customHeight="1">
      <c r="A68" s="60"/>
      <c r="B68" s="75"/>
      <c r="C68" s="65"/>
      <c r="D68" s="7"/>
      <c r="E68" s="75"/>
      <c r="F68" s="75"/>
      <c r="G68" s="65"/>
      <c r="H68" s="69"/>
      <c r="I68" s="69"/>
      <c r="J68" s="69"/>
      <c r="K68" s="69"/>
      <c r="L68" s="69"/>
      <c r="M68" s="69"/>
    </row>
    <row r="69" ht="14.25" customHeight="1">
      <c r="A69" s="74"/>
      <c r="B69" s="75"/>
      <c r="C69" s="75"/>
      <c r="D69" s="75"/>
      <c r="E69" s="7"/>
      <c r="F69" s="69"/>
      <c r="G69" s="69"/>
      <c r="H69" s="69"/>
      <c r="I69" s="69"/>
      <c r="J69" s="69"/>
      <c r="K69" s="69"/>
      <c r="L69" s="69"/>
      <c r="M69" s="69"/>
    </row>
    <row r="70" ht="15.75" customHeight="1">
      <c r="A70" s="10"/>
      <c r="B70" s="75"/>
      <c r="C70" s="75"/>
      <c r="D70" s="75"/>
      <c r="E70" s="7"/>
      <c r="F70" s="10"/>
      <c r="G70" s="10"/>
      <c r="H70" s="10"/>
      <c r="I70" s="10"/>
      <c r="J70" s="10"/>
      <c r="K70" s="10"/>
      <c r="L70" s="10"/>
      <c r="M70" s="10"/>
    </row>
    <row r="71" ht="15.75" customHeight="1">
      <c r="A71" s="10"/>
      <c r="B71" s="11"/>
      <c r="C71" s="10"/>
      <c r="D71" s="10"/>
      <c r="E71" s="75"/>
      <c r="F71" s="10"/>
      <c r="G71" s="10"/>
      <c r="H71" s="10"/>
      <c r="I71" s="10"/>
      <c r="J71" s="10"/>
      <c r="K71" s="10"/>
      <c r="L71" s="10"/>
      <c r="M71" s="10"/>
    </row>
    <row r="72" ht="15.75" customHeight="1">
      <c r="A72" s="68"/>
      <c r="B72" s="68"/>
      <c r="C72" s="10"/>
      <c r="D72" s="10"/>
      <c r="E72" s="75"/>
      <c r="F72" s="10"/>
      <c r="G72" s="10"/>
      <c r="H72" s="10"/>
      <c r="I72" s="10"/>
      <c r="J72" s="10"/>
      <c r="K72" s="10"/>
      <c r="L72" s="10"/>
      <c r="M72" s="10"/>
    </row>
    <row r="73" ht="15.75" customHeight="1">
      <c r="A73" s="68"/>
      <c r="B73" s="68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ht="15.75" customHeight="1">
      <c r="A74" s="68"/>
      <c r="B74" s="68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ht="15.75" customHeight="1">
      <c r="A75" s="68"/>
      <c r="B75" s="68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ht="15.75" customHeight="1">
      <c r="A76" s="68"/>
      <c r="B76" s="68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ht="15.75" customHeight="1">
      <c r="A77" s="68"/>
      <c r="B77" s="6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ht="15.75" customHeight="1">
      <c r="A78" s="68"/>
      <c r="B78" s="68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ht="15.75" customHeight="1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ht="15.75" customHeight="1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ht="15.75" customHeight="1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ht="15.75" customHeight="1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ht="15.75" customHeight="1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15.75" customHeight="1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ht="15.75" customHeight="1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ht="15.75" customHeight="1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ht="15.75" customHeight="1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ht="15.75" customHeight="1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ht="15.75" customHeight="1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ht="15.75" customHeight="1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ht="15.75" customHeight="1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ht="15.75" customHeight="1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ht="15.75" customHeight="1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ht="15.75" customHeight="1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ht="15.75" customHeight="1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ht="15.75" customHeight="1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ht="15.75" customHeight="1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ht="15.75" customHeight="1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ht="15.75" customHeight="1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ht="15.75" customHeight="1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ht="15.75" customHeight="1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ht="15.75" customHeight="1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ht="15.75" customHeight="1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ht="15.75" customHeight="1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ht="15.75" customHeight="1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ht="15.75" customHeight="1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ht="15.75" customHeight="1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ht="15.75" customHeight="1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ht="15.75" customHeight="1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ht="15.75" customHeight="1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ht="15.75" customHeight="1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ht="15.75" customHeight="1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ht="15.75" customHeight="1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ht="15.75" customHeight="1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ht="15.75" customHeight="1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ht="15.75" customHeight="1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ht="15.75" customHeight="1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ht="15.75" customHeight="1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ht="15.75" customHeight="1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ht="15.75" customHeight="1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ht="15.75" customHeight="1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ht="15.75" customHeight="1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ht="15.75" customHeight="1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ht="15.75" customHeight="1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ht="15.75" customHeight="1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ht="15.75" customHeight="1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ht="15.75" customHeight="1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ht="15.75" customHeight="1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ht="15.75" customHeight="1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ht="15.75" customHeight="1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ht="15.75" customHeight="1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ht="15.75" customHeight="1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ht="15.75" customHeight="1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ht="15.75" customHeight="1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ht="15.75" customHeight="1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ht="15.75" customHeight="1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ht="15.75" customHeight="1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ht="15.75" customHeight="1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ht="15.75" customHeight="1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ht="15.75" customHeight="1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ht="15.75" customHeight="1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ht="15.75" customHeight="1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ht="15.75" customHeight="1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ht="15.75" customHeight="1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ht="15.75" customHeight="1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ht="15.75" customHeight="1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ht="15.75" customHeight="1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ht="15.75" customHeight="1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ht="15.75" customHeight="1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ht="15.75" customHeight="1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ht="15.75" customHeight="1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ht="15.75" customHeight="1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ht="15.75" customHeight="1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ht="15.75" customHeight="1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ht="15.75" customHeight="1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ht="15.75" customHeight="1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ht="15.75" customHeight="1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ht="15.75" customHeight="1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ht="15.75" customHeight="1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ht="15.75" customHeight="1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5.75" customHeight="1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ht="15.75" customHeight="1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ht="15.75" customHeight="1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ht="15.75" customHeight="1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ht="15.75" customHeight="1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ht="15.75" customHeight="1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ht="15.75" customHeight="1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ht="15.75" customHeight="1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ht="15.75" customHeight="1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ht="15.75" customHeight="1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ht="15.75" customHeight="1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ht="15.75" customHeight="1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ht="15.75" customHeight="1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ht="15.75" customHeight="1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ht="15.75" customHeight="1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ht="15.75" customHeight="1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ht="15.75" customHeight="1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ht="15.75" customHeight="1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ht="15.75" customHeight="1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ht="15.75" customHeight="1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ht="15.75" customHeight="1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ht="15.75" customHeight="1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ht="15.75" customHeight="1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ht="15.75" customHeight="1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ht="15.75" customHeight="1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ht="15.75" customHeight="1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ht="15.75" customHeight="1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ht="15.75" customHeight="1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ht="15.75" customHeight="1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ht="15.75" customHeight="1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ht="15.75" customHeight="1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ht="15.75" customHeight="1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ht="15.75" customHeight="1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ht="15.75" customHeight="1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ht="15.75" customHeight="1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ht="15.75" customHeight="1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ht="15.75" customHeight="1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ht="15.75" customHeight="1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ht="15.75" customHeight="1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ht="15.75" customHeight="1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ht="15.75" customHeight="1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ht="15.75" customHeight="1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ht="15.75" customHeight="1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ht="15.75" customHeight="1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ht="15.75" customHeight="1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ht="15.75" customHeight="1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ht="15.75" customHeight="1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ht="15.75" customHeight="1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ht="15.75" customHeight="1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ht="15.75" customHeight="1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ht="15.75" customHeight="1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ht="15.75" customHeight="1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ht="15.75" customHeight="1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ht="15.75" customHeight="1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ht="15.75" customHeight="1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ht="15.75" customHeight="1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ht="15.75" customHeight="1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ht="15.75" customHeight="1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ht="15.75" customHeight="1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ht="15.75" customHeight="1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ht="15.75" customHeight="1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ht="15.75" customHeight="1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ht="15.75" customHeight="1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ht="15.75" customHeight="1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ht="15.75" customHeight="1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ht="15.75" customHeight="1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ht="15.75" customHeight="1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ht="15.75" customHeight="1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ht="15.75" customHeight="1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ht="15.75" customHeight="1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ht="15.75" customHeight="1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ht="15.75" customHeight="1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ht="15.75" customHeight="1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ht="15.75" customHeight="1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ht="15.75" customHeight="1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ht="15.75" customHeight="1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ht="15.75" customHeight="1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ht="15.75" customHeight="1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ht="15.75" customHeight="1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ht="15.75" customHeight="1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ht="15.75" customHeight="1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ht="15.75" customHeight="1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ht="15.75" customHeight="1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ht="15.75" customHeight="1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ht="15.75" customHeight="1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ht="15.75" customHeight="1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ht="15.75" customHeight="1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ht="15.75" customHeight="1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ht="15.75" customHeight="1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ht="15.75" customHeight="1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ht="15.75" customHeight="1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ht="15.75" customHeight="1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ht="15.75" customHeight="1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ht="15.75" customHeight="1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ht="15.75" customHeight="1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ht="15.75" customHeight="1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ht="15.75" customHeight="1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ht="15.75" customHeight="1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ht="15.75" customHeight="1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ht="15.75" customHeight="1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ht="15.75" customHeight="1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ht="15.75" customHeight="1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ht="15.75" customHeight="1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ht="15.75" customHeight="1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ht="15.75" customHeight="1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ht="12.75" customHeight="1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ht="12.75" customHeight="1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ht="12.75" customHeight="1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</row>
    <row r="1001" ht="15.75" customHeight="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</row>
    <row r="1002" ht="15.75" customHeight="1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5:M19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480314960629921" footer="0.0" header="0.0" left="0.7086614173228347" right="0.7086614173228347" top="0.7480314960629921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55.71"/>
    <col customWidth="1" min="2" max="2" width="19.86"/>
    <col customWidth="1" min="3" max="6" width="18.14"/>
    <col customWidth="1" min="7" max="14" width="19.0"/>
    <col customWidth="1" min="15" max="15" width="24.57"/>
  </cols>
  <sheetData>
    <row r="1">
      <c r="A1" s="81" t="s">
        <v>0</v>
      </c>
      <c r="B1" s="82"/>
      <c r="C1" s="83"/>
      <c r="D1" s="83"/>
      <c r="E1" s="84"/>
      <c r="F1" s="83"/>
      <c r="G1" s="83"/>
      <c r="H1" s="83"/>
      <c r="I1" s="85"/>
      <c r="J1" s="85"/>
      <c r="K1" s="85"/>
      <c r="L1" s="85"/>
      <c r="M1" s="86"/>
      <c r="N1" s="85"/>
      <c r="O1" s="85"/>
    </row>
    <row r="2">
      <c r="A2" s="6" t="s">
        <v>1</v>
      </c>
      <c r="B2" s="82"/>
      <c r="C2" s="83"/>
      <c r="D2" s="83"/>
      <c r="E2" s="84"/>
      <c r="F2" s="83"/>
      <c r="G2" s="83"/>
      <c r="H2" s="83"/>
      <c r="I2" s="87"/>
      <c r="J2" s="88"/>
      <c r="M2" s="86"/>
      <c r="N2" s="87"/>
      <c r="O2" s="87"/>
    </row>
    <row r="3">
      <c r="A3" s="89" t="s">
        <v>73</v>
      </c>
      <c r="B3" s="90"/>
      <c r="C3" s="83"/>
      <c r="D3" s="83"/>
      <c r="E3" s="84"/>
      <c r="F3" s="83"/>
      <c r="G3" s="83"/>
      <c r="H3" s="83"/>
      <c r="I3" s="87"/>
      <c r="M3" s="87"/>
      <c r="N3" s="87"/>
      <c r="O3" s="87"/>
    </row>
    <row r="4">
      <c r="A4" s="89" t="s">
        <v>3</v>
      </c>
      <c r="B4" s="90"/>
      <c r="C4" s="83"/>
      <c r="D4" s="83"/>
      <c r="E4" s="84"/>
      <c r="F4" s="83"/>
      <c r="G4" s="83"/>
      <c r="H4" s="83"/>
      <c r="I4" s="87"/>
      <c r="M4" s="87"/>
      <c r="N4" s="87"/>
      <c r="O4" s="87"/>
    </row>
    <row r="5">
      <c r="A5" s="89" t="s">
        <v>4</v>
      </c>
      <c r="B5" s="90"/>
      <c r="C5" s="83"/>
      <c r="D5" s="83"/>
      <c r="E5" s="84"/>
      <c r="F5" s="83"/>
      <c r="G5" s="83"/>
      <c r="H5" s="83"/>
      <c r="I5" s="87"/>
      <c r="J5" s="87"/>
      <c r="K5" s="87"/>
      <c r="L5" s="87"/>
      <c r="M5" s="87"/>
      <c r="N5" s="87"/>
      <c r="O5" s="87"/>
    </row>
    <row r="6">
      <c r="A6" s="83"/>
      <c r="B6" s="90"/>
      <c r="C6" s="83"/>
      <c r="D6" s="83"/>
      <c r="E6" s="84"/>
      <c r="F6" s="83"/>
      <c r="G6" s="83"/>
      <c r="H6" s="83"/>
      <c r="I6" s="87"/>
      <c r="J6" s="87"/>
      <c r="K6" s="87"/>
      <c r="L6" s="87"/>
      <c r="M6" s="87"/>
      <c r="N6" s="87"/>
      <c r="O6" s="87"/>
    </row>
    <row r="7">
      <c r="A7" s="91" t="s">
        <v>5</v>
      </c>
      <c r="B7" s="91" t="s">
        <v>6</v>
      </c>
      <c r="C7" s="92" t="s">
        <v>7</v>
      </c>
      <c r="D7" s="14"/>
      <c r="E7" s="93" t="s">
        <v>74</v>
      </c>
      <c r="F7" s="14"/>
      <c r="G7" s="94" t="s">
        <v>8</v>
      </c>
      <c r="H7" s="14"/>
      <c r="I7" s="95" t="s">
        <v>9</v>
      </c>
      <c r="J7" s="17"/>
      <c r="K7" s="17"/>
      <c r="L7" s="17"/>
      <c r="M7" s="17"/>
      <c r="N7" s="18"/>
      <c r="O7" s="96" t="s">
        <v>75</v>
      </c>
    </row>
    <row r="8">
      <c r="A8" s="20"/>
      <c r="B8" s="20"/>
      <c r="C8" s="21"/>
      <c r="D8" s="22"/>
      <c r="E8" s="21"/>
      <c r="F8" s="22"/>
      <c r="G8" s="21"/>
      <c r="H8" s="22"/>
      <c r="I8" s="95" t="s">
        <v>11</v>
      </c>
      <c r="J8" s="18"/>
      <c r="K8" s="95" t="s">
        <v>12</v>
      </c>
      <c r="L8" s="18"/>
      <c r="M8" s="95" t="s">
        <v>13</v>
      </c>
      <c r="N8" s="18"/>
      <c r="O8" s="20"/>
    </row>
    <row r="9">
      <c r="A9" s="20"/>
      <c r="B9" s="20"/>
      <c r="C9" s="97" t="s">
        <v>14</v>
      </c>
      <c r="D9" s="98" t="s">
        <v>15</v>
      </c>
      <c r="E9" s="99" t="s">
        <v>16</v>
      </c>
      <c r="F9" s="22"/>
      <c r="G9" s="94" t="s">
        <v>16</v>
      </c>
      <c r="H9" s="14"/>
      <c r="I9" s="100" t="s">
        <v>17</v>
      </c>
      <c r="J9" s="101" t="s">
        <v>18</v>
      </c>
      <c r="K9" s="100" t="s">
        <v>17</v>
      </c>
      <c r="L9" s="101" t="s">
        <v>18</v>
      </c>
      <c r="M9" s="100" t="s">
        <v>17</v>
      </c>
      <c r="N9" s="101" t="s">
        <v>18</v>
      </c>
      <c r="O9" s="20"/>
    </row>
    <row r="10" ht="69.0" customHeight="1">
      <c r="A10" s="28"/>
      <c r="B10" s="28"/>
      <c r="C10" s="28"/>
      <c r="D10" s="28"/>
      <c r="E10" s="102" t="s">
        <v>76</v>
      </c>
      <c r="F10" s="103" t="s">
        <v>77</v>
      </c>
      <c r="G10" s="104" t="s">
        <v>17</v>
      </c>
      <c r="H10" s="105" t="s">
        <v>18</v>
      </c>
      <c r="I10" s="28"/>
      <c r="J10" s="28"/>
      <c r="K10" s="28"/>
      <c r="L10" s="28"/>
      <c r="M10" s="28"/>
      <c r="N10" s="28"/>
      <c r="O10" s="28"/>
    </row>
    <row r="11">
      <c r="A11" s="106" t="s">
        <v>78</v>
      </c>
      <c r="B11" s="107"/>
      <c r="C11" s="108"/>
      <c r="D11" s="109">
        <f>SUM(D12:D38)</f>
        <v>68651.5</v>
      </c>
      <c r="E11" s="110"/>
      <c r="F11" s="109">
        <f>SUM(F12:F41)</f>
        <v>55877.839</v>
      </c>
      <c r="G11" s="109"/>
      <c r="H11" s="109">
        <f>SUM(H12:H41)</f>
        <v>71303.92</v>
      </c>
      <c r="I11" s="109"/>
      <c r="J11" s="109">
        <f>SUM(J12:J41)</f>
        <v>12269.66667</v>
      </c>
      <c r="K11" s="109"/>
      <c r="L11" s="109">
        <f>SUM(L12:L41)</f>
        <v>144954.4</v>
      </c>
      <c r="M11" s="109"/>
      <c r="N11" s="109">
        <f>SUM(N12:N41)</f>
        <v>157224.0667</v>
      </c>
      <c r="O11" s="111"/>
    </row>
    <row r="12">
      <c r="A12" s="106" t="s">
        <v>79</v>
      </c>
      <c r="B12" s="112"/>
      <c r="C12" s="113"/>
      <c r="D12" s="111"/>
      <c r="E12" s="114"/>
      <c r="F12" s="111"/>
      <c r="G12" s="111"/>
      <c r="H12" s="111"/>
      <c r="I12" s="109"/>
      <c r="J12" s="109"/>
      <c r="K12" s="109"/>
      <c r="L12" s="109"/>
      <c r="M12" s="109"/>
      <c r="N12" s="109"/>
      <c r="O12" s="111"/>
    </row>
    <row r="13">
      <c r="A13" s="115" t="s">
        <v>80</v>
      </c>
      <c r="B13" s="112"/>
      <c r="C13" s="113"/>
      <c r="D13" s="111"/>
      <c r="E13" s="114"/>
      <c r="F13" s="111"/>
      <c r="G13" s="111"/>
      <c r="H13" s="111"/>
      <c r="I13" s="109"/>
      <c r="J13" s="109"/>
      <c r="K13" s="109"/>
      <c r="L13" s="109"/>
      <c r="M13" s="109"/>
      <c r="N13" s="109"/>
      <c r="O13" s="111"/>
    </row>
    <row r="14">
      <c r="A14" s="115" t="s">
        <v>81</v>
      </c>
      <c r="B14" s="112"/>
      <c r="C14" s="114">
        <v>200.0</v>
      </c>
      <c r="D14" s="111">
        <v>10.0</v>
      </c>
      <c r="E14" s="114">
        <v>200.0</v>
      </c>
      <c r="F14" s="111">
        <f>E14*0.05</f>
        <v>10</v>
      </c>
      <c r="G14" s="111"/>
      <c r="H14" s="111"/>
      <c r="I14" s="109"/>
      <c r="J14" s="109"/>
      <c r="K14" s="109"/>
      <c r="L14" s="109"/>
      <c r="M14" s="109"/>
      <c r="N14" s="109"/>
      <c r="O14" s="111"/>
    </row>
    <row r="15">
      <c r="A15" s="106" t="s">
        <v>82</v>
      </c>
      <c r="B15" s="112"/>
      <c r="C15" s="113"/>
      <c r="D15" s="111"/>
      <c r="E15" s="114"/>
      <c r="F15" s="111"/>
      <c r="G15" s="111"/>
      <c r="H15" s="111"/>
      <c r="I15" s="109"/>
      <c r="J15" s="109"/>
      <c r="K15" s="109"/>
      <c r="L15" s="109"/>
      <c r="M15" s="109"/>
      <c r="N15" s="109"/>
      <c r="O15" s="111"/>
    </row>
    <row r="16">
      <c r="A16" s="116" t="s">
        <v>83</v>
      </c>
      <c r="B16" s="112" t="s">
        <v>84</v>
      </c>
      <c r="C16" s="113">
        <v>3600.0</v>
      </c>
      <c r="D16" s="111">
        <v>2400.0</v>
      </c>
      <c r="E16" s="114">
        <f>150*18</f>
        <v>2700</v>
      </c>
      <c r="F16" s="111">
        <f>150*2*6000/1000</f>
        <v>1800</v>
      </c>
      <c r="G16" s="117">
        <v>8100.0</v>
      </c>
      <c r="H16" s="117">
        <v>5850.0</v>
      </c>
      <c r="I16" s="109"/>
      <c r="J16" s="109"/>
      <c r="K16" s="118">
        <f>300*27</f>
        <v>8100</v>
      </c>
      <c r="L16" s="119">
        <f>300*19.5</f>
        <v>5850</v>
      </c>
      <c r="M16" s="118">
        <f t="shared" ref="M16:M19" si="1">SUM(I16,K16)</f>
        <v>8100</v>
      </c>
      <c r="N16" s="120">
        <f t="shared" ref="N16:N19" si="2">J16+L16</f>
        <v>5850</v>
      </c>
      <c r="O16" s="121" t="s">
        <v>85</v>
      </c>
    </row>
    <row r="17">
      <c r="A17" s="115" t="s">
        <v>86</v>
      </c>
      <c r="B17" s="112" t="s">
        <v>84</v>
      </c>
      <c r="C17" s="113">
        <v>110000.0</v>
      </c>
      <c r="D17" s="111">
        <v>4950.0</v>
      </c>
      <c r="E17" s="114">
        <v>1650.0</v>
      </c>
      <c r="F17" s="111">
        <f>2264100/1000</f>
        <v>2264.1</v>
      </c>
      <c r="G17" s="117">
        <v>165000.0</v>
      </c>
      <c r="H17" s="117">
        <v>6600.0</v>
      </c>
      <c r="I17" s="109"/>
      <c r="J17" s="109"/>
      <c r="K17" s="118">
        <f>300*11*50</f>
        <v>165000</v>
      </c>
      <c r="L17" s="119">
        <f>300*11*2</f>
        <v>6600</v>
      </c>
      <c r="M17" s="118">
        <f t="shared" si="1"/>
        <v>165000</v>
      </c>
      <c r="N17" s="120">
        <f t="shared" si="2"/>
        <v>6600</v>
      </c>
      <c r="O17" s="121" t="s">
        <v>85</v>
      </c>
    </row>
    <row r="18">
      <c r="A18" s="115" t="s">
        <v>87</v>
      </c>
      <c r="B18" s="112" t="s">
        <v>88</v>
      </c>
      <c r="C18" s="113">
        <v>350.0</v>
      </c>
      <c r="D18" s="111">
        <v>310.0</v>
      </c>
      <c r="E18" s="114">
        <v>750.0</v>
      </c>
      <c r="F18" s="111">
        <f>339000/1000</f>
        <v>339</v>
      </c>
      <c r="G18" s="117">
        <v>1800.0</v>
      </c>
      <c r="H18" s="117">
        <v>360.0</v>
      </c>
      <c r="I18" s="109"/>
      <c r="J18" s="109"/>
      <c r="K18" s="118">
        <f>300*6</f>
        <v>1800</v>
      </c>
      <c r="L18" s="119">
        <f>300*6*0.2</f>
        <v>360</v>
      </c>
      <c r="M18" s="118">
        <f t="shared" si="1"/>
        <v>1800</v>
      </c>
      <c r="N18" s="120">
        <f t="shared" si="2"/>
        <v>360</v>
      </c>
      <c r="O18" s="121" t="s">
        <v>85</v>
      </c>
    </row>
    <row r="19">
      <c r="A19" s="115" t="s">
        <v>89</v>
      </c>
      <c r="B19" s="112" t="s">
        <v>84</v>
      </c>
      <c r="C19" s="113">
        <v>100000.0</v>
      </c>
      <c r="D19" s="111">
        <v>2000.0</v>
      </c>
      <c r="E19" s="114">
        <v>1500.0</v>
      </c>
      <c r="F19" s="111">
        <f>651000/1000</f>
        <v>651</v>
      </c>
      <c r="G19" s="117">
        <f>300*50*10</f>
        <v>150000</v>
      </c>
      <c r="H19" s="117">
        <f>300*10*0.6</f>
        <v>1800</v>
      </c>
      <c r="I19" s="109"/>
      <c r="J19" s="109"/>
      <c r="K19" s="118">
        <f>300*10*50</f>
        <v>150000</v>
      </c>
      <c r="L19" s="119">
        <f>300*10*0.6</f>
        <v>1800</v>
      </c>
      <c r="M19" s="118">
        <f t="shared" si="1"/>
        <v>150000</v>
      </c>
      <c r="N19" s="120">
        <f t="shared" si="2"/>
        <v>1800</v>
      </c>
      <c r="O19" s="121" t="s">
        <v>85</v>
      </c>
    </row>
    <row r="20" ht="28.5" customHeight="1">
      <c r="A20" s="122" t="s">
        <v>90</v>
      </c>
      <c r="B20" s="123" t="s">
        <v>88</v>
      </c>
      <c r="C20" s="113"/>
      <c r="D20" s="111"/>
      <c r="E20" s="114"/>
      <c r="F20" s="111"/>
      <c r="G20" s="111">
        <v>300.0</v>
      </c>
      <c r="H20" s="111">
        <v>240.0</v>
      </c>
      <c r="I20" s="109"/>
      <c r="J20" s="109"/>
      <c r="K20" s="109"/>
      <c r="L20" s="109"/>
      <c r="M20" s="109"/>
      <c r="N20" s="109"/>
      <c r="O20" s="111"/>
    </row>
    <row r="21" ht="24.0" customHeight="1">
      <c r="A21" s="122" t="s">
        <v>91</v>
      </c>
      <c r="B21" s="123" t="s">
        <v>84</v>
      </c>
      <c r="C21" s="113"/>
      <c r="D21" s="111"/>
      <c r="E21" s="114"/>
      <c r="F21" s="111"/>
      <c r="G21" s="111">
        <v>900.0</v>
      </c>
      <c r="H21" s="111">
        <v>540.0</v>
      </c>
      <c r="I21" s="109"/>
      <c r="J21" s="109"/>
      <c r="K21" s="109"/>
      <c r="L21" s="109"/>
      <c r="M21" s="109"/>
      <c r="N21" s="109"/>
      <c r="O21" s="111"/>
    </row>
    <row r="22" ht="48.75" customHeight="1">
      <c r="A22" s="106" t="s">
        <v>92</v>
      </c>
      <c r="B22" s="112"/>
      <c r="C22" s="113"/>
      <c r="D22" s="111"/>
      <c r="E22" s="114"/>
      <c r="F22" s="111"/>
      <c r="G22" s="111"/>
      <c r="H22" s="111"/>
      <c r="I22" s="109"/>
      <c r="J22" s="109"/>
      <c r="K22" s="109"/>
      <c r="L22" s="109"/>
      <c r="M22" s="109"/>
      <c r="N22" s="109"/>
      <c r="O22" s="111"/>
    </row>
    <row r="23" ht="34.5" customHeight="1">
      <c r="A23" s="122" t="s">
        <v>93</v>
      </c>
      <c r="B23" s="123" t="s">
        <v>84</v>
      </c>
      <c r="C23" s="113">
        <v>61722.0</v>
      </c>
      <c r="D23" s="111">
        <v>41148.0</v>
      </c>
      <c r="E23" s="114">
        <f>6858*9</f>
        <v>61722</v>
      </c>
      <c r="F23" s="111">
        <f>40203000/1000</f>
        <v>40203</v>
      </c>
      <c r="G23" s="117">
        <v>35730.0</v>
      </c>
      <c r="H23" s="117">
        <v>25805.0</v>
      </c>
      <c r="I23" s="124">
        <f>382*18</f>
        <v>6876</v>
      </c>
      <c r="J23" s="121">
        <f>382*13</f>
        <v>4966</v>
      </c>
      <c r="K23" s="124">
        <f>5000*18</f>
        <v>90000</v>
      </c>
      <c r="L23" s="121">
        <f>5000*13</f>
        <v>65000</v>
      </c>
      <c r="M23" s="118">
        <f t="shared" ref="M23:M27" si="3">SUM(I23,K23)</f>
        <v>96876</v>
      </c>
      <c r="N23" s="120">
        <f t="shared" ref="N23:N27" si="4">J23+L23</f>
        <v>69966</v>
      </c>
      <c r="O23" s="125" t="s">
        <v>94</v>
      </c>
    </row>
    <row r="24" ht="36.75" customHeight="1">
      <c r="A24" s="122" t="s">
        <v>95</v>
      </c>
      <c r="B24" s="123" t="s">
        <v>84</v>
      </c>
      <c r="C24" s="113">
        <v>342900.0</v>
      </c>
      <c r="D24" s="111">
        <v>15430.5</v>
      </c>
      <c r="E24" s="114">
        <f>6858*50</f>
        <v>342900</v>
      </c>
      <c r="F24" s="111">
        <f>(3429*1.35)+(3429*1.411)</f>
        <v>9467.469</v>
      </c>
      <c r="G24" s="117">
        <v>198500.0</v>
      </c>
      <c r="H24" s="117">
        <v>7940.0</v>
      </c>
      <c r="I24" s="124">
        <f>382*50</f>
        <v>19100</v>
      </c>
      <c r="J24" s="121">
        <f>382*2</f>
        <v>764</v>
      </c>
      <c r="K24" s="124">
        <f>5000*50</f>
        <v>250000</v>
      </c>
      <c r="L24" s="121">
        <f>5000*2</f>
        <v>10000</v>
      </c>
      <c r="M24" s="118">
        <f t="shared" si="3"/>
        <v>269100</v>
      </c>
      <c r="N24" s="120">
        <f t="shared" si="4"/>
        <v>10764</v>
      </c>
      <c r="O24" s="20"/>
    </row>
    <row r="25" ht="37.5" customHeight="1">
      <c r="A25" s="122" t="s">
        <v>96</v>
      </c>
      <c r="B25" s="123" t="s">
        <v>84</v>
      </c>
      <c r="C25" s="113"/>
      <c r="D25" s="111"/>
      <c r="E25" s="114"/>
      <c r="F25" s="111"/>
      <c r="G25" s="111">
        <v>23832.0</v>
      </c>
      <c r="H25" s="111">
        <v>13240.0</v>
      </c>
      <c r="I25" s="124">
        <f>255*18</f>
        <v>4590</v>
      </c>
      <c r="J25" s="121">
        <f>255*10</f>
        <v>2550</v>
      </c>
      <c r="K25" s="124">
        <f>3334*18</f>
        <v>60012</v>
      </c>
      <c r="L25" s="121">
        <f>3334*10</f>
        <v>33340</v>
      </c>
      <c r="M25" s="118">
        <f t="shared" si="3"/>
        <v>64602</v>
      </c>
      <c r="N25" s="120">
        <f t="shared" si="4"/>
        <v>35890</v>
      </c>
      <c r="O25" s="20"/>
    </row>
    <row r="26" ht="30.75" customHeight="1">
      <c r="A26" s="122" t="s">
        <v>97</v>
      </c>
      <c r="B26" s="123" t="s">
        <v>84</v>
      </c>
      <c r="C26" s="113"/>
      <c r="D26" s="111"/>
      <c r="E26" s="114"/>
      <c r="F26" s="111"/>
      <c r="G26" s="111">
        <v>132400.0</v>
      </c>
      <c r="H26" s="111">
        <v>5296.0</v>
      </c>
      <c r="I26" s="124">
        <f>255*150</f>
        <v>38250</v>
      </c>
      <c r="J26" s="121">
        <f>255*6</f>
        <v>1530</v>
      </c>
      <c r="K26" s="124">
        <f>3334*150</f>
        <v>500100</v>
      </c>
      <c r="L26" s="121">
        <f>3334*6</f>
        <v>20004</v>
      </c>
      <c r="M26" s="118">
        <f t="shared" si="3"/>
        <v>538350</v>
      </c>
      <c r="N26" s="120">
        <f t="shared" si="4"/>
        <v>21534</v>
      </c>
      <c r="O26" s="20"/>
    </row>
    <row r="27" ht="27.0" customHeight="1">
      <c r="A27" s="126" t="s">
        <v>98</v>
      </c>
      <c r="B27" s="123" t="s">
        <v>84</v>
      </c>
      <c r="C27" s="113"/>
      <c r="D27" s="111"/>
      <c r="E27" s="114"/>
      <c r="F27" s="111"/>
      <c r="G27" s="111"/>
      <c r="H27" s="111"/>
      <c r="I27" s="124">
        <f>255*50</f>
        <v>12750</v>
      </c>
      <c r="J27" s="121">
        <f>255*0.6</f>
        <v>153</v>
      </c>
      <c r="K27" s="124">
        <f>3334*50</f>
        <v>166700</v>
      </c>
      <c r="L27" s="121">
        <f>3334*0.6</f>
        <v>2000.4</v>
      </c>
      <c r="M27" s="118">
        <f t="shared" si="3"/>
        <v>179450</v>
      </c>
      <c r="N27" s="120">
        <f t="shared" si="4"/>
        <v>2153.4</v>
      </c>
      <c r="O27" s="28"/>
    </row>
    <row r="28" ht="30.0" customHeight="1">
      <c r="A28" s="106" t="s">
        <v>99</v>
      </c>
      <c r="B28" s="112"/>
      <c r="C28" s="113"/>
      <c r="D28" s="111"/>
      <c r="E28" s="114"/>
      <c r="F28" s="111"/>
      <c r="G28" s="111"/>
      <c r="H28" s="111"/>
      <c r="I28" s="109"/>
      <c r="J28" s="109"/>
      <c r="K28" s="109"/>
      <c r="L28" s="109"/>
      <c r="M28" s="109"/>
      <c r="N28" s="109"/>
      <c r="O28" s="111"/>
    </row>
    <row r="29">
      <c r="A29" s="115" t="s">
        <v>100</v>
      </c>
      <c r="B29" s="112" t="s">
        <v>101</v>
      </c>
      <c r="C29" s="114">
        <v>200000.0</v>
      </c>
      <c r="D29" s="111">
        <v>200.0</v>
      </c>
      <c r="E29" s="114">
        <v>200000.0</v>
      </c>
      <c r="F29" s="111">
        <f>E29*1/1000</f>
        <v>200</v>
      </c>
      <c r="G29" s="111">
        <v>780000.0</v>
      </c>
      <c r="H29" s="111">
        <v>1200.0</v>
      </c>
      <c r="I29" s="127">
        <v>780000.0</v>
      </c>
      <c r="J29" s="128">
        <f>(I29/65000)*100</f>
        <v>1200</v>
      </c>
      <c r="K29" s="109"/>
      <c r="L29" s="109"/>
      <c r="M29" s="118">
        <f t="shared" ref="M29:N29" si="5">SUM(I29,K29)</f>
        <v>780000</v>
      </c>
      <c r="N29" s="120">
        <f t="shared" si="5"/>
        <v>1200</v>
      </c>
      <c r="O29" s="121" t="s">
        <v>102</v>
      </c>
    </row>
    <row r="30" ht="31.5" customHeight="1">
      <c r="A30" s="115" t="s">
        <v>103</v>
      </c>
      <c r="B30" s="112" t="s">
        <v>101</v>
      </c>
      <c r="C30" s="114">
        <v>1000000.0</v>
      </c>
      <c r="D30" s="111">
        <f>C30*0.0015</f>
        <v>1500</v>
      </c>
      <c r="E30" s="114">
        <v>500000.0</v>
      </c>
      <c r="F30" s="111">
        <f>E30*1.5/1000</f>
        <v>750</v>
      </c>
      <c r="G30" s="117"/>
      <c r="H30" s="117"/>
      <c r="I30" s="129"/>
      <c r="J30" s="129"/>
      <c r="K30" s="109"/>
      <c r="L30" s="109"/>
      <c r="M30" s="109"/>
      <c r="N30" s="109"/>
      <c r="O30" s="111"/>
    </row>
    <row r="31" ht="25.5" customHeight="1">
      <c r="A31" s="115" t="s">
        <v>104</v>
      </c>
      <c r="B31" s="112" t="s">
        <v>84</v>
      </c>
      <c r="C31" s="113">
        <v>12000.0</v>
      </c>
      <c r="D31" s="111">
        <v>540.0</v>
      </c>
      <c r="E31" s="114">
        <v>7000.0</v>
      </c>
      <c r="F31" s="111">
        <f>((70*1.35)+(70*1.411))</f>
        <v>193.27</v>
      </c>
      <c r="G31" s="117">
        <v>6000.0</v>
      </c>
      <c r="H31" s="117">
        <v>240.0</v>
      </c>
      <c r="I31" s="130">
        <f>(I29/13000)*100</f>
        <v>6000</v>
      </c>
      <c r="J31" s="119">
        <f>55*4</f>
        <v>220</v>
      </c>
      <c r="K31" s="109"/>
      <c r="L31" s="109"/>
      <c r="M31" s="118">
        <f t="shared" ref="M31:N31" si="6">SUM(I31,K31)</f>
        <v>6000</v>
      </c>
      <c r="N31" s="120">
        <f t="shared" si="6"/>
        <v>220</v>
      </c>
      <c r="O31" s="121" t="s">
        <v>102</v>
      </c>
    </row>
    <row r="32" ht="24.75" customHeight="1">
      <c r="A32" s="131" t="s">
        <v>105</v>
      </c>
      <c r="B32" s="112" t="s">
        <v>33</v>
      </c>
      <c r="C32" s="113"/>
      <c r="D32" s="111"/>
      <c r="E32" s="114"/>
      <c r="F32" s="111"/>
      <c r="G32" s="111">
        <v>5.0</v>
      </c>
      <c r="H32" s="111">
        <v>1250.0</v>
      </c>
      <c r="I32" s="109"/>
      <c r="J32" s="109"/>
      <c r="K32" s="109"/>
      <c r="L32" s="109"/>
      <c r="M32" s="109"/>
      <c r="N32" s="109"/>
      <c r="O32" s="111"/>
    </row>
    <row r="33" ht="27.75" customHeight="1">
      <c r="A33" s="106" t="s">
        <v>106</v>
      </c>
      <c r="B33" s="112"/>
      <c r="C33" s="113"/>
      <c r="D33" s="111"/>
      <c r="E33" s="114"/>
      <c r="F33" s="111"/>
      <c r="G33" s="111"/>
      <c r="H33" s="111"/>
      <c r="I33" s="109"/>
      <c r="J33" s="109"/>
      <c r="K33" s="109"/>
      <c r="L33" s="109"/>
      <c r="M33" s="109"/>
      <c r="N33" s="109"/>
      <c r="O33" s="111"/>
    </row>
    <row r="34" ht="27.75" customHeight="1">
      <c r="A34" s="115" t="s">
        <v>107</v>
      </c>
      <c r="B34" s="112" t="s">
        <v>84</v>
      </c>
      <c r="C34" s="113"/>
      <c r="D34" s="111"/>
      <c r="E34" s="114"/>
      <c r="F34" s="111"/>
      <c r="G34" s="111">
        <v>200.0</v>
      </c>
      <c r="H34" s="111">
        <v>120.0</v>
      </c>
      <c r="I34" s="132">
        <v>400.0</v>
      </c>
      <c r="J34" s="119">
        <f>(I34/10)*6</f>
        <v>240</v>
      </c>
      <c r="K34" s="109"/>
      <c r="L34" s="109"/>
      <c r="M34" s="118">
        <f t="shared" ref="M34:N34" si="7">SUM(I34,K34)</f>
        <v>400</v>
      </c>
      <c r="N34" s="120">
        <f t="shared" si="7"/>
        <v>240</v>
      </c>
      <c r="O34" s="121" t="s">
        <v>108</v>
      </c>
    </row>
    <row r="35" ht="28.5" customHeight="1">
      <c r="A35" s="115" t="s">
        <v>86</v>
      </c>
      <c r="B35" s="112" t="s">
        <v>84</v>
      </c>
      <c r="C35" s="113"/>
      <c r="D35" s="111"/>
      <c r="E35" s="114"/>
      <c r="F35" s="111"/>
      <c r="G35" s="111">
        <v>2000.0</v>
      </c>
      <c r="H35" s="111">
        <v>80.0</v>
      </c>
      <c r="I35" s="119">
        <f>(I34/10)*100</f>
        <v>4000</v>
      </c>
      <c r="J35" s="119">
        <f>(I35/100)*4</f>
        <v>160</v>
      </c>
      <c r="K35" s="109"/>
      <c r="L35" s="109"/>
      <c r="M35" s="118">
        <f t="shared" ref="M35:N35" si="8">SUM(I35,K35)</f>
        <v>4000</v>
      </c>
      <c r="N35" s="120">
        <f t="shared" si="8"/>
        <v>160</v>
      </c>
      <c r="O35" s="121" t="s">
        <v>108</v>
      </c>
    </row>
    <row r="36" ht="33.0" customHeight="1">
      <c r="A36" s="106" t="s">
        <v>109</v>
      </c>
      <c r="B36" s="112"/>
      <c r="C36" s="113"/>
      <c r="D36" s="111"/>
      <c r="E36" s="114"/>
      <c r="F36" s="111"/>
      <c r="G36" s="111"/>
      <c r="H36" s="111"/>
      <c r="I36" s="109"/>
      <c r="J36" s="109"/>
      <c r="K36" s="109"/>
      <c r="L36" s="109"/>
      <c r="M36" s="109"/>
      <c r="N36" s="109"/>
      <c r="O36" s="111"/>
    </row>
    <row r="37" ht="31.5" customHeight="1">
      <c r="A37" s="115" t="s">
        <v>110</v>
      </c>
      <c r="B37" s="112" t="s">
        <v>84</v>
      </c>
      <c r="C37" s="114">
        <v>1000.0</v>
      </c>
      <c r="D37" s="111">
        <v>50.0</v>
      </c>
      <c r="E37" s="114"/>
      <c r="F37" s="111"/>
      <c r="G37" s="117">
        <v>2375.0</v>
      </c>
      <c r="H37" s="117">
        <v>197.92</v>
      </c>
      <c r="I37" s="127">
        <v>2000.0</v>
      </c>
      <c r="J37" s="128">
        <f>(100/1200)*I37</f>
        <v>166.6666667</v>
      </c>
      <c r="K37" s="109"/>
      <c r="L37" s="109"/>
      <c r="M37" s="118">
        <f t="shared" ref="M37:N37" si="9">SUM(I37,K37)</f>
        <v>2000</v>
      </c>
      <c r="N37" s="120">
        <f t="shared" si="9"/>
        <v>166.6666667</v>
      </c>
      <c r="O37" s="121" t="s">
        <v>111</v>
      </c>
    </row>
    <row r="38" ht="30.0" customHeight="1">
      <c r="A38" s="115" t="s">
        <v>86</v>
      </c>
      <c r="B38" s="112" t="s">
        <v>84</v>
      </c>
      <c r="C38" s="114">
        <v>2500.0</v>
      </c>
      <c r="D38" s="111">
        <v>113.0</v>
      </c>
      <c r="E38" s="114"/>
      <c r="F38" s="111"/>
      <c r="G38" s="117">
        <v>9500.0</v>
      </c>
      <c r="H38" s="117">
        <v>380.0</v>
      </c>
      <c r="I38" s="119">
        <f>(I37/25)*100</f>
        <v>8000</v>
      </c>
      <c r="J38" s="119">
        <f>(I38/100)*4</f>
        <v>320</v>
      </c>
      <c r="K38" s="109"/>
      <c r="L38" s="109"/>
      <c r="M38" s="118">
        <f t="shared" ref="M38:N38" si="10">SUM(I38,K38)</f>
        <v>8000</v>
      </c>
      <c r="N38" s="120">
        <f t="shared" si="10"/>
        <v>320</v>
      </c>
      <c r="O38" s="121" t="s">
        <v>111</v>
      </c>
    </row>
    <row r="39" ht="48.0" customHeight="1">
      <c r="A39" s="133" t="s">
        <v>112</v>
      </c>
      <c r="B39" s="134"/>
      <c r="C39" s="108"/>
      <c r="D39" s="109"/>
      <c r="E39" s="110"/>
      <c r="F39" s="109"/>
      <c r="G39" s="109"/>
      <c r="H39" s="109"/>
      <c r="I39" s="109"/>
      <c r="J39" s="109"/>
      <c r="K39" s="109"/>
      <c r="L39" s="109"/>
      <c r="M39" s="109"/>
      <c r="N39" s="109"/>
      <c r="O39" s="111"/>
    </row>
    <row r="40" ht="33.75" customHeight="1">
      <c r="A40" s="135" t="s">
        <v>113</v>
      </c>
      <c r="B40" s="123" t="s">
        <v>84</v>
      </c>
      <c r="C40" s="108"/>
      <c r="D40" s="109"/>
      <c r="E40" s="110"/>
      <c r="F40" s="109"/>
      <c r="G40" s="136">
        <v>600.0</v>
      </c>
      <c r="H40" s="136">
        <v>45.0</v>
      </c>
      <c r="I40" s="121"/>
      <c r="J40" s="128"/>
      <c r="K40" s="111"/>
      <c r="L40" s="111"/>
      <c r="M40" s="111"/>
      <c r="N40" s="111"/>
      <c r="O40" s="111"/>
    </row>
    <row r="41" ht="27.75" customHeight="1">
      <c r="A41" s="135" t="s">
        <v>86</v>
      </c>
      <c r="B41" s="123" t="s">
        <v>84</v>
      </c>
      <c r="C41" s="108"/>
      <c r="D41" s="109"/>
      <c r="E41" s="110"/>
      <c r="F41" s="109"/>
      <c r="G41" s="136">
        <v>3000.0</v>
      </c>
      <c r="H41" s="136">
        <v>120.0</v>
      </c>
      <c r="I41" s="121"/>
      <c r="J41" s="128"/>
      <c r="K41" s="111"/>
      <c r="L41" s="111"/>
      <c r="M41" s="111"/>
      <c r="N41" s="111"/>
      <c r="O41" s="111"/>
    </row>
    <row r="42" ht="15.75" customHeight="1">
      <c r="A42" s="106"/>
      <c r="B42" s="112"/>
      <c r="C42" s="108"/>
      <c r="D42" s="109"/>
      <c r="E42" s="110"/>
      <c r="F42" s="109"/>
      <c r="G42" s="109"/>
      <c r="H42" s="109"/>
      <c r="I42" s="109"/>
      <c r="J42" s="109"/>
      <c r="K42" s="109"/>
      <c r="L42" s="109"/>
      <c r="M42" s="109"/>
      <c r="N42" s="109"/>
      <c r="O42" s="111"/>
    </row>
    <row r="43" ht="49.5" customHeight="1">
      <c r="A43" s="106" t="s">
        <v>114</v>
      </c>
      <c r="B43" s="112"/>
      <c r="C43" s="108"/>
      <c r="D43" s="109">
        <f>D45+D44</f>
        <v>530</v>
      </c>
      <c r="E43" s="110"/>
      <c r="F43" s="109">
        <f>F45+F44</f>
        <v>380</v>
      </c>
      <c r="G43" s="109"/>
      <c r="H43" s="109">
        <f>H45+H44</f>
        <v>0</v>
      </c>
      <c r="I43" s="109"/>
      <c r="J43" s="109">
        <f>J45+J44</f>
        <v>0</v>
      </c>
      <c r="K43" s="109"/>
      <c r="L43" s="109">
        <f>L45+L44</f>
        <v>0</v>
      </c>
      <c r="M43" s="109"/>
      <c r="N43" s="109">
        <f>N45+N44</f>
        <v>0</v>
      </c>
      <c r="O43" s="111"/>
    </row>
    <row r="44" ht="27.75" customHeight="1">
      <c r="A44" s="131" t="s">
        <v>115</v>
      </c>
      <c r="B44" s="112" t="s">
        <v>36</v>
      </c>
      <c r="C44" s="114">
        <v>1.0</v>
      </c>
      <c r="D44" s="111">
        <v>330.0</v>
      </c>
      <c r="E44" s="114">
        <v>1.0</v>
      </c>
      <c r="F44" s="111">
        <v>330.0</v>
      </c>
      <c r="G44" s="111"/>
      <c r="H44" s="111"/>
      <c r="I44" s="109"/>
      <c r="J44" s="109"/>
      <c r="K44" s="109"/>
      <c r="L44" s="109"/>
      <c r="M44" s="109"/>
      <c r="N44" s="109"/>
      <c r="O44" s="111"/>
    </row>
    <row r="45" ht="28.5" customHeight="1">
      <c r="A45" s="131" t="s">
        <v>116</v>
      </c>
      <c r="B45" s="112" t="s">
        <v>36</v>
      </c>
      <c r="C45" s="114">
        <v>4.0</v>
      </c>
      <c r="D45" s="111">
        <v>200.0</v>
      </c>
      <c r="E45" s="114">
        <v>1.0</v>
      </c>
      <c r="F45" s="111">
        <v>50.0</v>
      </c>
      <c r="G45" s="111"/>
      <c r="H45" s="111"/>
      <c r="I45" s="109"/>
      <c r="J45" s="109"/>
      <c r="K45" s="109"/>
      <c r="L45" s="109"/>
      <c r="M45" s="109"/>
      <c r="N45" s="109"/>
      <c r="O45" s="111"/>
    </row>
    <row r="46" ht="15.75" customHeight="1">
      <c r="A46" s="106"/>
      <c r="B46" s="112"/>
      <c r="C46" s="108"/>
      <c r="D46" s="109"/>
      <c r="E46" s="110"/>
      <c r="F46" s="109"/>
      <c r="G46" s="109"/>
      <c r="H46" s="109"/>
      <c r="I46" s="109"/>
      <c r="J46" s="109"/>
      <c r="K46" s="109"/>
      <c r="L46" s="109"/>
      <c r="M46" s="109"/>
      <c r="N46" s="109"/>
      <c r="O46" s="111"/>
    </row>
    <row r="47" ht="39.75" customHeight="1">
      <c r="A47" s="137" t="s">
        <v>117</v>
      </c>
      <c r="B47" s="112"/>
      <c r="C47" s="108"/>
      <c r="D47" s="109">
        <f>D48+D78</f>
        <v>10100</v>
      </c>
      <c r="E47" s="110"/>
      <c r="F47" s="109">
        <f>F48+F78</f>
        <v>7847.4306</v>
      </c>
      <c r="G47" s="109"/>
      <c r="H47" s="109">
        <f>H48+H78</f>
        <v>114400</v>
      </c>
      <c r="I47" s="109"/>
      <c r="J47" s="109">
        <f>J48+J78</f>
        <v>175300</v>
      </c>
      <c r="K47" s="109"/>
      <c r="L47" s="109">
        <f>L48+L78</f>
        <v>10000</v>
      </c>
      <c r="M47" s="109"/>
      <c r="N47" s="109">
        <f>N48+N78</f>
        <v>185300</v>
      </c>
      <c r="O47" s="111"/>
    </row>
    <row r="48" ht="42.0" customHeight="1">
      <c r="A48" s="137" t="s">
        <v>118</v>
      </c>
      <c r="B48" s="107"/>
      <c r="C48" s="108"/>
      <c r="D48" s="109">
        <f>SUM(D49:D76)</f>
        <v>8100</v>
      </c>
      <c r="E48" s="110"/>
      <c r="F48" s="109">
        <f>SUM(F49:F76)</f>
        <v>5847.4306</v>
      </c>
      <c r="G48" s="109"/>
      <c r="H48" s="109">
        <f>SUM(H49:H76)</f>
        <v>110400</v>
      </c>
      <c r="I48" s="109"/>
      <c r="J48" s="109">
        <f>SUM(J49:J76)</f>
        <v>171800</v>
      </c>
      <c r="K48" s="109"/>
      <c r="L48" s="109">
        <f>SUM(L49:L76)</f>
        <v>10000</v>
      </c>
      <c r="M48" s="109"/>
      <c r="N48" s="109">
        <f>SUM(N49:N76)</f>
        <v>181800</v>
      </c>
      <c r="O48" s="111"/>
    </row>
    <row r="49" ht="37.5" customHeight="1">
      <c r="A49" s="122" t="s">
        <v>119</v>
      </c>
      <c r="B49" s="123" t="s">
        <v>33</v>
      </c>
      <c r="C49" s="138"/>
      <c r="D49" s="111"/>
      <c r="E49" s="114"/>
      <c r="F49" s="111"/>
      <c r="G49" s="139"/>
      <c r="H49" s="139"/>
      <c r="I49" s="128">
        <v>1.0</v>
      </c>
      <c r="J49" s="128">
        <v>3100.0</v>
      </c>
      <c r="K49" s="109"/>
      <c r="L49" s="109"/>
      <c r="M49" s="118">
        <f t="shared" ref="M49:N49" si="11">SUM(I49,K49)</f>
        <v>1</v>
      </c>
      <c r="N49" s="120">
        <f t="shared" si="11"/>
        <v>3100</v>
      </c>
      <c r="O49" s="121" t="s">
        <v>111</v>
      </c>
    </row>
    <row r="50" ht="34.5" customHeight="1">
      <c r="A50" s="122" t="s">
        <v>120</v>
      </c>
      <c r="B50" s="123" t="s">
        <v>33</v>
      </c>
      <c r="C50" s="140"/>
      <c r="D50" s="111"/>
      <c r="E50" s="114"/>
      <c r="F50" s="111"/>
      <c r="G50" s="139"/>
      <c r="H50" s="139"/>
      <c r="I50" s="109"/>
      <c r="J50" s="109"/>
      <c r="K50" s="109"/>
      <c r="L50" s="109"/>
      <c r="M50" s="109"/>
      <c r="N50" s="109"/>
      <c r="O50" s="111"/>
    </row>
    <row r="51" ht="15.75" hidden="1" customHeight="1">
      <c r="A51" s="122" t="s">
        <v>121</v>
      </c>
      <c r="B51" s="123" t="s">
        <v>33</v>
      </c>
      <c r="C51" s="140"/>
      <c r="D51" s="111"/>
      <c r="E51" s="114"/>
      <c r="F51" s="111"/>
      <c r="G51" s="139"/>
      <c r="H51" s="139"/>
      <c r="I51" s="109"/>
      <c r="J51" s="109"/>
      <c r="K51" s="109"/>
      <c r="L51" s="109"/>
      <c r="M51" s="109"/>
      <c r="N51" s="109"/>
      <c r="O51" s="111"/>
    </row>
    <row r="52" ht="15.75" hidden="1" customHeight="1">
      <c r="A52" s="122" t="s">
        <v>122</v>
      </c>
      <c r="B52" s="123" t="s">
        <v>33</v>
      </c>
      <c r="C52" s="140"/>
      <c r="D52" s="111"/>
      <c r="E52" s="114"/>
      <c r="F52" s="111"/>
      <c r="G52" s="139"/>
      <c r="H52" s="139"/>
      <c r="I52" s="109"/>
      <c r="J52" s="109"/>
      <c r="K52" s="109"/>
      <c r="L52" s="109"/>
      <c r="M52" s="109"/>
      <c r="N52" s="109"/>
      <c r="O52" s="111"/>
    </row>
    <row r="53" ht="30.75" customHeight="1">
      <c r="A53" s="122" t="s">
        <v>123</v>
      </c>
      <c r="B53" s="123" t="s">
        <v>33</v>
      </c>
      <c r="C53" s="140">
        <v>1.0</v>
      </c>
      <c r="D53" s="139">
        <v>200.0</v>
      </c>
      <c r="E53" s="141"/>
      <c r="F53" s="139"/>
      <c r="G53" s="139"/>
      <c r="H53" s="139"/>
      <c r="I53" s="121">
        <v>1.0</v>
      </c>
      <c r="J53" s="121">
        <v>200.0</v>
      </c>
      <c r="K53" s="109"/>
      <c r="L53" s="109"/>
      <c r="M53" s="118">
        <f t="shared" ref="M53:N53" si="12">SUM(I53,K53)</f>
        <v>1</v>
      </c>
      <c r="N53" s="120">
        <f t="shared" si="12"/>
        <v>200</v>
      </c>
      <c r="O53" s="121" t="s">
        <v>108</v>
      </c>
    </row>
    <row r="54" ht="25.5" customHeight="1">
      <c r="A54" s="122" t="s">
        <v>124</v>
      </c>
      <c r="B54" s="123" t="s">
        <v>33</v>
      </c>
      <c r="C54" s="140"/>
      <c r="D54" s="111"/>
      <c r="E54" s="114"/>
      <c r="F54" s="111"/>
      <c r="G54" s="139"/>
      <c r="H54" s="139"/>
      <c r="I54" s="109"/>
      <c r="J54" s="109"/>
      <c r="K54" s="109"/>
      <c r="L54" s="109"/>
      <c r="M54" s="109"/>
      <c r="N54" s="109"/>
      <c r="O54" s="111"/>
    </row>
    <row r="55" ht="30.75" customHeight="1">
      <c r="A55" s="122" t="s">
        <v>125</v>
      </c>
      <c r="B55" s="123" t="s">
        <v>33</v>
      </c>
      <c r="C55" s="140">
        <v>5.0</v>
      </c>
      <c r="D55" s="139">
        <v>1500.0</v>
      </c>
      <c r="E55" s="141">
        <v>4.0</v>
      </c>
      <c r="F55" s="139">
        <f>E55*255</f>
        <v>1020</v>
      </c>
      <c r="G55" s="139">
        <v>5.0</v>
      </c>
      <c r="H55" s="139">
        <v>1500.0</v>
      </c>
      <c r="I55" s="109"/>
      <c r="J55" s="109"/>
      <c r="K55" s="109"/>
      <c r="L55" s="109"/>
      <c r="M55" s="109"/>
      <c r="N55" s="109"/>
      <c r="O55" s="111"/>
    </row>
    <row r="56" ht="24.75" customHeight="1">
      <c r="A56" s="122" t="s">
        <v>126</v>
      </c>
      <c r="B56" s="123" t="s">
        <v>33</v>
      </c>
      <c r="C56" s="140"/>
      <c r="D56" s="111"/>
      <c r="E56" s="114"/>
      <c r="F56" s="111"/>
      <c r="G56" s="139">
        <v>1.0</v>
      </c>
      <c r="H56" s="139">
        <v>2100.0</v>
      </c>
      <c r="I56" s="128">
        <v>1.0</v>
      </c>
      <c r="J56" s="128">
        <v>2100.0</v>
      </c>
      <c r="K56" s="109"/>
      <c r="L56" s="109"/>
      <c r="M56" s="118">
        <f t="shared" ref="M56:N56" si="13">SUM(I56,K56)</f>
        <v>1</v>
      </c>
      <c r="N56" s="120">
        <f t="shared" si="13"/>
        <v>2100</v>
      </c>
      <c r="O56" s="121" t="s">
        <v>108</v>
      </c>
    </row>
    <row r="57" ht="37.5" customHeight="1">
      <c r="A57" s="122" t="s">
        <v>127</v>
      </c>
      <c r="B57" s="123" t="s">
        <v>33</v>
      </c>
      <c r="C57" s="140">
        <v>1.0</v>
      </c>
      <c r="D57" s="111">
        <v>2200.0</v>
      </c>
      <c r="E57" s="118">
        <v>1.0</v>
      </c>
      <c r="F57" s="119">
        <f>E57* 1962.59</f>
        <v>1962.59</v>
      </c>
      <c r="G57" s="139"/>
      <c r="H57" s="139"/>
      <c r="I57" s="127">
        <v>3.0</v>
      </c>
      <c r="J57" s="142">
        <f>I57*2300</f>
        <v>6900</v>
      </c>
      <c r="K57" s="109"/>
      <c r="L57" s="109"/>
      <c r="M57" s="118">
        <f t="shared" ref="M57:N57" si="14">SUM(I57,K57)</f>
        <v>3</v>
      </c>
      <c r="N57" s="120">
        <f t="shared" si="14"/>
        <v>6900</v>
      </c>
      <c r="O57" s="121" t="s">
        <v>102</v>
      </c>
    </row>
    <row r="58" ht="42.75" customHeight="1">
      <c r="A58" s="122" t="s">
        <v>128</v>
      </c>
      <c r="B58" s="123" t="s">
        <v>33</v>
      </c>
      <c r="C58" s="140"/>
      <c r="D58" s="111"/>
      <c r="E58" s="114"/>
      <c r="F58" s="111"/>
      <c r="G58" s="139"/>
      <c r="H58" s="139"/>
      <c r="I58" s="121">
        <v>1.0</v>
      </c>
      <c r="J58" s="121">
        <v>8000.0</v>
      </c>
      <c r="K58" s="109"/>
      <c r="L58" s="109"/>
      <c r="M58" s="118">
        <f t="shared" ref="M58:N58" si="15">SUM(I58,K58)</f>
        <v>1</v>
      </c>
      <c r="N58" s="120">
        <f t="shared" si="15"/>
        <v>8000</v>
      </c>
      <c r="O58" s="121" t="s">
        <v>108</v>
      </c>
    </row>
    <row r="59" ht="24.75" customHeight="1">
      <c r="A59" s="122" t="s">
        <v>129</v>
      </c>
      <c r="B59" s="123" t="s">
        <v>33</v>
      </c>
      <c r="C59" s="140">
        <v>1.0</v>
      </c>
      <c r="D59" s="111">
        <v>2200.0</v>
      </c>
      <c r="E59" s="114"/>
      <c r="F59" s="111"/>
      <c r="G59" s="139"/>
      <c r="H59" s="139"/>
      <c r="I59" s="109"/>
      <c r="J59" s="109"/>
      <c r="K59" s="109"/>
      <c r="L59" s="109"/>
      <c r="M59" s="109"/>
      <c r="N59" s="109"/>
      <c r="O59" s="111"/>
    </row>
    <row r="60" ht="24.0" customHeight="1">
      <c r="A60" s="143" t="s">
        <v>41</v>
      </c>
      <c r="B60" s="144" t="s">
        <v>33</v>
      </c>
      <c r="C60" s="145"/>
      <c r="D60" s="129"/>
      <c r="E60" s="129"/>
      <c r="F60" s="129"/>
      <c r="G60" s="128"/>
      <c r="H60" s="142"/>
      <c r="I60" s="128">
        <v>1.0</v>
      </c>
      <c r="J60" s="142">
        <v>1500.0</v>
      </c>
      <c r="K60" s="109"/>
      <c r="L60" s="109"/>
      <c r="M60" s="118">
        <f t="shared" ref="M60:N60" si="16">SUM(I60,K60)</f>
        <v>1</v>
      </c>
      <c r="N60" s="120">
        <f t="shared" si="16"/>
        <v>1500</v>
      </c>
      <c r="O60" s="121" t="s">
        <v>108</v>
      </c>
    </row>
    <row r="61" ht="24.75" customHeight="1">
      <c r="A61" s="122" t="s">
        <v>44</v>
      </c>
      <c r="B61" s="123" t="s">
        <v>33</v>
      </c>
      <c r="C61" s="140"/>
      <c r="D61" s="111"/>
      <c r="E61" s="114"/>
      <c r="F61" s="111"/>
      <c r="G61" s="139"/>
      <c r="H61" s="139"/>
      <c r="I61" s="109"/>
      <c r="J61" s="109"/>
      <c r="K61" s="109"/>
      <c r="L61" s="109"/>
      <c r="M61" s="109"/>
      <c r="N61" s="109"/>
      <c r="O61" s="111"/>
    </row>
    <row r="62" ht="36.0" customHeight="1">
      <c r="A62" s="122" t="s">
        <v>105</v>
      </c>
      <c r="B62" s="123" t="s">
        <v>33</v>
      </c>
      <c r="C62" s="140">
        <v>5.0</v>
      </c>
      <c r="D62" s="111">
        <v>1000.0</v>
      </c>
      <c r="E62" s="114">
        <v>10.0</v>
      </c>
      <c r="F62" s="111">
        <v>2000.0</v>
      </c>
      <c r="G62" s="111"/>
      <c r="H62" s="111"/>
      <c r="I62" s="109"/>
      <c r="J62" s="109"/>
      <c r="K62" s="109"/>
      <c r="L62" s="109"/>
      <c r="M62" s="109"/>
      <c r="N62" s="109"/>
      <c r="O62" s="111"/>
    </row>
    <row r="63" ht="27.75" customHeight="1">
      <c r="A63" s="122" t="s">
        <v>130</v>
      </c>
      <c r="B63" s="123" t="s">
        <v>33</v>
      </c>
      <c r="C63" s="140"/>
      <c r="D63" s="111"/>
      <c r="E63" s="114"/>
      <c r="F63" s="111"/>
      <c r="G63" s="139">
        <v>1.0</v>
      </c>
      <c r="H63" s="139">
        <v>300.0</v>
      </c>
      <c r="I63" s="109"/>
      <c r="J63" s="109"/>
      <c r="K63" s="109"/>
      <c r="L63" s="109"/>
      <c r="M63" s="109"/>
      <c r="N63" s="109"/>
      <c r="O63" s="111"/>
    </row>
    <row r="64" ht="15.75" hidden="1" customHeight="1">
      <c r="A64" s="122" t="s">
        <v>131</v>
      </c>
      <c r="B64" s="123" t="s">
        <v>33</v>
      </c>
      <c r="C64" s="140"/>
      <c r="D64" s="111"/>
      <c r="E64" s="114"/>
      <c r="F64" s="111"/>
      <c r="G64" s="139"/>
      <c r="H64" s="139"/>
      <c r="I64" s="109"/>
      <c r="J64" s="109"/>
      <c r="K64" s="109"/>
      <c r="L64" s="109"/>
      <c r="M64" s="109"/>
      <c r="N64" s="109"/>
      <c r="O64" s="111"/>
    </row>
    <row r="65" ht="15.75" hidden="1" customHeight="1">
      <c r="A65" s="122" t="s">
        <v>132</v>
      </c>
      <c r="B65" s="123" t="s">
        <v>33</v>
      </c>
      <c r="C65" s="140"/>
      <c r="D65" s="111"/>
      <c r="E65" s="114"/>
      <c r="F65" s="111"/>
      <c r="G65" s="139"/>
      <c r="H65" s="139"/>
      <c r="I65" s="109"/>
      <c r="J65" s="109"/>
      <c r="K65" s="109"/>
      <c r="L65" s="109"/>
      <c r="M65" s="109"/>
      <c r="N65" s="109"/>
      <c r="O65" s="111"/>
    </row>
    <row r="66" ht="15.75" hidden="1" customHeight="1">
      <c r="A66" s="122" t="s">
        <v>133</v>
      </c>
      <c r="B66" s="123" t="s">
        <v>33</v>
      </c>
      <c r="C66" s="140"/>
      <c r="D66" s="111"/>
      <c r="E66" s="114"/>
      <c r="F66" s="111"/>
      <c r="G66" s="139"/>
      <c r="H66" s="139"/>
      <c r="I66" s="109"/>
      <c r="J66" s="109"/>
      <c r="K66" s="109"/>
      <c r="L66" s="109"/>
      <c r="M66" s="109"/>
      <c r="N66" s="109"/>
      <c r="O66" s="111"/>
    </row>
    <row r="67" ht="15.75" hidden="1" customHeight="1">
      <c r="A67" s="122" t="s">
        <v>134</v>
      </c>
      <c r="B67" s="123" t="s">
        <v>33</v>
      </c>
      <c r="C67" s="140"/>
      <c r="D67" s="111"/>
      <c r="E67" s="114"/>
      <c r="F67" s="111"/>
      <c r="G67" s="139"/>
      <c r="H67" s="139"/>
      <c r="I67" s="109"/>
      <c r="J67" s="109"/>
      <c r="K67" s="109"/>
      <c r="L67" s="109"/>
      <c r="M67" s="109"/>
      <c r="N67" s="109"/>
      <c r="O67" s="111"/>
    </row>
    <row r="68" ht="15.75" hidden="1" customHeight="1">
      <c r="A68" s="122" t="s">
        <v>135</v>
      </c>
      <c r="B68" s="123" t="s">
        <v>33</v>
      </c>
      <c r="C68" s="140"/>
      <c r="D68" s="111"/>
      <c r="E68" s="114"/>
      <c r="F68" s="111"/>
      <c r="G68" s="139"/>
      <c r="H68" s="139"/>
      <c r="I68" s="109"/>
      <c r="J68" s="109"/>
      <c r="K68" s="109"/>
      <c r="L68" s="109"/>
      <c r="M68" s="109"/>
      <c r="N68" s="109"/>
      <c r="O68" s="111"/>
    </row>
    <row r="69" ht="15.75" hidden="1" customHeight="1">
      <c r="A69" s="122" t="s">
        <v>136</v>
      </c>
      <c r="B69" s="123" t="s">
        <v>33</v>
      </c>
      <c r="C69" s="140"/>
      <c r="D69" s="111"/>
      <c r="E69" s="114"/>
      <c r="F69" s="111"/>
      <c r="G69" s="139"/>
      <c r="H69" s="139"/>
      <c r="I69" s="109"/>
      <c r="J69" s="109"/>
      <c r="K69" s="109"/>
      <c r="L69" s="109"/>
      <c r="M69" s="109"/>
      <c r="N69" s="109"/>
      <c r="O69" s="111"/>
    </row>
    <row r="70" ht="43.5" customHeight="1">
      <c r="A70" s="122" t="s">
        <v>137</v>
      </c>
      <c r="B70" s="123" t="s">
        <v>33</v>
      </c>
      <c r="C70" s="140">
        <v>1.0</v>
      </c>
      <c r="D70" s="111">
        <v>1000.0</v>
      </c>
      <c r="E70" s="114">
        <v>1.0</v>
      </c>
      <c r="F70" s="111">
        <v>864.8406</v>
      </c>
      <c r="G70" s="139">
        <v>1.0</v>
      </c>
      <c r="H70" s="139">
        <v>1000.0</v>
      </c>
      <c r="I70" s="109"/>
      <c r="J70" s="109"/>
      <c r="K70" s="109"/>
      <c r="L70" s="109"/>
      <c r="M70" s="109"/>
      <c r="N70" s="109"/>
      <c r="O70" s="111"/>
    </row>
    <row r="71" ht="30.75" customHeight="1">
      <c r="A71" s="122" t="s">
        <v>138</v>
      </c>
      <c r="B71" s="123" t="s">
        <v>33</v>
      </c>
      <c r="C71" s="140"/>
      <c r="D71" s="111"/>
      <c r="E71" s="114"/>
      <c r="F71" s="111"/>
      <c r="G71" s="139">
        <v>1.0</v>
      </c>
      <c r="H71" s="139">
        <v>12500.0</v>
      </c>
      <c r="I71" s="109"/>
      <c r="J71" s="109"/>
      <c r="K71" s="121">
        <v>1.0</v>
      </c>
      <c r="L71" s="121">
        <v>10000.0</v>
      </c>
      <c r="M71" s="118">
        <f t="shared" ref="M71:N71" si="17">SUM(I71,K71)</f>
        <v>1</v>
      </c>
      <c r="N71" s="120">
        <f t="shared" si="17"/>
        <v>10000</v>
      </c>
      <c r="O71" s="121" t="s">
        <v>111</v>
      </c>
    </row>
    <row r="72" ht="25.5" customHeight="1">
      <c r="A72" s="122" t="s">
        <v>139</v>
      </c>
      <c r="B72" s="123" t="s">
        <v>33</v>
      </c>
      <c r="C72" s="140"/>
      <c r="D72" s="111"/>
      <c r="E72" s="114"/>
      <c r="F72" s="111"/>
      <c r="G72" s="139">
        <v>1.0</v>
      </c>
      <c r="H72" s="139">
        <v>93000.0</v>
      </c>
      <c r="I72" s="109"/>
      <c r="J72" s="109"/>
      <c r="K72" s="109"/>
      <c r="L72" s="109"/>
      <c r="M72" s="109"/>
      <c r="N72" s="109"/>
      <c r="O72" s="111"/>
    </row>
    <row r="73" ht="30.0" customHeight="1">
      <c r="A73" s="122" t="s">
        <v>140</v>
      </c>
      <c r="B73" s="123"/>
      <c r="C73" s="140"/>
      <c r="D73" s="111"/>
      <c r="E73" s="114"/>
      <c r="F73" s="111"/>
      <c r="G73" s="139"/>
      <c r="H73" s="139"/>
      <c r="I73" s="121">
        <v>1.0</v>
      </c>
      <c r="J73" s="121">
        <v>150000.0</v>
      </c>
      <c r="K73" s="109"/>
      <c r="L73" s="109"/>
      <c r="M73" s="118">
        <f t="shared" ref="M73:N73" si="18">SUM(I73,K73)</f>
        <v>1</v>
      </c>
      <c r="N73" s="120">
        <f t="shared" si="18"/>
        <v>150000</v>
      </c>
      <c r="O73" s="121" t="s">
        <v>108</v>
      </c>
    </row>
    <row r="74" ht="30.0" customHeight="1">
      <c r="A74" s="122" t="s">
        <v>141</v>
      </c>
      <c r="B74" s="123" t="s">
        <v>33</v>
      </c>
      <c r="C74" s="140"/>
      <c r="D74" s="111"/>
      <c r="E74" s="114"/>
      <c r="F74" s="111"/>
      <c r="G74" s="139"/>
      <c r="H74" s="139"/>
      <c r="I74" s="109"/>
      <c r="J74" s="109"/>
      <c r="K74" s="109"/>
      <c r="L74" s="109"/>
      <c r="M74" s="109"/>
      <c r="N74" s="109"/>
      <c r="O74" s="111"/>
    </row>
    <row r="75" ht="27.0" customHeight="1">
      <c r="A75" s="122" t="s">
        <v>142</v>
      </c>
      <c r="B75" s="123" t="s">
        <v>33</v>
      </c>
      <c r="C75" s="140"/>
      <c r="D75" s="111"/>
      <c r="E75" s="114"/>
      <c r="F75" s="111"/>
      <c r="G75" s="139"/>
      <c r="H75" s="139"/>
      <c r="I75" s="109"/>
      <c r="J75" s="109"/>
      <c r="K75" s="109"/>
      <c r="L75" s="109"/>
      <c r="M75" s="109"/>
      <c r="N75" s="109"/>
      <c r="O75" s="111"/>
    </row>
    <row r="76" ht="27.75" customHeight="1">
      <c r="A76" s="122" t="s">
        <v>143</v>
      </c>
      <c r="B76" s="123" t="s">
        <v>33</v>
      </c>
      <c r="C76" s="140"/>
      <c r="D76" s="111"/>
      <c r="E76" s="114"/>
      <c r="F76" s="111"/>
      <c r="G76" s="139"/>
      <c r="H76" s="139"/>
      <c r="I76" s="109"/>
      <c r="J76" s="109"/>
      <c r="K76" s="109"/>
      <c r="L76" s="109"/>
      <c r="M76" s="109"/>
      <c r="N76" s="109"/>
      <c r="O76" s="111"/>
    </row>
    <row r="77" ht="27.75" customHeight="1">
      <c r="A77" s="137"/>
      <c r="B77" s="146"/>
      <c r="C77" s="147"/>
      <c r="D77" s="148"/>
      <c r="E77" s="149"/>
      <c r="F77" s="148"/>
      <c r="G77" s="148"/>
      <c r="H77" s="148"/>
      <c r="I77" s="109"/>
      <c r="J77" s="109"/>
      <c r="K77" s="109"/>
      <c r="L77" s="109"/>
      <c r="M77" s="109"/>
      <c r="N77" s="109"/>
      <c r="O77" s="111"/>
    </row>
    <row r="78" ht="43.5" customHeight="1">
      <c r="A78" s="137" t="s">
        <v>144</v>
      </c>
      <c r="B78" s="146"/>
      <c r="C78" s="147"/>
      <c r="D78" s="148">
        <f>SUM(D79:D80)</f>
        <v>2000</v>
      </c>
      <c r="E78" s="149"/>
      <c r="F78" s="148">
        <f>SUM(F79:F80)</f>
        <v>2000</v>
      </c>
      <c r="G78" s="148"/>
      <c r="H78" s="148">
        <f>SUM(H79:H80)</f>
        <v>4000</v>
      </c>
      <c r="I78" s="148"/>
      <c r="J78" s="148">
        <f>SUM(J79:J80)</f>
        <v>3500</v>
      </c>
      <c r="K78" s="148"/>
      <c r="L78" s="148">
        <f>SUM(L79:L80)</f>
        <v>0</v>
      </c>
      <c r="M78" s="148"/>
      <c r="N78" s="148">
        <f>SUM(N79:N80)</f>
        <v>3500</v>
      </c>
      <c r="O78" s="111"/>
    </row>
    <row r="79" ht="21.0" customHeight="1">
      <c r="A79" s="122" t="s">
        <v>145</v>
      </c>
      <c r="B79" s="123" t="s">
        <v>146</v>
      </c>
      <c r="C79" s="141">
        <v>20.0</v>
      </c>
      <c r="D79" s="139">
        <v>2000.0</v>
      </c>
      <c r="E79" s="141">
        <v>20.0</v>
      </c>
      <c r="F79" s="139">
        <v>2000.0</v>
      </c>
      <c r="G79" s="139">
        <v>40.0</v>
      </c>
      <c r="H79" s="139">
        <v>4000.0</v>
      </c>
      <c r="I79" s="128">
        <v>20.0</v>
      </c>
      <c r="J79" s="142">
        <f>I79*125</f>
        <v>2500</v>
      </c>
      <c r="K79" s="109"/>
      <c r="L79" s="109"/>
      <c r="M79" s="118">
        <f t="shared" ref="M79:N79" si="19">SUM(I79,K79)</f>
        <v>20</v>
      </c>
      <c r="N79" s="120">
        <f t="shared" si="19"/>
        <v>2500</v>
      </c>
      <c r="O79" s="121" t="s">
        <v>111</v>
      </c>
    </row>
    <row r="80" ht="28.5" customHeight="1">
      <c r="A80" s="122" t="s">
        <v>147</v>
      </c>
      <c r="B80" s="123" t="s">
        <v>146</v>
      </c>
      <c r="C80" s="140"/>
      <c r="D80" s="150"/>
      <c r="E80" s="151"/>
      <c r="F80" s="150"/>
      <c r="G80" s="139"/>
      <c r="H80" s="139"/>
      <c r="I80" s="152">
        <v>1.0</v>
      </c>
      <c r="J80" s="142">
        <v>1000.0</v>
      </c>
      <c r="K80" s="109"/>
      <c r="L80" s="109"/>
      <c r="M80" s="118">
        <f t="shared" ref="M80:N80" si="20">SUM(I80,K80)</f>
        <v>1</v>
      </c>
      <c r="N80" s="120">
        <f t="shared" si="20"/>
        <v>1000</v>
      </c>
      <c r="O80" s="121" t="s">
        <v>111</v>
      </c>
    </row>
    <row r="81" ht="15.75" customHeight="1">
      <c r="A81" s="153"/>
      <c r="B81" s="154"/>
      <c r="C81" s="138"/>
      <c r="D81" s="155"/>
      <c r="E81" s="151"/>
      <c r="F81" s="155"/>
      <c r="G81" s="150"/>
      <c r="H81" s="150"/>
      <c r="I81" s="109"/>
      <c r="J81" s="109"/>
      <c r="K81" s="109"/>
      <c r="L81" s="109"/>
      <c r="M81" s="109"/>
      <c r="N81" s="109"/>
      <c r="O81" s="111"/>
    </row>
    <row r="82" ht="24.75" customHeight="1">
      <c r="A82" s="156" t="s">
        <v>63</v>
      </c>
      <c r="B82" s="112"/>
      <c r="C82" s="108"/>
      <c r="D82" s="109">
        <f>SUM(D11,D48,D43,D78)</f>
        <v>79281.5</v>
      </c>
      <c r="E82" s="110"/>
      <c r="F82" s="109">
        <f>F78+F48+F11</f>
        <v>63725.2696</v>
      </c>
      <c r="G82" s="109"/>
      <c r="H82" s="109">
        <f>H78+H48+H11</f>
        <v>185703.92</v>
      </c>
      <c r="I82" s="109"/>
      <c r="J82" s="109">
        <f>J11+J47</f>
        <v>187569.6667</v>
      </c>
      <c r="K82" s="109"/>
      <c r="L82" s="109">
        <f>L11+L47</f>
        <v>154954.4</v>
      </c>
      <c r="M82" s="109"/>
      <c r="N82" s="109">
        <f>N11+N47</f>
        <v>342524.0667</v>
      </c>
      <c r="O82" s="111"/>
    </row>
    <row r="83" ht="15.75" customHeight="1">
      <c r="A83" s="157" t="s">
        <v>68</v>
      </c>
      <c r="B83" s="82"/>
      <c r="C83" s="157" t="s">
        <v>71</v>
      </c>
      <c r="D83" s="82"/>
      <c r="E83" s="158"/>
      <c r="F83" s="82"/>
      <c r="G83" s="82"/>
      <c r="H83" s="82"/>
      <c r="I83" s="82"/>
      <c r="J83" s="82"/>
      <c r="K83" s="82"/>
      <c r="L83" s="82"/>
      <c r="M83" s="82"/>
      <c r="N83" s="82"/>
      <c r="O83" s="82"/>
    </row>
    <row r="84" ht="15.75" customHeight="1">
      <c r="A84" s="159"/>
      <c r="B84" s="159"/>
      <c r="C84" s="160"/>
      <c r="D84" s="159"/>
      <c r="E84" s="161"/>
      <c r="F84" s="159"/>
      <c r="G84" s="162"/>
      <c r="H84" s="162"/>
      <c r="I84" s="163"/>
      <c r="J84" s="163"/>
      <c r="K84" s="163"/>
      <c r="L84" s="163"/>
      <c r="M84" s="163"/>
      <c r="N84" s="163"/>
      <c r="O84" s="163"/>
    </row>
    <row r="85" ht="20.25" customHeight="1">
      <c r="A85" s="164"/>
      <c r="B85" s="165"/>
      <c r="C85" s="165"/>
      <c r="D85" s="165"/>
      <c r="E85" s="166"/>
      <c r="F85" s="165"/>
      <c r="G85" s="165"/>
      <c r="H85" s="165"/>
      <c r="I85" s="167"/>
      <c r="J85" s="167"/>
      <c r="K85" s="167"/>
      <c r="L85" s="167"/>
      <c r="M85" s="167"/>
      <c r="N85" s="167"/>
      <c r="O85" s="167"/>
    </row>
    <row r="86">
      <c r="A86" s="168" t="s">
        <v>64</v>
      </c>
      <c r="B86" s="169"/>
      <c r="C86" s="65" t="s">
        <v>65</v>
      </c>
      <c r="D86" s="170"/>
      <c r="G86" s="65" t="s">
        <v>66</v>
      </c>
      <c r="H86" s="171"/>
      <c r="I86" s="167"/>
      <c r="J86" s="167"/>
      <c r="K86" s="167"/>
      <c r="L86" s="167"/>
      <c r="M86" s="167"/>
      <c r="N86" s="167"/>
      <c r="O86" s="167"/>
    </row>
    <row r="87" ht="16.5" customHeight="1">
      <c r="A87" s="172"/>
      <c r="B87" s="169"/>
      <c r="C87" s="86"/>
      <c r="D87" s="170"/>
      <c r="G87" s="86"/>
      <c r="H87" s="171"/>
      <c r="I87" s="83"/>
      <c r="J87" s="83"/>
      <c r="K87" s="83"/>
      <c r="L87" s="83"/>
      <c r="M87" s="83"/>
      <c r="N87" s="83"/>
      <c r="O87" s="83"/>
    </row>
    <row r="88" ht="16.5" customHeight="1">
      <c r="A88" s="172"/>
      <c r="B88" s="169"/>
      <c r="C88" s="86"/>
      <c r="D88" s="170"/>
      <c r="G88" s="86"/>
      <c r="H88" s="171"/>
      <c r="I88" s="83"/>
      <c r="J88" s="83"/>
      <c r="K88" s="83"/>
      <c r="L88" s="83"/>
      <c r="M88" s="83"/>
      <c r="N88" s="83"/>
      <c r="O88" s="83"/>
    </row>
    <row r="89">
      <c r="A89" s="173" t="s">
        <v>67</v>
      </c>
      <c r="B89" s="169"/>
      <c r="C89" s="72" t="s">
        <v>69</v>
      </c>
      <c r="D89" s="174"/>
      <c r="G89" s="72" t="s">
        <v>70</v>
      </c>
      <c r="H89" s="171"/>
      <c r="I89" s="83"/>
      <c r="J89" s="83"/>
      <c r="K89" s="83"/>
      <c r="L89" s="83"/>
      <c r="M89" s="83"/>
      <c r="N89" s="83"/>
      <c r="O89" s="83"/>
    </row>
    <row r="90">
      <c r="A90" s="168" t="s">
        <v>68</v>
      </c>
      <c r="B90" s="169"/>
      <c r="C90" s="65" t="s">
        <v>71</v>
      </c>
      <c r="D90" s="87"/>
      <c r="G90" s="65" t="s">
        <v>72</v>
      </c>
      <c r="H90" s="171"/>
      <c r="I90" s="83"/>
      <c r="J90" s="83"/>
      <c r="K90" s="83"/>
      <c r="L90" s="83"/>
      <c r="M90" s="83"/>
      <c r="N90" s="83"/>
      <c r="O90" s="83"/>
    </row>
    <row r="91" ht="16.5" customHeight="1">
      <c r="A91" s="83"/>
      <c r="B91" s="175"/>
      <c r="C91" s="83"/>
      <c r="D91" s="83"/>
      <c r="E91" s="84"/>
      <c r="F91" s="83"/>
      <c r="G91" s="83"/>
      <c r="H91" s="83"/>
      <c r="I91" s="83"/>
      <c r="J91" s="83"/>
      <c r="K91" s="83"/>
      <c r="L91" s="83"/>
      <c r="M91" s="83"/>
      <c r="N91" s="83"/>
      <c r="O91" s="83"/>
    </row>
    <row r="92" ht="16.5" customHeight="1">
      <c r="A92" s="83"/>
      <c r="B92" s="175"/>
      <c r="C92" s="83"/>
      <c r="D92" s="83"/>
      <c r="E92" s="84"/>
      <c r="F92" s="83"/>
      <c r="G92" s="83"/>
      <c r="H92" s="83"/>
      <c r="I92" s="83"/>
      <c r="J92" s="83"/>
      <c r="K92" s="83"/>
      <c r="L92" s="83"/>
      <c r="M92" s="83"/>
      <c r="N92" s="83"/>
      <c r="O92" s="83"/>
    </row>
    <row r="93" ht="16.5" customHeight="1">
      <c r="A93" s="83"/>
      <c r="B93" s="175"/>
      <c r="C93" s="83"/>
      <c r="D93" s="83"/>
      <c r="E93" s="84"/>
      <c r="F93" s="83"/>
      <c r="G93" s="83"/>
      <c r="H93" s="83"/>
      <c r="I93" s="83"/>
      <c r="J93" s="83"/>
      <c r="K93" s="83"/>
      <c r="L93" s="83"/>
      <c r="M93" s="83"/>
      <c r="N93" s="83"/>
      <c r="O93" s="83"/>
    </row>
    <row r="94" ht="16.5" customHeight="1">
      <c r="A94" s="83"/>
      <c r="B94" s="175"/>
      <c r="C94" s="83"/>
      <c r="D94" s="83"/>
      <c r="E94" s="84"/>
      <c r="F94" s="83"/>
      <c r="G94" s="83"/>
      <c r="H94" s="83"/>
      <c r="I94" s="83"/>
      <c r="J94" s="83"/>
      <c r="K94" s="83"/>
      <c r="L94" s="83"/>
      <c r="M94" s="83"/>
      <c r="N94" s="83"/>
      <c r="O94" s="83"/>
    </row>
    <row r="95" ht="16.5" customHeight="1">
      <c r="A95" s="83"/>
      <c r="B95" s="175"/>
      <c r="C95" s="83"/>
      <c r="D95" s="83"/>
      <c r="E95" s="84"/>
      <c r="F95" s="83"/>
      <c r="G95" s="83"/>
      <c r="H95" s="83"/>
      <c r="I95" s="83"/>
      <c r="J95" s="83"/>
      <c r="K95" s="83"/>
      <c r="L95" s="83"/>
      <c r="M95" s="83"/>
      <c r="N95" s="83"/>
      <c r="O95" s="83"/>
    </row>
    <row r="96" ht="16.5" customHeight="1">
      <c r="A96" s="83"/>
      <c r="B96" s="175"/>
      <c r="C96" s="83"/>
      <c r="D96" s="83"/>
      <c r="E96" s="84"/>
      <c r="F96" s="83"/>
      <c r="G96" s="83"/>
      <c r="H96" s="83"/>
      <c r="I96" s="83"/>
      <c r="J96" s="83"/>
      <c r="K96" s="83"/>
      <c r="L96" s="83"/>
      <c r="M96" s="83"/>
      <c r="N96" s="83"/>
      <c r="O96" s="83"/>
    </row>
    <row r="97" ht="16.5" customHeight="1">
      <c r="A97" s="83"/>
      <c r="B97" s="175"/>
      <c r="C97" s="83"/>
      <c r="D97" s="83"/>
      <c r="E97" s="84"/>
      <c r="F97" s="83"/>
      <c r="G97" s="83"/>
      <c r="H97" s="83"/>
      <c r="I97" s="83"/>
      <c r="J97" s="83"/>
      <c r="K97" s="83"/>
      <c r="L97" s="83"/>
      <c r="M97" s="83"/>
      <c r="N97" s="83"/>
      <c r="O97" s="83"/>
    </row>
    <row r="98" ht="16.5" customHeight="1">
      <c r="A98" s="83"/>
      <c r="B98" s="175"/>
      <c r="C98" s="83"/>
      <c r="D98" s="83"/>
      <c r="E98" s="84"/>
      <c r="F98" s="83"/>
      <c r="G98" s="83"/>
      <c r="H98" s="83"/>
      <c r="I98" s="83"/>
      <c r="J98" s="83"/>
      <c r="K98" s="83"/>
      <c r="L98" s="83"/>
      <c r="M98" s="83"/>
      <c r="N98" s="83"/>
      <c r="O98" s="83"/>
    </row>
    <row r="99" ht="16.5" customHeight="1">
      <c r="A99" s="83"/>
      <c r="B99" s="175"/>
      <c r="C99" s="83"/>
      <c r="D99" s="83"/>
      <c r="E99" s="84"/>
      <c r="F99" s="83"/>
      <c r="G99" s="83"/>
      <c r="H99" s="83"/>
      <c r="I99" s="83"/>
      <c r="J99" s="83"/>
      <c r="K99" s="83"/>
      <c r="L99" s="83"/>
      <c r="M99" s="83"/>
      <c r="N99" s="83"/>
      <c r="O99" s="83"/>
    </row>
    <row r="100" ht="16.5" customHeight="1">
      <c r="A100" s="83"/>
      <c r="B100" s="175"/>
      <c r="C100" s="83"/>
      <c r="D100" s="83"/>
      <c r="E100" s="84"/>
      <c r="F100" s="83"/>
      <c r="G100" s="83"/>
      <c r="H100" s="83"/>
      <c r="I100" s="83"/>
      <c r="J100" s="83"/>
      <c r="K100" s="83"/>
      <c r="L100" s="83"/>
      <c r="M100" s="83"/>
      <c r="N100" s="83"/>
      <c r="O100" s="83"/>
    </row>
    <row r="101" ht="16.5" customHeight="1">
      <c r="A101" s="83"/>
      <c r="B101" s="175"/>
      <c r="C101" s="83"/>
      <c r="D101" s="83"/>
      <c r="E101" s="84"/>
      <c r="F101" s="83"/>
      <c r="G101" s="83"/>
      <c r="H101" s="83"/>
      <c r="I101" s="83"/>
      <c r="J101" s="83"/>
      <c r="K101" s="83"/>
      <c r="L101" s="83"/>
      <c r="M101" s="83"/>
      <c r="N101" s="83"/>
      <c r="O101" s="83"/>
    </row>
    <row r="102" ht="16.5" customHeight="1">
      <c r="A102" s="83"/>
      <c r="B102" s="175"/>
      <c r="C102" s="83"/>
      <c r="D102" s="83"/>
      <c r="E102" s="84"/>
      <c r="F102" s="83"/>
      <c r="G102" s="83"/>
      <c r="H102" s="83"/>
      <c r="I102" s="83"/>
      <c r="J102" s="83"/>
      <c r="K102" s="83"/>
      <c r="L102" s="83"/>
      <c r="M102" s="83"/>
      <c r="N102" s="83"/>
      <c r="O102" s="83"/>
    </row>
    <row r="103" ht="16.5" customHeight="1">
      <c r="A103" s="83"/>
      <c r="B103" s="175"/>
      <c r="C103" s="83"/>
      <c r="D103" s="83"/>
      <c r="E103" s="84"/>
      <c r="F103" s="83"/>
      <c r="G103" s="83"/>
      <c r="H103" s="83"/>
      <c r="I103" s="83"/>
      <c r="J103" s="83"/>
      <c r="K103" s="83"/>
      <c r="L103" s="83"/>
      <c r="M103" s="83"/>
      <c r="N103" s="83"/>
      <c r="O103" s="83"/>
    </row>
    <row r="104" ht="16.5" customHeight="1">
      <c r="A104" s="83"/>
      <c r="B104" s="175"/>
      <c r="C104" s="83"/>
      <c r="D104" s="83"/>
      <c r="E104" s="84"/>
      <c r="F104" s="83"/>
      <c r="G104" s="83"/>
      <c r="H104" s="83"/>
      <c r="I104" s="83"/>
      <c r="J104" s="83"/>
      <c r="K104" s="83"/>
      <c r="L104" s="83"/>
      <c r="M104" s="83"/>
      <c r="N104" s="83"/>
      <c r="O104" s="83"/>
    </row>
    <row r="105" ht="16.5" customHeight="1">
      <c r="A105" s="83"/>
      <c r="B105" s="175"/>
      <c r="C105" s="83"/>
      <c r="D105" s="83"/>
      <c r="E105" s="84"/>
      <c r="F105" s="83"/>
      <c r="G105" s="83"/>
      <c r="H105" s="83"/>
      <c r="I105" s="83"/>
      <c r="J105" s="83"/>
      <c r="K105" s="83"/>
      <c r="L105" s="83"/>
      <c r="M105" s="83"/>
      <c r="N105" s="83"/>
      <c r="O105" s="83"/>
    </row>
    <row r="106" ht="16.5" customHeight="1">
      <c r="A106" s="83"/>
      <c r="B106" s="175"/>
      <c r="C106" s="83"/>
      <c r="D106" s="83"/>
      <c r="E106" s="84"/>
      <c r="F106" s="83"/>
      <c r="G106" s="83"/>
      <c r="H106" s="83"/>
      <c r="I106" s="83"/>
      <c r="J106" s="83"/>
      <c r="K106" s="83"/>
      <c r="L106" s="83"/>
      <c r="M106" s="83"/>
      <c r="N106" s="83"/>
      <c r="O106" s="83"/>
    </row>
    <row r="107" ht="16.5" customHeight="1">
      <c r="A107" s="83"/>
      <c r="B107" s="175"/>
      <c r="C107" s="83"/>
      <c r="D107" s="83"/>
      <c r="E107" s="84"/>
      <c r="F107" s="83"/>
      <c r="G107" s="83"/>
      <c r="H107" s="83"/>
      <c r="I107" s="83"/>
      <c r="J107" s="83"/>
      <c r="K107" s="83"/>
      <c r="L107" s="83"/>
      <c r="M107" s="83"/>
      <c r="N107" s="83"/>
      <c r="O107" s="83"/>
    </row>
    <row r="108" ht="16.5" customHeight="1">
      <c r="A108" s="83"/>
      <c r="B108" s="175"/>
      <c r="C108" s="83"/>
      <c r="D108" s="83"/>
      <c r="E108" s="84"/>
      <c r="F108" s="83"/>
      <c r="G108" s="83"/>
      <c r="H108" s="83"/>
      <c r="I108" s="83"/>
      <c r="J108" s="83"/>
      <c r="K108" s="83"/>
      <c r="L108" s="83"/>
      <c r="M108" s="83"/>
      <c r="N108" s="83"/>
      <c r="O108" s="83"/>
    </row>
    <row r="109" ht="16.5" customHeight="1">
      <c r="A109" s="83"/>
      <c r="B109" s="175"/>
      <c r="C109" s="83"/>
      <c r="D109" s="83"/>
      <c r="E109" s="84"/>
      <c r="F109" s="83"/>
      <c r="G109" s="83"/>
      <c r="H109" s="83"/>
      <c r="I109" s="83"/>
      <c r="J109" s="83"/>
      <c r="K109" s="83"/>
      <c r="L109" s="83"/>
      <c r="M109" s="83"/>
      <c r="N109" s="83"/>
      <c r="O109" s="83"/>
    </row>
    <row r="110" ht="16.5" customHeight="1">
      <c r="A110" s="83"/>
      <c r="B110" s="175"/>
      <c r="C110" s="83"/>
      <c r="D110" s="83"/>
      <c r="E110" s="84"/>
      <c r="F110" s="83"/>
      <c r="G110" s="83"/>
      <c r="H110" s="83"/>
      <c r="I110" s="83"/>
      <c r="J110" s="83"/>
      <c r="K110" s="83"/>
      <c r="L110" s="83"/>
      <c r="M110" s="83"/>
      <c r="N110" s="83"/>
      <c r="O110" s="83"/>
    </row>
    <row r="111" ht="16.5" customHeight="1">
      <c r="A111" s="83"/>
      <c r="B111" s="175"/>
      <c r="C111" s="83"/>
      <c r="D111" s="83"/>
      <c r="E111" s="84"/>
      <c r="F111" s="83"/>
      <c r="G111" s="83"/>
      <c r="H111" s="83"/>
      <c r="I111" s="83"/>
      <c r="J111" s="83"/>
      <c r="K111" s="83"/>
      <c r="L111" s="83"/>
      <c r="M111" s="83"/>
      <c r="N111" s="83"/>
      <c r="O111" s="83"/>
    </row>
    <row r="112" ht="16.5" customHeight="1">
      <c r="A112" s="83"/>
      <c r="B112" s="175"/>
      <c r="C112" s="83"/>
      <c r="D112" s="83"/>
      <c r="E112" s="84"/>
      <c r="F112" s="83"/>
      <c r="G112" s="83"/>
      <c r="H112" s="83"/>
      <c r="I112" s="83"/>
      <c r="J112" s="83"/>
      <c r="K112" s="83"/>
      <c r="L112" s="83"/>
      <c r="M112" s="83"/>
      <c r="N112" s="83"/>
      <c r="O112" s="83"/>
    </row>
    <row r="113" ht="16.5" customHeight="1">
      <c r="A113" s="83"/>
      <c r="B113" s="175"/>
      <c r="C113" s="83"/>
      <c r="D113" s="83"/>
      <c r="E113" s="84"/>
      <c r="F113" s="83"/>
      <c r="G113" s="83"/>
      <c r="H113" s="83"/>
      <c r="I113" s="83"/>
      <c r="J113" s="83"/>
      <c r="K113" s="83"/>
      <c r="L113" s="83"/>
      <c r="M113" s="83"/>
      <c r="N113" s="83"/>
      <c r="O113" s="83"/>
    </row>
    <row r="114" ht="16.5" customHeight="1">
      <c r="A114" s="83"/>
      <c r="B114" s="175"/>
      <c r="C114" s="83"/>
      <c r="D114" s="83"/>
      <c r="E114" s="84"/>
      <c r="F114" s="83"/>
      <c r="G114" s="83"/>
      <c r="H114" s="83"/>
      <c r="I114" s="83"/>
      <c r="J114" s="83"/>
      <c r="K114" s="83"/>
      <c r="L114" s="83"/>
      <c r="M114" s="83"/>
      <c r="N114" s="83"/>
      <c r="O114" s="83"/>
    </row>
    <row r="115" ht="16.5" customHeight="1">
      <c r="A115" s="83"/>
      <c r="B115" s="175"/>
      <c r="C115" s="83"/>
      <c r="D115" s="83"/>
      <c r="E115" s="84"/>
      <c r="F115" s="83"/>
      <c r="G115" s="83"/>
      <c r="H115" s="83"/>
      <c r="I115" s="83"/>
      <c r="J115" s="83"/>
      <c r="K115" s="83"/>
      <c r="L115" s="83"/>
      <c r="M115" s="83"/>
      <c r="N115" s="83"/>
      <c r="O115" s="83"/>
    </row>
    <row r="116" ht="16.5" customHeight="1">
      <c r="A116" s="83"/>
      <c r="B116" s="175"/>
      <c r="C116" s="83"/>
      <c r="D116" s="83"/>
      <c r="E116" s="84"/>
      <c r="F116" s="83"/>
      <c r="G116" s="83"/>
      <c r="H116" s="83"/>
      <c r="I116" s="83"/>
      <c r="J116" s="83"/>
      <c r="K116" s="83"/>
      <c r="L116" s="83"/>
      <c r="M116" s="83"/>
      <c r="N116" s="83"/>
      <c r="O116" s="83"/>
    </row>
    <row r="117" ht="16.5" customHeight="1">
      <c r="A117" s="83"/>
      <c r="B117" s="175"/>
      <c r="C117" s="83"/>
      <c r="D117" s="83"/>
      <c r="E117" s="84"/>
      <c r="F117" s="83"/>
      <c r="G117" s="83"/>
      <c r="H117" s="83"/>
      <c r="I117" s="83"/>
      <c r="J117" s="83"/>
      <c r="K117" s="83"/>
      <c r="L117" s="83"/>
      <c r="M117" s="83"/>
      <c r="N117" s="83"/>
      <c r="O117" s="83"/>
    </row>
    <row r="118" ht="16.5" customHeight="1">
      <c r="A118" s="83"/>
      <c r="B118" s="175"/>
      <c r="C118" s="83"/>
      <c r="D118" s="83"/>
      <c r="E118" s="84"/>
      <c r="F118" s="83"/>
      <c r="G118" s="83"/>
      <c r="H118" s="83"/>
      <c r="I118" s="83"/>
      <c r="J118" s="83"/>
      <c r="K118" s="83"/>
      <c r="L118" s="83"/>
      <c r="M118" s="83"/>
      <c r="N118" s="83"/>
      <c r="O118" s="83"/>
    </row>
    <row r="119" ht="16.5" customHeight="1">
      <c r="A119" s="83"/>
      <c r="B119" s="175"/>
      <c r="C119" s="83"/>
      <c r="D119" s="83"/>
      <c r="E119" s="84"/>
      <c r="F119" s="83"/>
      <c r="G119" s="83"/>
      <c r="H119" s="83"/>
      <c r="I119" s="83"/>
      <c r="J119" s="83"/>
      <c r="K119" s="83"/>
      <c r="L119" s="83"/>
      <c r="M119" s="83"/>
      <c r="N119" s="83"/>
      <c r="O119" s="83"/>
    </row>
    <row r="120" ht="16.5" customHeight="1">
      <c r="A120" s="83"/>
      <c r="B120" s="175"/>
      <c r="C120" s="83"/>
      <c r="D120" s="83"/>
      <c r="E120" s="84"/>
      <c r="F120" s="83"/>
      <c r="G120" s="83"/>
      <c r="H120" s="83"/>
      <c r="I120" s="83"/>
      <c r="J120" s="83"/>
      <c r="K120" s="83"/>
      <c r="L120" s="83"/>
      <c r="M120" s="83"/>
      <c r="N120" s="83"/>
      <c r="O120" s="83"/>
    </row>
    <row r="121" ht="16.5" customHeight="1">
      <c r="A121" s="83"/>
      <c r="B121" s="175"/>
      <c r="C121" s="83"/>
      <c r="D121" s="83"/>
      <c r="E121" s="84"/>
      <c r="F121" s="83"/>
      <c r="G121" s="83"/>
      <c r="H121" s="83"/>
      <c r="I121" s="83"/>
      <c r="J121" s="83"/>
      <c r="K121" s="83"/>
      <c r="L121" s="83"/>
      <c r="M121" s="83"/>
      <c r="N121" s="83"/>
      <c r="O121" s="83"/>
    </row>
    <row r="122" ht="16.5" customHeight="1">
      <c r="A122" s="83"/>
      <c r="B122" s="175"/>
      <c r="C122" s="83"/>
      <c r="D122" s="83"/>
      <c r="E122" s="84"/>
      <c r="F122" s="83"/>
      <c r="G122" s="83"/>
      <c r="H122" s="83"/>
      <c r="I122" s="83"/>
      <c r="J122" s="83"/>
      <c r="K122" s="83"/>
      <c r="L122" s="83"/>
      <c r="M122" s="83"/>
      <c r="N122" s="83"/>
      <c r="O122" s="83"/>
    </row>
    <row r="123" ht="16.5" customHeight="1">
      <c r="A123" s="83"/>
      <c r="B123" s="175"/>
      <c r="C123" s="83"/>
      <c r="D123" s="83"/>
      <c r="E123" s="84"/>
      <c r="F123" s="83"/>
      <c r="G123" s="83"/>
      <c r="H123" s="83"/>
      <c r="I123" s="83"/>
      <c r="J123" s="83"/>
      <c r="K123" s="83"/>
      <c r="L123" s="83"/>
      <c r="M123" s="83"/>
      <c r="N123" s="83"/>
      <c r="O123" s="83"/>
    </row>
    <row r="124" ht="16.5" customHeight="1">
      <c r="A124" s="83"/>
      <c r="B124" s="175"/>
      <c r="C124" s="83"/>
      <c r="D124" s="83"/>
      <c r="E124" s="84"/>
      <c r="F124" s="83"/>
      <c r="G124" s="83"/>
      <c r="H124" s="83"/>
      <c r="I124" s="83"/>
      <c r="J124" s="83"/>
      <c r="K124" s="83"/>
      <c r="L124" s="83"/>
      <c r="M124" s="83"/>
      <c r="N124" s="83"/>
      <c r="O124" s="83"/>
    </row>
    <row r="125" ht="16.5" customHeight="1">
      <c r="A125" s="83"/>
      <c r="B125" s="175"/>
      <c r="C125" s="83"/>
      <c r="D125" s="83"/>
      <c r="E125" s="84"/>
      <c r="F125" s="83"/>
      <c r="G125" s="83"/>
      <c r="H125" s="83"/>
      <c r="I125" s="83"/>
      <c r="J125" s="83"/>
      <c r="K125" s="83"/>
      <c r="L125" s="83"/>
      <c r="M125" s="83"/>
      <c r="N125" s="83"/>
      <c r="O125" s="83"/>
    </row>
    <row r="126" ht="16.5" customHeight="1">
      <c r="A126" s="83"/>
      <c r="B126" s="175"/>
      <c r="C126" s="83"/>
      <c r="D126" s="83"/>
      <c r="E126" s="84"/>
      <c r="F126" s="83"/>
      <c r="G126" s="83"/>
      <c r="H126" s="83"/>
      <c r="I126" s="83"/>
      <c r="J126" s="83"/>
      <c r="K126" s="83"/>
      <c r="L126" s="83"/>
      <c r="M126" s="83"/>
      <c r="N126" s="83"/>
      <c r="O126" s="83"/>
    </row>
    <row r="127" ht="16.5" customHeight="1">
      <c r="A127" s="83"/>
      <c r="B127" s="175"/>
      <c r="C127" s="83"/>
      <c r="D127" s="83"/>
      <c r="E127" s="84"/>
      <c r="F127" s="83"/>
      <c r="G127" s="83"/>
      <c r="H127" s="83"/>
      <c r="I127" s="83"/>
      <c r="J127" s="83"/>
      <c r="K127" s="83"/>
      <c r="L127" s="83"/>
      <c r="M127" s="83"/>
      <c r="N127" s="83"/>
      <c r="O127" s="83"/>
    </row>
    <row r="128" ht="16.5" customHeight="1">
      <c r="A128" s="83"/>
      <c r="B128" s="175"/>
      <c r="C128" s="83"/>
      <c r="D128" s="83"/>
      <c r="E128" s="84"/>
      <c r="F128" s="83"/>
      <c r="G128" s="83"/>
      <c r="H128" s="83"/>
      <c r="I128" s="83"/>
      <c r="J128" s="83"/>
      <c r="K128" s="83"/>
      <c r="L128" s="83"/>
      <c r="M128" s="83"/>
      <c r="N128" s="83"/>
      <c r="O128" s="83"/>
    </row>
    <row r="129" ht="16.5" customHeight="1">
      <c r="A129" s="83"/>
      <c r="B129" s="175"/>
      <c r="C129" s="83"/>
      <c r="D129" s="83"/>
      <c r="E129" s="84"/>
      <c r="F129" s="83"/>
      <c r="G129" s="83"/>
      <c r="H129" s="83"/>
      <c r="I129" s="83"/>
      <c r="J129" s="83"/>
      <c r="K129" s="83"/>
      <c r="L129" s="83"/>
      <c r="M129" s="83"/>
      <c r="N129" s="83"/>
      <c r="O129" s="83"/>
    </row>
    <row r="130" ht="16.5" customHeight="1">
      <c r="A130" s="83"/>
      <c r="B130" s="175"/>
      <c r="C130" s="83"/>
      <c r="D130" s="83"/>
      <c r="E130" s="84"/>
      <c r="F130" s="83"/>
      <c r="G130" s="83"/>
      <c r="H130" s="83"/>
      <c r="I130" s="83"/>
      <c r="J130" s="83"/>
      <c r="K130" s="83"/>
      <c r="L130" s="83"/>
      <c r="M130" s="83"/>
      <c r="N130" s="83"/>
      <c r="O130" s="83"/>
    </row>
    <row r="131" ht="16.5" customHeight="1">
      <c r="A131" s="83"/>
      <c r="B131" s="175"/>
      <c r="C131" s="83"/>
      <c r="D131" s="83"/>
      <c r="E131" s="84"/>
      <c r="F131" s="83"/>
      <c r="G131" s="83"/>
      <c r="H131" s="83"/>
      <c r="I131" s="83"/>
      <c r="J131" s="83"/>
      <c r="K131" s="83"/>
      <c r="L131" s="83"/>
      <c r="M131" s="83"/>
      <c r="N131" s="83"/>
      <c r="O131" s="83"/>
    </row>
    <row r="132" ht="16.5" customHeight="1">
      <c r="A132" s="83"/>
      <c r="B132" s="175"/>
      <c r="C132" s="83"/>
      <c r="D132" s="83"/>
      <c r="E132" s="84"/>
      <c r="F132" s="83"/>
      <c r="G132" s="83"/>
      <c r="H132" s="83"/>
      <c r="I132" s="83"/>
      <c r="J132" s="83"/>
      <c r="K132" s="83"/>
      <c r="L132" s="83"/>
      <c r="M132" s="83"/>
      <c r="N132" s="83"/>
      <c r="O132" s="83"/>
    </row>
    <row r="133" ht="16.5" customHeight="1">
      <c r="A133" s="83"/>
      <c r="B133" s="175"/>
      <c r="C133" s="83"/>
      <c r="D133" s="83"/>
      <c r="E133" s="84"/>
      <c r="F133" s="83"/>
      <c r="G133" s="83"/>
      <c r="H133" s="83"/>
      <c r="I133" s="83"/>
      <c r="J133" s="83"/>
      <c r="K133" s="83"/>
      <c r="L133" s="83"/>
      <c r="M133" s="83"/>
      <c r="N133" s="83"/>
      <c r="O133" s="83"/>
    </row>
    <row r="134" ht="16.5" customHeight="1">
      <c r="A134" s="83"/>
      <c r="B134" s="175"/>
      <c r="C134" s="83"/>
      <c r="D134" s="83"/>
      <c r="E134" s="84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ht="16.5" customHeight="1">
      <c r="A135" s="83"/>
      <c r="B135" s="175"/>
      <c r="C135" s="83"/>
      <c r="D135" s="83"/>
      <c r="E135" s="84"/>
      <c r="F135" s="83"/>
      <c r="G135" s="83"/>
      <c r="H135" s="83"/>
      <c r="I135" s="83"/>
      <c r="J135" s="83"/>
      <c r="K135" s="83"/>
      <c r="L135" s="83"/>
      <c r="M135" s="83"/>
      <c r="N135" s="83"/>
      <c r="O135" s="83"/>
    </row>
    <row r="136" ht="16.5" customHeight="1">
      <c r="A136" s="83"/>
      <c r="B136" s="175"/>
      <c r="C136" s="83"/>
      <c r="D136" s="83"/>
      <c r="E136" s="84"/>
      <c r="F136" s="83"/>
      <c r="G136" s="83"/>
      <c r="H136" s="83"/>
      <c r="I136" s="83"/>
      <c r="J136" s="83"/>
      <c r="K136" s="83"/>
      <c r="L136" s="83"/>
      <c r="M136" s="83"/>
      <c r="N136" s="83"/>
      <c r="O136" s="83"/>
    </row>
    <row r="137" ht="16.5" customHeight="1">
      <c r="A137" s="83"/>
      <c r="B137" s="175"/>
      <c r="C137" s="83"/>
      <c r="D137" s="83"/>
      <c r="E137" s="84"/>
      <c r="F137" s="83"/>
      <c r="G137" s="83"/>
      <c r="H137" s="83"/>
      <c r="I137" s="83"/>
      <c r="J137" s="83"/>
      <c r="K137" s="83"/>
      <c r="L137" s="83"/>
      <c r="M137" s="83"/>
      <c r="N137" s="83"/>
      <c r="O137" s="83"/>
    </row>
    <row r="138" ht="16.5" customHeight="1">
      <c r="A138" s="83"/>
      <c r="B138" s="175"/>
      <c r="C138" s="83"/>
      <c r="D138" s="83"/>
      <c r="E138" s="84"/>
      <c r="F138" s="83"/>
      <c r="G138" s="83"/>
      <c r="H138" s="83"/>
      <c r="I138" s="83"/>
      <c r="J138" s="83"/>
      <c r="K138" s="83"/>
      <c r="L138" s="83"/>
      <c r="M138" s="83"/>
      <c r="N138" s="83"/>
      <c r="O138" s="83"/>
    </row>
    <row r="139" ht="16.5" customHeight="1">
      <c r="A139" s="83"/>
      <c r="B139" s="175"/>
      <c r="C139" s="83"/>
      <c r="D139" s="83"/>
      <c r="E139" s="84"/>
      <c r="F139" s="83"/>
      <c r="G139" s="83"/>
      <c r="H139" s="83"/>
      <c r="I139" s="83"/>
      <c r="J139" s="83"/>
      <c r="K139" s="83"/>
      <c r="L139" s="83"/>
      <c r="M139" s="83"/>
      <c r="N139" s="83"/>
      <c r="O139" s="83"/>
    </row>
    <row r="140" ht="16.5" customHeight="1">
      <c r="A140" s="83"/>
      <c r="B140" s="175"/>
      <c r="C140" s="83"/>
      <c r="D140" s="83"/>
      <c r="E140" s="84"/>
      <c r="F140" s="83"/>
      <c r="G140" s="83"/>
      <c r="H140" s="83"/>
      <c r="I140" s="83"/>
      <c r="J140" s="83"/>
      <c r="K140" s="83"/>
      <c r="L140" s="83"/>
      <c r="M140" s="83"/>
      <c r="N140" s="83"/>
      <c r="O140" s="83"/>
    </row>
    <row r="141" ht="16.5" customHeight="1">
      <c r="A141" s="83"/>
      <c r="B141" s="175"/>
      <c r="C141" s="83"/>
      <c r="D141" s="83"/>
      <c r="E141" s="84"/>
      <c r="F141" s="83"/>
      <c r="G141" s="83"/>
      <c r="H141" s="83"/>
      <c r="I141" s="83"/>
      <c r="J141" s="83"/>
      <c r="K141" s="83"/>
      <c r="L141" s="83"/>
      <c r="M141" s="83"/>
      <c r="N141" s="83"/>
      <c r="O141" s="83"/>
    </row>
    <row r="142" ht="16.5" customHeight="1">
      <c r="A142" s="83"/>
      <c r="B142" s="175"/>
      <c r="C142" s="83"/>
      <c r="D142" s="83"/>
      <c r="E142" s="84"/>
      <c r="F142" s="83"/>
      <c r="G142" s="83"/>
      <c r="H142" s="83"/>
      <c r="I142" s="83"/>
      <c r="J142" s="83"/>
      <c r="K142" s="83"/>
      <c r="L142" s="83"/>
      <c r="M142" s="83"/>
      <c r="N142" s="83"/>
      <c r="O142" s="83"/>
    </row>
    <row r="143" ht="16.5" customHeight="1">
      <c r="A143" s="83"/>
      <c r="B143" s="175"/>
      <c r="C143" s="83"/>
      <c r="D143" s="83"/>
      <c r="E143" s="84"/>
      <c r="F143" s="83"/>
      <c r="G143" s="83"/>
      <c r="H143" s="83"/>
      <c r="I143" s="83"/>
      <c r="J143" s="83"/>
      <c r="K143" s="83"/>
      <c r="L143" s="83"/>
      <c r="M143" s="83"/>
      <c r="N143" s="83"/>
      <c r="O143" s="83"/>
    </row>
    <row r="144" ht="16.5" customHeight="1">
      <c r="A144" s="83"/>
      <c r="B144" s="175"/>
      <c r="C144" s="83"/>
      <c r="D144" s="83"/>
      <c r="E144" s="84"/>
      <c r="F144" s="83"/>
      <c r="G144" s="83"/>
      <c r="H144" s="83"/>
      <c r="I144" s="83"/>
      <c r="J144" s="83"/>
      <c r="K144" s="83"/>
      <c r="L144" s="83"/>
      <c r="M144" s="83"/>
      <c r="N144" s="83"/>
      <c r="O144" s="83"/>
    </row>
    <row r="145" ht="16.5" customHeight="1">
      <c r="A145" s="83"/>
      <c r="B145" s="175"/>
      <c r="C145" s="83"/>
      <c r="D145" s="83"/>
      <c r="E145" s="84"/>
      <c r="F145" s="83"/>
      <c r="G145" s="83"/>
      <c r="H145" s="83"/>
      <c r="I145" s="83"/>
      <c r="J145" s="83"/>
      <c r="K145" s="83"/>
      <c r="L145" s="83"/>
      <c r="M145" s="83"/>
      <c r="N145" s="83"/>
      <c r="O145" s="83"/>
    </row>
    <row r="146" ht="16.5" customHeight="1">
      <c r="A146" s="83"/>
      <c r="B146" s="175"/>
      <c r="C146" s="83"/>
      <c r="D146" s="83"/>
      <c r="E146" s="84"/>
      <c r="F146" s="83"/>
      <c r="G146" s="83"/>
      <c r="H146" s="83"/>
      <c r="I146" s="83"/>
      <c r="J146" s="83"/>
      <c r="K146" s="83"/>
      <c r="L146" s="83"/>
      <c r="M146" s="83"/>
      <c r="N146" s="83"/>
      <c r="O146" s="83"/>
    </row>
    <row r="147" ht="16.5" customHeight="1">
      <c r="A147" s="83"/>
      <c r="B147" s="175"/>
      <c r="C147" s="83"/>
      <c r="D147" s="83"/>
      <c r="E147" s="84"/>
      <c r="F147" s="83"/>
      <c r="G147" s="83"/>
      <c r="H147" s="83"/>
      <c r="I147" s="83"/>
      <c r="J147" s="83"/>
      <c r="K147" s="83"/>
      <c r="L147" s="83"/>
      <c r="M147" s="83"/>
      <c r="N147" s="83"/>
      <c r="O147" s="83"/>
    </row>
    <row r="148" ht="16.5" customHeight="1">
      <c r="A148" s="83"/>
      <c r="B148" s="175"/>
      <c r="C148" s="83"/>
      <c r="D148" s="83"/>
      <c r="E148" s="84"/>
      <c r="F148" s="83"/>
      <c r="G148" s="83"/>
      <c r="H148" s="83"/>
      <c r="I148" s="83"/>
      <c r="J148" s="83"/>
      <c r="K148" s="83"/>
      <c r="L148" s="83"/>
      <c r="M148" s="83"/>
      <c r="N148" s="83"/>
      <c r="O148" s="83"/>
    </row>
    <row r="149" ht="16.5" customHeight="1">
      <c r="A149" s="83"/>
      <c r="B149" s="175"/>
      <c r="C149" s="83"/>
      <c r="D149" s="83"/>
      <c r="E149" s="84"/>
      <c r="F149" s="83"/>
      <c r="G149" s="83"/>
      <c r="H149" s="83"/>
      <c r="I149" s="83"/>
      <c r="J149" s="83"/>
      <c r="K149" s="83"/>
      <c r="L149" s="83"/>
      <c r="M149" s="83"/>
      <c r="N149" s="83"/>
      <c r="O149" s="83"/>
    </row>
    <row r="150" ht="16.5" customHeight="1">
      <c r="A150" s="83"/>
      <c r="B150" s="175"/>
      <c r="C150" s="83"/>
      <c r="D150" s="83"/>
      <c r="E150" s="84"/>
      <c r="F150" s="83"/>
      <c r="G150" s="83"/>
      <c r="H150" s="83"/>
      <c r="I150" s="83"/>
      <c r="J150" s="83"/>
      <c r="K150" s="83"/>
      <c r="L150" s="83"/>
      <c r="M150" s="83"/>
      <c r="N150" s="83"/>
      <c r="O150" s="83"/>
    </row>
    <row r="151" ht="16.5" customHeight="1">
      <c r="A151" s="83"/>
      <c r="B151" s="175"/>
      <c r="C151" s="83"/>
      <c r="D151" s="83"/>
      <c r="E151" s="84"/>
      <c r="F151" s="83"/>
      <c r="G151" s="83"/>
      <c r="H151" s="83"/>
      <c r="I151" s="83"/>
      <c r="J151" s="83"/>
      <c r="K151" s="83"/>
      <c r="L151" s="83"/>
      <c r="M151" s="83"/>
      <c r="N151" s="83"/>
      <c r="O151" s="83"/>
    </row>
    <row r="152" ht="16.5" customHeight="1">
      <c r="A152" s="83"/>
      <c r="B152" s="175"/>
      <c r="C152" s="83"/>
      <c r="D152" s="83"/>
      <c r="E152" s="84"/>
      <c r="F152" s="83"/>
      <c r="G152" s="83"/>
      <c r="H152" s="83"/>
      <c r="I152" s="83"/>
      <c r="J152" s="83"/>
      <c r="K152" s="83"/>
      <c r="L152" s="83"/>
      <c r="M152" s="83"/>
      <c r="N152" s="83"/>
      <c r="O152" s="83"/>
    </row>
    <row r="153" ht="16.5" customHeight="1">
      <c r="A153" s="83"/>
      <c r="B153" s="175"/>
      <c r="C153" s="83"/>
      <c r="D153" s="83"/>
      <c r="E153" s="84"/>
      <c r="F153" s="83"/>
      <c r="G153" s="83"/>
      <c r="H153" s="83"/>
      <c r="I153" s="83"/>
      <c r="J153" s="83"/>
      <c r="K153" s="83"/>
      <c r="L153" s="83"/>
      <c r="M153" s="83"/>
      <c r="N153" s="83"/>
      <c r="O153" s="83"/>
    </row>
    <row r="154" ht="16.5" customHeight="1">
      <c r="A154" s="83"/>
      <c r="B154" s="175"/>
      <c r="C154" s="83"/>
      <c r="D154" s="83"/>
      <c r="E154" s="84"/>
      <c r="F154" s="83"/>
      <c r="G154" s="83"/>
      <c r="H154" s="83"/>
      <c r="I154" s="83"/>
      <c r="J154" s="83"/>
      <c r="K154" s="83"/>
      <c r="L154" s="83"/>
      <c r="M154" s="83"/>
      <c r="N154" s="83"/>
      <c r="O154" s="83"/>
    </row>
    <row r="155" ht="16.5" customHeight="1">
      <c r="A155" s="83"/>
      <c r="B155" s="175"/>
      <c r="C155" s="83"/>
      <c r="D155" s="83"/>
      <c r="E155" s="84"/>
      <c r="F155" s="83"/>
      <c r="G155" s="83"/>
      <c r="H155" s="83"/>
      <c r="I155" s="83"/>
      <c r="J155" s="83"/>
      <c r="K155" s="83"/>
      <c r="L155" s="83"/>
      <c r="M155" s="83"/>
      <c r="N155" s="83"/>
      <c r="O155" s="83"/>
    </row>
    <row r="156" ht="16.5" customHeight="1">
      <c r="A156" s="83"/>
      <c r="B156" s="175"/>
      <c r="C156" s="83"/>
      <c r="D156" s="83"/>
      <c r="E156" s="84"/>
      <c r="F156" s="83"/>
      <c r="G156" s="83"/>
      <c r="H156" s="83"/>
      <c r="I156" s="83"/>
      <c r="J156" s="83"/>
      <c r="K156" s="83"/>
      <c r="L156" s="83"/>
      <c r="M156" s="83"/>
      <c r="N156" s="83"/>
      <c r="O156" s="83"/>
    </row>
    <row r="157" ht="16.5" customHeight="1">
      <c r="A157" s="83"/>
      <c r="B157" s="175"/>
      <c r="C157" s="83"/>
      <c r="D157" s="83"/>
      <c r="E157" s="84"/>
      <c r="F157" s="83"/>
      <c r="G157" s="83"/>
      <c r="H157" s="83"/>
      <c r="I157" s="83"/>
      <c r="J157" s="83"/>
      <c r="K157" s="83"/>
      <c r="L157" s="83"/>
      <c r="M157" s="83"/>
      <c r="N157" s="83"/>
      <c r="O157" s="83"/>
    </row>
    <row r="158" ht="16.5" customHeight="1">
      <c r="A158" s="83"/>
      <c r="B158" s="175"/>
      <c r="C158" s="83"/>
      <c r="D158" s="83"/>
      <c r="E158" s="84"/>
      <c r="F158" s="83"/>
      <c r="G158" s="83"/>
      <c r="H158" s="83"/>
      <c r="I158" s="83"/>
      <c r="J158" s="83"/>
      <c r="K158" s="83"/>
      <c r="L158" s="83"/>
      <c r="M158" s="83"/>
      <c r="N158" s="83"/>
      <c r="O158" s="83"/>
    </row>
    <row r="159" ht="16.5" customHeight="1">
      <c r="A159" s="83"/>
      <c r="B159" s="175"/>
      <c r="C159" s="83"/>
      <c r="D159" s="83"/>
      <c r="E159" s="84"/>
      <c r="F159" s="83"/>
      <c r="G159" s="83"/>
      <c r="H159" s="83"/>
      <c r="I159" s="83"/>
      <c r="J159" s="83"/>
      <c r="K159" s="83"/>
      <c r="L159" s="83"/>
      <c r="M159" s="83"/>
      <c r="N159" s="83"/>
      <c r="O159" s="83"/>
    </row>
    <row r="160" ht="16.5" customHeight="1">
      <c r="A160" s="83"/>
      <c r="B160" s="175"/>
      <c r="C160" s="83"/>
      <c r="D160" s="83"/>
      <c r="E160" s="84"/>
      <c r="F160" s="83"/>
      <c r="G160" s="83"/>
      <c r="H160" s="83"/>
      <c r="I160" s="83"/>
      <c r="J160" s="83"/>
      <c r="K160" s="83"/>
      <c r="L160" s="83"/>
      <c r="M160" s="83"/>
      <c r="N160" s="83"/>
      <c r="O160" s="83"/>
    </row>
    <row r="161" ht="16.5" customHeight="1">
      <c r="A161" s="83"/>
      <c r="B161" s="175"/>
      <c r="C161" s="83"/>
      <c r="D161" s="83"/>
      <c r="E161" s="84"/>
      <c r="F161" s="83"/>
      <c r="G161" s="83"/>
      <c r="H161" s="83"/>
      <c r="I161" s="83"/>
      <c r="J161" s="83"/>
      <c r="K161" s="83"/>
      <c r="L161" s="83"/>
      <c r="M161" s="83"/>
      <c r="N161" s="83"/>
      <c r="O161" s="83"/>
    </row>
    <row r="162" ht="16.5" customHeight="1">
      <c r="A162" s="83"/>
      <c r="B162" s="175"/>
      <c r="C162" s="83"/>
      <c r="D162" s="83"/>
      <c r="E162" s="84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ht="16.5" customHeight="1">
      <c r="A163" s="83"/>
      <c r="B163" s="175"/>
      <c r="C163" s="83"/>
      <c r="D163" s="83"/>
      <c r="E163" s="84"/>
      <c r="F163" s="83"/>
      <c r="G163" s="83"/>
      <c r="H163" s="83"/>
      <c r="I163" s="83"/>
      <c r="J163" s="83"/>
      <c r="K163" s="83"/>
      <c r="L163" s="83"/>
      <c r="M163" s="83"/>
      <c r="N163" s="83"/>
      <c r="O163" s="83"/>
    </row>
    <row r="164" ht="16.5" customHeight="1">
      <c r="A164" s="83"/>
      <c r="B164" s="175"/>
      <c r="C164" s="83"/>
      <c r="D164" s="83"/>
      <c r="E164" s="84"/>
      <c r="F164" s="83"/>
      <c r="G164" s="83"/>
      <c r="H164" s="83"/>
      <c r="I164" s="83"/>
      <c r="J164" s="83"/>
      <c r="K164" s="83"/>
      <c r="L164" s="83"/>
      <c r="M164" s="83"/>
      <c r="N164" s="83"/>
      <c r="O164" s="83"/>
    </row>
    <row r="165" ht="16.5" customHeight="1">
      <c r="A165" s="83"/>
      <c r="B165" s="175"/>
      <c r="C165" s="83"/>
      <c r="D165" s="83"/>
      <c r="E165" s="84"/>
      <c r="F165" s="83"/>
      <c r="G165" s="83"/>
      <c r="H165" s="83"/>
      <c r="I165" s="83"/>
      <c r="J165" s="83"/>
      <c r="K165" s="83"/>
      <c r="L165" s="83"/>
      <c r="M165" s="83"/>
      <c r="N165" s="83"/>
      <c r="O165" s="83"/>
    </row>
    <row r="166" ht="16.5" customHeight="1">
      <c r="A166" s="83"/>
      <c r="B166" s="175"/>
      <c r="C166" s="83"/>
      <c r="D166" s="83"/>
      <c r="E166" s="84"/>
      <c r="F166" s="83"/>
      <c r="G166" s="83"/>
      <c r="H166" s="83"/>
      <c r="I166" s="83"/>
      <c r="J166" s="83"/>
      <c r="K166" s="83"/>
      <c r="L166" s="83"/>
      <c r="M166" s="83"/>
      <c r="N166" s="83"/>
      <c r="O166" s="83"/>
    </row>
    <row r="167" ht="16.5" customHeight="1">
      <c r="A167" s="83"/>
      <c r="B167" s="175"/>
      <c r="C167" s="83"/>
      <c r="D167" s="83"/>
      <c r="E167" s="84"/>
      <c r="F167" s="83"/>
      <c r="G167" s="83"/>
      <c r="H167" s="83"/>
      <c r="I167" s="83"/>
      <c r="J167" s="83"/>
      <c r="K167" s="83"/>
      <c r="L167" s="83"/>
      <c r="M167" s="83"/>
      <c r="N167" s="83"/>
      <c r="O167" s="83"/>
    </row>
    <row r="168" ht="16.5" customHeight="1">
      <c r="A168" s="83"/>
      <c r="B168" s="175"/>
      <c r="C168" s="83"/>
      <c r="D168" s="83"/>
      <c r="E168" s="84"/>
      <c r="F168" s="83"/>
      <c r="G168" s="83"/>
      <c r="H168" s="83"/>
      <c r="I168" s="83"/>
      <c r="J168" s="83"/>
      <c r="K168" s="83"/>
      <c r="L168" s="83"/>
      <c r="M168" s="83"/>
      <c r="N168" s="83"/>
      <c r="O168" s="83"/>
    </row>
    <row r="169" ht="16.5" customHeight="1">
      <c r="A169" s="83"/>
      <c r="B169" s="175"/>
      <c r="C169" s="83"/>
      <c r="D169" s="83"/>
      <c r="E169" s="84"/>
      <c r="F169" s="83"/>
      <c r="G169" s="83"/>
      <c r="H169" s="83"/>
      <c r="I169" s="83"/>
      <c r="J169" s="83"/>
      <c r="K169" s="83"/>
      <c r="L169" s="83"/>
      <c r="M169" s="83"/>
      <c r="N169" s="83"/>
      <c r="O169" s="83"/>
    </row>
    <row r="170" ht="16.5" customHeight="1">
      <c r="A170" s="83"/>
      <c r="B170" s="175"/>
      <c r="C170" s="83"/>
      <c r="D170" s="83"/>
      <c r="E170" s="84"/>
      <c r="F170" s="83"/>
      <c r="G170" s="83"/>
      <c r="H170" s="83"/>
      <c r="I170" s="83"/>
      <c r="J170" s="83"/>
      <c r="K170" s="83"/>
      <c r="L170" s="83"/>
      <c r="M170" s="83"/>
      <c r="N170" s="83"/>
      <c r="O170" s="83"/>
    </row>
    <row r="171" ht="16.5" customHeight="1">
      <c r="A171" s="83"/>
      <c r="B171" s="175"/>
      <c r="C171" s="83"/>
      <c r="D171" s="83"/>
      <c r="E171" s="84"/>
      <c r="F171" s="83"/>
      <c r="G171" s="83"/>
      <c r="H171" s="83"/>
      <c r="I171" s="83"/>
      <c r="J171" s="83"/>
      <c r="K171" s="83"/>
      <c r="L171" s="83"/>
      <c r="M171" s="83"/>
      <c r="N171" s="83"/>
      <c r="O171" s="83"/>
    </row>
    <row r="172" ht="16.5" customHeight="1">
      <c r="A172" s="83"/>
      <c r="B172" s="175"/>
      <c r="C172" s="83"/>
      <c r="D172" s="83"/>
      <c r="E172" s="84"/>
      <c r="F172" s="83"/>
      <c r="G172" s="83"/>
      <c r="H172" s="83"/>
      <c r="I172" s="83"/>
      <c r="J172" s="83"/>
      <c r="K172" s="83"/>
      <c r="L172" s="83"/>
      <c r="M172" s="83"/>
      <c r="N172" s="83"/>
      <c r="O172" s="83"/>
    </row>
    <row r="173" ht="16.5" customHeight="1">
      <c r="A173" s="83"/>
      <c r="B173" s="175"/>
      <c r="C173" s="83"/>
      <c r="D173" s="83"/>
      <c r="E173" s="84"/>
      <c r="F173" s="83"/>
      <c r="G173" s="83"/>
      <c r="H173" s="83"/>
      <c r="I173" s="83"/>
      <c r="J173" s="83"/>
      <c r="K173" s="83"/>
      <c r="L173" s="83"/>
      <c r="M173" s="83"/>
      <c r="N173" s="83"/>
      <c r="O173" s="83"/>
    </row>
    <row r="174" ht="16.5" customHeight="1">
      <c r="A174" s="83"/>
      <c r="B174" s="175"/>
      <c r="C174" s="83"/>
      <c r="D174" s="83"/>
      <c r="E174" s="84"/>
      <c r="F174" s="83"/>
      <c r="G174" s="83"/>
      <c r="H174" s="83"/>
      <c r="I174" s="83"/>
      <c r="J174" s="83"/>
      <c r="K174" s="83"/>
      <c r="L174" s="83"/>
      <c r="M174" s="83"/>
      <c r="N174" s="83"/>
      <c r="O174" s="83"/>
    </row>
    <row r="175" ht="16.5" customHeight="1">
      <c r="A175" s="83"/>
      <c r="B175" s="175"/>
      <c r="C175" s="83"/>
      <c r="D175" s="83"/>
      <c r="E175" s="84"/>
      <c r="F175" s="83"/>
      <c r="G175" s="83"/>
      <c r="H175" s="83"/>
      <c r="I175" s="83"/>
      <c r="J175" s="83"/>
      <c r="K175" s="83"/>
      <c r="L175" s="83"/>
      <c r="M175" s="83"/>
      <c r="N175" s="83"/>
      <c r="O175" s="83"/>
    </row>
    <row r="176" ht="16.5" customHeight="1">
      <c r="A176" s="83"/>
      <c r="B176" s="175"/>
      <c r="C176" s="83"/>
      <c r="D176" s="83"/>
      <c r="E176" s="84"/>
      <c r="F176" s="83"/>
      <c r="G176" s="83"/>
      <c r="H176" s="83"/>
      <c r="I176" s="83"/>
      <c r="J176" s="83"/>
      <c r="K176" s="83"/>
      <c r="L176" s="83"/>
      <c r="M176" s="83"/>
      <c r="N176" s="83"/>
      <c r="O176" s="83"/>
    </row>
    <row r="177" ht="16.5" customHeight="1">
      <c r="A177" s="83"/>
      <c r="B177" s="175"/>
      <c r="C177" s="83"/>
      <c r="D177" s="83"/>
      <c r="E177" s="84"/>
      <c r="F177" s="83"/>
      <c r="G177" s="83"/>
      <c r="H177" s="83"/>
      <c r="I177" s="83"/>
      <c r="J177" s="83"/>
      <c r="K177" s="83"/>
      <c r="L177" s="83"/>
      <c r="M177" s="83"/>
      <c r="N177" s="83"/>
      <c r="O177" s="83"/>
    </row>
    <row r="178" ht="16.5" customHeight="1">
      <c r="A178" s="83"/>
      <c r="B178" s="175"/>
      <c r="C178" s="83"/>
      <c r="D178" s="83"/>
      <c r="E178" s="84"/>
      <c r="F178" s="83"/>
      <c r="G178" s="83"/>
      <c r="H178" s="83"/>
      <c r="I178" s="83"/>
      <c r="J178" s="83"/>
      <c r="K178" s="83"/>
      <c r="L178" s="83"/>
      <c r="M178" s="83"/>
      <c r="N178" s="83"/>
      <c r="O178" s="83"/>
    </row>
    <row r="179" ht="16.5" customHeight="1">
      <c r="A179" s="83"/>
      <c r="B179" s="175"/>
      <c r="C179" s="83"/>
      <c r="D179" s="83"/>
      <c r="E179" s="84"/>
      <c r="F179" s="83"/>
      <c r="G179" s="83"/>
      <c r="H179" s="83"/>
      <c r="I179" s="83"/>
      <c r="J179" s="83"/>
      <c r="K179" s="83"/>
      <c r="L179" s="83"/>
      <c r="M179" s="83"/>
      <c r="N179" s="83"/>
      <c r="O179" s="83"/>
    </row>
    <row r="180" ht="16.5" customHeight="1">
      <c r="A180" s="83"/>
      <c r="B180" s="175"/>
      <c r="C180" s="83"/>
      <c r="D180" s="83"/>
      <c r="E180" s="84"/>
      <c r="F180" s="83"/>
      <c r="G180" s="83"/>
      <c r="H180" s="83"/>
      <c r="I180" s="83"/>
      <c r="J180" s="83"/>
      <c r="K180" s="83"/>
      <c r="L180" s="83"/>
      <c r="M180" s="83"/>
      <c r="N180" s="83"/>
      <c r="O180" s="83"/>
    </row>
    <row r="181" ht="16.5" customHeight="1">
      <c r="A181" s="83"/>
      <c r="B181" s="175"/>
      <c r="C181" s="83"/>
      <c r="D181" s="83"/>
      <c r="E181" s="84"/>
      <c r="F181" s="83"/>
      <c r="G181" s="83"/>
      <c r="H181" s="83"/>
      <c r="I181" s="83"/>
      <c r="J181" s="83"/>
      <c r="K181" s="83"/>
      <c r="L181" s="83"/>
      <c r="M181" s="83"/>
      <c r="N181" s="83"/>
      <c r="O181" s="83"/>
    </row>
    <row r="182" ht="16.5" customHeight="1">
      <c r="A182" s="83"/>
      <c r="B182" s="175"/>
      <c r="C182" s="83"/>
      <c r="D182" s="83"/>
      <c r="E182" s="84"/>
      <c r="F182" s="83"/>
      <c r="G182" s="83"/>
      <c r="H182" s="83"/>
      <c r="I182" s="83"/>
      <c r="J182" s="83"/>
      <c r="K182" s="83"/>
      <c r="L182" s="83"/>
      <c r="M182" s="83"/>
      <c r="N182" s="83"/>
      <c r="O182" s="83"/>
    </row>
    <row r="183" ht="16.5" customHeight="1">
      <c r="A183" s="83"/>
      <c r="B183" s="175"/>
      <c r="C183" s="83"/>
      <c r="D183" s="83"/>
      <c r="E183" s="84"/>
      <c r="F183" s="83"/>
      <c r="G183" s="83"/>
      <c r="H183" s="83"/>
      <c r="I183" s="83"/>
      <c r="J183" s="83"/>
      <c r="K183" s="83"/>
      <c r="L183" s="83"/>
      <c r="M183" s="83"/>
      <c r="N183" s="83"/>
      <c r="O183" s="83"/>
    </row>
    <row r="184" ht="16.5" customHeight="1">
      <c r="A184" s="83"/>
      <c r="B184" s="175"/>
      <c r="C184" s="83"/>
      <c r="D184" s="83"/>
      <c r="E184" s="84"/>
      <c r="F184" s="83"/>
      <c r="G184" s="83"/>
      <c r="H184" s="83"/>
      <c r="I184" s="83"/>
      <c r="J184" s="83"/>
      <c r="K184" s="83"/>
      <c r="L184" s="83"/>
      <c r="M184" s="83"/>
      <c r="N184" s="83"/>
      <c r="O184" s="83"/>
    </row>
    <row r="185" ht="16.5" customHeight="1">
      <c r="A185" s="83"/>
      <c r="B185" s="175"/>
      <c r="C185" s="83"/>
      <c r="D185" s="83"/>
      <c r="E185" s="84"/>
      <c r="F185" s="83"/>
      <c r="G185" s="83"/>
      <c r="H185" s="83"/>
      <c r="I185" s="83"/>
      <c r="J185" s="83"/>
      <c r="K185" s="83"/>
      <c r="L185" s="83"/>
      <c r="M185" s="83"/>
      <c r="N185" s="83"/>
      <c r="O185" s="83"/>
    </row>
    <row r="186" ht="16.5" customHeight="1">
      <c r="A186" s="83"/>
      <c r="B186" s="175"/>
      <c r="C186" s="83"/>
      <c r="D186" s="83"/>
      <c r="E186" s="84"/>
      <c r="F186" s="83"/>
      <c r="G186" s="83"/>
      <c r="H186" s="83"/>
      <c r="I186" s="83"/>
      <c r="J186" s="83"/>
      <c r="K186" s="83"/>
      <c r="L186" s="83"/>
      <c r="M186" s="83"/>
      <c r="N186" s="83"/>
      <c r="O186" s="83"/>
    </row>
    <row r="187" ht="16.5" customHeight="1">
      <c r="A187" s="83"/>
      <c r="B187" s="175"/>
      <c r="C187" s="83"/>
      <c r="D187" s="83"/>
      <c r="E187" s="84"/>
      <c r="F187" s="83"/>
      <c r="G187" s="83"/>
      <c r="H187" s="83"/>
      <c r="I187" s="83"/>
      <c r="J187" s="83"/>
      <c r="K187" s="83"/>
      <c r="L187" s="83"/>
      <c r="M187" s="83"/>
      <c r="N187" s="83"/>
      <c r="O187" s="83"/>
    </row>
    <row r="188" ht="16.5" customHeight="1">
      <c r="A188" s="83"/>
      <c r="B188" s="175"/>
      <c r="C188" s="83"/>
      <c r="D188" s="83"/>
      <c r="E188" s="84"/>
      <c r="F188" s="83"/>
      <c r="G188" s="83"/>
      <c r="H188" s="83"/>
      <c r="I188" s="83"/>
      <c r="J188" s="83"/>
      <c r="K188" s="83"/>
      <c r="L188" s="83"/>
      <c r="M188" s="83"/>
      <c r="N188" s="83"/>
      <c r="O188" s="83"/>
    </row>
    <row r="189" ht="16.5" customHeight="1">
      <c r="A189" s="83"/>
      <c r="B189" s="175"/>
      <c r="C189" s="83"/>
      <c r="D189" s="83"/>
      <c r="E189" s="84"/>
      <c r="F189" s="83"/>
      <c r="G189" s="83"/>
      <c r="H189" s="83"/>
      <c r="I189" s="83"/>
      <c r="J189" s="83"/>
      <c r="K189" s="83"/>
      <c r="L189" s="83"/>
      <c r="M189" s="83"/>
      <c r="N189" s="83"/>
      <c r="O189" s="83"/>
    </row>
    <row r="190" ht="16.5" customHeight="1">
      <c r="A190" s="83"/>
      <c r="B190" s="175"/>
      <c r="C190" s="83"/>
      <c r="D190" s="83"/>
      <c r="E190" s="84"/>
      <c r="F190" s="83"/>
      <c r="G190" s="83"/>
      <c r="H190" s="83"/>
      <c r="I190" s="83"/>
      <c r="J190" s="83"/>
      <c r="K190" s="83"/>
      <c r="L190" s="83"/>
      <c r="M190" s="83"/>
      <c r="N190" s="83"/>
      <c r="O190" s="83"/>
    </row>
    <row r="191" ht="16.5" customHeight="1">
      <c r="A191" s="83"/>
      <c r="B191" s="175"/>
      <c r="C191" s="83"/>
      <c r="D191" s="83"/>
      <c r="E191" s="84"/>
      <c r="F191" s="83"/>
      <c r="G191" s="83"/>
      <c r="H191" s="83"/>
      <c r="I191" s="83"/>
      <c r="J191" s="83"/>
      <c r="K191" s="83"/>
      <c r="L191" s="83"/>
      <c r="M191" s="83"/>
      <c r="N191" s="83"/>
      <c r="O191" s="83"/>
    </row>
    <row r="192" ht="16.5" customHeight="1">
      <c r="A192" s="83"/>
      <c r="B192" s="175"/>
      <c r="C192" s="83"/>
      <c r="D192" s="83"/>
      <c r="E192" s="84"/>
      <c r="F192" s="83"/>
      <c r="G192" s="83"/>
      <c r="H192" s="83"/>
      <c r="I192" s="83"/>
      <c r="J192" s="83"/>
      <c r="K192" s="83"/>
      <c r="L192" s="83"/>
      <c r="M192" s="83"/>
      <c r="N192" s="83"/>
      <c r="O192" s="83"/>
    </row>
    <row r="193" ht="16.5" customHeight="1">
      <c r="A193" s="83"/>
      <c r="B193" s="175"/>
      <c r="C193" s="83"/>
      <c r="D193" s="83"/>
      <c r="E193" s="84"/>
      <c r="F193" s="83"/>
      <c r="G193" s="83"/>
      <c r="H193" s="83"/>
      <c r="I193" s="83"/>
      <c r="J193" s="83"/>
      <c r="K193" s="83"/>
      <c r="L193" s="83"/>
      <c r="M193" s="83"/>
      <c r="N193" s="83"/>
      <c r="O193" s="83"/>
    </row>
    <row r="194" ht="16.5" customHeight="1">
      <c r="A194" s="83"/>
      <c r="B194" s="175"/>
      <c r="C194" s="83"/>
      <c r="D194" s="83"/>
      <c r="E194" s="84"/>
      <c r="F194" s="83"/>
      <c r="G194" s="83"/>
      <c r="H194" s="83"/>
      <c r="I194" s="83"/>
      <c r="J194" s="83"/>
      <c r="K194" s="83"/>
      <c r="L194" s="83"/>
      <c r="M194" s="83"/>
      <c r="N194" s="83"/>
      <c r="O194" s="83"/>
    </row>
    <row r="195" ht="16.5" customHeight="1">
      <c r="A195" s="83"/>
      <c r="B195" s="175"/>
      <c r="C195" s="83"/>
      <c r="D195" s="83"/>
      <c r="E195" s="84"/>
      <c r="F195" s="83"/>
      <c r="G195" s="83"/>
      <c r="H195" s="83"/>
      <c r="I195" s="83"/>
      <c r="J195" s="83"/>
      <c r="K195" s="83"/>
      <c r="L195" s="83"/>
      <c r="M195" s="83"/>
      <c r="N195" s="83"/>
      <c r="O195" s="83"/>
    </row>
    <row r="196" ht="16.5" customHeight="1">
      <c r="A196" s="83"/>
      <c r="B196" s="175"/>
      <c r="C196" s="83"/>
      <c r="D196" s="83"/>
      <c r="E196" s="84"/>
      <c r="F196" s="83"/>
      <c r="G196" s="83"/>
      <c r="H196" s="83"/>
      <c r="I196" s="83"/>
      <c r="J196" s="83"/>
      <c r="K196" s="83"/>
      <c r="L196" s="83"/>
      <c r="M196" s="83"/>
      <c r="N196" s="83"/>
      <c r="O196" s="83"/>
    </row>
    <row r="197" ht="16.5" customHeight="1">
      <c r="A197" s="83"/>
      <c r="B197" s="175"/>
      <c r="C197" s="83"/>
      <c r="D197" s="83"/>
      <c r="E197" s="84"/>
      <c r="F197" s="83"/>
      <c r="G197" s="83"/>
      <c r="H197" s="83"/>
      <c r="I197" s="83"/>
      <c r="J197" s="83"/>
      <c r="K197" s="83"/>
      <c r="L197" s="83"/>
      <c r="M197" s="83"/>
      <c r="N197" s="83"/>
      <c r="O197" s="83"/>
    </row>
    <row r="198" ht="16.5" customHeight="1">
      <c r="A198" s="83"/>
      <c r="B198" s="175"/>
      <c r="C198" s="83"/>
      <c r="D198" s="83"/>
      <c r="E198" s="84"/>
      <c r="F198" s="83"/>
      <c r="G198" s="83"/>
      <c r="H198" s="83"/>
      <c r="I198" s="83"/>
      <c r="J198" s="83"/>
      <c r="K198" s="83"/>
      <c r="L198" s="83"/>
      <c r="M198" s="83"/>
      <c r="N198" s="83"/>
      <c r="O198" s="83"/>
    </row>
    <row r="199" ht="16.5" customHeight="1">
      <c r="A199" s="83"/>
      <c r="B199" s="175"/>
      <c r="C199" s="83"/>
      <c r="D199" s="83"/>
      <c r="E199" s="84"/>
      <c r="F199" s="83"/>
      <c r="G199" s="83"/>
      <c r="H199" s="83"/>
      <c r="I199" s="83"/>
      <c r="J199" s="83"/>
      <c r="K199" s="83"/>
      <c r="L199" s="83"/>
      <c r="M199" s="83"/>
      <c r="N199" s="83"/>
      <c r="O199" s="83"/>
    </row>
    <row r="200" ht="16.5" customHeight="1">
      <c r="A200" s="83"/>
      <c r="B200" s="175"/>
      <c r="C200" s="83"/>
      <c r="D200" s="83"/>
      <c r="E200" s="84"/>
      <c r="F200" s="83"/>
      <c r="G200" s="83"/>
      <c r="H200" s="83"/>
      <c r="I200" s="83"/>
      <c r="J200" s="83"/>
      <c r="K200" s="83"/>
      <c r="L200" s="83"/>
      <c r="M200" s="83"/>
      <c r="N200" s="83"/>
      <c r="O200" s="83"/>
    </row>
    <row r="201" ht="16.5" customHeight="1">
      <c r="A201" s="83"/>
      <c r="B201" s="175"/>
      <c r="C201" s="83"/>
      <c r="D201" s="83"/>
      <c r="E201" s="84"/>
      <c r="F201" s="83"/>
      <c r="G201" s="83"/>
      <c r="H201" s="83"/>
      <c r="I201" s="83"/>
      <c r="J201" s="83"/>
      <c r="K201" s="83"/>
      <c r="L201" s="83"/>
      <c r="M201" s="83"/>
      <c r="N201" s="83"/>
      <c r="O201" s="83"/>
    </row>
    <row r="202" ht="16.5" customHeight="1">
      <c r="A202" s="83"/>
      <c r="B202" s="175"/>
      <c r="C202" s="83"/>
      <c r="D202" s="83"/>
      <c r="E202" s="84"/>
      <c r="F202" s="83"/>
      <c r="G202" s="83"/>
      <c r="H202" s="83"/>
      <c r="I202" s="83"/>
      <c r="J202" s="83"/>
      <c r="K202" s="83"/>
      <c r="L202" s="83"/>
      <c r="M202" s="83"/>
      <c r="N202" s="83"/>
      <c r="O202" s="83"/>
    </row>
    <row r="203" ht="16.5" customHeight="1">
      <c r="A203" s="83"/>
      <c r="B203" s="175"/>
      <c r="C203" s="83"/>
      <c r="D203" s="83"/>
      <c r="E203" s="84"/>
      <c r="F203" s="83"/>
      <c r="G203" s="83"/>
      <c r="H203" s="83"/>
      <c r="I203" s="83"/>
      <c r="J203" s="83"/>
      <c r="K203" s="83"/>
      <c r="L203" s="83"/>
      <c r="M203" s="83"/>
      <c r="N203" s="83"/>
      <c r="O203" s="83"/>
    </row>
    <row r="204" ht="16.5" customHeight="1">
      <c r="A204" s="83"/>
      <c r="B204" s="175"/>
      <c r="C204" s="83"/>
      <c r="D204" s="83"/>
      <c r="E204" s="84"/>
      <c r="F204" s="83"/>
      <c r="G204" s="83"/>
      <c r="H204" s="83"/>
      <c r="I204" s="83"/>
      <c r="J204" s="83"/>
      <c r="K204" s="83"/>
      <c r="L204" s="83"/>
      <c r="M204" s="83"/>
      <c r="N204" s="83"/>
      <c r="O204" s="83"/>
    </row>
    <row r="205" ht="16.5" customHeight="1">
      <c r="A205" s="83"/>
      <c r="B205" s="175"/>
      <c r="C205" s="83"/>
      <c r="D205" s="83"/>
      <c r="E205" s="84"/>
      <c r="F205" s="83"/>
      <c r="G205" s="83"/>
      <c r="H205" s="83"/>
      <c r="I205" s="83"/>
      <c r="J205" s="83"/>
      <c r="K205" s="83"/>
      <c r="L205" s="83"/>
      <c r="M205" s="83"/>
      <c r="N205" s="83"/>
      <c r="O205" s="83"/>
    </row>
    <row r="206" ht="16.5" customHeight="1">
      <c r="A206" s="83"/>
      <c r="B206" s="175"/>
      <c r="C206" s="83"/>
      <c r="D206" s="83"/>
      <c r="E206" s="84"/>
      <c r="F206" s="83"/>
      <c r="G206" s="83"/>
      <c r="H206" s="83"/>
      <c r="I206" s="83"/>
      <c r="J206" s="83"/>
      <c r="K206" s="83"/>
      <c r="L206" s="83"/>
      <c r="M206" s="83"/>
      <c r="N206" s="83"/>
      <c r="O206" s="83"/>
    </row>
    <row r="207" ht="16.5" customHeight="1">
      <c r="A207" s="83"/>
      <c r="B207" s="175"/>
      <c r="C207" s="83"/>
      <c r="D207" s="83"/>
      <c r="E207" s="84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ht="16.5" customHeight="1">
      <c r="A208" s="83"/>
      <c r="B208" s="175"/>
      <c r="C208" s="83"/>
      <c r="D208" s="83"/>
      <c r="E208" s="84"/>
      <c r="F208" s="83"/>
      <c r="G208" s="83"/>
      <c r="H208" s="83"/>
      <c r="I208" s="83"/>
      <c r="J208" s="83"/>
      <c r="K208" s="83"/>
      <c r="L208" s="83"/>
      <c r="M208" s="83"/>
      <c r="N208" s="83"/>
      <c r="O208" s="83"/>
    </row>
    <row r="209" ht="16.5" customHeight="1">
      <c r="A209" s="83"/>
      <c r="B209" s="175"/>
      <c r="C209" s="83"/>
      <c r="D209" s="83"/>
      <c r="E209" s="84"/>
      <c r="F209" s="83"/>
      <c r="G209" s="83"/>
      <c r="H209" s="83"/>
      <c r="I209" s="83"/>
      <c r="J209" s="83"/>
      <c r="K209" s="83"/>
      <c r="L209" s="83"/>
      <c r="M209" s="83"/>
      <c r="N209" s="83"/>
      <c r="O209" s="83"/>
    </row>
    <row r="210" ht="16.5" customHeight="1">
      <c r="A210" s="83"/>
      <c r="B210" s="175"/>
      <c r="C210" s="83"/>
      <c r="D210" s="83"/>
      <c r="E210" s="84"/>
      <c r="F210" s="83"/>
      <c r="G210" s="83"/>
      <c r="H210" s="83"/>
      <c r="I210" s="83"/>
      <c r="J210" s="83"/>
      <c r="K210" s="83"/>
      <c r="L210" s="83"/>
      <c r="M210" s="83"/>
      <c r="N210" s="83"/>
      <c r="O210" s="83"/>
    </row>
    <row r="211" ht="16.5" customHeight="1">
      <c r="A211" s="83"/>
      <c r="B211" s="175"/>
      <c r="C211" s="83"/>
      <c r="D211" s="83"/>
      <c r="E211" s="84"/>
      <c r="F211" s="83"/>
      <c r="G211" s="83"/>
      <c r="H211" s="83"/>
      <c r="I211" s="83"/>
      <c r="J211" s="83"/>
      <c r="K211" s="83"/>
      <c r="L211" s="83"/>
      <c r="M211" s="83"/>
      <c r="N211" s="83"/>
      <c r="O211" s="83"/>
    </row>
    <row r="212" ht="16.5" customHeight="1">
      <c r="A212" s="83"/>
      <c r="B212" s="175"/>
      <c r="C212" s="83"/>
      <c r="D212" s="83"/>
      <c r="E212" s="84"/>
      <c r="F212" s="83"/>
      <c r="G212" s="83"/>
      <c r="H212" s="83"/>
      <c r="I212" s="83"/>
      <c r="J212" s="83"/>
      <c r="K212" s="83"/>
      <c r="L212" s="83"/>
      <c r="M212" s="83"/>
      <c r="N212" s="83"/>
      <c r="O212" s="83"/>
    </row>
    <row r="213" ht="16.5" customHeight="1">
      <c r="A213" s="83"/>
      <c r="B213" s="175"/>
      <c r="C213" s="83"/>
      <c r="D213" s="83"/>
      <c r="E213" s="84"/>
      <c r="F213" s="83"/>
      <c r="G213" s="83"/>
      <c r="H213" s="83"/>
      <c r="I213" s="83"/>
      <c r="J213" s="83"/>
      <c r="K213" s="83"/>
      <c r="L213" s="83"/>
      <c r="M213" s="83"/>
      <c r="N213" s="83"/>
      <c r="O213" s="83"/>
    </row>
    <row r="214" ht="16.5" customHeight="1">
      <c r="A214" s="83"/>
      <c r="B214" s="175"/>
      <c r="C214" s="83"/>
      <c r="D214" s="83"/>
      <c r="E214" s="84"/>
      <c r="F214" s="83"/>
      <c r="G214" s="83"/>
      <c r="H214" s="83"/>
      <c r="I214" s="83"/>
      <c r="J214" s="83"/>
      <c r="K214" s="83"/>
      <c r="L214" s="83"/>
      <c r="M214" s="83"/>
      <c r="N214" s="83"/>
      <c r="O214" s="83"/>
    </row>
    <row r="215" ht="16.5" customHeight="1">
      <c r="A215" s="83"/>
      <c r="B215" s="175"/>
      <c r="C215" s="83"/>
      <c r="D215" s="83"/>
      <c r="E215" s="84"/>
      <c r="F215" s="83"/>
      <c r="G215" s="83"/>
      <c r="H215" s="83"/>
      <c r="I215" s="83"/>
      <c r="J215" s="83"/>
      <c r="K215" s="83"/>
      <c r="L215" s="83"/>
      <c r="M215" s="83"/>
      <c r="N215" s="83"/>
      <c r="O215" s="83"/>
    </row>
    <row r="216" ht="16.5" customHeight="1">
      <c r="A216" s="83"/>
      <c r="B216" s="175"/>
      <c r="C216" s="83"/>
      <c r="D216" s="83"/>
      <c r="E216" s="84"/>
      <c r="F216" s="83"/>
      <c r="G216" s="83"/>
      <c r="H216" s="83"/>
      <c r="I216" s="83"/>
      <c r="J216" s="83"/>
      <c r="K216" s="83"/>
      <c r="L216" s="83"/>
      <c r="M216" s="83"/>
      <c r="N216" s="83"/>
      <c r="O216" s="83"/>
    </row>
    <row r="217" ht="16.5" customHeight="1">
      <c r="A217" s="83"/>
      <c r="B217" s="175"/>
      <c r="C217" s="83"/>
      <c r="D217" s="83"/>
      <c r="E217" s="84"/>
      <c r="F217" s="83"/>
      <c r="G217" s="83"/>
      <c r="H217" s="83"/>
      <c r="I217" s="83"/>
      <c r="J217" s="83"/>
      <c r="K217" s="83"/>
      <c r="L217" s="83"/>
      <c r="M217" s="83"/>
      <c r="N217" s="83"/>
      <c r="O217" s="83"/>
    </row>
    <row r="218" ht="16.5" customHeight="1">
      <c r="A218" s="83"/>
      <c r="B218" s="175"/>
      <c r="C218" s="83"/>
      <c r="D218" s="83"/>
      <c r="E218" s="84"/>
      <c r="F218" s="83"/>
      <c r="G218" s="83"/>
      <c r="H218" s="83"/>
      <c r="I218" s="83"/>
      <c r="J218" s="83"/>
      <c r="K218" s="83"/>
      <c r="L218" s="83"/>
      <c r="M218" s="83"/>
      <c r="N218" s="83"/>
      <c r="O218" s="83"/>
    </row>
    <row r="219" ht="16.5" customHeight="1">
      <c r="A219" s="83"/>
      <c r="B219" s="175"/>
      <c r="C219" s="83"/>
      <c r="D219" s="83"/>
      <c r="E219" s="84"/>
      <c r="F219" s="83"/>
      <c r="G219" s="83"/>
      <c r="H219" s="83"/>
      <c r="I219" s="83"/>
      <c r="J219" s="83"/>
      <c r="K219" s="83"/>
      <c r="L219" s="83"/>
      <c r="M219" s="83"/>
      <c r="N219" s="83"/>
      <c r="O219" s="83"/>
    </row>
    <row r="220" ht="16.5" customHeight="1">
      <c r="A220" s="83"/>
      <c r="B220" s="175"/>
      <c r="C220" s="83"/>
      <c r="D220" s="83"/>
      <c r="E220" s="84"/>
      <c r="F220" s="83"/>
      <c r="G220" s="83"/>
      <c r="H220" s="83"/>
      <c r="I220" s="83"/>
      <c r="J220" s="83"/>
      <c r="K220" s="83"/>
      <c r="L220" s="83"/>
      <c r="M220" s="83"/>
      <c r="N220" s="83"/>
      <c r="O220" s="83"/>
    </row>
    <row r="221" ht="16.5" customHeight="1">
      <c r="A221" s="83"/>
      <c r="B221" s="175"/>
      <c r="C221" s="83"/>
      <c r="D221" s="83"/>
      <c r="E221" s="84"/>
      <c r="F221" s="83"/>
      <c r="G221" s="83"/>
      <c r="H221" s="83"/>
      <c r="I221" s="83"/>
      <c r="J221" s="83"/>
      <c r="K221" s="83"/>
      <c r="L221" s="83"/>
      <c r="M221" s="83"/>
      <c r="N221" s="83"/>
      <c r="O221" s="83"/>
    </row>
    <row r="222" ht="16.5" customHeight="1">
      <c r="A222" s="83"/>
      <c r="B222" s="175"/>
      <c r="C222" s="83"/>
      <c r="D222" s="83"/>
      <c r="E222" s="84"/>
      <c r="F222" s="83"/>
      <c r="G222" s="83"/>
      <c r="H222" s="83"/>
      <c r="I222" s="83"/>
      <c r="J222" s="83"/>
      <c r="K222" s="83"/>
      <c r="L222" s="83"/>
      <c r="M222" s="83"/>
      <c r="N222" s="83"/>
      <c r="O222" s="83"/>
    </row>
    <row r="223" ht="16.5" customHeight="1">
      <c r="A223" s="83"/>
      <c r="B223" s="175"/>
      <c r="C223" s="83"/>
      <c r="D223" s="83"/>
      <c r="E223" s="84"/>
      <c r="F223" s="83"/>
      <c r="G223" s="83"/>
      <c r="H223" s="83"/>
      <c r="I223" s="83"/>
      <c r="J223" s="83"/>
      <c r="K223" s="83"/>
      <c r="L223" s="83"/>
      <c r="M223" s="83"/>
      <c r="N223" s="83"/>
      <c r="O223" s="83"/>
    </row>
    <row r="224" ht="16.5" customHeight="1">
      <c r="A224" s="83"/>
      <c r="B224" s="175"/>
      <c r="C224" s="83"/>
      <c r="D224" s="83"/>
      <c r="E224" s="84"/>
      <c r="F224" s="83"/>
      <c r="G224" s="83"/>
      <c r="H224" s="83"/>
      <c r="I224" s="83"/>
      <c r="J224" s="83"/>
      <c r="K224" s="83"/>
      <c r="L224" s="83"/>
      <c r="M224" s="83"/>
      <c r="N224" s="83"/>
      <c r="O224" s="83"/>
    </row>
    <row r="225" ht="16.5" customHeight="1">
      <c r="A225" s="83"/>
      <c r="B225" s="175"/>
      <c r="C225" s="83"/>
      <c r="D225" s="83"/>
      <c r="E225" s="84"/>
      <c r="F225" s="83"/>
      <c r="G225" s="83"/>
      <c r="H225" s="83"/>
      <c r="I225" s="83"/>
      <c r="J225" s="83"/>
      <c r="K225" s="83"/>
      <c r="L225" s="83"/>
      <c r="M225" s="83"/>
      <c r="N225" s="83"/>
      <c r="O225" s="83"/>
    </row>
    <row r="226" ht="16.5" customHeight="1">
      <c r="A226" s="83"/>
      <c r="B226" s="175"/>
      <c r="C226" s="83"/>
      <c r="D226" s="83"/>
      <c r="E226" s="84"/>
      <c r="F226" s="83"/>
      <c r="G226" s="83"/>
      <c r="H226" s="83"/>
      <c r="I226" s="83"/>
      <c r="J226" s="83"/>
      <c r="K226" s="83"/>
      <c r="L226" s="83"/>
      <c r="M226" s="83"/>
      <c r="N226" s="83"/>
      <c r="O226" s="83"/>
    </row>
    <row r="227" ht="16.5" customHeight="1">
      <c r="A227" s="83"/>
      <c r="B227" s="175"/>
      <c r="C227" s="83"/>
      <c r="D227" s="83"/>
      <c r="E227" s="84"/>
      <c r="F227" s="83"/>
      <c r="G227" s="83"/>
      <c r="H227" s="83"/>
      <c r="I227" s="83"/>
      <c r="J227" s="83"/>
      <c r="K227" s="83"/>
      <c r="L227" s="83"/>
      <c r="M227" s="83"/>
      <c r="N227" s="83"/>
      <c r="O227" s="83"/>
    </row>
    <row r="228" ht="16.5" customHeight="1">
      <c r="A228" s="83"/>
      <c r="B228" s="175"/>
      <c r="C228" s="83"/>
      <c r="D228" s="83"/>
      <c r="E228" s="84"/>
      <c r="F228" s="83"/>
      <c r="G228" s="83"/>
      <c r="H228" s="83"/>
      <c r="I228" s="83"/>
      <c r="J228" s="83"/>
      <c r="K228" s="83"/>
      <c r="L228" s="83"/>
      <c r="M228" s="83"/>
      <c r="N228" s="83"/>
      <c r="O228" s="83"/>
    </row>
    <row r="229" ht="16.5" customHeight="1">
      <c r="A229" s="83"/>
      <c r="B229" s="175"/>
      <c r="C229" s="83"/>
      <c r="D229" s="83"/>
      <c r="E229" s="84"/>
      <c r="F229" s="83"/>
      <c r="G229" s="83"/>
      <c r="H229" s="83"/>
      <c r="I229" s="83"/>
      <c r="J229" s="83"/>
      <c r="K229" s="83"/>
      <c r="L229" s="83"/>
      <c r="M229" s="83"/>
      <c r="N229" s="83"/>
      <c r="O229" s="83"/>
    </row>
    <row r="230" ht="16.5" customHeight="1">
      <c r="A230" s="83"/>
      <c r="B230" s="175"/>
      <c r="C230" s="83"/>
      <c r="D230" s="83"/>
      <c r="E230" s="84"/>
      <c r="F230" s="83"/>
      <c r="G230" s="83"/>
      <c r="H230" s="83"/>
      <c r="I230" s="83"/>
      <c r="J230" s="83"/>
      <c r="K230" s="83"/>
      <c r="L230" s="83"/>
      <c r="M230" s="83"/>
      <c r="N230" s="83"/>
      <c r="O230" s="83"/>
    </row>
    <row r="231" ht="16.5" customHeight="1">
      <c r="A231" s="83"/>
      <c r="B231" s="175"/>
      <c r="C231" s="83"/>
      <c r="D231" s="83"/>
      <c r="E231" s="84"/>
      <c r="F231" s="83"/>
      <c r="G231" s="83"/>
      <c r="H231" s="83"/>
      <c r="I231" s="83"/>
      <c r="J231" s="83"/>
      <c r="K231" s="83"/>
      <c r="L231" s="83"/>
      <c r="M231" s="83"/>
      <c r="N231" s="83"/>
      <c r="O231" s="83"/>
    </row>
    <row r="232" ht="16.5" customHeight="1">
      <c r="A232" s="83"/>
      <c r="B232" s="175"/>
      <c r="C232" s="83"/>
      <c r="D232" s="83"/>
      <c r="E232" s="84"/>
      <c r="F232" s="83"/>
      <c r="G232" s="83"/>
      <c r="H232" s="83"/>
      <c r="I232" s="83"/>
      <c r="J232" s="83"/>
      <c r="K232" s="83"/>
      <c r="L232" s="83"/>
      <c r="M232" s="83"/>
      <c r="N232" s="83"/>
      <c r="O232" s="83"/>
    </row>
    <row r="233" ht="16.5" customHeight="1">
      <c r="A233" s="83"/>
      <c r="B233" s="175"/>
      <c r="C233" s="83"/>
      <c r="D233" s="83"/>
      <c r="E233" s="84"/>
      <c r="F233" s="83"/>
      <c r="G233" s="83"/>
      <c r="H233" s="83"/>
      <c r="I233" s="83"/>
      <c r="J233" s="83"/>
      <c r="K233" s="83"/>
      <c r="L233" s="83"/>
      <c r="M233" s="83"/>
      <c r="N233" s="83"/>
      <c r="O233" s="83"/>
    </row>
    <row r="234" ht="16.5" customHeight="1">
      <c r="A234" s="83"/>
      <c r="B234" s="175"/>
      <c r="C234" s="83"/>
      <c r="D234" s="83"/>
      <c r="E234" s="84"/>
      <c r="F234" s="83"/>
      <c r="G234" s="83"/>
      <c r="H234" s="83"/>
      <c r="I234" s="83"/>
      <c r="J234" s="83"/>
      <c r="K234" s="83"/>
      <c r="L234" s="83"/>
      <c r="M234" s="83"/>
      <c r="N234" s="83"/>
      <c r="O234" s="83"/>
    </row>
    <row r="235" ht="16.5" customHeight="1">
      <c r="A235" s="83"/>
      <c r="B235" s="175"/>
      <c r="C235" s="83"/>
      <c r="D235" s="83"/>
      <c r="E235" s="84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ht="16.5" customHeight="1">
      <c r="A236" s="83"/>
      <c r="B236" s="175"/>
      <c r="C236" s="83"/>
      <c r="D236" s="83"/>
      <c r="E236" s="84"/>
      <c r="F236" s="83"/>
      <c r="G236" s="83"/>
      <c r="H236" s="83"/>
      <c r="I236" s="83"/>
      <c r="J236" s="83"/>
      <c r="K236" s="83"/>
      <c r="L236" s="83"/>
      <c r="M236" s="83"/>
      <c r="N236" s="83"/>
      <c r="O236" s="83"/>
    </row>
    <row r="237" ht="16.5" customHeight="1">
      <c r="A237" s="83"/>
      <c r="B237" s="175"/>
      <c r="C237" s="83"/>
      <c r="D237" s="83"/>
      <c r="E237" s="84"/>
      <c r="F237" s="83"/>
      <c r="G237" s="83"/>
      <c r="H237" s="83"/>
      <c r="I237" s="83"/>
      <c r="J237" s="83"/>
      <c r="K237" s="83"/>
      <c r="L237" s="83"/>
      <c r="M237" s="83"/>
      <c r="N237" s="83"/>
      <c r="O237" s="83"/>
    </row>
    <row r="238" ht="16.5" customHeight="1">
      <c r="A238" s="83"/>
      <c r="B238" s="175"/>
      <c r="C238" s="83"/>
      <c r="D238" s="83"/>
      <c r="E238" s="84"/>
      <c r="F238" s="83"/>
      <c r="G238" s="83"/>
      <c r="H238" s="83"/>
      <c r="I238" s="83"/>
      <c r="J238" s="83"/>
      <c r="K238" s="83"/>
      <c r="L238" s="83"/>
      <c r="M238" s="83"/>
      <c r="N238" s="83"/>
      <c r="O238" s="83"/>
    </row>
    <row r="239" ht="16.5" customHeight="1">
      <c r="A239" s="83"/>
      <c r="B239" s="175"/>
      <c r="C239" s="83"/>
      <c r="D239" s="83"/>
      <c r="E239" s="84"/>
      <c r="F239" s="83"/>
      <c r="G239" s="83"/>
      <c r="H239" s="83"/>
      <c r="I239" s="83"/>
      <c r="J239" s="83"/>
      <c r="K239" s="83"/>
      <c r="L239" s="83"/>
      <c r="M239" s="83"/>
      <c r="N239" s="83"/>
      <c r="O239" s="83"/>
    </row>
    <row r="240" ht="16.5" customHeight="1">
      <c r="A240" s="83"/>
      <c r="B240" s="175"/>
      <c r="C240" s="83"/>
      <c r="D240" s="83"/>
      <c r="E240" s="84"/>
      <c r="F240" s="83"/>
      <c r="G240" s="83"/>
      <c r="H240" s="83"/>
      <c r="I240" s="83"/>
      <c r="J240" s="83"/>
      <c r="K240" s="83"/>
      <c r="L240" s="83"/>
      <c r="M240" s="83"/>
      <c r="N240" s="83"/>
      <c r="O240" s="83"/>
    </row>
    <row r="241" ht="16.5" customHeight="1">
      <c r="A241" s="83"/>
      <c r="B241" s="175"/>
      <c r="C241" s="83"/>
      <c r="D241" s="83"/>
      <c r="E241" s="84"/>
      <c r="F241" s="83"/>
      <c r="G241" s="83"/>
      <c r="H241" s="83"/>
      <c r="I241" s="83"/>
      <c r="J241" s="83"/>
      <c r="K241" s="83"/>
      <c r="L241" s="83"/>
      <c r="M241" s="83"/>
      <c r="N241" s="83"/>
      <c r="O241" s="83"/>
    </row>
    <row r="242" ht="16.5" customHeight="1">
      <c r="A242" s="83"/>
      <c r="B242" s="175"/>
      <c r="C242" s="83"/>
      <c r="D242" s="83"/>
      <c r="E242" s="84"/>
      <c r="F242" s="83"/>
      <c r="G242" s="83"/>
      <c r="H242" s="83"/>
      <c r="I242" s="83"/>
      <c r="J242" s="83"/>
      <c r="K242" s="83"/>
      <c r="L242" s="83"/>
      <c r="M242" s="83"/>
      <c r="N242" s="83"/>
      <c r="O242" s="83"/>
    </row>
    <row r="243" ht="16.5" customHeight="1">
      <c r="A243" s="83"/>
      <c r="B243" s="175"/>
      <c r="C243" s="83"/>
      <c r="D243" s="83"/>
      <c r="E243" s="84"/>
      <c r="F243" s="83"/>
      <c r="G243" s="83"/>
      <c r="H243" s="83"/>
      <c r="I243" s="83"/>
      <c r="J243" s="83"/>
      <c r="K243" s="83"/>
      <c r="L243" s="83"/>
      <c r="M243" s="83"/>
      <c r="N243" s="83"/>
      <c r="O243" s="83"/>
    </row>
    <row r="244" ht="16.5" customHeight="1">
      <c r="A244" s="83"/>
      <c r="B244" s="175"/>
      <c r="C244" s="83"/>
      <c r="D244" s="83"/>
      <c r="E244" s="84"/>
      <c r="F244" s="83"/>
      <c r="G244" s="83"/>
      <c r="H244" s="83"/>
      <c r="I244" s="83"/>
      <c r="J244" s="83"/>
      <c r="K244" s="83"/>
      <c r="L244" s="83"/>
      <c r="M244" s="83"/>
      <c r="N244" s="83"/>
      <c r="O244" s="83"/>
    </row>
    <row r="245" ht="16.5" customHeight="1">
      <c r="A245" s="83"/>
      <c r="B245" s="175"/>
      <c r="C245" s="83"/>
      <c r="D245" s="83"/>
      <c r="E245" s="84"/>
      <c r="F245" s="83"/>
      <c r="G245" s="83"/>
      <c r="H245" s="83"/>
      <c r="I245" s="83"/>
      <c r="J245" s="83"/>
      <c r="K245" s="83"/>
      <c r="L245" s="83"/>
      <c r="M245" s="83"/>
      <c r="N245" s="83"/>
      <c r="O245" s="83"/>
    </row>
    <row r="246" ht="16.5" customHeight="1">
      <c r="A246" s="83"/>
      <c r="B246" s="175"/>
      <c r="C246" s="83"/>
      <c r="D246" s="83"/>
      <c r="E246" s="84"/>
      <c r="F246" s="83"/>
      <c r="G246" s="83"/>
      <c r="H246" s="83"/>
      <c r="I246" s="83"/>
      <c r="J246" s="83"/>
      <c r="K246" s="83"/>
      <c r="L246" s="83"/>
      <c r="M246" s="83"/>
      <c r="N246" s="83"/>
      <c r="O246" s="83"/>
    </row>
    <row r="247" ht="16.5" customHeight="1">
      <c r="A247" s="83"/>
      <c r="B247" s="175"/>
      <c r="C247" s="83"/>
      <c r="D247" s="83"/>
      <c r="E247" s="84"/>
      <c r="F247" s="83"/>
      <c r="G247" s="83"/>
      <c r="H247" s="83"/>
      <c r="I247" s="83"/>
      <c r="J247" s="83"/>
      <c r="K247" s="83"/>
      <c r="L247" s="83"/>
      <c r="M247" s="83"/>
      <c r="N247" s="83"/>
      <c r="O247" s="83"/>
    </row>
    <row r="248" ht="16.5" customHeight="1">
      <c r="A248" s="83"/>
      <c r="B248" s="175"/>
      <c r="C248" s="83"/>
      <c r="D248" s="83"/>
      <c r="E248" s="84"/>
      <c r="F248" s="83"/>
      <c r="G248" s="83"/>
      <c r="H248" s="83"/>
      <c r="I248" s="83"/>
      <c r="J248" s="83"/>
      <c r="K248" s="83"/>
      <c r="L248" s="83"/>
      <c r="M248" s="83"/>
      <c r="N248" s="83"/>
      <c r="O248" s="83"/>
    </row>
    <row r="249" ht="16.5" customHeight="1">
      <c r="A249" s="83"/>
      <c r="B249" s="175"/>
      <c r="C249" s="83"/>
      <c r="D249" s="83"/>
      <c r="E249" s="84"/>
      <c r="F249" s="83"/>
      <c r="G249" s="83"/>
      <c r="H249" s="83"/>
      <c r="I249" s="83"/>
      <c r="J249" s="83"/>
      <c r="K249" s="83"/>
      <c r="L249" s="83"/>
      <c r="M249" s="83"/>
      <c r="N249" s="83"/>
      <c r="O249" s="83"/>
    </row>
    <row r="250" ht="16.5" customHeight="1">
      <c r="A250" s="83"/>
      <c r="B250" s="175"/>
      <c r="C250" s="83"/>
      <c r="D250" s="83"/>
      <c r="E250" s="84"/>
      <c r="F250" s="83"/>
      <c r="G250" s="83"/>
      <c r="H250" s="83"/>
      <c r="I250" s="83"/>
      <c r="J250" s="83"/>
      <c r="K250" s="83"/>
      <c r="L250" s="83"/>
      <c r="M250" s="83"/>
      <c r="N250" s="83"/>
      <c r="O250" s="83"/>
    </row>
    <row r="251" ht="16.5" customHeight="1">
      <c r="A251" s="83"/>
      <c r="B251" s="175"/>
      <c r="C251" s="83"/>
      <c r="D251" s="83"/>
      <c r="E251" s="84"/>
      <c r="F251" s="83"/>
      <c r="G251" s="83"/>
      <c r="H251" s="83"/>
      <c r="I251" s="83"/>
      <c r="J251" s="83"/>
      <c r="K251" s="83"/>
      <c r="L251" s="83"/>
      <c r="M251" s="83"/>
      <c r="N251" s="83"/>
      <c r="O251" s="83"/>
    </row>
    <row r="252" ht="16.5" customHeight="1">
      <c r="A252" s="83"/>
      <c r="B252" s="175"/>
      <c r="C252" s="83"/>
      <c r="D252" s="83"/>
      <c r="E252" s="84"/>
      <c r="F252" s="83"/>
      <c r="G252" s="83"/>
      <c r="H252" s="83"/>
      <c r="I252" s="83"/>
      <c r="J252" s="83"/>
      <c r="K252" s="83"/>
      <c r="L252" s="83"/>
      <c r="M252" s="83"/>
      <c r="N252" s="83"/>
      <c r="O252" s="83"/>
    </row>
    <row r="253" ht="16.5" customHeight="1">
      <c r="A253" s="83"/>
      <c r="B253" s="175"/>
      <c r="C253" s="83"/>
      <c r="D253" s="83"/>
      <c r="E253" s="84"/>
      <c r="F253" s="83"/>
      <c r="G253" s="83"/>
      <c r="H253" s="83"/>
      <c r="I253" s="83"/>
      <c r="J253" s="83"/>
      <c r="K253" s="83"/>
      <c r="L253" s="83"/>
      <c r="M253" s="83"/>
      <c r="N253" s="83"/>
      <c r="O253" s="83"/>
    </row>
    <row r="254" ht="16.5" customHeight="1">
      <c r="A254" s="83"/>
      <c r="B254" s="175"/>
      <c r="C254" s="83"/>
      <c r="D254" s="83"/>
      <c r="E254" s="84"/>
      <c r="F254" s="83"/>
      <c r="G254" s="83"/>
      <c r="H254" s="83"/>
      <c r="I254" s="83"/>
      <c r="J254" s="83"/>
      <c r="K254" s="83"/>
      <c r="L254" s="83"/>
      <c r="M254" s="83"/>
      <c r="N254" s="83"/>
      <c r="O254" s="83"/>
    </row>
    <row r="255" ht="16.5" customHeight="1">
      <c r="A255" s="83"/>
      <c r="B255" s="175"/>
      <c r="C255" s="83"/>
      <c r="D255" s="83"/>
      <c r="E255" s="84"/>
      <c r="F255" s="83"/>
      <c r="G255" s="83"/>
      <c r="H255" s="83"/>
      <c r="I255" s="83"/>
      <c r="J255" s="83"/>
      <c r="K255" s="83"/>
      <c r="L255" s="83"/>
      <c r="M255" s="83"/>
      <c r="N255" s="83"/>
      <c r="O255" s="83"/>
    </row>
    <row r="256" ht="16.5" customHeight="1">
      <c r="A256" s="83"/>
      <c r="B256" s="175"/>
      <c r="C256" s="83"/>
      <c r="D256" s="83"/>
      <c r="E256" s="84"/>
      <c r="F256" s="83"/>
      <c r="G256" s="83"/>
      <c r="H256" s="83"/>
      <c r="I256" s="83"/>
      <c r="J256" s="83"/>
      <c r="K256" s="83"/>
      <c r="L256" s="83"/>
      <c r="M256" s="83"/>
      <c r="N256" s="83"/>
      <c r="O256" s="83"/>
    </row>
    <row r="257" ht="16.5" customHeight="1">
      <c r="A257" s="83"/>
      <c r="B257" s="175"/>
      <c r="C257" s="83"/>
      <c r="D257" s="83"/>
      <c r="E257" s="84"/>
      <c r="F257" s="83"/>
      <c r="G257" s="83"/>
      <c r="H257" s="83"/>
      <c r="I257" s="83"/>
      <c r="J257" s="83"/>
      <c r="K257" s="83"/>
      <c r="L257" s="83"/>
      <c r="M257" s="83"/>
      <c r="N257" s="83"/>
      <c r="O257" s="83"/>
    </row>
    <row r="258" ht="16.5" customHeight="1">
      <c r="A258" s="83"/>
      <c r="B258" s="175"/>
      <c r="C258" s="83"/>
      <c r="D258" s="83"/>
      <c r="E258" s="84"/>
      <c r="F258" s="83"/>
      <c r="G258" s="83"/>
      <c r="H258" s="83"/>
      <c r="I258" s="83"/>
      <c r="J258" s="83"/>
      <c r="K258" s="83"/>
      <c r="L258" s="83"/>
      <c r="M258" s="83"/>
      <c r="N258" s="83"/>
      <c r="O258" s="83"/>
    </row>
    <row r="259" ht="16.5" customHeight="1">
      <c r="A259" s="83"/>
      <c r="B259" s="175"/>
      <c r="C259" s="83"/>
      <c r="D259" s="83"/>
      <c r="E259" s="84"/>
      <c r="F259" s="83"/>
      <c r="G259" s="83"/>
      <c r="H259" s="83"/>
      <c r="I259" s="83"/>
      <c r="J259" s="83"/>
      <c r="K259" s="83"/>
      <c r="L259" s="83"/>
      <c r="M259" s="83"/>
      <c r="N259" s="83"/>
      <c r="O259" s="83"/>
    </row>
    <row r="260" ht="16.5" customHeight="1">
      <c r="A260" s="83"/>
      <c r="B260" s="175"/>
      <c r="C260" s="83"/>
      <c r="D260" s="83"/>
      <c r="E260" s="84"/>
      <c r="F260" s="83"/>
      <c r="G260" s="83"/>
      <c r="H260" s="83"/>
      <c r="I260" s="83"/>
      <c r="J260" s="83"/>
      <c r="K260" s="83"/>
      <c r="L260" s="83"/>
      <c r="M260" s="83"/>
      <c r="N260" s="83"/>
      <c r="O260" s="83"/>
    </row>
    <row r="261" ht="16.5" customHeight="1">
      <c r="A261" s="83"/>
      <c r="B261" s="175"/>
      <c r="C261" s="83"/>
      <c r="D261" s="83"/>
      <c r="E261" s="84"/>
      <c r="F261" s="83"/>
      <c r="G261" s="83"/>
      <c r="H261" s="83"/>
      <c r="I261" s="83"/>
      <c r="J261" s="83"/>
      <c r="K261" s="83"/>
      <c r="L261" s="83"/>
      <c r="M261" s="83"/>
      <c r="N261" s="83"/>
      <c r="O261" s="83"/>
    </row>
    <row r="262" ht="16.5" customHeight="1">
      <c r="A262" s="83"/>
      <c r="B262" s="175"/>
      <c r="C262" s="83"/>
      <c r="D262" s="83"/>
      <c r="E262" s="84"/>
      <c r="F262" s="83"/>
      <c r="G262" s="83"/>
      <c r="H262" s="83"/>
      <c r="I262" s="83"/>
      <c r="J262" s="83"/>
      <c r="K262" s="83"/>
      <c r="L262" s="83"/>
      <c r="M262" s="83"/>
      <c r="N262" s="83"/>
      <c r="O262" s="83"/>
    </row>
    <row r="263" ht="16.5" customHeight="1">
      <c r="A263" s="83"/>
      <c r="B263" s="175"/>
      <c r="C263" s="83"/>
      <c r="D263" s="83"/>
      <c r="E263" s="84"/>
      <c r="F263" s="83"/>
      <c r="G263" s="83"/>
      <c r="H263" s="83"/>
      <c r="I263" s="83"/>
      <c r="J263" s="83"/>
      <c r="K263" s="83"/>
      <c r="L263" s="83"/>
      <c r="M263" s="83"/>
      <c r="N263" s="83"/>
      <c r="O263" s="83"/>
    </row>
    <row r="264" ht="16.5" customHeight="1">
      <c r="A264" s="83"/>
      <c r="B264" s="175"/>
      <c r="C264" s="83"/>
      <c r="D264" s="83"/>
      <c r="E264" s="84"/>
      <c r="F264" s="83"/>
      <c r="G264" s="83"/>
      <c r="H264" s="83"/>
      <c r="I264" s="83"/>
      <c r="J264" s="83"/>
      <c r="K264" s="83"/>
      <c r="L264" s="83"/>
      <c r="M264" s="83"/>
      <c r="N264" s="83"/>
      <c r="O264" s="83"/>
    </row>
    <row r="265" ht="16.5" customHeight="1">
      <c r="A265" s="83"/>
      <c r="B265" s="175"/>
      <c r="C265" s="83"/>
      <c r="D265" s="83"/>
      <c r="E265" s="84"/>
      <c r="F265" s="83"/>
      <c r="G265" s="83"/>
      <c r="H265" s="83"/>
      <c r="I265" s="83"/>
      <c r="J265" s="83"/>
      <c r="K265" s="83"/>
      <c r="L265" s="83"/>
      <c r="M265" s="83"/>
      <c r="N265" s="83"/>
      <c r="O265" s="83"/>
    </row>
    <row r="266" ht="16.5" customHeight="1">
      <c r="A266" s="83"/>
      <c r="B266" s="175"/>
      <c r="C266" s="83"/>
      <c r="D266" s="83"/>
      <c r="E266" s="84"/>
      <c r="F266" s="83"/>
      <c r="G266" s="83"/>
      <c r="H266" s="83"/>
      <c r="I266" s="83"/>
      <c r="J266" s="83"/>
      <c r="K266" s="83"/>
      <c r="L266" s="83"/>
      <c r="M266" s="83"/>
      <c r="N266" s="83"/>
      <c r="O266" s="83"/>
    </row>
    <row r="267" ht="16.5" customHeight="1">
      <c r="A267" s="83"/>
      <c r="B267" s="175"/>
      <c r="C267" s="83"/>
      <c r="D267" s="83"/>
      <c r="E267" s="84"/>
      <c r="F267" s="83"/>
      <c r="G267" s="83"/>
      <c r="H267" s="83"/>
      <c r="I267" s="83"/>
      <c r="J267" s="83"/>
      <c r="K267" s="83"/>
      <c r="L267" s="83"/>
      <c r="M267" s="83"/>
      <c r="N267" s="83"/>
      <c r="O267" s="83"/>
    </row>
    <row r="268" ht="16.5" customHeight="1">
      <c r="A268" s="83"/>
      <c r="B268" s="175"/>
      <c r="C268" s="83"/>
      <c r="D268" s="83"/>
      <c r="E268" s="84"/>
      <c r="F268" s="83"/>
      <c r="G268" s="83"/>
      <c r="H268" s="83"/>
      <c r="I268" s="83"/>
      <c r="J268" s="83"/>
      <c r="K268" s="83"/>
      <c r="L268" s="83"/>
      <c r="M268" s="83"/>
      <c r="N268" s="83"/>
      <c r="O268" s="83"/>
    </row>
    <row r="269" ht="16.5" customHeight="1">
      <c r="A269" s="83"/>
      <c r="B269" s="175"/>
      <c r="C269" s="83"/>
      <c r="D269" s="83"/>
      <c r="E269" s="84"/>
      <c r="F269" s="83"/>
      <c r="G269" s="83"/>
      <c r="H269" s="83"/>
      <c r="I269" s="83"/>
      <c r="J269" s="83"/>
      <c r="K269" s="83"/>
      <c r="L269" s="83"/>
      <c r="M269" s="83"/>
      <c r="N269" s="83"/>
      <c r="O269" s="83"/>
    </row>
    <row r="270" ht="16.5" customHeight="1">
      <c r="A270" s="83"/>
      <c r="B270" s="175"/>
      <c r="C270" s="83"/>
      <c r="D270" s="83"/>
      <c r="E270" s="84"/>
      <c r="F270" s="83"/>
      <c r="G270" s="83"/>
      <c r="H270" s="83"/>
      <c r="I270" s="83"/>
      <c r="J270" s="83"/>
      <c r="K270" s="83"/>
      <c r="L270" s="83"/>
      <c r="M270" s="83"/>
      <c r="N270" s="83"/>
      <c r="O270" s="83"/>
    </row>
    <row r="271" ht="16.5" customHeight="1">
      <c r="A271" s="83"/>
      <c r="B271" s="175"/>
      <c r="C271" s="83"/>
      <c r="D271" s="83"/>
      <c r="E271" s="84"/>
      <c r="F271" s="83"/>
      <c r="G271" s="83"/>
      <c r="H271" s="83"/>
      <c r="I271" s="83"/>
      <c r="J271" s="83"/>
      <c r="K271" s="83"/>
      <c r="L271" s="83"/>
      <c r="M271" s="83"/>
      <c r="N271" s="83"/>
      <c r="O271" s="83"/>
    </row>
    <row r="272" ht="16.5" customHeight="1">
      <c r="A272" s="83"/>
      <c r="B272" s="175"/>
      <c r="C272" s="83"/>
      <c r="D272" s="83"/>
      <c r="E272" s="84"/>
      <c r="F272" s="83"/>
      <c r="G272" s="83"/>
      <c r="H272" s="83"/>
      <c r="I272" s="83"/>
      <c r="J272" s="83"/>
      <c r="K272" s="83"/>
      <c r="L272" s="83"/>
      <c r="M272" s="83"/>
      <c r="N272" s="83"/>
      <c r="O272" s="83"/>
    </row>
    <row r="273" ht="16.5" customHeight="1">
      <c r="A273" s="83"/>
      <c r="B273" s="175"/>
      <c r="C273" s="83"/>
      <c r="D273" s="83"/>
      <c r="E273" s="84"/>
      <c r="F273" s="83"/>
      <c r="G273" s="83"/>
      <c r="H273" s="83"/>
      <c r="I273" s="83"/>
      <c r="J273" s="83"/>
      <c r="K273" s="83"/>
      <c r="L273" s="83"/>
      <c r="M273" s="83"/>
      <c r="N273" s="83"/>
      <c r="O273" s="83"/>
    </row>
    <row r="274" ht="16.5" customHeight="1">
      <c r="A274" s="83"/>
      <c r="B274" s="175"/>
      <c r="C274" s="83"/>
      <c r="D274" s="83"/>
      <c r="E274" s="84"/>
      <c r="F274" s="83"/>
      <c r="G274" s="83"/>
      <c r="H274" s="83"/>
      <c r="I274" s="83"/>
      <c r="J274" s="83"/>
      <c r="K274" s="83"/>
      <c r="L274" s="83"/>
      <c r="M274" s="83"/>
      <c r="N274" s="83"/>
      <c r="O274" s="83"/>
    </row>
    <row r="275" ht="16.5" customHeight="1">
      <c r="A275" s="83"/>
      <c r="B275" s="175"/>
      <c r="C275" s="83"/>
      <c r="D275" s="83"/>
      <c r="E275" s="84"/>
      <c r="F275" s="83"/>
      <c r="G275" s="83"/>
      <c r="H275" s="83"/>
      <c r="I275" s="83"/>
      <c r="J275" s="83"/>
      <c r="K275" s="83"/>
      <c r="L275" s="83"/>
      <c r="M275" s="83"/>
      <c r="N275" s="83"/>
      <c r="O275" s="83"/>
    </row>
    <row r="276" ht="16.5" customHeight="1">
      <c r="A276" s="83"/>
      <c r="B276" s="175"/>
      <c r="C276" s="83"/>
      <c r="D276" s="83"/>
      <c r="E276" s="84"/>
      <c r="F276" s="83"/>
      <c r="G276" s="83"/>
      <c r="H276" s="83"/>
      <c r="I276" s="83"/>
      <c r="J276" s="83"/>
      <c r="K276" s="83"/>
      <c r="L276" s="83"/>
      <c r="M276" s="83"/>
      <c r="N276" s="83"/>
      <c r="O276" s="83"/>
    </row>
    <row r="277" ht="16.5" customHeight="1">
      <c r="A277" s="83"/>
      <c r="B277" s="175"/>
      <c r="C277" s="83"/>
      <c r="D277" s="83"/>
      <c r="E277" s="84"/>
      <c r="F277" s="83"/>
      <c r="G277" s="83"/>
      <c r="H277" s="83"/>
      <c r="I277" s="83"/>
      <c r="J277" s="83"/>
      <c r="K277" s="83"/>
      <c r="L277" s="83"/>
      <c r="M277" s="83"/>
      <c r="N277" s="83"/>
      <c r="O277" s="83"/>
    </row>
    <row r="278" ht="16.5" customHeight="1">
      <c r="A278" s="83"/>
      <c r="B278" s="175"/>
      <c r="C278" s="83"/>
      <c r="D278" s="83"/>
      <c r="E278" s="84"/>
      <c r="F278" s="83"/>
      <c r="G278" s="83"/>
      <c r="H278" s="83"/>
      <c r="I278" s="83"/>
      <c r="J278" s="83"/>
      <c r="K278" s="83"/>
      <c r="L278" s="83"/>
      <c r="M278" s="83"/>
      <c r="N278" s="83"/>
      <c r="O278" s="83"/>
    </row>
    <row r="279" ht="16.5" customHeight="1">
      <c r="A279" s="83"/>
      <c r="B279" s="175"/>
      <c r="C279" s="83"/>
      <c r="D279" s="83"/>
      <c r="E279" s="84"/>
      <c r="F279" s="83"/>
      <c r="G279" s="83"/>
      <c r="H279" s="83"/>
      <c r="I279" s="83"/>
      <c r="J279" s="83"/>
      <c r="K279" s="83"/>
      <c r="L279" s="83"/>
      <c r="M279" s="83"/>
      <c r="N279" s="83"/>
      <c r="O279" s="83"/>
    </row>
    <row r="280" ht="16.5" customHeight="1">
      <c r="A280" s="83"/>
      <c r="B280" s="175"/>
      <c r="C280" s="83"/>
      <c r="D280" s="83"/>
      <c r="E280" s="84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ht="16.5" customHeight="1">
      <c r="A281" s="83"/>
      <c r="B281" s="175"/>
      <c r="C281" s="83"/>
      <c r="D281" s="83"/>
      <c r="E281" s="84"/>
      <c r="F281" s="83"/>
      <c r="G281" s="83"/>
      <c r="H281" s="83"/>
      <c r="I281" s="83"/>
      <c r="J281" s="83"/>
      <c r="K281" s="83"/>
      <c r="L281" s="83"/>
      <c r="M281" s="83"/>
      <c r="N281" s="83"/>
      <c r="O281" s="83"/>
    </row>
    <row r="282" ht="16.5" customHeight="1">
      <c r="A282" s="83"/>
      <c r="B282" s="175"/>
      <c r="C282" s="83"/>
      <c r="D282" s="83"/>
      <c r="E282" s="84"/>
      <c r="F282" s="83"/>
      <c r="G282" s="83"/>
      <c r="H282" s="83"/>
      <c r="I282" s="83"/>
      <c r="J282" s="83"/>
      <c r="K282" s="83"/>
      <c r="L282" s="83"/>
      <c r="M282" s="83"/>
      <c r="N282" s="83"/>
      <c r="O282" s="83"/>
    </row>
    <row r="283" ht="16.5" customHeight="1">
      <c r="A283" s="83"/>
      <c r="B283" s="175"/>
      <c r="C283" s="83"/>
      <c r="D283" s="83"/>
      <c r="E283" s="84"/>
      <c r="F283" s="83"/>
      <c r="G283" s="83"/>
      <c r="H283" s="83"/>
      <c r="I283" s="83"/>
      <c r="J283" s="83"/>
      <c r="K283" s="83"/>
      <c r="L283" s="83"/>
      <c r="M283" s="83"/>
      <c r="N283" s="83"/>
      <c r="O283" s="83"/>
    </row>
    <row r="284" ht="16.5" customHeight="1">
      <c r="A284" s="83"/>
      <c r="B284" s="175"/>
      <c r="C284" s="83"/>
      <c r="D284" s="83"/>
      <c r="E284" s="84"/>
      <c r="F284" s="83"/>
      <c r="G284" s="83"/>
      <c r="H284" s="83"/>
      <c r="I284" s="83"/>
      <c r="J284" s="83"/>
      <c r="K284" s="83"/>
      <c r="L284" s="83"/>
      <c r="M284" s="83"/>
      <c r="N284" s="83"/>
      <c r="O284" s="83"/>
    </row>
    <row r="285" ht="16.5" customHeight="1">
      <c r="A285" s="83"/>
      <c r="B285" s="175"/>
      <c r="C285" s="83"/>
      <c r="D285" s="83"/>
      <c r="E285" s="84"/>
      <c r="F285" s="83"/>
      <c r="G285" s="83"/>
      <c r="H285" s="83"/>
      <c r="I285" s="83"/>
      <c r="J285" s="83"/>
      <c r="K285" s="83"/>
      <c r="L285" s="83"/>
      <c r="M285" s="83"/>
      <c r="N285" s="83"/>
      <c r="O285" s="83"/>
    </row>
    <row r="286" ht="16.5" customHeight="1">
      <c r="A286" s="83"/>
      <c r="B286" s="90"/>
      <c r="C286" s="83"/>
      <c r="D286" s="83"/>
      <c r="E286" s="84"/>
      <c r="F286" s="83"/>
      <c r="G286" s="83"/>
      <c r="H286" s="83"/>
      <c r="I286" s="83"/>
      <c r="J286" s="83"/>
      <c r="K286" s="83"/>
      <c r="L286" s="83"/>
      <c r="M286" s="83"/>
      <c r="N286" s="83"/>
      <c r="O286" s="83"/>
    </row>
    <row r="287" ht="16.5" customHeight="1">
      <c r="A287" s="83"/>
      <c r="B287" s="90"/>
      <c r="C287" s="83"/>
      <c r="D287" s="83"/>
      <c r="E287" s="84"/>
      <c r="F287" s="83"/>
      <c r="G287" s="83"/>
      <c r="H287" s="83"/>
      <c r="I287" s="83"/>
      <c r="J287" s="83"/>
      <c r="K287" s="83"/>
      <c r="L287" s="83"/>
      <c r="M287" s="83"/>
      <c r="N287" s="83"/>
      <c r="O287" s="83"/>
    </row>
    <row r="288" ht="16.5" customHeight="1">
      <c r="A288" s="83"/>
      <c r="B288" s="90"/>
      <c r="C288" s="83"/>
      <c r="D288" s="83"/>
      <c r="E288" s="84"/>
      <c r="F288" s="83"/>
      <c r="G288" s="83"/>
      <c r="H288" s="83"/>
      <c r="I288" s="83"/>
      <c r="J288" s="83"/>
      <c r="K288" s="83"/>
      <c r="L288" s="83"/>
      <c r="M288" s="83"/>
      <c r="N288" s="83"/>
      <c r="O288" s="83"/>
    </row>
    <row r="289" ht="16.5" customHeight="1">
      <c r="A289" s="83"/>
      <c r="B289" s="90"/>
      <c r="C289" s="83"/>
      <c r="D289" s="83"/>
      <c r="E289" s="84"/>
      <c r="F289" s="83"/>
      <c r="G289" s="83"/>
      <c r="H289" s="83"/>
      <c r="I289" s="83"/>
      <c r="J289" s="83"/>
      <c r="K289" s="83"/>
      <c r="L289" s="83"/>
      <c r="M289" s="83"/>
      <c r="N289" s="83"/>
      <c r="O289" s="83"/>
    </row>
    <row r="290" ht="16.5" customHeight="1">
      <c r="A290" s="83"/>
      <c r="B290" s="90"/>
      <c r="C290" s="83"/>
      <c r="D290" s="83"/>
      <c r="E290" s="84"/>
      <c r="F290" s="83"/>
      <c r="G290" s="83"/>
      <c r="H290" s="83"/>
      <c r="I290" s="83"/>
      <c r="J290" s="83"/>
      <c r="K290" s="83"/>
      <c r="L290" s="83"/>
      <c r="M290" s="83"/>
      <c r="N290" s="83"/>
      <c r="O290" s="83"/>
    </row>
    <row r="291" ht="15.75" customHeight="1">
      <c r="A291" s="169"/>
      <c r="B291" s="169"/>
      <c r="C291" s="169"/>
      <c r="D291" s="169"/>
      <c r="E291" s="176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</row>
    <row r="292" ht="15.75" customHeight="1">
      <c r="A292" s="169"/>
      <c r="B292" s="169"/>
      <c r="C292" s="169"/>
      <c r="D292" s="169"/>
      <c r="E292" s="176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</row>
    <row r="293" ht="15.75" customHeight="1">
      <c r="A293" s="169"/>
      <c r="B293" s="169"/>
      <c r="C293" s="169"/>
      <c r="D293" s="169"/>
      <c r="E293" s="176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</row>
    <row r="294" ht="15.75" customHeight="1">
      <c r="A294" s="169"/>
      <c r="B294" s="169"/>
      <c r="C294" s="169"/>
      <c r="D294" s="169"/>
      <c r="E294" s="176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</row>
    <row r="295" ht="15.75" customHeight="1">
      <c r="A295" s="169"/>
      <c r="B295" s="169"/>
      <c r="C295" s="169"/>
      <c r="D295" s="169"/>
      <c r="E295" s="176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</row>
    <row r="296" ht="15.75" customHeight="1">
      <c r="A296" s="169"/>
      <c r="B296" s="169"/>
      <c r="C296" s="169"/>
      <c r="D296" s="169"/>
      <c r="E296" s="176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</row>
    <row r="297" ht="15.75" customHeight="1">
      <c r="A297" s="169"/>
      <c r="B297" s="169"/>
      <c r="C297" s="169"/>
      <c r="D297" s="169"/>
      <c r="E297" s="176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</row>
    <row r="298" ht="15.75" customHeight="1">
      <c r="A298" s="169"/>
      <c r="B298" s="169"/>
      <c r="C298" s="169"/>
      <c r="D298" s="169"/>
      <c r="E298" s="176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</row>
    <row r="299" ht="15.75" customHeight="1">
      <c r="A299" s="169"/>
      <c r="B299" s="169"/>
      <c r="C299" s="169"/>
      <c r="D299" s="169"/>
      <c r="E299" s="176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</row>
    <row r="300" ht="15.75" customHeight="1">
      <c r="A300" s="169"/>
      <c r="B300" s="169"/>
      <c r="C300" s="169"/>
      <c r="D300" s="169"/>
      <c r="E300" s="176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</row>
    <row r="301" ht="15.75" customHeight="1">
      <c r="A301" s="169"/>
      <c r="B301" s="169"/>
      <c r="C301" s="169"/>
      <c r="D301" s="169"/>
      <c r="E301" s="176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</row>
    <row r="302" ht="15.75" customHeight="1">
      <c r="A302" s="169"/>
      <c r="B302" s="169"/>
      <c r="C302" s="169"/>
      <c r="D302" s="169"/>
      <c r="E302" s="176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</row>
    <row r="303" ht="15.75" customHeight="1">
      <c r="A303" s="169"/>
      <c r="B303" s="169"/>
      <c r="C303" s="169"/>
      <c r="D303" s="169"/>
      <c r="E303" s="176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</row>
    <row r="304" ht="15.75" customHeight="1">
      <c r="A304" s="169"/>
      <c r="B304" s="169"/>
      <c r="C304" s="169"/>
      <c r="D304" s="169"/>
      <c r="E304" s="176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</row>
    <row r="305" ht="15.75" customHeight="1">
      <c r="A305" s="169"/>
      <c r="B305" s="169"/>
      <c r="C305" s="169"/>
      <c r="D305" s="169"/>
      <c r="E305" s="176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</row>
    <row r="306" ht="15.75" customHeight="1">
      <c r="A306" s="169"/>
      <c r="B306" s="169"/>
      <c r="C306" s="169"/>
      <c r="D306" s="169"/>
      <c r="E306" s="176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</row>
    <row r="307" ht="15.75" customHeight="1">
      <c r="A307" s="169"/>
      <c r="B307" s="169"/>
      <c r="C307" s="169"/>
      <c r="D307" s="169"/>
      <c r="E307" s="176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</row>
    <row r="308" ht="15.75" customHeight="1">
      <c r="A308" s="169"/>
      <c r="B308" s="169"/>
      <c r="C308" s="169"/>
      <c r="D308" s="169"/>
      <c r="E308" s="176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</row>
    <row r="309" ht="15.75" customHeight="1">
      <c r="A309" s="169"/>
      <c r="B309" s="169"/>
      <c r="C309" s="169"/>
      <c r="D309" s="169"/>
      <c r="E309" s="176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</row>
    <row r="310" ht="15.75" customHeight="1">
      <c r="A310" s="169"/>
      <c r="B310" s="169"/>
      <c r="C310" s="169"/>
      <c r="D310" s="169"/>
      <c r="E310" s="176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</row>
    <row r="311" ht="15.75" customHeight="1">
      <c r="A311" s="169"/>
      <c r="B311" s="169"/>
      <c r="C311" s="169"/>
      <c r="D311" s="169"/>
      <c r="E311" s="176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</row>
    <row r="312" ht="15.75" customHeight="1">
      <c r="A312" s="169"/>
      <c r="B312" s="169"/>
      <c r="C312" s="169"/>
      <c r="D312" s="169"/>
      <c r="E312" s="176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</row>
    <row r="313" ht="15.75" customHeight="1">
      <c r="A313" s="169"/>
      <c r="B313" s="169"/>
      <c r="C313" s="169"/>
      <c r="D313" s="169"/>
      <c r="E313" s="176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</row>
    <row r="314" ht="15.75" customHeight="1">
      <c r="A314" s="169"/>
      <c r="B314" s="169"/>
      <c r="C314" s="169"/>
      <c r="D314" s="169"/>
      <c r="E314" s="176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</row>
    <row r="315" ht="15.75" customHeight="1">
      <c r="A315" s="169"/>
      <c r="B315" s="169"/>
      <c r="C315" s="169"/>
      <c r="D315" s="169"/>
      <c r="E315" s="176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</row>
    <row r="316" ht="15.75" customHeight="1">
      <c r="A316" s="169"/>
      <c r="B316" s="169"/>
      <c r="C316" s="169"/>
      <c r="D316" s="169"/>
      <c r="E316" s="176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</row>
    <row r="317" ht="15.75" customHeight="1">
      <c r="A317" s="169"/>
      <c r="B317" s="169"/>
      <c r="C317" s="169"/>
      <c r="D317" s="169"/>
      <c r="E317" s="176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</row>
    <row r="318" ht="15.75" customHeight="1">
      <c r="A318" s="169"/>
      <c r="B318" s="169"/>
      <c r="C318" s="169"/>
      <c r="D318" s="169"/>
      <c r="E318" s="176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</row>
    <row r="319" ht="15.75" customHeight="1">
      <c r="A319" s="169"/>
      <c r="B319" s="169"/>
      <c r="C319" s="169"/>
      <c r="D319" s="169"/>
      <c r="E319" s="176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</row>
    <row r="320" ht="15.75" customHeight="1">
      <c r="A320" s="169"/>
      <c r="B320" s="169"/>
      <c r="C320" s="169"/>
      <c r="D320" s="169"/>
      <c r="E320" s="176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</row>
    <row r="321" ht="15.75" customHeight="1">
      <c r="A321" s="169"/>
      <c r="B321" s="169"/>
      <c r="C321" s="169"/>
      <c r="D321" s="169"/>
      <c r="E321" s="176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</row>
    <row r="322" ht="15.75" customHeight="1">
      <c r="A322" s="169"/>
      <c r="B322" s="169"/>
      <c r="C322" s="169"/>
      <c r="D322" s="169"/>
      <c r="E322" s="176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</row>
    <row r="323" ht="15.75" customHeight="1">
      <c r="A323" s="169"/>
      <c r="B323" s="169"/>
      <c r="C323" s="169"/>
      <c r="D323" s="169"/>
      <c r="E323" s="176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</row>
    <row r="324" ht="15.75" customHeight="1">
      <c r="A324" s="169"/>
      <c r="B324" s="169"/>
      <c r="C324" s="169"/>
      <c r="D324" s="169"/>
      <c r="E324" s="176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</row>
    <row r="325" ht="15.75" customHeight="1">
      <c r="A325" s="169"/>
      <c r="B325" s="169"/>
      <c r="C325" s="169"/>
      <c r="D325" s="169"/>
      <c r="E325" s="176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</row>
    <row r="326" ht="15.75" customHeight="1">
      <c r="A326" s="169"/>
      <c r="B326" s="169"/>
      <c r="C326" s="169"/>
      <c r="D326" s="169"/>
      <c r="E326" s="176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</row>
    <row r="327" ht="15.75" customHeight="1">
      <c r="A327" s="169"/>
      <c r="B327" s="169"/>
      <c r="C327" s="169"/>
      <c r="D327" s="169"/>
      <c r="E327" s="176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</row>
    <row r="328" ht="15.75" customHeight="1">
      <c r="A328" s="169"/>
      <c r="B328" s="169"/>
      <c r="C328" s="169"/>
      <c r="D328" s="169"/>
      <c r="E328" s="176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</row>
    <row r="329" ht="15.75" customHeight="1">
      <c r="A329" s="169"/>
      <c r="B329" s="169"/>
      <c r="C329" s="169"/>
      <c r="D329" s="169"/>
      <c r="E329" s="176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</row>
    <row r="330" ht="15.75" customHeight="1">
      <c r="A330" s="169"/>
      <c r="B330" s="169"/>
      <c r="C330" s="169"/>
      <c r="D330" s="169"/>
      <c r="E330" s="176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</row>
    <row r="331" ht="15.75" customHeight="1">
      <c r="A331" s="169"/>
      <c r="B331" s="169"/>
      <c r="C331" s="169"/>
      <c r="D331" s="169"/>
      <c r="E331" s="176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</row>
    <row r="332" ht="15.75" customHeight="1">
      <c r="A332" s="169"/>
      <c r="B332" s="169"/>
      <c r="C332" s="169"/>
      <c r="D332" s="169"/>
      <c r="E332" s="176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</row>
    <row r="333" ht="15.75" customHeight="1">
      <c r="A333" s="169"/>
      <c r="B333" s="169"/>
      <c r="C333" s="169"/>
      <c r="D333" s="169"/>
      <c r="E333" s="176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</row>
    <row r="334" ht="15.75" customHeight="1">
      <c r="A334" s="169"/>
      <c r="B334" s="169"/>
      <c r="C334" s="169"/>
      <c r="D334" s="169"/>
      <c r="E334" s="176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</row>
    <row r="335" ht="15.75" customHeight="1">
      <c r="A335" s="169"/>
      <c r="B335" s="169"/>
      <c r="C335" s="169"/>
      <c r="D335" s="169"/>
      <c r="E335" s="176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</row>
    <row r="336" ht="15.75" customHeight="1">
      <c r="A336" s="169"/>
      <c r="B336" s="169"/>
      <c r="C336" s="169"/>
      <c r="D336" s="169"/>
      <c r="E336" s="176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</row>
    <row r="337" ht="15.75" customHeight="1">
      <c r="A337" s="169"/>
      <c r="B337" s="169"/>
      <c r="C337" s="169"/>
      <c r="D337" s="169"/>
      <c r="E337" s="176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</row>
    <row r="338" ht="15.75" customHeight="1">
      <c r="A338" s="169"/>
      <c r="B338" s="169"/>
      <c r="C338" s="169"/>
      <c r="D338" s="169"/>
      <c r="E338" s="176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</row>
    <row r="339" ht="15.75" customHeight="1">
      <c r="A339" s="169"/>
      <c r="B339" s="169"/>
      <c r="C339" s="169"/>
      <c r="D339" s="169"/>
      <c r="E339" s="176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</row>
    <row r="340" ht="15.75" customHeight="1">
      <c r="A340" s="169"/>
      <c r="B340" s="169"/>
      <c r="C340" s="169"/>
      <c r="D340" s="169"/>
      <c r="E340" s="176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</row>
    <row r="341" ht="15.75" customHeight="1">
      <c r="A341" s="169"/>
      <c r="B341" s="169"/>
      <c r="C341" s="169"/>
      <c r="D341" s="169"/>
      <c r="E341" s="176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</row>
    <row r="342" ht="15.75" customHeight="1">
      <c r="A342" s="169"/>
      <c r="B342" s="169"/>
      <c r="C342" s="169"/>
      <c r="D342" s="169"/>
      <c r="E342" s="176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</row>
    <row r="343" ht="15.75" customHeight="1">
      <c r="A343" s="169"/>
      <c r="B343" s="169"/>
      <c r="C343" s="169"/>
      <c r="D343" s="169"/>
      <c r="E343" s="176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</row>
    <row r="344" ht="15.75" customHeight="1">
      <c r="A344" s="169"/>
      <c r="B344" s="169"/>
      <c r="C344" s="169"/>
      <c r="D344" s="169"/>
      <c r="E344" s="176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</row>
    <row r="345" ht="15.75" customHeight="1">
      <c r="A345" s="169"/>
      <c r="B345" s="169"/>
      <c r="C345" s="169"/>
      <c r="D345" s="169"/>
      <c r="E345" s="176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</row>
    <row r="346" ht="15.75" customHeight="1">
      <c r="A346" s="169"/>
      <c r="B346" s="169"/>
      <c r="C346" s="169"/>
      <c r="D346" s="169"/>
      <c r="E346" s="176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</row>
    <row r="347" ht="15.75" customHeight="1">
      <c r="A347" s="169"/>
      <c r="B347" s="169"/>
      <c r="C347" s="169"/>
      <c r="D347" s="169"/>
      <c r="E347" s="176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</row>
    <row r="348" ht="15.75" customHeight="1">
      <c r="A348" s="169"/>
      <c r="B348" s="169"/>
      <c r="C348" s="169"/>
      <c r="D348" s="169"/>
      <c r="E348" s="176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</row>
    <row r="349" ht="15.75" customHeight="1">
      <c r="A349" s="169"/>
      <c r="B349" s="169"/>
      <c r="C349" s="169"/>
      <c r="D349" s="169"/>
      <c r="E349" s="176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</row>
    <row r="350" ht="15.75" customHeight="1">
      <c r="A350" s="169"/>
      <c r="B350" s="169"/>
      <c r="C350" s="169"/>
      <c r="D350" s="169"/>
      <c r="E350" s="176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</row>
    <row r="351" ht="15.75" customHeight="1">
      <c r="A351" s="169"/>
      <c r="B351" s="169"/>
      <c r="C351" s="169"/>
      <c r="D351" s="169"/>
      <c r="E351" s="176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</row>
    <row r="352" ht="15.75" customHeight="1">
      <c r="A352" s="169"/>
      <c r="B352" s="169"/>
      <c r="C352" s="169"/>
      <c r="D352" s="169"/>
      <c r="E352" s="176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</row>
    <row r="353" ht="15.75" customHeight="1">
      <c r="A353" s="169"/>
      <c r="B353" s="169"/>
      <c r="C353" s="169"/>
      <c r="D353" s="169"/>
      <c r="E353" s="176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</row>
    <row r="354" ht="15.75" customHeight="1">
      <c r="A354" s="169"/>
      <c r="B354" s="169"/>
      <c r="C354" s="169"/>
      <c r="D354" s="169"/>
      <c r="E354" s="176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</row>
    <row r="355" ht="15.75" customHeight="1">
      <c r="A355" s="169"/>
      <c r="B355" s="169"/>
      <c r="C355" s="169"/>
      <c r="D355" s="169"/>
      <c r="E355" s="176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</row>
    <row r="356" ht="15.75" customHeight="1">
      <c r="A356" s="169"/>
      <c r="B356" s="169"/>
      <c r="C356" s="169"/>
      <c r="D356" s="169"/>
      <c r="E356" s="176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</row>
    <row r="357" ht="15.75" customHeight="1">
      <c r="A357" s="169"/>
      <c r="B357" s="169"/>
      <c r="C357" s="169"/>
      <c r="D357" s="169"/>
      <c r="E357" s="176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</row>
    <row r="358" ht="15.75" customHeight="1">
      <c r="A358" s="169"/>
      <c r="B358" s="169"/>
      <c r="C358" s="169"/>
      <c r="D358" s="169"/>
      <c r="E358" s="176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</row>
    <row r="359" ht="15.75" customHeight="1">
      <c r="A359" s="169"/>
      <c r="B359" s="169"/>
      <c r="C359" s="169"/>
      <c r="D359" s="169"/>
      <c r="E359" s="176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</row>
    <row r="360" ht="15.75" customHeight="1">
      <c r="A360" s="169"/>
      <c r="B360" s="169"/>
      <c r="C360" s="169"/>
      <c r="D360" s="169"/>
      <c r="E360" s="176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</row>
    <row r="361" ht="15.75" customHeight="1">
      <c r="A361" s="169"/>
      <c r="B361" s="169"/>
      <c r="C361" s="169"/>
      <c r="D361" s="169"/>
      <c r="E361" s="176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</row>
    <row r="362" ht="15.75" customHeight="1">
      <c r="A362" s="169"/>
      <c r="B362" s="169"/>
      <c r="C362" s="169"/>
      <c r="D362" s="169"/>
      <c r="E362" s="176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</row>
    <row r="363" ht="15.75" customHeight="1">
      <c r="A363" s="169"/>
      <c r="B363" s="169"/>
      <c r="C363" s="169"/>
      <c r="D363" s="169"/>
      <c r="E363" s="176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</row>
    <row r="364" ht="15.75" customHeight="1">
      <c r="A364" s="169"/>
      <c r="B364" s="169"/>
      <c r="C364" s="169"/>
      <c r="D364" s="169"/>
      <c r="E364" s="176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</row>
    <row r="365" ht="15.75" customHeight="1">
      <c r="A365" s="169"/>
      <c r="B365" s="169"/>
      <c r="C365" s="169"/>
      <c r="D365" s="169"/>
      <c r="E365" s="176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</row>
    <row r="366" ht="15.75" customHeight="1">
      <c r="A366" s="169"/>
      <c r="B366" s="169"/>
      <c r="C366" s="169"/>
      <c r="D366" s="169"/>
      <c r="E366" s="176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</row>
    <row r="367" ht="15.75" customHeight="1">
      <c r="A367" s="169"/>
      <c r="B367" s="169"/>
      <c r="C367" s="169"/>
      <c r="D367" s="169"/>
      <c r="E367" s="176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</row>
    <row r="368" ht="15.75" customHeight="1">
      <c r="A368" s="169"/>
      <c r="B368" s="169"/>
      <c r="C368" s="169"/>
      <c r="D368" s="169"/>
      <c r="E368" s="176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</row>
    <row r="369" ht="15.75" customHeight="1">
      <c r="A369" s="169"/>
      <c r="B369" s="169"/>
      <c r="C369" s="169"/>
      <c r="D369" s="169"/>
      <c r="E369" s="176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</row>
    <row r="370" ht="15.75" customHeight="1">
      <c r="A370" s="169"/>
      <c r="B370" s="169"/>
      <c r="C370" s="169"/>
      <c r="D370" s="169"/>
      <c r="E370" s="176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</row>
    <row r="371" ht="15.75" customHeight="1">
      <c r="A371" s="169"/>
      <c r="B371" s="169"/>
      <c r="C371" s="169"/>
      <c r="D371" s="169"/>
      <c r="E371" s="176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</row>
    <row r="372" ht="15.75" customHeight="1">
      <c r="A372" s="169"/>
      <c r="B372" s="169"/>
      <c r="C372" s="169"/>
      <c r="D372" s="169"/>
      <c r="E372" s="176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</row>
    <row r="373" ht="15.75" customHeight="1">
      <c r="A373" s="169"/>
      <c r="B373" s="169"/>
      <c r="C373" s="169"/>
      <c r="D373" s="169"/>
      <c r="E373" s="176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</row>
    <row r="374" ht="15.75" customHeight="1">
      <c r="A374" s="169"/>
      <c r="B374" s="169"/>
      <c r="C374" s="169"/>
      <c r="D374" s="169"/>
      <c r="E374" s="176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</row>
    <row r="375" ht="15.75" customHeight="1">
      <c r="A375" s="169"/>
      <c r="B375" s="169"/>
      <c r="C375" s="169"/>
      <c r="D375" s="169"/>
      <c r="E375" s="176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</row>
    <row r="376" ht="15.75" customHeight="1">
      <c r="A376" s="169"/>
      <c r="B376" s="169"/>
      <c r="C376" s="169"/>
      <c r="D376" s="169"/>
      <c r="E376" s="176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</row>
    <row r="377" ht="15.75" customHeight="1">
      <c r="A377" s="169"/>
      <c r="B377" s="169"/>
      <c r="C377" s="169"/>
      <c r="D377" s="169"/>
      <c r="E377" s="176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</row>
    <row r="378" ht="15.75" customHeight="1">
      <c r="A378" s="169"/>
      <c r="B378" s="169"/>
      <c r="C378" s="169"/>
      <c r="D378" s="169"/>
      <c r="E378" s="176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</row>
    <row r="379" ht="15.75" customHeight="1">
      <c r="A379" s="169"/>
      <c r="B379" s="169"/>
      <c r="C379" s="169"/>
      <c r="D379" s="169"/>
      <c r="E379" s="176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</row>
    <row r="380" ht="15.75" customHeight="1">
      <c r="A380" s="169"/>
      <c r="B380" s="169"/>
      <c r="C380" s="169"/>
      <c r="D380" s="169"/>
      <c r="E380" s="176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</row>
    <row r="381" ht="15.75" customHeight="1">
      <c r="A381" s="169"/>
      <c r="B381" s="169"/>
      <c r="C381" s="169"/>
      <c r="D381" s="169"/>
      <c r="E381" s="176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</row>
    <row r="382" ht="15.75" customHeight="1">
      <c r="A382" s="169"/>
      <c r="B382" s="169"/>
      <c r="C382" s="169"/>
      <c r="D382" s="169"/>
      <c r="E382" s="176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</row>
    <row r="383" ht="15.75" customHeight="1">
      <c r="A383" s="169"/>
      <c r="B383" s="169"/>
      <c r="C383" s="169"/>
      <c r="D383" s="169"/>
      <c r="E383" s="176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</row>
    <row r="384" ht="15.75" customHeight="1">
      <c r="A384" s="169"/>
      <c r="B384" s="169"/>
      <c r="C384" s="169"/>
      <c r="D384" s="169"/>
      <c r="E384" s="176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</row>
    <row r="385" ht="15.75" customHeight="1">
      <c r="A385" s="169"/>
      <c r="B385" s="169"/>
      <c r="C385" s="169"/>
      <c r="D385" s="169"/>
      <c r="E385" s="176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</row>
    <row r="386" ht="15.75" customHeight="1">
      <c r="A386" s="169"/>
      <c r="B386" s="169"/>
      <c r="C386" s="169"/>
      <c r="D386" s="169"/>
      <c r="E386" s="176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</row>
    <row r="387" ht="15.75" customHeight="1">
      <c r="A387" s="169"/>
      <c r="B387" s="169"/>
      <c r="C387" s="169"/>
      <c r="D387" s="169"/>
      <c r="E387" s="176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</row>
    <row r="388" ht="15.75" customHeight="1">
      <c r="A388" s="169"/>
      <c r="B388" s="169"/>
      <c r="C388" s="169"/>
      <c r="D388" s="169"/>
      <c r="E388" s="176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</row>
    <row r="389" ht="15.75" customHeight="1">
      <c r="A389" s="169"/>
      <c r="B389" s="169"/>
      <c r="C389" s="169"/>
      <c r="D389" s="169"/>
      <c r="E389" s="176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</row>
    <row r="390" ht="15.75" customHeight="1">
      <c r="A390" s="169"/>
      <c r="B390" s="169"/>
      <c r="C390" s="169"/>
      <c r="D390" s="169"/>
      <c r="E390" s="176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</row>
    <row r="391" ht="15.75" customHeight="1">
      <c r="A391" s="169"/>
      <c r="B391" s="169"/>
      <c r="C391" s="169"/>
      <c r="D391" s="169"/>
      <c r="E391" s="176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</row>
    <row r="392" ht="15.75" customHeight="1">
      <c r="A392" s="169"/>
      <c r="B392" s="169"/>
      <c r="C392" s="169"/>
      <c r="D392" s="169"/>
      <c r="E392" s="176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</row>
    <row r="393" ht="15.75" customHeight="1">
      <c r="A393" s="169"/>
      <c r="B393" s="169"/>
      <c r="C393" s="169"/>
      <c r="D393" s="169"/>
      <c r="E393" s="176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</row>
    <row r="394" ht="15.75" customHeight="1">
      <c r="A394" s="169"/>
      <c r="B394" s="169"/>
      <c r="C394" s="169"/>
      <c r="D394" s="169"/>
      <c r="E394" s="176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</row>
    <row r="395" ht="15.75" customHeight="1">
      <c r="A395" s="169"/>
      <c r="B395" s="169"/>
      <c r="C395" s="169"/>
      <c r="D395" s="169"/>
      <c r="E395" s="176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</row>
    <row r="396" ht="15.75" customHeight="1">
      <c r="A396" s="169"/>
      <c r="B396" s="169"/>
      <c r="C396" s="169"/>
      <c r="D396" s="169"/>
      <c r="E396" s="176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</row>
    <row r="397" ht="15.75" customHeight="1">
      <c r="A397" s="169"/>
      <c r="B397" s="169"/>
      <c r="C397" s="169"/>
      <c r="D397" s="169"/>
      <c r="E397" s="176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</row>
    <row r="398" ht="15.75" customHeight="1">
      <c r="A398" s="169"/>
      <c r="B398" s="169"/>
      <c r="C398" s="169"/>
      <c r="D398" s="169"/>
      <c r="E398" s="176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</row>
    <row r="399" ht="15.75" customHeight="1">
      <c r="A399" s="169"/>
      <c r="B399" s="169"/>
      <c r="C399" s="169"/>
      <c r="D399" s="169"/>
      <c r="E399" s="176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</row>
    <row r="400" ht="15.75" customHeight="1">
      <c r="A400" s="169"/>
      <c r="B400" s="169"/>
      <c r="C400" s="169"/>
      <c r="D400" s="169"/>
      <c r="E400" s="176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</row>
    <row r="401" ht="15.75" customHeight="1">
      <c r="A401" s="169"/>
      <c r="B401" s="169"/>
      <c r="C401" s="169"/>
      <c r="D401" s="169"/>
      <c r="E401" s="176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</row>
    <row r="402" ht="15.75" customHeight="1">
      <c r="A402" s="169"/>
      <c r="B402" s="169"/>
      <c r="C402" s="169"/>
      <c r="D402" s="169"/>
      <c r="E402" s="176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</row>
    <row r="403" ht="15.75" customHeight="1">
      <c r="A403" s="169"/>
      <c r="B403" s="169"/>
      <c r="C403" s="169"/>
      <c r="D403" s="169"/>
      <c r="E403" s="176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</row>
    <row r="404" ht="15.75" customHeight="1">
      <c r="A404" s="169"/>
      <c r="B404" s="169"/>
      <c r="C404" s="169"/>
      <c r="D404" s="169"/>
      <c r="E404" s="176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</row>
    <row r="405" ht="15.75" customHeight="1">
      <c r="A405" s="169"/>
      <c r="B405" s="169"/>
      <c r="C405" s="169"/>
      <c r="D405" s="169"/>
      <c r="E405" s="176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</row>
    <row r="406" ht="15.75" customHeight="1">
      <c r="A406" s="169"/>
      <c r="B406" s="169"/>
      <c r="C406" s="169"/>
      <c r="D406" s="169"/>
      <c r="E406" s="176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</row>
    <row r="407" ht="15.75" customHeight="1">
      <c r="A407" s="169"/>
      <c r="B407" s="169"/>
      <c r="C407" s="169"/>
      <c r="D407" s="169"/>
      <c r="E407" s="176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</row>
    <row r="408" ht="15.75" customHeight="1">
      <c r="A408" s="169"/>
      <c r="B408" s="169"/>
      <c r="C408" s="169"/>
      <c r="D408" s="169"/>
      <c r="E408" s="176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</row>
    <row r="409" ht="15.75" customHeight="1">
      <c r="A409" s="169"/>
      <c r="B409" s="169"/>
      <c r="C409" s="169"/>
      <c r="D409" s="169"/>
      <c r="E409" s="176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</row>
    <row r="410" ht="15.75" customHeight="1">
      <c r="A410" s="169"/>
      <c r="B410" s="169"/>
      <c r="C410" s="169"/>
      <c r="D410" s="169"/>
      <c r="E410" s="176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</row>
    <row r="411" ht="15.75" customHeight="1">
      <c r="A411" s="169"/>
      <c r="B411" s="169"/>
      <c r="C411" s="169"/>
      <c r="D411" s="169"/>
      <c r="E411" s="176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</row>
    <row r="412" ht="15.75" customHeight="1">
      <c r="A412" s="169"/>
      <c r="B412" s="169"/>
      <c r="C412" s="169"/>
      <c r="D412" s="169"/>
      <c r="E412" s="176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</row>
    <row r="413" ht="15.75" customHeight="1">
      <c r="A413" s="169"/>
      <c r="B413" s="169"/>
      <c r="C413" s="169"/>
      <c r="D413" s="169"/>
      <c r="E413" s="176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</row>
    <row r="414" ht="15.75" customHeight="1">
      <c r="A414" s="169"/>
      <c r="B414" s="169"/>
      <c r="C414" s="169"/>
      <c r="D414" s="169"/>
      <c r="E414" s="176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</row>
    <row r="415" ht="15.75" customHeight="1">
      <c r="A415" s="169"/>
      <c r="B415" s="169"/>
      <c r="C415" s="169"/>
      <c r="D415" s="169"/>
      <c r="E415" s="176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</row>
    <row r="416" ht="15.75" customHeight="1">
      <c r="A416" s="169"/>
      <c r="B416" s="169"/>
      <c r="C416" s="169"/>
      <c r="D416" s="169"/>
      <c r="E416" s="176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</row>
    <row r="417" ht="15.75" customHeight="1">
      <c r="A417" s="169"/>
      <c r="B417" s="169"/>
      <c r="C417" s="169"/>
      <c r="D417" s="169"/>
      <c r="E417" s="176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</row>
    <row r="418" ht="15.75" customHeight="1">
      <c r="A418" s="169"/>
      <c r="B418" s="169"/>
      <c r="C418" s="169"/>
      <c r="D418" s="169"/>
      <c r="E418" s="176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</row>
    <row r="419" ht="15.75" customHeight="1">
      <c r="A419" s="169"/>
      <c r="B419" s="169"/>
      <c r="C419" s="169"/>
      <c r="D419" s="169"/>
      <c r="E419" s="176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</row>
    <row r="420" ht="15.75" customHeight="1">
      <c r="A420" s="169"/>
      <c r="B420" s="169"/>
      <c r="C420" s="169"/>
      <c r="D420" s="169"/>
      <c r="E420" s="176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</row>
    <row r="421" ht="15.75" customHeight="1">
      <c r="A421" s="169"/>
      <c r="B421" s="169"/>
      <c r="C421" s="169"/>
      <c r="D421" s="169"/>
      <c r="E421" s="176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</row>
    <row r="422" ht="15.75" customHeight="1">
      <c r="A422" s="169"/>
      <c r="B422" s="169"/>
      <c r="C422" s="169"/>
      <c r="D422" s="169"/>
      <c r="E422" s="176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</row>
    <row r="423" ht="15.75" customHeight="1">
      <c r="A423" s="169"/>
      <c r="B423" s="169"/>
      <c r="C423" s="169"/>
      <c r="D423" s="169"/>
      <c r="E423" s="176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</row>
    <row r="424" ht="15.75" customHeight="1">
      <c r="A424" s="169"/>
      <c r="B424" s="169"/>
      <c r="C424" s="169"/>
      <c r="D424" s="169"/>
      <c r="E424" s="176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</row>
    <row r="425" ht="15.75" customHeight="1">
      <c r="A425" s="169"/>
      <c r="B425" s="169"/>
      <c r="C425" s="169"/>
      <c r="D425" s="169"/>
      <c r="E425" s="176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</row>
    <row r="426" ht="15.75" customHeight="1">
      <c r="A426" s="169"/>
      <c r="B426" s="169"/>
      <c r="C426" s="169"/>
      <c r="D426" s="169"/>
      <c r="E426" s="176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</row>
    <row r="427" ht="15.75" customHeight="1">
      <c r="A427" s="169"/>
      <c r="B427" s="169"/>
      <c r="C427" s="169"/>
      <c r="D427" s="169"/>
      <c r="E427" s="176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</row>
    <row r="428" ht="15.75" customHeight="1">
      <c r="A428" s="169"/>
      <c r="B428" s="169"/>
      <c r="C428" s="169"/>
      <c r="D428" s="169"/>
      <c r="E428" s="176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</row>
    <row r="429" ht="15.75" customHeight="1">
      <c r="A429" s="169"/>
      <c r="B429" s="169"/>
      <c r="C429" s="169"/>
      <c r="D429" s="169"/>
      <c r="E429" s="176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</row>
    <row r="430" ht="15.75" customHeight="1">
      <c r="A430" s="169"/>
      <c r="B430" s="169"/>
      <c r="C430" s="169"/>
      <c r="D430" s="169"/>
      <c r="E430" s="176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</row>
    <row r="431" ht="15.75" customHeight="1">
      <c r="A431" s="169"/>
      <c r="B431" s="169"/>
      <c r="C431" s="169"/>
      <c r="D431" s="169"/>
      <c r="E431" s="176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</row>
    <row r="432" ht="15.75" customHeight="1">
      <c r="A432" s="169"/>
      <c r="B432" s="169"/>
      <c r="C432" s="169"/>
      <c r="D432" s="169"/>
      <c r="E432" s="176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</row>
    <row r="433" ht="15.75" customHeight="1">
      <c r="A433" s="169"/>
      <c r="B433" s="169"/>
      <c r="C433" s="169"/>
      <c r="D433" s="169"/>
      <c r="E433" s="176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</row>
    <row r="434" ht="15.75" customHeight="1">
      <c r="A434" s="169"/>
      <c r="B434" s="169"/>
      <c r="C434" s="169"/>
      <c r="D434" s="169"/>
      <c r="E434" s="176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</row>
    <row r="435" ht="15.75" customHeight="1">
      <c r="A435" s="169"/>
      <c r="B435" s="169"/>
      <c r="C435" s="169"/>
      <c r="D435" s="169"/>
      <c r="E435" s="176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</row>
    <row r="436" ht="15.75" customHeight="1">
      <c r="A436" s="169"/>
      <c r="B436" s="169"/>
      <c r="C436" s="169"/>
      <c r="D436" s="169"/>
      <c r="E436" s="176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</row>
    <row r="437" ht="15.75" customHeight="1">
      <c r="A437" s="169"/>
      <c r="B437" s="169"/>
      <c r="C437" s="169"/>
      <c r="D437" s="169"/>
      <c r="E437" s="176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</row>
    <row r="438" ht="15.75" customHeight="1">
      <c r="A438" s="169"/>
      <c r="B438" s="169"/>
      <c r="C438" s="169"/>
      <c r="D438" s="169"/>
      <c r="E438" s="176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</row>
    <row r="439" ht="15.75" customHeight="1">
      <c r="A439" s="169"/>
      <c r="B439" s="169"/>
      <c r="C439" s="169"/>
      <c r="D439" s="169"/>
      <c r="E439" s="176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</row>
    <row r="440" ht="15.75" customHeight="1">
      <c r="A440" s="169"/>
      <c r="B440" s="169"/>
      <c r="C440" s="169"/>
      <c r="D440" s="169"/>
      <c r="E440" s="176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</row>
    <row r="441" ht="15.75" customHeight="1">
      <c r="A441" s="169"/>
      <c r="B441" s="169"/>
      <c r="C441" s="169"/>
      <c r="D441" s="169"/>
      <c r="E441" s="176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</row>
    <row r="442" ht="15.75" customHeight="1">
      <c r="A442" s="169"/>
      <c r="B442" s="169"/>
      <c r="C442" s="169"/>
      <c r="D442" s="169"/>
      <c r="E442" s="176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</row>
    <row r="443" ht="15.75" customHeight="1">
      <c r="A443" s="169"/>
      <c r="B443" s="169"/>
      <c r="C443" s="169"/>
      <c r="D443" s="169"/>
      <c r="E443" s="176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</row>
    <row r="444" ht="15.75" customHeight="1">
      <c r="A444" s="169"/>
      <c r="B444" s="169"/>
      <c r="C444" s="169"/>
      <c r="D444" s="169"/>
      <c r="E444" s="176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</row>
    <row r="445" ht="15.75" customHeight="1">
      <c r="A445" s="169"/>
      <c r="B445" s="169"/>
      <c r="C445" s="169"/>
      <c r="D445" s="169"/>
      <c r="E445" s="176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</row>
    <row r="446" ht="15.75" customHeight="1">
      <c r="A446" s="169"/>
      <c r="B446" s="169"/>
      <c r="C446" s="169"/>
      <c r="D446" s="169"/>
      <c r="E446" s="176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</row>
    <row r="447" ht="15.75" customHeight="1">
      <c r="A447" s="169"/>
      <c r="B447" s="169"/>
      <c r="C447" s="169"/>
      <c r="D447" s="169"/>
      <c r="E447" s="176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</row>
    <row r="448" ht="15.75" customHeight="1">
      <c r="A448" s="169"/>
      <c r="B448" s="169"/>
      <c r="C448" s="169"/>
      <c r="D448" s="169"/>
      <c r="E448" s="176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</row>
    <row r="449" ht="15.75" customHeight="1">
      <c r="A449" s="169"/>
      <c r="B449" s="169"/>
      <c r="C449" s="169"/>
      <c r="D449" s="169"/>
      <c r="E449" s="176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</row>
    <row r="450" ht="15.75" customHeight="1">
      <c r="A450" s="169"/>
      <c r="B450" s="169"/>
      <c r="C450" s="169"/>
      <c r="D450" s="169"/>
      <c r="E450" s="176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</row>
    <row r="451" ht="15.75" customHeight="1">
      <c r="A451" s="169"/>
      <c r="B451" s="169"/>
      <c r="C451" s="169"/>
      <c r="D451" s="169"/>
      <c r="E451" s="176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</row>
    <row r="452" ht="15.75" customHeight="1">
      <c r="A452" s="169"/>
      <c r="B452" s="169"/>
      <c r="C452" s="169"/>
      <c r="D452" s="169"/>
      <c r="E452" s="176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</row>
    <row r="453" ht="15.75" customHeight="1">
      <c r="A453" s="169"/>
      <c r="B453" s="169"/>
      <c r="C453" s="169"/>
      <c r="D453" s="169"/>
      <c r="E453" s="176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</row>
    <row r="454" ht="15.75" customHeight="1">
      <c r="A454" s="169"/>
      <c r="B454" s="169"/>
      <c r="C454" s="169"/>
      <c r="D454" s="169"/>
      <c r="E454" s="176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</row>
    <row r="455" ht="15.75" customHeight="1">
      <c r="A455" s="169"/>
      <c r="B455" s="169"/>
      <c r="C455" s="169"/>
      <c r="D455" s="169"/>
      <c r="E455" s="176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</row>
    <row r="456" ht="15.75" customHeight="1">
      <c r="A456" s="169"/>
      <c r="B456" s="169"/>
      <c r="C456" s="169"/>
      <c r="D456" s="169"/>
      <c r="E456" s="176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</row>
    <row r="457" ht="15.75" customHeight="1">
      <c r="A457" s="169"/>
      <c r="B457" s="169"/>
      <c r="C457" s="169"/>
      <c r="D457" s="169"/>
      <c r="E457" s="176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</row>
    <row r="458" ht="15.75" customHeight="1">
      <c r="A458" s="169"/>
      <c r="B458" s="169"/>
      <c r="C458" s="169"/>
      <c r="D458" s="169"/>
      <c r="E458" s="176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</row>
    <row r="459" ht="15.75" customHeight="1">
      <c r="A459" s="169"/>
      <c r="B459" s="169"/>
      <c r="C459" s="169"/>
      <c r="D459" s="169"/>
      <c r="E459" s="176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</row>
    <row r="460" ht="15.75" customHeight="1">
      <c r="A460" s="169"/>
      <c r="B460" s="169"/>
      <c r="C460" s="169"/>
      <c r="D460" s="169"/>
      <c r="E460" s="176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</row>
    <row r="461" ht="15.75" customHeight="1">
      <c r="A461" s="169"/>
      <c r="B461" s="169"/>
      <c r="C461" s="169"/>
      <c r="D461" s="169"/>
      <c r="E461" s="176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</row>
    <row r="462" ht="15.75" customHeight="1">
      <c r="A462" s="169"/>
      <c r="B462" s="169"/>
      <c r="C462" s="169"/>
      <c r="D462" s="169"/>
      <c r="E462" s="176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</row>
    <row r="463" ht="15.75" customHeight="1">
      <c r="A463" s="169"/>
      <c r="B463" s="169"/>
      <c r="C463" s="169"/>
      <c r="D463" s="169"/>
      <c r="E463" s="176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</row>
    <row r="464" ht="15.75" customHeight="1">
      <c r="A464" s="169"/>
      <c r="B464" s="169"/>
      <c r="C464" s="169"/>
      <c r="D464" s="169"/>
      <c r="E464" s="176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</row>
    <row r="465" ht="15.75" customHeight="1">
      <c r="A465" s="169"/>
      <c r="B465" s="169"/>
      <c r="C465" s="169"/>
      <c r="D465" s="169"/>
      <c r="E465" s="176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</row>
    <row r="466" ht="15.75" customHeight="1">
      <c r="A466" s="169"/>
      <c r="B466" s="169"/>
      <c r="C466" s="169"/>
      <c r="D466" s="169"/>
      <c r="E466" s="176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</row>
    <row r="467" ht="15.75" customHeight="1">
      <c r="A467" s="169"/>
      <c r="B467" s="169"/>
      <c r="C467" s="169"/>
      <c r="D467" s="169"/>
      <c r="E467" s="176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</row>
    <row r="468" ht="15.75" customHeight="1">
      <c r="A468" s="169"/>
      <c r="B468" s="169"/>
      <c r="C468" s="169"/>
      <c r="D468" s="169"/>
      <c r="E468" s="176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</row>
    <row r="469" ht="15.75" customHeight="1">
      <c r="A469" s="169"/>
      <c r="B469" s="169"/>
      <c r="C469" s="169"/>
      <c r="D469" s="169"/>
      <c r="E469" s="176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</row>
    <row r="470" ht="15.75" customHeight="1">
      <c r="A470" s="169"/>
      <c r="B470" s="169"/>
      <c r="C470" s="169"/>
      <c r="D470" s="169"/>
      <c r="E470" s="176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</row>
    <row r="471" ht="15.75" customHeight="1">
      <c r="A471" s="169"/>
      <c r="B471" s="169"/>
      <c r="C471" s="169"/>
      <c r="D471" s="169"/>
      <c r="E471" s="176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</row>
    <row r="472" ht="15.75" customHeight="1">
      <c r="A472" s="169"/>
      <c r="B472" s="169"/>
      <c r="C472" s="169"/>
      <c r="D472" s="169"/>
      <c r="E472" s="176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</row>
    <row r="473" ht="15.75" customHeight="1">
      <c r="A473" s="169"/>
      <c r="B473" s="169"/>
      <c r="C473" s="169"/>
      <c r="D473" s="169"/>
      <c r="E473" s="176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</row>
    <row r="474" ht="15.75" customHeight="1">
      <c r="A474" s="169"/>
      <c r="B474" s="169"/>
      <c r="C474" s="169"/>
      <c r="D474" s="169"/>
      <c r="E474" s="176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</row>
    <row r="475" ht="15.75" customHeight="1">
      <c r="A475" s="169"/>
      <c r="B475" s="169"/>
      <c r="C475" s="169"/>
      <c r="D475" s="169"/>
      <c r="E475" s="176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</row>
    <row r="476" ht="15.75" customHeight="1">
      <c r="A476" s="169"/>
      <c r="B476" s="169"/>
      <c r="C476" s="169"/>
      <c r="D476" s="169"/>
      <c r="E476" s="176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</row>
    <row r="477" ht="15.75" customHeight="1">
      <c r="A477" s="169"/>
      <c r="B477" s="169"/>
      <c r="C477" s="169"/>
      <c r="D477" s="169"/>
      <c r="E477" s="176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</row>
    <row r="478" ht="15.75" customHeight="1">
      <c r="A478" s="169"/>
      <c r="B478" s="169"/>
      <c r="C478" s="169"/>
      <c r="D478" s="169"/>
      <c r="E478" s="176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</row>
    <row r="479" ht="15.75" customHeight="1">
      <c r="A479" s="169"/>
      <c r="B479" s="169"/>
      <c r="C479" s="169"/>
      <c r="D479" s="169"/>
      <c r="E479" s="176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</row>
    <row r="480" ht="15.75" customHeight="1">
      <c r="A480" s="169"/>
      <c r="B480" s="169"/>
      <c r="C480" s="169"/>
      <c r="D480" s="169"/>
      <c r="E480" s="176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</row>
    <row r="481" ht="15.75" customHeight="1">
      <c r="A481" s="169"/>
      <c r="B481" s="169"/>
      <c r="C481" s="169"/>
      <c r="D481" s="169"/>
      <c r="E481" s="176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</row>
    <row r="482" ht="15.75" customHeight="1">
      <c r="A482" s="169"/>
      <c r="B482" s="169"/>
      <c r="C482" s="169"/>
      <c r="D482" s="169"/>
      <c r="E482" s="176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</row>
    <row r="483" ht="15.75" customHeight="1">
      <c r="A483" s="169"/>
      <c r="B483" s="169"/>
      <c r="C483" s="169"/>
      <c r="D483" s="169"/>
      <c r="E483" s="176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</row>
    <row r="484" ht="15.75" customHeight="1">
      <c r="A484" s="169"/>
      <c r="B484" s="169"/>
      <c r="C484" s="169"/>
      <c r="D484" s="169"/>
      <c r="E484" s="176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</row>
    <row r="485" ht="15.75" customHeight="1">
      <c r="A485" s="169"/>
      <c r="B485" s="169"/>
      <c r="C485" s="169"/>
      <c r="D485" s="169"/>
      <c r="E485" s="176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</row>
    <row r="486" ht="15.75" customHeight="1">
      <c r="A486" s="169"/>
      <c r="B486" s="169"/>
      <c r="C486" s="169"/>
      <c r="D486" s="169"/>
      <c r="E486" s="176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</row>
    <row r="487" ht="15.75" customHeight="1">
      <c r="A487" s="169"/>
      <c r="B487" s="169"/>
      <c r="C487" s="169"/>
      <c r="D487" s="169"/>
      <c r="E487" s="176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</row>
    <row r="488" ht="15.75" customHeight="1">
      <c r="A488" s="169"/>
      <c r="B488" s="169"/>
      <c r="C488" s="169"/>
      <c r="D488" s="169"/>
      <c r="E488" s="176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</row>
    <row r="489" ht="15.75" customHeight="1">
      <c r="A489" s="169"/>
      <c r="B489" s="169"/>
      <c r="C489" s="169"/>
      <c r="D489" s="169"/>
      <c r="E489" s="176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</row>
    <row r="490" ht="15.75" customHeight="1">
      <c r="A490" s="169"/>
      <c r="B490" s="169"/>
      <c r="C490" s="169"/>
      <c r="D490" s="169"/>
      <c r="E490" s="176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</row>
    <row r="491" ht="15.75" customHeight="1">
      <c r="A491" s="169"/>
      <c r="B491" s="169"/>
      <c r="C491" s="169"/>
      <c r="D491" s="169"/>
      <c r="E491" s="176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</row>
    <row r="492" ht="15.75" customHeight="1">
      <c r="A492" s="169"/>
      <c r="B492" s="169"/>
      <c r="C492" s="169"/>
      <c r="D492" s="169"/>
      <c r="E492" s="176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</row>
    <row r="493" ht="15.75" customHeight="1">
      <c r="A493" s="169"/>
      <c r="B493" s="169"/>
      <c r="C493" s="169"/>
      <c r="D493" s="169"/>
      <c r="E493" s="176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</row>
    <row r="494" ht="15.75" customHeight="1">
      <c r="A494" s="169"/>
      <c r="B494" s="169"/>
      <c r="C494" s="169"/>
      <c r="D494" s="169"/>
      <c r="E494" s="176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</row>
    <row r="495" ht="15.75" customHeight="1">
      <c r="A495" s="169"/>
      <c r="B495" s="169"/>
      <c r="C495" s="169"/>
      <c r="D495" s="169"/>
      <c r="E495" s="176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</row>
    <row r="496" ht="15.75" customHeight="1">
      <c r="A496" s="169"/>
      <c r="B496" s="169"/>
      <c r="C496" s="169"/>
      <c r="D496" s="169"/>
      <c r="E496" s="176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</row>
    <row r="497" ht="15.75" customHeight="1">
      <c r="A497" s="169"/>
      <c r="B497" s="169"/>
      <c r="C497" s="169"/>
      <c r="D497" s="169"/>
      <c r="E497" s="176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</row>
    <row r="498" ht="15.75" customHeight="1">
      <c r="A498" s="169"/>
      <c r="B498" s="169"/>
      <c r="C498" s="169"/>
      <c r="D498" s="169"/>
      <c r="E498" s="176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</row>
    <row r="499" ht="15.75" customHeight="1">
      <c r="A499" s="169"/>
      <c r="B499" s="169"/>
      <c r="C499" s="169"/>
      <c r="D499" s="169"/>
      <c r="E499" s="176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</row>
    <row r="500" ht="15.75" customHeight="1">
      <c r="A500" s="169"/>
      <c r="B500" s="169"/>
      <c r="C500" s="169"/>
      <c r="D500" s="169"/>
      <c r="E500" s="176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</row>
    <row r="501" ht="15.75" customHeight="1">
      <c r="A501" s="169"/>
      <c r="B501" s="169"/>
      <c r="C501" s="169"/>
      <c r="D501" s="169"/>
      <c r="E501" s="176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</row>
    <row r="502" ht="15.75" customHeight="1">
      <c r="A502" s="169"/>
      <c r="B502" s="169"/>
      <c r="C502" s="169"/>
      <c r="D502" s="169"/>
      <c r="E502" s="176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</row>
    <row r="503" ht="15.75" customHeight="1">
      <c r="A503" s="169"/>
      <c r="B503" s="169"/>
      <c r="C503" s="169"/>
      <c r="D503" s="169"/>
      <c r="E503" s="176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</row>
    <row r="504" ht="15.75" customHeight="1">
      <c r="A504" s="169"/>
      <c r="B504" s="169"/>
      <c r="C504" s="169"/>
      <c r="D504" s="169"/>
      <c r="E504" s="176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</row>
    <row r="505" ht="15.75" customHeight="1">
      <c r="A505" s="169"/>
      <c r="B505" s="169"/>
      <c r="C505" s="169"/>
      <c r="D505" s="169"/>
      <c r="E505" s="176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</row>
    <row r="506" ht="15.75" customHeight="1">
      <c r="A506" s="169"/>
      <c r="B506" s="169"/>
      <c r="C506" s="169"/>
      <c r="D506" s="169"/>
      <c r="E506" s="176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</row>
    <row r="507" ht="15.75" customHeight="1">
      <c r="A507" s="169"/>
      <c r="B507" s="169"/>
      <c r="C507" s="169"/>
      <c r="D507" s="169"/>
      <c r="E507" s="176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</row>
    <row r="508" ht="15.75" customHeight="1">
      <c r="A508" s="169"/>
      <c r="B508" s="169"/>
      <c r="C508" s="169"/>
      <c r="D508" s="169"/>
      <c r="E508" s="176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</row>
    <row r="509" ht="15.75" customHeight="1">
      <c r="A509" s="169"/>
      <c r="B509" s="169"/>
      <c r="C509" s="169"/>
      <c r="D509" s="169"/>
      <c r="E509" s="176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</row>
    <row r="510" ht="15.75" customHeight="1">
      <c r="A510" s="169"/>
      <c r="B510" s="169"/>
      <c r="C510" s="169"/>
      <c r="D510" s="169"/>
      <c r="E510" s="176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</row>
    <row r="511" ht="15.75" customHeight="1">
      <c r="A511" s="169"/>
      <c r="B511" s="169"/>
      <c r="C511" s="169"/>
      <c r="D511" s="169"/>
      <c r="E511" s="176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</row>
    <row r="512" ht="15.75" customHeight="1">
      <c r="A512" s="169"/>
      <c r="B512" s="169"/>
      <c r="C512" s="169"/>
      <c r="D512" s="169"/>
      <c r="E512" s="176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</row>
    <row r="513" ht="15.75" customHeight="1">
      <c r="A513" s="169"/>
      <c r="B513" s="169"/>
      <c r="C513" s="169"/>
      <c r="D513" s="169"/>
      <c r="E513" s="176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</row>
    <row r="514" ht="15.75" customHeight="1">
      <c r="A514" s="169"/>
      <c r="B514" s="169"/>
      <c r="C514" s="169"/>
      <c r="D514" s="169"/>
      <c r="E514" s="176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</row>
    <row r="515" ht="15.75" customHeight="1">
      <c r="A515" s="169"/>
      <c r="B515" s="169"/>
      <c r="C515" s="169"/>
      <c r="D515" s="169"/>
      <c r="E515" s="176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</row>
    <row r="516" ht="15.75" customHeight="1">
      <c r="A516" s="169"/>
      <c r="B516" s="169"/>
      <c r="C516" s="169"/>
      <c r="D516" s="169"/>
      <c r="E516" s="176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</row>
    <row r="517" ht="15.75" customHeight="1">
      <c r="A517" s="169"/>
      <c r="B517" s="169"/>
      <c r="C517" s="169"/>
      <c r="D517" s="169"/>
      <c r="E517" s="176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</row>
    <row r="518" ht="15.75" customHeight="1">
      <c r="A518" s="169"/>
      <c r="B518" s="169"/>
      <c r="C518" s="169"/>
      <c r="D518" s="169"/>
      <c r="E518" s="176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</row>
    <row r="519" ht="15.75" customHeight="1">
      <c r="A519" s="169"/>
      <c r="B519" s="169"/>
      <c r="C519" s="169"/>
      <c r="D519" s="169"/>
      <c r="E519" s="176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</row>
    <row r="520" ht="15.75" customHeight="1">
      <c r="A520" s="169"/>
      <c r="B520" s="169"/>
      <c r="C520" s="169"/>
      <c r="D520" s="169"/>
      <c r="E520" s="176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</row>
    <row r="521" ht="15.75" customHeight="1">
      <c r="A521" s="169"/>
      <c r="B521" s="169"/>
      <c r="C521" s="169"/>
      <c r="D521" s="169"/>
      <c r="E521" s="176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</row>
    <row r="522" ht="15.75" customHeight="1">
      <c r="A522" s="169"/>
      <c r="B522" s="169"/>
      <c r="C522" s="169"/>
      <c r="D522" s="169"/>
      <c r="E522" s="176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</row>
    <row r="523" ht="15.75" customHeight="1">
      <c r="A523" s="169"/>
      <c r="B523" s="169"/>
      <c r="C523" s="169"/>
      <c r="D523" s="169"/>
      <c r="E523" s="176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</row>
    <row r="524" ht="15.75" customHeight="1">
      <c r="A524" s="169"/>
      <c r="B524" s="169"/>
      <c r="C524" s="169"/>
      <c r="D524" s="169"/>
      <c r="E524" s="176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</row>
    <row r="525" ht="15.75" customHeight="1">
      <c r="A525" s="169"/>
      <c r="B525" s="169"/>
      <c r="C525" s="169"/>
      <c r="D525" s="169"/>
      <c r="E525" s="176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</row>
    <row r="526" ht="15.75" customHeight="1">
      <c r="A526" s="169"/>
      <c r="B526" s="169"/>
      <c r="C526" s="169"/>
      <c r="D526" s="169"/>
      <c r="E526" s="176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</row>
    <row r="527" ht="15.75" customHeight="1">
      <c r="A527" s="169"/>
      <c r="B527" s="169"/>
      <c r="C527" s="169"/>
      <c r="D527" s="169"/>
      <c r="E527" s="176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</row>
    <row r="528" ht="15.75" customHeight="1">
      <c r="A528" s="169"/>
      <c r="B528" s="169"/>
      <c r="C528" s="169"/>
      <c r="D528" s="169"/>
      <c r="E528" s="176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</row>
    <row r="529" ht="15.75" customHeight="1">
      <c r="A529" s="169"/>
      <c r="B529" s="169"/>
      <c r="C529" s="169"/>
      <c r="D529" s="169"/>
      <c r="E529" s="176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</row>
    <row r="530" ht="15.75" customHeight="1">
      <c r="A530" s="169"/>
      <c r="B530" s="169"/>
      <c r="C530" s="169"/>
      <c r="D530" s="169"/>
      <c r="E530" s="176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</row>
    <row r="531" ht="15.75" customHeight="1">
      <c r="A531" s="169"/>
      <c r="B531" s="169"/>
      <c r="C531" s="169"/>
      <c r="D531" s="169"/>
      <c r="E531" s="176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</row>
    <row r="532" ht="15.75" customHeight="1">
      <c r="A532" s="169"/>
      <c r="B532" s="169"/>
      <c r="C532" s="169"/>
      <c r="D532" s="169"/>
      <c r="E532" s="176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</row>
    <row r="533" ht="15.75" customHeight="1">
      <c r="A533" s="169"/>
      <c r="B533" s="169"/>
      <c r="C533" s="169"/>
      <c r="D533" s="169"/>
      <c r="E533" s="176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</row>
    <row r="534" ht="15.75" customHeight="1">
      <c r="A534" s="169"/>
      <c r="B534" s="169"/>
      <c r="C534" s="169"/>
      <c r="D534" s="169"/>
      <c r="E534" s="176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</row>
    <row r="535" ht="15.75" customHeight="1">
      <c r="A535" s="169"/>
      <c r="B535" s="169"/>
      <c r="C535" s="169"/>
      <c r="D535" s="169"/>
      <c r="E535" s="176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</row>
    <row r="536" ht="15.75" customHeight="1">
      <c r="A536" s="169"/>
      <c r="B536" s="169"/>
      <c r="C536" s="169"/>
      <c r="D536" s="169"/>
      <c r="E536" s="176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</row>
    <row r="537" ht="15.75" customHeight="1">
      <c r="A537" s="169"/>
      <c r="B537" s="169"/>
      <c r="C537" s="169"/>
      <c r="D537" s="169"/>
      <c r="E537" s="176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</row>
    <row r="538" ht="15.75" customHeight="1">
      <c r="A538" s="169"/>
      <c r="B538" s="169"/>
      <c r="C538" s="169"/>
      <c r="D538" s="169"/>
      <c r="E538" s="176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</row>
    <row r="539" ht="15.75" customHeight="1">
      <c r="A539" s="169"/>
      <c r="B539" s="169"/>
      <c r="C539" s="169"/>
      <c r="D539" s="169"/>
      <c r="E539" s="176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</row>
    <row r="540" ht="15.75" customHeight="1">
      <c r="A540" s="169"/>
      <c r="B540" s="169"/>
      <c r="C540" s="169"/>
      <c r="D540" s="169"/>
      <c r="E540" s="176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</row>
    <row r="541" ht="15.75" customHeight="1">
      <c r="A541" s="169"/>
      <c r="B541" s="169"/>
      <c r="C541" s="169"/>
      <c r="D541" s="169"/>
      <c r="E541" s="176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</row>
    <row r="542" ht="15.75" customHeight="1">
      <c r="A542" s="169"/>
      <c r="B542" s="169"/>
      <c r="C542" s="169"/>
      <c r="D542" s="169"/>
      <c r="E542" s="176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</row>
    <row r="543" ht="15.75" customHeight="1">
      <c r="A543" s="169"/>
      <c r="B543" s="169"/>
      <c r="C543" s="169"/>
      <c r="D543" s="169"/>
      <c r="E543" s="176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</row>
    <row r="544" ht="15.75" customHeight="1">
      <c r="A544" s="169"/>
      <c r="B544" s="169"/>
      <c r="C544" s="169"/>
      <c r="D544" s="169"/>
      <c r="E544" s="176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</row>
    <row r="545" ht="15.75" customHeight="1">
      <c r="A545" s="169"/>
      <c r="B545" s="169"/>
      <c r="C545" s="169"/>
      <c r="D545" s="169"/>
      <c r="E545" s="176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</row>
    <row r="546" ht="15.75" customHeight="1">
      <c r="A546" s="169"/>
      <c r="B546" s="169"/>
      <c r="C546" s="169"/>
      <c r="D546" s="169"/>
      <c r="E546" s="176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</row>
    <row r="547" ht="15.75" customHeight="1">
      <c r="A547" s="169"/>
      <c r="B547" s="169"/>
      <c r="C547" s="169"/>
      <c r="D547" s="169"/>
      <c r="E547" s="176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</row>
    <row r="548" ht="15.75" customHeight="1">
      <c r="A548" s="169"/>
      <c r="B548" s="169"/>
      <c r="C548" s="169"/>
      <c r="D548" s="169"/>
      <c r="E548" s="176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</row>
    <row r="549" ht="15.75" customHeight="1">
      <c r="A549" s="169"/>
      <c r="B549" s="169"/>
      <c r="C549" s="169"/>
      <c r="D549" s="169"/>
      <c r="E549" s="176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</row>
    <row r="550" ht="15.75" customHeight="1">
      <c r="A550" s="169"/>
      <c r="B550" s="169"/>
      <c r="C550" s="169"/>
      <c r="D550" s="169"/>
      <c r="E550" s="176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</row>
    <row r="551" ht="15.75" customHeight="1">
      <c r="A551" s="169"/>
      <c r="B551" s="169"/>
      <c r="C551" s="169"/>
      <c r="D551" s="169"/>
      <c r="E551" s="176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</row>
    <row r="552" ht="15.75" customHeight="1">
      <c r="A552" s="169"/>
      <c r="B552" s="169"/>
      <c r="C552" s="169"/>
      <c r="D552" s="169"/>
      <c r="E552" s="176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</row>
    <row r="553" ht="15.75" customHeight="1">
      <c r="A553" s="169"/>
      <c r="B553" s="169"/>
      <c r="C553" s="169"/>
      <c r="D553" s="169"/>
      <c r="E553" s="176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</row>
    <row r="554" ht="15.75" customHeight="1">
      <c r="A554" s="169"/>
      <c r="B554" s="169"/>
      <c r="C554" s="169"/>
      <c r="D554" s="169"/>
      <c r="E554" s="176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</row>
    <row r="555" ht="15.75" customHeight="1">
      <c r="A555" s="169"/>
      <c r="B555" s="169"/>
      <c r="C555" s="169"/>
      <c r="D555" s="169"/>
      <c r="E555" s="176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</row>
    <row r="556" ht="15.75" customHeight="1">
      <c r="A556" s="169"/>
      <c r="B556" s="169"/>
      <c r="C556" s="169"/>
      <c r="D556" s="169"/>
      <c r="E556" s="176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</row>
    <row r="557" ht="15.75" customHeight="1">
      <c r="A557" s="169"/>
      <c r="B557" s="169"/>
      <c r="C557" s="169"/>
      <c r="D557" s="169"/>
      <c r="E557" s="176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</row>
    <row r="558" ht="15.75" customHeight="1">
      <c r="A558" s="169"/>
      <c r="B558" s="169"/>
      <c r="C558" s="169"/>
      <c r="D558" s="169"/>
      <c r="E558" s="176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</row>
    <row r="559" ht="15.75" customHeight="1">
      <c r="A559" s="169"/>
      <c r="B559" s="169"/>
      <c r="C559" s="169"/>
      <c r="D559" s="169"/>
      <c r="E559" s="176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</row>
    <row r="560" ht="15.75" customHeight="1">
      <c r="A560" s="169"/>
      <c r="B560" s="169"/>
      <c r="C560" s="169"/>
      <c r="D560" s="169"/>
      <c r="E560" s="176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</row>
    <row r="561" ht="15.75" customHeight="1">
      <c r="A561" s="169"/>
      <c r="B561" s="169"/>
      <c r="C561" s="169"/>
      <c r="D561" s="169"/>
      <c r="E561" s="176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</row>
    <row r="562" ht="15.75" customHeight="1">
      <c r="A562" s="169"/>
      <c r="B562" s="169"/>
      <c r="C562" s="169"/>
      <c r="D562" s="169"/>
      <c r="E562" s="176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</row>
    <row r="563" ht="15.75" customHeight="1">
      <c r="A563" s="169"/>
      <c r="B563" s="169"/>
      <c r="C563" s="169"/>
      <c r="D563" s="169"/>
      <c r="E563" s="176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</row>
    <row r="564" ht="15.75" customHeight="1">
      <c r="A564" s="169"/>
      <c r="B564" s="169"/>
      <c r="C564" s="169"/>
      <c r="D564" s="169"/>
      <c r="E564" s="176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</row>
    <row r="565" ht="15.75" customHeight="1">
      <c r="A565" s="169"/>
      <c r="B565" s="169"/>
      <c r="C565" s="169"/>
      <c r="D565" s="169"/>
      <c r="E565" s="176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</row>
    <row r="566" ht="15.75" customHeight="1">
      <c r="A566" s="169"/>
      <c r="B566" s="169"/>
      <c r="C566" s="169"/>
      <c r="D566" s="169"/>
      <c r="E566" s="176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</row>
    <row r="567" ht="15.75" customHeight="1">
      <c r="A567" s="169"/>
      <c r="B567" s="169"/>
      <c r="C567" s="169"/>
      <c r="D567" s="169"/>
      <c r="E567" s="176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</row>
    <row r="568" ht="15.75" customHeight="1">
      <c r="A568" s="169"/>
      <c r="B568" s="169"/>
      <c r="C568" s="169"/>
      <c r="D568" s="169"/>
      <c r="E568" s="176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</row>
    <row r="569" ht="15.75" customHeight="1">
      <c r="A569" s="169"/>
      <c r="B569" s="169"/>
      <c r="C569" s="169"/>
      <c r="D569" s="169"/>
      <c r="E569" s="176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</row>
    <row r="570" ht="15.75" customHeight="1">
      <c r="A570" s="169"/>
      <c r="B570" s="169"/>
      <c r="C570" s="169"/>
      <c r="D570" s="169"/>
      <c r="E570" s="176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</row>
    <row r="571" ht="15.75" customHeight="1">
      <c r="A571" s="169"/>
      <c r="B571" s="169"/>
      <c r="C571" s="169"/>
      <c r="D571" s="169"/>
      <c r="E571" s="176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</row>
    <row r="572" ht="15.75" customHeight="1">
      <c r="A572" s="169"/>
      <c r="B572" s="169"/>
      <c r="C572" s="169"/>
      <c r="D572" s="169"/>
      <c r="E572" s="176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</row>
    <row r="573" ht="15.75" customHeight="1">
      <c r="A573" s="169"/>
      <c r="B573" s="169"/>
      <c r="C573" s="169"/>
      <c r="D573" s="169"/>
      <c r="E573" s="176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</row>
    <row r="574" ht="15.75" customHeight="1">
      <c r="A574" s="169"/>
      <c r="B574" s="169"/>
      <c r="C574" s="169"/>
      <c r="D574" s="169"/>
      <c r="E574" s="176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</row>
    <row r="575" ht="15.75" customHeight="1">
      <c r="A575" s="169"/>
      <c r="B575" s="169"/>
      <c r="C575" s="169"/>
      <c r="D575" s="169"/>
      <c r="E575" s="176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</row>
    <row r="576" ht="15.75" customHeight="1">
      <c r="A576" s="169"/>
      <c r="B576" s="169"/>
      <c r="C576" s="169"/>
      <c r="D576" s="169"/>
      <c r="E576" s="176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</row>
    <row r="577" ht="15.75" customHeight="1">
      <c r="A577" s="169"/>
      <c r="B577" s="169"/>
      <c r="C577" s="169"/>
      <c r="D577" s="169"/>
      <c r="E577" s="176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</row>
    <row r="578" ht="15.75" customHeight="1">
      <c r="A578" s="169"/>
      <c r="B578" s="169"/>
      <c r="C578" s="169"/>
      <c r="D578" s="169"/>
      <c r="E578" s="176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</row>
    <row r="579" ht="15.75" customHeight="1">
      <c r="A579" s="169"/>
      <c r="B579" s="169"/>
      <c r="C579" s="169"/>
      <c r="D579" s="169"/>
      <c r="E579" s="176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</row>
    <row r="580" ht="15.75" customHeight="1">
      <c r="A580" s="169"/>
      <c r="B580" s="169"/>
      <c r="C580" s="169"/>
      <c r="D580" s="169"/>
      <c r="E580" s="176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</row>
    <row r="581" ht="15.75" customHeight="1">
      <c r="A581" s="169"/>
      <c r="B581" s="169"/>
      <c r="C581" s="169"/>
      <c r="D581" s="169"/>
      <c r="E581" s="176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</row>
    <row r="582" ht="15.75" customHeight="1">
      <c r="A582" s="169"/>
      <c r="B582" s="169"/>
      <c r="C582" s="169"/>
      <c r="D582" s="169"/>
      <c r="E582" s="176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</row>
    <row r="583" ht="15.75" customHeight="1">
      <c r="A583" s="169"/>
      <c r="B583" s="169"/>
      <c r="C583" s="169"/>
      <c r="D583" s="169"/>
      <c r="E583" s="176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</row>
    <row r="584" ht="15.75" customHeight="1">
      <c r="A584" s="169"/>
      <c r="B584" s="169"/>
      <c r="C584" s="169"/>
      <c r="D584" s="169"/>
      <c r="E584" s="176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</row>
    <row r="585" ht="15.75" customHeight="1">
      <c r="A585" s="169"/>
      <c r="B585" s="169"/>
      <c r="C585" s="169"/>
      <c r="D585" s="169"/>
      <c r="E585" s="176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</row>
    <row r="586" ht="15.75" customHeight="1">
      <c r="A586" s="169"/>
      <c r="B586" s="169"/>
      <c r="C586" s="169"/>
      <c r="D586" s="169"/>
      <c r="E586" s="176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</row>
    <row r="587" ht="15.75" customHeight="1">
      <c r="A587" s="169"/>
      <c r="B587" s="169"/>
      <c r="C587" s="169"/>
      <c r="D587" s="169"/>
      <c r="E587" s="176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</row>
    <row r="588" ht="15.75" customHeight="1">
      <c r="A588" s="169"/>
      <c r="B588" s="169"/>
      <c r="C588" s="169"/>
      <c r="D588" s="169"/>
      <c r="E588" s="176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</row>
    <row r="589" ht="15.75" customHeight="1">
      <c r="A589" s="169"/>
      <c r="B589" s="169"/>
      <c r="C589" s="169"/>
      <c r="D589" s="169"/>
      <c r="E589" s="176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</row>
    <row r="590" ht="15.75" customHeight="1">
      <c r="A590" s="169"/>
      <c r="B590" s="169"/>
      <c r="C590" s="169"/>
      <c r="D590" s="169"/>
      <c r="E590" s="176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</row>
    <row r="591" ht="15.75" customHeight="1">
      <c r="A591" s="169"/>
      <c r="B591" s="169"/>
      <c r="C591" s="169"/>
      <c r="D591" s="169"/>
      <c r="E591" s="176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</row>
    <row r="592" ht="15.75" customHeight="1">
      <c r="A592" s="169"/>
      <c r="B592" s="169"/>
      <c r="C592" s="169"/>
      <c r="D592" s="169"/>
      <c r="E592" s="176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</row>
    <row r="593" ht="15.75" customHeight="1">
      <c r="A593" s="169"/>
      <c r="B593" s="169"/>
      <c r="C593" s="169"/>
      <c r="D593" s="169"/>
      <c r="E593" s="176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</row>
    <row r="594" ht="15.75" customHeight="1">
      <c r="A594" s="169"/>
      <c r="B594" s="169"/>
      <c r="C594" s="169"/>
      <c r="D594" s="169"/>
      <c r="E594" s="176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</row>
    <row r="595" ht="15.75" customHeight="1">
      <c r="A595" s="169"/>
      <c r="B595" s="169"/>
      <c r="C595" s="169"/>
      <c r="D595" s="169"/>
      <c r="E595" s="176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</row>
    <row r="596" ht="15.75" customHeight="1">
      <c r="A596" s="169"/>
      <c r="B596" s="169"/>
      <c r="C596" s="169"/>
      <c r="D596" s="169"/>
      <c r="E596" s="176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</row>
    <row r="597" ht="15.75" customHeight="1">
      <c r="A597" s="169"/>
      <c r="B597" s="169"/>
      <c r="C597" s="169"/>
      <c r="D597" s="169"/>
      <c r="E597" s="176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</row>
    <row r="598" ht="15.75" customHeight="1">
      <c r="A598" s="169"/>
      <c r="B598" s="169"/>
      <c r="C598" s="169"/>
      <c r="D598" s="169"/>
      <c r="E598" s="176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</row>
    <row r="599" ht="15.75" customHeight="1">
      <c r="A599" s="169"/>
      <c r="B599" s="169"/>
      <c r="C599" s="169"/>
      <c r="D599" s="169"/>
      <c r="E599" s="176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</row>
    <row r="600" ht="15.75" customHeight="1">
      <c r="A600" s="169"/>
      <c r="B600" s="169"/>
      <c r="C600" s="169"/>
      <c r="D600" s="169"/>
      <c r="E600" s="176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</row>
    <row r="601" ht="15.75" customHeight="1">
      <c r="A601" s="169"/>
      <c r="B601" s="169"/>
      <c r="C601" s="169"/>
      <c r="D601" s="169"/>
      <c r="E601" s="176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</row>
    <row r="602" ht="15.75" customHeight="1">
      <c r="A602" s="169"/>
      <c r="B602" s="169"/>
      <c r="C602" s="169"/>
      <c r="D602" s="169"/>
      <c r="E602" s="176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</row>
    <row r="603" ht="15.75" customHeight="1">
      <c r="A603" s="169"/>
      <c r="B603" s="169"/>
      <c r="C603" s="169"/>
      <c r="D603" s="169"/>
      <c r="E603" s="176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</row>
    <row r="604" ht="15.75" customHeight="1">
      <c r="A604" s="169"/>
      <c r="B604" s="169"/>
      <c r="C604" s="169"/>
      <c r="D604" s="169"/>
      <c r="E604" s="176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</row>
    <row r="605" ht="15.75" customHeight="1">
      <c r="A605" s="169"/>
      <c r="B605" s="169"/>
      <c r="C605" s="169"/>
      <c r="D605" s="169"/>
      <c r="E605" s="176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</row>
    <row r="606" ht="15.75" customHeight="1">
      <c r="A606" s="169"/>
      <c r="B606" s="169"/>
      <c r="C606" s="169"/>
      <c r="D606" s="169"/>
      <c r="E606" s="176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</row>
    <row r="607" ht="15.75" customHeight="1">
      <c r="A607" s="169"/>
      <c r="B607" s="169"/>
      <c r="C607" s="169"/>
      <c r="D607" s="169"/>
      <c r="E607" s="176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</row>
    <row r="608" ht="15.75" customHeight="1">
      <c r="A608" s="169"/>
      <c r="B608" s="169"/>
      <c r="C608" s="169"/>
      <c r="D608" s="169"/>
      <c r="E608" s="176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</row>
    <row r="609" ht="15.75" customHeight="1">
      <c r="A609" s="169"/>
      <c r="B609" s="169"/>
      <c r="C609" s="169"/>
      <c r="D609" s="169"/>
      <c r="E609" s="176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</row>
    <row r="610" ht="15.75" customHeight="1">
      <c r="A610" s="169"/>
      <c r="B610" s="169"/>
      <c r="C610" s="169"/>
      <c r="D610" s="169"/>
      <c r="E610" s="176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</row>
    <row r="611" ht="15.75" customHeight="1">
      <c r="A611" s="169"/>
      <c r="B611" s="169"/>
      <c r="C611" s="169"/>
      <c r="D611" s="169"/>
      <c r="E611" s="176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</row>
    <row r="612" ht="15.75" customHeight="1">
      <c r="A612" s="169"/>
      <c r="B612" s="169"/>
      <c r="C612" s="169"/>
      <c r="D612" s="169"/>
      <c r="E612" s="176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</row>
    <row r="613" ht="15.75" customHeight="1">
      <c r="A613" s="169"/>
      <c r="B613" s="169"/>
      <c r="C613" s="169"/>
      <c r="D613" s="169"/>
      <c r="E613" s="176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</row>
    <row r="614" ht="15.75" customHeight="1">
      <c r="A614" s="169"/>
      <c r="B614" s="169"/>
      <c r="C614" s="169"/>
      <c r="D614" s="169"/>
      <c r="E614" s="176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</row>
    <row r="615" ht="15.75" customHeight="1">
      <c r="A615" s="169"/>
      <c r="B615" s="169"/>
      <c r="C615" s="169"/>
      <c r="D615" s="169"/>
      <c r="E615" s="176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</row>
    <row r="616" ht="15.75" customHeight="1">
      <c r="A616" s="169"/>
      <c r="B616" s="169"/>
      <c r="C616" s="169"/>
      <c r="D616" s="169"/>
      <c r="E616" s="176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</row>
    <row r="617" ht="15.75" customHeight="1">
      <c r="A617" s="169"/>
      <c r="B617" s="169"/>
      <c r="C617" s="169"/>
      <c r="D617" s="169"/>
      <c r="E617" s="176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</row>
    <row r="618" ht="15.75" customHeight="1">
      <c r="A618" s="169"/>
      <c r="B618" s="169"/>
      <c r="C618" s="169"/>
      <c r="D618" s="169"/>
      <c r="E618" s="176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</row>
    <row r="619" ht="15.75" customHeight="1">
      <c r="A619" s="169"/>
      <c r="B619" s="169"/>
      <c r="C619" s="169"/>
      <c r="D619" s="169"/>
      <c r="E619" s="176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</row>
    <row r="620" ht="15.75" customHeight="1">
      <c r="A620" s="169"/>
      <c r="B620" s="169"/>
      <c r="C620" s="169"/>
      <c r="D620" s="169"/>
      <c r="E620" s="176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</row>
    <row r="621" ht="15.75" customHeight="1">
      <c r="A621" s="169"/>
      <c r="B621" s="169"/>
      <c r="C621" s="169"/>
      <c r="D621" s="169"/>
      <c r="E621" s="176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</row>
    <row r="622" ht="15.75" customHeight="1">
      <c r="A622" s="169"/>
      <c r="B622" s="169"/>
      <c r="C622" s="169"/>
      <c r="D622" s="169"/>
      <c r="E622" s="176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</row>
    <row r="623" ht="15.75" customHeight="1">
      <c r="A623" s="169"/>
      <c r="B623" s="169"/>
      <c r="C623" s="169"/>
      <c r="D623" s="169"/>
      <c r="E623" s="176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</row>
    <row r="624" ht="15.75" customHeight="1">
      <c r="A624" s="169"/>
      <c r="B624" s="169"/>
      <c r="C624" s="169"/>
      <c r="D624" s="169"/>
      <c r="E624" s="176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</row>
    <row r="625" ht="15.75" customHeight="1">
      <c r="A625" s="169"/>
      <c r="B625" s="169"/>
      <c r="C625" s="169"/>
      <c r="D625" s="169"/>
      <c r="E625" s="176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</row>
    <row r="626" ht="15.75" customHeight="1">
      <c r="A626" s="169"/>
      <c r="B626" s="169"/>
      <c r="C626" s="169"/>
      <c r="D626" s="169"/>
      <c r="E626" s="176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</row>
    <row r="627" ht="15.75" customHeight="1">
      <c r="A627" s="169"/>
      <c r="B627" s="169"/>
      <c r="C627" s="169"/>
      <c r="D627" s="169"/>
      <c r="E627" s="176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</row>
    <row r="628" ht="15.75" customHeight="1">
      <c r="A628" s="169"/>
      <c r="B628" s="169"/>
      <c r="C628" s="169"/>
      <c r="D628" s="169"/>
      <c r="E628" s="176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</row>
    <row r="629" ht="15.75" customHeight="1">
      <c r="A629" s="169"/>
      <c r="B629" s="169"/>
      <c r="C629" s="169"/>
      <c r="D629" s="169"/>
      <c r="E629" s="176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</row>
    <row r="630" ht="15.75" customHeight="1">
      <c r="A630" s="169"/>
      <c r="B630" s="169"/>
      <c r="C630" s="169"/>
      <c r="D630" s="169"/>
      <c r="E630" s="176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</row>
    <row r="631" ht="15.75" customHeight="1">
      <c r="A631" s="169"/>
      <c r="B631" s="169"/>
      <c r="C631" s="169"/>
      <c r="D631" s="169"/>
      <c r="E631" s="176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</row>
    <row r="632" ht="15.75" customHeight="1">
      <c r="A632" s="169"/>
      <c r="B632" s="169"/>
      <c r="C632" s="169"/>
      <c r="D632" s="169"/>
      <c r="E632" s="176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</row>
    <row r="633" ht="15.75" customHeight="1">
      <c r="A633" s="169"/>
      <c r="B633" s="169"/>
      <c r="C633" s="169"/>
      <c r="D633" s="169"/>
      <c r="E633" s="176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</row>
    <row r="634" ht="15.75" customHeight="1">
      <c r="A634" s="169"/>
      <c r="B634" s="169"/>
      <c r="C634" s="169"/>
      <c r="D634" s="169"/>
      <c r="E634" s="176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</row>
    <row r="635" ht="15.75" customHeight="1">
      <c r="A635" s="169"/>
      <c r="B635" s="169"/>
      <c r="C635" s="169"/>
      <c r="D635" s="169"/>
      <c r="E635" s="176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</row>
    <row r="636" ht="15.75" customHeight="1">
      <c r="A636" s="169"/>
      <c r="B636" s="169"/>
      <c r="C636" s="169"/>
      <c r="D636" s="169"/>
      <c r="E636" s="176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</row>
    <row r="637" ht="15.75" customHeight="1">
      <c r="A637" s="169"/>
      <c r="B637" s="169"/>
      <c r="C637" s="169"/>
      <c r="D637" s="169"/>
      <c r="E637" s="176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</row>
    <row r="638" ht="15.75" customHeight="1">
      <c r="A638" s="169"/>
      <c r="B638" s="169"/>
      <c r="C638" s="169"/>
      <c r="D638" s="169"/>
      <c r="E638" s="176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</row>
    <row r="639" ht="15.75" customHeight="1">
      <c r="A639" s="169"/>
      <c r="B639" s="169"/>
      <c r="C639" s="169"/>
      <c r="D639" s="169"/>
      <c r="E639" s="176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</row>
    <row r="640" ht="15.75" customHeight="1">
      <c r="A640" s="169"/>
      <c r="B640" s="169"/>
      <c r="C640" s="169"/>
      <c r="D640" s="169"/>
      <c r="E640" s="176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</row>
    <row r="641" ht="15.75" customHeight="1">
      <c r="A641" s="169"/>
      <c r="B641" s="169"/>
      <c r="C641" s="169"/>
      <c r="D641" s="169"/>
      <c r="E641" s="176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</row>
    <row r="642" ht="15.75" customHeight="1">
      <c r="A642" s="169"/>
      <c r="B642" s="169"/>
      <c r="C642" s="169"/>
      <c r="D642" s="169"/>
      <c r="E642" s="176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</row>
    <row r="643" ht="15.75" customHeight="1">
      <c r="A643" s="169"/>
      <c r="B643" s="169"/>
      <c r="C643" s="169"/>
      <c r="D643" s="169"/>
      <c r="E643" s="176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</row>
    <row r="644" ht="15.75" customHeight="1">
      <c r="A644" s="169"/>
      <c r="B644" s="169"/>
      <c r="C644" s="169"/>
      <c r="D644" s="169"/>
      <c r="E644" s="176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</row>
    <row r="645" ht="15.75" customHeight="1">
      <c r="A645" s="169"/>
      <c r="B645" s="169"/>
      <c r="C645" s="169"/>
      <c r="D645" s="169"/>
      <c r="E645" s="176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</row>
    <row r="646" ht="15.75" customHeight="1">
      <c r="A646" s="169"/>
      <c r="B646" s="169"/>
      <c r="C646" s="169"/>
      <c r="D646" s="169"/>
      <c r="E646" s="176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</row>
    <row r="647" ht="15.75" customHeight="1">
      <c r="A647" s="169"/>
      <c r="B647" s="169"/>
      <c r="C647" s="169"/>
      <c r="D647" s="169"/>
      <c r="E647" s="176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</row>
    <row r="648" ht="15.75" customHeight="1">
      <c r="A648" s="169"/>
      <c r="B648" s="169"/>
      <c r="C648" s="169"/>
      <c r="D648" s="169"/>
      <c r="E648" s="176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</row>
    <row r="649" ht="15.75" customHeight="1">
      <c r="A649" s="169"/>
      <c r="B649" s="169"/>
      <c r="C649" s="169"/>
      <c r="D649" s="169"/>
      <c r="E649" s="176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</row>
    <row r="650" ht="15.75" customHeight="1">
      <c r="A650" s="169"/>
      <c r="B650" s="169"/>
      <c r="C650" s="169"/>
      <c r="D650" s="169"/>
      <c r="E650" s="176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</row>
    <row r="651" ht="15.75" customHeight="1">
      <c r="A651" s="169"/>
      <c r="B651" s="169"/>
      <c r="C651" s="169"/>
      <c r="D651" s="169"/>
      <c r="E651" s="176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</row>
    <row r="652" ht="15.75" customHeight="1">
      <c r="A652" s="169"/>
      <c r="B652" s="169"/>
      <c r="C652" s="169"/>
      <c r="D652" s="169"/>
      <c r="E652" s="176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</row>
    <row r="653" ht="15.75" customHeight="1">
      <c r="A653" s="169"/>
      <c r="B653" s="169"/>
      <c r="C653" s="169"/>
      <c r="D653" s="169"/>
      <c r="E653" s="176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</row>
    <row r="654" ht="15.75" customHeight="1">
      <c r="A654" s="169"/>
      <c r="B654" s="169"/>
      <c r="C654" s="169"/>
      <c r="D654" s="169"/>
      <c r="E654" s="176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</row>
    <row r="655" ht="15.75" customHeight="1">
      <c r="A655" s="169"/>
      <c r="B655" s="169"/>
      <c r="C655" s="169"/>
      <c r="D655" s="169"/>
      <c r="E655" s="176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</row>
    <row r="656" ht="15.75" customHeight="1">
      <c r="A656" s="169"/>
      <c r="B656" s="169"/>
      <c r="C656" s="169"/>
      <c r="D656" s="169"/>
      <c r="E656" s="176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</row>
    <row r="657" ht="15.75" customHeight="1">
      <c r="A657" s="169"/>
      <c r="B657" s="169"/>
      <c r="C657" s="169"/>
      <c r="D657" s="169"/>
      <c r="E657" s="176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</row>
    <row r="658" ht="15.75" customHeight="1">
      <c r="A658" s="169"/>
      <c r="B658" s="169"/>
      <c r="C658" s="169"/>
      <c r="D658" s="169"/>
      <c r="E658" s="176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</row>
    <row r="659" ht="15.75" customHeight="1">
      <c r="A659" s="169"/>
      <c r="B659" s="169"/>
      <c r="C659" s="169"/>
      <c r="D659" s="169"/>
      <c r="E659" s="176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</row>
    <row r="660" ht="15.75" customHeight="1">
      <c r="A660" s="169"/>
      <c r="B660" s="169"/>
      <c r="C660" s="169"/>
      <c r="D660" s="169"/>
      <c r="E660" s="176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</row>
    <row r="661" ht="15.75" customHeight="1">
      <c r="A661" s="169"/>
      <c r="B661" s="169"/>
      <c r="C661" s="169"/>
      <c r="D661" s="169"/>
      <c r="E661" s="176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</row>
    <row r="662" ht="15.75" customHeight="1">
      <c r="A662" s="169"/>
      <c r="B662" s="169"/>
      <c r="C662" s="169"/>
      <c r="D662" s="169"/>
      <c r="E662" s="176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</row>
    <row r="663" ht="15.75" customHeight="1">
      <c r="A663" s="169"/>
      <c r="B663" s="169"/>
      <c r="C663" s="169"/>
      <c r="D663" s="169"/>
      <c r="E663" s="176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</row>
    <row r="664" ht="15.75" customHeight="1">
      <c r="A664" s="169"/>
      <c r="B664" s="169"/>
      <c r="C664" s="169"/>
      <c r="D664" s="169"/>
      <c r="E664" s="176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</row>
    <row r="665" ht="15.75" customHeight="1">
      <c r="A665" s="169"/>
      <c r="B665" s="169"/>
      <c r="C665" s="169"/>
      <c r="D665" s="169"/>
      <c r="E665" s="176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</row>
    <row r="666" ht="15.75" customHeight="1">
      <c r="A666" s="169"/>
      <c r="B666" s="169"/>
      <c r="C666" s="169"/>
      <c r="D666" s="169"/>
      <c r="E666" s="176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</row>
    <row r="667" ht="15.75" customHeight="1">
      <c r="A667" s="169"/>
      <c r="B667" s="169"/>
      <c r="C667" s="169"/>
      <c r="D667" s="169"/>
      <c r="E667" s="176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</row>
    <row r="668" ht="15.75" customHeight="1">
      <c r="A668" s="169"/>
      <c r="B668" s="169"/>
      <c r="C668" s="169"/>
      <c r="D668" s="169"/>
      <c r="E668" s="176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</row>
    <row r="669" ht="15.75" customHeight="1">
      <c r="A669" s="169"/>
      <c r="B669" s="169"/>
      <c r="C669" s="169"/>
      <c r="D669" s="169"/>
      <c r="E669" s="176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</row>
    <row r="670" ht="15.75" customHeight="1">
      <c r="A670" s="169"/>
      <c r="B670" s="169"/>
      <c r="C670" s="169"/>
      <c r="D670" s="169"/>
      <c r="E670" s="176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</row>
    <row r="671" ht="15.75" customHeight="1">
      <c r="A671" s="169"/>
      <c r="B671" s="169"/>
      <c r="C671" s="169"/>
      <c r="D671" s="169"/>
      <c r="E671" s="176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</row>
    <row r="672" ht="15.75" customHeight="1">
      <c r="A672" s="169"/>
      <c r="B672" s="169"/>
      <c r="C672" s="169"/>
      <c r="D672" s="169"/>
      <c r="E672" s="176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</row>
    <row r="673" ht="15.75" customHeight="1">
      <c r="A673" s="169"/>
      <c r="B673" s="169"/>
      <c r="C673" s="169"/>
      <c r="D673" s="169"/>
      <c r="E673" s="176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</row>
    <row r="674" ht="15.75" customHeight="1">
      <c r="A674" s="169"/>
      <c r="B674" s="169"/>
      <c r="C674" s="169"/>
      <c r="D674" s="169"/>
      <c r="E674" s="176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</row>
    <row r="675" ht="15.75" customHeight="1">
      <c r="A675" s="169"/>
      <c r="B675" s="169"/>
      <c r="C675" s="169"/>
      <c r="D675" s="169"/>
      <c r="E675" s="176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</row>
    <row r="676" ht="15.75" customHeight="1">
      <c r="A676" s="169"/>
      <c r="B676" s="169"/>
      <c r="C676" s="169"/>
      <c r="D676" s="169"/>
      <c r="E676" s="176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</row>
    <row r="677" ht="15.75" customHeight="1">
      <c r="A677" s="169"/>
      <c r="B677" s="169"/>
      <c r="C677" s="169"/>
      <c r="D677" s="169"/>
      <c r="E677" s="176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</row>
    <row r="678" ht="15.75" customHeight="1">
      <c r="A678" s="169"/>
      <c r="B678" s="169"/>
      <c r="C678" s="169"/>
      <c r="D678" s="169"/>
      <c r="E678" s="176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</row>
    <row r="679" ht="15.75" customHeight="1">
      <c r="A679" s="169"/>
      <c r="B679" s="169"/>
      <c r="C679" s="169"/>
      <c r="D679" s="169"/>
      <c r="E679" s="176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</row>
    <row r="680" ht="15.75" customHeight="1">
      <c r="A680" s="169"/>
      <c r="B680" s="169"/>
      <c r="C680" s="169"/>
      <c r="D680" s="169"/>
      <c r="E680" s="176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</row>
    <row r="681" ht="15.75" customHeight="1">
      <c r="A681" s="169"/>
      <c r="B681" s="169"/>
      <c r="C681" s="169"/>
      <c r="D681" s="169"/>
      <c r="E681" s="176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</row>
    <row r="682" ht="15.75" customHeight="1">
      <c r="A682" s="169"/>
      <c r="B682" s="169"/>
      <c r="C682" s="169"/>
      <c r="D682" s="169"/>
      <c r="E682" s="176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</row>
    <row r="683" ht="15.75" customHeight="1">
      <c r="A683" s="169"/>
      <c r="B683" s="169"/>
      <c r="C683" s="169"/>
      <c r="D683" s="169"/>
      <c r="E683" s="176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</row>
    <row r="684" ht="15.75" customHeight="1">
      <c r="A684" s="169"/>
      <c r="B684" s="169"/>
      <c r="C684" s="169"/>
      <c r="D684" s="169"/>
      <c r="E684" s="176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</row>
    <row r="685" ht="15.75" customHeight="1">
      <c r="A685" s="169"/>
      <c r="B685" s="169"/>
      <c r="C685" s="169"/>
      <c r="D685" s="169"/>
      <c r="E685" s="176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</row>
    <row r="686" ht="15.75" customHeight="1">
      <c r="A686" s="169"/>
      <c r="B686" s="169"/>
      <c r="C686" s="169"/>
      <c r="D686" s="169"/>
      <c r="E686" s="176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</row>
    <row r="687" ht="15.75" customHeight="1">
      <c r="A687" s="169"/>
      <c r="B687" s="169"/>
      <c r="C687" s="169"/>
      <c r="D687" s="169"/>
      <c r="E687" s="176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</row>
    <row r="688" ht="15.75" customHeight="1">
      <c r="A688" s="169"/>
      <c r="B688" s="169"/>
      <c r="C688" s="169"/>
      <c r="D688" s="169"/>
      <c r="E688" s="176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</row>
    <row r="689" ht="15.75" customHeight="1">
      <c r="A689" s="169"/>
      <c r="B689" s="169"/>
      <c r="C689" s="169"/>
      <c r="D689" s="169"/>
      <c r="E689" s="176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</row>
    <row r="690" ht="15.75" customHeight="1">
      <c r="A690" s="169"/>
      <c r="B690" s="169"/>
      <c r="C690" s="169"/>
      <c r="D690" s="169"/>
      <c r="E690" s="176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</row>
    <row r="691" ht="15.75" customHeight="1">
      <c r="A691" s="169"/>
      <c r="B691" s="169"/>
      <c r="C691" s="169"/>
      <c r="D691" s="169"/>
      <c r="E691" s="176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</row>
    <row r="692" ht="15.75" customHeight="1">
      <c r="A692" s="169"/>
      <c r="B692" s="169"/>
      <c r="C692" s="169"/>
      <c r="D692" s="169"/>
      <c r="E692" s="176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</row>
    <row r="693" ht="15.75" customHeight="1">
      <c r="A693" s="169"/>
      <c r="B693" s="169"/>
      <c r="C693" s="169"/>
      <c r="D693" s="169"/>
      <c r="E693" s="176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</row>
    <row r="694" ht="15.75" customHeight="1">
      <c r="A694" s="169"/>
      <c r="B694" s="169"/>
      <c r="C694" s="169"/>
      <c r="D694" s="169"/>
      <c r="E694" s="176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</row>
    <row r="695" ht="15.75" customHeight="1">
      <c r="A695" s="169"/>
      <c r="B695" s="169"/>
      <c r="C695" s="169"/>
      <c r="D695" s="169"/>
      <c r="E695" s="176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</row>
    <row r="696" ht="15.75" customHeight="1">
      <c r="A696" s="169"/>
      <c r="B696" s="169"/>
      <c r="C696" s="169"/>
      <c r="D696" s="169"/>
      <c r="E696" s="176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</row>
    <row r="697" ht="15.75" customHeight="1">
      <c r="A697" s="169"/>
      <c r="B697" s="169"/>
      <c r="C697" s="169"/>
      <c r="D697" s="169"/>
      <c r="E697" s="176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</row>
    <row r="698" ht="15.75" customHeight="1">
      <c r="A698" s="169"/>
      <c r="B698" s="169"/>
      <c r="C698" s="169"/>
      <c r="D698" s="169"/>
      <c r="E698" s="176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</row>
    <row r="699" ht="15.75" customHeight="1">
      <c r="A699" s="169"/>
      <c r="B699" s="169"/>
      <c r="C699" s="169"/>
      <c r="D699" s="169"/>
      <c r="E699" s="176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</row>
    <row r="700" ht="15.75" customHeight="1">
      <c r="A700" s="169"/>
      <c r="B700" s="169"/>
      <c r="C700" s="169"/>
      <c r="D700" s="169"/>
      <c r="E700" s="176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</row>
    <row r="701" ht="15.75" customHeight="1">
      <c r="A701" s="169"/>
      <c r="B701" s="169"/>
      <c r="C701" s="169"/>
      <c r="D701" s="169"/>
      <c r="E701" s="176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</row>
    <row r="702" ht="15.75" customHeight="1">
      <c r="A702" s="169"/>
      <c r="B702" s="169"/>
      <c r="C702" s="169"/>
      <c r="D702" s="169"/>
      <c r="E702" s="176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</row>
    <row r="703" ht="15.75" customHeight="1">
      <c r="A703" s="169"/>
      <c r="B703" s="169"/>
      <c r="C703" s="169"/>
      <c r="D703" s="169"/>
      <c r="E703" s="176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</row>
    <row r="704" ht="15.75" customHeight="1">
      <c r="A704" s="169"/>
      <c r="B704" s="169"/>
      <c r="C704" s="169"/>
      <c r="D704" s="169"/>
      <c r="E704" s="176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</row>
    <row r="705" ht="15.75" customHeight="1">
      <c r="A705" s="169"/>
      <c r="B705" s="169"/>
      <c r="C705" s="169"/>
      <c r="D705" s="169"/>
      <c r="E705" s="176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</row>
    <row r="706" ht="15.75" customHeight="1">
      <c r="A706" s="169"/>
      <c r="B706" s="169"/>
      <c r="C706" s="169"/>
      <c r="D706" s="169"/>
      <c r="E706" s="176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</row>
    <row r="707" ht="15.75" customHeight="1">
      <c r="A707" s="169"/>
      <c r="B707" s="169"/>
      <c r="C707" s="169"/>
      <c r="D707" s="169"/>
      <c r="E707" s="176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</row>
    <row r="708" ht="15.75" customHeight="1">
      <c r="A708" s="169"/>
      <c r="B708" s="169"/>
      <c r="C708" s="169"/>
      <c r="D708" s="169"/>
      <c r="E708" s="176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</row>
    <row r="709" ht="15.75" customHeight="1">
      <c r="A709" s="169"/>
      <c r="B709" s="169"/>
      <c r="C709" s="169"/>
      <c r="D709" s="169"/>
      <c r="E709" s="176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</row>
    <row r="710" ht="15.75" customHeight="1">
      <c r="A710" s="169"/>
      <c r="B710" s="169"/>
      <c r="C710" s="169"/>
      <c r="D710" s="169"/>
      <c r="E710" s="176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</row>
    <row r="711" ht="15.75" customHeight="1">
      <c r="A711" s="169"/>
      <c r="B711" s="169"/>
      <c r="C711" s="169"/>
      <c r="D711" s="169"/>
      <c r="E711" s="176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</row>
    <row r="712" ht="15.75" customHeight="1">
      <c r="A712" s="169"/>
      <c r="B712" s="169"/>
      <c r="C712" s="169"/>
      <c r="D712" s="169"/>
      <c r="E712" s="176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</row>
    <row r="713" ht="15.75" customHeight="1">
      <c r="A713" s="169"/>
      <c r="B713" s="169"/>
      <c r="C713" s="169"/>
      <c r="D713" s="169"/>
      <c r="E713" s="176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</row>
    <row r="714" ht="15.75" customHeight="1">
      <c r="A714" s="169"/>
      <c r="B714" s="169"/>
      <c r="C714" s="169"/>
      <c r="D714" s="169"/>
      <c r="E714" s="176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</row>
    <row r="715" ht="15.75" customHeight="1">
      <c r="A715" s="169"/>
      <c r="B715" s="169"/>
      <c r="C715" s="169"/>
      <c r="D715" s="169"/>
      <c r="E715" s="176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</row>
    <row r="716" ht="15.75" customHeight="1">
      <c r="A716" s="169"/>
      <c r="B716" s="169"/>
      <c r="C716" s="169"/>
      <c r="D716" s="169"/>
      <c r="E716" s="176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</row>
    <row r="717" ht="15.75" customHeight="1">
      <c r="A717" s="169"/>
      <c r="B717" s="169"/>
      <c r="C717" s="169"/>
      <c r="D717" s="169"/>
      <c r="E717" s="176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</row>
    <row r="718" ht="15.75" customHeight="1">
      <c r="A718" s="169"/>
      <c r="B718" s="169"/>
      <c r="C718" s="169"/>
      <c r="D718" s="169"/>
      <c r="E718" s="176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</row>
    <row r="719" ht="15.75" customHeight="1">
      <c r="A719" s="169"/>
      <c r="B719" s="169"/>
      <c r="C719" s="169"/>
      <c r="D719" s="169"/>
      <c r="E719" s="176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</row>
    <row r="720" ht="15.75" customHeight="1">
      <c r="A720" s="169"/>
      <c r="B720" s="169"/>
      <c r="C720" s="169"/>
      <c r="D720" s="169"/>
      <c r="E720" s="176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</row>
    <row r="721" ht="15.75" customHeight="1">
      <c r="A721" s="169"/>
      <c r="B721" s="169"/>
      <c r="C721" s="169"/>
      <c r="D721" s="169"/>
      <c r="E721" s="176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</row>
    <row r="722" ht="15.75" customHeight="1">
      <c r="A722" s="169"/>
      <c r="B722" s="169"/>
      <c r="C722" s="169"/>
      <c r="D722" s="169"/>
      <c r="E722" s="176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</row>
    <row r="723" ht="15.75" customHeight="1">
      <c r="A723" s="169"/>
      <c r="B723" s="169"/>
      <c r="C723" s="169"/>
      <c r="D723" s="169"/>
      <c r="E723" s="176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</row>
    <row r="724" ht="15.75" customHeight="1">
      <c r="A724" s="169"/>
      <c r="B724" s="169"/>
      <c r="C724" s="169"/>
      <c r="D724" s="169"/>
      <c r="E724" s="176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</row>
    <row r="725" ht="15.75" customHeight="1">
      <c r="A725" s="169"/>
      <c r="B725" s="169"/>
      <c r="C725" s="169"/>
      <c r="D725" s="169"/>
      <c r="E725" s="176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</row>
    <row r="726" ht="15.75" customHeight="1">
      <c r="A726" s="169"/>
      <c r="B726" s="169"/>
      <c r="C726" s="169"/>
      <c r="D726" s="169"/>
      <c r="E726" s="176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</row>
    <row r="727" ht="15.75" customHeight="1">
      <c r="A727" s="169"/>
      <c r="B727" s="169"/>
      <c r="C727" s="169"/>
      <c r="D727" s="169"/>
      <c r="E727" s="176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</row>
    <row r="728" ht="15.75" customHeight="1">
      <c r="A728" s="169"/>
      <c r="B728" s="169"/>
      <c r="C728" s="169"/>
      <c r="D728" s="169"/>
      <c r="E728" s="176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</row>
    <row r="729" ht="15.75" customHeight="1">
      <c r="A729" s="169"/>
      <c r="B729" s="169"/>
      <c r="C729" s="169"/>
      <c r="D729" s="169"/>
      <c r="E729" s="176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</row>
    <row r="730" ht="15.75" customHeight="1">
      <c r="A730" s="169"/>
      <c r="B730" s="169"/>
      <c r="C730" s="169"/>
      <c r="D730" s="169"/>
      <c r="E730" s="176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</row>
    <row r="731" ht="15.75" customHeight="1">
      <c r="A731" s="169"/>
      <c r="B731" s="169"/>
      <c r="C731" s="169"/>
      <c r="D731" s="169"/>
      <c r="E731" s="176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</row>
    <row r="732" ht="15.75" customHeight="1">
      <c r="A732" s="169"/>
      <c r="B732" s="169"/>
      <c r="C732" s="169"/>
      <c r="D732" s="169"/>
      <c r="E732" s="176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</row>
    <row r="733" ht="15.75" customHeight="1">
      <c r="A733" s="169"/>
      <c r="B733" s="169"/>
      <c r="C733" s="169"/>
      <c r="D733" s="169"/>
      <c r="E733" s="176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</row>
    <row r="734" ht="15.75" customHeight="1">
      <c r="A734" s="169"/>
      <c r="B734" s="169"/>
      <c r="C734" s="169"/>
      <c r="D734" s="169"/>
      <c r="E734" s="176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</row>
    <row r="735" ht="15.75" customHeight="1">
      <c r="A735" s="169"/>
      <c r="B735" s="169"/>
      <c r="C735" s="169"/>
      <c r="D735" s="169"/>
      <c r="E735" s="176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</row>
    <row r="736" ht="15.75" customHeight="1">
      <c r="A736" s="169"/>
      <c r="B736" s="169"/>
      <c r="C736" s="169"/>
      <c r="D736" s="169"/>
      <c r="E736" s="176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</row>
    <row r="737" ht="15.75" customHeight="1">
      <c r="A737" s="169"/>
      <c r="B737" s="169"/>
      <c r="C737" s="169"/>
      <c r="D737" s="169"/>
      <c r="E737" s="176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</row>
    <row r="738" ht="15.75" customHeight="1">
      <c r="A738" s="169"/>
      <c r="B738" s="169"/>
      <c r="C738" s="169"/>
      <c r="D738" s="169"/>
      <c r="E738" s="176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</row>
    <row r="739" ht="15.75" customHeight="1">
      <c r="A739" s="169"/>
      <c r="B739" s="169"/>
      <c r="C739" s="169"/>
      <c r="D739" s="169"/>
      <c r="E739" s="176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</row>
    <row r="740" ht="15.75" customHeight="1">
      <c r="A740" s="169"/>
      <c r="B740" s="169"/>
      <c r="C740" s="169"/>
      <c r="D740" s="169"/>
      <c r="E740" s="176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</row>
    <row r="741" ht="15.75" customHeight="1">
      <c r="A741" s="169"/>
      <c r="B741" s="169"/>
      <c r="C741" s="169"/>
      <c r="D741" s="169"/>
      <c r="E741" s="176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</row>
    <row r="742" ht="15.75" customHeight="1">
      <c r="A742" s="169"/>
      <c r="B742" s="169"/>
      <c r="C742" s="169"/>
      <c r="D742" s="169"/>
      <c r="E742" s="176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</row>
    <row r="743" ht="15.75" customHeight="1">
      <c r="A743" s="169"/>
      <c r="B743" s="169"/>
      <c r="C743" s="169"/>
      <c r="D743" s="169"/>
      <c r="E743" s="176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</row>
    <row r="744" ht="15.75" customHeight="1">
      <c r="A744" s="169"/>
      <c r="B744" s="169"/>
      <c r="C744" s="169"/>
      <c r="D744" s="169"/>
      <c r="E744" s="176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</row>
    <row r="745" ht="15.75" customHeight="1">
      <c r="A745" s="169"/>
      <c r="B745" s="169"/>
      <c r="C745" s="169"/>
      <c r="D745" s="169"/>
      <c r="E745" s="176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</row>
    <row r="746" ht="15.75" customHeight="1">
      <c r="A746" s="169"/>
      <c r="B746" s="169"/>
      <c r="C746" s="169"/>
      <c r="D746" s="169"/>
      <c r="E746" s="176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</row>
    <row r="747" ht="15.75" customHeight="1">
      <c r="A747" s="169"/>
      <c r="B747" s="169"/>
      <c r="C747" s="169"/>
      <c r="D747" s="169"/>
      <c r="E747" s="176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</row>
    <row r="748" ht="15.75" customHeight="1">
      <c r="A748" s="169"/>
      <c r="B748" s="169"/>
      <c r="C748" s="169"/>
      <c r="D748" s="169"/>
      <c r="E748" s="176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</row>
    <row r="749" ht="15.75" customHeight="1">
      <c r="A749" s="169"/>
      <c r="B749" s="169"/>
      <c r="C749" s="169"/>
      <c r="D749" s="169"/>
      <c r="E749" s="176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</row>
    <row r="750" ht="15.75" customHeight="1">
      <c r="A750" s="169"/>
      <c r="B750" s="169"/>
      <c r="C750" s="169"/>
      <c r="D750" s="169"/>
      <c r="E750" s="176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</row>
    <row r="751" ht="15.75" customHeight="1">
      <c r="A751" s="169"/>
      <c r="B751" s="169"/>
      <c r="C751" s="169"/>
      <c r="D751" s="169"/>
      <c r="E751" s="176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</row>
    <row r="752" ht="15.75" customHeight="1">
      <c r="A752" s="169"/>
      <c r="B752" s="169"/>
      <c r="C752" s="169"/>
      <c r="D752" s="169"/>
      <c r="E752" s="176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</row>
    <row r="753" ht="15.75" customHeight="1">
      <c r="A753" s="169"/>
      <c r="B753" s="169"/>
      <c r="C753" s="169"/>
      <c r="D753" s="169"/>
      <c r="E753" s="176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</row>
    <row r="754" ht="15.75" customHeight="1">
      <c r="A754" s="169"/>
      <c r="B754" s="169"/>
      <c r="C754" s="169"/>
      <c r="D754" s="169"/>
      <c r="E754" s="176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</row>
    <row r="755" ht="15.75" customHeight="1">
      <c r="A755" s="169"/>
      <c r="B755" s="169"/>
      <c r="C755" s="169"/>
      <c r="D755" s="169"/>
      <c r="E755" s="176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</row>
    <row r="756" ht="15.75" customHeight="1">
      <c r="A756" s="169"/>
      <c r="B756" s="169"/>
      <c r="C756" s="169"/>
      <c r="D756" s="169"/>
      <c r="E756" s="176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</row>
    <row r="757" ht="15.75" customHeight="1">
      <c r="A757" s="169"/>
      <c r="B757" s="169"/>
      <c r="C757" s="169"/>
      <c r="D757" s="169"/>
      <c r="E757" s="176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</row>
    <row r="758" ht="15.75" customHeight="1">
      <c r="A758" s="169"/>
      <c r="B758" s="169"/>
      <c r="C758" s="169"/>
      <c r="D758" s="169"/>
      <c r="E758" s="176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</row>
    <row r="759" ht="15.75" customHeight="1">
      <c r="A759" s="169"/>
      <c r="B759" s="169"/>
      <c r="C759" s="169"/>
      <c r="D759" s="169"/>
      <c r="E759" s="176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</row>
    <row r="760" ht="15.75" customHeight="1">
      <c r="A760" s="169"/>
      <c r="B760" s="169"/>
      <c r="C760" s="169"/>
      <c r="D760" s="169"/>
      <c r="E760" s="176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</row>
    <row r="761" ht="15.75" customHeight="1">
      <c r="A761" s="169"/>
      <c r="B761" s="169"/>
      <c r="C761" s="169"/>
      <c r="D761" s="169"/>
      <c r="E761" s="176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</row>
    <row r="762" ht="15.75" customHeight="1">
      <c r="A762" s="169"/>
      <c r="B762" s="169"/>
      <c r="C762" s="169"/>
      <c r="D762" s="169"/>
      <c r="E762" s="176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</row>
    <row r="763" ht="15.75" customHeight="1">
      <c r="A763" s="169"/>
      <c r="B763" s="169"/>
      <c r="C763" s="169"/>
      <c r="D763" s="169"/>
      <c r="E763" s="176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</row>
    <row r="764" ht="15.75" customHeight="1">
      <c r="A764" s="169"/>
      <c r="B764" s="169"/>
      <c r="C764" s="169"/>
      <c r="D764" s="169"/>
      <c r="E764" s="176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</row>
    <row r="765" ht="15.75" customHeight="1">
      <c r="A765" s="169"/>
      <c r="B765" s="169"/>
      <c r="C765" s="169"/>
      <c r="D765" s="169"/>
      <c r="E765" s="176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</row>
    <row r="766" ht="15.75" customHeight="1">
      <c r="A766" s="169"/>
      <c r="B766" s="169"/>
      <c r="C766" s="169"/>
      <c r="D766" s="169"/>
      <c r="E766" s="176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</row>
    <row r="767" ht="15.75" customHeight="1">
      <c r="A767" s="169"/>
      <c r="B767" s="169"/>
      <c r="C767" s="169"/>
      <c r="D767" s="169"/>
      <c r="E767" s="176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</row>
    <row r="768" ht="15.75" customHeight="1">
      <c r="A768" s="169"/>
      <c r="B768" s="169"/>
      <c r="C768" s="169"/>
      <c r="D768" s="169"/>
      <c r="E768" s="176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</row>
    <row r="769" ht="15.75" customHeight="1">
      <c r="A769" s="169"/>
      <c r="B769" s="169"/>
      <c r="C769" s="169"/>
      <c r="D769" s="169"/>
      <c r="E769" s="176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</row>
    <row r="770" ht="15.75" customHeight="1">
      <c r="A770" s="169"/>
      <c r="B770" s="169"/>
      <c r="C770" s="169"/>
      <c r="D770" s="169"/>
      <c r="E770" s="176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</row>
    <row r="771" ht="15.75" customHeight="1">
      <c r="A771" s="169"/>
      <c r="B771" s="169"/>
      <c r="C771" s="169"/>
      <c r="D771" s="169"/>
      <c r="E771" s="176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</row>
    <row r="772" ht="15.75" customHeight="1">
      <c r="A772" s="169"/>
      <c r="B772" s="169"/>
      <c r="C772" s="169"/>
      <c r="D772" s="169"/>
      <c r="E772" s="176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</row>
    <row r="773" ht="15.75" customHeight="1">
      <c r="A773" s="169"/>
      <c r="B773" s="169"/>
      <c r="C773" s="169"/>
      <c r="D773" s="169"/>
      <c r="E773" s="176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</row>
    <row r="774" ht="15.75" customHeight="1">
      <c r="A774" s="169"/>
      <c r="B774" s="169"/>
      <c r="C774" s="169"/>
      <c r="D774" s="169"/>
      <c r="E774" s="176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</row>
    <row r="775" ht="15.75" customHeight="1">
      <c r="A775" s="169"/>
      <c r="B775" s="169"/>
      <c r="C775" s="169"/>
      <c r="D775" s="169"/>
      <c r="E775" s="176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</row>
    <row r="776" ht="15.75" customHeight="1">
      <c r="A776" s="169"/>
      <c r="B776" s="169"/>
      <c r="C776" s="169"/>
      <c r="D776" s="169"/>
      <c r="E776" s="176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</row>
    <row r="777" ht="15.75" customHeight="1">
      <c r="A777" s="169"/>
      <c r="B777" s="169"/>
      <c r="C777" s="169"/>
      <c r="D777" s="169"/>
      <c r="E777" s="176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</row>
    <row r="778" ht="15.75" customHeight="1">
      <c r="A778" s="169"/>
      <c r="B778" s="169"/>
      <c r="C778" s="169"/>
      <c r="D778" s="169"/>
      <c r="E778" s="176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</row>
    <row r="779" ht="15.75" customHeight="1">
      <c r="A779" s="169"/>
      <c r="B779" s="169"/>
      <c r="C779" s="169"/>
      <c r="D779" s="169"/>
      <c r="E779" s="176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</row>
    <row r="780" ht="15.75" customHeight="1">
      <c r="A780" s="169"/>
      <c r="B780" s="169"/>
      <c r="C780" s="169"/>
      <c r="D780" s="169"/>
      <c r="E780" s="176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</row>
    <row r="781" ht="15.75" customHeight="1">
      <c r="A781" s="169"/>
      <c r="B781" s="169"/>
      <c r="C781" s="169"/>
      <c r="D781" s="169"/>
      <c r="E781" s="176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</row>
    <row r="782" ht="15.75" customHeight="1">
      <c r="A782" s="169"/>
      <c r="B782" s="169"/>
      <c r="C782" s="169"/>
      <c r="D782" s="169"/>
      <c r="E782" s="176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</row>
    <row r="783" ht="15.75" customHeight="1">
      <c r="A783" s="169"/>
      <c r="B783" s="169"/>
      <c r="C783" s="169"/>
      <c r="D783" s="169"/>
      <c r="E783" s="176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</row>
    <row r="784" ht="15.75" customHeight="1">
      <c r="A784" s="169"/>
      <c r="B784" s="169"/>
      <c r="C784" s="169"/>
      <c r="D784" s="169"/>
      <c r="E784" s="176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</row>
    <row r="785" ht="15.75" customHeight="1">
      <c r="A785" s="169"/>
      <c r="B785" s="169"/>
      <c r="C785" s="169"/>
      <c r="D785" s="169"/>
      <c r="E785" s="176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</row>
    <row r="786" ht="15.75" customHeight="1">
      <c r="A786" s="169"/>
      <c r="B786" s="169"/>
      <c r="C786" s="169"/>
      <c r="D786" s="169"/>
      <c r="E786" s="176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</row>
    <row r="787" ht="15.75" customHeight="1">
      <c r="A787" s="169"/>
      <c r="B787" s="169"/>
      <c r="C787" s="169"/>
      <c r="D787" s="169"/>
      <c r="E787" s="176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</row>
    <row r="788" ht="15.75" customHeight="1">
      <c r="A788" s="169"/>
      <c r="B788" s="169"/>
      <c r="C788" s="169"/>
      <c r="D788" s="169"/>
      <c r="E788" s="176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</row>
    <row r="789" ht="15.75" customHeight="1">
      <c r="A789" s="169"/>
      <c r="B789" s="169"/>
      <c r="C789" s="169"/>
      <c r="D789" s="169"/>
      <c r="E789" s="176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</row>
    <row r="790" ht="15.75" customHeight="1">
      <c r="A790" s="169"/>
      <c r="B790" s="169"/>
      <c r="C790" s="169"/>
      <c r="D790" s="169"/>
      <c r="E790" s="176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</row>
    <row r="791" ht="15.75" customHeight="1">
      <c r="A791" s="169"/>
      <c r="B791" s="169"/>
      <c r="C791" s="169"/>
      <c r="D791" s="169"/>
      <c r="E791" s="176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</row>
    <row r="792" ht="15.75" customHeight="1">
      <c r="A792" s="169"/>
      <c r="B792" s="169"/>
      <c r="C792" s="169"/>
      <c r="D792" s="169"/>
      <c r="E792" s="176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</row>
    <row r="793" ht="15.75" customHeight="1">
      <c r="A793" s="169"/>
      <c r="B793" s="169"/>
      <c r="C793" s="169"/>
      <c r="D793" s="169"/>
      <c r="E793" s="176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</row>
    <row r="794" ht="15.75" customHeight="1">
      <c r="A794" s="169"/>
      <c r="B794" s="169"/>
      <c r="C794" s="169"/>
      <c r="D794" s="169"/>
      <c r="E794" s="176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</row>
    <row r="795" ht="15.75" customHeight="1">
      <c r="A795" s="169"/>
      <c r="B795" s="169"/>
      <c r="C795" s="169"/>
      <c r="D795" s="169"/>
      <c r="E795" s="176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</row>
    <row r="796" ht="15.75" customHeight="1">
      <c r="A796" s="169"/>
      <c r="B796" s="169"/>
      <c r="C796" s="169"/>
      <c r="D796" s="169"/>
      <c r="E796" s="176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</row>
    <row r="797" ht="15.75" customHeight="1">
      <c r="A797" s="169"/>
      <c r="B797" s="169"/>
      <c r="C797" s="169"/>
      <c r="D797" s="169"/>
      <c r="E797" s="176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</row>
    <row r="798" ht="15.75" customHeight="1">
      <c r="A798" s="169"/>
      <c r="B798" s="169"/>
      <c r="C798" s="169"/>
      <c r="D798" s="169"/>
      <c r="E798" s="176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</row>
    <row r="799" ht="15.75" customHeight="1">
      <c r="A799" s="169"/>
      <c r="B799" s="169"/>
      <c r="C799" s="169"/>
      <c r="D799" s="169"/>
      <c r="E799" s="176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</row>
    <row r="800" ht="15.75" customHeight="1">
      <c r="A800" s="169"/>
      <c r="B800" s="169"/>
      <c r="C800" s="169"/>
      <c r="D800" s="169"/>
      <c r="E800" s="176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</row>
    <row r="801" ht="15.75" customHeight="1">
      <c r="A801" s="169"/>
      <c r="B801" s="169"/>
      <c r="C801" s="169"/>
      <c r="D801" s="169"/>
      <c r="E801" s="176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</row>
    <row r="802" ht="15.75" customHeight="1">
      <c r="A802" s="169"/>
      <c r="B802" s="169"/>
      <c r="C802" s="169"/>
      <c r="D802" s="169"/>
      <c r="E802" s="176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</row>
    <row r="803" ht="15.75" customHeight="1">
      <c r="A803" s="169"/>
      <c r="B803" s="169"/>
      <c r="C803" s="169"/>
      <c r="D803" s="169"/>
      <c r="E803" s="176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</row>
    <row r="804" ht="15.75" customHeight="1">
      <c r="A804" s="169"/>
      <c r="B804" s="169"/>
      <c r="C804" s="169"/>
      <c r="D804" s="169"/>
      <c r="E804" s="176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</row>
    <row r="805" ht="15.75" customHeight="1">
      <c r="A805" s="169"/>
      <c r="B805" s="169"/>
      <c r="C805" s="169"/>
      <c r="D805" s="169"/>
      <c r="E805" s="176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</row>
    <row r="806" ht="15.75" customHeight="1">
      <c r="A806" s="169"/>
      <c r="B806" s="169"/>
      <c r="C806" s="169"/>
      <c r="D806" s="169"/>
      <c r="E806" s="176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</row>
    <row r="807" ht="15.75" customHeight="1">
      <c r="A807" s="169"/>
      <c r="B807" s="169"/>
      <c r="C807" s="169"/>
      <c r="D807" s="169"/>
      <c r="E807" s="176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</row>
    <row r="808" ht="15.75" customHeight="1">
      <c r="A808" s="169"/>
      <c r="B808" s="169"/>
      <c r="C808" s="169"/>
      <c r="D808" s="169"/>
      <c r="E808" s="176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</row>
    <row r="809" ht="15.75" customHeight="1">
      <c r="A809" s="169"/>
      <c r="B809" s="169"/>
      <c r="C809" s="169"/>
      <c r="D809" s="169"/>
      <c r="E809" s="176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</row>
    <row r="810" ht="15.75" customHeight="1">
      <c r="A810" s="169"/>
      <c r="B810" s="169"/>
      <c r="C810" s="169"/>
      <c r="D810" s="169"/>
      <c r="E810" s="176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</row>
    <row r="811" ht="15.75" customHeight="1">
      <c r="A811" s="169"/>
      <c r="B811" s="169"/>
      <c r="C811" s="169"/>
      <c r="D811" s="169"/>
      <c r="E811" s="176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</row>
    <row r="812" ht="15.75" customHeight="1">
      <c r="A812" s="169"/>
      <c r="B812" s="169"/>
      <c r="C812" s="169"/>
      <c r="D812" s="169"/>
      <c r="E812" s="176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</row>
    <row r="813" ht="15.75" customHeight="1">
      <c r="A813" s="169"/>
      <c r="B813" s="169"/>
      <c r="C813" s="169"/>
      <c r="D813" s="169"/>
      <c r="E813" s="176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</row>
    <row r="814" ht="15.75" customHeight="1">
      <c r="A814" s="169"/>
      <c r="B814" s="169"/>
      <c r="C814" s="169"/>
      <c r="D814" s="169"/>
      <c r="E814" s="176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</row>
    <row r="815" ht="15.75" customHeight="1">
      <c r="A815" s="169"/>
      <c r="B815" s="169"/>
      <c r="C815" s="169"/>
      <c r="D815" s="169"/>
      <c r="E815" s="176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</row>
    <row r="816" ht="15.75" customHeight="1">
      <c r="A816" s="169"/>
      <c r="B816" s="169"/>
      <c r="C816" s="169"/>
      <c r="D816" s="169"/>
      <c r="E816" s="176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</row>
    <row r="817" ht="15.75" customHeight="1">
      <c r="A817" s="169"/>
      <c r="B817" s="169"/>
      <c r="C817" s="169"/>
      <c r="D817" s="169"/>
      <c r="E817" s="176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</row>
    <row r="818" ht="15.75" customHeight="1">
      <c r="A818" s="169"/>
      <c r="B818" s="169"/>
      <c r="C818" s="169"/>
      <c r="D818" s="169"/>
      <c r="E818" s="176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</row>
    <row r="819" ht="15.75" customHeight="1">
      <c r="A819" s="169"/>
      <c r="B819" s="169"/>
      <c r="C819" s="169"/>
      <c r="D819" s="169"/>
      <c r="E819" s="176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</row>
    <row r="820" ht="15.75" customHeight="1">
      <c r="A820" s="169"/>
      <c r="B820" s="169"/>
      <c r="C820" s="169"/>
      <c r="D820" s="169"/>
      <c r="E820" s="176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</row>
    <row r="821" ht="15.75" customHeight="1">
      <c r="A821" s="169"/>
      <c r="B821" s="169"/>
      <c r="C821" s="169"/>
      <c r="D821" s="169"/>
      <c r="E821" s="176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</row>
    <row r="822" ht="15.75" customHeight="1">
      <c r="A822" s="169"/>
      <c r="B822" s="169"/>
      <c r="C822" s="169"/>
      <c r="D822" s="169"/>
      <c r="E822" s="176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</row>
    <row r="823" ht="15.75" customHeight="1">
      <c r="A823" s="169"/>
      <c r="B823" s="169"/>
      <c r="C823" s="169"/>
      <c r="D823" s="169"/>
      <c r="E823" s="176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</row>
    <row r="824" ht="15.75" customHeight="1">
      <c r="A824" s="169"/>
      <c r="B824" s="169"/>
      <c r="C824" s="169"/>
      <c r="D824" s="169"/>
      <c r="E824" s="176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</row>
    <row r="825" ht="15.75" customHeight="1">
      <c r="A825" s="169"/>
      <c r="B825" s="169"/>
      <c r="C825" s="169"/>
      <c r="D825" s="169"/>
      <c r="E825" s="176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</row>
    <row r="826" ht="15.75" customHeight="1">
      <c r="A826" s="169"/>
      <c r="B826" s="169"/>
      <c r="C826" s="169"/>
      <c r="D826" s="169"/>
      <c r="E826" s="176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</row>
    <row r="827" ht="15.75" customHeight="1">
      <c r="A827" s="169"/>
      <c r="B827" s="169"/>
      <c r="C827" s="169"/>
      <c r="D827" s="169"/>
      <c r="E827" s="176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</row>
    <row r="828" ht="15.75" customHeight="1">
      <c r="A828" s="169"/>
      <c r="B828" s="169"/>
      <c r="C828" s="169"/>
      <c r="D828" s="169"/>
      <c r="E828" s="176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</row>
    <row r="829" ht="15.75" customHeight="1">
      <c r="A829" s="169"/>
      <c r="B829" s="169"/>
      <c r="C829" s="169"/>
      <c r="D829" s="169"/>
      <c r="E829" s="176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</row>
    <row r="830" ht="15.75" customHeight="1">
      <c r="A830" s="169"/>
      <c r="B830" s="169"/>
      <c r="C830" s="169"/>
      <c r="D830" s="169"/>
      <c r="E830" s="176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</row>
    <row r="831" ht="15.75" customHeight="1">
      <c r="A831" s="169"/>
      <c r="B831" s="169"/>
      <c r="C831" s="169"/>
      <c r="D831" s="169"/>
      <c r="E831" s="176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</row>
    <row r="832" ht="15.75" customHeight="1">
      <c r="A832" s="169"/>
      <c r="B832" s="169"/>
      <c r="C832" s="169"/>
      <c r="D832" s="169"/>
      <c r="E832" s="176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</row>
    <row r="833" ht="15.75" customHeight="1">
      <c r="A833" s="169"/>
      <c r="B833" s="169"/>
      <c r="C833" s="169"/>
      <c r="D833" s="169"/>
      <c r="E833" s="176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</row>
    <row r="834" ht="15.75" customHeight="1">
      <c r="A834" s="169"/>
      <c r="B834" s="169"/>
      <c r="C834" s="169"/>
      <c r="D834" s="169"/>
      <c r="E834" s="176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</row>
    <row r="835" ht="15.75" customHeight="1">
      <c r="A835" s="169"/>
      <c r="B835" s="169"/>
      <c r="C835" s="169"/>
      <c r="D835" s="169"/>
      <c r="E835" s="176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</row>
    <row r="836" ht="15.75" customHeight="1">
      <c r="A836" s="169"/>
      <c r="B836" s="169"/>
      <c r="C836" s="169"/>
      <c r="D836" s="169"/>
      <c r="E836" s="176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</row>
    <row r="837" ht="15.75" customHeight="1">
      <c r="A837" s="169"/>
      <c r="B837" s="169"/>
      <c r="C837" s="169"/>
      <c r="D837" s="169"/>
      <c r="E837" s="176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</row>
    <row r="838" ht="15.75" customHeight="1">
      <c r="A838" s="169"/>
      <c r="B838" s="169"/>
      <c r="C838" s="169"/>
      <c r="D838" s="169"/>
      <c r="E838" s="176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</row>
    <row r="839" ht="15.75" customHeight="1">
      <c r="A839" s="169"/>
      <c r="B839" s="169"/>
      <c r="C839" s="169"/>
      <c r="D839" s="169"/>
      <c r="E839" s="176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</row>
    <row r="840" ht="15.75" customHeight="1">
      <c r="A840" s="169"/>
      <c r="B840" s="169"/>
      <c r="C840" s="169"/>
      <c r="D840" s="169"/>
      <c r="E840" s="176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</row>
    <row r="841" ht="15.75" customHeight="1">
      <c r="A841" s="169"/>
      <c r="B841" s="169"/>
      <c r="C841" s="169"/>
      <c r="D841" s="169"/>
      <c r="E841" s="176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</row>
    <row r="842" ht="15.75" customHeight="1">
      <c r="A842" s="169"/>
      <c r="B842" s="169"/>
      <c r="C842" s="169"/>
      <c r="D842" s="169"/>
      <c r="E842" s="176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</row>
    <row r="843" ht="15.75" customHeight="1">
      <c r="A843" s="169"/>
      <c r="B843" s="169"/>
      <c r="C843" s="169"/>
      <c r="D843" s="169"/>
      <c r="E843" s="176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</row>
    <row r="844" ht="15.75" customHeight="1">
      <c r="A844" s="169"/>
      <c r="B844" s="169"/>
      <c r="C844" s="169"/>
      <c r="D844" s="169"/>
      <c r="E844" s="176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</row>
    <row r="845" ht="15.75" customHeight="1">
      <c r="A845" s="169"/>
      <c r="B845" s="169"/>
      <c r="C845" s="169"/>
      <c r="D845" s="169"/>
      <c r="E845" s="176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</row>
    <row r="846" ht="15.75" customHeight="1">
      <c r="A846" s="169"/>
      <c r="B846" s="169"/>
      <c r="C846" s="169"/>
      <c r="D846" s="169"/>
      <c r="E846" s="176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</row>
    <row r="847" ht="15.75" customHeight="1">
      <c r="A847" s="169"/>
      <c r="B847" s="169"/>
      <c r="C847" s="169"/>
      <c r="D847" s="169"/>
      <c r="E847" s="176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</row>
    <row r="848" ht="15.75" customHeight="1">
      <c r="A848" s="169"/>
      <c r="B848" s="169"/>
      <c r="C848" s="169"/>
      <c r="D848" s="169"/>
      <c r="E848" s="176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</row>
    <row r="849" ht="15.75" customHeight="1">
      <c r="A849" s="169"/>
      <c r="B849" s="169"/>
      <c r="C849" s="169"/>
      <c r="D849" s="169"/>
      <c r="E849" s="176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</row>
    <row r="850" ht="15.75" customHeight="1">
      <c r="A850" s="169"/>
      <c r="B850" s="169"/>
      <c r="C850" s="169"/>
      <c r="D850" s="169"/>
      <c r="E850" s="176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</row>
    <row r="851" ht="15.75" customHeight="1">
      <c r="A851" s="169"/>
      <c r="B851" s="169"/>
      <c r="C851" s="169"/>
      <c r="D851" s="169"/>
      <c r="E851" s="176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</row>
    <row r="852" ht="15.75" customHeight="1">
      <c r="A852" s="169"/>
      <c r="B852" s="169"/>
      <c r="C852" s="169"/>
      <c r="D852" s="169"/>
      <c r="E852" s="176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</row>
    <row r="853" ht="15.75" customHeight="1">
      <c r="A853" s="169"/>
      <c r="B853" s="169"/>
      <c r="C853" s="169"/>
      <c r="D853" s="169"/>
      <c r="E853" s="176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</row>
    <row r="854" ht="15.75" customHeight="1">
      <c r="A854" s="169"/>
      <c r="B854" s="169"/>
      <c r="C854" s="169"/>
      <c r="D854" s="169"/>
      <c r="E854" s="176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</row>
    <row r="855" ht="15.75" customHeight="1">
      <c r="A855" s="169"/>
      <c r="B855" s="169"/>
      <c r="C855" s="169"/>
      <c r="D855" s="169"/>
      <c r="E855" s="176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</row>
    <row r="856" ht="15.75" customHeight="1">
      <c r="A856" s="169"/>
      <c r="B856" s="169"/>
      <c r="C856" s="169"/>
      <c r="D856" s="169"/>
      <c r="E856" s="176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</row>
    <row r="857" ht="15.75" customHeight="1">
      <c r="A857" s="169"/>
      <c r="B857" s="169"/>
      <c r="C857" s="169"/>
      <c r="D857" s="169"/>
      <c r="E857" s="176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</row>
    <row r="858" ht="15.75" customHeight="1">
      <c r="A858" s="169"/>
      <c r="B858" s="169"/>
      <c r="C858" s="169"/>
      <c r="D858" s="169"/>
      <c r="E858" s="176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</row>
    <row r="859" ht="15.75" customHeight="1">
      <c r="A859" s="169"/>
      <c r="B859" s="169"/>
      <c r="C859" s="169"/>
      <c r="D859" s="169"/>
      <c r="E859" s="176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</row>
    <row r="860" ht="15.75" customHeight="1">
      <c r="A860" s="169"/>
      <c r="B860" s="169"/>
      <c r="C860" s="169"/>
      <c r="D860" s="169"/>
      <c r="E860" s="176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</row>
    <row r="861" ht="15.75" customHeight="1">
      <c r="A861" s="169"/>
      <c r="B861" s="169"/>
      <c r="C861" s="169"/>
      <c r="D861" s="169"/>
      <c r="E861" s="176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</row>
    <row r="862" ht="15.75" customHeight="1">
      <c r="A862" s="169"/>
      <c r="B862" s="169"/>
      <c r="C862" s="169"/>
      <c r="D862" s="169"/>
      <c r="E862" s="176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</row>
    <row r="863" ht="15.75" customHeight="1">
      <c r="A863" s="169"/>
      <c r="B863" s="169"/>
      <c r="C863" s="169"/>
      <c r="D863" s="169"/>
      <c r="E863" s="176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</row>
    <row r="864" ht="15.75" customHeight="1">
      <c r="A864" s="169"/>
      <c r="B864" s="169"/>
      <c r="C864" s="169"/>
      <c r="D864" s="169"/>
      <c r="E864" s="176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</row>
    <row r="865" ht="15.75" customHeight="1">
      <c r="A865" s="169"/>
      <c r="B865" s="169"/>
      <c r="C865" s="169"/>
      <c r="D865" s="169"/>
      <c r="E865" s="176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</row>
    <row r="866" ht="15.75" customHeight="1">
      <c r="A866" s="169"/>
      <c r="B866" s="169"/>
      <c r="C866" s="169"/>
      <c r="D866" s="169"/>
      <c r="E866" s="176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</row>
    <row r="867" ht="15.75" customHeight="1">
      <c r="A867" s="169"/>
      <c r="B867" s="169"/>
      <c r="C867" s="169"/>
      <c r="D867" s="169"/>
      <c r="E867" s="176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</row>
    <row r="868" ht="15.75" customHeight="1">
      <c r="A868" s="169"/>
      <c r="B868" s="169"/>
      <c r="C868" s="169"/>
      <c r="D868" s="169"/>
      <c r="E868" s="176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</row>
    <row r="869" ht="15.75" customHeight="1">
      <c r="A869" s="169"/>
      <c r="B869" s="169"/>
      <c r="C869" s="169"/>
      <c r="D869" s="169"/>
      <c r="E869" s="176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</row>
    <row r="870" ht="15.75" customHeight="1">
      <c r="A870" s="169"/>
      <c r="B870" s="169"/>
      <c r="C870" s="169"/>
      <c r="D870" s="169"/>
      <c r="E870" s="176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</row>
    <row r="871" ht="15.75" customHeight="1">
      <c r="A871" s="169"/>
      <c r="B871" s="169"/>
      <c r="C871" s="169"/>
      <c r="D871" s="169"/>
      <c r="E871" s="176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</row>
    <row r="872" ht="15.75" customHeight="1">
      <c r="A872" s="169"/>
      <c r="B872" s="169"/>
      <c r="C872" s="169"/>
      <c r="D872" s="169"/>
      <c r="E872" s="176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</row>
    <row r="873" ht="15.75" customHeight="1">
      <c r="A873" s="169"/>
      <c r="B873" s="169"/>
      <c r="C873" s="169"/>
      <c r="D873" s="169"/>
      <c r="E873" s="176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</row>
    <row r="874" ht="15.75" customHeight="1">
      <c r="A874" s="169"/>
      <c r="B874" s="169"/>
      <c r="C874" s="169"/>
      <c r="D874" s="169"/>
      <c r="E874" s="176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</row>
    <row r="875" ht="15.75" customHeight="1">
      <c r="A875" s="169"/>
      <c r="B875" s="169"/>
      <c r="C875" s="169"/>
      <c r="D875" s="169"/>
      <c r="E875" s="176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</row>
    <row r="876" ht="15.75" customHeight="1">
      <c r="A876" s="169"/>
      <c r="B876" s="169"/>
      <c r="C876" s="169"/>
      <c r="D876" s="169"/>
      <c r="E876" s="176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</row>
    <row r="877" ht="15.75" customHeight="1">
      <c r="A877" s="169"/>
      <c r="B877" s="169"/>
      <c r="C877" s="169"/>
      <c r="D877" s="169"/>
      <c r="E877" s="176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</row>
    <row r="878" ht="15.75" customHeight="1">
      <c r="A878" s="169"/>
      <c r="B878" s="169"/>
      <c r="C878" s="169"/>
      <c r="D878" s="169"/>
      <c r="E878" s="176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</row>
    <row r="879" ht="15.75" customHeight="1">
      <c r="A879" s="169"/>
      <c r="B879" s="169"/>
      <c r="C879" s="169"/>
      <c r="D879" s="169"/>
      <c r="E879" s="176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</row>
    <row r="880" ht="15.75" customHeight="1">
      <c r="A880" s="169"/>
      <c r="B880" s="169"/>
      <c r="C880" s="169"/>
      <c r="D880" s="169"/>
      <c r="E880" s="176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</row>
    <row r="881" ht="15.75" customHeight="1">
      <c r="A881" s="169"/>
      <c r="B881" s="169"/>
      <c r="C881" s="169"/>
      <c r="D881" s="169"/>
      <c r="E881" s="176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</row>
    <row r="882" ht="15.75" customHeight="1">
      <c r="A882" s="169"/>
      <c r="B882" s="169"/>
      <c r="C882" s="169"/>
      <c r="D882" s="169"/>
      <c r="E882" s="176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</row>
    <row r="883" ht="15.75" customHeight="1">
      <c r="A883" s="169"/>
      <c r="B883" s="169"/>
      <c r="C883" s="169"/>
      <c r="D883" s="169"/>
      <c r="E883" s="176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</row>
    <row r="884" ht="15.75" customHeight="1">
      <c r="A884" s="169"/>
      <c r="B884" s="169"/>
      <c r="C884" s="169"/>
      <c r="D884" s="169"/>
      <c r="E884" s="176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</row>
    <row r="885" ht="15.75" customHeight="1">
      <c r="A885" s="169"/>
      <c r="B885" s="169"/>
      <c r="C885" s="169"/>
      <c r="D885" s="169"/>
      <c r="E885" s="176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</row>
    <row r="886" ht="15.75" customHeight="1">
      <c r="A886" s="169"/>
      <c r="B886" s="169"/>
      <c r="C886" s="169"/>
      <c r="D886" s="169"/>
      <c r="E886" s="176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</row>
    <row r="887" ht="15.75" customHeight="1">
      <c r="A887" s="169"/>
      <c r="B887" s="169"/>
      <c r="C887" s="169"/>
      <c r="D887" s="169"/>
      <c r="E887" s="176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</row>
    <row r="888" ht="15.75" customHeight="1">
      <c r="A888" s="169"/>
      <c r="B888" s="169"/>
      <c r="C888" s="169"/>
      <c r="D888" s="169"/>
      <c r="E888" s="176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</row>
    <row r="889" ht="15.75" customHeight="1">
      <c r="A889" s="169"/>
      <c r="B889" s="169"/>
      <c r="C889" s="169"/>
      <c r="D889" s="169"/>
      <c r="E889" s="176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</row>
    <row r="890" ht="15.75" customHeight="1">
      <c r="A890" s="169"/>
      <c r="B890" s="169"/>
      <c r="C890" s="169"/>
      <c r="D890" s="169"/>
      <c r="E890" s="176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</row>
    <row r="891" ht="15.75" customHeight="1">
      <c r="A891" s="169"/>
      <c r="B891" s="169"/>
      <c r="C891" s="169"/>
      <c r="D891" s="169"/>
      <c r="E891" s="176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</row>
    <row r="892" ht="15.75" customHeight="1">
      <c r="A892" s="169"/>
      <c r="B892" s="169"/>
      <c r="C892" s="169"/>
      <c r="D892" s="169"/>
      <c r="E892" s="176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</row>
    <row r="893" ht="15.75" customHeight="1">
      <c r="A893" s="169"/>
      <c r="B893" s="169"/>
      <c r="C893" s="169"/>
      <c r="D893" s="169"/>
      <c r="E893" s="176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</row>
    <row r="894" ht="15.75" customHeight="1">
      <c r="A894" s="169"/>
      <c r="B894" s="169"/>
      <c r="C894" s="169"/>
      <c r="D894" s="169"/>
      <c r="E894" s="176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</row>
    <row r="895" ht="15.75" customHeight="1">
      <c r="A895" s="169"/>
      <c r="B895" s="169"/>
      <c r="C895" s="169"/>
      <c r="D895" s="169"/>
      <c r="E895" s="176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</row>
    <row r="896" ht="15.75" customHeight="1">
      <c r="A896" s="169"/>
      <c r="B896" s="169"/>
      <c r="C896" s="169"/>
      <c r="D896" s="169"/>
      <c r="E896" s="176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</row>
    <row r="897" ht="15.75" customHeight="1">
      <c r="A897" s="169"/>
      <c r="B897" s="169"/>
      <c r="C897" s="169"/>
      <c r="D897" s="169"/>
      <c r="E897" s="176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</row>
    <row r="898" ht="15.75" customHeight="1">
      <c r="A898" s="169"/>
      <c r="B898" s="169"/>
      <c r="C898" s="169"/>
      <c r="D898" s="169"/>
      <c r="E898" s="176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</row>
    <row r="899" ht="15.75" customHeight="1">
      <c r="A899" s="169"/>
      <c r="B899" s="169"/>
      <c r="C899" s="169"/>
      <c r="D899" s="169"/>
      <c r="E899" s="176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</row>
    <row r="900" ht="15.75" customHeight="1">
      <c r="A900" s="169"/>
      <c r="B900" s="169"/>
      <c r="C900" s="169"/>
      <c r="D900" s="169"/>
      <c r="E900" s="176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</row>
    <row r="901" ht="15.75" customHeight="1">
      <c r="A901" s="169"/>
      <c r="B901" s="169"/>
      <c r="C901" s="169"/>
      <c r="D901" s="169"/>
      <c r="E901" s="176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</row>
    <row r="902" ht="15.75" customHeight="1">
      <c r="A902" s="169"/>
      <c r="B902" s="169"/>
      <c r="C902" s="169"/>
      <c r="D902" s="169"/>
      <c r="E902" s="176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</row>
    <row r="903" ht="15.75" customHeight="1">
      <c r="A903" s="169"/>
      <c r="B903" s="169"/>
      <c r="C903" s="169"/>
      <c r="D903" s="169"/>
      <c r="E903" s="176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</row>
    <row r="904" ht="15.75" customHeight="1">
      <c r="A904" s="169"/>
      <c r="B904" s="169"/>
      <c r="C904" s="169"/>
      <c r="D904" s="169"/>
      <c r="E904" s="176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</row>
    <row r="905" ht="15.75" customHeight="1">
      <c r="A905" s="169"/>
      <c r="B905" s="169"/>
      <c r="C905" s="169"/>
      <c r="D905" s="169"/>
      <c r="E905" s="176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</row>
    <row r="906" ht="15.75" customHeight="1">
      <c r="A906" s="169"/>
      <c r="B906" s="169"/>
      <c r="C906" s="169"/>
      <c r="D906" s="169"/>
      <c r="E906" s="176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</row>
    <row r="907" ht="15.75" customHeight="1">
      <c r="A907" s="169"/>
      <c r="B907" s="169"/>
      <c r="C907" s="169"/>
      <c r="D907" s="169"/>
      <c r="E907" s="176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</row>
    <row r="908" ht="15.75" customHeight="1">
      <c r="A908" s="169"/>
      <c r="B908" s="169"/>
      <c r="C908" s="169"/>
      <c r="D908" s="169"/>
      <c r="E908" s="176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</row>
    <row r="909" ht="15.75" customHeight="1">
      <c r="A909" s="169"/>
      <c r="B909" s="169"/>
      <c r="C909" s="169"/>
      <c r="D909" s="169"/>
      <c r="E909" s="176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</row>
    <row r="910" ht="15.75" customHeight="1">
      <c r="A910" s="169"/>
      <c r="B910" s="169"/>
      <c r="C910" s="169"/>
      <c r="D910" s="169"/>
      <c r="E910" s="176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</row>
    <row r="911" ht="15.75" customHeight="1">
      <c r="A911" s="169"/>
      <c r="B911" s="169"/>
      <c r="C911" s="169"/>
      <c r="D911" s="169"/>
      <c r="E911" s="176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</row>
    <row r="912" ht="15.75" customHeight="1">
      <c r="A912" s="169"/>
      <c r="B912" s="169"/>
      <c r="C912" s="169"/>
      <c r="D912" s="169"/>
      <c r="E912" s="176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</row>
    <row r="913" ht="15.75" customHeight="1">
      <c r="A913" s="169"/>
      <c r="B913" s="169"/>
      <c r="C913" s="169"/>
      <c r="D913" s="169"/>
      <c r="E913" s="176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</row>
    <row r="914" ht="15.75" customHeight="1">
      <c r="A914" s="169"/>
      <c r="B914" s="169"/>
      <c r="C914" s="169"/>
      <c r="D914" s="169"/>
      <c r="E914" s="176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</row>
    <row r="915" ht="15.75" customHeight="1">
      <c r="A915" s="169"/>
      <c r="B915" s="169"/>
      <c r="C915" s="169"/>
      <c r="D915" s="169"/>
      <c r="E915" s="176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</row>
    <row r="916" ht="15.75" customHeight="1">
      <c r="A916" s="169"/>
      <c r="B916" s="169"/>
      <c r="C916" s="169"/>
      <c r="D916" s="169"/>
      <c r="E916" s="176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</row>
    <row r="917" ht="15.75" customHeight="1">
      <c r="A917" s="169"/>
      <c r="B917" s="169"/>
      <c r="C917" s="169"/>
      <c r="D917" s="169"/>
      <c r="E917" s="176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</row>
    <row r="918" ht="15.75" customHeight="1">
      <c r="A918" s="169"/>
      <c r="B918" s="169"/>
      <c r="C918" s="169"/>
      <c r="D918" s="169"/>
      <c r="E918" s="176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</row>
    <row r="919" ht="15.75" customHeight="1">
      <c r="A919" s="169"/>
      <c r="B919" s="169"/>
      <c r="C919" s="169"/>
      <c r="D919" s="169"/>
      <c r="E919" s="176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</row>
    <row r="920" ht="15.75" customHeight="1">
      <c r="A920" s="169"/>
      <c r="B920" s="169"/>
      <c r="C920" s="169"/>
      <c r="D920" s="169"/>
      <c r="E920" s="176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</row>
    <row r="921" ht="15.75" customHeight="1">
      <c r="A921" s="169"/>
      <c r="B921" s="169"/>
      <c r="C921" s="169"/>
      <c r="D921" s="169"/>
      <c r="E921" s="176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</row>
    <row r="922" ht="15.75" customHeight="1">
      <c r="A922" s="169"/>
      <c r="B922" s="169"/>
      <c r="C922" s="169"/>
      <c r="D922" s="169"/>
      <c r="E922" s="176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</row>
    <row r="923" ht="15.75" customHeight="1">
      <c r="A923" s="169"/>
      <c r="B923" s="169"/>
      <c r="C923" s="169"/>
      <c r="D923" s="169"/>
      <c r="E923" s="176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</row>
    <row r="924" ht="15.75" customHeight="1">
      <c r="A924" s="169"/>
      <c r="B924" s="169"/>
      <c r="C924" s="169"/>
      <c r="D924" s="169"/>
      <c r="E924" s="176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</row>
    <row r="925" ht="15.75" customHeight="1">
      <c r="A925" s="169"/>
      <c r="B925" s="169"/>
      <c r="C925" s="169"/>
      <c r="D925" s="169"/>
      <c r="E925" s="176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</row>
    <row r="926" ht="15.75" customHeight="1">
      <c r="A926" s="169"/>
      <c r="B926" s="169"/>
      <c r="C926" s="169"/>
      <c r="D926" s="169"/>
      <c r="E926" s="176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</row>
    <row r="927" ht="15.75" customHeight="1">
      <c r="A927" s="169"/>
      <c r="B927" s="169"/>
      <c r="C927" s="169"/>
      <c r="D927" s="169"/>
      <c r="E927" s="176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</row>
    <row r="928" ht="15.75" customHeight="1">
      <c r="A928" s="169"/>
      <c r="B928" s="169"/>
      <c r="C928" s="169"/>
      <c r="D928" s="169"/>
      <c r="E928" s="176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</row>
    <row r="929" ht="15.75" customHeight="1">
      <c r="A929" s="169"/>
      <c r="B929" s="169"/>
      <c r="C929" s="169"/>
      <c r="D929" s="169"/>
      <c r="E929" s="176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</row>
    <row r="930" ht="15.75" customHeight="1">
      <c r="A930" s="169"/>
      <c r="B930" s="169"/>
      <c r="C930" s="169"/>
      <c r="D930" s="169"/>
      <c r="E930" s="176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</row>
    <row r="931" ht="15.75" customHeight="1">
      <c r="A931" s="169"/>
      <c r="B931" s="169"/>
      <c r="C931" s="169"/>
      <c r="D931" s="169"/>
      <c r="E931" s="176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</row>
    <row r="932" ht="15.75" customHeight="1">
      <c r="A932" s="169"/>
      <c r="B932" s="169"/>
      <c r="C932" s="169"/>
      <c r="D932" s="169"/>
      <c r="E932" s="176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</row>
    <row r="933" ht="15.75" customHeight="1">
      <c r="A933" s="169"/>
      <c r="B933" s="169"/>
      <c r="C933" s="169"/>
      <c r="D933" s="169"/>
      <c r="E933" s="176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</row>
    <row r="934" ht="15.75" customHeight="1">
      <c r="A934" s="169"/>
      <c r="B934" s="169"/>
      <c r="C934" s="169"/>
      <c r="D934" s="169"/>
      <c r="E934" s="176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</row>
    <row r="935" ht="15.75" customHeight="1">
      <c r="A935" s="169"/>
      <c r="B935" s="169"/>
      <c r="C935" s="169"/>
      <c r="D935" s="169"/>
      <c r="E935" s="176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</row>
    <row r="936" ht="15.75" customHeight="1">
      <c r="A936" s="169"/>
      <c r="B936" s="169"/>
      <c r="C936" s="169"/>
      <c r="D936" s="169"/>
      <c r="E936" s="176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</row>
    <row r="937" ht="15.75" customHeight="1">
      <c r="A937" s="169"/>
      <c r="B937" s="169"/>
      <c r="C937" s="169"/>
      <c r="D937" s="169"/>
      <c r="E937" s="176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</row>
    <row r="938" ht="15.75" customHeight="1">
      <c r="A938" s="169"/>
      <c r="B938" s="169"/>
      <c r="C938" s="169"/>
      <c r="D938" s="169"/>
      <c r="E938" s="176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</row>
    <row r="939" ht="15.75" customHeight="1">
      <c r="A939" s="169"/>
      <c r="B939" s="169"/>
      <c r="C939" s="169"/>
      <c r="D939" s="169"/>
      <c r="E939" s="176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</row>
    <row r="940" ht="15.75" customHeight="1">
      <c r="A940" s="169"/>
      <c r="B940" s="169"/>
      <c r="C940" s="169"/>
      <c r="D940" s="169"/>
      <c r="E940" s="176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</row>
    <row r="941" ht="15.75" customHeight="1">
      <c r="A941" s="169"/>
      <c r="B941" s="169"/>
      <c r="C941" s="169"/>
      <c r="D941" s="169"/>
      <c r="E941" s="176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</row>
    <row r="942" ht="15.75" customHeight="1">
      <c r="A942" s="169"/>
      <c r="B942" s="169"/>
      <c r="C942" s="169"/>
      <c r="D942" s="169"/>
      <c r="E942" s="176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</row>
    <row r="943" ht="15.75" customHeight="1">
      <c r="A943" s="169"/>
      <c r="B943" s="169"/>
      <c r="C943" s="169"/>
      <c r="D943" s="169"/>
      <c r="E943" s="176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</row>
    <row r="944" ht="15.75" customHeight="1">
      <c r="A944" s="169"/>
      <c r="B944" s="169"/>
      <c r="C944" s="169"/>
      <c r="D944" s="169"/>
      <c r="E944" s="176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</row>
    <row r="945" ht="15.75" customHeight="1">
      <c r="A945" s="169"/>
      <c r="B945" s="169"/>
      <c r="C945" s="169"/>
      <c r="D945" s="169"/>
      <c r="E945" s="176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</row>
    <row r="946" ht="15.75" customHeight="1">
      <c r="A946" s="169"/>
      <c r="B946" s="169"/>
      <c r="C946" s="169"/>
      <c r="D946" s="169"/>
      <c r="E946" s="176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</row>
    <row r="947" ht="15.75" customHeight="1">
      <c r="A947" s="169"/>
      <c r="B947" s="169"/>
      <c r="C947" s="169"/>
      <c r="D947" s="169"/>
      <c r="E947" s="176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</row>
    <row r="948" ht="15.75" customHeight="1">
      <c r="A948" s="169"/>
      <c r="B948" s="169"/>
      <c r="C948" s="169"/>
      <c r="D948" s="169"/>
      <c r="E948" s="176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</row>
    <row r="949" ht="15.75" customHeight="1">
      <c r="A949" s="169"/>
      <c r="B949" s="169"/>
      <c r="C949" s="169"/>
      <c r="D949" s="169"/>
      <c r="E949" s="176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</row>
    <row r="950" ht="15.75" customHeight="1">
      <c r="A950" s="169"/>
      <c r="B950" s="169"/>
      <c r="C950" s="169"/>
      <c r="D950" s="169"/>
      <c r="E950" s="176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</row>
    <row r="951" ht="15.75" customHeight="1">
      <c r="A951" s="169"/>
      <c r="B951" s="169"/>
      <c r="C951" s="169"/>
      <c r="D951" s="169"/>
      <c r="E951" s="176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</row>
    <row r="952" ht="15.75" customHeight="1">
      <c r="A952" s="169"/>
      <c r="B952" s="169"/>
      <c r="C952" s="169"/>
      <c r="D952" s="169"/>
      <c r="E952" s="176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</row>
    <row r="953" ht="15.75" customHeight="1">
      <c r="A953" s="169"/>
      <c r="B953" s="169"/>
      <c r="C953" s="169"/>
      <c r="D953" s="169"/>
      <c r="E953" s="176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</row>
    <row r="954" ht="15.75" customHeight="1">
      <c r="A954" s="169"/>
      <c r="B954" s="169"/>
      <c r="C954" s="169"/>
      <c r="D954" s="169"/>
      <c r="E954" s="176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</row>
    <row r="955" ht="15.75" customHeight="1">
      <c r="A955" s="169"/>
      <c r="B955" s="169"/>
      <c r="C955" s="169"/>
      <c r="D955" s="169"/>
      <c r="E955" s="176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</row>
    <row r="956" ht="15.75" customHeight="1">
      <c r="A956" s="169"/>
      <c r="B956" s="169"/>
      <c r="C956" s="169"/>
      <c r="D956" s="169"/>
      <c r="E956" s="176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</row>
    <row r="957" ht="15.75" customHeight="1">
      <c r="A957" s="169"/>
      <c r="B957" s="169"/>
      <c r="C957" s="169"/>
      <c r="D957" s="169"/>
      <c r="E957" s="176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</row>
    <row r="958" ht="15.75" customHeight="1">
      <c r="A958" s="169"/>
      <c r="B958" s="169"/>
      <c r="C958" s="169"/>
      <c r="D958" s="169"/>
      <c r="E958" s="176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</row>
    <row r="959" ht="15.75" customHeight="1">
      <c r="A959" s="169"/>
      <c r="B959" s="169"/>
      <c r="C959" s="169"/>
      <c r="D959" s="169"/>
      <c r="E959" s="176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</row>
    <row r="960" ht="15.75" customHeight="1">
      <c r="A960" s="169"/>
      <c r="B960" s="169"/>
      <c r="C960" s="169"/>
      <c r="D960" s="169"/>
      <c r="E960" s="176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</row>
    <row r="961" ht="15.75" customHeight="1">
      <c r="A961" s="169"/>
      <c r="B961" s="169"/>
      <c r="C961" s="169"/>
      <c r="D961" s="169"/>
      <c r="E961" s="176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</row>
    <row r="962" ht="15.75" customHeight="1">
      <c r="A962" s="169"/>
      <c r="B962" s="169"/>
      <c r="C962" s="169"/>
      <c r="D962" s="169"/>
      <c r="E962" s="176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</row>
    <row r="963" ht="15.75" customHeight="1">
      <c r="A963" s="169"/>
      <c r="B963" s="169"/>
      <c r="C963" s="169"/>
      <c r="D963" s="169"/>
      <c r="E963" s="176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</row>
    <row r="964" ht="15.75" customHeight="1">
      <c r="A964" s="169"/>
      <c r="B964" s="169"/>
      <c r="C964" s="169"/>
      <c r="D964" s="169"/>
      <c r="E964" s="176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</row>
    <row r="965" ht="15.75" customHeight="1">
      <c r="A965" s="169"/>
      <c r="B965" s="169"/>
      <c r="C965" s="169"/>
      <c r="D965" s="169"/>
      <c r="E965" s="176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</row>
    <row r="966" ht="15.75" customHeight="1">
      <c r="A966" s="169"/>
      <c r="B966" s="169"/>
      <c r="C966" s="169"/>
      <c r="D966" s="169"/>
      <c r="E966" s="176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</row>
    <row r="967" ht="15.75" customHeight="1">
      <c r="A967" s="169"/>
      <c r="B967" s="169"/>
      <c r="C967" s="169"/>
      <c r="D967" s="169"/>
      <c r="E967" s="176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</row>
    <row r="968" ht="15.75" customHeight="1">
      <c r="A968" s="169"/>
      <c r="B968" s="169"/>
      <c r="C968" s="169"/>
      <c r="D968" s="169"/>
      <c r="E968" s="176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</row>
    <row r="969" ht="15.75" customHeight="1">
      <c r="A969" s="169"/>
      <c r="B969" s="169"/>
      <c r="C969" s="169"/>
      <c r="D969" s="169"/>
      <c r="E969" s="176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</row>
    <row r="970" ht="15.75" customHeight="1">
      <c r="A970" s="169"/>
      <c r="B970" s="169"/>
      <c r="C970" s="169"/>
      <c r="D970" s="169"/>
      <c r="E970" s="176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</row>
    <row r="971" ht="15.75" customHeight="1">
      <c r="A971" s="169"/>
      <c r="B971" s="169"/>
      <c r="C971" s="169"/>
      <c r="D971" s="169"/>
      <c r="E971" s="176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</row>
    <row r="972" ht="15.75" customHeight="1">
      <c r="A972" s="169"/>
      <c r="B972" s="169"/>
      <c r="C972" s="169"/>
      <c r="D972" s="169"/>
      <c r="E972" s="176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</row>
    <row r="973" ht="15.75" customHeight="1">
      <c r="A973" s="169"/>
      <c r="B973" s="169"/>
      <c r="C973" s="169"/>
      <c r="D973" s="169"/>
      <c r="E973" s="176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</row>
    <row r="974" ht="15.75" customHeight="1">
      <c r="A974" s="169"/>
      <c r="B974" s="169"/>
      <c r="C974" s="169"/>
      <c r="D974" s="169"/>
      <c r="E974" s="176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</row>
    <row r="975" ht="15.75" customHeight="1">
      <c r="A975" s="169"/>
      <c r="B975" s="169"/>
      <c r="C975" s="169"/>
      <c r="D975" s="169"/>
      <c r="E975" s="176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</row>
    <row r="976" ht="15.75" customHeight="1">
      <c r="A976" s="169"/>
      <c r="B976" s="169"/>
      <c r="C976" s="169"/>
      <c r="D976" s="169"/>
      <c r="E976" s="176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</row>
    <row r="977" ht="15.75" customHeight="1">
      <c r="A977" s="169"/>
      <c r="B977" s="169"/>
      <c r="C977" s="169"/>
      <c r="D977" s="169"/>
      <c r="E977" s="176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</row>
    <row r="978" ht="15.75" customHeight="1">
      <c r="A978" s="169"/>
      <c r="B978" s="169"/>
      <c r="C978" s="169"/>
      <c r="D978" s="169"/>
      <c r="E978" s="176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</row>
    <row r="979" ht="15.75" customHeight="1">
      <c r="A979" s="169"/>
      <c r="B979" s="169"/>
      <c r="C979" s="169"/>
      <c r="D979" s="169"/>
      <c r="E979" s="176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</row>
    <row r="980" ht="15.75" customHeight="1">
      <c r="A980" s="169"/>
      <c r="B980" s="169"/>
      <c r="C980" s="169"/>
      <c r="D980" s="169"/>
      <c r="E980" s="176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</row>
    <row r="981" ht="15.75" customHeight="1">
      <c r="A981" s="169"/>
      <c r="B981" s="169"/>
      <c r="C981" s="169"/>
      <c r="D981" s="169"/>
      <c r="E981" s="176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</row>
    <row r="982" ht="15.75" customHeight="1">
      <c r="A982" s="169"/>
      <c r="B982" s="169"/>
      <c r="C982" s="169"/>
      <c r="D982" s="169"/>
      <c r="E982" s="176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</row>
    <row r="983" ht="15.75" customHeight="1">
      <c r="A983" s="169"/>
      <c r="B983" s="169"/>
      <c r="C983" s="169"/>
      <c r="D983" s="169"/>
      <c r="E983" s="176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</row>
    <row r="984" ht="15.75" customHeight="1">
      <c r="A984" s="169"/>
      <c r="B984" s="169"/>
      <c r="C984" s="169"/>
      <c r="D984" s="169"/>
      <c r="E984" s="176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</row>
    <row r="985" ht="15.75" customHeight="1">
      <c r="A985" s="169"/>
      <c r="B985" s="169"/>
      <c r="C985" s="169"/>
      <c r="D985" s="169"/>
      <c r="E985" s="176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</row>
    <row r="986" ht="15.75" customHeight="1">
      <c r="A986" s="169"/>
      <c r="B986" s="169"/>
      <c r="C986" s="169"/>
      <c r="D986" s="169"/>
      <c r="E986" s="176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</row>
    <row r="987" ht="15.75" customHeight="1">
      <c r="A987" s="169"/>
      <c r="B987" s="169"/>
      <c r="C987" s="169"/>
      <c r="D987" s="169"/>
      <c r="E987" s="176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</row>
    <row r="988" ht="15.75" customHeight="1">
      <c r="A988" s="169"/>
      <c r="B988" s="169"/>
      <c r="C988" s="169"/>
      <c r="D988" s="169"/>
      <c r="E988" s="176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</row>
  </sheetData>
  <mergeCells count="22">
    <mergeCell ref="G7:H8"/>
    <mergeCell ref="I8:J8"/>
    <mergeCell ref="K8:L8"/>
    <mergeCell ref="M8:N8"/>
    <mergeCell ref="C9:C10"/>
    <mergeCell ref="D9:D10"/>
    <mergeCell ref="E9:F9"/>
    <mergeCell ref="G9:H9"/>
    <mergeCell ref="I9:I10"/>
    <mergeCell ref="J9:J10"/>
    <mergeCell ref="K9:K10"/>
    <mergeCell ref="L9:L10"/>
    <mergeCell ref="M9:M10"/>
    <mergeCell ref="N9:N10"/>
    <mergeCell ref="O23:O27"/>
    <mergeCell ref="J2:L4"/>
    <mergeCell ref="A7:A10"/>
    <mergeCell ref="B7:B10"/>
    <mergeCell ref="C7:D8"/>
    <mergeCell ref="E7:F8"/>
    <mergeCell ref="I7:N7"/>
    <mergeCell ref="O7:O10"/>
  </mergeCells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57.57"/>
    <col customWidth="1" min="2" max="2" width="21.86"/>
    <col customWidth="1" min="3" max="3" width="20.14"/>
    <col customWidth="1" min="4" max="4" width="25.57"/>
    <col customWidth="1" min="5" max="5" width="22.14"/>
    <col customWidth="1" min="6" max="6" width="27.29"/>
    <col customWidth="1" min="7" max="7" width="33.29"/>
    <col customWidth="1" min="8" max="8" width="30.71"/>
    <col customWidth="1" min="9" max="13" width="38.43"/>
  </cols>
  <sheetData>
    <row r="1">
      <c r="A1" s="177" t="s">
        <v>0</v>
      </c>
      <c r="B1" s="178"/>
      <c r="C1" s="179"/>
      <c r="D1" s="179"/>
      <c r="E1" s="3"/>
      <c r="F1" s="3"/>
      <c r="G1" s="85"/>
      <c r="H1" s="85"/>
      <c r="I1" s="85"/>
      <c r="J1" s="85"/>
      <c r="K1" s="86"/>
      <c r="L1" s="85"/>
      <c r="M1" s="85"/>
    </row>
    <row r="2">
      <c r="A2" s="6" t="s">
        <v>1</v>
      </c>
      <c r="B2" s="180"/>
      <c r="C2" s="180"/>
      <c r="D2" s="180"/>
      <c r="E2" s="3"/>
      <c r="F2" s="3"/>
      <c r="G2" s="87"/>
      <c r="H2" s="181"/>
      <c r="K2" s="86"/>
      <c r="L2" s="87"/>
      <c r="M2" s="87"/>
    </row>
    <row r="3">
      <c r="A3" s="1" t="s">
        <v>148</v>
      </c>
      <c r="B3" s="178"/>
      <c r="C3" s="179"/>
      <c r="D3" s="179"/>
      <c r="E3" s="3"/>
      <c r="F3" s="3"/>
      <c r="G3" s="87"/>
      <c r="K3" s="87"/>
      <c r="L3" s="87"/>
      <c r="M3" s="87"/>
    </row>
    <row r="4">
      <c r="A4" s="1" t="s">
        <v>149</v>
      </c>
      <c r="B4" s="178"/>
      <c r="C4" s="179"/>
      <c r="D4" s="179"/>
      <c r="E4" s="3"/>
      <c r="F4" s="3"/>
      <c r="G4" s="87"/>
      <c r="K4" s="87"/>
      <c r="L4" s="87"/>
      <c r="M4" s="87"/>
    </row>
    <row r="5">
      <c r="A5" s="1" t="s">
        <v>4</v>
      </c>
      <c r="B5" s="178"/>
      <c r="C5" s="179"/>
      <c r="D5" s="179"/>
      <c r="E5" s="3"/>
      <c r="F5" s="3"/>
      <c r="G5" s="87"/>
      <c r="H5" s="85"/>
      <c r="I5" s="87"/>
      <c r="J5" s="87"/>
      <c r="K5" s="87"/>
      <c r="L5" s="87"/>
      <c r="M5" s="87"/>
    </row>
    <row r="6" ht="32.25" customHeight="1">
      <c r="A6" s="182"/>
      <c r="B6" s="182"/>
      <c r="C6" s="183"/>
      <c r="D6" s="183"/>
      <c r="E6" s="10"/>
      <c r="F6" s="10"/>
      <c r="G6" s="87"/>
      <c r="H6" s="85"/>
      <c r="I6" s="87"/>
      <c r="J6" s="87"/>
      <c r="K6" s="87"/>
      <c r="L6" s="87"/>
      <c r="M6" s="87"/>
    </row>
    <row r="7" ht="21.75" customHeight="1">
      <c r="A7" s="184" t="s">
        <v>5</v>
      </c>
      <c r="B7" s="184" t="s">
        <v>6</v>
      </c>
      <c r="C7" s="185" t="s">
        <v>7</v>
      </c>
      <c r="D7" s="14"/>
      <c r="E7" s="94" t="s">
        <v>8</v>
      </c>
      <c r="F7" s="14"/>
      <c r="G7" s="95" t="s">
        <v>9</v>
      </c>
      <c r="H7" s="17"/>
      <c r="I7" s="17"/>
      <c r="J7" s="17"/>
      <c r="K7" s="17"/>
      <c r="L7" s="18"/>
      <c r="M7" s="96" t="s">
        <v>150</v>
      </c>
    </row>
    <row r="8" ht="22.5" customHeight="1">
      <c r="A8" s="20"/>
      <c r="B8" s="20"/>
      <c r="C8" s="21"/>
      <c r="D8" s="22"/>
      <c r="E8" s="21"/>
      <c r="F8" s="22"/>
      <c r="G8" s="95" t="s">
        <v>11</v>
      </c>
      <c r="H8" s="18"/>
      <c r="I8" s="95" t="s">
        <v>12</v>
      </c>
      <c r="J8" s="18"/>
      <c r="K8" s="95" t="s">
        <v>13</v>
      </c>
      <c r="L8" s="18"/>
      <c r="M8" s="20"/>
    </row>
    <row r="9" ht="23.25" customHeight="1">
      <c r="A9" s="20"/>
      <c r="B9" s="20"/>
      <c r="C9" s="186" t="s">
        <v>14</v>
      </c>
      <c r="D9" s="187" t="s">
        <v>15</v>
      </c>
      <c r="E9" s="94" t="s">
        <v>16</v>
      </c>
      <c r="F9" s="14"/>
      <c r="G9" s="100" t="s">
        <v>17</v>
      </c>
      <c r="H9" s="96" t="s">
        <v>18</v>
      </c>
      <c r="I9" s="100" t="s">
        <v>17</v>
      </c>
      <c r="J9" s="101" t="s">
        <v>18</v>
      </c>
      <c r="K9" s="100" t="s">
        <v>17</v>
      </c>
      <c r="L9" s="101" t="s">
        <v>18</v>
      </c>
      <c r="M9" s="20"/>
    </row>
    <row r="10" ht="64.5" customHeight="1">
      <c r="A10" s="28"/>
      <c r="B10" s="28"/>
      <c r="C10" s="28"/>
      <c r="D10" s="28"/>
      <c r="E10" s="104" t="s">
        <v>17</v>
      </c>
      <c r="F10" s="105" t="s">
        <v>18</v>
      </c>
      <c r="G10" s="28"/>
      <c r="H10" s="28"/>
      <c r="I10" s="28"/>
      <c r="J10" s="28"/>
      <c r="K10" s="28"/>
      <c r="L10" s="28"/>
      <c r="M10" s="28"/>
    </row>
    <row r="11">
      <c r="A11" s="188" t="s">
        <v>151</v>
      </c>
      <c r="B11" s="189"/>
      <c r="C11" s="190"/>
      <c r="D11" s="190">
        <f>D12+D633</f>
        <v>3100.09</v>
      </c>
      <c r="E11" s="190"/>
      <c r="F11" s="190"/>
      <c r="G11" s="191"/>
      <c r="H11" s="192"/>
      <c r="I11" s="191"/>
      <c r="J11" s="191"/>
      <c r="K11" s="191"/>
      <c r="L11" s="193"/>
      <c r="M11" s="193"/>
    </row>
    <row r="12">
      <c r="A12" s="194" t="s">
        <v>152</v>
      </c>
      <c r="B12" s="195"/>
      <c r="C12" s="190"/>
      <c r="D12" s="190">
        <f>D13+D471</f>
        <v>3100.09</v>
      </c>
      <c r="E12" s="190"/>
      <c r="F12" s="190">
        <f>F13+F471</f>
        <v>300</v>
      </c>
      <c r="G12" s="191"/>
      <c r="H12" s="196">
        <f>H13</f>
        <v>1862.65455</v>
      </c>
      <c r="I12" s="191"/>
      <c r="J12" s="191"/>
      <c r="K12" s="191"/>
      <c r="L12" s="196">
        <f>L13</f>
        <v>1862.65455</v>
      </c>
      <c r="M12" s="193"/>
    </row>
    <row r="13">
      <c r="A13" s="194" t="s">
        <v>153</v>
      </c>
      <c r="B13" s="195"/>
      <c r="C13" s="190"/>
      <c r="D13" s="190">
        <f>SUM(D19:D470)</f>
        <v>2300.09</v>
      </c>
      <c r="E13" s="190"/>
      <c r="F13" s="190">
        <f>SUM(F19:F470)</f>
        <v>300</v>
      </c>
      <c r="G13" s="191"/>
      <c r="H13" s="196">
        <f>sum(H16:H441)</f>
        <v>1862.65455</v>
      </c>
      <c r="I13" s="191"/>
      <c r="J13" s="191"/>
      <c r="K13" s="191"/>
      <c r="L13" s="196">
        <f>sum(L16:L441)</f>
        <v>1862.65455</v>
      </c>
      <c r="M13" s="193"/>
    </row>
    <row r="14">
      <c r="A14" s="197" t="s">
        <v>154</v>
      </c>
      <c r="B14" s="195"/>
      <c r="C14" s="198"/>
      <c r="D14" s="199"/>
      <c r="E14" s="198"/>
      <c r="F14" s="195"/>
      <c r="G14" s="191"/>
      <c r="H14" s="192"/>
      <c r="I14" s="191"/>
      <c r="J14" s="191"/>
      <c r="K14" s="191"/>
      <c r="L14" s="192"/>
      <c r="M14" s="193"/>
    </row>
    <row r="15">
      <c r="A15" s="197" t="s">
        <v>155</v>
      </c>
      <c r="B15" s="195"/>
      <c r="C15" s="198"/>
      <c r="D15" s="199"/>
      <c r="E15" s="198"/>
      <c r="F15" s="195"/>
      <c r="G15" s="191"/>
      <c r="H15" s="192"/>
      <c r="I15" s="191"/>
      <c r="J15" s="191"/>
      <c r="K15" s="191"/>
      <c r="L15" s="192"/>
      <c r="M15" s="193"/>
    </row>
    <row r="16" ht="73.5" customHeight="1">
      <c r="A16" s="197" t="s">
        <v>156</v>
      </c>
      <c r="B16" s="195"/>
      <c r="C16" s="198"/>
      <c r="D16" s="199"/>
      <c r="E16" s="198"/>
      <c r="F16" s="195"/>
      <c r="G16" s="191"/>
      <c r="H16" s="192"/>
      <c r="I16" s="191"/>
      <c r="J16" s="191"/>
      <c r="K16" s="191"/>
      <c r="L16" s="192"/>
      <c r="M16" s="193"/>
    </row>
    <row r="17">
      <c r="A17" s="197" t="s">
        <v>157</v>
      </c>
      <c r="B17" s="195"/>
      <c r="C17" s="200"/>
      <c r="D17" s="199"/>
      <c r="E17" s="198"/>
      <c r="F17" s="195"/>
      <c r="G17" s="191"/>
      <c r="H17" s="192"/>
      <c r="I17" s="191"/>
      <c r="J17" s="191"/>
      <c r="K17" s="191"/>
      <c r="L17" s="192"/>
      <c r="M17" s="193"/>
    </row>
    <row r="18" ht="64.5" customHeight="1">
      <c r="A18" s="197" t="s">
        <v>158</v>
      </c>
      <c r="B18" s="195"/>
      <c r="C18" s="198"/>
      <c r="D18" s="199"/>
      <c r="E18" s="198"/>
      <c r="F18" s="195"/>
      <c r="G18" s="191"/>
      <c r="H18" s="192"/>
      <c r="I18" s="191"/>
      <c r="J18" s="191"/>
      <c r="K18" s="191"/>
      <c r="L18" s="192"/>
      <c r="M18" s="193"/>
    </row>
    <row r="19">
      <c r="A19" s="197" t="s">
        <v>159</v>
      </c>
      <c r="B19" s="195" t="s">
        <v>160</v>
      </c>
      <c r="C19" s="198"/>
      <c r="D19" s="199"/>
      <c r="E19" s="198"/>
      <c r="F19" s="195"/>
      <c r="G19" s="191"/>
      <c r="H19" s="192"/>
      <c r="I19" s="191"/>
      <c r="J19" s="191"/>
      <c r="K19" s="191"/>
      <c r="L19" s="192"/>
      <c r="M19" s="193"/>
    </row>
    <row r="20" ht="27.75" hidden="1" customHeight="1">
      <c r="A20" s="197" t="s">
        <v>161</v>
      </c>
      <c r="B20" s="195"/>
      <c r="C20" s="198"/>
      <c r="D20" s="199"/>
      <c r="E20" s="198"/>
      <c r="F20" s="195"/>
      <c r="G20" s="191"/>
      <c r="H20" s="192"/>
      <c r="I20" s="191"/>
      <c r="J20" s="191"/>
      <c r="K20" s="191"/>
      <c r="L20" s="192"/>
      <c r="M20" s="193"/>
    </row>
    <row r="21" ht="27.75" hidden="1" customHeight="1">
      <c r="A21" s="201" t="s">
        <v>162</v>
      </c>
      <c r="B21" s="195"/>
      <c r="C21" s="198"/>
      <c r="D21" s="199"/>
      <c r="E21" s="198"/>
      <c r="F21" s="195"/>
      <c r="G21" s="191"/>
      <c r="H21" s="192"/>
      <c r="I21" s="191"/>
      <c r="J21" s="191"/>
      <c r="K21" s="191"/>
      <c r="L21" s="192"/>
      <c r="M21" s="193"/>
    </row>
    <row r="22" ht="27.75" hidden="1" customHeight="1">
      <c r="A22" s="201" t="s">
        <v>163</v>
      </c>
      <c r="B22" s="202"/>
      <c r="C22" s="200"/>
      <c r="D22" s="199"/>
      <c r="E22" s="198"/>
      <c r="F22" s="195"/>
      <c r="G22" s="191"/>
      <c r="H22" s="192"/>
      <c r="I22" s="191"/>
      <c r="J22" s="191"/>
      <c r="K22" s="191"/>
      <c r="L22" s="192"/>
      <c r="M22" s="193"/>
    </row>
    <row r="23" ht="27.75" hidden="1" customHeight="1">
      <c r="A23" s="201" t="s">
        <v>164</v>
      </c>
      <c r="B23" s="195"/>
      <c r="C23" s="198"/>
      <c r="D23" s="199"/>
      <c r="E23" s="198"/>
      <c r="F23" s="195"/>
      <c r="G23" s="191"/>
      <c r="H23" s="192"/>
      <c r="I23" s="191"/>
      <c r="J23" s="191"/>
      <c r="K23" s="191"/>
      <c r="L23" s="192"/>
      <c r="M23" s="193"/>
    </row>
    <row r="24" ht="27.75" hidden="1" customHeight="1">
      <c r="A24" s="201" t="s">
        <v>165</v>
      </c>
      <c r="B24" s="195"/>
      <c r="C24" s="198"/>
      <c r="D24" s="199"/>
      <c r="E24" s="198"/>
      <c r="F24" s="195"/>
      <c r="G24" s="191"/>
      <c r="H24" s="192"/>
      <c r="I24" s="191"/>
      <c r="J24" s="191"/>
      <c r="K24" s="191"/>
      <c r="L24" s="192"/>
      <c r="M24" s="193"/>
    </row>
    <row r="25" ht="27.75" customHeight="1">
      <c r="A25" s="194" t="s">
        <v>166</v>
      </c>
      <c r="B25" s="195"/>
      <c r="C25" s="198"/>
      <c r="D25" s="199"/>
      <c r="E25" s="198"/>
      <c r="F25" s="195"/>
      <c r="G25" s="191"/>
      <c r="H25" s="192"/>
      <c r="I25" s="191"/>
      <c r="J25" s="191"/>
      <c r="K25" s="191"/>
      <c r="L25" s="192"/>
      <c r="M25" s="193"/>
    </row>
    <row r="26" ht="27.75" customHeight="1">
      <c r="A26" s="203" t="s">
        <v>162</v>
      </c>
      <c r="B26" s="195"/>
      <c r="C26" s="198"/>
      <c r="D26" s="199"/>
      <c r="E26" s="198"/>
      <c r="F26" s="195"/>
      <c r="G26" s="191"/>
      <c r="H26" s="192"/>
      <c r="I26" s="191"/>
      <c r="J26" s="191"/>
      <c r="K26" s="191"/>
      <c r="L26" s="192"/>
      <c r="M26" s="193"/>
    </row>
    <row r="27" ht="27.75" customHeight="1">
      <c r="A27" s="203" t="s">
        <v>163</v>
      </c>
      <c r="B27" s="195"/>
      <c r="C27" s="198"/>
      <c r="D27" s="199"/>
      <c r="E27" s="198"/>
      <c r="F27" s="195"/>
      <c r="G27" s="191">
        <f>200*20</f>
        <v>4000</v>
      </c>
      <c r="H27" s="192">
        <f>G27*0.25</f>
        <v>1000</v>
      </c>
      <c r="I27" s="191"/>
      <c r="J27" s="191"/>
      <c r="K27" s="191">
        <f>200*20</f>
        <v>4000</v>
      </c>
      <c r="L27" s="192">
        <f>K27*0.25</f>
        <v>1000</v>
      </c>
      <c r="M27" s="193"/>
    </row>
    <row r="28" ht="27.75" customHeight="1">
      <c r="A28" s="203" t="s">
        <v>164</v>
      </c>
      <c r="B28" s="195"/>
      <c r="C28" s="198"/>
      <c r="D28" s="199"/>
      <c r="E28" s="198"/>
      <c r="F28" s="195"/>
      <c r="G28" s="191">
        <f>G27</f>
        <v>4000</v>
      </c>
      <c r="H28" s="192"/>
      <c r="I28" s="191"/>
      <c r="J28" s="191"/>
      <c r="K28" s="191">
        <f>K27</f>
        <v>4000</v>
      </c>
      <c r="L28" s="192"/>
      <c r="M28" s="193"/>
    </row>
    <row r="29" ht="27.75" customHeight="1">
      <c r="A29" s="203" t="s">
        <v>165</v>
      </c>
      <c r="B29" s="195"/>
      <c r="C29" s="198"/>
      <c r="D29" s="199"/>
      <c r="E29" s="198"/>
      <c r="F29" s="195"/>
      <c r="G29" s="191">
        <f>G28/20</f>
        <v>200</v>
      </c>
      <c r="H29" s="192"/>
      <c r="I29" s="191"/>
      <c r="J29" s="191"/>
      <c r="K29" s="191">
        <f>K28/20</f>
        <v>200</v>
      </c>
      <c r="L29" s="192"/>
      <c r="M29" s="193"/>
    </row>
    <row r="30" ht="27.75" hidden="1" customHeight="1">
      <c r="A30" s="194" t="s">
        <v>167</v>
      </c>
      <c r="B30" s="195"/>
      <c r="C30" s="198"/>
      <c r="D30" s="199"/>
      <c r="E30" s="198"/>
      <c r="F30" s="195"/>
      <c r="G30" s="191"/>
      <c r="H30" s="192"/>
      <c r="I30" s="191"/>
      <c r="J30" s="191"/>
      <c r="K30" s="191"/>
      <c r="L30" s="192"/>
      <c r="M30" s="193"/>
    </row>
    <row r="31" ht="27.75" hidden="1" customHeight="1">
      <c r="A31" s="203" t="s">
        <v>162</v>
      </c>
      <c r="B31" s="195"/>
      <c r="C31" s="198"/>
      <c r="D31" s="199"/>
      <c r="E31" s="198"/>
      <c r="F31" s="195"/>
      <c r="G31" s="191"/>
      <c r="H31" s="192"/>
      <c r="I31" s="191"/>
      <c r="J31" s="191"/>
      <c r="K31" s="191"/>
      <c r="L31" s="192"/>
      <c r="M31" s="193"/>
    </row>
    <row r="32" ht="27.75" hidden="1" customHeight="1">
      <c r="A32" s="203" t="s">
        <v>163</v>
      </c>
      <c r="B32" s="195"/>
      <c r="C32" s="198"/>
      <c r="D32" s="199"/>
      <c r="E32" s="198"/>
      <c r="F32" s="195"/>
      <c r="G32" s="191"/>
      <c r="H32" s="192"/>
      <c r="I32" s="191"/>
      <c r="J32" s="191"/>
      <c r="K32" s="191"/>
      <c r="L32" s="192"/>
      <c r="M32" s="193"/>
    </row>
    <row r="33" ht="27.75" hidden="1" customHeight="1">
      <c r="A33" s="203" t="s">
        <v>164</v>
      </c>
      <c r="B33" s="195"/>
      <c r="C33" s="198"/>
      <c r="D33" s="199"/>
      <c r="E33" s="198"/>
      <c r="F33" s="195"/>
      <c r="G33" s="191"/>
      <c r="H33" s="192"/>
      <c r="I33" s="191"/>
      <c r="J33" s="191"/>
      <c r="K33" s="191"/>
      <c r="L33" s="192"/>
      <c r="M33" s="193"/>
    </row>
    <row r="34" ht="27.75" hidden="1" customHeight="1">
      <c r="A34" s="203" t="s">
        <v>165</v>
      </c>
      <c r="B34" s="195"/>
      <c r="C34" s="198"/>
      <c r="D34" s="199"/>
      <c r="E34" s="198"/>
      <c r="F34" s="195"/>
      <c r="G34" s="191"/>
      <c r="H34" s="192"/>
      <c r="I34" s="191"/>
      <c r="J34" s="191"/>
      <c r="K34" s="191"/>
      <c r="L34" s="192"/>
      <c r="M34" s="193"/>
    </row>
    <row r="35" ht="27.75" hidden="1" customHeight="1">
      <c r="A35" s="194" t="s">
        <v>168</v>
      </c>
      <c r="B35" s="195"/>
      <c r="C35" s="198"/>
      <c r="D35" s="199"/>
      <c r="E35" s="198"/>
      <c r="F35" s="195"/>
      <c r="G35" s="191"/>
      <c r="H35" s="192"/>
      <c r="I35" s="191"/>
      <c r="J35" s="191"/>
      <c r="K35" s="191"/>
      <c r="L35" s="192"/>
      <c r="M35" s="193"/>
    </row>
    <row r="36" ht="27.75" hidden="1" customHeight="1">
      <c r="A36" s="203" t="s">
        <v>162</v>
      </c>
      <c r="B36" s="195"/>
      <c r="C36" s="198"/>
      <c r="D36" s="199"/>
      <c r="E36" s="198"/>
      <c r="F36" s="195"/>
      <c r="G36" s="191"/>
      <c r="H36" s="192"/>
      <c r="I36" s="191"/>
      <c r="J36" s="191"/>
      <c r="K36" s="191"/>
      <c r="L36" s="192"/>
      <c r="M36" s="193"/>
    </row>
    <row r="37" ht="27.75" hidden="1" customHeight="1">
      <c r="A37" s="203" t="s">
        <v>163</v>
      </c>
      <c r="B37" s="195"/>
      <c r="C37" s="198"/>
      <c r="D37" s="199"/>
      <c r="E37" s="198"/>
      <c r="F37" s="195"/>
      <c r="G37" s="191"/>
      <c r="H37" s="192"/>
      <c r="I37" s="191"/>
      <c r="J37" s="191"/>
      <c r="K37" s="191"/>
      <c r="L37" s="192"/>
      <c r="M37" s="193"/>
    </row>
    <row r="38" ht="27.75" hidden="1" customHeight="1">
      <c r="A38" s="203" t="s">
        <v>164</v>
      </c>
      <c r="B38" s="195"/>
      <c r="C38" s="198"/>
      <c r="D38" s="199"/>
      <c r="E38" s="198"/>
      <c r="F38" s="195"/>
      <c r="G38" s="191"/>
      <c r="H38" s="192"/>
      <c r="I38" s="191"/>
      <c r="J38" s="191"/>
      <c r="K38" s="191"/>
      <c r="L38" s="192"/>
      <c r="M38" s="193"/>
    </row>
    <row r="39" ht="27.75" hidden="1" customHeight="1">
      <c r="A39" s="203" t="s">
        <v>165</v>
      </c>
      <c r="B39" s="195"/>
      <c r="C39" s="198"/>
      <c r="D39" s="199"/>
      <c r="E39" s="198"/>
      <c r="F39" s="195"/>
      <c r="G39" s="191"/>
      <c r="H39" s="192"/>
      <c r="I39" s="191"/>
      <c r="J39" s="191"/>
      <c r="K39" s="191"/>
      <c r="L39" s="192"/>
      <c r="M39" s="193"/>
    </row>
    <row r="40" ht="27.75" hidden="1" customHeight="1">
      <c r="A40" s="194" t="s">
        <v>169</v>
      </c>
      <c r="B40" s="195"/>
      <c r="C40" s="198"/>
      <c r="D40" s="199"/>
      <c r="E40" s="198"/>
      <c r="F40" s="195"/>
      <c r="G40" s="191"/>
      <c r="H40" s="192"/>
      <c r="I40" s="191"/>
      <c r="J40" s="191"/>
      <c r="K40" s="191"/>
      <c r="L40" s="192"/>
      <c r="M40" s="193"/>
    </row>
    <row r="41" ht="27.75" hidden="1" customHeight="1">
      <c r="A41" s="203" t="s">
        <v>162</v>
      </c>
      <c r="B41" s="195"/>
      <c r="C41" s="198"/>
      <c r="D41" s="199"/>
      <c r="E41" s="198"/>
      <c r="F41" s="195"/>
      <c r="G41" s="191"/>
      <c r="H41" s="192"/>
      <c r="I41" s="191"/>
      <c r="J41" s="191"/>
      <c r="K41" s="191"/>
      <c r="L41" s="192"/>
      <c r="M41" s="193"/>
    </row>
    <row r="42" ht="27.75" hidden="1" customHeight="1">
      <c r="A42" s="203" t="s">
        <v>163</v>
      </c>
      <c r="B42" s="195"/>
      <c r="C42" s="198"/>
      <c r="D42" s="199"/>
      <c r="E42" s="198"/>
      <c r="F42" s="195"/>
      <c r="G42" s="191"/>
      <c r="H42" s="192"/>
      <c r="I42" s="191"/>
      <c r="J42" s="191"/>
      <c r="K42" s="191"/>
      <c r="L42" s="192"/>
      <c r="M42" s="193"/>
    </row>
    <row r="43" ht="27.75" hidden="1" customHeight="1">
      <c r="A43" s="203" t="s">
        <v>164</v>
      </c>
      <c r="B43" s="195"/>
      <c r="C43" s="198"/>
      <c r="D43" s="199"/>
      <c r="E43" s="198"/>
      <c r="F43" s="195"/>
      <c r="G43" s="191"/>
      <c r="H43" s="192"/>
      <c r="I43" s="191"/>
      <c r="J43" s="191"/>
      <c r="K43" s="191"/>
      <c r="L43" s="192"/>
      <c r="M43" s="193"/>
    </row>
    <row r="44" ht="27.75" hidden="1" customHeight="1">
      <c r="A44" s="203" t="s">
        <v>165</v>
      </c>
      <c r="B44" s="195"/>
      <c r="C44" s="198"/>
      <c r="D44" s="199"/>
      <c r="E44" s="198"/>
      <c r="F44" s="195"/>
      <c r="G44" s="191"/>
      <c r="H44" s="192"/>
      <c r="I44" s="191"/>
      <c r="J44" s="191"/>
      <c r="K44" s="191"/>
      <c r="L44" s="192"/>
      <c r="M44" s="193"/>
    </row>
    <row r="45" ht="27.75" hidden="1" customHeight="1">
      <c r="A45" s="194" t="s">
        <v>170</v>
      </c>
      <c r="B45" s="195"/>
      <c r="C45" s="198"/>
      <c r="D45" s="199"/>
      <c r="E45" s="198"/>
      <c r="F45" s="195"/>
      <c r="G45" s="191"/>
      <c r="H45" s="192"/>
      <c r="I45" s="191"/>
      <c r="J45" s="191"/>
      <c r="K45" s="191"/>
      <c r="L45" s="192"/>
      <c r="M45" s="193"/>
    </row>
    <row r="46" ht="27.75" hidden="1" customHeight="1">
      <c r="A46" s="203" t="s">
        <v>162</v>
      </c>
      <c r="B46" s="195"/>
      <c r="C46" s="198"/>
      <c r="D46" s="199"/>
      <c r="E46" s="198"/>
      <c r="F46" s="195"/>
      <c r="G46" s="191"/>
      <c r="H46" s="192"/>
      <c r="I46" s="191"/>
      <c r="J46" s="191"/>
      <c r="K46" s="191"/>
      <c r="L46" s="192"/>
      <c r="M46" s="193"/>
    </row>
    <row r="47" ht="27.75" hidden="1" customHeight="1">
      <c r="A47" s="203" t="s">
        <v>163</v>
      </c>
      <c r="B47" s="195"/>
      <c r="C47" s="198"/>
      <c r="D47" s="199"/>
      <c r="E47" s="198"/>
      <c r="F47" s="195"/>
      <c r="G47" s="191"/>
      <c r="H47" s="192"/>
      <c r="I47" s="191"/>
      <c r="J47" s="191"/>
      <c r="K47" s="191"/>
      <c r="L47" s="192"/>
      <c r="M47" s="193"/>
    </row>
    <row r="48" ht="27.75" hidden="1" customHeight="1">
      <c r="A48" s="203" t="s">
        <v>164</v>
      </c>
      <c r="B48" s="195"/>
      <c r="C48" s="198"/>
      <c r="D48" s="199"/>
      <c r="E48" s="198"/>
      <c r="F48" s="195"/>
      <c r="G48" s="191"/>
      <c r="H48" s="192"/>
      <c r="I48" s="191"/>
      <c r="J48" s="191"/>
      <c r="K48" s="191"/>
      <c r="L48" s="192"/>
      <c r="M48" s="193"/>
    </row>
    <row r="49" ht="27.75" hidden="1" customHeight="1">
      <c r="A49" s="203" t="s">
        <v>165</v>
      </c>
      <c r="B49" s="195"/>
      <c r="C49" s="198"/>
      <c r="D49" s="199"/>
      <c r="E49" s="198"/>
      <c r="F49" s="195"/>
      <c r="G49" s="191"/>
      <c r="H49" s="192"/>
      <c r="I49" s="191"/>
      <c r="J49" s="191"/>
      <c r="K49" s="191"/>
      <c r="L49" s="192"/>
      <c r="M49" s="193"/>
    </row>
    <row r="50" ht="27.75" hidden="1" customHeight="1">
      <c r="A50" s="194" t="s">
        <v>171</v>
      </c>
      <c r="B50" s="195"/>
      <c r="C50" s="198"/>
      <c r="D50" s="199"/>
      <c r="E50" s="198"/>
      <c r="F50" s="195"/>
      <c r="G50" s="191"/>
      <c r="H50" s="192"/>
      <c r="I50" s="191"/>
      <c r="J50" s="191"/>
      <c r="K50" s="191"/>
      <c r="L50" s="192"/>
      <c r="M50" s="193"/>
    </row>
    <row r="51" ht="27.75" hidden="1" customHeight="1">
      <c r="A51" s="203" t="s">
        <v>162</v>
      </c>
      <c r="B51" s="195"/>
      <c r="C51" s="198"/>
      <c r="D51" s="199"/>
      <c r="E51" s="198"/>
      <c r="F51" s="195"/>
      <c r="G51" s="191"/>
      <c r="H51" s="192"/>
      <c r="I51" s="191"/>
      <c r="J51" s="191"/>
      <c r="K51" s="191"/>
      <c r="L51" s="192"/>
      <c r="M51" s="193"/>
    </row>
    <row r="52" ht="27.75" hidden="1" customHeight="1">
      <c r="A52" s="203" t="s">
        <v>163</v>
      </c>
      <c r="B52" s="195"/>
      <c r="C52" s="198"/>
      <c r="D52" s="199"/>
      <c r="E52" s="198"/>
      <c r="F52" s="195"/>
      <c r="G52" s="191"/>
      <c r="H52" s="192"/>
      <c r="I52" s="191"/>
      <c r="J52" s="191"/>
      <c r="K52" s="191"/>
      <c r="L52" s="192"/>
      <c r="M52" s="193"/>
    </row>
    <row r="53" ht="27.75" hidden="1" customHeight="1">
      <c r="A53" s="203" t="s">
        <v>164</v>
      </c>
      <c r="B53" s="195"/>
      <c r="C53" s="198"/>
      <c r="D53" s="199"/>
      <c r="E53" s="198"/>
      <c r="F53" s="195"/>
      <c r="G53" s="191"/>
      <c r="H53" s="192"/>
      <c r="I53" s="191"/>
      <c r="J53" s="191"/>
      <c r="K53" s="191"/>
      <c r="L53" s="192"/>
      <c r="M53" s="193"/>
    </row>
    <row r="54" ht="27.75" hidden="1" customHeight="1">
      <c r="A54" s="203" t="s">
        <v>165</v>
      </c>
      <c r="B54" s="195"/>
      <c r="C54" s="198"/>
      <c r="D54" s="199"/>
      <c r="E54" s="198"/>
      <c r="F54" s="195"/>
      <c r="G54" s="191"/>
      <c r="H54" s="192"/>
      <c r="I54" s="191"/>
      <c r="J54" s="191"/>
      <c r="K54" s="191"/>
      <c r="L54" s="192"/>
      <c r="M54" s="193"/>
    </row>
    <row r="55" ht="27.75" hidden="1" customHeight="1">
      <c r="A55" s="194" t="s">
        <v>172</v>
      </c>
      <c r="B55" s="195"/>
      <c r="C55" s="198"/>
      <c r="D55" s="199"/>
      <c r="E55" s="198"/>
      <c r="F55" s="195"/>
      <c r="G55" s="191"/>
      <c r="H55" s="192"/>
      <c r="I55" s="191"/>
      <c r="J55" s="191"/>
      <c r="K55" s="191"/>
      <c r="L55" s="192"/>
      <c r="M55" s="193"/>
    </row>
    <row r="56" ht="27.75" hidden="1" customHeight="1">
      <c r="A56" s="203" t="s">
        <v>162</v>
      </c>
      <c r="B56" s="195"/>
      <c r="C56" s="198"/>
      <c r="D56" s="199"/>
      <c r="E56" s="198"/>
      <c r="F56" s="195"/>
      <c r="G56" s="191"/>
      <c r="H56" s="192"/>
      <c r="I56" s="191"/>
      <c r="J56" s="191"/>
      <c r="K56" s="191"/>
      <c r="L56" s="192"/>
      <c r="M56" s="193"/>
    </row>
    <row r="57" ht="27.75" hidden="1" customHeight="1">
      <c r="A57" s="203" t="s">
        <v>163</v>
      </c>
      <c r="B57" s="195"/>
      <c r="C57" s="198"/>
      <c r="D57" s="199"/>
      <c r="E57" s="198"/>
      <c r="F57" s="195"/>
      <c r="G57" s="191"/>
      <c r="H57" s="192"/>
      <c r="I57" s="191"/>
      <c r="J57" s="191"/>
      <c r="K57" s="191"/>
      <c r="L57" s="192"/>
      <c r="M57" s="193"/>
    </row>
    <row r="58" ht="27.75" hidden="1" customHeight="1">
      <c r="A58" s="203" t="s">
        <v>164</v>
      </c>
      <c r="B58" s="195"/>
      <c r="C58" s="198"/>
      <c r="D58" s="199"/>
      <c r="E58" s="198"/>
      <c r="F58" s="195"/>
      <c r="G58" s="191"/>
      <c r="H58" s="192"/>
      <c r="I58" s="191"/>
      <c r="J58" s="191"/>
      <c r="K58" s="191"/>
      <c r="L58" s="192"/>
      <c r="M58" s="193"/>
    </row>
    <row r="59" ht="27.75" hidden="1" customHeight="1">
      <c r="A59" s="203" t="s">
        <v>165</v>
      </c>
      <c r="B59" s="195"/>
      <c r="C59" s="198"/>
      <c r="D59" s="199"/>
      <c r="E59" s="198"/>
      <c r="F59" s="195"/>
      <c r="G59" s="191"/>
      <c r="H59" s="192"/>
      <c r="I59" s="191"/>
      <c r="J59" s="191"/>
      <c r="K59" s="191"/>
      <c r="L59" s="192"/>
      <c r="M59" s="193"/>
    </row>
    <row r="60" ht="27.75" hidden="1" customHeight="1">
      <c r="A60" s="194" t="s">
        <v>173</v>
      </c>
      <c r="B60" s="195"/>
      <c r="C60" s="198"/>
      <c r="D60" s="199"/>
      <c r="E60" s="198"/>
      <c r="F60" s="195"/>
      <c r="G60" s="191"/>
      <c r="H60" s="192"/>
      <c r="I60" s="191"/>
      <c r="J60" s="191"/>
      <c r="K60" s="191"/>
      <c r="L60" s="192"/>
      <c r="M60" s="193"/>
    </row>
    <row r="61" ht="27.75" hidden="1" customHeight="1">
      <c r="A61" s="203" t="s">
        <v>162</v>
      </c>
      <c r="B61" s="195"/>
      <c r="C61" s="198"/>
      <c r="D61" s="199"/>
      <c r="E61" s="198"/>
      <c r="F61" s="195"/>
      <c r="G61" s="191"/>
      <c r="H61" s="192"/>
      <c r="I61" s="191"/>
      <c r="J61" s="191"/>
      <c r="K61" s="191"/>
      <c r="L61" s="192"/>
      <c r="M61" s="193"/>
    </row>
    <row r="62" ht="27.75" hidden="1" customHeight="1">
      <c r="A62" s="203" t="s">
        <v>163</v>
      </c>
      <c r="B62" s="195"/>
      <c r="C62" s="198"/>
      <c r="D62" s="199"/>
      <c r="E62" s="198"/>
      <c r="F62" s="195"/>
      <c r="G62" s="191"/>
      <c r="H62" s="192"/>
      <c r="I62" s="191"/>
      <c r="J62" s="191"/>
      <c r="K62" s="191"/>
      <c r="L62" s="192"/>
      <c r="M62" s="193"/>
    </row>
    <row r="63" ht="27.75" hidden="1" customHeight="1">
      <c r="A63" s="203" t="s">
        <v>164</v>
      </c>
      <c r="B63" s="195"/>
      <c r="C63" s="198"/>
      <c r="D63" s="199"/>
      <c r="E63" s="198"/>
      <c r="F63" s="195"/>
      <c r="G63" s="191"/>
      <c r="H63" s="192"/>
      <c r="I63" s="191"/>
      <c r="J63" s="191"/>
      <c r="K63" s="191"/>
      <c r="L63" s="192"/>
      <c r="M63" s="193"/>
    </row>
    <row r="64" ht="27.75" hidden="1" customHeight="1">
      <c r="A64" s="203" t="s">
        <v>165</v>
      </c>
      <c r="B64" s="195"/>
      <c r="C64" s="198"/>
      <c r="D64" s="199"/>
      <c r="E64" s="198"/>
      <c r="F64" s="195"/>
      <c r="G64" s="191"/>
      <c r="H64" s="192"/>
      <c r="I64" s="191"/>
      <c r="J64" s="191"/>
      <c r="K64" s="191"/>
      <c r="L64" s="192"/>
      <c r="M64" s="193"/>
    </row>
    <row r="65" ht="27.75" hidden="1" customHeight="1">
      <c r="A65" s="194" t="s">
        <v>174</v>
      </c>
      <c r="B65" s="195"/>
      <c r="C65" s="198"/>
      <c r="D65" s="199"/>
      <c r="E65" s="198"/>
      <c r="F65" s="195"/>
      <c r="G65" s="191"/>
      <c r="H65" s="192"/>
      <c r="I65" s="191"/>
      <c r="J65" s="191"/>
      <c r="K65" s="191"/>
      <c r="L65" s="192"/>
      <c r="M65" s="193"/>
    </row>
    <row r="66" ht="27.75" hidden="1" customHeight="1">
      <c r="A66" s="203" t="s">
        <v>162</v>
      </c>
      <c r="B66" s="195"/>
      <c r="C66" s="198"/>
      <c r="D66" s="199"/>
      <c r="E66" s="198"/>
      <c r="F66" s="195"/>
      <c r="G66" s="191"/>
      <c r="H66" s="192"/>
      <c r="I66" s="191"/>
      <c r="J66" s="191"/>
      <c r="K66" s="191"/>
      <c r="L66" s="192"/>
      <c r="M66" s="193"/>
    </row>
    <row r="67" ht="27.75" hidden="1" customHeight="1">
      <c r="A67" s="203" t="s">
        <v>163</v>
      </c>
      <c r="B67" s="195"/>
      <c r="C67" s="198"/>
      <c r="D67" s="199"/>
      <c r="E67" s="198"/>
      <c r="F67" s="195"/>
      <c r="G67" s="191"/>
      <c r="H67" s="192"/>
      <c r="I67" s="191"/>
      <c r="J67" s="191"/>
      <c r="K67" s="191"/>
      <c r="L67" s="192"/>
      <c r="M67" s="193"/>
    </row>
    <row r="68" ht="27.75" hidden="1" customHeight="1">
      <c r="A68" s="203" t="s">
        <v>164</v>
      </c>
      <c r="B68" s="195"/>
      <c r="C68" s="198"/>
      <c r="D68" s="199"/>
      <c r="E68" s="198"/>
      <c r="F68" s="195"/>
      <c r="G68" s="191"/>
      <c r="H68" s="192"/>
      <c r="I68" s="191"/>
      <c r="J68" s="191"/>
      <c r="K68" s="191"/>
      <c r="L68" s="192"/>
      <c r="M68" s="193"/>
    </row>
    <row r="69" ht="27.75" hidden="1" customHeight="1">
      <c r="A69" s="203" t="s">
        <v>165</v>
      </c>
      <c r="B69" s="195"/>
      <c r="C69" s="198"/>
      <c r="D69" s="199"/>
      <c r="E69" s="198"/>
      <c r="F69" s="195"/>
      <c r="G69" s="191"/>
      <c r="H69" s="192"/>
      <c r="I69" s="191"/>
      <c r="J69" s="191"/>
      <c r="K69" s="191"/>
      <c r="L69" s="192"/>
      <c r="M69" s="193"/>
    </row>
    <row r="70" ht="27.75" hidden="1" customHeight="1">
      <c r="A70" s="194" t="s">
        <v>175</v>
      </c>
      <c r="B70" s="195"/>
      <c r="C70" s="198"/>
      <c r="D70" s="199"/>
      <c r="E70" s="198"/>
      <c r="F70" s="195"/>
      <c r="G70" s="191"/>
      <c r="H70" s="192"/>
      <c r="I70" s="191"/>
      <c r="J70" s="191"/>
      <c r="K70" s="191"/>
      <c r="L70" s="192"/>
      <c r="M70" s="193"/>
    </row>
    <row r="71" ht="27.75" hidden="1" customHeight="1">
      <c r="A71" s="203" t="s">
        <v>162</v>
      </c>
      <c r="B71" s="195"/>
      <c r="C71" s="198"/>
      <c r="D71" s="199"/>
      <c r="E71" s="198"/>
      <c r="F71" s="195"/>
      <c r="G71" s="191"/>
      <c r="H71" s="192"/>
      <c r="I71" s="191"/>
      <c r="J71" s="191"/>
      <c r="K71" s="191"/>
      <c r="L71" s="192"/>
      <c r="M71" s="193"/>
    </row>
    <row r="72" ht="27.75" hidden="1" customHeight="1">
      <c r="A72" s="203" t="s">
        <v>163</v>
      </c>
      <c r="B72" s="195"/>
      <c r="C72" s="198"/>
      <c r="D72" s="199"/>
      <c r="E72" s="198"/>
      <c r="F72" s="195"/>
      <c r="G72" s="191"/>
      <c r="H72" s="192"/>
      <c r="I72" s="191"/>
      <c r="J72" s="191"/>
      <c r="K72" s="191"/>
      <c r="L72" s="192"/>
      <c r="M72" s="193"/>
    </row>
    <row r="73" ht="27.75" hidden="1" customHeight="1">
      <c r="A73" s="203" t="s">
        <v>164</v>
      </c>
      <c r="B73" s="195"/>
      <c r="C73" s="198"/>
      <c r="D73" s="199"/>
      <c r="E73" s="198"/>
      <c r="F73" s="195"/>
      <c r="G73" s="191"/>
      <c r="H73" s="192"/>
      <c r="I73" s="191"/>
      <c r="J73" s="191"/>
      <c r="K73" s="191"/>
      <c r="L73" s="192"/>
      <c r="M73" s="193"/>
    </row>
    <row r="74" ht="27.75" hidden="1" customHeight="1">
      <c r="A74" s="203" t="s">
        <v>165</v>
      </c>
      <c r="B74" s="195"/>
      <c r="C74" s="198"/>
      <c r="D74" s="199"/>
      <c r="E74" s="198"/>
      <c r="F74" s="195"/>
      <c r="G74" s="191"/>
      <c r="H74" s="192"/>
      <c r="I74" s="191"/>
      <c r="J74" s="191"/>
      <c r="K74" s="191"/>
      <c r="L74" s="192"/>
      <c r="M74" s="193"/>
    </row>
    <row r="75" ht="27.75" hidden="1" customHeight="1">
      <c r="A75" s="194" t="s">
        <v>176</v>
      </c>
      <c r="B75" s="195"/>
      <c r="C75" s="198"/>
      <c r="D75" s="199"/>
      <c r="E75" s="198"/>
      <c r="F75" s="195"/>
      <c r="G75" s="191"/>
      <c r="H75" s="192"/>
      <c r="I75" s="191"/>
      <c r="J75" s="191"/>
      <c r="K75" s="191"/>
      <c r="L75" s="192"/>
      <c r="M75" s="193"/>
    </row>
    <row r="76" ht="27.75" hidden="1" customHeight="1">
      <c r="A76" s="203" t="s">
        <v>162</v>
      </c>
      <c r="B76" s="195"/>
      <c r="C76" s="198"/>
      <c r="D76" s="199"/>
      <c r="E76" s="198"/>
      <c r="F76" s="195"/>
      <c r="G76" s="191"/>
      <c r="H76" s="192"/>
      <c r="I76" s="191"/>
      <c r="J76" s="191"/>
      <c r="K76" s="191"/>
      <c r="L76" s="192"/>
      <c r="M76" s="193"/>
    </row>
    <row r="77" ht="27.75" hidden="1" customHeight="1">
      <c r="A77" s="203" t="s">
        <v>163</v>
      </c>
      <c r="B77" s="195"/>
      <c r="C77" s="198"/>
      <c r="D77" s="199"/>
      <c r="E77" s="198"/>
      <c r="F77" s="195"/>
      <c r="G77" s="191"/>
      <c r="H77" s="192"/>
      <c r="I77" s="191"/>
      <c r="J77" s="191"/>
      <c r="K77" s="191"/>
      <c r="L77" s="192"/>
      <c r="M77" s="193"/>
    </row>
    <row r="78" ht="27.75" hidden="1" customHeight="1">
      <c r="A78" s="203" t="s">
        <v>164</v>
      </c>
      <c r="B78" s="195"/>
      <c r="C78" s="198"/>
      <c r="D78" s="199"/>
      <c r="E78" s="198"/>
      <c r="F78" s="195"/>
      <c r="G78" s="191"/>
      <c r="H78" s="192"/>
      <c r="I78" s="191"/>
      <c r="J78" s="191"/>
      <c r="K78" s="191"/>
      <c r="L78" s="192"/>
      <c r="M78" s="193"/>
    </row>
    <row r="79" ht="27.75" hidden="1" customHeight="1">
      <c r="A79" s="203" t="s">
        <v>165</v>
      </c>
      <c r="B79" s="195"/>
      <c r="C79" s="198"/>
      <c r="D79" s="199"/>
      <c r="E79" s="198"/>
      <c r="F79" s="195"/>
      <c r="G79" s="191"/>
      <c r="H79" s="192"/>
      <c r="I79" s="191"/>
      <c r="J79" s="191"/>
      <c r="K79" s="191"/>
      <c r="L79" s="192"/>
      <c r="M79" s="193"/>
    </row>
    <row r="80" ht="27.75" hidden="1" customHeight="1">
      <c r="A80" s="194" t="s">
        <v>177</v>
      </c>
      <c r="B80" s="195"/>
      <c r="C80" s="198"/>
      <c r="D80" s="199"/>
      <c r="E80" s="198"/>
      <c r="F80" s="195"/>
      <c r="G80" s="191"/>
      <c r="H80" s="192"/>
      <c r="I80" s="191"/>
      <c r="J80" s="191"/>
      <c r="K80" s="191"/>
      <c r="L80" s="192"/>
      <c r="M80" s="193"/>
    </row>
    <row r="81" ht="27.75" hidden="1" customHeight="1">
      <c r="A81" s="203" t="s">
        <v>162</v>
      </c>
      <c r="B81" s="195"/>
      <c r="C81" s="198"/>
      <c r="D81" s="199"/>
      <c r="E81" s="198"/>
      <c r="F81" s="195"/>
      <c r="G81" s="191"/>
      <c r="H81" s="192"/>
      <c r="I81" s="191"/>
      <c r="J81" s="191"/>
      <c r="K81" s="191"/>
      <c r="L81" s="192"/>
      <c r="M81" s="193"/>
    </row>
    <row r="82" ht="27.75" hidden="1" customHeight="1">
      <c r="A82" s="203" t="s">
        <v>163</v>
      </c>
      <c r="B82" s="195"/>
      <c r="C82" s="198"/>
      <c r="D82" s="199"/>
      <c r="E82" s="198"/>
      <c r="F82" s="195"/>
      <c r="G82" s="191"/>
      <c r="H82" s="192"/>
      <c r="I82" s="191"/>
      <c r="J82" s="191"/>
      <c r="K82" s="191"/>
      <c r="L82" s="192"/>
      <c r="M82" s="193"/>
    </row>
    <row r="83" ht="27.75" hidden="1" customHeight="1">
      <c r="A83" s="203" t="s">
        <v>164</v>
      </c>
      <c r="B83" s="195"/>
      <c r="C83" s="198"/>
      <c r="D83" s="199"/>
      <c r="E83" s="198"/>
      <c r="F83" s="195"/>
      <c r="G83" s="191"/>
      <c r="H83" s="192"/>
      <c r="I83" s="191"/>
      <c r="J83" s="191"/>
      <c r="K83" s="191"/>
      <c r="L83" s="192"/>
      <c r="M83" s="193"/>
    </row>
    <row r="84" ht="27.75" hidden="1" customHeight="1">
      <c r="A84" s="203" t="s">
        <v>165</v>
      </c>
      <c r="B84" s="195"/>
      <c r="C84" s="198"/>
      <c r="D84" s="199"/>
      <c r="E84" s="198"/>
      <c r="F84" s="195"/>
      <c r="G84" s="191"/>
      <c r="H84" s="192"/>
      <c r="I84" s="191"/>
      <c r="J84" s="191"/>
      <c r="K84" s="191"/>
      <c r="L84" s="192"/>
      <c r="M84" s="193"/>
    </row>
    <row r="85" ht="27.75" hidden="1" customHeight="1">
      <c r="A85" s="194" t="s">
        <v>178</v>
      </c>
      <c r="B85" s="195"/>
      <c r="C85" s="198"/>
      <c r="D85" s="199"/>
      <c r="E85" s="198"/>
      <c r="F85" s="195"/>
      <c r="G85" s="191"/>
      <c r="H85" s="192"/>
      <c r="I85" s="191"/>
      <c r="J85" s="191"/>
      <c r="K85" s="191"/>
      <c r="L85" s="192"/>
      <c r="M85" s="193"/>
    </row>
    <row r="86" ht="27.75" hidden="1" customHeight="1">
      <c r="A86" s="203" t="s">
        <v>162</v>
      </c>
      <c r="B86" s="195"/>
      <c r="C86" s="198"/>
      <c r="D86" s="199"/>
      <c r="E86" s="198"/>
      <c r="F86" s="195"/>
      <c r="G86" s="191"/>
      <c r="H86" s="192"/>
      <c r="I86" s="191"/>
      <c r="J86" s="191"/>
      <c r="K86" s="191"/>
      <c r="L86" s="192"/>
      <c r="M86" s="193"/>
    </row>
    <row r="87" ht="27.75" hidden="1" customHeight="1">
      <c r="A87" s="203" t="s">
        <v>163</v>
      </c>
      <c r="B87" s="195"/>
      <c r="C87" s="198"/>
      <c r="D87" s="199"/>
      <c r="E87" s="198"/>
      <c r="F87" s="195"/>
      <c r="G87" s="191"/>
      <c r="H87" s="192"/>
      <c r="I87" s="191"/>
      <c r="J87" s="191"/>
      <c r="K87" s="191"/>
      <c r="L87" s="192"/>
      <c r="M87" s="193"/>
    </row>
    <row r="88" ht="27.75" hidden="1" customHeight="1">
      <c r="A88" s="203" t="s">
        <v>164</v>
      </c>
      <c r="B88" s="195"/>
      <c r="C88" s="198"/>
      <c r="D88" s="199"/>
      <c r="E88" s="198"/>
      <c r="F88" s="195"/>
      <c r="G88" s="191"/>
      <c r="H88" s="192"/>
      <c r="I88" s="191"/>
      <c r="J88" s="191"/>
      <c r="K88" s="191"/>
      <c r="L88" s="192"/>
      <c r="M88" s="193"/>
    </row>
    <row r="89" ht="27.75" hidden="1" customHeight="1">
      <c r="A89" s="203" t="s">
        <v>165</v>
      </c>
      <c r="B89" s="195"/>
      <c r="C89" s="198"/>
      <c r="D89" s="199"/>
      <c r="E89" s="198"/>
      <c r="F89" s="195"/>
      <c r="G89" s="191"/>
      <c r="H89" s="192"/>
      <c r="I89" s="191"/>
      <c r="J89" s="191"/>
      <c r="K89" s="191"/>
      <c r="L89" s="192"/>
      <c r="M89" s="193"/>
    </row>
    <row r="90" ht="27.75" hidden="1" customHeight="1">
      <c r="A90" s="194" t="s">
        <v>179</v>
      </c>
      <c r="B90" s="195"/>
      <c r="C90" s="198"/>
      <c r="D90" s="199"/>
      <c r="E90" s="198"/>
      <c r="F90" s="195"/>
      <c r="G90" s="191"/>
      <c r="H90" s="192"/>
      <c r="I90" s="191"/>
      <c r="J90" s="191"/>
      <c r="K90" s="191"/>
      <c r="L90" s="192"/>
      <c r="M90" s="193"/>
    </row>
    <row r="91" ht="27.75" hidden="1" customHeight="1">
      <c r="A91" s="203" t="s">
        <v>162</v>
      </c>
      <c r="B91" s="195"/>
      <c r="C91" s="198"/>
      <c r="D91" s="199"/>
      <c r="E91" s="198"/>
      <c r="F91" s="195"/>
      <c r="G91" s="191"/>
      <c r="H91" s="192"/>
      <c r="I91" s="191"/>
      <c r="J91" s="191"/>
      <c r="K91" s="191"/>
      <c r="L91" s="192"/>
      <c r="M91" s="193"/>
    </row>
    <row r="92" ht="27.75" hidden="1" customHeight="1">
      <c r="A92" s="203" t="s">
        <v>163</v>
      </c>
      <c r="B92" s="195"/>
      <c r="C92" s="198"/>
      <c r="D92" s="199"/>
      <c r="E92" s="198"/>
      <c r="F92" s="195"/>
      <c r="G92" s="191"/>
      <c r="H92" s="192"/>
      <c r="I92" s="191"/>
      <c r="J92" s="191"/>
      <c r="K92" s="191"/>
      <c r="L92" s="192"/>
      <c r="M92" s="193"/>
    </row>
    <row r="93" ht="27.75" hidden="1" customHeight="1">
      <c r="A93" s="203" t="s">
        <v>164</v>
      </c>
      <c r="B93" s="195"/>
      <c r="C93" s="198"/>
      <c r="D93" s="199"/>
      <c r="E93" s="198"/>
      <c r="F93" s="195"/>
      <c r="G93" s="191"/>
      <c r="H93" s="192"/>
      <c r="I93" s="191"/>
      <c r="J93" s="191"/>
      <c r="K93" s="191"/>
      <c r="L93" s="192"/>
      <c r="M93" s="193"/>
    </row>
    <row r="94" ht="27.75" hidden="1" customHeight="1">
      <c r="A94" s="203" t="s">
        <v>165</v>
      </c>
      <c r="B94" s="195"/>
      <c r="C94" s="198"/>
      <c r="D94" s="199"/>
      <c r="E94" s="198"/>
      <c r="F94" s="195"/>
      <c r="G94" s="191"/>
      <c r="H94" s="192"/>
      <c r="I94" s="191"/>
      <c r="J94" s="191"/>
      <c r="K94" s="191"/>
      <c r="L94" s="192"/>
      <c r="M94" s="193"/>
    </row>
    <row r="95" ht="27.75" hidden="1" customHeight="1">
      <c r="A95" s="194" t="s">
        <v>180</v>
      </c>
      <c r="B95" s="195"/>
      <c r="C95" s="198"/>
      <c r="D95" s="199"/>
      <c r="E95" s="198"/>
      <c r="F95" s="195"/>
      <c r="G95" s="191"/>
      <c r="H95" s="192"/>
      <c r="I95" s="191"/>
      <c r="J95" s="191"/>
      <c r="K95" s="191"/>
      <c r="L95" s="192"/>
      <c r="M95" s="193"/>
    </row>
    <row r="96" ht="27.75" hidden="1" customHeight="1">
      <c r="A96" s="204" t="s">
        <v>162</v>
      </c>
      <c r="B96" s="195"/>
      <c r="C96" s="198"/>
      <c r="D96" s="199"/>
      <c r="E96" s="198"/>
      <c r="F96" s="195"/>
      <c r="G96" s="191"/>
      <c r="H96" s="192"/>
      <c r="I96" s="191"/>
      <c r="J96" s="191"/>
      <c r="K96" s="191"/>
      <c r="L96" s="192"/>
      <c r="M96" s="193"/>
    </row>
    <row r="97" ht="27.75" hidden="1" customHeight="1">
      <c r="A97" s="203" t="s">
        <v>163</v>
      </c>
      <c r="B97" s="195"/>
      <c r="C97" s="198"/>
      <c r="D97" s="199"/>
      <c r="E97" s="198"/>
      <c r="F97" s="195"/>
      <c r="G97" s="191"/>
      <c r="H97" s="192"/>
      <c r="I97" s="191"/>
      <c r="J97" s="191"/>
      <c r="K97" s="191"/>
      <c r="L97" s="192"/>
      <c r="M97" s="193"/>
    </row>
    <row r="98" ht="27.75" hidden="1" customHeight="1">
      <c r="A98" s="203" t="s">
        <v>164</v>
      </c>
      <c r="B98" s="195"/>
      <c r="C98" s="198"/>
      <c r="D98" s="199"/>
      <c r="E98" s="198"/>
      <c r="F98" s="195"/>
      <c r="G98" s="191"/>
      <c r="H98" s="192"/>
      <c r="I98" s="191"/>
      <c r="J98" s="191"/>
      <c r="K98" s="191"/>
      <c r="L98" s="192"/>
      <c r="M98" s="193"/>
    </row>
    <row r="99" ht="27.75" hidden="1" customHeight="1">
      <c r="A99" s="203" t="s">
        <v>165</v>
      </c>
      <c r="B99" s="195"/>
      <c r="C99" s="198"/>
      <c r="D99" s="199"/>
      <c r="E99" s="198"/>
      <c r="F99" s="195"/>
      <c r="G99" s="191"/>
      <c r="H99" s="192"/>
      <c r="I99" s="191"/>
      <c r="J99" s="191"/>
      <c r="K99" s="191"/>
      <c r="L99" s="192"/>
      <c r="M99" s="193"/>
    </row>
    <row r="100" ht="27.75" hidden="1" customHeight="1">
      <c r="A100" s="194" t="s">
        <v>181</v>
      </c>
      <c r="B100" s="195"/>
      <c r="C100" s="198"/>
      <c r="D100" s="199"/>
      <c r="E100" s="198"/>
      <c r="F100" s="195"/>
      <c r="G100" s="191"/>
      <c r="H100" s="192"/>
      <c r="I100" s="191"/>
      <c r="J100" s="191"/>
      <c r="K100" s="191"/>
      <c r="L100" s="192"/>
      <c r="M100" s="193"/>
    </row>
    <row r="101" ht="27.75" hidden="1" customHeight="1">
      <c r="A101" s="203" t="s">
        <v>162</v>
      </c>
      <c r="B101" s="195"/>
      <c r="C101" s="198"/>
      <c r="D101" s="199"/>
      <c r="E101" s="198"/>
      <c r="F101" s="195"/>
      <c r="G101" s="191"/>
      <c r="H101" s="192"/>
      <c r="I101" s="191"/>
      <c r="J101" s="191"/>
      <c r="K101" s="191"/>
      <c r="L101" s="192"/>
      <c r="M101" s="193"/>
    </row>
    <row r="102" ht="27.75" hidden="1" customHeight="1">
      <c r="A102" s="203" t="s">
        <v>163</v>
      </c>
      <c r="B102" s="195"/>
      <c r="C102" s="198"/>
      <c r="D102" s="199"/>
      <c r="E102" s="198"/>
      <c r="F102" s="195"/>
      <c r="G102" s="191"/>
      <c r="H102" s="192"/>
      <c r="I102" s="191"/>
      <c r="J102" s="191"/>
      <c r="K102" s="191"/>
      <c r="L102" s="192"/>
      <c r="M102" s="193"/>
    </row>
    <row r="103" ht="27.75" hidden="1" customHeight="1">
      <c r="A103" s="203" t="s">
        <v>164</v>
      </c>
      <c r="B103" s="195"/>
      <c r="C103" s="198"/>
      <c r="D103" s="199"/>
      <c r="E103" s="198"/>
      <c r="F103" s="195"/>
      <c r="G103" s="191"/>
      <c r="H103" s="192"/>
      <c r="I103" s="191"/>
      <c r="J103" s="191"/>
      <c r="K103" s="191"/>
      <c r="L103" s="192"/>
      <c r="M103" s="193"/>
    </row>
    <row r="104" ht="27.75" hidden="1" customHeight="1">
      <c r="A104" s="203" t="s">
        <v>165</v>
      </c>
      <c r="B104" s="195"/>
      <c r="C104" s="198"/>
      <c r="D104" s="199"/>
      <c r="E104" s="198"/>
      <c r="F104" s="195"/>
      <c r="G104" s="191"/>
      <c r="H104" s="192"/>
      <c r="I104" s="191"/>
      <c r="J104" s="191"/>
      <c r="K104" s="191"/>
      <c r="L104" s="192"/>
      <c r="M104" s="193"/>
    </row>
    <row r="105" ht="27.75" hidden="1" customHeight="1">
      <c r="A105" s="194"/>
      <c r="B105" s="195"/>
      <c r="C105" s="198"/>
      <c r="D105" s="199"/>
      <c r="E105" s="198"/>
      <c r="F105" s="195"/>
      <c r="G105" s="191"/>
      <c r="H105" s="192"/>
      <c r="I105" s="191"/>
      <c r="J105" s="191"/>
      <c r="K105" s="191"/>
      <c r="L105" s="192"/>
      <c r="M105" s="193"/>
    </row>
    <row r="106" ht="27.75" hidden="1" customHeight="1">
      <c r="A106" s="194" t="s">
        <v>182</v>
      </c>
      <c r="B106" s="195"/>
      <c r="C106" s="198"/>
      <c r="D106" s="199"/>
      <c r="E106" s="198"/>
      <c r="F106" s="195"/>
      <c r="G106" s="191"/>
      <c r="H106" s="192"/>
      <c r="I106" s="191"/>
      <c r="J106" s="191"/>
      <c r="K106" s="191"/>
      <c r="L106" s="192"/>
      <c r="M106" s="193"/>
    </row>
    <row r="107" ht="27.75" hidden="1" customHeight="1">
      <c r="A107" s="203" t="s">
        <v>162</v>
      </c>
      <c r="B107" s="195"/>
      <c r="C107" s="198"/>
      <c r="D107" s="199"/>
      <c r="E107" s="198"/>
      <c r="F107" s="195"/>
      <c r="G107" s="191"/>
      <c r="H107" s="192"/>
      <c r="I107" s="191"/>
      <c r="J107" s="191"/>
      <c r="K107" s="191"/>
      <c r="L107" s="192"/>
      <c r="M107" s="193"/>
    </row>
    <row r="108" ht="27.75" hidden="1" customHeight="1">
      <c r="A108" s="203" t="s">
        <v>163</v>
      </c>
      <c r="B108" s="195"/>
      <c r="C108" s="198"/>
      <c r="D108" s="199"/>
      <c r="E108" s="198"/>
      <c r="F108" s="195"/>
      <c r="G108" s="191"/>
      <c r="H108" s="192"/>
      <c r="I108" s="191"/>
      <c r="J108" s="191"/>
      <c r="K108" s="191"/>
      <c r="L108" s="192"/>
      <c r="M108" s="193"/>
    </row>
    <row r="109" ht="27.75" hidden="1" customHeight="1">
      <c r="A109" s="194" t="s">
        <v>175</v>
      </c>
      <c r="B109" s="195"/>
      <c r="C109" s="198"/>
      <c r="D109" s="199"/>
      <c r="E109" s="198"/>
      <c r="F109" s="195"/>
      <c r="G109" s="191"/>
      <c r="H109" s="192"/>
      <c r="I109" s="191"/>
      <c r="J109" s="191"/>
      <c r="K109" s="191"/>
      <c r="L109" s="192"/>
      <c r="M109" s="193"/>
    </row>
    <row r="110" ht="27.75" hidden="1" customHeight="1">
      <c r="A110" s="203" t="s">
        <v>162</v>
      </c>
      <c r="B110" s="195"/>
      <c r="C110" s="198"/>
      <c r="D110" s="199"/>
      <c r="E110" s="198"/>
      <c r="F110" s="195"/>
      <c r="G110" s="191"/>
      <c r="H110" s="192"/>
      <c r="I110" s="191"/>
      <c r="J110" s="191"/>
      <c r="K110" s="191"/>
      <c r="L110" s="192"/>
      <c r="M110" s="193"/>
    </row>
    <row r="111" ht="27.75" hidden="1" customHeight="1">
      <c r="A111" s="203" t="s">
        <v>163</v>
      </c>
      <c r="B111" s="195"/>
      <c r="C111" s="198"/>
      <c r="D111" s="199"/>
      <c r="E111" s="198"/>
      <c r="F111" s="195"/>
      <c r="G111" s="191"/>
      <c r="H111" s="192"/>
      <c r="I111" s="191"/>
      <c r="J111" s="191"/>
      <c r="K111" s="191"/>
      <c r="L111" s="192"/>
      <c r="M111" s="193"/>
    </row>
    <row r="112" ht="27.75" hidden="1" customHeight="1">
      <c r="A112" s="194" t="s">
        <v>176</v>
      </c>
      <c r="B112" s="195"/>
      <c r="C112" s="198"/>
      <c r="D112" s="199"/>
      <c r="E112" s="198"/>
      <c r="F112" s="195"/>
      <c r="G112" s="191"/>
      <c r="H112" s="192"/>
      <c r="I112" s="191"/>
      <c r="J112" s="191"/>
      <c r="K112" s="191"/>
      <c r="L112" s="192"/>
      <c r="M112" s="193"/>
    </row>
    <row r="113" ht="27.75" hidden="1" customHeight="1">
      <c r="A113" s="203" t="s">
        <v>162</v>
      </c>
      <c r="B113" s="195"/>
      <c r="C113" s="198"/>
      <c r="D113" s="199"/>
      <c r="E113" s="198"/>
      <c r="F113" s="195"/>
      <c r="G113" s="191"/>
      <c r="H113" s="192"/>
      <c r="I113" s="191"/>
      <c r="J113" s="191"/>
      <c r="K113" s="191"/>
      <c r="L113" s="192"/>
      <c r="M113" s="193"/>
    </row>
    <row r="114" ht="27.75" hidden="1" customHeight="1">
      <c r="A114" s="203" t="s">
        <v>163</v>
      </c>
      <c r="B114" s="195"/>
      <c r="C114" s="198"/>
      <c r="D114" s="199"/>
      <c r="E114" s="198"/>
      <c r="F114" s="195"/>
      <c r="G114" s="191"/>
      <c r="H114" s="192"/>
      <c r="I114" s="191"/>
      <c r="J114" s="191"/>
      <c r="K114" s="191"/>
      <c r="L114" s="192"/>
      <c r="M114" s="193"/>
    </row>
    <row r="115" ht="27.75" hidden="1" customHeight="1">
      <c r="A115" s="203"/>
      <c r="B115" s="195"/>
      <c r="C115" s="198"/>
      <c r="D115" s="199"/>
      <c r="E115" s="198"/>
      <c r="F115" s="195"/>
      <c r="G115" s="191"/>
      <c r="H115" s="192"/>
      <c r="I115" s="191"/>
      <c r="J115" s="191"/>
      <c r="K115" s="191"/>
      <c r="L115" s="192"/>
      <c r="M115" s="193"/>
    </row>
    <row r="116" ht="27.75" hidden="1" customHeight="1">
      <c r="A116" s="194" t="s">
        <v>183</v>
      </c>
      <c r="B116" s="195"/>
      <c r="C116" s="198"/>
      <c r="D116" s="199"/>
      <c r="E116" s="198"/>
      <c r="F116" s="195"/>
      <c r="G116" s="191"/>
      <c r="H116" s="192"/>
      <c r="I116" s="191"/>
      <c r="J116" s="191"/>
      <c r="K116" s="191"/>
      <c r="L116" s="192"/>
      <c r="M116" s="193"/>
    </row>
    <row r="117" ht="27.75" hidden="1" customHeight="1">
      <c r="A117" s="203" t="s">
        <v>162</v>
      </c>
      <c r="B117" s="195"/>
      <c r="C117" s="198"/>
      <c r="D117" s="199"/>
      <c r="E117" s="198"/>
      <c r="F117" s="195"/>
      <c r="G117" s="191"/>
      <c r="H117" s="192"/>
      <c r="I117" s="191"/>
      <c r="J117" s="191"/>
      <c r="K117" s="191"/>
      <c r="L117" s="192"/>
      <c r="M117" s="193"/>
    </row>
    <row r="118" ht="27.75" hidden="1" customHeight="1">
      <c r="A118" s="203" t="s">
        <v>163</v>
      </c>
      <c r="B118" s="195"/>
      <c r="C118" s="198"/>
      <c r="D118" s="199"/>
      <c r="E118" s="198"/>
      <c r="F118" s="195"/>
      <c r="G118" s="191"/>
      <c r="H118" s="192"/>
      <c r="I118" s="191"/>
      <c r="J118" s="191"/>
      <c r="K118" s="191"/>
      <c r="L118" s="192"/>
      <c r="M118" s="193"/>
    </row>
    <row r="119" ht="27.75" hidden="1" customHeight="1">
      <c r="A119" s="203" t="s">
        <v>164</v>
      </c>
      <c r="B119" s="195"/>
      <c r="C119" s="198"/>
      <c r="D119" s="199"/>
      <c r="E119" s="198"/>
      <c r="F119" s="195"/>
      <c r="G119" s="191"/>
      <c r="H119" s="192"/>
      <c r="I119" s="191"/>
      <c r="J119" s="191"/>
      <c r="K119" s="191"/>
      <c r="L119" s="192"/>
      <c r="M119" s="193"/>
    </row>
    <row r="120" ht="27.75" hidden="1" customHeight="1">
      <c r="A120" s="203" t="s">
        <v>165</v>
      </c>
      <c r="B120" s="195"/>
      <c r="C120" s="198"/>
      <c r="D120" s="199"/>
      <c r="E120" s="198"/>
      <c r="F120" s="195"/>
      <c r="G120" s="191"/>
      <c r="H120" s="192"/>
      <c r="I120" s="191"/>
      <c r="J120" s="191"/>
      <c r="K120" s="191"/>
      <c r="L120" s="192"/>
      <c r="M120" s="193"/>
    </row>
    <row r="121" ht="27.75" hidden="1" customHeight="1">
      <c r="A121" s="194" t="s">
        <v>184</v>
      </c>
      <c r="B121" s="195"/>
      <c r="C121" s="198"/>
      <c r="D121" s="199"/>
      <c r="E121" s="198"/>
      <c r="F121" s="195"/>
      <c r="G121" s="191"/>
      <c r="H121" s="192"/>
      <c r="I121" s="191"/>
      <c r="J121" s="191"/>
      <c r="K121" s="191"/>
      <c r="L121" s="192"/>
      <c r="M121" s="193"/>
    </row>
    <row r="122" ht="27.75" hidden="1" customHeight="1">
      <c r="A122" s="203" t="s">
        <v>162</v>
      </c>
      <c r="B122" s="195"/>
      <c r="C122" s="198"/>
      <c r="D122" s="199"/>
      <c r="E122" s="198"/>
      <c r="F122" s="195"/>
      <c r="G122" s="191"/>
      <c r="H122" s="192"/>
      <c r="I122" s="191"/>
      <c r="J122" s="191"/>
      <c r="K122" s="191"/>
      <c r="L122" s="192"/>
      <c r="M122" s="193"/>
    </row>
    <row r="123" ht="27.75" hidden="1" customHeight="1">
      <c r="A123" s="203" t="s">
        <v>163</v>
      </c>
      <c r="B123" s="195"/>
      <c r="C123" s="198"/>
      <c r="D123" s="199"/>
      <c r="E123" s="198"/>
      <c r="F123" s="195"/>
      <c r="G123" s="191"/>
      <c r="H123" s="192"/>
      <c r="I123" s="191"/>
      <c r="J123" s="191"/>
      <c r="K123" s="191"/>
      <c r="L123" s="192"/>
      <c r="M123" s="193"/>
    </row>
    <row r="124" ht="27.75" hidden="1" customHeight="1">
      <c r="A124" s="203" t="s">
        <v>164</v>
      </c>
      <c r="B124" s="195"/>
      <c r="C124" s="198"/>
      <c r="D124" s="199"/>
      <c r="E124" s="198"/>
      <c r="F124" s="195"/>
      <c r="G124" s="191"/>
      <c r="H124" s="192"/>
      <c r="I124" s="191"/>
      <c r="J124" s="191"/>
      <c r="K124" s="191"/>
      <c r="L124" s="192"/>
      <c r="M124" s="193"/>
    </row>
    <row r="125" ht="27.75" hidden="1" customHeight="1">
      <c r="A125" s="203" t="s">
        <v>165</v>
      </c>
      <c r="B125" s="195"/>
      <c r="C125" s="198"/>
      <c r="D125" s="199"/>
      <c r="E125" s="198"/>
      <c r="F125" s="195"/>
      <c r="G125" s="191"/>
      <c r="H125" s="192"/>
      <c r="I125" s="191"/>
      <c r="J125" s="191"/>
      <c r="K125" s="191"/>
      <c r="L125" s="192"/>
      <c r="M125" s="193"/>
    </row>
    <row r="126" ht="27.75" hidden="1" customHeight="1">
      <c r="A126" s="194" t="s">
        <v>177</v>
      </c>
      <c r="B126" s="195"/>
      <c r="C126" s="198"/>
      <c r="D126" s="199"/>
      <c r="E126" s="198"/>
      <c r="F126" s="195"/>
      <c r="G126" s="191"/>
      <c r="H126" s="192"/>
      <c r="I126" s="191"/>
      <c r="J126" s="191"/>
      <c r="K126" s="191"/>
      <c r="L126" s="192"/>
      <c r="M126" s="193"/>
    </row>
    <row r="127" ht="27.75" hidden="1" customHeight="1">
      <c r="A127" s="203" t="s">
        <v>162</v>
      </c>
      <c r="B127" s="195"/>
      <c r="C127" s="198"/>
      <c r="D127" s="199"/>
      <c r="E127" s="198"/>
      <c r="F127" s="195"/>
      <c r="G127" s="191"/>
      <c r="H127" s="192"/>
      <c r="I127" s="191"/>
      <c r="J127" s="191"/>
      <c r="K127" s="191"/>
      <c r="L127" s="192"/>
      <c r="M127" s="193"/>
    </row>
    <row r="128" ht="27.75" hidden="1" customHeight="1">
      <c r="A128" s="203" t="s">
        <v>163</v>
      </c>
      <c r="B128" s="195"/>
      <c r="C128" s="198"/>
      <c r="D128" s="199"/>
      <c r="E128" s="198"/>
      <c r="F128" s="195"/>
      <c r="G128" s="191"/>
      <c r="H128" s="192"/>
      <c r="I128" s="191"/>
      <c r="J128" s="191"/>
      <c r="K128" s="191"/>
      <c r="L128" s="192"/>
      <c r="M128" s="193"/>
    </row>
    <row r="129" ht="27.75" hidden="1" customHeight="1">
      <c r="A129" s="203" t="s">
        <v>164</v>
      </c>
      <c r="B129" s="195"/>
      <c r="C129" s="198"/>
      <c r="D129" s="199"/>
      <c r="E129" s="198"/>
      <c r="F129" s="195"/>
      <c r="G129" s="191"/>
      <c r="H129" s="192"/>
      <c r="I129" s="191"/>
      <c r="J129" s="191"/>
      <c r="K129" s="191"/>
      <c r="L129" s="192"/>
      <c r="M129" s="193"/>
    </row>
    <row r="130" ht="27.75" hidden="1" customHeight="1">
      <c r="A130" s="203" t="s">
        <v>165</v>
      </c>
      <c r="B130" s="195"/>
      <c r="C130" s="198"/>
      <c r="D130" s="199"/>
      <c r="E130" s="198"/>
      <c r="F130" s="195"/>
      <c r="G130" s="191"/>
      <c r="H130" s="192"/>
      <c r="I130" s="191"/>
      <c r="J130" s="191"/>
      <c r="K130" s="191"/>
      <c r="L130" s="192"/>
      <c r="M130" s="193"/>
    </row>
    <row r="131" ht="27.75" hidden="1" customHeight="1">
      <c r="A131" s="194" t="s">
        <v>185</v>
      </c>
      <c r="B131" s="195"/>
      <c r="C131" s="198"/>
      <c r="D131" s="199"/>
      <c r="E131" s="198"/>
      <c r="F131" s="195"/>
      <c r="G131" s="191"/>
      <c r="H131" s="192"/>
      <c r="I131" s="191"/>
      <c r="J131" s="191"/>
      <c r="K131" s="191"/>
      <c r="L131" s="192"/>
      <c r="M131" s="193"/>
    </row>
    <row r="132" ht="27.75" hidden="1" customHeight="1">
      <c r="A132" s="203" t="s">
        <v>162</v>
      </c>
      <c r="B132" s="195"/>
      <c r="C132" s="198"/>
      <c r="D132" s="199"/>
      <c r="E132" s="198"/>
      <c r="F132" s="195"/>
      <c r="G132" s="191"/>
      <c r="H132" s="192"/>
      <c r="I132" s="191"/>
      <c r="J132" s="191"/>
      <c r="K132" s="191"/>
      <c r="L132" s="192"/>
      <c r="M132" s="193"/>
    </row>
    <row r="133" ht="27.75" hidden="1" customHeight="1">
      <c r="A133" s="203" t="s">
        <v>163</v>
      </c>
      <c r="B133" s="195"/>
      <c r="C133" s="198"/>
      <c r="D133" s="199"/>
      <c r="E133" s="198"/>
      <c r="F133" s="195"/>
      <c r="G133" s="191"/>
      <c r="H133" s="192"/>
      <c r="I133" s="191"/>
      <c r="J133" s="191"/>
      <c r="K133" s="191"/>
      <c r="L133" s="192"/>
      <c r="M133" s="193"/>
    </row>
    <row r="134" ht="27.75" hidden="1" customHeight="1">
      <c r="A134" s="203" t="s">
        <v>164</v>
      </c>
      <c r="B134" s="195"/>
      <c r="C134" s="198"/>
      <c r="D134" s="199"/>
      <c r="E134" s="198"/>
      <c r="F134" s="195"/>
      <c r="G134" s="191"/>
      <c r="H134" s="192"/>
      <c r="I134" s="191"/>
      <c r="J134" s="191"/>
      <c r="K134" s="191"/>
      <c r="L134" s="192"/>
      <c r="M134" s="193"/>
    </row>
    <row r="135" ht="27.75" hidden="1" customHeight="1">
      <c r="A135" s="203" t="s">
        <v>165</v>
      </c>
      <c r="B135" s="195"/>
      <c r="C135" s="198"/>
      <c r="D135" s="199"/>
      <c r="E135" s="198"/>
      <c r="F135" s="195"/>
      <c r="G135" s="191"/>
      <c r="H135" s="192"/>
      <c r="I135" s="191"/>
      <c r="J135" s="191"/>
      <c r="K135" s="191"/>
      <c r="L135" s="192"/>
      <c r="M135" s="193"/>
    </row>
    <row r="136" ht="27.75" hidden="1" customHeight="1">
      <c r="A136" s="194" t="s">
        <v>186</v>
      </c>
      <c r="B136" s="195"/>
      <c r="C136" s="198"/>
      <c r="D136" s="199"/>
      <c r="E136" s="198"/>
      <c r="F136" s="195"/>
      <c r="G136" s="191"/>
      <c r="H136" s="192"/>
      <c r="I136" s="191"/>
      <c r="J136" s="191"/>
      <c r="K136" s="191"/>
      <c r="L136" s="192"/>
      <c r="M136" s="193"/>
    </row>
    <row r="137" ht="27.75" hidden="1" customHeight="1">
      <c r="A137" s="203" t="s">
        <v>162</v>
      </c>
      <c r="B137" s="195"/>
      <c r="C137" s="198"/>
      <c r="D137" s="199"/>
      <c r="E137" s="198"/>
      <c r="F137" s="195"/>
      <c r="G137" s="191"/>
      <c r="H137" s="192"/>
      <c r="I137" s="191"/>
      <c r="J137" s="191"/>
      <c r="K137" s="191"/>
      <c r="L137" s="192"/>
      <c r="M137" s="193"/>
    </row>
    <row r="138" ht="27.75" hidden="1" customHeight="1">
      <c r="A138" s="203" t="s">
        <v>163</v>
      </c>
      <c r="B138" s="195"/>
      <c r="C138" s="198"/>
      <c r="D138" s="199"/>
      <c r="E138" s="198"/>
      <c r="F138" s="195"/>
      <c r="G138" s="191"/>
      <c r="H138" s="192"/>
      <c r="I138" s="191"/>
      <c r="J138" s="191"/>
      <c r="K138" s="191"/>
      <c r="L138" s="192"/>
      <c r="M138" s="193"/>
    </row>
    <row r="139" ht="27.75" hidden="1" customHeight="1">
      <c r="A139" s="203" t="s">
        <v>164</v>
      </c>
      <c r="B139" s="195"/>
      <c r="C139" s="198"/>
      <c r="D139" s="199"/>
      <c r="E139" s="198"/>
      <c r="F139" s="195"/>
      <c r="G139" s="191"/>
      <c r="H139" s="192"/>
      <c r="I139" s="191"/>
      <c r="J139" s="191"/>
      <c r="K139" s="191"/>
      <c r="L139" s="192"/>
      <c r="M139" s="193"/>
    </row>
    <row r="140" ht="27.75" hidden="1" customHeight="1">
      <c r="A140" s="203" t="s">
        <v>165</v>
      </c>
      <c r="B140" s="195"/>
      <c r="C140" s="198"/>
      <c r="D140" s="199"/>
      <c r="E140" s="198"/>
      <c r="F140" s="195"/>
      <c r="G140" s="191"/>
      <c r="H140" s="192"/>
      <c r="I140" s="191"/>
      <c r="J140" s="191"/>
      <c r="K140" s="191"/>
      <c r="L140" s="192"/>
      <c r="M140" s="193"/>
    </row>
    <row r="141" ht="27.75" hidden="1" customHeight="1">
      <c r="A141" s="194" t="s">
        <v>187</v>
      </c>
      <c r="B141" s="195"/>
      <c r="C141" s="198"/>
      <c r="D141" s="199"/>
      <c r="E141" s="198"/>
      <c r="F141" s="195"/>
      <c r="G141" s="191"/>
      <c r="H141" s="192"/>
      <c r="I141" s="191"/>
      <c r="J141" s="191"/>
      <c r="K141" s="191"/>
      <c r="L141" s="192"/>
      <c r="M141" s="193"/>
    </row>
    <row r="142" ht="27.75" hidden="1" customHeight="1">
      <c r="A142" s="203" t="s">
        <v>162</v>
      </c>
      <c r="B142" s="195"/>
      <c r="C142" s="198"/>
      <c r="D142" s="199"/>
      <c r="E142" s="198"/>
      <c r="F142" s="195"/>
      <c r="G142" s="191"/>
      <c r="H142" s="192"/>
      <c r="I142" s="191"/>
      <c r="J142" s="191"/>
      <c r="K142" s="191"/>
      <c r="L142" s="192"/>
      <c r="M142" s="193"/>
    </row>
    <row r="143" ht="27.75" hidden="1" customHeight="1">
      <c r="A143" s="203" t="s">
        <v>163</v>
      </c>
      <c r="B143" s="195"/>
      <c r="C143" s="198"/>
      <c r="D143" s="199"/>
      <c r="E143" s="198"/>
      <c r="F143" s="195"/>
      <c r="G143" s="191"/>
      <c r="H143" s="192"/>
      <c r="I143" s="191"/>
      <c r="J143" s="191"/>
      <c r="K143" s="191"/>
      <c r="L143" s="192"/>
      <c r="M143" s="193"/>
    </row>
    <row r="144" ht="27.75" hidden="1" customHeight="1">
      <c r="A144" s="203" t="s">
        <v>164</v>
      </c>
      <c r="B144" s="195"/>
      <c r="C144" s="198"/>
      <c r="D144" s="199"/>
      <c r="E144" s="198"/>
      <c r="F144" s="195"/>
      <c r="G144" s="191"/>
      <c r="H144" s="192"/>
      <c r="I144" s="191"/>
      <c r="J144" s="191"/>
      <c r="K144" s="191"/>
      <c r="L144" s="192"/>
      <c r="M144" s="193"/>
    </row>
    <row r="145" ht="27.75" hidden="1" customHeight="1">
      <c r="A145" s="203" t="s">
        <v>165</v>
      </c>
      <c r="B145" s="195"/>
      <c r="C145" s="198"/>
      <c r="D145" s="199"/>
      <c r="E145" s="198"/>
      <c r="F145" s="195"/>
      <c r="G145" s="191"/>
      <c r="H145" s="192"/>
      <c r="I145" s="191"/>
      <c r="J145" s="191"/>
      <c r="K145" s="191"/>
      <c r="L145" s="192"/>
      <c r="M145" s="193"/>
    </row>
    <row r="146" ht="27.75" customHeight="1">
      <c r="A146" s="194" t="s">
        <v>188</v>
      </c>
      <c r="B146" s="195"/>
      <c r="C146" s="198"/>
      <c r="D146" s="199"/>
      <c r="E146" s="198"/>
      <c r="F146" s="195"/>
      <c r="G146" s="191"/>
      <c r="H146" s="192"/>
      <c r="I146" s="191"/>
      <c r="J146" s="191"/>
      <c r="K146" s="191"/>
      <c r="L146" s="192"/>
      <c r="M146" s="193"/>
    </row>
    <row r="147" ht="27.75" customHeight="1">
      <c r="A147" s="203" t="s">
        <v>162</v>
      </c>
      <c r="B147" s="195"/>
      <c r="C147" s="198"/>
      <c r="D147" s="199"/>
      <c r="E147" s="198"/>
      <c r="F147" s="195"/>
      <c r="G147" s="191"/>
      <c r="H147" s="192"/>
      <c r="I147" s="191"/>
      <c r="J147" s="191"/>
      <c r="K147" s="191"/>
      <c r="L147" s="192"/>
      <c r="M147" s="193"/>
    </row>
    <row r="148" ht="27.75" customHeight="1">
      <c r="A148" s="203" t="s">
        <v>163</v>
      </c>
      <c r="B148" s="195"/>
      <c r="C148" s="198"/>
      <c r="D148" s="199"/>
      <c r="E148" s="198"/>
      <c r="F148" s="195"/>
      <c r="G148" s="191"/>
      <c r="H148" s="192"/>
      <c r="I148" s="191"/>
      <c r="J148" s="191"/>
      <c r="K148" s="191"/>
      <c r="L148" s="192"/>
      <c r="M148" s="193"/>
    </row>
    <row r="149" ht="27.75" customHeight="1">
      <c r="A149" s="203" t="s">
        <v>164</v>
      </c>
      <c r="B149" s="195"/>
      <c r="C149" s="198"/>
      <c r="D149" s="199"/>
      <c r="E149" s="198"/>
      <c r="F149" s="195"/>
      <c r="G149" s="191"/>
      <c r="H149" s="192"/>
      <c r="I149" s="191"/>
      <c r="J149" s="191"/>
      <c r="K149" s="191"/>
      <c r="L149" s="192"/>
      <c r="M149" s="193"/>
    </row>
    <row r="150" ht="27.75" customHeight="1">
      <c r="A150" s="203" t="s">
        <v>165</v>
      </c>
      <c r="B150" s="195"/>
      <c r="C150" s="198"/>
      <c r="D150" s="199"/>
      <c r="E150" s="198"/>
      <c r="F150" s="195"/>
      <c r="G150" s="191"/>
      <c r="H150" s="192"/>
      <c r="I150" s="191"/>
      <c r="J150" s="191"/>
      <c r="K150" s="191"/>
      <c r="L150" s="192"/>
      <c r="M150" s="193"/>
    </row>
    <row r="151" ht="27.75" hidden="1" customHeight="1">
      <c r="A151" s="194" t="s">
        <v>189</v>
      </c>
      <c r="B151" s="195"/>
      <c r="C151" s="198"/>
      <c r="D151" s="199"/>
      <c r="E151" s="198"/>
      <c r="F151" s="195"/>
      <c r="G151" s="191"/>
      <c r="H151" s="192"/>
      <c r="I151" s="191"/>
      <c r="J151" s="191"/>
      <c r="K151" s="191"/>
      <c r="L151" s="192"/>
      <c r="M151" s="193"/>
    </row>
    <row r="152" ht="27.75" hidden="1" customHeight="1">
      <c r="A152" s="203" t="s">
        <v>162</v>
      </c>
      <c r="B152" s="195"/>
      <c r="C152" s="198"/>
      <c r="D152" s="199"/>
      <c r="E152" s="198"/>
      <c r="F152" s="195"/>
      <c r="G152" s="191"/>
      <c r="H152" s="192"/>
      <c r="I152" s="191"/>
      <c r="J152" s="191"/>
      <c r="K152" s="191"/>
      <c r="L152" s="192"/>
      <c r="M152" s="193"/>
    </row>
    <row r="153" ht="27.75" hidden="1" customHeight="1">
      <c r="A153" s="203" t="s">
        <v>163</v>
      </c>
      <c r="B153" s="195"/>
      <c r="C153" s="198"/>
      <c r="D153" s="199"/>
      <c r="E153" s="198"/>
      <c r="F153" s="195"/>
      <c r="G153" s="191"/>
      <c r="H153" s="192"/>
      <c r="I153" s="191"/>
      <c r="J153" s="191"/>
      <c r="K153" s="191"/>
      <c r="L153" s="192"/>
      <c r="M153" s="193"/>
    </row>
    <row r="154" ht="27.75" hidden="1" customHeight="1">
      <c r="A154" s="203" t="s">
        <v>164</v>
      </c>
      <c r="B154" s="195"/>
      <c r="C154" s="198"/>
      <c r="D154" s="199"/>
      <c r="E154" s="198"/>
      <c r="F154" s="195"/>
      <c r="G154" s="191"/>
      <c r="H154" s="192"/>
      <c r="I154" s="191"/>
      <c r="J154" s="191"/>
      <c r="K154" s="191"/>
      <c r="L154" s="192"/>
      <c r="M154" s="193"/>
    </row>
    <row r="155" ht="27.75" hidden="1" customHeight="1">
      <c r="A155" s="203" t="s">
        <v>165</v>
      </c>
      <c r="B155" s="195"/>
      <c r="C155" s="198"/>
      <c r="D155" s="199"/>
      <c r="E155" s="198"/>
      <c r="F155" s="195"/>
      <c r="G155" s="191"/>
      <c r="H155" s="192"/>
      <c r="I155" s="191"/>
      <c r="J155" s="191"/>
      <c r="K155" s="191"/>
      <c r="L155" s="192"/>
      <c r="M155" s="193"/>
    </row>
    <row r="156" ht="27.75" hidden="1" customHeight="1">
      <c r="A156" s="194" t="s">
        <v>190</v>
      </c>
      <c r="B156" s="195"/>
      <c r="C156" s="198"/>
      <c r="D156" s="199"/>
      <c r="E156" s="198"/>
      <c r="F156" s="195"/>
      <c r="G156" s="191"/>
      <c r="H156" s="192"/>
      <c r="I156" s="191"/>
      <c r="J156" s="191"/>
      <c r="K156" s="191"/>
      <c r="L156" s="192"/>
      <c r="M156" s="193"/>
    </row>
    <row r="157" ht="27.75" hidden="1" customHeight="1">
      <c r="A157" s="203" t="s">
        <v>162</v>
      </c>
      <c r="B157" s="195"/>
      <c r="C157" s="198"/>
      <c r="D157" s="199"/>
      <c r="E157" s="198"/>
      <c r="F157" s="195"/>
      <c r="G157" s="191"/>
      <c r="H157" s="192"/>
      <c r="I157" s="191"/>
      <c r="J157" s="191"/>
      <c r="K157" s="191"/>
      <c r="L157" s="192"/>
      <c r="M157" s="193"/>
    </row>
    <row r="158" ht="27.75" hidden="1" customHeight="1">
      <c r="A158" s="203" t="s">
        <v>163</v>
      </c>
      <c r="B158" s="195"/>
      <c r="C158" s="198"/>
      <c r="D158" s="199"/>
      <c r="E158" s="198"/>
      <c r="F158" s="195"/>
      <c r="G158" s="191"/>
      <c r="H158" s="192"/>
      <c r="I158" s="191"/>
      <c r="J158" s="191"/>
      <c r="K158" s="191"/>
      <c r="L158" s="192"/>
      <c r="M158" s="193"/>
    </row>
    <row r="159" ht="27.75" hidden="1" customHeight="1">
      <c r="A159" s="203" t="s">
        <v>164</v>
      </c>
      <c r="B159" s="195"/>
      <c r="C159" s="198"/>
      <c r="D159" s="199"/>
      <c r="E159" s="198"/>
      <c r="F159" s="195"/>
      <c r="G159" s="191"/>
      <c r="H159" s="192"/>
      <c r="I159" s="191"/>
      <c r="J159" s="191"/>
      <c r="K159" s="191"/>
      <c r="L159" s="192"/>
      <c r="M159" s="193"/>
    </row>
    <row r="160" ht="27.75" hidden="1" customHeight="1">
      <c r="A160" s="203" t="s">
        <v>165</v>
      </c>
      <c r="B160" s="195"/>
      <c r="C160" s="198"/>
      <c r="D160" s="199"/>
      <c r="E160" s="198"/>
      <c r="F160" s="195"/>
      <c r="G160" s="191"/>
      <c r="H160" s="192"/>
      <c r="I160" s="191"/>
      <c r="J160" s="191"/>
      <c r="K160" s="191"/>
      <c r="L160" s="192"/>
      <c r="M160" s="193"/>
    </row>
    <row r="161" ht="22.5" hidden="1" customHeight="1">
      <c r="A161" s="194" t="s">
        <v>191</v>
      </c>
      <c r="B161" s="195"/>
      <c r="C161" s="198"/>
      <c r="D161" s="199"/>
      <c r="E161" s="198"/>
      <c r="F161" s="195"/>
      <c r="G161" s="191"/>
      <c r="H161" s="192"/>
      <c r="I161" s="191"/>
      <c r="J161" s="191"/>
      <c r="K161" s="191"/>
      <c r="L161" s="192"/>
      <c r="M161" s="193"/>
    </row>
    <row r="162" ht="21.0" hidden="1" customHeight="1">
      <c r="A162" s="203" t="s">
        <v>162</v>
      </c>
      <c r="B162" s="195"/>
      <c r="C162" s="198"/>
      <c r="D162" s="199"/>
      <c r="E162" s="198"/>
      <c r="F162" s="195"/>
      <c r="G162" s="191"/>
      <c r="H162" s="192"/>
      <c r="I162" s="191"/>
      <c r="J162" s="191"/>
      <c r="K162" s="191"/>
      <c r="L162" s="192"/>
      <c r="M162" s="193"/>
    </row>
    <row r="163" ht="24.75" hidden="1" customHeight="1">
      <c r="A163" s="203" t="s">
        <v>163</v>
      </c>
      <c r="B163" s="195"/>
      <c r="C163" s="198"/>
      <c r="D163" s="199"/>
      <c r="E163" s="198"/>
      <c r="F163" s="195"/>
      <c r="G163" s="191"/>
      <c r="H163" s="192"/>
      <c r="I163" s="191"/>
      <c r="J163" s="191"/>
      <c r="K163" s="191"/>
      <c r="L163" s="192"/>
      <c r="M163" s="193"/>
    </row>
    <row r="164" ht="39.0" hidden="1" customHeight="1">
      <c r="A164" s="203" t="s">
        <v>164</v>
      </c>
      <c r="B164" s="195"/>
      <c r="C164" s="198"/>
      <c r="D164" s="199"/>
      <c r="E164" s="198"/>
      <c r="F164" s="195"/>
      <c r="G164" s="191"/>
      <c r="H164" s="192"/>
      <c r="I164" s="191"/>
      <c r="J164" s="191"/>
      <c r="K164" s="191"/>
      <c r="L164" s="192"/>
      <c r="M164" s="193"/>
    </row>
    <row r="165" ht="25.5" hidden="1" customHeight="1">
      <c r="A165" s="203" t="s">
        <v>165</v>
      </c>
      <c r="B165" s="195"/>
      <c r="C165" s="205"/>
      <c r="D165" s="199"/>
      <c r="E165" s="198"/>
      <c r="F165" s="195"/>
      <c r="G165" s="191"/>
      <c r="H165" s="192"/>
      <c r="I165" s="191"/>
      <c r="J165" s="191"/>
      <c r="K165" s="191"/>
      <c r="L165" s="192"/>
      <c r="M165" s="193"/>
    </row>
    <row r="166" ht="34.5" hidden="1" customHeight="1">
      <c r="A166" s="194" t="s">
        <v>192</v>
      </c>
      <c r="B166" s="195"/>
      <c r="C166" s="198"/>
      <c r="D166" s="199"/>
      <c r="E166" s="198"/>
      <c r="F166" s="195"/>
      <c r="G166" s="191"/>
      <c r="H166" s="192"/>
      <c r="I166" s="191"/>
      <c r="J166" s="191"/>
      <c r="K166" s="191"/>
      <c r="L166" s="192"/>
      <c r="M166" s="193"/>
    </row>
    <row r="167" ht="34.5" hidden="1" customHeight="1">
      <c r="A167" s="203" t="s">
        <v>162</v>
      </c>
      <c r="B167" s="195"/>
      <c r="C167" s="198"/>
      <c r="D167" s="199"/>
      <c r="E167" s="198"/>
      <c r="F167" s="195"/>
      <c r="G167" s="191"/>
      <c r="H167" s="192"/>
      <c r="I167" s="191"/>
      <c r="J167" s="191"/>
      <c r="K167" s="191"/>
      <c r="L167" s="192"/>
      <c r="M167" s="193"/>
    </row>
    <row r="168" ht="34.5" hidden="1" customHeight="1">
      <c r="A168" s="203" t="s">
        <v>163</v>
      </c>
      <c r="B168" s="195"/>
      <c r="C168" s="198"/>
      <c r="D168" s="199"/>
      <c r="E168" s="198"/>
      <c r="F168" s="195"/>
      <c r="G168" s="191"/>
      <c r="H168" s="192"/>
      <c r="I168" s="191"/>
      <c r="J168" s="191"/>
      <c r="K168" s="191"/>
      <c r="L168" s="192"/>
      <c r="M168" s="193"/>
    </row>
    <row r="169" ht="34.5" hidden="1" customHeight="1">
      <c r="A169" s="203" t="s">
        <v>164</v>
      </c>
      <c r="B169" s="195"/>
      <c r="C169" s="198"/>
      <c r="D169" s="199"/>
      <c r="E169" s="198"/>
      <c r="F169" s="195"/>
      <c r="G169" s="191"/>
      <c r="H169" s="192"/>
      <c r="I169" s="191"/>
      <c r="J169" s="191"/>
      <c r="K169" s="191"/>
      <c r="L169" s="192"/>
      <c r="M169" s="193"/>
    </row>
    <row r="170" ht="34.5" hidden="1" customHeight="1">
      <c r="A170" s="203" t="s">
        <v>165</v>
      </c>
      <c r="B170" s="195"/>
      <c r="C170" s="198"/>
      <c r="D170" s="199"/>
      <c r="E170" s="198"/>
      <c r="F170" s="195"/>
      <c r="G170" s="191"/>
      <c r="H170" s="192"/>
      <c r="I170" s="191"/>
      <c r="J170" s="191"/>
      <c r="K170" s="191"/>
      <c r="L170" s="192"/>
      <c r="M170" s="193"/>
    </row>
    <row r="171" ht="34.5" hidden="1" customHeight="1">
      <c r="A171" s="194" t="s">
        <v>193</v>
      </c>
      <c r="B171" s="195"/>
      <c r="C171" s="198"/>
      <c r="D171" s="199"/>
      <c r="E171" s="198"/>
      <c r="F171" s="195"/>
      <c r="G171" s="191"/>
      <c r="H171" s="192"/>
      <c r="I171" s="191"/>
      <c r="J171" s="191"/>
      <c r="K171" s="191"/>
      <c r="L171" s="192"/>
      <c r="M171" s="193"/>
    </row>
    <row r="172" ht="34.5" hidden="1" customHeight="1">
      <c r="A172" s="203" t="s">
        <v>162</v>
      </c>
      <c r="B172" s="195"/>
      <c r="C172" s="198"/>
      <c r="D172" s="199"/>
      <c r="E172" s="198"/>
      <c r="F172" s="195"/>
      <c r="G172" s="191"/>
      <c r="H172" s="192"/>
      <c r="I172" s="191"/>
      <c r="J172" s="191"/>
      <c r="K172" s="191"/>
      <c r="L172" s="192"/>
      <c r="M172" s="193"/>
    </row>
    <row r="173" ht="34.5" hidden="1" customHeight="1">
      <c r="A173" s="203" t="s">
        <v>163</v>
      </c>
      <c r="B173" s="195"/>
      <c r="C173" s="198"/>
      <c r="D173" s="199"/>
      <c r="E173" s="198"/>
      <c r="F173" s="195"/>
      <c r="G173" s="191"/>
      <c r="H173" s="192"/>
      <c r="I173" s="191"/>
      <c r="J173" s="191"/>
      <c r="K173" s="191"/>
      <c r="L173" s="192"/>
      <c r="M173" s="193"/>
    </row>
    <row r="174" ht="34.5" hidden="1" customHeight="1">
      <c r="A174" s="203" t="s">
        <v>164</v>
      </c>
      <c r="B174" s="195"/>
      <c r="C174" s="198"/>
      <c r="D174" s="199"/>
      <c r="E174" s="198"/>
      <c r="F174" s="195"/>
      <c r="G174" s="191"/>
      <c r="H174" s="192"/>
      <c r="I174" s="191"/>
      <c r="J174" s="191"/>
      <c r="K174" s="191"/>
      <c r="L174" s="192"/>
      <c r="M174" s="193"/>
    </row>
    <row r="175" ht="34.5" hidden="1" customHeight="1">
      <c r="A175" s="203" t="s">
        <v>165</v>
      </c>
      <c r="B175" s="195"/>
      <c r="C175" s="198"/>
      <c r="D175" s="199"/>
      <c r="E175" s="198"/>
      <c r="F175" s="195"/>
      <c r="G175" s="191"/>
      <c r="H175" s="192"/>
      <c r="I175" s="191"/>
      <c r="J175" s="191"/>
      <c r="K175" s="191"/>
      <c r="L175" s="192"/>
      <c r="M175" s="193"/>
    </row>
    <row r="176" ht="34.5" hidden="1" customHeight="1">
      <c r="A176" s="194" t="s">
        <v>194</v>
      </c>
      <c r="B176" s="195"/>
      <c r="C176" s="198"/>
      <c r="D176" s="199"/>
      <c r="E176" s="198"/>
      <c r="F176" s="195"/>
      <c r="G176" s="191"/>
      <c r="H176" s="192"/>
      <c r="I176" s="191"/>
      <c r="J176" s="191"/>
      <c r="K176" s="191"/>
      <c r="L176" s="192"/>
      <c r="M176" s="193"/>
    </row>
    <row r="177" ht="34.5" hidden="1" customHeight="1">
      <c r="A177" s="203" t="s">
        <v>162</v>
      </c>
      <c r="B177" s="195"/>
      <c r="C177" s="198"/>
      <c r="D177" s="199"/>
      <c r="E177" s="198"/>
      <c r="F177" s="195"/>
      <c r="G177" s="191"/>
      <c r="H177" s="192"/>
      <c r="I177" s="191"/>
      <c r="J177" s="191"/>
      <c r="K177" s="191"/>
      <c r="L177" s="192"/>
      <c r="M177" s="193"/>
    </row>
    <row r="178" ht="34.5" hidden="1" customHeight="1">
      <c r="A178" s="203" t="s">
        <v>163</v>
      </c>
      <c r="B178" s="195"/>
      <c r="C178" s="198"/>
      <c r="D178" s="199"/>
      <c r="E178" s="198"/>
      <c r="F178" s="195"/>
      <c r="G178" s="191"/>
      <c r="H178" s="192"/>
      <c r="I178" s="191"/>
      <c r="J178" s="191"/>
      <c r="K178" s="191"/>
      <c r="L178" s="192"/>
      <c r="M178" s="193"/>
    </row>
    <row r="179" ht="34.5" hidden="1" customHeight="1">
      <c r="A179" s="203" t="s">
        <v>164</v>
      </c>
      <c r="B179" s="195"/>
      <c r="C179" s="198"/>
      <c r="D179" s="199"/>
      <c r="E179" s="198"/>
      <c r="F179" s="195"/>
      <c r="G179" s="191"/>
      <c r="H179" s="192"/>
      <c r="I179" s="191"/>
      <c r="J179" s="191"/>
      <c r="K179" s="191"/>
      <c r="L179" s="192"/>
      <c r="M179" s="193"/>
    </row>
    <row r="180" ht="34.5" hidden="1" customHeight="1">
      <c r="A180" s="203" t="s">
        <v>165</v>
      </c>
      <c r="B180" s="195"/>
      <c r="C180" s="198"/>
      <c r="D180" s="199"/>
      <c r="E180" s="198"/>
      <c r="F180" s="195"/>
      <c r="G180" s="191"/>
      <c r="H180" s="192"/>
      <c r="I180" s="191"/>
      <c r="J180" s="191"/>
      <c r="K180" s="191"/>
      <c r="L180" s="192"/>
      <c r="M180" s="193"/>
    </row>
    <row r="181" ht="34.5" hidden="1" customHeight="1">
      <c r="A181" s="194" t="s">
        <v>195</v>
      </c>
      <c r="B181" s="195"/>
      <c r="C181" s="198"/>
      <c r="D181" s="199"/>
      <c r="E181" s="198"/>
      <c r="F181" s="195"/>
      <c r="G181" s="191"/>
      <c r="H181" s="192"/>
      <c r="I181" s="191"/>
      <c r="J181" s="191"/>
      <c r="K181" s="191"/>
      <c r="L181" s="192"/>
      <c r="M181" s="193"/>
    </row>
    <row r="182" ht="34.5" hidden="1" customHeight="1">
      <c r="A182" s="203" t="s">
        <v>162</v>
      </c>
      <c r="B182" s="195"/>
      <c r="C182" s="198"/>
      <c r="D182" s="199"/>
      <c r="E182" s="198"/>
      <c r="F182" s="195"/>
      <c r="G182" s="191"/>
      <c r="H182" s="192"/>
      <c r="I182" s="191"/>
      <c r="J182" s="191"/>
      <c r="K182" s="191"/>
      <c r="L182" s="192"/>
      <c r="M182" s="193"/>
    </row>
    <row r="183" ht="34.5" hidden="1" customHeight="1">
      <c r="A183" s="203" t="s">
        <v>163</v>
      </c>
      <c r="B183" s="195"/>
      <c r="C183" s="198"/>
      <c r="D183" s="199"/>
      <c r="E183" s="198"/>
      <c r="F183" s="195"/>
      <c r="G183" s="191"/>
      <c r="H183" s="192"/>
      <c r="I183" s="191"/>
      <c r="J183" s="191"/>
      <c r="K183" s="191"/>
      <c r="L183" s="192"/>
      <c r="M183" s="193"/>
    </row>
    <row r="184" ht="34.5" hidden="1" customHeight="1">
      <c r="A184" s="203" t="s">
        <v>164</v>
      </c>
      <c r="B184" s="195"/>
      <c r="C184" s="198"/>
      <c r="D184" s="199"/>
      <c r="E184" s="198"/>
      <c r="F184" s="195"/>
      <c r="G184" s="191"/>
      <c r="H184" s="192"/>
      <c r="I184" s="191"/>
      <c r="J184" s="191"/>
      <c r="K184" s="191"/>
      <c r="L184" s="192"/>
      <c r="M184" s="193"/>
    </row>
    <row r="185" ht="34.5" hidden="1" customHeight="1">
      <c r="A185" s="203" t="s">
        <v>165</v>
      </c>
      <c r="B185" s="195"/>
      <c r="C185" s="198"/>
      <c r="D185" s="199"/>
      <c r="E185" s="198"/>
      <c r="F185" s="195"/>
      <c r="G185" s="191"/>
      <c r="H185" s="192"/>
      <c r="I185" s="191"/>
      <c r="J185" s="191"/>
      <c r="K185" s="191"/>
      <c r="L185" s="192"/>
      <c r="M185" s="193"/>
    </row>
    <row r="186" ht="34.5" hidden="1" customHeight="1">
      <c r="A186" s="194" t="s">
        <v>196</v>
      </c>
      <c r="B186" s="195"/>
      <c r="C186" s="198"/>
      <c r="D186" s="199"/>
      <c r="E186" s="198"/>
      <c r="F186" s="195"/>
      <c r="G186" s="191"/>
      <c r="H186" s="192"/>
      <c r="I186" s="191"/>
      <c r="J186" s="191"/>
      <c r="K186" s="191"/>
      <c r="L186" s="192"/>
      <c r="M186" s="193"/>
    </row>
    <row r="187" ht="34.5" hidden="1" customHeight="1">
      <c r="A187" s="203" t="s">
        <v>162</v>
      </c>
      <c r="B187" s="195"/>
      <c r="C187" s="198"/>
      <c r="D187" s="199"/>
      <c r="E187" s="198"/>
      <c r="F187" s="195"/>
      <c r="G187" s="191"/>
      <c r="H187" s="192"/>
      <c r="I187" s="191"/>
      <c r="J187" s="191"/>
      <c r="K187" s="191"/>
      <c r="L187" s="192"/>
      <c r="M187" s="193"/>
    </row>
    <row r="188" ht="34.5" hidden="1" customHeight="1">
      <c r="A188" s="203" t="s">
        <v>163</v>
      </c>
      <c r="B188" s="195"/>
      <c r="C188" s="198"/>
      <c r="D188" s="199"/>
      <c r="E188" s="198"/>
      <c r="F188" s="195"/>
      <c r="G188" s="191"/>
      <c r="H188" s="192"/>
      <c r="I188" s="191"/>
      <c r="J188" s="191"/>
      <c r="K188" s="191"/>
      <c r="L188" s="192"/>
      <c r="M188" s="193"/>
    </row>
    <row r="189" ht="34.5" hidden="1" customHeight="1">
      <c r="A189" s="203" t="s">
        <v>164</v>
      </c>
      <c r="B189" s="195"/>
      <c r="C189" s="198"/>
      <c r="D189" s="199"/>
      <c r="E189" s="198"/>
      <c r="F189" s="195"/>
      <c r="G189" s="191"/>
      <c r="H189" s="192"/>
      <c r="I189" s="191"/>
      <c r="J189" s="191"/>
      <c r="K189" s="191"/>
      <c r="L189" s="192"/>
      <c r="M189" s="193"/>
    </row>
    <row r="190" ht="34.5" hidden="1" customHeight="1">
      <c r="A190" s="203" t="s">
        <v>165</v>
      </c>
      <c r="B190" s="195"/>
      <c r="C190" s="198"/>
      <c r="D190" s="199"/>
      <c r="E190" s="198"/>
      <c r="F190" s="195"/>
      <c r="G190" s="191"/>
      <c r="H190" s="192"/>
      <c r="I190" s="191"/>
      <c r="J190" s="191"/>
      <c r="K190" s="191"/>
      <c r="L190" s="192"/>
      <c r="M190" s="193"/>
    </row>
    <row r="191" ht="34.5" hidden="1" customHeight="1">
      <c r="A191" s="194" t="s">
        <v>197</v>
      </c>
      <c r="B191" s="195"/>
      <c r="C191" s="198"/>
      <c r="D191" s="199"/>
      <c r="E191" s="198"/>
      <c r="F191" s="195"/>
      <c r="G191" s="191"/>
      <c r="H191" s="192"/>
      <c r="I191" s="191"/>
      <c r="J191" s="191"/>
      <c r="K191" s="191"/>
      <c r="L191" s="192"/>
      <c r="M191" s="193"/>
    </row>
    <row r="192" ht="34.5" hidden="1" customHeight="1">
      <c r="A192" s="203" t="s">
        <v>162</v>
      </c>
      <c r="B192" s="195"/>
      <c r="C192" s="198"/>
      <c r="D192" s="199"/>
      <c r="E192" s="198"/>
      <c r="F192" s="195"/>
      <c r="G192" s="191"/>
      <c r="H192" s="192"/>
      <c r="I192" s="191"/>
      <c r="J192" s="191"/>
      <c r="K192" s="191"/>
      <c r="L192" s="192"/>
      <c r="M192" s="193"/>
    </row>
    <row r="193" ht="34.5" hidden="1" customHeight="1">
      <c r="A193" s="203" t="s">
        <v>163</v>
      </c>
      <c r="B193" s="195"/>
      <c r="C193" s="198"/>
      <c r="D193" s="199"/>
      <c r="E193" s="198"/>
      <c r="F193" s="195"/>
      <c r="G193" s="191"/>
      <c r="H193" s="192"/>
      <c r="I193" s="191"/>
      <c r="J193" s="191"/>
      <c r="K193" s="191"/>
      <c r="L193" s="192"/>
      <c r="M193" s="193"/>
    </row>
    <row r="194" ht="34.5" hidden="1" customHeight="1">
      <c r="A194" s="203" t="s">
        <v>164</v>
      </c>
      <c r="B194" s="195"/>
      <c r="C194" s="198"/>
      <c r="D194" s="199"/>
      <c r="E194" s="198"/>
      <c r="F194" s="195"/>
      <c r="G194" s="191"/>
      <c r="H194" s="192"/>
      <c r="I194" s="191"/>
      <c r="J194" s="191"/>
      <c r="K194" s="191"/>
      <c r="L194" s="192"/>
      <c r="M194" s="193"/>
    </row>
    <row r="195" ht="34.5" hidden="1" customHeight="1">
      <c r="A195" s="203" t="s">
        <v>165</v>
      </c>
      <c r="B195" s="195"/>
      <c r="C195" s="198"/>
      <c r="D195" s="199"/>
      <c r="E195" s="198"/>
      <c r="F195" s="195"/>
      <c r="G195" s="191"/>
      <c r="H195" s="192"/>
      <c r="I195" s="191"/>
      <c r="J195" s="191"/>
      <c r="K195" s="191"/>
      <c r="L195" s="192"/>
      <c r="M195" s="193"/>
    </row>
    <row r="196" ht="34.5" hidden="1" customHeight="1">
      <c r="A196" s="194" t="s">
        <v>198</v>
      </c>
      <c r="B196" s="195"/>
      <c r="C196" s="198"/>
      <c r="D196" s="199"/>
      <c r="E196" s="198"/>
      <c r="F196" s="195"/>
      <c r="G196" s="191"/>
      <c r="H196" s="192"/>
      <c r="I196" s="191"/>
      <c r="J196" s="191"/>
      <c r="K196" s="191"/>
      <c r="L196" s="192"/>
      <c r="M196" s="193"/>
    </row>
    <row r="197" ht="34.5" hidden="1" customHeight="1">
      <c r="A197" s="203" t="s">
        <v>162</v>
      </c>
      <c r="B197" s="195"/>
      <c r="C197" s="198"/>
      <c r="D197" s="199"/>
      <c r="E197" s="198"/>
      <c r="F197" s="195"/>
      <c r="G197" s="191"/>
      <c r="H197" s="192"/>
      <c r="I197" s="191"/>
      <c r="J197" s="191"/>
      <c r="K197" s="191"/>
      <c r="L197" s="192"/>
      <c r="M197" s="193"/>
    </row>
    <row r="198" ht="34.5" hidden="1" customHeight="1">
      <c r="A198" s="203" t="s">
        <v>163</v>
      </c>
      <c r="B198" s="195"/>
      <c r="C198" s="198"/>
      <c r="D198" s="199"/>
      <c r="E198" s="198"/>
      <c r="F198" s="195"/>
      <c r="G198" s="191"/>
      <c r="H198" s="192"/>
      <c r="I198" s="191"/>
      <c r="J198" s="191"/>
      <c r="K198" s="191"/>
      <c r="L198" s="192"/>
      <c r="M198" s="193"/>
    </row>
    <row r="199" ht="34.5" hidden="1" customHeight="1">
      <c r="A199" s="203" t="s">
        <v>164</v>
      </c>
      <c r="B199" s="195"/>
      <c r="C199" s="198"/>
      <c r="D199" s="199"/>
      <c r="E199" s="198"/>
      <c r="F199" s="195"/>
      <c r="G199" s="191"/>
      <c r="H199" s="192"/>
      <c r="I199" s="191"/>
      <c r="J199" s="191"/>
      <c r="K199" s="191"/>
      <c r="L199" s="192"/>
      <c r="M199" s="193"/>
    </row>
    <row r="200" ht="34.5" hidden="1" customHeight="1">
      <c r="A200" s="203" t="s">
        <v>165</v>
      </c>
      <c r="B200" s="195"/>
      <c r="C200" s="198"/>
      <c r="D200" s="199"/>
      <c r="E200" s="198"/>
      <c r="F200" s="195"/>
      <c r="G200" s="191"/>
      <c r="H200" s="192"/>
      <c r="I200" s="191"/>
      <c r="J200" s="191"/>
      <c r="K200" s="191"/>
      <c r="L200" s="192"/>
      <c r="M200" s="193"/>
    </row>
    <row r="201" ht="34.5" hidden="1" customHeight="1">
      <c r="A201" s="194" t="s">
        <v>199</v>
      </c>
      <c r="B201" s="195"/>
      <c r="C201" s="198"/>
      <c r="D201" s="199"/>
      <c r="E201" s="198"/>
      <c r="F201" s="195"/>
      <c r="G201" s="191"/>
      <c r="H201" s="192"/>
      <c r="I201" s="191"/>
      <c r="J201" s="191"/>
      <c r="K201" s="191"/>
      <c r="L201" s="192"/>
      <c r="M201" s="193"/>
    </row>
    <row r="202" ht="34.5" hidden="1" customHeight="1">
      <c r="A202" s="203" t="s">
        <v>162</v>
      </c>
      <c r="B202" s="195"/>
      <c r="C202" s="198"/>
      <c r="D202" s="199"/>
      <c r="E202" s="198"/>
      <c r="F202" s="195"/>
      <c r="G202" s="191"/>
      <c r="H202" s="192"/>
      <c r="I202" s="191"/>
      <c r="J202" s="191"/>
      <c r="K202" s="191"/>
      <c r="L202" s="192"/>
      <c r="M202" s="193"/>
    </row>
    <row r="203" ht="34.5" hidden="1" customHeight="1">
      <c r="A203" s="203" t="s">
        <v>163</v>
      </c>
      <c r="B203" s="195"/>
      <c r="C203" s="198"/>
      <c r="D203" s="199"/>
      <c r="E203" s="198"/>
      <c r="F203" s="195"/>
      <c r="G203" s="191"/>
      <c r="H203" s="192"/>
      <c r="I203" s="191"/>
      <c r="J203" s="191"/>
      <c r="K203" s="191"/>
      <c r="L203" s="192"/>
      <c r="M203" s="193"/>
    </row>
    <row r="204" ht="34.5" hidden="1" customHeight="1">
      <c r="A204" s="203" t="s">
        <v>164</v>
      </c>
      <c r="B204" s="195"/>
      <c r="C204" s="198"/>
      <c r="D204" s="199"/>
      <c r="E204" s="198"/>
      <c r="F204" s="195"/>
      <c r="G204" s="191"/>
      <c r="H204" s="192"/>
      <c r="I204" s="191"/>
      <c r="J204" s="191"/>
      <c r="K204" s="191"/>
      <c r="L204" s="192"/>
      <c r="M204" s="193"/>
    </row>
    <row r="205" ht="34.5" hidden="1" customHeight="1">
      <c r="A205" s="203" t="s">
        <v>165</v>
      </c>
      <c r="B205" s="195"/>
      <c r="C205" s="198"/>
      <c r="D205" s="199"/>
      <c r="E205" s="198"/>
      <c r="F205" s="195"/>
      <c r="G205" s="191"/>
      <c r="H205" s="192"/>
      <c r="I205" s="191"/>
      <c r="J205" s="191"/>
      <c r="K205" s="191"/>
      <c r="L205" s="192"/>
      <c r="M205" s="193"/>
    </row>
    <row r="206" ht="34.5" hidden="1" customHeight="1">
      <c r="A206" s="194" t="s">
        <v>200</v>
      </c>
      <c r="B206" s="195"/>
      <c r="C206" s="198"/>
      <c r="D206" s="199"/>
      <c r="E206" s="198"/>
      <c r="F206" s="195"/>
      <c r="G206" s="191"/>
      <c r="H206" s="192"/>
      <c r="I206" s="191"/>
      <c r="J206" s="191"/>
      <c r="K206" s="191"/>
      <c r="L206" s="192"/>
      <c r="M206" s="193"/>
    </row>
    <row r="207" ht="34.5" hidden="1" customHeight="1">
      <c r="A207" s="203" t="s">
        <v>162</v>
      </c>
      <c r="B207" s="195"/>
      <c r="C207" s="198"/>
      <c r="D207" s="199"/>
      <c r="E207" s="198"/>
      <c r="F207" s="195"/>
      <c r="G207" s="191"/>
      <c r="H207" s="192"/>
      <c r="I207" s="191"/>
      <c r="J207" s="191"/>
      <c r="K207" s="191"/>
      <c r="L207" s="192"/>
      <c r="M207" s="193"/>
    </row>
    <row r="208" ht="34.5" hidden="1" customHeight="1">
      <c r="A208" s="203" t="s">
        <v>163</v>
      </c>
      <c r="B208" s="195"/>
      <c r="C208" s="198"/>
      <c r="D208" s="199"/>
      <c r="E208" s="198"/>
      <c r="F208" s="195"/>
      <c r="G208" s="191"/>
      <c r="H208" s="192"/>
      <c r="I208" s="191"/>
      <c r="J208" s="191"/>
      <c r="K208" s="191"/>
      <c r="L208" s="192"/>
      <c r="M208" s="193"/>
    </row>
    <row r="209" ht="34.5" hidden="1" customHeight="1">
      <c r="A209" s="203" t="s">
        <v>164</v>
      </c>
      <c r="B209" s="195"/>
      <c r="C209" s="198"/>
      <c r="D209" s="199"/>
      <c r="E209" s="198"/>
      <c r="F209" s="195"/>
      <c r="G209" s="191"/>
      <c r="H209" s="192"/>
      <c r="I209" s="191"/>
      <c r="J209" s="191"/>
      <c r="K209" s="191"/>
      <c r="L209" s="192"/>
      <c r="M209" s="193"/>
    </row>
    <row r="210" ht="34.5" hidden="1" customHeight="1">
      <c r="A210" s="203" t="s">
        <v>165</v>
      </c>
      <c r="B210" s="195"/>
      <c r="C210" s="198"/>
      <c r="D210" s="199"/>
      <c r="E210" s="198"/>
      <c r="F210" s="195"/>
      <c r="G210" s="191"/>
      <c r="H210" s="192"/>
      <c r="I210" s="191"/>
      <c r="J210" s="191"/>
      <c r="K210" s="191"/>
      <c r="L210" s="192"/>
      <c r="M210" s="193"/>
    </row>
    <row r="211" ht="34.5" hidden="1" customHeight="1">
      <c r="A211" s="194" t="s">
        <v>201</v>
      </c>
      <c r="B211" s="195"/>
      <c r="C211" s="198"/>
      <c r="D211" s="199"/>
      <c r="E211" s="198"/>
      <c r="F211" s="195"/>
      <c r="G211" s="191"/>
      <c r="H211" s="192"/>
      <c r="I211" s="191"/>
      <c r="J211" s="191"/>
      <c r="K211" s="191"/>
      <c r="L211" s="192"/>
      <c r="M211" s="193"/>
    </row>
    <row r="212" ht="34.5" hidden="1" customHeight="1">
      <c r="A212" s="203" t="s">
        <v>162</v>
      </c>
      <c r="B212" s="195"/>
      <c r="C212" s="198"/>
      <c r="D212" s="199"/>
      <c r="E212" s="198"/>
      <c r="F212" s="195"/>
      <c r="G212" s="191"/>
      <c r="H212" s="192"/>
      <c r="I212" s="191"/>
      <c r="J212" s="191"/>
      <c r="K212" s="191"/>
      <c r="L212" s="192"/>
      <c r="M212" s="193"/>
    </row>
    <row r="213" ht="34.5" hidden="1" customHeight="1">
      <c r="A213" s="203" t="s">
        <v>163</v>
      </c>
      <c r="B213" s="195"/>
      <c r="C213" s="198"/>
      <c r="D213" s="199"/>
      <c r="E213" s="198"/>
      <c r="F213" s="195"/>
      <c r="G213" s="191"/>
      <c r="H213" s="192"/>
      <c r="I213" s="191"/>
      <c r="J213" s="191"/>
      <c r="K213" s="191"/>
      <c r="L213" s="192"/>
      <c r="M213" s="193"/>
    </row>
    <row r="214" ht="34.5" hidden="1" customHeight="1">
      <c r="A214" s="203" t="s">
        <v>164</v>
      </c>
      <c r="B214" s="195"/>
      <c r="C214" s="198"/>
      <c r="D214" s="199"/>
      <c r="E214" s="198"/>
      <c r="F214" s="195"/>
      <c r="G214" s="191"/>
      <c r="H214" s="192"/>
      <c r="I214" s="191"/>
      <c r="J214" s="191"/>
      <c r="K214" s="191"/>
      <c r="L214" s="192"/>
      <c r="M214" s="193"/>
    </row>
    <row r="215" ht="34.5" hidden="1" customHeight="1">
      <c r="A215" s="203" t="s">
        <v>165</v>
      </c>
      <c r="B215" s="195"/>
      <c r="C215" s="198"/>
      <c r="D215" s="199"/>
      <c r="E215" s="198"/>
      <c r="F215" s="195"/>
      <c r="G215" s="191"/>
      <c r="H215" s="192"/>
      <c r="I215" s="191"/>
      <c r="J215" s="191"/>
      <c r="K215" s="191"/>
      <c r="L215" s="192"/>
      <c r="M215" s="193"/>
    </row>
    <row r="216" ht="34.5" hidden="1" customHeight="1">
      <c r="A216" s="194" t="s">
        <v>202</v>
      </c>
      <c r="B216" s="195"/>
      <c r="C216" s="198"/>
      <c r="D216" s="199"/>
      <c r="E216" s="198"/>
      <c r="F216" s="195"/>
      <c r="G216" s="191"/>
      <c r="H216" s="192"/>
      <c r="I216" s="191"/>
      <c r="J216" s="191"/>
      <c r="K216" s="191"/>
      <c r="L216" s="192"/>
      <c r="M216" s="193"/>
    </row>
    <row r="217" ht="34.5" hidden="1" customHeight="1">
      <c r="A217" s="203" t="s">
        <v>162</v>
      </c>
      <c r="B217" s="195"/>
      <c r="C217" s="198"/>
      <c r="D217" s="199"/>
      <c r="E217" s="198"/>
      <c r="F217" s="195"/>
      <c r="G217" s="191"/>
      <c r="H217" s="192"/>
      <c r="I217" s="191"/>
      <c r="J217" s="191"/>
      <c r="K217" s="191"/>
      <c r="L217" s="192"/>
      <c r="M217" s="193"/>
    </row>
    <row r="218" ht="34.5" hidden="1" customHeight="1">
      <c r="A218" s="203" t="s">
        <v>163</v>
      </c>
      <c r="B218" s="195"/>
      <c r="C218" s="198"/>
      <c r="D218" s="199"/>
      <c r="E218" s="198"/>
      <c r="F218" s="195"/>
      <c r="G218" s="191"/>
      <c r="H218" s="192"/>
      <c r="I218" s="191"/>
      <c r="J218" s="191"/>
      <c r="K218" s="191"/>
      <c r="L218" s="192"/>
      <c r="M218" s="193"/>
    </row>
    <row r="219" ht="34.5" hidden="1" customHeight="1">
      <c r="A219" s="203" t="s">
        <v>164</v>
      </c>
      <c r="B219" s="195"/>
      <c r="C219" s="198"/>
      <c r="D219" s="199"/>
      <c r="E219" s="198"/>
      <c r="F219" s="195"/>
      <c r="G219" s="191"/>
      <c r="H219" s="192"/>
      <c r="I219" s="191"/>
      <c r="J219" s="191"/>
      <c r="K219" s="191"/>
      <c r="L219" s="192"/>
      <c r="M219" s="193"/>
    </row>
    <row r="220" ht="34.5" hidden="1" customHeight="1">
      <c r="A220" s="203" t="s">
        <v>165</v>
      </c>
      <c r="B220" s="195"/>
      <c r="C220" s="198"/>
      <c r="D220" s="199"/>
      <c r="E220" s="198"/>
      <c r="F220" s="195"/>
      <c r="G220" s="191"/>
      <c r="H220" s="192"/>
      <c r="I220" s="191"/>
      <c r="J220" s="191"/>
      <c r="K220" s="191"/>
      <c r="L220" s="192"/>
      <c r="M220" s="193"/>
    </row>
    <row r="221" ht="34.5" hidden="1" customHeight="1">
      <c r="A221" s="194" t="s">
        <v>203</v>
      </c>
      <c r="B221" s="195"/>
      <c r="C221" s="198"/>
      <c r="D221" s="199"/>
      <c r="E221" s="198"/>
      <c r="F221" s="195"/>
      <c r="G221" s="191"/>
      <c r="H221" s="192"/>
      <c r="I221" s="191"/>
      <c r="J221" s="191"/>
      <c r="K221" s="191"/>
      <c r="L221" s="192"/>
      <c r="M221" s="193"/>
    </row>
    <row r="222" ht="34.5" hidden="1" customHeight="1">
      <c r="A222" s="203" t="s">
        <v>162</v>
      </c>
      <c r="B222" s="195"/>
      <c r="C222" s="198"/>
      <c r="D222" s="199"/>
      <c r="E222" s="198"/>
      <c r="F222" s="195"/>
      <c r="G222" s="191"/>
      <c r="H222" s="192"/>
      <c r="I222" s="191"/>
      <c r="J222" s="191"/>
      <c r="K222" s="191"/>
      <c r="L222" s="192"/>
      <c r="M222" s="193"/>
    </row>
    <row r="223" ht="34.5" hidden="1" customHeight="1">
      <c r="A223" s="203" t="s">
        <v>163</v>
      </c>
      <c r="B223" s="195"/>
      <c r="C223" s="198"/>
      <c r="D223" s="199"/>
      <c r="E223" s="198"/>
      <c r="F223" s="195"/>
      <c r="G223" s="191"/>
      <c r="H223" s="192"/>
      <c r="I223" s="191"/>
      <c r="J223" s="191"/>
      <c r="K223" s="191"/>
      <c r="L223" s="192"/>
      <c r="M223" s="193"/>
    </row>
    <row r="224" ht="34.5" hidden="1" customHeight="1">
      <c r="A224" s="203" t="s">
        <v>164</v>
      </c>
      <c r="B224" s="195"/>
      <c r="C224" s="198"/>
      <c r="D224" s="199"/>
      <c r="E224" s="198"/>
      <c r="F224" s="195"/>
      <c r="G224" s="191"/>
      <c r="H224" s="192"/>
      <c r="I224" s="191"/>
      <c r="J224" s="191"/>
      <c r="K224" s="191"/>
      <c r="L224" s="192"/>
      <c r="M224" s="193"/>
    </row>
    <row r="225" ht="34.5" hidden="1" customHeight="1">
      <c r="A225" s="203" t="s">
        <v>165</v>
      </c>
      <c r="B225" s="195"/>
      <c r="C225" s="198"/>
      <c r="D225" s="199"/>
      <c r="E225" s="198"/>
      <c r="F225" s="195"/>
      <c r="G225" s="191"/>
      <c r="H225" s="192"/>
      <c r="I225" s="191"/>
      <c r="J225" s="191"/>
      <c r="K225" s="191"/>
      <c r="L225" s="192"/>
      <c r="M225" s="193"/>
    </row>
    <row r="226" ht="34.5" hidden="1" customHeight="1">
      <c r="A226" s="194" t="s">
        <v>204</v>
      </c>
      <c r="B226" s="195"/>
      <c r="C226" s="198"/>
      <c r="D226" s="199"/>
      <c r="E226" s="198"/>
      <c r="F226" s="195"/>
      <c r="G226" s="191"/>
      <c r="H226" s="192"/>
      <c r="I226" s="191"/>
      <c r="J226" s="191"/>
      <c r="K226" s="191"/>
      <c r="L226" s="192"/>
      <c r="M226" s="193"/>
    </row>
    <row r="227" ht="34.5" hidden="1" customHeight="1">
      <c r="A227" s="203" t="s">
        <v>162</v>
      </c>
      <c r="B227" s="195"/>
      <c r="C227" s="198"/>
      <c r="D227" s="199"/>
      <c r="E227" s="198"/>
      <c r="F227" s="195"/>
      <c r="G227" s="191"/>
      <c r="H227" s="192"/>
      <c r="I227" s="191"/>
      <c r="J227" s="191"/>
      <c r="K227" s="191"/>
      <c r="L227" s="192"/>
      <c r="M227" s="193"/>
    </row>
    <row r="228" ht="34.5" hidden="1" customHeight="1">
      <c r="A228" s="203" t="s">
        <v>163</v>
      </c>
      <c r="B228" s="195"/>
      <c r="C228" s="198"/>
      <c r="D228" s="199"/>
      <c r="E228" s="198"/>
      <c r="F228" s="195"/>
      <c r="G228" s="191"/>
      <c r="H228" s="192"/>
      <c r="I228" s="191"/>
      <c r="J228" s="191"/>
      <c r="K228" s="191"/>
      <c r="L228" s="192"/>
      <c r="M228" s="193"/>
    </row>
    <row r="229" ht="34.5" hidden="1" customHeight="1">
      <c r="A229" s="203" t="s">
        <v>164</v>
      </c>
      <c r="B229" s="195"/>
      <c r="C229" s="198"/>
      <c r="D229" s="199"/>
      <c r="E229" s="198"/>
      <c r="F229" s="195"/>
      <c r="G229" s="191"/>
      <c r="H229" s="192"/>
      <c r="I229" s="191"/>
      <c r="J229" s="191"/>
      <c r="K229" s="191"/>
      <c r="L229" s="192"/>
      <c r="M229" s="193"/>
    </row>
    <row r="230" ht="34.5" hidden="1" customHeight="1">
      <c r="A230" s="203" t="s">
        <v>165</v>
      </c>
      <c r="B230" s="195"/>
      <c r="C230" s="198"/>
      <c r="D230" s="199"/>
      <c r="E230" s="198"/>
      <c r="F230" s="195"/>
      <c r="G230" s="191"/>
      <c r="H230" s="192"/>
      <c r="I230" s="191"/>
      <c r="J230" s="191"/>
      <c r="K230" s="191"/>
      <c r="L230" s="192"/>
      <c r="M230" s="193"/>
    </row>
    <row r="231" ht="34.5" hidden="1" customHeight="1">
      <c r="A231" s="194" t="s">
        <v>205</v>
      </c>
      <c r="B231" s="195"/>
      <c r="C231" s="198"/>
      <c r="D231" s="199"/>
      <c r="E231" s="198"/>
      <c r="F231" s="195"/>
      <c r="G231" s="191"/>
      <c r="H231" s="192"/>
      <c r="I231" s="191"/>
      <c r="J231" s="191"/>
      <c r="K231" s="191"/>
      <c r="L231" s="192"/>
      <c r="M231" s="193"/>
    </row>
    <row r="232" ht="34.5" hidden="1" customHeight="1">
      <c r="A232" s="203" t="s">
        <v>162</v>
      </c>
      <c r="B232" s="195"/>
      <c r="C232" s="198"/>
      <c r="D232" s="199"/>
      <c r="E232" s="198"/>
      <c r="F232" s="195"/>
      <c r="G232" s="191"/>
      <c r="H232" s="192"/>
      <c r="I232" s="191"/>
      <c r="J232" s="191"/>
      <c r="K232" s="191"/>
      <c r="L232" s="192"/>
      <c r="M232" s="193"/>
    </row>
    <row r="233" ht="34.5" hidden="1" customHeight="1">
      <c r="A233" s="203" t="s">
        <v>163</v>
      </c>
      <c r="B233" s="195"/>
      <c r="C233" s="198"/>
      <c r="D233" s="199"/>
      <c r="E233" s="198"/>
      <c r="F233" s="195"/>
      <c r="G233" s="191"/>
      <c r="H233" s="192"/>
      <c r="I233" s="191"/>
      <c r="J233" s="191"/>
      <c r="K233" s="191"/>
      <c r="L233" s="192"/>
      <c r="M233" s="193"/>
    </row>
    <row r="234" ht="34.5" hidden="1" customHeight="1">
      <c r="A234" s="203" t="s">
        <v>164</v>
      </c>
      <c r="B234" s="195"/>
      <c r="C234" s="198"/>
      <c r="D234" s="199"/>
      <c r="E234" s="198"/>
      <c r="F234" s="195"/>
      <c r="G234" s="191"/>
      <c r="H234" s="192"/>
      <c r="I234" s="191"/>
      <c r="J234" s="191"/>
      <c r="K234" s="191"/>
      <c r="L234" s="192"/>
      <c r="M234" s="193"/>
    </row>
    <row r="235" ht="34.5" hidden="1" customHeight="1">
      <c r="A235" s="203" t="s">
        <v>165</v>
      </c>
      <c r="B235" s="195"/>
      <c r="C235" s="198"/>
      <c r="D235" s="199"/>
      <c r="E235" s="198"/>
      <c r="F235" s="195"/>
      <c r="G235" s="191"/>
      <c r="H235" s="192"/>
      <c r="I235" s="191"/>
      <c r="J235" s="191"/>
      <c r="K235" s="191"/>
      <c r="L235" s="192"/>
      <c r="M235" s="193"/>
    </row>
    <row r="236" ht="34.5" hidden="1" customHeight="1">
      <c r="A236" s="194" t="s">
        <v>206</v>
      </c>
      <c r="B236" s="195"/>
      <c r="C236" s="198"/>
      <c r="D236" s="199"/>
      <c r="E236" s="198"/>
      <c r="F236" s="195"/>
      <c r="G236" s="191"/>
      <c r="H236" s="192"/>
      <c r="I236" s="191"/>
      <c r="J236" s="191"/>
      <c r="K236" s="191"/>
      <c r="L236" s="192"/>
      <c r="M236" s="193"/>
    </row>
    <row r="237" ht="34.5" hidden="1" customHeight="1">
      <c r="A237" s="203" t="s">
        <v>162</v>
      </c>
      <c r="B237" s="195"/>
      <c r="C237" s="198"/>
      <c r="D237" s="199"/>
      <c r="E237" s="198"/>
      <c r="F237" s="195"/>
      <c r="G237" s="191"/>
      <c r="H237" s="192"/>
      <c r="I237" s="191"/>
      <c r="J237" s="191"/>
      <c r="K237" s="191"/>
      <c r="L237" s="192"/>
      <c r="M237" s="193"/>
    </row>
    <row r="238" ht="34.5" hidden="1" customHeight="1">
      <c r="A238" s="203" t="s">
        <v>163</v>
      </c>
      <c r="B238" s="195"/>
      <c r="C238" s="198"/>
      <c r="D238" s="199"/>
      <c r="E238" s="198"/>
      <c r="F238" s="195"/>
      <c r="G238" s="191"/>
      <c r="H238" s="192"/>
      <c r="I238" s="191"/>
      <c r="J238" s="191"/>
      <c r="K238" s="191"/>
      <c r="L238" s="192"/>
      <c r="M238" s="193"/>
    </row>
    <row r="239" ht="34.5" hidden="1" customHeight="1">
      <c r="A239" s="203" t="s">
        <v>164</v>
      </c>
      <c r="B239" s="195"/>
      <c r="C239" s="198"/>
      <c r="D239" s="199"/>
      <c r="E239" s="198"/>
      <c r="F239" s="195"/>
      <c r="G239" s="191"/>
      <c r="H239" s="192"/>
      <c r="I239" s="191"/>
      <c r="J239" s="191"/>
      <c r="K239" s="191"/>
      <c r="L239" s="192"/>
      <c r="M239" s="193"/>
    </row>
    <row r="240" ht="34.5" hidden="1" customHeight="1">
      <c r="A240" s="203" t="s">
        <v>165</v>
      </c>
      <c r="B240" s="195"/>
      <c r="C240" s="198"/>
      <c r="D240" s="199"/>
      <c r="E240" s="198"/>
      <c r="F240" s="195"/>
      <c r="G240" s="191"/>
      <c r="H240" s="192"/>
      <c r="I240" s="191"/>
      <c r="J240" s="191"/>
      <c r="K240" s="191"/>
      <c r="L240" s="192"/>
      <c r="M240" s="193"/>
    </row>
    <row r="241" ht="34.5" hidden="1" customHeight="1">
      <c r="A241" s="194" t="s">
        <v>207</v>
      </c>
      <c r="B241" s="195"/>
      <c r="C241" s="198"/>
      <c r="D241" s="199"/>
      <c r="E241" s="198"/>
      <c r="F241" s="195"/>
      <c r="G241" s="191"/>
      <c r="H241" s="192"/>
      <c r="I241" s="191"/>
      <c r="J241" s="191"/>
      <c r="K241" s="191"/>
      <c r="L241" s="192"/>
      <c r="M241" s="193"/>
    </row>
    <row r="242" ht="34.5" hidden="1" customHeight="1">
      <c r="A242" s="203" t="s">
        <v>162</v>
      </c>
      <c r="B242" s="195"/>
      <c r="C242" s="198"/>
      <c r="D242" s="199"/>
      <c r="E242" s="198"/>
      <c r="F242" s="195"/>
      <c r="G242" s="191"/>
      <c r="H242" s="192"/>
      <c r="I242" s="191"/>
      <c r="J242" s="191"/>
      <c r="K242" s="191"/>
      <c r="L242" s="192"/>
      <c r="M242" s="193"/>
    </row>
    <row r="243" ht="34.5" hidden="1" customHeight="1">
      <c r="A243" s="203" t="s">
        <v>163</v>
      </c>
      <c r="B243" s="195"/>
      <c r="C243" s="198"/>
      <c r="D243" s="199"/>
      <c r="E243" s="198"/>
      <c r="F243" s="195"/>
      <c r="G243" s="191"/>
      <c r="H243" s="192"/>
      <c r="I243" s="191"/>
      <c r="J243" s="191"/>
      <c r="K243" s="191"/>
      <c r="L243" s="192"/>
      <c r="M243" s="193"/>
    </row>
    <row r="244" ht="34.5" hidden="1" customHeight="1">
      <c r="A244" s="203" t="s">
        <v>164</v>
      </c>
      <c r="B244" s="195"/>
      <c r="C244" s="198"/>
      <c r="D244" s="199"/>
      <c r="E244" s="198"/>
      <c r="F244" s="195"/>
      <c r="G244" s="191"/>
      <c r="H244" s="192"/>
      <c r="I244" s="191"/>
      <c r="J244" s="191"/>
      <c r="K244" s="191"/>
      <c r="L244" s="192"/>
      <c r="M244" s="193"/>
    </row>
    <row r="245" ht="34.5" hidden="1" customHeight="1">
      <c r="A245" s="203" t="s">
        <v>165</v>
      </c>
      <c r="B245" s="195"/>
      <c r="C245" s="198"/>
      <c r="D245" s="199"/>
      <c r="E245" s="198"/>
      <c r="F245" s="195"/>
      <c r="G245" s="191"/>
      <c r="H245" s="192"/>
      <c r="I245" s="191"/>
      <c r="J245" s="191"/>
      <c r="K245" s="191"/>
      <c r="L245" s="192"/>
      <c r="M245" s="193"/>
    </row>
    <row r="246" ht="34.5" hidden="1" customHeight="1">
      <c r="A246" s="194" t="s">
        <v>208</v>
      </c>
      <c r="B246" s="195"/>
      <c r="C246" s="198"/>
      <c r="D246" s="199"/>
      <c r="E246" s="198"/>
      <c r="F246" s="195"/>
      <c r="G246" s="191"/>
      <c r="H246" s="192"/>
      <c r="I246" s="191"/>
      <c r="J246" s="191"/>
      <c r="K246" s="191"/>
      <c r="L246" s="192"/>
      <c r="M246" s="193"/>
    </row>
    <row r="247" ht="34.5" hidden="1" customHeight="1">
      <c r="A247" s="203" t="s">
        <v>162</v>
      </c>
      <c r="B247" s="195"/>
      <c r="C247" s="198"/>
      <c r="D247" s="199"/>
      <c r="E247" s="198"/>
      <c r="F247" s="195"/>
      <c r="G247" s="191"/>
      <c r="H247" s="192"/>
      <c r="I247" s="191"/>
      <c r="J247" s="191"/>
      <c r="K247" s="191"/>
      <c r="L247" s="192"/>
      <c r="M247" s="193"/>
    </row>
    <row r="248" ht="34.5" hidden="1" customHeight="1">
      <c r="A248" s="203" t="s">
        <v>163</v>
      </c>
      <c r="B248" s="195"/>
      <c r="C248" s="198"/>
      <c r="D248" s="199"/>
      <c r="E248" s="198"/>
      <c r="F248" s="195"/>
      <c r="G248" s="191"/>
      <c r="H248" s="192"/>
      <c r="I248" s="191"/>
      <c r="J248" s="191"/>
      <c r="K248" s="191"/>
      <c r="L248" s="192"/>
      <c r="M248" s="193"/>
    </row>
    <row r="249" ht="34.5" hidden="1" customHeight="1">
      <c r="A249" s="203" t="s">
        <v>164</v>
      </c>
      <c r="B249" s="195"/>
      <c r="C249" s="198"/>
      <c r="D249" s="199"/>
      <c r="E249" s="198"/>
      <c r="F249" s="195"/>
      <c r="G249" s="191"/>
      <c r="H249" s="192"/>
      <c r="I249" s="191"/>
      <c r="J249" s="191"/>
      <c r="K249" s="191"/>
      <c r="L249" s="192"/>
      <c r="M249" s="193"/>
    </row>
    <row r="250" ht="34.5" hidden="1" customHeight="1">
      <c r="A250" s="203" t="s">
        <v>165</v>
      </c>
      <c r="B250" s="195"/>
      <c r="C250" s="198"/>
      <c r="D250" s="199"/>
      <c r="E250" s="198"/>
      <c r="F250" s="195"/>
      <c r="G250" s="191"/>
      <c r="H250" s="192"/>
      <c r="I250" s="191"/>
      <c r="J250" s="191"/>
      <c r="K250" s="191"/>
      <c r="L250" s="192"/>
      <c r="M250" s="193"/>
    </row>
    <row r="251" ht="34.5" hidden="1" customHeight="1">
      <c r="A251" s="194" t="s">
        <v>209</v>
      </c>
      <c r="B251" s="195"/>
      <c r="C251" s="198"/>
      <c r="D251" s="199"/>
      <c r="E251" s="198"/>
      <c r="F251" s="195"/>
      <c r="G251" s="191"/>
      <c r="H251" s="192"/>
      <c r="I251" s="191"/>
      <c r="J251" s="191"/>
      <c r="K251" s="191"/>
      <c r="L251" s="192"/>
      <c r="M251" s="193"/>
    </row>
    <row r="252" ht="34.5" hidden="1" customHeight="1">
      <c r="A252" s="203" t="s">
        <v>162</v>
      </c>
      <c r="B252" s="195"/>
      <c r="C252" s="198"/>
      <c r="D252" s="199"/>
      <c r="E252" s="198"/>
      <c r="F252" s="195"/>
      <c r="G252" s="191"/>
      <c r="H252" s="192"/>
      <c r="I252" s="191"/>
      <c r="J252" s="191"/>
      <c r="K252" s="191"/>
      <c r="L252" s="192"/>
      <c r="M252" s="193"/>
    </row>
    <row r="253" ht="34.5" hidden="1" customHeight="1">
      <c r="A253" s="203" t="s">
        <v>163</v>
      </c>
      <c r="B253" s="195"/>
      <c r="C253" s="198"/>
      <c r="D253" s="199"/>
      <c r="E253" s="198"/>
      <c r="F253" s="195"/>
      <c r="G253" s="191"/>
      <c r="H253" s="192"/>
      <c r="I253" s="191"/>
      <c r="J253" s="191"/>
      <c r="K253" s="191"/>
      <c r="L253" s="192"/>
      <c r="M253" s="193"/>
    </row>
    <row r="254" ht="34.5" hidden="1" customHeight="1">
      <c r="A254" s="203" t="s">
        <v>164</v>
      </c>
      <c r="B254" s="195"/>
      <c r="C254" s="198"/>
      <c r="D254" s="199"/>
      <c r="E254" s="198"/>
      <c r="F254" s="195"/>
      <c r="G254" s="191"/>
      <c r="H254" s="192"/>
      <c r="I254" s="191"/>
      <c r="J254" s="191"/>
      <c r="K254" s="191"/>
      <c r="L254" s="192"/>
      <c r="M254" s="193"/>
    </row>
    <row r="255" ht="34.5" hidden="1" customHeight="1">
      <c r="A255" s="203" t="s">
        <v>165</v>
      </c>
      <c r="B255" s="195"/>
      <c r="C255" s="198"/>
      <c r="D255" s="199"/>
      <c r="E255" s="198"/>
      <c r="F255" s="195"/>
      <c r="G255" s="191"/>
      <c r="H255" s="192"/>
      <c r="I255" s="191"/>
      <c r="J255" s="191"/>
      <c r="K255" s="191"/>
      <c r="L255" s="192"/>
      <c r="M255" s="193"/>
    </row>
    <row r="256" ht="34.5" hidden="1" customHeight="1">
      <c r="A256" s="194" t="s">
        <v>210</v>
      </c>
      <c r="B256" s="195"/>
      <c r="C256" s="198"/>
      <c r="D256" s="199"/>
      <c r="E256" s="198"/>
      <c r="F256" s="195"/>
      <c r="G256" s="191"/>
      <c r="H256" s="192"/>
      <c r="I256" s="191"/>
      <c r="J256" s="191"/>
      <c r="K256" s="191"/>
      <c r="L256" s="192"/>
      <c r="M256" s="193"/>
    </row>
    <row r="257" ht="34.5" hidden="1" customHeight="1">
      <c r="A257" s="203" t="s">
        <v>162</v>
      </c>
      <c r="B257" s="195"/>
      <c r="C257" s="198"/>
      <c r="D257" s="199"/>
      <c r="E257" s="198"/>
      <c r="F257" s="195"/>
      <c r="G257" s="191"/>
      <c r="H257" s="192"/>
      <c r="I257" s="191"/>
      <c r="J257" s="191"/>
      <c r="K257" s="191"/>
      <c r="L257" s="192"/>
      <c r="M257" s="193"/>
    </row>
    <row r="258" ht="34.5" hidden="1" customHeight="1">
      <c r="A258" s="203" t="s">
        <v>163</v>
      </c>
      <c r="B258" s="195"/>
      <c r="C258" s="198"/>
      <c r="D258" s="199"/>
      <c r="E258" s="198"/>
      <c r="F258" s="195"/>
      <c r="G258" s="191"/>
      <c r="H258" s="192"/>
      <c r="I258" s="191"/>
      <c r="J258" s="191"/>
      <c r="K258" s="191"/>
      <c r="L258" s="192"/>
      <c r="M258" s="193"/>
    </row>
    <row r="259" ht="34.5" hidden="1" customHeight="1">
      <c r="A259" s="203" t="s">
        <v>164</v>
      </c>
      <c r="B259" s="195"/>
      <c r="C259" s="198"/>
      <c r="D259" s="199"/>
      <c r="E259" s="198"/>
      <c r="F259" s="195"/>
      <c r="G259" s="191"/>
      <c r="H259" s="192"/>
      <c r="I259" s="191"/>
      <c r="J259" s="191"/>
      <c r="K259" s="191"/>
      <c r="L259" s="192"/>
      <c r="M259" s="193"/>
    </row>
    <row r="260" ht="34.5" hidden="1" customHeight="1">
      <c r="A260" s="203" t="s">
        <v>165</v>
      </c>
      <c r="B260" s="195"/>
      <c r="C260" s="198"/>
      <c r="D260" s="199"/>
      <c r="E260" s="198"/>
      <c r="F260" s="195"/>
      <c r="G260" s="191"/>
      <c r="H260" s="192"/>
      <c r="I260" s="191"/>
      <c r="J260" s="191"/>
      <c r="K260" s="191"/>
      <c r="L260" s="192"/>
      <c r="M260" s="193"/>
    </row>
    <row r="261" ht="34.5" hidden="1" customHeight="1">
      <c r="A261" s="194" t="s">
        <v>211</v>
      </c>
      <c r="B261" s="195"/>
      <c r="C261" s="198"/>
      <c r="D261" s="199"/>
      <c r="E261" s="198"/>
      <c r="F261" s="195"/>
      <c r="G261" s="191"/>
      <c r="H261" s="192"/>
      <c r="I261" s="191"/>
      <c r="J261" s="191"/>
      <c r="K261" s="191"/>
      <c r="L261" s="192"/>
      <c r="M261" s="193"/>
    </row>
    <row r="262" ht="34.5" hidden="1" customHeight="1">
      <c r="A262" s="203" t="s">
        <v>162</v>
      </c>
      <c r="B262" s="195"/>
      <c r="C262" s="198"/>
      <c r="D262" s="199"/>
      <c r="E262" s="198"/>
      <c r="F262" s="195"/>
      <c r="G262" s="191"/>
      <c r="H262" s="192"/>
      <c r="I262" s="191"/>
      <c r="J262" s="191"/>
      <c r="K262" s="191"/>
      <c r="L262" s="192"/>
      <c r="M262" s="193"/>
    </row>
    <row r="263" ht="34.5" hidden="1" customHeight="1">
      <c r="A263" s="203" t="s">
        <v>163</v>
      </c>
      <c r="B263" s="195"/>
      <c r="C263" s="198"/>
      <c r="D263" s="199"/>
      <c r="E263" s="198"/>
      <c r="F263" s="195"/>
      <c r="G263" s="191"/>
      <c r="H263" s="192"/>
      <c r="I263" s="191"/>
      <c r="J263" s="191"/>
      <c r="K263" s="191"/>
      <c r="L263" s="192"/>
      <c r="M263" s="193"/>
    </row>
    <row r="264" ht="34.5" hidden="1" customHeight="1">
      <c r="A264" s="203" t="s">
        <v>164</v>
      </c>
      <c r="B264" s="195"/>
      <c r="C264" s="198"/>
      <c r="D264" s="199"/>
      <c r="E264" s="198"/>
      <c r="F264" s="195"/>
      <c r="G264" s="191"/>
      <c r="H264" s="192"/>
      <c r="I264" s="191"/>
      <c r="J264" s="191"/>
      <c r="K264" s="191"/>
      <c r="L264" s="192"/>
      <c r="M264" s="193"/>
    </row>
    <row r="265" ht="34.5" hidden="1" customHeight="1">
      <c r="A265" s="203" t="s">
        <v>165</v>
      </c>
      <c r="B265" s="195"/>
      <c r="C265" s="198"/>
      <c r="D265" s="199"/>
      <c r="E265" s="198"/>
      <c r="F265" s="195"/>
      <c r="G265" s="191"/>
      <c r="H265" s="192"/>
      <c r="I265" s="191"/>
      <c r="J265" s="191"/>
      <c r="K265" s="191"/>
      <c r="L265" s="192"/>
      <c r="M265" s="193"/>
    </row>
    <row r="266" ht="34.5" hidden="1" customHeight="1">
      <c r="A266" s="194" t="s">
        <v>212</v>
      </c>
      <c r="B266" s="195"/>
      <c r="C266" s="198"/>
      <c r="D266" s="199"/>
      <c r="E266" s="198"/>
      <c r="F266" s="195"/>
      <c r="G266" s="191"/>
      <c r="H266" s="192"/>
      <c r="I266" s="191"/>
      <c r="J266" s="191"/>
      <c r="K266" s="191"/>
      <c r="L266" s="192"/>
      <c r="M266" s="193"/>
    </row>
    <row r="267" ht="34.5" hidden="1" customHeight="1">
      <c r="A267" s="203" t="s">
        <v>162</v>
      </c>
      <c r="B267" s="195"/>
      <c r="C267" s="198"/>
      <c r="D267" s="199"/>
      <c r="E267" s="198"/>
      <c r="F267" s="195"/>
      <c r="G267" s="191"/>
      <c r="H267" s="192"/>
      <c r="I267" s="191"/>
      <c r="J267" s="191"/>
      <c r="K267" s="191"/>
      <c r="L267" s="192"/>
      <c r="M267" s="193"/>
    </row>
    <row r="268" ht="34.5" hidden="1" customHeight="1">
      <c r="A268" s="203" t="s">
        <v>163</v>
      </c>
      <c r="B268" s="195"/>
      <c r="C268" s="198"/>
      <c r="D268" s="199"/>
      <c r="E268" s="198"/>
      <c r="F268" s="195"/>
      <c r="G268" s="191"/>
      <c r="H268" s="192"/>
      <c r="I268" s="191"/>
      <c r="J268" s="191"/>
      <c r="K268" s="191"/>
      <c r="L268" s="192"/>
      <c r="M268" s="193"/>
    </row>
    <row r="269" ht="34.5" hidden="1" customHeight="1">
      <c r="A269" s="203" t="s">
        <v>164</v>
      </c>
      <c r="B269" s="195"/>
      <c r="C269" s="198"/>
      <c r="D269" s="199"/>
      <c r="E269" s="198"/>
      <c r="F269" s="195"/>
      <c r="G269" s="191"/>
      <c r="H269" s="192"/>
      <c r="I269" s="191"/>
      <c r="J269" s="191"/>
      <c r="K269" s="191"/>
      <c r="L269" s="192"/>
      <c r="M269" s="193"/>
    </row>
    <row r="270" ht="34.5" hidden="1" customHeight="1">
      <c r="A270" s="203" t="s">
        <v>165</v>
      </c>
      <c r="B270" s="195"/>
      <c r="C270" s="198"/>
      <c r="D270" s="199"/>
      <c r="E270" s="198"/>
      <c r="F270" s="195"/>
      <c r="G270" s="191"/>
      <c r="H270" s="192"/>
      <c r="I270" s="191"/>
      <c r="J270" s="191"/>
      <c r="K270" s="191"/>
      <c r="L270" s="192"/>
      <c r="M270" s="193"/>
    </row>
    <row r="271" ht="34.5" hidden="1" customHeight="1">
      <c r="A271" s="194" t="s">
        <v>213</v>
      </c>
      <c r="B271" s="195"/>
      <c r="C271" s="198"/>
      <c r="D271" s="199"/>
      <c r="E271" s="198"/>
      <c r="F271" s="195"/>
      <c r="G271" s="191"/>
      <c r="H271" s="192"/>
      <c r="I271" s="191"/>
      <c r="J271" s="191"/>
      <c r="K271" s="191"/>
      <c r="L271" s="192"/>
      <c r="M271" s="193"/>
    </row>
    <row r="272" ht="34.5" hidden="1" customHeight="1">
      <c r="A272" s="203" t="s">
        <v>162</v>
      </c>
      <c r="B272" s="195"/>
      <c r="C272" s="198"/>
      <c r="D272" s="199"/>
      <c r="E272" s="198"/>
      <c r="F272" s="195"/>
      <c r="G272" s="191"/>
      <c r="H272" s="192"/>
      <c r="I272" s="191"/>
      <c r="J272" s="191"/>
      <c r="K272" s="191"/>
      <c r="L272" s="192"/>
      <c r="M272" s="193"/>
    </row>
    <row r="273" ht="34.5" hidden="1" customHeight="1">
      <c r="A273" s="203" t="s">
        <v>163</v>
      </c>
      <c r="B273" s="195"/>
      <c r="C273" s="198"/>
      <c r="D273" s="199"/>
      <c r="E273" s="198"/>
      <c r="F273" s="195"/>
      <c r="G273" s="191"/>
      <c r="H273" s="192"/>
      <c r="I273" s="191"/>
      <c r="J273" s="191"/>
      <c r="K273" s="191"/>
      <c r="L273" s="192"/>
      <c r="M273" s="193"/>
    </row>
    <row r="274" ht="34.5" hidden="1" customHeight="1">
      <c r="A274" s="203" t="s">
        <v>164</v>
      </c>
      <c r="B274" s="195"/>
      <c r="C274" s="198"/>
      <c r="D274" s="199"/>
      <c r="E274" s="198"/>
      <c r="F274" s="195"/>
      <c r="G274" s="191"/>
      <c r="H274" s="192"/>
      <c r="I274" s="191"/>
      <c r="J274" s="191"/>
      <c r="K274" s="191"/>
      <c r="L274" s="192"/>
      <c r="M274" s="193"/>
    </row>
    <row r="275" ht="34.5" hidden="1" customHeight="1">
      <c r="A275" s="203" t="s">
        <v>165</v>
      </c>
      <c r="B275" s="195"/>
      <c r="C275" s="198"/>
      <c r="D275" s="199"/>
      <c r="E275" s="198"/>
      <c r="F275" s="195"/>
      <c r="G275" s="191"/>
      <c r="H275" s="192"/>
      <c r="I275" s="191"/>
      <c r="J275" s="191"/>
      <c r="K275" s="191"/>
      <c r="L275" s="192"/>
      <c r="M275" s="193"/>
    </row>
    <row r="276" ht="34.5" hidden="1" customHeight="1">
      <c r="A276" s="194" t="s">
        <v>214</v>
      </c>
      <c r="B276" s="195"/>
      <c r="C276" s="198"/>
      <c r="D276" s="199"/>
      <c r="E276" s="198"/>
      <c r="F276" s="195"/>
      <c r="G276" s="191"/>
      <c r="H276" s="192"/>
      <c r="I276" s="191"/>
      <c r="J276" s="191"/>
      <c r="K276" s="191"/>
      <c r="L276" s="192"/>
      <c r="M276" s="193"/>
    </row>
    <row r="277" ht="34.5" hidden="1" customHeight="1">
      <c r="A277" s="203" t="s">
        <v>162</v>
      </c>
      <c r="B277" s="195"/>
      <c r="C277" s="198"/>
      <c r="D277" s="199"/>
      <c r="E277" s="198"/>
      <c r="F277" s="195"/>
      <c r="G277" s="191"/>
      <c r="H277" s="192"/>
      <c r="I277" s="191"/>
      <c r="J277" s="191"/>
      <c r="K277" s="191"/>
      <c r="L277" s="192"/>
      <c r="M277" s="193"/>
    </row>
    <row r="278" ht="34.5" hidden="1" customHeight="1">
      <c r="A278" s="203" t="s">
        <v>163</v>
      </c>
      <c r="B278" s="195"/>
      <c r="C278" s="198"/>
      <c r="D278" s="199"/>
      <c r="E278" s="198"/>
      <c r="F278" s="195"/>
      <c r="G278" s="191"/>
      <c r="H278" s="192"/>
      <c r="I278" s="191"/>
      <c r="J278" s="191"/>
      <c r="K278" s="191"/>
      <c r="L278" s="192"/>
      <c r="M278" s="193"/>
    </row>
    <row r="279" ht="34.5" hidden="1" customHeight="1">
      <c r="A279" s="203" t="s">
        <v>164</v>
      </c>
      <c r="B279" s="195"/>
      <c r="C279" s="198"/>
      <c r="D279" s="199"/>
      <c r="E279" s="198"/>
      <c r="F279" s="195"/>
      <c r="G279" s="191"/>
      <c r="H279" s="192"/>
      <c r="I279" s="191"/>
      <c r="J279" s="191"/>
      <c r="K279" s="191"/>
      <c r="L279" s="192"/>
      <c r="M279" s="193"/>
    </row>
    <row r="280" ht="34.5" hidden="1" customHeight="1">
      <c r="A280" s="203" t="s">
        <v>165</v>
      </c>
      <c r="B280" s="195"/>
      <c r="C280" s="198"/>
      <c r="D280" s="199"/>
      <c r="E280" s="198"/>
      <c r="F280" s="195"/>
      <c r="G280" s="191"/>
      <c r="H280" s="192"/>
      <c r="I280" s="191"/>
      <c r="J280" s="191"/>
      <c r="K280" s="191"/>
      <c r="L280" s="192"/>
      <c r="M280" s="193"/>
    </row>
    <row r="281" ht="34.5" hidden="1" customHeight="1">
      <c r="A281" s="194" t="s">
        <v>168</v>
      </c>
      <c r="B281" s="195"/>
      <c r="C281" s="198"/>
      <c r="D281" s="199"/>
      <c r="E281" s="198"/>
      <c r="F281" s="195"/>
      <c r="G281" s="191"/>
      <c r="H281" s="192"/>
      <c r="I281" s="191"/>
      <c r="J281" s="191"/>
      <c r="K281" s="191"/>
      <c r="L281" s="192"/>
      <c r="M281" s="193"/>
    </row>
    <row r="282" ht="34.5" hidden="1" customHeight="1">
      <c r="A282" s="203" t="s">
        <v>162</v>
      </c>
      <c r="B282" s="195"/>
      <c r="C282" s="198"/>
      <c r="D282" s="199"/>
      <c r="E282" s="198"/>
      <c r="F282" s="195"/>
      <c r="G282" s="191"/>
      <c r="H282" s="192"/>
      <c r="I282" s="191"/>
      <c r="J282" s="191"/>
      <c r="K282" s="191"/>
      <c r="L282" s="192"/>
      <c r="M282" s="193"/>
    </row>
    <row r="283" ht="34.5" hidden="1" customHeight="1">
      <c r="A283" s="203" t="s">
        <v>163</v>
      </c>
      <c r="B283" s="195"/>
      <c r="C283" s="198"/>
      <c r="D283" s="199"/>
      <c r="E283" s="198"/>
      <c r="F283" s="195"/>
      <c r="G283" s="191"/>
      <c r="H283" s="192"/>
      <c r="I283" s="191"/>
      <c r="J283" s="191"/>
      <c r="K283" s="191"/>
      <c r="L283" s="192"/>
      <c r="M283" s="193"/>
    </row>
    <row r="284" ht="34.5" hidden="1" customHeight="1">
      <c r="A284" s="203" t="s">
        <v>164</v>
      </c>
      <c r="B284" s="195"/>
      <c r="C284" s="198"/>
      <c r="D284" s="199"/>
      <c r="E284" s="198"/>
      <c r="F284" s="195"/>
      <c r="G284" s="191"/>
      <c r="H284" s="192"/>
      <c r="I284" s="191"/>
      <c r="J284" s="191"/>
      <c r="K284" s="191"/>
      <c r="L284" s="192"/>
      <c r="M284" s="193"/>
    </row>
    <row r="285" ht="34.5" hidden="1" customHeight="1">
      <c r="A285" s="203" t="s">
        <v>165</v>
      </c>
      <c r="B285" s="195"/>
      <c r="C285" s="198"/>
      <c r="D285" s="199"/>
      <c r="E285" s="198"/>
      <c r="F285" s="195"/>
      <c r="G285" s="191"/>
      <c r="H285" s="192"/>
      <c r="I285" s="191"/>
      <c r="J285" s="191"/>
      <c r="K285" s="191"/>
      <c r="L285" s="192"/>
      <c r="M285" s="193"/>
    </row>
    <row r="286" ht="34.5" hidden="1" customHeight="1">
      <c r="A286" s="194" t="s">
        <v>215</v>
      </c>
      <c r="B286" s="195"/>
      <c r="C286" s="198"/>
      <c r="D286" s="199"/>
      <c r="E286" s="198"/>
      <c r="F286" s="195"/>
      <c r="G286" s="191"/>
      <c r="H286" s="192"/>
      <c r="I286" s="191"/>
      <c r="J286" s="191"/>
      <c r="K286" s="191"/>
      <c r="L286" s="192"/>
      <c r="M286" s="193"/>
    </row>
    <row r="287" ht="34.5" hidden="1" customHeight="1">
      <c r="A287" s="203" t="s">
        <v>162</v>
      </c>
      <c r="B287" s="195"/>
      <c r="C287" s="198"/>
      <c r="D287" s="199"/>
      <c r="E287" s="198"/>
      <c r="F287" s="195"/>
      <c r="G287" s="191"/>
      <c r="H287" s="192"/>
      <c r="I287" s="191"/>
      <c r="J287" s="191"/>
      <c r="K287" s="191"/>
      <c r="L287" s="192"/>
      <c r="M287" s="193"/>
    </row>
    <row r="288" ht="34.5" hidden="1" customHeight="1">
      <c r="A288" s="203" t="s">
        <v>163</v>
      </c>
      <c r="B288" s="195"/>
      <c r="C288" s="198"/>
      <c r="D288" s="199"/>
      <c r="E288" s="198"/>
      <c r="F288" s="195"/>
      <c r="G288" s="191"/>
      <c r="H288" s="192"/>
      <c r="I288" s="191"/>
      <c r="J288" s="191"/>
      <c r="K288" s="191"/>
      <c r="L288" s="192"/>
      <c r="M288" s="193"/>
    </row>
    <row r="289" ht="34.5" hidden="1" customHeight="1">
      <c r="A289" s="203" t="s">
        <v>164</v>
      </c>
      <c r="B289" s="195"/>
      <c r="C289" s="198"/>
      <c r="D289" s="199"/>
      <c r="E289" s="198"/>
      <c r="F289" s="195"/>
      <c r="G289" s="191"/>
      <c r="H289" s="192"/>
      <c r="I289" s="191"/>
      <c r="J289" s="191"/>
      <c r="K289" s="191"/>
      <c r="L289" s="192"/>
      <c r="M289" s="193"/>
    </row>
    <row r="290" ht="34.5" hidden="1" customHeight="1">
      <c r="A290" s="203" t="s">
        <v>165</v>
      </c>
      <c r="B290" s="195"/>
      <c r="C290" s="198"/>
      <c r="D290" s="199"/>
      <c r="E290" s="198"/>
      <c r="F290" s="195"/>
      <c r="G290" s="191"/>
      <c r="H290" s="192"/>
      <c r="I290" s="191"/>
      <c r="J290" s="191"/>
      <c r="K290" s="191"/>
      <c r="L290" s="192"/>
      <c r="M290" s="193"/>
    </row>
    <row r="291" ht="34.5" hidden="1" customHeight="1">
      <c r="A291" s="194" t="s">
        <v>216</v>
      </c>
      <c r="B291" s="195"/>
      <c r="C291" s="198"/>
      <c r="D291" s="199"/>
      <c r="E291" s="198"/>
      <c r="F291" s="195"/>
      <c r="G291" s="191"/>
      <c r="H291" s="192"/>
      <c r="I291" s="191"/>
      <c r="J291" s="191"/>
      <c r="K291" s="191"/>
      <c r="L291" s="192"/>
      <c r="M291" s="193"/>
    </row>
    <row r="292" ht="34.5" hidden="1" customHeight="1">
      <c r="A292" s="203" t="s">
        <v>162</v>
      </c>
      <c r="B292" s="195"/>
      <c r="C292" s="198"/>
      <c r="D292" s="199"/>
      <c r="E292" s="198"/>
      <c r="F292" s="195"/>
      <c r="G292" s="191"/>
      <c r="H292" s="192"/>
      <c r="I292" s="191"/>
      <c r="J292" s="191"/>
      <c r="K292" s="191"/>
      <c r="L292" s="192"/>
      <c r="M292" s="193"/>
    </row>
    <row r="293" ht="34.5" hidden="1" customHeight="1">
      <c r="A293" s="203" t="s">
        <v>163</v>
      </c>
      <c r="B293" s="195"/>
      <c r="C293" s="198"/>
      <c r="D293" s="199"/>
      <c r="E293" s="198"/>
      <c r="F293" s="195"/>
      <c r="G293" s="191"/>
      <c r="H293" s="192"/>
      <c r="I293" s="191"/>
      <c r="J293" s="191"/>
      <c r="K293" s="191"/>
      <c r="L293" s="192"/>
      <c r="M293" s="193"/>
    </row>
    <row r="294" ht="34.5" hidden="1" customHeight="1">
      <c r="A294" s="203" t="s">
        <v>164</v>
      </c>
      <c r="B294" s="195"/>
      <c r="C294" s="198"/>
      <c r="D294" s="199"/>
      <c r="E294" s="198"/>
      <c r="F294" s="195"/>
      <c r="G294" s="191"/>
      <c r="H294" s="192"/>
      <c r="I294" s="191"/>
      <c r="J294" s="191"/>
      <c r="K294" s="191"/>
      <c r="L294" s="192"/>
      <c r="M294" s="193"/>
    </row>
    <row r="295" ht="34.5" hidden="1" customHeight="1">
      <c r="A295" s="203" t="s">
        <v>165</v>
      </c>
      <c r="B295" s="195"/>
      <c r="C295" s="198"/>
      <c r="D295" s="199"/>
      <c r="E295" s="198"/>
      <c r="F295" s="195"/>
      <c r="G295" s="191"/>
      <c r="H295" s="192"/>
      <c r="I295" s="191"/>
      <c r="J295" s="191"/>
      <c r="K295" s="191"/>
      <c r="L295" s="192"/>
      <c r="M295" s="193"/>
    </row>
    <row r="296" ht="34.5" hidden="1" customHeight="1">
      <c r="A296" s="194" t="s">
        <v>217</v>
      </c>
      <c r="B296" s="195"/>
      <c r="C296" s="198"/>
      <c r="D296" s="199"/>
      <c r="E296" s="198"/>
      <c r="F296" s="195"/>
      <c r="G296" s="191"/>
      <c r="H296" s="192"/>
      <c r="I296" s="191"/>
      <c r="J296" s="191"/>
      <c r="K296" s="191"/>
      <c r="L296" s="192"/>
      <c r="M296" s="193"/>
    </row>
    <row r="297" ht="34.5" hidden="1" customHeight="1">
      <c r="A297" s="203" t="s">
        <v>162</v>
      </c>
      <c r="B297" s="195"/>
      <c r="C297" s="198"/>
      <c r="D297" s="199"/>
      <c r="E297" s="198"/>
      <c r="F297" s="195"/>
      <c r="G297" s="191"/>
      <c r="H297" s="192"/>
      <c r="I297" s="191"/>
      <c r="J297" s="191"/>
      <c r="K297" s="191"/>
      <c r="L297" s="192"/>
      <c r="M297" s="193"/>
    </row>
    <row r="298" ht="34.5" hidden="1" customHeight="1">
      <c r="A298" s="203" t="s">
        <v>163</v>
      </c>
      <c r="B298" s="195"/>
      <c r="C298" s="198"/>
      <c r="D298" s="199"/>
      <c r="E298" s="198"/>
      <c r="F298" s="195"/>
      <c r="G298" s="191"/>
      <c r="H298" s="192"/>
      <c r="I298" s="191"/>
      <c r="J298" s="191"/>
      <c r="K298" s="191"/>
      <c r="L298" s="192"/>
      <c r="M298" s="193"/>
    </row>
    <row r="299" ht="34.5" hidden="1" customHeight="1">
      <c r="A299" s="203" t="s">
        <v>164</v>
      </c>
      <c r="B299" s="195"/>
      <c r="C299" s="198"/>
      <c r="D299" s="199"/>
      <c r="E299" s="198"/>
      <c r="F299" s="195"/>
      <c r="G299" s="191"/>
      <c r="H299" s="192"/>
      <c r="I299" s="191"/>
      <c r="J299" s="191"/>
      <c r="K299" s="191"/>
      <c r="L299" s="192"/>
      <c r="M299" s="193"/>
    </row>
    <row r="300" ht="34.5" hidden="1" customHeight="1">
      <c r="A300" s="203" t="s">
        <v>165</v>
      </c>
      <c r="B300" s="195"/>
      <c r="C300" s="198"/>
      <c r="D300" s="199"/>
      <c r="E300" s="198"/>
      <c r="F300" s="195"/>
      <c r="G300" s="191"/>
      <c r="H300" s="192"/>
      <c r="I300" s="191"/>
      <c r="J300" s="191"/>
      <c r="K300" s="191"/>
      <c r="L300" s="192"/>
      <c r="M300" s="193"/>
    </row>
    <row r="301" ht="34.5" hidden="1" customHeight="1">
      <c r="A301" s="203"/>
      <c r="B301" s="195"/>
      <c r="C301" s="198"/>
      <c r="D301" s="199"/>
      <c r="E301" s="198"/>
      <c r="F301" s="195"/>
      <c r="G301" s="191"/>
      <c r="H301" s="192"/>
      <c r="I301" s="191"/>
      <c r="J301" s="191"/>
      <c r="K301" s="191"/>
      <c r="L301" s="192"/>
      <c r="M301" s="193"/>
    </row>
    <row r="302" ht="27.75" hidden="1" customHeight="1">
      <c r="A302" s="194" t="s">
        <v>183</v>
      </c>
      <c r="B302" s="195"/>
      <c r="C302" s="198"/>
      <c r="D302" s="199"/>
      <c r="E302" s="198"/>
      <c r="F302" s="195"/>
      <c r="G302" s="191"/>
      <c r="H302" s="192"/>
      <c r="I302" s="191"/>
      <c r="J302" s="191"/>
      <c r="K302" s="191"/>
      <c r="L302" s="192"/>
      <c r="M302" s="193"/>
    </row>
    <row r="303" ht="27.75" hidden="1" customHeight="1">
      <c r="A303" s="203" t="s">
        <v>162</v>
      </c>
      <c r="B303" s="195"/>
      <c r="C303" s="198"/>
      <c r="D303" s="199"/>
      <c r="E303" s="198"/>
      <c r="F303" s="195"/>
      <c r="G303" s="191"/>
      <c r="H303" s="192"/>
      <c r="I303" s="191"/>
      <c r="J303" s="191"/>
      <c r="K303" s="191"/>
      <c r="L303" s="192"/>
      <c r="M303" s="193"/>
    </row>
    <row r="304" hidden="1">
      <c r="A304" s="203" t="s">
        <v>163</v>
      </c>
      <c r="B304" s="195"/>
      <c r="C304" s="198"/>
      <c r="D304" s="199"/>
      <c r="E304" s="198"/>
      <c r="F304" s="195"/>
      <c r="G304" s="191"/>
      <c r="H304" s="192"/>
      <c r="I304" s="191"/>
      <c r="J304" s="191"/>
      <c r="K304" s="191"/>
      <c r="L304" s="192"/>
      <c r="M304" s="193"/>
    </row>
    <row r="305" ht="30.0" hidden="1" customHeight="1">
      <c r="A305" s="203" t="s">
        <v>164</v>
      </c>
      <c r="B305" s="195"/>
      <c r="C305" s="198"/>
      <c r="D305" s="199"/>
      <c r="E305" s="198"/>
      <c r="F305" s="195"/>
      <c r="G305" s="191"/>
      <c r="H305" s="192"/>
      <c r="I305" s="191"/>
      <c r="J305" s="191"/>
      <c r="K305" s="191"/>
      <c r="L305" s="192"/>
      <c r="M305" s="193"/>
    </row>
    <row r="306" ht="24.75" hidden="1" customHeight="1">
      <c r="A306" s="203" t="s">
        <v>165</v>
      </c>
      <c r="B306" s="195"/>
      <c r="C306" s="198"/>
      <c r="D306" s="199"/>
      <c r="E306" s="198"/>
      <c r="F306" s="195"/>
      <c r="G306" s="191"/>
      <c r="H306" s="192"/>
      <c r="I306" s="191"/>
      <c r="J306" s="191"/>
      <c r="K306" s="191"/>
      <c r="L306" s="192"/>
      <c r="M306" s="193"/>
    </row>
    <row r="307" ht="30.0" customHeight="1">
      <c r="A307" s="206" t="s">
        <v>189</v>
      </c>
      <c r="B307" s="195"/>
      <c r="C307" s="198"/>
      <c r="D307" s="199"/>
      <c r="E307" s="198"/>
      <c r="F307" s="195"/>
      <c r="G307" s="191"/>
      <c r="H307" s="192"/>
      <c r="I307" s="191"/>
      <c r="J307" s="191"/>
      <c r="K307" s="191"/>
      <c r="L307" s="192"/>
      <c r="M307" s="191"/>
    </row>
    <row r="308" ht="33.0" customHeight="1">
      <c r="A308" s="207" t="s">
        <v>162</v>
      </c>
      <c r="B308" s="195"/>
      <c r="C308" s="208">
        <v>13334.0</v>
      </c>
      <c r="D308" s="199">
        <v>2000.09</v>
      </c>
      <c r="E308" s="198"/>
      <c r="F308" s="195"/>
      <c r="G308" s="191"/>
      <c r="H308" s="192"/>
      <c r="I308" s="191"/>
      <c r="J308" s="191"/>
      <c r="K308" s="191"/>
      <c r="L308" s="192"/>
      <c r="M308" s="191"/>
    </row>
    <row r="309" ht="34.5" customHeight="1">
      <c r="A309" s="207" t="s">
        <v>163</v>
      </c>
      <c r="B309" s="195"/>
      <c r="C309" s="209"/>
      <c r="D309" s="199"/>
      <c r="E309" s="198"/>
      <c r="F309" s="195"/>
      <c r="G309" s="191"/>
      <c r="H309" s="192"/>
      <c r="I309" s="191"/>
      <c r="J309" s="191"/>
      <c r="K309" s="191"/>
      <c r="L309" s="192"/>
      <c r="M309" s="191"/>
    </row>
    <row r="310" ht="45.0" customHeight="1">
      <c r="A310" s="207" t="s">
        <v>164</v>
      </c>
      <c r="B310" s="195"/>
      <c r="C310" s="208">
        <v>13334.0</v>
      </c>
      <c r="D310" s="199"/>
      <c r="E310" s="198"/>
      <c r="F310" s="195"/>
      <c r="G310" s="191"/>
      <c r="H310" s="192"/>
      <c r="I310" s="191"/>
      <c r="J310" s="191"/>
      <c r="K310" s="191"/>
      <c r="L310" s="192"/>
      <c r="M310" s="191"/>
    </row>
    <row r="311" ht="33.0" customHeight="1">
      <c r="A311" s="207" t="s">
        <v>165</v>
      </c>
      <c r="B311" s="195"/>
      <c r="C311" s="208">
        <v>66.67</v>
      </c>
      <c r="D311" s="199"/>
      <c r="E311" s="198"/>
      <c r="F311" s="195"/>
      <c r="G311" s="191"/>
      <c r="H311" s="192"/>
      <c r="I311" s="191"/>
      <c r="J311" s="191"/>
      <c r="K311" s="191"/>
      <c r="L311" s="192"/>
      <c r="M311" s="191"/>
    </row>
    <row r="312" ht="27.0" hidden="1" customHeight="1">
      <c r="A312" s="194" t="s">
        <v>218</v>
      </c>
      <c r="B312" s="195"/>
      <c r="C312" s="198"/>
      <c r="D312" s="199"/>
      <c r="E312" s="198"/>
      <c r="F312" s="195"/>
      <c r="G312" s="191"/>
      <c r="H312" s="192"/>
      <c r="I312" s="191"/>
      <c r="J312" s="191"/>
      <c r="K312" s="191"/>
      <c r="L312" s="192"/>
      <c r="M312" s="193"/>
    </row>
    <row r="313" ht="34.5" hidden="1" customHeight="1">
      <c r="A313" s="203" t="s">
        <v>219</v>
      </c>
      <c r="B313" s="195"/>
      <c r="C313" s="198"/>
      <c r="D313" s="199"/>
      <c r="E313" s="198"/>
      <c r="F313" s="195"/>
      <c r="G313" s="191"/>
      <c r="H313" s="192"/>
      <c r="I313" s="191"/>
      <c r="J313" s="191"/>
      <c r="K313" s="191"/>
      <c r="L313" s="192"/>
      <c r="M313" s="193"/>
    </row>
    <row r="314" ht="34.5" hidden="1" customHeight="1">
      <c r="A314" s="203" t="s">
        <v>219</v>
      </c>
      <c r="B314" s="195"/>
      <c r="C314" s="198"/>
      <c r="D314" s="199"/>
      <c r="E314" s="198"/>
      <c r="F314" s="195"/>
      <c r="G314" s="191"/>
      <c r="H314" s="192"/>
      <c r="I314" s="191"/>
      <c r="J314" s="191"/>
      <c r="K314" s="191"/>
      <c r="L314" s="192"/>
      <c r="M314" s="193"/>
    </row>
    <row r="315" ht="34.5" hidden="1" customHeight="1">
      <c r="A315" s="203" t="s">
        <v>220</v>
      </c>
      <c r="B315" s="195"/>
      <c r="C315" s="198"/>
      <c r="D315" s="199"/>
      <c r="E315" s="198"/>
      <c r="F315" s="195"/>
      <c r="G315" s="191"/>
      <c r="H315" s="192"/>
      <c r="I315" s="191"/>
      <c r="J315" s="191"/>
      <c r="K315" s="191"/>
      <c r="L315" s="192"/>
      <c r="M315" s="193"/>
    </row>
    <row r="316" ht="34.5" hidden="1" customHeight="1">
      <c r="A316" s="203" t="s">
        <v>221</v>
      </c>
      <c r="B316" s="195"/>
      <c r="C316" s="198"/>
      <c r="D316" s="199"/>
      <c r="E316" s="198"/>
      <c r="F316" s="195"/>
      <c r="G316" s="191"/>
      <c r="H316" s="192"/>
      <c r="I316" s="191"/>
      <c r="J316" s="191"/>
      <c r="K316" s="191"/>
      <c r="L316" s="192"/>
      <c r="M316" s="193"/>
    </row>
    <row r="317" ht="30.0" hidden="1" customHeight="1">
      <c r="A317" s="203" t="s">
        <v>222</v>
      </c>
      <c r="B317" s="195"/>
      <c r="C317" s="198"/>
      <c r="D317" s="199"/>
      <c r="E317" s="198"/>
      <c r="F317" s="195"/>
      <c r="G317" s="191"/>
      <c r="H317" s="192"/>
      <c r="I317" s="191"/>
      <c r="J317" s="191"/>
      <c r="K317" s="191"/>
      <c r="L317" s="192"/>
      <c r="M317" s="193"/>
    </row>
    <row r="318" ht="24.75" hidden="1" customHeight="1">
      <c r="A318" s="203" t="s">
        <v>223</v>
      </c>
      <c r="B318" s="195"/>
      <c r="C318" s="198"/>
      <c r="D318" s="199"/>
      <c r="E318" s="198"/>
      <c r="F318" s="195"/>
      <c r="G318" s="191"/>
      <c r="H318" s="192"/>
      <c r="I318" s="191"/>
      <c r="J318" s="191"/>
      <c r="K318" s="191"/>
      <c r="L318" s="192"/>
      <c r="M318" s="193"/>
    </row>
    <row r="319" ht="42.0" hidden="1" customHeight="1">
      <c r="A319" s="203" t="s">
        <v>224</v>
      </c>
      <c r="B319" s="195"/>
      <c r="C319" s="198"/>
      <c r="D319" s="199"/>
      <c r="E319" s="198"/>
      <c r="F319" s="195"/>
      <c r="G319" s="191"/>
      <c r="H319" s="192"/>
      <c r="I319" s="191"/>
      <c r="J319" s="191"/>
      <c r="K319" s="191"/>
      <c r="L319" s="192"/>
      <c r="M319" s="193"/>
    </row>
    <row r="320" ht="42.0" hidden="1" customHeight="1">
      <c r="A320" s="203" t="s">
        <v>225</v>
      </c>
      <c r="B320" s="195"/>
      <c r="C320" s="198"/>
      <c r="D320" s="199"/>
      <c r="E320" s="198"/>
      <c r="F320" s="195"/>
      <c r="G320" s="191"/>
      <c r="H320" s="192"/>
      <c r="I320" s="191"/>
      <c r="J320" s="191"/>
      <c r="K320" s="191"/>
      <c r="L320" s="192"/>
      <c r="M320" s="193"/>
    </row>
    <row r="321" ht="42.0" hidden="1" customHeight="1">
      <c r="A321" s="203" t="s">
        <v>226</v>
      </c>
      <c r="B321" s="195"/>
      <c r="C321" s="198"/>
      <c r="D321" s="199"/>
      <c r="E321" s="198"/>
      <c r="F321" s="195"/>
      <c r="G321" s="191"/>
      <c r="H321" s="192"/>
      <c r="I321" s="191"/>
      <c r="J321" s="191"/>
      <c r="K321" s="191"/>
      <c r="L321" s="192"/>
      <c r="M321" s="193"/>
    </row>
    <row r="322" ht="42.0" hidden="1" customHeight="1">
      <c r="A322" s="203" t="s">
        <v>227</v>
      </c>
      <c r="B322" s="195"/>
      <c r="C322" s="198"/>
      <c r="D322" s="199"/>
      <c r="E322" s="198"/>
      <c r="F322" s="195"/>
      <c r="G322" s="191"/>
      <c r="H322" s="192"/>
      <c r="I322" s="191"/>
      <c r="J322" s="191"/>
      <c r="K322" s="191"/>
      <c r="L322" s="192"/>
      <c r="M322" s="193"/>
    </row>
    <row r="323" ht="15.75" hidden="1" customHeight="1">
      <c r="A323" s="203" t="s">
        <v>228</v>
      </c>
      <c r="B323" s="195"/>
      <c r="C323" s="198"/>
      <c r="D323" s="199"/>
      <c r="E323" s="198"/>
      <c r="F323" s="195"/>
      <c r="G323" s="191"/>
      <c r="H323" s="192"/>
      <c r="I323" s="191"/>
      <c r="J323" s="191"/>
      <c r="K323" s="191"/>
      <c r="L323" s="192"/>
      <c r="M323" s="193"/>
    </row>
    <row r="324" ht="33.75" hidden="1" customHeight="1">
      <c r="A324" s="203" t="s">
        <v>229</v>
      </c>
      <c r="B324" s="195"/>
      <c r="C324" s="198"/>
      <c r="D324" s="199"/>
      <c r="E324" s="198"/>
      <c r="F324" s="195"/>
      <c r="G324" s="191"/>
      <c r="H324" s="192"/>
      <c r="I324" s="191"/>
      <c r="J324" s="191"/>
      <c r="K324" s="191"/>
      <c r="L324" s="192"/>
      <c r="M324" s="193"/>
    </row>
    <row r="325" ht="33.75" hidden="1" customHeight="1">
      <c r="A325" s="203" t="s">
        <v>230</v>
      </c>
      <c r="B325" s="195"/>
      <c r="C325" s="198"/>
      <c r="D325" s="199"/>
      <c r="E325" s="198"/>
      <c r="F325" s="195"/>
      <c r="G325" s="191"/>
      <c r="H325" s="192"/>
      <c r="I325" s="191"/>
      <c r="J325" s="191"/>
      <c r="K325" s="191"/>
      <c r="L325" s="192"/>
      <c r="M325" s="193"/>
    </row>
    <row r="326" ht="33.75" hidden="1" customHeight="1">
      <c r="A326" s="203" t="s">
        <v>231</v>
      </c>
      <c r="B326" s="195"/>
      <c r="C326" s="198"/>
      <c r="D326" s="199"/>
      <c r="E326" s="198"/>
      <c r="F326" s="195"/>
      <c r="G326" s="191"/>
      <c r="H326" s="192"/>
      <c r="I326" s="191"/>
      <c r="J326" s="191"/>
      <c r="K326" s="191"/>
      <c r="L326" s="192"/>
      <c r="M326" s="193"/>
    </row>
    <row r="327" ht="33.75" hidden="1" customHeight="1">
      <c r="A327" s="203" t="s">
        <v>232</v>
      </c>
      <c r="B327" s="195"/>
      <c r="C327" s="198"/>
      <c r="D327" s="199"/>
      <c r="E327" s="198"/>
      <c r="F327" s="195"/>
      <c r="G327" s="191"/>
      <c r="H327" s="192"/>
      <c r="I327" s="191"/>
      <c r="J327" s="191"/>
      <c r="K327" s="191"/>
      <c r="L327" s="192"/>
      <c r="M327" s="193"/>
    </row>
    <row r="328" ht="33.75" hidden="1" customHeight="1">
      <c r="A328" s="203" t="s">
        <v>233</v>
      </c>
      <c r="B328" s="195"/>
      <c r="C328" s="198"/>
      <c r="D328" s="199"/>
      <c r="E328" s="198"/>
      <c r="F328" s="195"/>
      <c r="G328" s="191"/>
      <c r="H328" s="192"/>
      <c r="I328" s="191"/>
      <c r="J328" s="191"/>
      <c r="K328" s="191"/>
      <c r="L328" s="192"/>
      <c r="M328" s="193"/>
    </row>
    <row r="329" ht="33.75" hidden="1" customHeight="1">
      <c r="A329" s="203" t="s">
        <v>234</v>
      </c>
      <c r="B329" s="195"/>
      <c r="C329" s="198"/>
      <c r="D329" s="199"/>
      <c r="E329" s="198"/>
      <c r="F329" s="195"/>
      <c r="G329" s="191"/>
      <c r="H329" s="192"/>
      <c r="I329" s="191"/>
      <c r="J329" s="191"/>
      <c r="K329" s="191"/>
      <c r="L329" s="192"/>
      <c r="M329" s="193"/>
    </row>
    <row r="330" ht="33.75" hidden="1" customHeight="1">
      <c r="A330" s="203" t="s">
        <v>235</v>
      </c>
      <c r="B330" s="195"/>
      <c r="C330" s="198"/>
      <c r="D330" s="199"/>
      <c r="E330" s="198"/>
      <c r="F330" s="195"/>
      <c r="G330" s="191"/>
      <c r="H330" s="192"/>
      <c r="I330" s="191"/>
      <c r="J330" s="191"/>
      <c r="K330" s="191"/>
      <c r="L330" s="192"/>
      <c r="M330" s="193"/>
    </row>
    <row r="331" ht="33.75" hidden="1" customHeight="1">
      <c r="A331" s="203" t="s">
        <v>236</v>
      </c>
      <c r="B331" s="195"/>
      <c r="C331" s="198"/>
      <c r="D331" s="199"/>
      <c r="E331" s="198"/>
      <c r="F331" s="195"/>
      <c r="G331" s="191"/>
      <c r="H331" s="192"/>
      <c r="I331" s="191"/>
      <c r="J331" s="191"/>
      <c r="K331" s="191"/>
      <c r="L331" s="192"/>
      <c r="M331" s="193"/>
    </row>
    <row r="332" ht="33.75" hidden="1" customHeight="1">
      <c r="A332" s="203" t="s">
        <v>237</v>
      </c>
      <c r="B332" s="195"/>
      <c r="C332" s="198"/>
      <c r="D332" s="199"/>
      <c r="E332" s="198"/>
      <c r="F332" s="195"/>
      <c r="G332" s="191"/>
      <c r="H332" s="192"/>
      <c r="I332" s="191"/>
      <c r="J332" s="191"/>
      <c r="K332" s="191"/>
      <c r="L332" s="192"/>
      <c r="M332" s="193"/>
    </row>
    <row r="333" ht="33.75" hidden="1" customHeight="1">
      <c r="A333" s="203"/>
      <c r="B333" s="195"/>
      <c r="C333" s="198"/>
      <c r="D333" s="199"/>
      <c r="E333" s="198"/>
      <c r="F333" s="195"/>
      <c r="G333" s="191"/>
      <c r="H333" s="192"/>
      <c r="I333" s="191"/>
      <c r="J333" s="191"/>
      <c r="K333" s="191"/>
      <c r="L333" s="192"/>
      <c r="M333" s="193"/>
    </row>
    <row r="334" ht="33.75" hidden="1" customHeight="1">
      <c r="A334" s="203"/>
      <c r="B334" s="195"/>
      <c r="C334" s="198"/>
      <c r="D334" s="199"/>
      <c r="E334" s="198"/>
      <c r="F334" s="195"/>
      <c r="G334" s="191"/>
      <c r="H334" s="192"/>
      <c r="I334" s="191"/>
      <c r="J334" s="191"/>
      <c r="K334" s="191"/>
      <c r="L334" s="192"/>
      <c r="M334" s="193"/>
    </row>
    <row r="335" ht="33.75" customHeight="1">
      <c r="A335" s="194" t="s">
        <v>238</v>
      </c>
      <c r="B335" s="195"/>
      <c r="C335" s="198"/>
      <c r="D335" s="199"/>
      <c r="E335" s="198"/>
      <c r="F335" s="195"/>
      <c r="G335" s="191"/>
      <c r="H335" s="192"/>
      <c r="I335" s="191"/>
      <c r="J335" s="191"/>
      <c r="K335" s="191"/>
      <c r="L335" s="192"/>
      <c r="M335" s="193"/>
    </row>
    <row r="336" ht="25.5" customHeight="1">
      <c r="A336" s="203" t="s">
        <v>239</v>
      </c>
      <c r="B336" s="195"/>
      <c r="C336" s="198"/>
      <c r="D336" s="199"/>
      <c r="E336" s="198"/>
      <c r="F336" s="195"/>
      <c r="G336" s="191"/>
      <c r="H336" s="192"/>
      <c r="I336" s="191"/>
      <c r="J336" s="191"/>
      <c r="K336" s="191"/>
      <c r="L336" s="192"/>
      <c r="M336" s="193"/>
    </row>
    <row r="337" ht="24.75" customHeight="1">
      <c r="A337" s="203" t="s">
        <v>240</v>
      </c>
      <c r="B337" s="195"/>
      <c r="C337" s="198"/>
      <c r="D337" s="199"/>
      <c r="E337" s="198"/>
      <c r="F337" s="195"/>
      <c r="G337" s="191"/>
      <c r="H337" s="192"/>
      <c r="I337" s="191"/>
      <c r="J337" s="191"/>
      <c r="K337" s="191"/>
      <c r="L337" s="192"/>
      <c r="M337" s="193"/>
    </row>
    <row r="338" ht="24.75" customHeight="1">
      <c r="A338" s="203" t="s">
        <v>241</v>
      </c>
      <c r="B338" s="195"/>
      <c r="C338" s="198"/>
      <c r="D338" s="199"/>
      <c r="E338" s="198"/>
      <c r="F338" s="195"/>
      <c r="G338" s="191"/>
      <c r="H338" s="192"/>
      <c r="I338" s="191"/>
      <c r="J338" s="191"/>
      <c r="K338" s="191"/>
      <c r="L338" s="192"/>
      <c r="M338" s="193"/>
    </row>
    <row r="339" ht="24.75" customHeight="1">
      <c r="A339" s="210" t="s">
        <v>241</v>
      </c>
      <c r="B339" s="195"/>
      <c r="C339" s="198"/>
      <c r="D339" s="199"/>
      <c r="E339" s="198"/>
      <c r="F339" s="195"/>
      <c r="G339" s="191"/>
      <c r="H339" s="192"/>
      <c r="I339" s="191"/>
      <c r="J339" s="191"/>
      <c r="K339" s="191"/>
      <c r="L339" s="192"/>
      <c r="M339" s="193"/>
    </row>
    <row r="340" ht="24.75" customHeight="1">
      <c r="A340" s="210" t="s">
        <v>242</v>
      </c>
      <c r="B340" s="195"/>
      <c r="C340" s="198"/>
      <c r="D340" s="199"/>
      <c r="E340" s="198"/>
      <c r="F340" s="195"/>
      <c r="G340" s="192">
        <f>G29*4.85181818</f>
        <v>970.363636</v>
      </c>
      <c r="H340" s="192">
        <f>G340*0.42525764</f>
        <v>412.6545498</v>
      </c>
      <c r="I340" s="191"/>
      <c r="J340" s="191"/>
      <c r="K340" s="192">
        <f>K29*4.85181818</f>
        <v>970.363636</v>
      </c>
      <c r="L340" s="192">
        <f>K340*0.42525764</f>
        <v>412.6545498</v>
      </c>
      <c r="M340" s="193"/>
    </row>
    <row r="341" ht="24.75" hidden="1" customHeight="1">
      <c r="A341" s="203"/>
      <c r="B341" s="195"/>
      <c r="C341" s="198"/>
      <c r="D341" s="199"/>
      <c r="E341" s="198"/>
      <c r="F341" s="195"/>
      <c r="G341" s="191"/>
      <c r="H341" s="192"/>
      <c r="I341" s="191"/>
      <c r="J341" s="191"/>
      <c r="K341" s="191"/>
      <c r="L341" s="192"/>
      <c r="M341" s="193"/>
    </row>
    <row r="342" ht="24.75" hidden="1" customHeight="1">
      <c r="A342" s="203"/>
      <c r="B342" s="195"/>
      <c r="C342" s="198"/>
      <c r="D342" s="199"/>
      <c r="E342" s="198"/>
      <c r="F342" s="195"/>
      <c r="G342" s="191"/>
      <c r="H342" s="192"/>
      <c r="I342" s="191"/>
      <c r="J342" s="191"/>
      <c r="K342" s="191"/>
      <c r="L342" s="192"/>
      <c r="M342" s="193"/>
    </row>
    <row r="343" ht="24.75" hidden="1" customHeight="1">
      <c r="A343" s="203"/>
      <c r="B343" s="195"/>
      <c r="C343" s="198"/>
      <c r="D343" s="199"/>
      <c r="E343" s="198"/>
      <c r="F343" s="195"/>
      <c r="G343" s="191"/>
      <c r="H343" s="192"/>
      <c r="I343" s="191"/>
      <c r="J343" s="191"/>
      <c r="K343" s="191"/>
      <c r="L343" s="192"/>
      <c r="M343" s="193"/>
    </row>
    <row r="344" ht="24.75" hidden="1" customHeight="1">
      <c r="A344" s="194" t="s">
        <v>243</v>
      </c>
      <c r="B344" s="195"/>
      <c r="C344" s="198"/>
      <c r="D344" s="199"/>
      <c r="E344" s="198"/>
      <c r="F344" s="195"/>
      <c r="G344" s="191"/>
      <c r="H344" s="192"/>
      <c r="I344" s="191"/>
      <c r="J344" s="191"/>
      <c r="K344" s="191"/>
      <c r="L344" s="192"/>
      <c r="M344" s="193"/>
    </row>
    <row r="345" ht="24.75" hidden="1" customHeight="1">
      <c r="A345" s="203" t="s">
        <v>244</v>
      </c>
      <c r="B345" s="195"/>
      <c r="C345" s="198"/>
      <c r="D345" s="199"/>
      <c r="E345" s="198"/>
      <c r="F345" s="195"/>
      <c r="G345" s="191"/>
      <c r="H345" s="192"/>
      <c r="I345" s="191"/>
      <c r="J345" s="191"/>
      <c r="K345" s="191"/>
      <c r="L345" s="192"/>
      <c r="M345" s="193"/>
    </row>
    <row r="346" ht="24.75" hidden="1" customHeight="1">
      <c r="A346" s="203" t="s">
        <v>245</v>
      </c>
      <c r="B346" s="195"/>
      <c r="C346" s="198"/>
      <c r="D346" s="199"/>
      <c r="E346" s="198"/>
      <c r="F346" s="195"/>
      <c r="G346" s="191"/>
      <c r="H346" s="192"/>
      <c r="I346" s="191"/>
      <c r="J346" s="191"/>
      <c r="K346" s="191"/>
      <c r="L346" s="192"/>
      <c r="M346" s="193"/>
    </row>
    <row r="347" ht="24.75" hidden="1" customHeight="1">
      <c r="A347" s="203" t="s">
        <v>246</v>
      </c>
      <c r="B347" s="195"/>
      <c r="C347" s="198"/>
      <c r="D347" s="199"/>
      <c r="E347" s="198"/>
      <c r="F347" s="195"/>
      <c r="G347" s="191"/>
      <c r="H347" s="192"/>
      <c r="I347" s="191"/>
      <c r="J347" s="191"/>
      <c r="K347" s="191"/>
      <c r="L347" s="192"/>
      <c r="M347" s="193"/>
    </row>
    <row r="348" ht="24.75" hidden="1" customHeight="1">
      <c r="A348" s="203" t="s">
        <v>247</v>
      </c>
      <c r="B348" s="195"/>
      <c r="C348" s="198"/>
      <c r="D348" s="199"/>
      <c r="E348" s="198"/>
      <c r="F348" s="195"/>
      <c r="G348" s="191"/>
      <c r="H348" s="192"/>
      <c r="I348" s="191"/>
      <c r="J348" s="191"/>
      <c r="K348" s="191"/>
      <c r="L348" s="192"/>
      <c r="M348" s="193"/>
    </row>
    <row r="349" ht="24.75" hidden="1" customHeight="1">
      <c r="A349" s="203" t="s">
        <v>248</v>
      </c>
      <c r="B349" s="195"/>
      <c r="C349" s="198"/>
      <c r="D349" s="199"/>
      <c r="E349" s="198"/>
      <c r="F349" s="195"/>
      <c r="G349" s="191"/>
      <c r="H349" s="192"/>
      <c r="I349" s="191"/>
      <c r="J349" s="191"/>
      <c r="K349" s="191"/>
      <c r="L349" s="192"/>
      <c r="M349" s="193"/>
    </row>
    <row r="350" ht="24.75" hidden="1" customHeight="1">
      <c r="A350" s="203" t="s">
        <v>249</v>
      </c>
      <c r="B350" s="195"/>
      <c r="C350" s="198"/>
      <c r="D350" s="199"/>
      <c r="E350" s="198"/>
      <c r="F350" s="195"/>
      <c r="G350" s="191"/>
      <c r="H350" s="192"/>
      <c r="I350" s="191"/>
      <c r="J350" s="191"/>
      <c r="K350" s="191"/>
      <c r="L350" s="192"/>
      <c r="M350" s="193"/>
    </row>
    <row r="351" ht="24.75" hidden="1" customHeight="1">
      <c r="A351" s="203"/>
      <c r="B351" s="195"/>
      <c r="C351" s="198"/>
      <c r="D351" s="199"/>
      <c r="E351" s="198"/>
      <c r="F351" s="195"/>
      <c r="G351" s="191"/>
      <c r="H351" s="192"/>
      <c r="I351" s="191"/>
      <c r="J351" s="191"/>
      <c r="K351" s="191"/>
      <c r="L351" s="192"/>
      <c r="M351" s="193"/>
    </row>
    <row r="352" ht="24.75" hidden="1" customHeight="1">
      <c r="A352" s="194" t="s">
        <v>250</v>
      </c>
      <c r="B352" s="195"/>
      <c r="C352" s="198"/>
      <c r="D352" s="199"/>
      <c r="E352" s="198"/>
      <c r="F352" s="195"/>
      <c r="G352" s="191"/>
      <c r="H352" s="192"/>
      <c r="I352" s="191"/>
      <c r="J352" s="191"/>
      <c r="K352" s="191"/>
      <c r="L352" s="192"/>
      <c r="M352" s="193"/>
    </row>
    <row r="353" ht="24.75" hidden="1" customHeight="1">
      <c r="A353" s="203" t="s">
        <v>251</v>
      </c>
      <c r="B353" s="195"/>
      <c r="C353" s="198"/>
      <c r="D353" s="199"/>
      <c r="E353" s="198"/>
      <c r="F353" s="195"/>
      <c r="G353" s="191"/>
      <c r="H353" s="192"/>
      <c r="I353" s="191"/>
      <c r="J353" s="191"/>
      <c r="K353" s="191"/>
      <c r="L353" s="192"/>
      <c r="M353" s="193"/>
    </row>
    <row r="354" ht="24.75" hidden="1" customHeight="1">
      <c r="A354" s="203" t="s">
        <v>252</v>
      </c>
      <c r="B354" s="195"/>
      <c r="C354" s="198"/>
      <c r="D354" s="199"/>
      <c r="E354" s="198"/>
      <c r="F354" s="195"/>
      <c r="G354" s="191"/>
      <c r="H354" s="192"/>
      <c r="I354" s="191"/>
      <c r="J354" s="191"/>
      <c r="K354" s="191"/>
      <c r="L354" s="192"/>
      <c r="M354" s="193"/>
    </row>
    <row r="355" ht="24.75" hidden="1" customHeight="1">
      <c r="A355" s="203" t="s">
        <v>253</v>
      </c>
      <c r="B355" s="195"/>
      <c r="C355" s="198"/>
      <c r="D355" s="199"/>
      <c r="E355" s="198"/>
      <c r="F355" s="195"/>
      <c r="G355" s="191"/>
      <c r="H355" s="192"/>
      <c r="I355" s="191"/>
      <c r="J355" s="191"/>
      <c r="K355" s="191"/>
      <c r="L355" s="192"/>
      <c r="M355" s="193"/>
    </row>
    <row r="356" ht="24.75" hidden="1" customHeight="1">
      <c r="A356" s="203" t="s">
        <v>254</v>
      </c>
      <c r="B356" s="195"/>
      <c r="C356" s="198"/>
      <c r="D356" s="199"/>
      <c r="E356" s="198"/>
      <c r="F356" s="195"/>
      <c r="G356" s="191"/>
      <c r="H356" s="192"/>
      <c r="I356" s="191"/>
      <c r="J356" s="191"/>
      <c r="K356" s="191"/>
      <c r="L356" s="192"/>
      <c r="M356" s="193"/>
    </row>
    <row r="357" ht="24.75" hidden="1" customHeight="1">
      <c r="A357" s="203" t="s">
        <v>255</v>
      </c>
      <c r="B357" s="195"/>
      <c r="C357" s="198"/>
      <c r="D357" s="199"/>
      <c r="E357" s="198"/>
      <c r="F357" s="195"/>
      <c r="G357" s="191"/>
      <c r="H357" s="192"/>
      <c r="I357" s="191"/>
      <c r="J357" s="191"/>
      <c r="K357" s="191"/>
      <c r="L357" s="192"/>
      <c r="M357" s="193"/>
    </row>
    <row r="358" ht="24.75" hidden="1" customHeight="1">
      <c r="A358" s="203"/>
      <c r="B358" s="195"/>
      <c r="C358" s="198"/>
      <c r="D358" s="199"/>
      <c r="E358" s="198"/>
      <c r="F358" s="195"/>
      <c r="G358" s="191"/>
      <c r="H358" s="192"/>
      <c r="I358" s="191"/>
      <c r="J358" s="191"/>
      <c r="K358" s="191"/>
      <c r="L358" s="192"/>
      <c r="M358" s="193"/>
    </row>
    <row r="359" ht="24.75" hidden="1" customHeight="1">
      <c r="A359" s="203"/>
      <c r="B359" s="195"/>
      <c r="C359" s="198"/>
      <c r="D359" s="199"/>
      <c r="E359" s="198"/>
      <c r="F359" s="195"/>
      <c r="G359" s="191"/>
      <c r="H359" s="192"/>
      <c r="I359" s="191"/>
      <c r="J359" s="191"/>
      <c r="K359" s="191"/>
      <c r="L359" s="192"/>
      <c r="M359" s="193"/>
    </row>
    <row r="360" ht="24.75" hidden="1" customHeight="1">
      <c r="A360" s="203"/>
      <c r="B360" s="195"/>
      <c r="C360" s="198"/>
      <c r="D360" s="199"/>
      <c r="E360" s="198"/>
      <c r="F360" s="195"/>
      <c r="G360" s="191"/>
      <c r="H360" s="192"/>
      <c r="I360" s="191"/>
      <c r="J360" s="191"/>
      <c r="K360" s="191"/>
      <c r="L360" s="192"/>
      <c r="M360" s="193"/>
    </row>
    <row r="361" ht="24.75" hidden="1" customHeight="1">
      <c r="A361" s="194" t="s">
        <v>256</v>
      </c>
      <c r="B361" s="195"/>
      <c r="C361" s="198"/>
      <c r="D361" s="199"/>
      <c r="E361" s="198"/>
      <c r="F361" s="195"/>
      <c r="G361" s="191"/>
      <c r="H361" s="192"/>
      <c r="I361" s="191"/>
      <c r="J361" s="191"/>
      <c r="K361" s="191"/>
      <c r="L361" s="192"/>
      <c r="M361" s="193"/>
    </row>
    <row r="362" ht="24.75" hidden="1" customHeight="1">
      <c r="A362" s="203" t="s">
        <v>257</v>
      </c>
      <c r="B362" s="195"/>
      <c r="C362" s="198"/>
      <c r="D362" s="199"/>
      <c r="E362" s="198"/>
      <c r="F362" s="195"/>
      <c r="G362" s="191"/>
      <c r="H362" s="192"/>
      <c r="I362" s="191"/>
      <c r="J362" s="191"/>
      <c r="K362" s="191"/>
      <c r="L362" s="192"/>
      <c r="M362" s="193"/>
    </row>
    <row r="363" ht="24.75" hidden="1" customHeight="1">
      <c r="A363" s="203" t="s">
        <v>258</v>
      </c>
      <c r="B363" s="195"/>
      <c r="C363" s="198"/>
      <c r="D363" s="199"/>
      <c r="E363" s="198"/>
      <c r="F363" s="195"/>
      <c r="G363" s="191"/>
      <c r="H363" s="192"/>
      <c r="I363" s="191"/>
      <c r="J363" s="191"/>
      <c r="K363" s="191"/>
      <c r="L363" s="192"/>
      <c r="M363" s="193"/>
    </row>
    <row r="364" ht="24.75" hidden="1" customHeight="1">
      <c r="A364" s="203" t="s">
        <v>259</v>
      </c>
      <c r="B364" s="195"/>
      <c r="C364" s="198"/>
      <c r="D364" s="199"/>
      <c r="E364" s="198"/>
      <c r="F364" s="195"/>
      <c r="G364" s="191"/>
      <c r="H364" s="192"/>
      <c r="I364" s="191"/>
      <c r="J364" s="191"/>
      <c r="K364" s="191"/>
      <c r="L364" s="192"/>
      <c r="M364" s="193"/>
    </row>
    <row r="365" ht="24.75" hidden="1" customHeight="1">
      <c r="A365" s="203"/>
      <c r="B365" s="195"/>
      <c r="C365" s="198"/>
      <c r="D365" s="199"/>
      <c r="E365" s="198"/>
      <c r="F365" s="195"/>
      <c r="G365" s="191"/>
      <c r="H365" s="192"/>
      <c r="I365" s="191"/>
      <c r="J365" s="191"/>
      <c r="K365" s="191"/>
      <c r="L365" s="192"/>
      <c r="M365" s="193"/>
    </row>
    <row r="366" ht="24.75" hidden="1" customHeight="1">
      <c r="A366" s="194" t="s">
        <v>260</v>
      </c>
      <c r="B366" s="195"/>
      <c r="C366" s="198"/>
      <c r="D366" s="199"/>
      <c r="E366" s="198"/>
      <c r="F366" s="195"/>
      <c r="G366" s="191"/>
      <c r="H366" s="192"/>
      <c r="I366" s="191"/>
      <c r="J366" s="191"/>
      <c r="K366" s="191"/>
      <c r="L366" s="192"/>
      <c r="M366" s="193"/>
    </row>
    <row r="367" ht="24.75" hidden="1" customHeight="1">
      <c r="A367" s="203" t="s">
        <v>261</v>
      </c>
      <c r="B367" s="195"/>
      <c r="C367" s="198"/>
      <c r="D367" s="199"/>
      <c r="E367" s="198"/>
      <c r="F367" s="195"/>
      <c r="G367" s="191"/>
      <c r="H367" s="192"/>
      <c r="I367" s="191"/>
      <c r="J367" s="191"/>
      <c r="K367" s="191"/>
      <c r="L367" s="192"/>
      <c r="M367" s="193"/>
    </row>
    <row r="368" ht="24.75" hidden="1" customHeight="1">
      <c r="A368" s="203" t="s">
        <v>262</v>
      </c>
      <c r="B368" s="195"/>
      <c r="C368" s="198"/>
      <c r="D368" s="199"/>
      <c r="E368" s="198"/>
      <c r="F368" s="195"/>
      <c r="G368" s="191"/>
      <c r="H368" s="192"/>
      <c r="I368" s="191"/>
      <c r="J368" s="191"/>
      <c r="K368" s="191"/>
      <c r="L368" s="192"/>
      <c r="M368" s="193"/>
    </row>
    <row r="369" ht="24.75" hidden="1" customHeight="1">
      <c r="A369" s="203" t="s">
        <v>263</v>
      </c>
      <c r="B369" s="195"/>
      <c r="C369" s="198"/>
      <c r="D369" s="199"/>
      <c r="E369" s="198"/>
      <c r="F369" s="195"/>
      <c r="G369" s="191"/>
      <c r="H369" s="192"/>
      <c r="I369" s="191"/>
      <c r="J369" s="191"/>
      <c r="K369" s="191"/>
      <c r="L369" s="192"/>
      <c r="M369" s="193"/>
    </row>
    <row r="370" ht="24.75" hidden="1" customHeight="1">
      <c r="A370" s="203" t="s">
        <v>264</v>
      </c>
      <c r="B370" s="195"/>
      <c r="C370" s="198"/>
      <c r="D370" s="199"/>
      <c r="E370" s="198"/>
      <c r="F370" s="195"/>
      <c r="G370" s="191"/>
      <c r="H370" s="192"/>
      <c r="I370" s="191"/>
      <c r="J370" s="191"/>
      <c r="K370" s="191"/>
      <c r="L370" s="192"/>
      <c r="M370" s="193"/>
    </row>
    <row r="371" ht="24.75" hidden="1" customHeight="1">
      <c r="A371" s="203"/>
      <c r="B371" s="195"/>
      <c r="C371" s="198"/>
      <c r="D371" s="199"/>
      <c r="E371" s="198"/>
      <c r="F371" s="195"/>
      <c r="G371" s="191"/>
      <c r="H371" s="192"/>
      <c r="I371" s="191"/>
      <c r="J371" s="191"/>
      <c r="K371" s="191"/>
      <c r="L371" s="192"/>
      <c r="M371" s="193"/>
    </row>
    <row r="372" ht="24.75" hidden="1" customHeight="1">
      <c r="A372" s="203"/>
      <c r="B372" s="195"/>
      <c r="C372" s="198"/>
      <c r="D372" s="199"/>
      <c r="E372" s="198"/>
      <c r="F372" s="195"/>
      <c r="G372" s="191"/>
      <c r="H372" s="192"/>
      <c r="I372" s="191"/>
      <c r="J372" s="191"/>
      <c r="K372" s="191"/>
      <c r="L372" s="192"/>
      <c r="M372" s="193"/>
    </row>
    <row r="373" ht="48.0" hidden="1" customHeight="1">
      <c r="A373" s="194" t="s">
        <v>265</v>
      </c>
      <c r="B373" s="195"/>
      <c r="C373" s="198"/>
      <c r="D373" s="199"/>
      <c r="E373" s="198"/>
      <c r="F373" s="195"/>
      <c r="G373" s="191"/>
      <c r="H373" s="192"/>
      <c r="I373" s="191"/>
      <c r="J373" s="191"/>
      <c r="K373" s="191"/>
      <c r="L373" s="192"/>
      <c r="M373" s="193"/>
    </row>
    <row r="374" ht="24.75" hidden="1" customHeight="1">
      <c r="A374" s="203" t="s">
        <v>266</v>
      </c>
      <c r="B374" s="195"/>
      <c r="C374" s="198"/>
      <c r="D374" s="199"/>
      <c r="E374" s="198"/>
      <c r="F374" s="195"/>
      <c r="G374" s="191"/>
      <c r="H374" s="192"/>
      <c r="I374" s="191"/>
      <c r="J374" s="191"/>
      <c r="K374" s="191"/>
      <c r="L374" s="192"/>
      <c r="M374" s="193"/>
    </row>
    <row r="375" ht="24.75" hidden="1" customHeight="1">
      <c r="A375" s="203"/>
      <c r="B375" s="195"/>
      <c r="C375" s="198"/>
      <c r="D375" s="199"/>
      <c r="E375" s="198"/>
      <c r="F375" s="195"/>
      <c r="G375" s="191"/>
      <c r="H375" s="192"/>
      <c r="I375" s="191"/>
      <c r="J375" s="191"/>
      <c r="K375" s="191"/>
      <c r="L375" s="192"/>
      <c r="M375" s="193"/>
    </row>
    <row r="376" ht="24.75" hidden="1" customHeight="1">
      <c r="A376" s="203"/>
      <c r="B376" s="195"/>
      <c r="C376" s="198"/>
      <c r="D376" s="199"/>
      <c r="E376" s="198"/>
      <c r="F376" s="195"/>
      <c r="G376" s="191"/>
      <c r="H376" s="192"/>
      <c r="I376" s="191"/>
      <c r="J376" s="191"/>
      <c r="K376" s="191"/>
      <c r="L376" s="192"/>
      <c r="M376" s="193"/>
    </row>
    <row r="377" ht="24.75" hidden="1" customHeight="1">
      <c r="A377" s="203"/>
      <c r="B377" s="195"/>
      <c r="C377" s="198"/>
      <c r="D377" s="199"/>
      <c r="E377" s="198"/>
      <c r="F377" s="195"/>
      <c r="G377" s="191"/>
      <c r="H377" s="192"/>
      <c r="I377" s="191"/>
      <c r="J377" s="191"/>
      <c r="K377" s="191"/>
      <c r="L377" s="192"/>
      <c r="M377" s="193"/>
    </row>
    <row r="378" ht="24.75" hidden="1" customHeight="1">
      <c r="A378" s="194" t="s">
        <v>267</v>
      </c>
      <c r="B378" s="195"/>
      <c r="C378" s="198"/>
      <c r="D378" s="199"/>
      <c r="E378" s="198"/>
      <c r="F378" s="195"/>
      <c r="G378" s="191"/>
      <c r="H378" s="192"/>
      <c r="I378" s="191"/>
      <c r="J378" s="191"/>
      <c r="K378" s="191"/>
      <c r="L378" s="192"/>
      <c r="M378" s="193"/>
    </row>
    <row r="379" ht="24.75" hidden="1" customHeight="1">
      <c r="A379" s="194" t="s">
        <v>268</v>
      </c>
      <c r="B379" s="195"/>
      <c r="C379" s="198"/>
      <c r="D379" s="199"/>
      <c r="E379" s="198"/>
      <c r="F379" s="195"/>
      <c r="G379" s="191"/>
      <c r="H379" s="192"/>
      <c r="I379" s="191"/>
      <c r="J379" s="191"/>
      <c r="K379" s="191"/>
      <c r="L379" s="192"/>
      <c r="M379" s="193"/>
    </row>
    <row r="380" ht="24.75" hidden="1" customHeight="1">
      <c r="A380" s="203" t="s">
        <v>269</v>
      </c>
      <c r="B380" s="195"/>
      <c r="C380" s="198"/>
      <c r="D380" s="199"/>
      <c r="E380" s="198"/>
      <c r="F380" s="195"/>
      <c r="G380" s="191"/>
      <c r="H380" s="192"/>
      <c r="I380" s="191"/>
      <c r="J380" s="191"/>
      <c r="K380" s="191"/>
      <c r="L380" s="192"/>
      <c r="M380" s="193"/>
    </row>
    <row r="381" ht="24.75" hidden="1" customHeight="1">
      <c r="A381" s="203" t="s">
        <v>270</v>
      </c>
      <c r="B381" s="195"/>
      <c r="C381" s="198"/>
      <c r="D381" s="199"/>
      <c r="E381" s="198"/>
      <c r="F381" s="195"/>
      <c r="G381" s="191"/>
      <c r="H381" s="192"/>
      <c r="I381" s="191"/>
      <c r="J381" s="191"/>
      <c r="K381" s="191"/>
      <c r="L381" s="192"/>
      <c r="M381" s="193"/>
    </row>
    <row r="382" ht="24.75" hidden="1" customHeight="1">
      <c r="A382" s="203" t="s">
        <v>271</v>
      </c>
      <c r="B382" s="195"/>
      <c r="C382" s="198"/>
      <c r="D382" s="199"/>
      <c r="E382" s="198"/>
      <c r="F382" s="195"/>
      <c r="G382" s="191"/>
      <c r="H382" s="192"/>
      <c r="I382" s="191"/>
      <c r="J382" s="191"/>
      <c r="K382" s="191"/>
      <c r="L382" s="192"/>
      <c r="M382" s="193"/>
    </row>
    <row r="383" ht="24.75" hidden="1" customHeight="1">
      <c r="A383" s="203" t="s">
        <v>272</v>
      </c>
      <c r="B383" s="195"/>
      <c r="C383" s="198"/>
      <c r="D383" s="199"/>
      <c r="E383" s="198"/>
      <c r="F383" s="195"/>
      <c r="G383" s="191"/>
      <c r="H383" s="192"/>
      <c r="I383" s="191"/>
      <c r="J383" s="191"/>
      <c r="K383" s="191"/>
      <c r="L383" s="192"/>
      <c r="M383" s="193"/>
    </row>
    <row r="384" ht="24.75" hidden="1" customHeight="1">
      <c r="A384" s="203" t="s">
        <v>273</v>
      </c>
      <c r="B384" s="195"/>
      <c r="C384" s="198"/>
      <c r="D384" s="199"/>
      <c r="E384" s="198"/>
      <c r="F384" s="195"/>
      <c r="G384" s="191"/>
      <c r="H384" s="192"/>
      <c r="I384" s="191"/>
      <c r="J384" s="191"/>
      <c r="K384" s="191"/>
      <c r="L384" s="192"/>
      <c r="M384" s="193"/>
    </row>
    <row r="385" ht="24.75" hidden="1" customHeight="1">
      <c r="A385" s="203" t="s">
        <v>274</v>
      </c>
      <c r="B385" s="195"/>
      <c r="C385" s="198"/>
      <c r="D385" s="199"/>
      <c r="E385" s="198"/>
      <c r="F385" s="195"/>
      <c r="G385" s="191"/>
      <c r="H385" s="192"/>
      <c r="I385" s="191"/>
      <c r="J385" s="191"/>
      <c r="K385" s="191"/>
      <c r="L385" s="192"/>
      <c r="M385" s="193"/>
    </row>
    <row r="386" ht="24.75" hidden="1" customHeight="1">
      <c r="A386" s="203" t="s">
        <v>275</v>
      </c>
      <c r="B386" s="195"/>
      <c r="C386" s="198"/>
      <c r="D386" s="199"/>
      <c r="E386" s="198"/>
      <c r="F386" s="195"/>
      <c r="G386" s="191"/>
      <c r="H386" s="192"/>
      <c r="I386" s="191"/>
      <c r="J386" s="191"/>
      <c r="K386" s="191"/>
      <c r="L386" s="192"/>
      <c r="M386" s="193"/>
    </row>
    <row r="387" ht="24.75" hidden="1" customHeight="1">
      <c r="A387" s="203" t="s">
        <v>276</v>
      </c>
      <c r="B387" s="195"/>
      <c r="C387" s="198"/>
      <c r="D387" s="199"/>
      <c r="E387" s="198"/>
      <c r="F387" s="195"/>
      <c r="G387" s="191"/>
      <c r="H387" s="192"/>
      <c r="I387" s="191"/>
      <c r="J387" s="191"/>
      <c r="K387" s="191"/>
      <c r="L387" s="192"/>
      <c r="M387" s="193"/>
    </row>
    <row r="388" ht="24.75" hidden="1" customHeight="1">
      <c r="A388" s="203" t="s">
        <v>277</v>
      </c>
      <c r="B388" s="195"/>
      <c r="C388" s="198"/>
      <c r="D388" s="199"/>
      <c r="E388" s="198"/>
      <c r="F388" s="195"/>
      <c r="G388" s="191"/>
      <c r="H388" s="192"/>
      <c r="I388" s="191"/>
      <c r="J388" s="191"/>
      <c r="K388" s="191"/>
      <c r="L388" s="192"/>
      <c r="M388" s="193"/>
    </row>
    <row r="389" ht="24.75" hidden="1" customHeight="1">
      <c r="A389" s="203" t="s">
        <v>278</v>
      </c>
      <c r="B389" s="195"/>
      <c r="C389" s="198"/>
      <c r="D389" s="199"/>
      <c r="E389" s="198"/>
      <c r="F389" s="195"/>
      <c r="G389" s="191"/>
      <c r="H389" s="192"/>
      <c r="I389" s="191"/>
      <c r="J389" s="191"/>
      <c r="K389" s="191"/>
      <c r="L389" s="192"/>
      <c r="M389" s="193"/>
    </row>
    <row r="390" ht="24.75" hidden="1" customHeight="1">
      <c r="A390" s="203" t="s">
        <v>279</v>
      </c>
      <c r="B390" s="195"/>
      <c r="C390" s="198"/>
      <c r="D390" s="199"/>
      <c r="E390" s="198"/>
      <c r="F390" s="195"/>
      <c r="G390" s="191"/>
      <c r="H390" s="192"/>
      <c r="I390" s="191"/>
      <c r="J390" s="191"/>
      <c r="K390" s="191"/>
      <c r="L390" s="192"/>
      <c r="M390" s="193"/>
    </row>
    <row r="391" ht="24.75" hidden="1" customHeight="1">
      <c r="A391" s="203" t="s">
        <v>280</v>
      </c>
      <c r="B391" s="195"/>
      <c r="C391" s="198"/>
      <c r="D391" s="199"/>
      <c r="E391" s="198"/>
      <c r="F391" s="195"/>
      <c r="G391" s="191"/>
      <c r="H391" s="192"/>
      <c r="I391" s="191"/>
      <c r="J391" s="191"/>
      <c r="K391" s="191"/>
      <c r="L391" s="192"/>
      <c r="M391" s="193"/>
    </row>
    <row r="392" ht="24.75" hidden="1" customHeight="1">
      <c r="A392" s="203"/>
      <c r="B392" s="195"/>
      <c r="C392" s="198"/>
      <c r="D392" s="199"/>
      <c r="E392" s="198"/>
      <c r="F392" s="195"/>
      <c r="G392" s="191"/>
      <c r="H392" s="192"/>
      <c r="I392" s="191"/>
      <c r="J392" s="191"/>
      <c r="K392" s="191"/>
      <c r="L392" s="192"/>
      <c r="M392" s="193"/>
    </row>
    <row r="393" ht="24.75" hidden="1" customHeight="1">
      <c r="A393" s="194" t="s">
        <v>281</v>
      </c>
      <c r="B393" s="195"/>
      <c r="C393" s="198"/>
      <c r="D393" s="199"/>
      <c r="E393" s="198"/>
      <c r="F393" s="195"/>
      <c r="G393" s="191"/>
      <c r="H393" s="192"/>
      <c r="I393" s="191"/>
      <c r="J393" s="191"/>
      <c r="K393" s="191"/>
      <c r="L393" s="192"/>
      <c r="M393" s="193"/>
    </row>
    <row r="394" ht="24.75" hidden="1" customHeight="1">
      <c r="A394" s="203" t="s">
        <v>269</v>
      </c>
      <c r="B394" s="195"/>
      <c r="C394" s="198"/>
      <c r="D394" s="199"/>
      <c r="E394" s="198"/>
      <c r="F394" s="195"/>
      <c r="G394" s="191"/>
      <c r="H394" s="192"/>
      <c r="I394" s="191"/>
      <c r="J394" s="191"/>
      <c r="K394" s="191"/>
      <c r="L394" s="192"/>
      <c r="M394" s="193"/>
    </row>
    <row r="395" ht="24.75" hidden="1" customHeight="1">
      <c r="A395" s="203" t="s">
        <v>270</v>
      </c>
      <c r="B395" s="195"/>
      <c r="C395" s="198"/>
      <c r="D395" s="199"/>
      <c r="E395" s="198"/>
      <c r="F395" s="195"/>
      <c r="G395" s="191"/>
      <c r="H395" s="192"/>
      <c r="I395" s="191"/>
      <c r="J395" s="191"/>
      <c r="K395" s="191"/>
      <c r="L395" s="192"/>
      <c r="M395" s="193"/>
    </row>
    <row r="396" ht="24.75" hidden="1" customHeight="1">
      <c r="A396" s="203" t="s">
        <v>271</v>
      </c>
      <c r="B396" s="195"/>
      <c r="C396" s="198"/>
      <c r="D396" s="199"/>
      <c r="E396" s="198"/>
      <c r="F396" s="195"/>
      <c r="G396" s="191"/>
      <c r="H396" s="192"/>
      <c r="I396" s="191"/>
      <c r="J396" s="191"/>
      <c r="K396" s="191"/>
      <c r="L396" s="192"/>
      <c r="M396" s="193"/>
    </row>
    <row r="397" ht="24.75" hidden="1" customHeight="1">
      <c r="A397" s="203" t="s">
        <v>272</v>
      </c>
      <c r="B397" s="195"/>
      <c r="C397" s="198"/>
      <c r="D397" s="199"/>
      <c r="E397" s="198"/>
      <c r="F397" s="195"/>
      <c r="G397" s="191"/>
      <c r="H397" s="192"/>
      <c r="I397" s="191"/>
      <c r="J397" s="191"/>
      <c r="K397" s="191"/>
      <c r="L397" s="192"/>
      <c r="M397" s="193"/>
    </row>
    <row r="398" ht="24.75" hidden="1" customHeight="1">
      <c r="A398" s="203" t="s">
        <v>273</v>
      </c>
      <c r="B398" s="195"/>
      <c r="C398" s="198"/>
      <c r="D398" s="199"/>
      <c r="E398" s="198"/>
      <c r="F398" s="195"/>
      <c r="G398" s="191"/>
      <c r="H398" s="192"/>
      <c r="I398" s="191"/>
      <c r="J398" s="191"/>
      <c r="K398" s="191"/>
      <c r="L398" s="192"/>
      <c r="M398" s="193"/>
    </row>
    <row r="399" ht="24.75" hidden="1" customHeight="1">
      <c r="A399" s="203" t="s">
        <v>274</v>
      </c>
      <c r="B399" s="195"/>
      <c r="C399" s="198"/>
      <c r="D399" s="199"/>
      <c r="E399" s="198"/>
      <c r="F399" s="195"/>
      <c r="G399" s="191"/>
      <c r="H399" s="192"/>
      <c r="I399" s="191"/>
      <c r="J399" s="191"/>
      <c r="K399" s="191"/>
      <c r="L399" s="192"/>
      <c r="M399" s="193"/>
    </row>
    <row r="400" ht="24.75" hidden="1" customHeight="1">
      <c r="A400" s="203" t="s">
        <v>275</v>
      </c>
      <c r="B400" s="195"/>
      <c r="C400" s="198"/>
      <c r="D400" s="199"/>
      <c r="E400" s="198"/>
      <c r="F400" s="195"/>
      <c r="G400" s="191"/>
      <c r="H400" s="192"/>
      <c r="I400" s="191"/>
      <c r="J400" s="191"/>
      <c r="K400" s="191"/>
      <c r="L400" s="192"/>
      <c r="M400" s="193"/>
    </row>
    <row r="401" ht="24.75" hidden="1" customHeight="1">
      <c r="A401" s="203" t="s">
        <v>276</v>
      </c>
      <c r="B401" s="195"/>
      <c r="C401" s="198"/>
      <c r="D401" s="199"/>
      <c r="E401" s="198"/>
      <c r="F401" s="195"/>
      <c r="G401" s="191"/>
      <c r="H401" s="192"/>
      <c r="I401" s="191"/>
      <c r="J401" s="191"/>
      <c r="K401" s="191"/>
      <c r="L401" s="192"/>
      <c r="M401" s="193"/>
    </row>
    <row r="402" ht="24.75" hidden="1" customHeight="1">
      <c r="A402" s="203" t="s">
        <v>277</v>
      </c>
      <c r="B402" s="195"/>
      <c r="C402" s="198"/>
      <c r="D402" s="199"/>
      <c r="E402" s="198"/>
      <c r="F402" s="195"/>
      <c r="G402" s="191"/>
      <c r="H402" s="192"/>
      <c r="I402" s="191"/>
      <c r="J402" s="191"/>
      <c r="K402" s="191"/>
      <c r="L402" s="192"/>
      <c r="M402" s="193"/>
    </row>
    <row r="403" ht="24.75" hidden="1" customHeight="1">
      <c r="A403" s="203" t="s">
        <v>282</v>
      </c>
      <c r="B403" s="195"/>
      <c r="C403" s="198"/>
      <c r="D403" s="199"/>
      <c r="E403" s="198"/>
      <c r="F403" s="195"/>
      <c r="G403" s="191"/>
      <c r="H403" s="192"/>
      <c r="I403" s="191"/>
      <c r="J403" s="191"/>
      <c r="K403" s="191"/>
      <c r="L403" s="192"/>
      <c r="M403" s="193"/>
    </row>
    <row r="404" ht="24.75" hidden="1" customHeight="1">
      <c r="A404" s="204" t="s">
        <v>283</v>
      </c>
      <c r="B404" s="58"/>
      <c r="C404" s="198"/>
      <c r="D404" s="199"/>
      <c r="E404" s="198"/>
      <c r="F404" s="195"/>
      <c r="G404" s="191"/>
      <c r="H404" s="192"/>
      <c r="I404" s="191"/>
      <c r="J404" s="191"/>
      <c r="K404" s="191"/>
      <c r="L404" s="192"/>
      <c r="M404" s="193"/>
    </row>
    <row r="405" ht="24.75" hidden="1" customHeight="1">
      <c r="A405" s="204" t="s">
        <v>284</v>
      </c>
      <c r="B405" s="58"/>
      <c r="C405" s="198"/>
      <c r="D405" s="199"/>
      <c r="E405" s="198"/>
      <c r="F405" s="195"/>
      <c r="G405" s="191"/>
      <c r="H405" s="192"/>
      <c r="I405" s="191"/>
      <c r="J405" s="191"/>
      <c r="K405" s="191"/>
      <c r="L405" s="192"/>
      <c r="M405" s="193"/>
    </row>
    <row r="406" ht="24.75" hidden="1" customHeight="1">
      <c r="A406" s="204" t="s">
        <v>285</v>
      </c>
      <c r="B406" s="58"/>
      <c r="C406" s="198"/>
      <c r="D406" s="199"/>
      <c r="E406" s="198"/>
      <c r="F406" s="195"/>
      <c r="G406" s="191"/>
      <c r="H406" s="192"/>
      <c r="I406" s="191"/>
      <c r="J406" s="191"/>
      <c r="K406" s="191"/>
      <c r="L406" s="192"/>
      <c r="M406" s="193"/>
    </row>
    <row r="407" ht="24.75" hidden="1" customHeight="1">
      <c r="A407" s="204" t="s">
        <v>286</v>
      </c>
      <c r="B407" s="58"/>
      <c r="C407" s="198"/>
      <c r="D407" s="199"/>
      <c r="E407" s="198"/>
      <c r="F407" s="195"/>
      <c r="G407" s="191"/>
      <c r="H407" s="192"/>
      <c r="I407" s="191"/>
      <c r="J407" s="191"/>
      <c r="K407" s="191"/>
      <c r="L407" s="192"/>
      <c r="M407" s="193"/>
    </row>
    <row r="408" ht="24.75" hidden="1" customHeight="1">
      <c r="A408" s="204" t="s">
        <v>287</v>
      </c>
      <c r="B408" s="58"/>
      <c r="C408" s="198"/>
      <c r="D408" s="199"/>
      <c r="E408" s="198"/>
      <c r="F408" s="195"/>
      <c r="G408" s="191"/>
      <c r="H408" s="192"/>
      <c r="I408" s="191"/>
      <c r="J408" s="191"/>
      <c r="K408" s="191"/>
      <c r="L408" s="192"/>
      <c r="M408" s="193"/>
    </row>
    <row r="409" ht="24.75" hidden="1" customHeight="1">
      <c r="A409" s="204"/>
      <c r="B409" s="58"/>
      <c r="C409" s="198"/>
      <c r="D409" s="199"/>
      <c r="E409" s="198"/>
      <c r="F409" s="195"/>
      <c r="G409" s="191"/>
      <c r="H409" s="192"/>
      <c r="I409" s="191"/>
      <c r="J409" s="191"/>
      <c r="K409" s="191"/>
      <c r="L409" s="192"/>
      <c r="M409" s="193"/>
    </row>
    <row r="410" ht="24.75" hidden="1" customHeight="1">
      <c r="A410" s="211" t="s">
        <v>288</v>
      </c>
      <c r="B410" s="58"/>
      <c r="C410" s="198"/>
      <c r="D410" s="199"/>
      <c r="E410" s="198"/>
      <c r="F410" s="195"/>
      <c r="G410" s="191"/>
      <c r="H410" s="192"/>
      <c r="I410" s="191"/>
      <c r="J410" s="191"/>
      <c r="K410" s="191"/>
      <c r="L410" s="192"/>
      <c r="M410" s="193"/>
    </row>
    <row r="411" ht="24.75" hidden="1" customHeight="1">
      <c r="A411" s="204" t="s">
        <v>269</v>
      </c>
      <c r="B411" s="58"/>
      <c r="C411" s="198"/>
      <c r="D411" s="199"/>
      <c r="E411" s="198"/>
      <c r="F411" s="195"/>
      <c r="G411" s="191"/>
      <c r="H411" s="192"/>
      <c r="I411" s="191"/>
      <c r="J411" s="191"/>
      <c r="K411" s="191"/>
      <c r="L411" s="192"/>
      <c r="M411" s="193"/>
    </row>
    <row r="412" ht="24.75" hidden="1" customHeight="1">
      <c r="A412" s="203" t="s">
        <v>270</v>
      </c>
      <c r="B412" s="195"/>
      <c r="C412" s="198"/>
      <c r="D412" s="199"/>
      <c r="E412" s="198"/>
      <c r="F412" s="195"/>
      <c r="G412" s="191"/>
      <c r="H412" s="192"/>
      <c r="I412" s="191"/>
      <c r="J412" s="191"/>
      <c r="K412" s="191"/>
      <c r="L412" s="192"/>
      <c r="M412" s="193"/>
    </row>
    <row r="413" ht="24.75" hidden="1" customHeight="1">
      <c r="A413" s="204" t="s">
        <v>271</v>
      </c>
      <c r="B413" s="195"/>
      <c r="C413" s="198"/>
      <c r="D413" s="199"/>
      <c r="E413" s="198"/>
      <c r="F413" s="195"/>
      <c r="G413" s="191"/>
      <c r="H413" s="192"/>
      <c r="I413" s="191"/>
      <c r="J413" s="191"/>
      <c r="K413" s="191"/>
      <c r="L413" s="192"/>
      <c r="M413" s="193"/>
    </row>
    <row r="414" ht="24.75" hidden="1" customHeight="1">
      <c r="A414" s="203" t="s">
        <v>272</v>
      </c>
      <c r="B414" s="195"/>
      <c r="C414" s="198"/>
      <c r="D414" s="199"/>
      <c r="E414" s="198"/>
      <c r="F414" s="195"/>
      <c r="G414" s="191"/>
      <c r="H414" s="192"/>
      <c r="I414" s="191"/>
      <c r="J414" s="191"/>
      <c r="K414" s="191"/>
      <c r="L414" s="192"/>
      <c r="M414" s="193"/>
    </row>
    <row r="415" ht="24.75" hidden="1" customHeight="1">
      <c r="A415" s="203" t="s">
        <v>273</v>
      </c>
      <c r="B415" s="195"/>
      <c r="C415" s="198"/>
      <c r="D415" s="199"/>
      <c r="E415" s="198"/>
      <c r="F415" s="195"/>
      <c r="G415" s="191"/>
      <c r="H415" s="192"/>
      <c r="I415" s="191"/>
      <c r="J415" s="191"/>
      <c r="K415" s="191"/>
      <c r="L415" s="192"/>
      <c r="M415" s="193"/>
    </row>
    <row r="416" ht="24.75" hidden="1" customHeight="1">
      <c r="A416" s="203" t="s">
        <v>274</v>
      </c>
      <c r="B416" s="195"/>
      <c r="C416" s="198"/>
      <c r="D416" s="199"/>
      <c r="E416" s="198"/>
      <c r="F416" s="195"/>
      <c r="G416" s="191"/>
      <c r="H416" s="192"/>
      <c r="I416" s="191"/>
      <c r="J416" s="191"/>
      <c r="K416" s="191"/>
      <c r="L416" s="192"/>
      <c r="M416" s="193"/>
    </row>
    <row r="417" ht="24.75" hidden="1" customHeight="1">
      <c r="A417" s="203" t="s">
        <v>289</v>
      </c>
      <c r="B417" s="195"/>
      <c r="C417" s="198"/>
      <c r="D417" s="199"/>
      <c r="E417" s="198"/>
      <c r="F417" s="195"/>
      <c r="G417" s="191"/>
      <c r="H417" s="192"/>
      <c r="I417" s="191"/>
      <c r="J417" s="191"/>
      <c r="K417" s="191"/>
      <c r="L417" s="192"/>
      <c r="M417" s="193"/>
    </row>
    <row r="418" ht="24.75" hidden="1" customHeight="1">
      <c r="A418" s="204" t="s">
        <v>277</v>
      </c>
      <c r="B418" s="58"/>
      <c r="C418" s="198"/>
      <c r="D418" s="199"/>
      <c r="E418" s="198"/>
      <c r="F418" s="195"/>
      <c r="G418" s="191"/>
      <c r="H418" s="192"/>
      <c r="I418" s="191"/>
      <c r="J418" s="191"/>
      <c r="K418" s="191"/>
      <c r="L418" s="192"/>
      <c r="M418" s="193"/>
    </row>
    <row r="419" ht="24.75" hidden="1" customHeight="1">
      <c r="A419" s="204" t="s">
        <v>290</v>
      </c>
      <c r="B419" s="58"/>
      <c r="C419" s="198"/>
      <c r="D419" s="199"/>
      <c r="E419" s="198"/>
      <c r="F419" s="195"/>
      <c r="G419" s="191"/>
      <c r="H419" s="192"/>
      <c r="I419" s="191"/>
      <c r="J419" s="191"/>
      <c r="K419" s="191"/>
      <c r="L419" s="192"/>
      <c r="M419" s="193"/>
    </row>
    <row r="420" ht="24.75" hidden="1" customHeight="1">
      <c r="A420" s="204" t="s">
        <v>280</v>
      </c>
      <c r="B420" s="58"/>
      <c r="C420" s="198"/>
      <c r="D420" s="199"/>
      <c r="E420" s="198"/>
      <c r="F420" s="195"/>
      <c r="G420" s="191"/>
      <c r="H420" s="192"/>
      <c r="I420" s="191"/>
      <c r="J420" s="191"/>
      <c r="K420" s="191"/>
      <c r="L420" s="192"/>
      <c r="M420" s="193"/>
    </row>
    <row r="421" ht="24.75" hidden="1" customHeight="1">
      <c r="A421" s="203" t="s">
        <v>291</v>
      </c>
      <c r="B421" s="195"/>
      <c r="C421" s="198"/>
      <c r="D421" s="199"/>
      <c r="E421" s="198"/>
      <c r="F421" s="195"/>
      <c r="G421" s="191"/>
      <c r="H421" s="192"/>
      <c r="I421" s="191"/>
      <c r="J421" s="191"/>
      <c r="K421" s="191"/>
      <c r="L421" s="192"/>
      <c r="M421" s="193"/>
    </row>
    <row r="422" ht="24.75" hidden="1" customHeight="1">
      <c r="A422" s="203"/>
      <c r="B422" s="195"/>
      <c r="C422" s="198"/>
      <c r="D422" s="199"/>
      <c r="E422" s="198"/>
      <c r="F422" s="195"/>
      <c r="G422" s="191"/>
      <c r="H422" s="192"/>
      <c r="I422" s="191"/>
      <c r="J422" s="191"/>
      <c r="K422" s="191"/>
      <c r="L422" s="192"/>
      <c r="M422" s="193"/>
    </row>
    <row r="423" ht="24.75" hidden="1" customHeight="1">
      <c r="A423" s="194" t="s">
        <v>292</v>
      </c>
      <c r="B423" s="195"/>
      <c r="C423" s="198"/>
      <c r="D423" s="199"/>
      <c r="E423" s="198"/>
      <c r="F423" s="195"/>
      <c r="G423" s="191"/>
      <c r="H423" s="192"/>
      <c r="I423" s="191"/>
      <c r="J423" s="191"/>
      <c r="K423" s="191"/>
      <c r="L423" s="192"/>
      <c r="M423" s="193"/>
    </row>
    <row r="424" ht="24.75" hidden="1" customHeight="1">
      <c r="A424" s="203" t="s">
        <v>293</v>
      </c>
      <c r="B424" s="195"/>
      <c r="C424" s="198"/>
      <c r="D424" s="199"/>
      <c r="E424" s="198"/>
      <c r="F424" s="195"/>
      <c r="G424" s="191"/>
      <c r="H424" s="192"/>
      <c r="I424" s="191"/>
      <c r="J424" s="191"/>
      <c r="K424" s="191"/>
      <c r="L424" s="192"/>
      <c r="M424" s="193"/>
    </row>
    <row r="425" ht="24.75" hidden="1" customHeight="1">
      <c r="A425" s="194"/>
      <c r="B425" s="195"/>
      <c r="C425" s="198"/>
      <c r="D425" s="199"/>
      <c r="E425" s="198"/>
      <c r="F425" s="195"/>
      <c r="G425" s="191"/>
      <c r="H425" s="192"/>
      <c r="I425" s="191"/>
      <c r="J425" s="191"/>
      <c r="K425" s="191"/>
      <c r="L425" s="192"/>
      <c r="M425" s="193"/>
    </row>
    <row r="426" ht="24.75" hidden="1" customHeight="1">
      <c r="A426" s="194"/>
      <c r="B426" s="195"/>
      <c r="C426" s="198"/>
      <c r="D426" s="199"/>
      <c r="E426" s="198"/>
      <c r="F426" s="195"/>
      <c r="G426" s="191"/>
      <c r="H426" s="192"/>
      <c r="I426" s="191"/>
      <c r="J426" s="191"/>
      <c r="K426" s="191"/>
      <c r="L426" s="192"/>
      <c r="M426" s="193"/>
    </row>
    <row r="427" ht="24.75" hidden="1" customHeight="1">
      <c r="A427" s="194"/>
      <c r="B427" s="195"/>
      <c r="C427" s="198"/>
      <c r="D427" s="199"/>
      <c r="E427" s="198"/>
      <c r="F427" s="195"/>
      <c r="G427" s="191"/>
      <c r="H427" s="192"/>
      <c r="I427" s="191"/>
      <c r="J427" s="191"/>
      <c r="K427" s="191"/>
      <c r="L427" s="192"/>
      <c r="M427" s="193"/>
    </row>
    <row r="428" ht="24.75" hidden="1" customHeight="1">
      <c r="A428" s="194" t="s">
        <v>294</v>
      </c>
      <c r="B428" s="195"/>
      <c r="C428" s="198"/>
      <c r="D428" s="199"/>
      <c r="E428" s="198"/>
      <c r="F428" s="195"/>
      <c r="G428" s="191"/>
      <c r="H428" s="192"/>
      <c r="I428" s="191"/>
      <c r="J428" s="191"/>
      <c r="K428" s="191"/>
      <c r="L428" s="192"/>
      <c r="M428" s="193"/>
    </row>
    <row r="429" ht="24.75" hidden="1" customHeight="1">
      <c r="A429" s="203" t="s">
        <v>273</v>
      </c>
      <c r="B429" s="195"/>
      <c r="C429" s="198"/>
      <c r="D429" s="199"/>
      <c r="E429" s="198"/>
      <c r="F429" s="195"/>
      <c r="G429" s="191"/>
      <c r="H429" s="192"/>
      <c r="I429" s="191"/>
      <c r="J429" s="191"/>
      <c r="K429" s="191"/>
      <c r="L429" s="192"/>
      <c r="M429" s="193"/>
    </row>
    <row r="430" ht="24.75" hidden="1" customHeight="1">
      <c r="A430" s="203" t="s">
        <v>274</v>
      </c>
      <c r="B430" s="195"/>
      <c r="C430" s="198"/>
      <c r="D430" s="199"/>
      <c r="E430" s="198"/>
      <c r="F430" s="195"/>
      <c r="G430" s="191"/>
      <c r="H430" s="192"/>
      <c r="I430" s="191"/>
      <c r="J430" s="191"/>
      <c r="K430" s="191"/>
      <c r="L430" s="192"/>
      <c r="M430" s="193"/>
    </row>
    <row r="431" ht="24.75" hidden="1" customHeight="1">
      <c r="A431" s="203" t="s">
        <v>295</v>
      </c>
      <c r="B431" s="195"/>
      <c r="C431" s="198"/>
      <c r="D431" s="199"/>
      <c r="E431" s="198"/>
      <c r="F431" s="195"/>
      <c r="G431" s="191"/>
      <c r="H431" s="192"/>
      <c r="I431" s="191"/>
      <c r="J431" s="191"/>
      <c r="K431" s="191"/>
      <c r="L431" s="192"/>
      <c r="M431" s="193"/>
    </row>
    <row r="432" ht="24.75" hidden="1" customHeight="1">
      <c r="A432" s="203"/>
      <c r="B432" s="195"/>
      <c r="C432" s="198"/>
      <c r="D432" s="199"/>
      <c r="E432" s="198"/>
      <c r="F432" s="195"/>
      <c r="G432" s="191"/>
      <c r="H432" s="192"/>
      <c r="I432" s="191"/>
      <c r="J432" s="191"/>
      <c r="K432" s="191"/>
      <c r="L432" s="192"/>
      <c r="M432" s="193"/>
    </row>
    <row r="433" ht="24.75" hidden="1" customHeight="1">
      <c r="A433" s="194" t="s">
        <v>296</v>
      </c>
      <c r="B433" s="195"/>
      <c r="C433" s="198"/>
      <c r="D433" s="199"/>
      <c r="E433" s="198"/>
      <c r="F433" s="195"/>
      <c r="G433" s="191"/>
      <c r="H433" s="192"/>
      <c r="I433" s="191"/>
      <c r="J433" s="191"/>
      <c r="K433" s="191"/>
      <c r="L433" s="192"/>
      <c r="M433" s="193"/>
    </row>
    <row r="434" ht="24.75" hidden="1" customHeight="1">
      <c r="A434" s="203" t="s">
        <v>275</v>
      </c>
      <c r="B434" s="195"/>
      <c r="C434" s="198"/>
      <c r="D434" s="199"/>
      <c r="E434" s="198"/>
      <c r="F434" s="195"/>
      <c r="G434" s="191"/>
      <c r="H434" s="192"/>
      <c r="I434" s="191"/>
      <c r="J434" s="191"/>
      <c r="K434" s="191"/>
      <c r="L434" s="192"/>
      <c r="M434" s="193"/>
    </row>
    <row r="435" ht="24.75" hidden="1" customHeight="1">
      <c r="A435" s="203" t="s">
        <v>276</v>
      </c>
      <c r="B435" s="195"/>
      <c r="C435" s="198"/>
      <c r="D435" s="199"/>
      <c r="E435" s="198"/>
      <c r="F435" s="195"/>
      <c r="G435" s="191"/>
      <c r="H435" s="192"/>
      <c r="I435" s="191"/>
      <c r="J435" s="191"/>
      <c r="K435" s="191"/>
      <c r="L435" s="192"/>
      <c r="M435" s="193"/>
    </row>
    <row r="436" ht="24.75" hidden="1" customHeight="1">
      <c r="A436" s="203" t="s">
        <v>277</v>
      </c>
      <c r="B436" s="195"/>
      <c r="C436" s="198"/>
      <c r="D436" s="199"/>
      <c r="E436" s="198"/>
      <c r="F436" s="195"/>
      <c r="G436" s="191"/>
      <c r="H436" s="192"/>
      <c r="I436" s="191"/>
      <c r="J436" s="191"/>
      <c r="K436" s="191"/>
      <c r="L436" s="192"/>
      <c r="M436" s="193"/>
    </row>
    <row r="437" ht="24.75" hidden="1" customHeight="1">
      <c r="A437" s="194"/>
      <c r="B437" s="195"/>
      <c r="C437" s="198"/>
      <c r="D437" s="199"/>
      <c r="E437" s="198"/>
      <c r="F437" s="195"/>
      <c r="G437" s="191"/>
      <c r="H437" s="192"/>
      <c r="I437" s="191"/>
      <c r="J437" s="191"/>
      <c r="K437" s="191"/>
      <c r="L437" s="192"/>
      <c r="M437" s="193"/>
    </row>
    <row r="438" ht="30.75" hidden="1" customHeight="1">
      <c r="A438" s="194" t="s">
        <v>297</v>
      </c>
      <c r="B438" s="195"/>
      <c r="C438" s="198"/>
      <c r="D438" s="199"/>
      <c r="E438" s="198"/>
      <c r="F438" s="195"/>
      <c r="G438" s="191"/>
      <c r="H438" s="192"/>
      <c r="I438" s="191"/>
      <c r="J438" s="191"/>
      <c r="K438" s="191"/>
      <c r="L438" s="192"/>
      <c r="M438" s="193"/>
    </row>
    <row r="439" ht="18.75" hidden="1" customHeight="1">
      <c r="A439" s="203" t="s">
        <v>298</v>
      </c>
      <c r="B439" s="195"/>
      <c r="C439" s="198"/>
      <c r="D439" s="199"/>
      <c r="E439" s="198"/>
      <c r="F439" s="195"/>
      <c r="G439" s="191"/>
      <c r="H439" s="192"/>
      <c r="I439" s="191"/>
      <c r="J439" s="191"/>
      <c r="K439" s="191"/>
      <c r="L439" s="192"/>
      <c r="M439" s="193"/>
    </row>
    <row r="440" ht="18.75" hidden="1" customHeight="1">
      <c r="A440" s="203" t="s">
        <v>299</v>
      </c>
      <c r="B440" s="195"/>
      <c r="C440" s="198"/>
      <c r="D440" s="199"/>
      <c r="E440" s="198"/>
      <c r="F440" s="195"/>
      <c r="G440" s="191"/>
      <c r="H440" s="192"/>
      <c r="I440" s="191"/>
      <c r="J440" s="191"/>
      <c r="K440" s="191"/>
      <c r="L440" s="192"/>
      <c r="M440" s="193"/>
    </row>
    <row r="441" ht="33.0" customHeight="1">
      <c r="A441" s="203" t="s">
        <v>300</v>
      </c>
      <c r="B441" s="195"/>
      <c r="C441" s="198">
        <v>3.0</v>
      </c>
      <c r="D441" s="199">
        <v>300.0</v>
      </c>
      <c r="E441" s="198">
        <v>3.0</v>
      </c>
      <c r="F441" s="199">
        <v>300.0</v>
      </c>
      <c r="G441" s="212">
        <v>3.0</v>
      </c>
      <c r="H441" s="192">
        <f>G441*150</f>
        <v>450</v>
      </c>
      <c r="I441" s="191"/>
      <c r="J441" s="191"/>
      <c r="K441" s="212">
        <v>3.0</v>
      </c>
      <c r="L441" s="192">
        <f>K441*150</f>
        <v>450</v>
      </c>
      <c r="M441" s="213" t="s">
        <v>301</v>
      </c>
    </row>
    <row r="442" ht="27.75" customHeight="1">
      <c r="A442" s="203"/>
      <c r="B442" s="195"/>
      <c r="C442" s="198"/>
      <c r="D442" s="199"/>
      <c r="E442" s="198"/>
      <c r="F442" s="195"/>
      <c r="G442" s="191"/>
      <c r="H442" s="192"/>
      <c r="I442" s="191"/>
      <c r="J442" s="191"/>
      <c r="K442" s="191"/>
      <c r="L442" s="192"/>
      <c r="M442" s="193"/>
    </row>
    <row r="443">
      <c r="A443" s="194" t="s">
        <v>302</v>
      </c>
      <c r="B443" s="195"/>
      <c r="C443" s="198"/>
      <c r="D443" s="199"/>
      <c r="E443" s="198"/>
      <c r="F443" s="195"/>
      <c r="G443" s="191"/>
      <c r="H443" s="192"/>
      <c r="I443" s="191"/>
      <c r="J443" s="191"/>
      <c r="K443" s="191"/>
      <c r="L443" s="192"/>
      <c r="M443" s="193"/>
    </row>
    <row r="444" ht="27.75" hidden="1" customHeight="1">
      <c r="A444" s="203" t="s">
        <v>303</v>
      </c>
      <c r="B444" s="195"/>
      <c r="C444" s="198"/>
      <c r="D444" s="199"/>
      <c r="E444" s="198"/>
      <c r="F444" s="195"/>
      <c r="G444" s="191"/>
      <c r="H444" s="192"/>
      <c r="I444" s="191"/>
      <c r="J444" s="191"/>
      <c r="K444" s="191"/>
      <c r="L444" s="192"/>
      <c r="M444" s="193"/>
    </row>
    <row r="445" ht="27.75" hidden="1" customHeight="1">
      <c r="A445" s="203" t="s">
        <v>304</v>
      </c>
      <c r="B445" s="195"/>
      <c r="C445" s="198"/>
      <c r="D445" s="199"/>
      <c r="E445" s="198"/>
      <c r="F445" s="195"/>
      <c r="G445" s="191"/>
      <c r="H445" s="192"/>
      <c r="I445" s="191"/>
      <c r="J445" s="191"/>
      <c r="K445" s="191"/>
      <c r="L445" s="192"/>
      <c r="M445" s="193"/>
    </row>
    <row r="446" ht="27.75" hidden="1" customHeight="1">
      <c r="A446" s="203" t="s">
        <v>305</v>
      </c>
      <c r="B446" s="195"/>
      <c r="C446" s="198"/>
      <c r="D446" s="199"/>
      <c r="E446" s="198"/>
      <c r="F446" s="195"/>
      <c r="G446" s="191"/>
      <c r="H446" s="192"/>
      <c r="I446" s="191"/>
      <c r="J446" s="191"/>
      <c r="K446" s="191"/>
      <c r="L446" s="192"/>
      <c r="M446" s="193"/>
    </row>
    <row r="447" ht="27.75" hidden="1" customHeight="1">
      <c r="A447" s="203" t="s">
        <v>306</v>
      </c>
      <c r="B447" s="195"/>
      <c r="C447" s="198"/>
      <c r="D447" s="199"/>
      <c r="E447" s="198"/>
      <c r="F447" s="195"/>
      <c r="G447" s="191"/>
      <c r="H447" s="192"/>
      <c r="I447" s="191"/>
      <c r="J447" s="191"/>
      <c r="K447" s="191"/>
      <c r="L447" s="192"/>
      <c r="M447" s="193"/>
    </row>
    <row r="448" ht="27.75" hidden="1" customHeight="1">
      <c r="A448" s="203" t="s">
        <v>307</v>
      </c>
      <c r="B448" s="195"/>
      <c r="C448" s="198"/>
      <c r="D448" s="199"/>
      <c r="E448" s="198"/>
      <c r="F448" s="195"/>
      <c r="G448" s="191"/>
      <c r="H448" s="192"/>
      <c r="I448" s="191"/>
      <c r="J448" s="191"/>
      <c r="K448" s="191"/>
      <c r="L448" s="192"/>
      <c r="M448" s="193"/>
    </row>
    <row r="449" ht="27.75" hidden="1" customHeight="1">
      <c r="A449" s="203" t="s">
        <v>308</v>
      </c>
      <c r="B449" s="195"/>
      <c r="C449" s="198"/>
      <c r="D449" s="199"/>
      <c r="E449" s="198"/>
      <c r="F449" s="195"/>
      <c r="G449" s="191"/>
      <c r="H449" s="192"/>
      <c r="I449" s="191"/>
      <c r="J449" s="191"/>
      <c r="K449" s="191"/>
      <c r="L449" s="192"/>
      <c r="M449" s="193"/>
    </row>
    <row r="450" ht="27.75" hidden="1" customHeight="1">
      <c r="A450" s="203" t="s">
        <v>309</v>
      </c>
      <c r="B450" s="195"/>
      <c r="C450" s="198"/>
      <c r="D450" s="199"/>
      <c r="E450" s="198"/>
      <c r="F450" s="195"/>
      <c r="G450" s="191"/>
      <c r="H450" s="192"/>
      <c r="I450" s="191"/>
      <c r="J450" s="191"/>
      <c r="K450" s="191"/>
      <c r="L450" s="192"/>
      <c r="M450" s="193"/>
    </row>
    <row r="451" ht="27.75" hidden="1" customHeight="1">
      <c r="A451" s="203" t="s">
        <v>310</v>
      </c>
      <c r="B451" s="195"/>
      <c r="C451" s="198"/>
      <c r="D451" s="199"/>
      <c r="E451" s="198"/>
      <c r="F451" s="195"/>
      <c r="G451" s="191"/>
      <c r="H451" s="192"/>
      <c r="I451" s="191"/>
      <c r="J451" s="191"/>
      <c r="K451" s="191"/>
      <c r="L451" s="192"/>
      <c r="M451" s="193"/>
    </row>
    <row r="452" ht="27.75" hidden="1" customHeight="1">
      <c r="A452" s="203" t="s">
        <v>311</v>
      </c>
      <c r="B452" s="195"/>
      <c r="C452" s="198"/>
      <c r="D452" s="199"/>
      <c r="E452" s="198"/>
      <c r="F452" s="195"/>
      <c r="G452" s="191"/>
      <c r="H452" s="192"/>
      <c r="I452" s="191"/>
      <c r="J452" s="191"/>
      <c r="K452" s="191"/>
      <c r="L452" s="192"/>
      <c r="M452" s="193"/>
    </row>
    <row r="453" ht="27.75" hidden="1" customHeight="1">
      <c r="A453" s="203" t="s">
        <v>312</v>
      </c>
      <c r="B453" s="195"/>
      <c r="C453" s="198"/>
      <c r="D453" s="199"/>
      <c r="E453" s="198"/>
      <c r="F453" s="195"/>
      <c r="G453" s="191"/>
      <c r="H453" s="192"/>
      <c r="I453" s="191"/>
      <c r="J453" s="191"/>
      <c r="K453" s="191"/>
      <c r="L453" s="192"/>
      <c r="M453" s="193"/>
    </row>
    <row r="454" ht="27.75" hidden="1" customHeight="1">
      <c r="A454" s="203" t="s">
        <v>313</v>
      </c>
      <c r="B454" s="195"/>
      <c r="C454" s="198"/>
      <c r="D454" s="199"/>
      <c r="E454" s="198"/>
      <c r="F454" s="195"/>
      <c r="G454" s="191"/>
      <c r="H454" s="192"/>
      <c r="I454" s="191"/>
      <c r="J454" s="191"/>
      <c r="K454" s="191"/>
      <c r="L454" s="192"/>
      <c r="M454" s="193"/>
    </row>
    <row r="455" ht="27.75" hidden="1" customHeight="1">
      <c r="A455" s="203" t="s">
        <v>314</v>
      </c>
      <c r="B455" s="195"/>
      <c r="C455" s="198"/>
      <c r="D455" s="199"/>
      <c r="E455" s="198"/>
      <c r="F455" s="195"/>
      <c r="G455" s="191"/>
      <c r="H455" s="192"/>
      <c r="I455" s="191"/>
      <c r="J455" s="191"/>
      <c r="K455" s="191"/>
      <c r="L455" s="192"/>
      <c r="M455" s="193"/>
    </row>
    <row r="456" ht="27.75" hidden="1" customHeight="1">
      <c r="A456" s="203" t="s">
        <v>315</v>
      </c>
      <c r="B456" s="195"/>
      <c r="C456" s="198"/>
      <c r="D456" s="199"/>
      <c r="E456" s="198"/>
      <c r="F456" s="195"/>
      <c r="G456" s="191"/>
      <c r="H456" s="192"/>
      <c r="I456" s="191"/>
      <c r="J456" s="191"/>
      <c r="K456" s="191"/>
      <c r="L456" s="192"/>
      <c r="M456" s="193"/>
    </row>
    <row r="457" ht="27.75" hidden="1" customHeight="1">
      <c r="A457" s="214" t="s">
        <v>316</v>
      </c>
      <c r="B457" s="195"/>
      <c r="C457" s="198"/>
      <c r="D457" s="199"/>
      <c r="E457" s="198"/>
      <c r="F457" s="195"/>
      <c r="G457" s="191"/>
      <c r="H457" s="192"/>
      <c r="I457" s="191"/>
      <c r="J457" s="191"/>
      <c r="K457" s="191"/>
      <c r="L457" s="192"/>
      <c r="M457" s="193"/>
    </row>
    <row r="458" ht="27.75" hidden="1" customHeight="1">
      <c r="A458" s="214" t="s">
        <v>317</v>
      </c>
      <c r="B458" s="195"/>
      <c r="C458" s="198"/>
      <c r="D458" s="199"/>
      <c r="E458" s="198"/>
      <c r="F458" s="195"/>
      <c r="G458" s="191"/>
      <c r="H458" s="192"/>
      <c r="I458" s="191"/>
      <c r="J458" s="191"/>
      <c r="K458" s="191"/>
      <c r="L458" s="192"/>
      <c r="M458" s="193"/>
    </row>
    <row r="459" ht="27.75" hidden="1" customHeight="1">
      <c r="A459" s="214" t="s">
        <v>318</v>
      </c>
      <c r="B459" s="195"/>
      <c r="C459" s="198"/>
      <c r="D459" s="199"/>
      <c r="E459" s="198"/>
      <c r="F459" s="195"/>
      <c r="G459" s="191"/>
      <c r="H459" s="192"/>
      <c r="I459" s="191"/>
      <c r="J459" s="191"/>
      <c r="K459" s="191"/>
      <c r="L459" s="192"/>
      <c r="M459" s="193"/>
    </row>
    <row r="460" ht="27.75" hidden="1" customHeight="1">
      <c r="A460" s="201"/>
      <c r="B460" s="195"/>
      <c r="C460" s="198"/>
      <c r="D460" s="199"/>
      <c r="E460" s="198"/>
      <c r="F460" s="195"/>
      <c r="G460" s="191"/>
      <c r="H460" s="192"/>
      <c r="I460" s="191"/>
      <c r="J460" s="191"/>
      <c r="K460" s="191"/>
      <c r="L460" s="192"/>
      <c r="M460" s="193"/>
    </row>
    <row r="461" ht="27.75" customHeight="1">
      <c r="A461" s="201"/>
      <c r="B461" s="195"/>
      <c r="C461" s="198"/>
      <c r="D461" s="199"/>
      <c r="E461" s="198"/>
      <c r="F461" s="195"/>
      <c r="G461" s="191"/>
      <c r="H461" s="192"/>
      <c r="I461" s="191"/>
      <c r="J461" s="191"/>
      <c r="K461" s="191"/>
      <c r="L461" s="192"/>
      <c r="M461" s="193"/>
    </row>
    <row r="462" ht="61.5" customHeight="1">
      <c r="A462" s="197" t="s">
        <v>319</v>
      </c>
      <c r="B462" s="195"/>
      <c r="C462" s="198"/>
      <c r="D462" s="199"/>
      <c r="E462" s="198"/>
      <c r="F462" s="195"/>
      <c r="G462" s="191"/>
      <c r="H462" s="192"/>
      <c r="I462" s="191"/>
      <c r="J462" s="191"/>
      <c r="K462" s="191"/>
      <c r="L462" s="192"/>
      <c r="M462" s="193"/>
    </row>
    <row r="463" ht="27.75" hidden="1" customHeight="1">
      <c r="A463" s="201" t="s">
        <v>320</v>
      </c>
      <c r="B463" s="195"/>
      <c r="C463" s="198"/>
      <c r="D463" s="199"/>
      <c r="E463" s="198"/>
      <c r="F463" s="195"/>
      <c r="G463" s="191"/>
      <c r="H463" s="192"/>
      <c r="I463" s="191"/>
      <c r="J463" s="191"/>
      <c r="K463" s="191"/>
      <c r="L463" s="192"/>
      <c r="M463" s="193"/>
    </row>
    <row r="464" ht="40.5" hidden="1" customHeight="1">
      <c r="A464" s="201" t="s">
        <v>321</v>
      </c>
      <c r="B464" s="195"/>
      <c r="C464" s="198"/>
      <c r="D464" s="199"/>
      <c r="E464" s="198"/>
      <c r="F464" s="195"/>
      <c r="G464" s="191"/>
      <c r="H464" s="192"/>
      <c r="I464" s="191"/>
      <c r="J464" s="191"/>
      <c r="K464" s="191"/>
      <c r="L464" s="192"/>
      <c r="M464" s="193"/>
    </row>
    <row r="465" ht="45.0" hidden="1" customHeight="1">
      <c r="A465" s="201" t="s">
        <v>322</v>
      </c>
      <c r="B465" s="195"/>
      <c r="C465" s="198"/>
      <c r="D465" s="199"/>
      <c r="E465" s="198"/>
      <c r="F465" s="195"/>
      <c r="G465" s="191"/>
      <c r="H465" s="192"/>
      <c r="I465" s="191"/>
      <c r="J465" s="191"/>
      <c r="K465" s="191"/>
      <c r="L465" s="192"/>
      <c r="M465" s="193"/>
    </row>
    <row r="466" ht="51.75" hidden="1" customHeight="1">
      <c r="A466" s="201" t="s">
        <v>323</v>
      </c>
      <c r="B466" s="195"/>
      <c r="C466" s="198"/>
      <c r="D466" s="199"/>
      <c r="E466" s="198"/>
      <c r="F466" s="195"/>
      <c r="G466" s="191"/>
      <c r="H466" s="192"/>
      <c r="I466" s="191"/>
      <c r="J466" s="191"/>
      <c r="K466" s="191"/>
      <c r="L466" s="192"/>
      <c r="M466" s="193"/>
    </row>
    <row r="467" ht="54.0" hidden="1" customHeight="1">
      <c r="A467" s="201" t="s">
        <v>324</v>
      </c>
      <c r="B467" s="195"/>
      <c r="C467" s="198"/>
      <c r="D467" s="199"/>
      <c r="E467" s="198"/>
      <c r="F467" s="195"/>
      <c r="G467" s="191"/>
      <c r="H467" s="192"/>
      <c r="I467" s="191"/>
      <c r="J467" s="191"/>
      <c r="K467" s="191"/>
      <c r="L467" s="192"/>
      <c r="M467" s="193"/>
    </row>
    <row r="468" ht="57.0" hidden="1" customHeight="1">
      <c r="A468" s="201" t="s">
        <v>325</v>
      </c>
      <c r="B468" s="195"/>
      <c r="C468" s="198"/>
      <c r="D468" s="199"/>
      <c r="E468" s="198"/>
      <c r="F468" s="195"/>
      <c r="G468" s="191"/>
      <c r="H468" s="192"/>
      <c r="I468" s="191"/>
      <c r="J468" s="191"/>
      <c r="K468" s="191"/>
      <c r="L468" s="192"/>
      <c r="M468" s="193"/>
    </row>
    <row r="469" ht="57.0" hidden="1" customHeight="1">
      <c r="A469" s="214" t="s">
        <v>326</v>
      </c>
      <c r="B469" s="195"/>
      <c r="C469" s="198"/>
      <c r="D469" s="199"/>
      <c r="E469" s="198"/>
      <c r="F469" s="195"/>
      <c r="G469" s="191"/>
      <c r="H469" s="192"/>
      <c r="I469" s="191"/>
      <c r="J469" s="191"/>
      <c r="K469" s="191"/>
      <c r="L469" s="192"/>
      <c r="M469" s="193"/>
    </row>
    <row r="470" ht="27.75" hidden="1" customHeight="1">
      <c r="A470" s="215"/>
      <c r="B470" s="195"/>
      <c r="C470" s="198"/>
      <c r="D470" s="199"/>
      <c r="E470" s="198"/>
      <c r="F470" s="195"/>
      <c r="G470" s="191"/>
      <c r="H470" s="192"/>
      <c r="I470" s="191"/>
      <c r="J470" s="191"/>
      <c r="K470" s="191"/>
      <c r="L470" s="192"/>
      <c r="M470" s="193"/>
    </row>
    <row r="471" ht="60.0" customHeight="1">
      <c r="A471" s="216" t="s">
        <v>327</v>
      </c>
      <c r="B471" s="195" t="s">
        <v>33</v>
      </c>
      <c r="C471" s="190"/>
      <c r="D471" s="190">
        <f>SUM(D472:D632)</f>
        <v>800</v>
      </c>
      <c r="E471" s="190"/>
      <c r="F471" s="190">
        <f>SUM(F472:F632)</f>
        <v>0</v>
      </c>
      <c r="G471" s="191"/>
      <c r="H471" s="192"/>
      <c r="I471" s="191"/>
      <c r="J471" s="191"/>
      <c r="K471" s="191"/>
      <c r="L471" s="192"/>
      <c r="M471" s="193"/>
    </row>
    <row r="472" ht="45.75" customHeight="1">
      <c r="A472" s="197" t="s">
        <v>154</v>
      </c>
      <c r="B472" s="195" t="s">
        <v>33</v>
      </c>
      <c r="C472" s="198"/>
      <c r="D472" s="199"/>
      <c r="E472" s="198"/>
      <c r="F472" s="195"/>
      <c r="G472" s="191"/>
      <c r="H472" s="192"/>
      <c r="I472" s="191"/>
      <c r="J472" s="191"/>
      <c r="K472" s="191"/>
      <c r="L472" s="192"/>
      <c r="M472" s="193"/>
    </row>
    <row r="473" ht="45.75" customHeight="1">
      <c r="A473" s="201" t="s">
        <v>328</v>
      </c>
      <c r="B473" s="195" t="s">
        <v>33</v>
      </c>
      <c r="C473" s="198"/>
      <c r="D473" s="199"/>
      <c r="E473" s="198"/>
      <c r="F473" s="195"/>
      <c r="G473" s="191"/>
      <c r="H473" s="192"/>
      <c r="I473" s="191"/>
      <c r="J473" s="191"/>
      <c r="K473" s="191"/>
      <c r="L473" s="192"/>
      <c r="M473" s="193"/>
    </row>
    <row r="474" ht="45.75" customHeight="1">
      <c r="A474" s="197" t="s">
        <v>157</v>
      </c>
      <c r="B474" s="195" t="s">
        <v>33</v>
      </c>
      <c r="C474" s="198"/>
      <c r="D474" s="199"/>
      <c r="E474" s="198"/>
      <c r="F474" s="195"/>
      <c r="G474" s="191"/>
      <c r="H474" s="192"/>
      <c r="I474" s="191"/>
      <c r="J474" s="191"/>
      <c r="K474" s="191"/>
      <c r="L474" s="192"/>
      <c r="M474" s="193"/>
    </row>
    <row r="475" ht="45.75" customHeight="1">
      <c r="A475" s="201" t="s">
        <v>329</v>
      </c>
      <c r="B475" s="195" t="s">
        <v>33</v>
      </c>
      <c r="C475" s="198"/>
      <c r="D475" s="199"/>
      <c r="E475" s="198"/>
      <c r="F475" s="195"/>
      <c r="G475" s="191"/>
      <c r="H475" s="192"/>
      <c r="I475" s="191"/>
      <c r="J475" s="191"/>
      <c r="K475" s="191"/>
      <c r="L475" s="192"/>
      <c r="M475" s="193"/>
    </row>
    <row r="476" ht="45.75" customHeight="1">
      <c r="A476" s="201" t="s">
        <v>330</v>
      </c>
      <c r="B476" s="195" t="s">
        <v>33</v>
      </c>
      <c r="C476" s="198"/>
      <c r="D476" s="199"/>
      <c r="E476" s="198"/>
      <c r="F476" s="195"/>
      <c r="G476" s="191"/>
      <c r="H476" s="192"/>
      <c r="I476" s="191"/>
      <c r="J476" s="191"/>
      <c r="K476" s="191"/>
      <c r="L476" s="192"/>
      <c r="M476" s="193"/>
    </row>
    <row r="477" ht="45.75" customHeight="1">
      <c r="A477" s="201" t="s">
        <v>331</v>
      </c>
      <c r="B477" s="195" t="s">
        <v>33</v>
      </c>
      <c r="C477" s="198"/>
      <c r="D477" s="199"/>
      <c r="E477" s="198"/>
      <c r="F477" s="195"/>
      <c r="G477" s="191"/>
      <c r="H477" s="192"/>
      <c r="I477" s="191"/>
      <c r="J477" s="191"/>
      <c r="K477" s="191"/>
      <c r="L477" s="192"/>
      <c r="M477" s="193"/>
    </row>
    <row r="478" ht="45.75" customHeight="1">
      <c r="A478" s="201" t="s">
        <v>332</v>
      </c>
      <c r="B478" s="195" t="s">
        <v>33</v>
      </c>
      <c r="C478" s="198"/>
      <c r="D478" s="199"/>
      <c r="E478" s="198"/>
      <c r="F478" s="195"/>
      <c r="G478" s="191"/>
      <c r="H478" s="192"/>
      <c r="I478" s="191"/>
      <c r="J478" s="191"/>
      <c r="K478" s="191"/>
      <c r="L478" s="192"/>
      <c r="M478" s="193"/>
    </row>
    <row r="479" ht="45.75" customHeight="1">
      <c r="A479" s="201" t="s">
        <v>330</v>
      </c>
      <c r="B479" s="195" t="s">
        <v>33</v>
      </c>
      <c r="C479" s="198"/>
      <c r="D479" s="199"/>
      <c r="E479" s="198"/>
      <c r="F479" s="195"/>
      <c r="G479" s="191"/>
      <c r="H479" s="192"/>
      <c r="I479" s="191"/>
      <c r="J479" s="191"/>
      <c r="K479" s="191"/>
      <c r="L479" s="192"/>
      <c r="M479" s="193"/>
    </row>
    <row r="480" ht="45.75" customHeight="1">
      <c r="A480" s="201" t="s">
        <v>331</v>
      </c>
      <c r="B480" s="195" t="s">
        <v>33</v>
      </c>
      <c r="C480" s="198"/>
      <c r="D480" s="199"/>
      <c r="E480" s="198"/>
      <c r="F480" s="195"/>
      <c r="G480" s="191"/>
      <c r="H480" s="192"/>
      <c r="I480" s="191"/>
      <c r="J480" s="191"/>
      <c r="K480" s="191"/>
      <c r="L480" s="192"/>
      <c r="M480" s="193"/>
    </row>
    <row r="481" ht="45.75" customHeight="1">
      <c r="A481" s="197" t="s">
        <v>159</v>
      </c>
      <c r="B481" s="195" t="s">
        <v>33</v>
      </c>
      <c r="C481" s="198"/>
      <c r="D481" s="199"/>
      <c r="E481" s="198"/>
      <c r="F481" s="195"/>
      <c r="G481" s="191"/>
      <c r="H481" s="192"/>
      <c r="I481" s="191"/>
      <c r="J481" s="191"/>
      <c r="K481" s="191"/>
      <c r="L481" s="192"/>
      <c r="M481" s="193"/>
    </row>
    <row r="482" ht="45.75" customHeight="1">
      <c r="A482" s="197" t="s">
        <v>333</v>
      </c>
      <c r="B482" s="195" t="s">
        <v>33</v>
      </c>
      <c r="C482" s="198"/>
      <c r="D482" s="199"/>
      <c r="E482" s="198"/>
      <c r="F482" s="195"/>
      <c r="G482" s="191"/>
      <c r="H482" s="192"/>
      <c r="I482" s="191"/>
      <c r="J482" s="191"/>
      <c r="K482" s="191"/>
      <c r="L482" s="192"/>
      <c r="M482" s="193"/>
    </row>
    <row r="483" ht="45.75" customHeight="1">
      <c r="A483" s="197" t="s">
        <v>334</v>
      </c>
      <c r="B483" s="195" t="s">
        <v>33</v>
      </c>
      <c r="C483" s="198"/>
      <c r="D483" s="199"/>
      <c r="E483" s="198"/>
      <c r="F483" s="195"/>
      <c r="G483" s="191"/>
      <c r="H483" s="192"/>
      <c r="I483" s="191"/>
      <c r="J483" s="191"/>
      <c r="K483" s="191"/>
      <c r="L483" s="192"/>
      <c r="M483" s="193"/>
    </row>
    <row r="484" ht="45.75" customHeight="1">
      <c r="A484" s="201" t="s">
        <v>335</v>
      </c>
      <c r="B484" s="195" t="s">
        <v>33</v>
      </c>
      <c r="C484" s="198"/>
      <c r="D484" s="199"/>
      <c r="E484" s="198"/>
      <c r="F484" s="195"/>
      <c r="G484" s="191"/>
      <c r="H484" s="192"/>
      <c r="I484" s="191"/>
      <c r="J484" s="191"/>
      <c r="K484" s="191"/>
      <c r="L484" s="192"/>
      <c r="M484" s="193"/>
    </row>
    <row r="485" ht="45.75" customHeight="1">
      <c r="A485" s="217" t="s">
        <v>330</v>
      </c>
      <c r="B485" s="195" t="s">
        <v>33</v>
      </c>
      <c r="C485" s="198"/>
      <c r="D485" s="199"/>
      <c r="E485" s="198"/>
      <c r="F485" s="195"/>
      <c r="G485" s="191"/>
      <c r="H485" s="192"/>
      <c r="I485" s="191"/>
      <c r="J485" s="191"/>
      <c r="K485" s="191"/>
      <c r="L485" s="192"/>
      <c r="M485" s="193"/>
    </row>
    <row r="486" ht="45.75" customHeight="1">
      <c r="A486" s="217" t="s">
        <v>331</v>
      </c>
      <c r="B486" s="195" t="s">
        <v>33</v>
      </c>
      <c r="C486" s="198"/>
      <c r="D486" s="199"/>
      <c r="E486" s="198"/>
      <c r="F486" s="195"/>
      <c r="G486" s="191"/>
      <c r="H486" s="192"/>
      <c r="I486" s="191"/>
      <c r="J486" s="191"/>
      <c r="K486" s="191"/>
      <c r="L486" s="192"/>
      <c r="M486" s="193"/>
    </row>
    <row r="487" ht="45.75" customHeight="1">
      <c r="A487" s="201" t="s">
        <v>336</v>
      </c>
      <c r="B487" s="195" t="s">
        <v>33</v>
      </c>
      <c r="C487" s="198"/>
      <c r="D487" s="199"/>
      <c r="E487" s="198"/>
      <c r="F487" s="195"/>
      <c r="G487" s="191"/>
      <c r="H487" s="192"/>
      <c r="I487" s="191"/>
      <c r="J487" s="191"/>
      <c r="K487" s="191"/>
      <c r="L487" s="192"/>
      <c r="M487" s="193"/>
    </row>
    <row r="488" ht="45.75" customHeight="1">
      <c r="A488" s="217" t="s">
        <v>330</v>
      </c>
      <c r="B488" s="195" t="s">
        <v>33</v>
      </c>
      <c r="C488" s="198"/>
      <c r="D488" s="199"/>
      <c r="E488" s="198"/>
      <c r="F488" s="195"/>
      <c r="G488" s="191"/>
      <c r="H488" s="192"/>
      <c r="I488" s="191"/>
      <c r="J488" s="191"/>
      <c r="K488" s="191"/>
      <c r="L488" s="192"/>
      <c r="M488" s="193"/>
    </row>
    <row r="489" ht="45.75" customHeight="1">
      <c r="A489" s="217" t="s">
        <v>331</v>
      </c>
      <c r="B489" s="195" t="s">
        <v>33</v>
      </c>
      <c r="C489" s="198"/>
      <c r="D489" s="199"/>
      <c r="E489" s="198"/>
      <c r="F489" s="195"/>
      <c r="G489" s="191"/>
      <c r="H489" s="192"/>
      <c r="I489" s="191"/>
      <c r="J489" s="191"/>
      <c r="K489" s="191"/>
      <c r="L489" s="192"/>
      <c r="M489" s="193"/>
    </row>
    <row r="490" ht="45.75" customHeight="1">
      <c r="A490" s="197" t="s">
        <v>337</v>
      </c>
      <c r="B490" s="195" t="s">
        <v>33</v>
      </c>
      <c r="C490" s="198"/>
      <c r="D490" s="199"/>
      <c r="E490" s="198"/>
      <c r="F490" s="195"/>
      <c r="G490" s="191"/>
      <c r="H490" s="192"/>
      <c r="I490" s="191"/>
      <c r="J490" s="191"/>
      <c r="K490" s="191"/>
      <c r="L490" s="192"/>
      <c r="M490" s="193"/>
    </row>
    <row r="491" ht="45.75" customHeight="1">
      <c r="A491" s="201" t="s">
        <v>338</v>
      </c>
      <c r="B491" s="195" t="s">
        <v>33</v>
      </c>
      <c r="C491" s="198"/>
      <c r="D491" s="199"/>
      <c r="E491" s="198"/>
      <c r="F491" s="195"/>
      <c r="G491" s="191"/>
      <c r="H491" s="192"/>
      <c r="I491" s="191"/>
      <c r="J491" s="191"/>
      <c r="K491" s="191"/>
      <c r="L491" s="192"/>
      <c r="M491" s="193"/>
    </row>
    <row r="492" ht="45.75" customHeight="1">
      <c r="A492" s="217" t="s">
        <v>330</v>
      </c>
      <c r="B492" s="195" t="s">
        <v>33</v>
      </c>
      <c r="C492" s="198"/>
      <c r="D492" s="199"/>
      <c r="E492" s="198"/>
      <c r="F492" s="195"/>
      <c r="G492" s="191"/>
      <c r="H492" s="192"/>
      <c r="I492" s="191"/>
      <c r="J492" s="191"/>
      <c r="K492" s="191"/>
      <c r="L492" s="192"/>
      <c r="M492" s="193"/>
    </row>
    <row r="493" ht="45.75" customHeight="1">
      <c r="A493" s="217" t="s">
        <v>331</v>
      </c>
      <c r="B493" s="195" t="s">
        <v>33</v>
      </c>
      <c r="C493" s="198"/>
      <c r="D493" s="199"/>
      <c r="E493" s="198"/>
      <c r="F493" s="195"/>
      <c r="G493" s="191"/>
      <c r="H493" s="192"/>
      <c r="I493" s="191"/>
      <c r="J493" s="191"/>
      <c r="K493" s="191"/>
      <c r="L493" s="192"/>
      <c r="M493" s="193"/>
    </row>
    <row r="494" ht="45.75" customHeight="1">
      <c r="A494" s="201" t="s">
        <v>336</v>
      </c>
      <c r="B494" s="195" t="s">
        <v>33</v>
      </c>
      <c r="C494" s="198"/>
      <c r="D494" s="199"/>
      <c r="E494" s="198"/>
      <c r="F494" s="195"/>
      <c r="G494" s="191"/>
      <c r="H494" s="192"/>
      <c r="I494" s="191"/>
      <c r="J494" s="191"/>
      <c r="K494" s="191"/>
      <c r="L494" s="192"/>
      <c r="M494" s="193"/>
    </row>
    <row r="495" ht="45.75" customHeight="1">
      <c r="A495" s="217" t="s">
        <v>330</v>
      </c>
      <c r="B495" s="195" t="s">
        <v>33</v>
      </c>
      <c r="C495" s="198"/>
      <c r="D495" s="199"/>
      <c r="E495" s="198"/>
      <c r="F495" s="195"/>
      <c r="G495" s="191"/>
      <c r="H495" s="192"/>
      <c r="I495" s="191"/>
      <c r="J495" s="191"/>
      <c r="K495" s="191"/>
      <c r="L495" s="192"/>
      <c r="M495" s="193"/>
    </row>
    <row r="496" ht="45.75" customHeight="1">
      <c r="A496" s="217" t="s">
        <v>331</v>
      </c>
      <c r="B496" s="195" t="s">
        <v>33</v>
      </c>
      <c r="C496" s="198"/>
      <c r="D496" s="199"/>
      <c r="E496" s="198"/>
      <c r="F496" s="195"/>
      <c r="G496" s="191"/>
      <c r="H496" s="192"/>
      <c r="I496" s="191"/>
      <c r="J496" s="191"/>
      <c r="K496" s="191"/>
      <c r="L496" s="192"/>
      <c r="M496" s="193"/>
    </row>
    <row r="497" ht="45.75" customHeight="1">
      <c r="A497" s="197" t="s">
        <v>339</v>
      </c>
      <c r="B497" s="195" t="s">
        <v>33</v>
      </c>
      <c r="C497" s="198"/>
      <c r="D497" s="199"/>
      <c r="E497" s="198"/>
      <c r="F497" s="195"/>
      <c r="G497" s="191"/>
      <c r="H497" s="192"/>
      <c r="I497" s="191"/>
      <c r="J497" s="191"/>
      <c r="K497" s="191"/>
      <c r="L497" s="192"/>
      <c r="M497" s="193"/>
    </row>
    <row r="498" ht="45.75" customHeight="1">
      <c r="A498" s="201" t="s">
        <v>338</v>
      </c>
      <c r="B498" s="195" t="s">
        <v>33</v>
      </c>
      <c r="C498" s="198"/>
      <c r="D498" s="199"/>
      <c r="E498" s="198"/>
      <c r="F498" s="195"/>
      <c r="G498" s="191"/>
      <c r="H498" s="192"/>
      <c r="I498" s="191"/>
      <c r="J498" s="191"/>
      <c r="K498" s="191"/>
      <c r="L498" s="192"/>
      <c r="M498" s="193"/>
    </row>
    <row r="499" ht="45.75" customHeight="1">
      <c r="A499" s="217" t="s">
        <v>330</v>
      </c>
      <c r="B499" s="195" t="s">
        <v>33</v>
      </c>
      <c r="C499" s="198"/>
      <c r="D499" s="199"/>
      <c r="E499" s="198"/>
      <c r="F499" s="195"/>
      <c r="G499" s="191"/>
      <c r="H499" s="192"/>
      <c r="I499" s="191"/>
      <c r="J499" s="191"/>
      <c r="K499" s="191"/>
      <c r="L499" s="192"/>
      <c r="M499" s="193"/>
    </row>
    <row r="500" ht="45.75" customHeight="1">
      <c r="A500" s="217" t="s">
        <v>331</v>
      </c>
      <c r="B500" s="195" t="s">
        <v>33</v>
      </c>
      <c r="C500" s="198"/>
      <c r="D500" s="199"/>
      <c r="E500" s="198"/>
      <c r="F500" s="195"/>
      <c r="G500" s="191"/>
      <c r="H500" s="192"/>
      <c r="I500" s="191"/>
      <c r="J500" s="191"/>
      <c r="K500" s="191"/>
      <c r="L500" s="192"/>
      <c r="M500" s="193"/>
    </row>
    <row r="501" ht="45.75" customHeight="1">
      <c r="A501" s="201" t="s">
        <v>336</v>
      </c>
      <c r="B501" s="195" t="s">
        <v>33</v>
      </c>
      <c r="C501" s="198"/>
      <c r="D501" s="199"/>
      <c r="E501" s="198"/>
      <c r="F501" s="195"/>
      <c r="G501" s="191"/>
      <c r="H501" s="192"/>
      <c r="I501" s="191"/>
      <c r="J501" s="191"/>
      <c r="K501" s="191"/>
      <c r="L501" s="192"/>
      <c r="M501" s="193"/>
    </row>
    <row r="502" ht="45.75" customHeight="1">
      <c r="A502" s="217" t="s">
        <v>330</v>
      </c>
      <c r="B502" s="195" t="s">
        <v>33</v>
      </c>
      <c r="C502" s="198"/>
      <c r="D502" s="199"/>
      <c r="E502" s="198"/>
      <c r="F502" s="195"/>
      <c r="G502" s="191"/>
      <c r="H502" s="192"/>
      <c r="I502" s="191"/>
      <c r="J502" s="191"/>
      <c r="K502" s="191"/>
      <c r="L502" s="192"/>
      <c r="M502" s="193"/>
    </row>
    <row r="503" ht="45.75" customHeight="1">
      <c r="A503" s="217" t="s">
        <v>331</v>
      </c>
      <c r="B503" s="195" t="s">
        <v>33</v>
      </c>
      <c r="C503" s="198"/>
      <c r="D503" s="199"/>
      <c r="E503" s="198"/>
      <c r="F503" s="195"/>
      <c r="G503" s="191"/>
      <c r="H503" s="192"/>
      <c r="I503" s="191"/>
      <c r="J503" s="191"/>
      <c r="K503" s="191"/>
      <c r="L503" s="192"/>
      <c r="M503" s="193"/>
    </row>
    <row r="504" ht="45.75" hidden="1" customHeight="1">
      <c r="A504" s="197" t="s">
        <v>340</v>
      </c>
      <c r="B504" s="195" t="s">
        <v>33</v>
      </c>
      <c r="C504" s="198"/>
      <c r="D504" s="199"/>
      <c r="E504" s="198"/>
      <c r="F504" s="195"/>
      <c r="G504" s="191"/>
      <c r="H504" s="192"/>
      <c r="I504" s="191"/>
      <c r="J504" s="191"/>
      <c r="K504" s="191"/>
      <c r="L504" s="192"/>
      <c r="M504" s="193"/>
    </row>
    <row r="505" ht="45.75" hidden="1" customHeight="1">
      <c r="A505" s="201" t="s">
        <v>338</v>
      </c>
      <c r="B505" s="195" t="s">
        <v>33</v>
      </c>
      <c r="C505" s="198"/>
      <c r="D505" s="199"/>
      <c r="E505" s="198"/>
      <c r="F505" s="195"/>
      <c r="G505" s="191"/>
      <c r="H505" s="192"/>
      <c r="I505" s="191"/>
      <c r="J505" s="191"/>
      <c r="K505" s="191"/>
      <c r="L505" s="192"/>
      <c r="M505" s="193"/>
    </row>
    <row r="506" ht="45.75" hidden="1" customHeight="1">
      <c r="A506" s="217" t="s">
        <v>330</v>
      </c>
      <c r="B506" s="195" t="s">
        <v>33</v>
      </c>
      <c r="C506" s="198"/>
      <c r="D506" s="199"/>
      <c r="E506" s="198"/>
      <c r="F506" s="195"/>
      <c r="G506" s="191"/>
      <c r="H506" s="192"/>
      <c r="I506" s="191"/>
      <c r="J506" s="191"/>
      <c r="K506" s="191"/>
      <c r="L506" s="192"/>
      <c r="M506" s="193"/>
    </row>
    <row r="507" ht="45.75" hidden="1" customHeight="1">
      <c r="A507" s="218" t="s">
        <v>331</v>
      </c>
      <c r="B507" s="195" t="s">
        <v>33</v>
      </c>
      <c r="C507" s="198"/>
      <c r="D507" s="199"/>
      <c r="E507" s="198"/>
      <c r="F507" s="195"/>
      <c r="G507" s="191"/>
      <c r="H507" s="192"/>
      <c r="I507" s="191"/>
      <c r="J507" s="191"/>
      <c r="K507" s="191"/>
      <c r="L507" s="192"/>
      <c r="M507" s="193"/>
    </row>
    <row r="508" ht="45.75" hidden="1" customHeight="1">
      <c r="A508" s="201" t="s">
        <v>336</v>
      </c>
      <c r="B508" s="195" t="s">
        <v>33</v>
      </c>
      <c r="C508" s="198"/>
      <c r="D508" s="199"/>
      <c r="E508" s="198"/>
      <c r="F508" s="195"/>
      <c r="G508" s="191"/>
      <c r="H508" s="192"/>
      <c r="I508" s="191"/>
      <c r="J508" s="191"/>
      <c r="K508" s="191"/>
      <c r="L508" s="192"/>
      <c r="M508" s="193"/>
    </row>
    <row r="509" ht="45.75" hidden="1" customHeight="1">
      <c r="A509" s="217" t="s">
        <v>330</v>
      </c>
      <c r="B509" s="195" t="s">
        <v>33</v>
      </c>
      <c r="C509" s="198"/>
      <c r="D509" s="199"/>
      <c r="E509" s="198"/>
      <c r="F509" s="195"/>
      <c r="G509" s="191"/>
      <c r="H509" s="192"/>
      <c r="I509" s="191"/>
      <c r="J509" s="191"/>
      <c r="K509" s="191"/>
      <c r="L509" s="192"/>
      <c r="M509" s="193"/>
    </row>
    <row r="510" ht="45.75" hidden="1" customHeight="1">
      <c r="A510" s="217" t="s">
        <v>331</v>
      </c>
      <c r="B510" s="195" t="s">
        <v>33</v>
      </c>
      <c r="C510" s="198"/>
      <c r="D510" s="199"/>
      <c r="E510" s="198"/>
      <c r="F510" s="195"/>
      <c r="G510" s="191"/>
      <c r="H510" s="192"/>
      <c r="I510" s="191"/>
      <c r="J510" s="191"/>
      <c r="K510" s="191"/>
      <c r="L510" s="192"/>
      <c r="M510" s="193"/>
    </row>
    <row r="511" ht="45.75" hidden="1" customHeight="1">
      <c r="A511" s="197" t="s">
        <v>341</v>
      </c>
      <c r="B511" s="195" t="s">
        <v>33</v>
      </c>
      <c r="C511" s="198"/>
      <c r="D511" s="199"/>
      <c r="E511" s="198"/>
      <c r="F511" s="195"/>
      <c r="G511" s="191"/>
      <c r="H511" s="192"/>
      <c r="I511" s="191"/>
      <c r="J511" s="191"/>
      <c r="K511" s="191"/>
      <c r="L511" s="192"/>
      <c r="M511" s="193"/>
    </row>
    <row r="512" ht="45.75" hidden="1" customHeight="1">
      <c r="A512" s="201" t="s">
        <v>335</v>
      </c>
      <c r="B512" s="195" t="s">
        <v>33</v>
      </c>
      <c r="C512" s="198"/>
      <c r="D512" s="199"/>
      <c r="E512" s="198"/>
      <c r="F512" s="195"/>
      <c r="G512" s="191"/>
      <c r="H512" s="192"/>
      <c r="I512" s="191"/>
      <c r="J512" s="191"/>
      <c r="K512" s="191"/>
      <c r="L512" s="192"/>
      <c r="M512" s="193"/>
    </row>
    <row r="513" ht="45.75" hidden="1" customHeight="1">
      <c r="A513" s="217" t="s">
        <v>330</v>
      </c>
      <c r="B513" s="195" t="s">
        <v>33</v>
      </c>
      <c r="C513" s="198"/>
      <c r="D513" s="199"/>
      <c r="E513" s="198"/>
      <c r="F513" s="195"/>
      <c r="G513" s="191"/>
      <c r="H513" s="192"/>
      <c r="I513" s="191"/>
      <c r="J513" s="191"/>
      <c r="K513" s="191"/>
      <c r="L513" s="192"/>
      <c r="M513" s="193"/>
    </row>
    <row r="514" ht="45.75" hidden="1" customHeight="1">
      <c r="A514" s="217" t="s">
        <v>331</v>
      </c>
      <c r="B514" s="195" t="s">
        <v>33</v>
      </c>
      <c r="C514" s="198"/>
      <c r="D514" s="199"/>
      <c r="E514" s="198"/>
      <c r="F514" s="195"/>
      <c r="G514" s="191"/>
      <c r="H514" s="192"/>
      <c r="I514" s="191"/>
      <c r="J514" s="191"/>
      <c r="K514" s="191"/>
      <c r="L514" s="192"/>
      <c r="M514" s="193"/>
    </row>
    <row r="515" ht="45.75" hidden="1" customHeight="1">
      <c r="A515" s="201" t="s">
        <v>336</v>
      </c>
      <c r="B515" s="195" t="s">
        <v>33</v>
      </c>
      <c r="C515" s="198"/>
      <c r="D515" s="199"/>
      <c r="E515" s="198"/>
      <c r="F515" s="195"/>
      <c r="G515" s="191"/>
      <c r="H515" s="192"/>
      <c r="I515" s="191"/>
      <c r="J515" s="191"/>
      <c r="K515" s="191"/>
      <c r="L515" s="192"/>
      <c r="M515" s="193"/>
    </row>
    <row r="516" ht="45.75" hidden="1" customHeight="1">
      <c r="A516" s="217" t="s">
        <v>330</v>
      </c>
      <c r="B516" s="195" t="s">
        <v>33</v>
      </c>
      <c r="C516" s="198"/>
      <c r="D516" s="199"/>
      <c r="E516" s="198"/>
      <c r="F516" s="195"/>
      <c r="G516" s="191"/>
      <c r="H516" s="192"/>
      <c r="I516" s="191"/>
      <c r="J516" s="191"/>
      <c r="K516" s="191"/>
      <c r="L516" s="192"/>
      <c r="M516" s="193"/>
    </row>
    <row r="517" ht="45.75" hidden="1" customHeight="1">
      <c r="A517" s="217" t="s">
        <v>331</v>
      </c>
      <c r="B517" s="195" t="s">
        <v>33</v>
      </c>
      <c r="C517" s="198"/>
      <c r="D517" s="199"/>
      <c r="E517" s="198"/>
      <c r="F517" s="195"/>
      <c r="G517" s="191"/>
      <c r="H517" s="192"/>
      <c r="I517" s="191"/>
      <c r="J517" s="191"/>
      <c r="K517" s="191"/>
      <c r="L517" s="192"/>
      <c r="M517" s="193"/>
    </row>
    <row r="518" ht="45.75" hidden="1" customHeight="1">
      <c r="A518" s="197" t="s">
        <v>342</v>
      </c>
      <c r="B518" s="195" t="s">
        <v>33</v>
      </c>
      <c r="C518" s="198"/>
      <c r="D518" s="199"/>
      <c r="E518" s="198"/>
      <c r="F518" s="195"/>
      <c r="G518" s="191"/>
      <c r="H518" s="192"/>
      <c r="I518" s="191"/>
      <c r="J518" s="191"/>
      <c r="K518" s="191"/>
      <c r="L518" s="192"/>
      <c r="M518" s="193"/>
    </row>
    <row r="519" ht="45.75" hidden="1" customHeight="1">
      <c r="A519" s="201" t="s">
        <v>335</v>
      </c>
      <c r="B519" s="195" t="s">
        <v>33</v>
      </c>
      <c r="C519" s="198"/>
      <c r="D519" s="199"/>
      <c r="E519" s="198"/>
      <c r="F519" s="195"/>
      <c r="G519" s="191"/>
      <c r="H519" s="192"/>
      <c r="I519" s="191"/>
      <c r="J519" s="191"/>
      <c r="K519" s="191"/>
      <c r="L519" s="192"/>
      <c r="M519" s="193"/>
    </row>
    <row r="520" ht="45.75" hidden="1" customHeight="1">
      <c r="A520" s="217" t="s">
        <v>330</v>
      </c>
      <c r="B520" s="195" t="s">
        <v>33</v>
      </c>
      <c r="C520" s="198"/>
      <c r="D520" s="199"/>
      <c r="E520" s="198"/>
      <c r="F520" s="195"/>
      <c r="G520" s="191"/>
      <c r="H520" s="192"/>
      <c r="I520" s="191"/>
      <c r="J520" s="191"/>
      <c r="K520" s="191"/>
      <c r="L520" s="192"/>
      <c r="M520" s="193"/>
    </row>
    <row r="521" ht="45.75" hidden="1" customHeight="1">
      <c r="A521" s="217" t="s">
        <v>331</v>
      </c>
      <c r="B521" s="195" t="s">
        <v>33</v>
      </c>
      <c r="C521" s="198"/>
      <c r="D521" s="199"/>
      <c r="E521" s="198"/>
      <c r="F521" s="195"/>
      <c r="G521" s="191"/>
      <c r="H521" s="192"/>
      <c r="I521" s="191"/>
      <c r="J521" s="191"/>
      <c r="K521" s="191"/>
      <c r="L521" s="192"/>
      <c r="M521" s="193"/>
    </row>
    <row r="522" ht="45.75" hidden="1" customHeight="1">
      <c r="A522" s="201" t="s">
        <v>336</v>
      </c>
      <c r="B522" s="195" t="s">
        <v>33</v>
      </c>
      <c r="C522" s="198"/>
      <c r="D522" s="199"/>
      <c r="E522" s="198"/>
      <c r="F522" s="195"/>
      <c r="G522" s="191"/>
      <c r="H522" s="192"/>
      <c r="I522" s="191"/>
      <c r="J522" s="191"/>
      <c r="K522" s="191"/>
      <c r="L522" s="192"/>
      <c r="M522" s="193"/>
    </row>
    <row r="523" ht="45.75" hidden="1" customHeight="1">
      <c r="A523" s="217" t="s">
        <v>330</v>
      </c>
      <c r="B523" s="195" t="s">
        <v>33</v>
      </c>
      <c r="C523" s="198"/>
      <c r="D523" s="199"/>
      <c r="E523" s="198"/>
      <c r="F523" s="195"/>
      <c r="G523" s="191"/>
      <c r="H523" s="192"/>
      <c r="I523" s="191"/>
      <c r="J523" s="191"/>
      <c r="K523" s="191"/>
      <c r="L523" s="192"/>
      <c r="M523" s="193"/>
    </row>
    <row r="524" ht="45.75" hidden="1" customHeight="1">
      <c r="A524" s="217" t="s">
        <v>331</v>
      </c>
      <c r="B524" s="195" t="s">
        <v>33</v>
      </c>
      <c r="C524" s="198"/>
      <c r="D524" s="199"/>
      <c r="E524" s="198"/>
      <c r="F524" s="195"/>
      <c r="G524" s="191"/>
      <c r="H524" s="192"/>
      <c r="I524" s="191"/>
      <c r="J524" s="191"/>
      <c r="K524" s="191"/>
      <c r="L524" s="192"/>
      <c r="M524" s="193"/>
    </row>
    <row r="525" ht="45.75" hidden="1" customHeight="1">
      <c r="A525" s="201"/>
      <c r="B525" s="195" t="s">
        <v>33</v>
      </c>
      <c r="C525" s="198"/>
      <c r="D525" s="199"/>
      <c r="E525" s="198"/>
      <c r="F525" s="195"/>
      <c r="G525" s="191"/>
      <c r="H525" s="192"/>
      <c r="I525" s="191"/>
      <c r="J525" s="191"/>
      <c r="K525" s="191"/>
      <c r="L525" s="192"/>
      <c r="M525" s="193"/>
    </row>
    <row r="526" ht="45.75" hidden="1" customHeight="1">
      <c r="A526" s="197" t="s">
        <v>343</v>
      </c>
      <c r="B526" s="195" t="s">
        <v>33</v>
      </c>
      <c r="C526" s="198"/>
      <c r="D526" s="199"/>
      <c r="E526" s="198"/>
      <c r="F526" s="195"/>
      <c r="G526" s="191"/>
      <c r="H526" s="192"/>
      <c r="I526" s="191"/>
      <c r="J526" s="191"/>
      <c r="K526" s="191"/>
      <c r="L526" s="192"/>
      <c r="M526" s="193"/>
    </row>
    <row r="527" ht="45.75" hidden="1" customHeight="1">
      <c r="A527" s="201" t="s">
        <v>344</v>
      </c>
      <c r="B527" s="195" t="s">
        <v>33</v>
      </c>
      <c r="C527" s="198"/>
      <c r="D527" s="199"/>
      <c r="E527" s="198"/>
      <c r="F527" s="195"/>
      <c r="G527" s="191"/>
      <c r="H527" s="192"/>
      <c r="I527" s="191"/>
      <c r="J527" s="191"/>
      <c r="K527" s="191"/>
      <c r="L527" s="192"/>
      <c r="M527" s="193"/>
    </row>
    <row r="528" ht="45.75" hidden="1" customHeight="1">
      <c r="A528" s="201" t="s">
        <v>345</v>
      </c>
      <c r="B528" s="195" t="s">
        <v>33</v>
      </c>
      <c r="C528" s="198"/>
      <c r="D528" s="199"/>
      <c r="E528" s="198"/>
      <c r="F528" s="195"/>
      <c r="G528" s="191"/>
      <c r="H528" s="192"/>
      <c r="I528" s="191"/>
      <c r="J528" s="191"/>
      <c r="K528" s="191"/>
      <c r="L528" s="192"/>
      <c r="M528" s="193"/>
    </row>
    <row r="529" ht="45.75" hidden="1" customHeight="1">
      <c r="A529" s="201" t="s">
        <v>346</v>
      </c>
      <c r="B529" s="195" t="s">
        <v>33</v>
      </c>
      <c r="C529" s="198"/>
      <c r="D529" s="199"/>
      <c r="E529" s="198"/>
      <c r="F529" s="195"/>
      <c r="G529" s="191"/>
      <c r="H529" s="192"/>
      <c r="I529" s="191"/>
      <c r="J529" s="191"/>
      <c r="K529" s="191"/>
      <c r="L529" s="192"/>
      <c r="M529" s="193"/>
    </row>
    <row r="530" ht="45.75" hidden="1" customHeight="1">
      <c r="A530" s="201" t="s">
        <v>347</v>
      </c>
      <c r="B530" s="195" t="s">
        <v>33</v>
      </c>
      <c r="C530" s="198"/>
      <c r="D530" s="199"/>
      <c r="E530" s="198"/>
      <c r="F530" s="195"/>
      <c r="G530" s="191"/>
      <c r="H530" s="192"/>
      <c r="I530" s="191"/>
      <c r="J530" s="191"/>
      <c r="K530" s="191"/>
      <c r="L530" s="192"/>
      <c r="M530" s="193"/>
    </row>
    <row r="531" ht="45.75" hidden="1" customHeight="1">
      <c r="A531" s="201" t="s">
        <v>348</v>
      </c>
      <c r="B531" s="195" t="s">
        <v>33</v>
      </c>
      <c r="C531" s="198"/>
      <c r="D531" s="199"/>
      <c r="E531" s="198"/>
      <c r="F531" s="195"/>
      <c r="G531" s="191"/>
      <c r="H531" s="192"/>
      <c r="I531" s="191"/>
      <c r="J531" s="191"/>
      <c r="K531" s="191"/>
      <c r="L531" s="192"/>
      <c r="M531" s="193"/>
    </row>
    <row r="532" ht="45.75" hidden="1" customHeight="1">
      <c r="A532" s="201" t="s">
        <v>349</v>
      </c>
      <c r="B532" s="195" t="s">
        <v>33</v>
      </c>
      <c r="C532" s="198"/>
      <c r="D532" s="199"/>
      <c r="E532" s="198"/>
      <c r="F532" s="195"/>
      <c r="G532" s="191"/>
      <c r="H532" s="192"/>
      <c r="I532" s="191"/>
      <c r="J532" s="191"/>
      <c r="K532" s="191"/>
      <c r="L532" s="192"/>
      <c r="M532" s="193"/>
    </row>
    <row r="533" ht="45.75" hidden="1" customHeight="1">
      <c r="A533" s="201" t="s">
        <v>350</v>
      </c>
      <c r="B533" s="195" t="s">
        <v>33</v>
      </c>
      <c r="C533" s="198"/>
      <c r="D533" s="199"/>
      <c r="E533" s="198"/>
      <c r="F533" s="195"/>
      <c r="G533" s="191"/>
      <c r="H533" s="192"/>
      <c r="I533" s="191"/>
      <c r="J533" s="191"/>
      <c r="K533" s="191"/>
      <c r="L533" s="192"/>
      <c r="M533" s="193"/>
    </row>
    <row r="534" ht="45.75" hidden="1" customHeight="1">
      <c r="A534" s="201" t="s">
        <v>351</v>
      </c>
      <c r="B534" s="195" t="s">
        <v>33</v>
      </c>
      <c r="C534" s="198"/>
      <c r="D534" s="199"/>
      <c r="E534" s="198"/>
      <c r="F534" s="195"/>
      <c r="G534" s="191"/>
      <c r="H534" s="192"/>
      <c r="I534" s="191"/>
      <c r="J534" s="191"/>
      <c r="K534" s="191"/>
      <c r="L534" s="192"/>
      <c r="M534" s="193"/>
    </row>
    <row r="535" ht="45.75" hidden="1" customHeight="1">
      <c r="A535" s="201"/>
      <c r="B535" s="195" t="s">
        <v>33</v>
      </c>
      <c r="C535" s="198"/>
      <c r="D535" s="199"/>
      <c r="E535" s="198"/>
      <c r="F535" s="195"/>
      <c r="G535" s="191"/>
      <c r="H535" s="192"/>
      <c r="I535" s="191"/>
      <c r="J535" s="191"/>
      <c r="K535" s="191"/>
      <c r="L535" s="192"/>
      <c r="M535" s="193"/>
    </row>
    <row r="536" ht="52.5" customHeight="1">
      <c r="A536" s="203" t="s">
        <v>352</v>
      </c>
      <c r="B536" s="195" t="s">
        <v>33</v>
      </c>
      <c r="C536" s="198"/>
      <c r="D536" s="199"/>
      <c r="E536" s="198"/>
      <c r="F536" s="195"/>
      <c r="G536" s="191"/>
      <c r="H536" s="192"/>
      <c r="I536" s="191"/>
      <c r="J536" s="191"/>
      <c r="K536" s="191"/>
      <c r="L536" s="192"/>
      <c r="M536" s="193"/>
    </row>
    <row r="537" ht="40.5" customHeight="1">
      <c r="A537" s="203" t="s">
        <v>353</v>
      </c>
      <c r="B537" s="195" t="s">
        <v>33</v>
      </c>
      <c r="C537" s="198">
        <v>1.0</v>
      </c>
      <c r="D537" s="199">
        <v>400.0</v>
      </c>
      <c r="E537" s="198"/>
      <c r="F537" s="195"/>
      <c r="G537" s="191"/>
      <c r="H537" s="192"/>
      <c r="I537" s="191"/>
      <c r="J537" s="191"/>
      <c r="K537" s="191"/>
      <c r="L537" s="192"/>
      <c r="M537" s="193"/>
    </row>
    <row r="538" ht="39.0" customHeight="1">
      <c r="A538" s="203" t="s">
        <v>354</v>
      </c>
      <c r="B538" s="195" t="s">
        <v>33</v>
      </c>
      <c r="C538" s="198"/>
      <c r="D538" s="199"/>
      <c r="E538" s="198"/>
      <c r="F538" s="195"/>
      <c r="G538" s="191"/>
      <c r="H538" s="192"/>
      <c r="I538" s="191"/>
      <c r="J538" s="191"/>
      <c r="K538" s="191"/>
      <c r="L538" s="192"/>
      <c r="M538" s="193"/>
    </row>
    <row r="539" ht="33.0" customHeight="1">
      <c r="A539" s="194" t="s">
        <v>206</v>
      </c>
      <c r="B539" s="195" t="s">
        <v>33</v>
      </c>
      <c r="C539" s="198"/>
      <c r="D539" s="199"/>
      <c r="E539" s="198"/>
      <c r="F539" s="195"/>
      <c r="G539" s="191"/>
      <c r="H539" s="192"/>
      <c r="I539" s="191"/>
      <c r="J539" s="191"/>
      <c r="K539" s="191"/>
      <c r="L539" s="192"/>
      <c r="M539" s="193"/>
    </row>
    <row r="540" ht="33.0" customHeight="1">
      <c r="A540" s="219" t="s">
        <v>355</v>
      </c>
      <c r="B540" s="195" t="s">
        <v>33</v>
      </c>
      <c r="C540" s="198"/>
      <c r="D540" s="199"/>
      <c r="E540" s="198"/>
      <c r="F540" s="195"/>
      <c r="G540" s="191"/>
      <c r="H540" s="192"/>
      <c r="I540" s="191"/>
      <c r="J540" s="191"/>
      <c r="K540" s="191"/>
      <c r="L540" s="192"/>
      <c r="M540" s="193"/>
    </row>
    <row r="541" ht="33.0" customHeight="1">
      <c r="A541" s="220" t="s">
        <v>356</v>
      </c>
      <c r="B541" s="195" t="s">
        <v>33</v>
      </c>
      <c r="C541" s="198"/>
      <c r="D541" s="199"/>
      <c r="E541" s="198"/>
      <c r="F541" s="195"/>
      <c r="G541" s="191"/>
      <c r="H541" s="192"/>
      <c r="I541" s="191"/>
      <c r="J541" s="191"/>
      <c r="K541" s="191"/>
      <c r="L541" s="192"/>
      <c r="M541" s="193"/>
    </row>
    <row r="542" ht="33.0" customHeight="1">
      <c r="A542" s="194" t="s">
        <v>207</v>
      </c>
      <c r="B542" s="195" t="s">
        <v>33</v>
      </c>
      <c r="C542" s="198"/>
      <c r="D542" s="199"/>
      <c r="E542" s="198"/>
      <c r="F542" s="195"/>
      <c r="G542" s="191"/>
      <c r="H542" s="192"/>
      <c r="I542" s="191"/>
      <c r="J542" s="191"/>
      <c r="K542" s="191"/>
      <c r="L542" s="192"/>
      <c r="M542" s="193"/>
    </row>
    <row r="543" ht="33.0" customHeight="1">
      <c r="A543" s="194" t="s">
        <v>355</v>
      </c>
      <c r="B543" s="195" t="s">
        <v>33</v>
      </c>
      <c r="C543" s="198"/>
      <c r="D543" s="199"/>
      <c r="E543" s="198"/>
      <c r="F543" s="195"/>
      <c r="G543" s="191"/>
      <c r="H543" s="192"/>
      <c r="I543" s="191"/>
      <c r="J543" s="191"/>
      <c r="K543" s="191"/>
      <c r="L543" s="192"/>
      <c r="M543" s="193"/>
    </row>
    <row r="544" ht="33.0" customHeight="1">
      <c r="A544" s="220" t="s">
        <v>356</v>
      </c>
      <c r="B544" s="195" t="s">
        <v>33</v>
      </c>
      <c r="C544" s="198"/>
      <c r="D544" s="199"/>
      <c r="E544" s="198"/>
      <c r="F544" s="195"/>
      <c r="G544" s="191"/>
      <c r="H544" s="192"/>
      <c r="I544" s="191"/>
      <c r="J544" s="191"/>
      <c r="K544" s="191"/>
      <c r="L544" s="192"/>
      <c r="M544" s="193"/>
    </row>
    <row r="545" ht="30.0" customHeight="1">
      <c r="A545" s="194" t="s">
        <v>189</v>
      </c>
      <c r="B545" s="195"/>
      <c r="C545" s="198"/>
      <c r="D545" s="199"/>
      <c r="E545" s="198"/>
      <c r="F545" s="195"/>
      <c r="G545" s="191"/>
      <c r="H545" s="192"/>
      <c r="I545" s="191"/>
      <c r="J545" s="191"/>
      <c r="K545" s="191"/>
      <c r="L545" s="192"/>
      <c r="M545" s="193"/>
    </row>
    <row r="546" ht="30.0" customHeight="1">
      <c r="A546" s="219" t="s">
        <v>355</v>
      </c>
      <c r="B546" s="195"/>
      <c r="C546" s="198">
        <v>1.0</v>
      </c>
      <c r="D546" s="199">
        <v>400.0</v>
      </c>
      <c r="E546" s="198"/>
      <c r="F546" s="195"/>
      <c r="G546" s="191"/>
      <c r="H546" s="192"/>
      <c r="I546" s="191"/>
      <c r="J546" s="191"/>
      <c r="K546" s="191"/>
      <c r="L546" s="192"/>
      <c r="M546" s="193"/>
    </row>
    <row r="547" ht="34.5" customHeight="1">
      <c r="A547" s="221" t="s">
        <v>356</v>
      </c>
      <c r="B547" s="195"/>
      <c r="C547" s="198"/>
      <c r="D547" s="199"/>
      <c r="E547" s="198"/>
      <c r="F547" s="195"/>
      <c r="G547" s="191"/>
      <c r="H547" s="192"/>
      <c r="I547" s="191"/>
      <c r="J547" s="191"/>
      <c r="K547" s="191"/>
      <c r="L547" s="192"/>
      <c r="M547" s="193"/>
    </row>
    <row r="548" ht="34.5" hidden="1" customHeight="1">
      <c r="A548" s="194" t="s">
        <v>193</v>
      </c>
      <c r="B548" s="195"/>
      <c r="C548" s="198"/>
      <c r="D548" s="199"/>
      <c r="E548" s="198"/>
      <c r="F548" s="195"/>
      <c r="G548" s="191"/>
      <c r="H548" s="192"/>
      <c r="I548" s="191"/>
      <c r="J548" s="191"/>
      <c r="K548" s="191"/>
      <c r="L548" s="192"/>
      <c r="M548" s="193"/>
    </row>
    <row r="549" ht="34.5" hidden="1" customHeight="1">
      <c r="A549" s="219" t="s">
        <v>355</v>
      </c>
      <c r="B549" s="195"/>
      <c r="C549" s="198"/>
      <c r="D549" s="199"/>
      <c r="E549" s="198"/>
      <c r="F549" s="195"/>
      <c r="G549" s="191"/>
      <c r="H549" s="192"/>
      <c r="I549" s="191"/>
      <c r="J549" s="191"/>
      <c r="K549" s="191"/>
      <c r="L549" s="192"/>
      <c r="M549" s="193"/>
    </row>
    <row r="550" ht="34.5" hidden="1" customHeight="1">
      <c r="A550" s="221" t="s">
        <v>356</v>
      </c>
      <c r="B550" s="195"/>
      <c r="C550" s="198"/>
      <c r="D550" s="199"/>
      <c r="E550" s="198"/>
      <c r="F550" s="195"/>
      <c r="G550" s="191"/>
      <c r="H550" s="192"/>
      <c r="I550" s="191"/>
      <c r="J550" s="191"/>
      <c r="K550" s="191"/>
      <c r="L550" s="192"/>
      <c r="M550" s="193"/>
    </row>
    <row r="551" ht="34.5" hidden="1" customHeight="1">
      <c r="A551" s="219" t="s">
        <v>194</v>
      </c>
      <c r="B551" s="195"/>
      <c r="C551" s="198"/>
      <c r="D551" s="199"/>
      <c r="E551" s="198"/>
      <c r="F551" s="195"/>
      <c r="G551" s="191"/>
      <c r="H551" s="192"/>
      <c r="I551" s="191"/>
      <c r="J551" s="191"/>
      <c r="K551" s="191"/>
      <c r="L551" s="192"/>
      <c r="M551" s="193"/>
    </row>
    <row r="552" ht="34.5" hidden="1" customHeight="1">
      <c r="A552" s="219" t="s">
        <v>355</v>
      </c>
      <c r="B552" s="195"/>
      <c r="C552" s="198"/>
      <c r="D552" s="199"/>
      <c r="E552" s="198"/>
      <c r="F552" s="195"/>
      <c r="G552" s="191"/>
      <c r="H552" s="192"/>
      <c r="I552" s="191"/>
      <c r="J552" s="191"/>
      <c r="K552" s="191"/>
      <c r="L552" s="192"/>
      <c r="M552" s="193"/>
    </row>
    <row r="553" ht="34.5" hidden="1" customHeight="1">
      <c r="A553" s="221" t="s">
        <v>356</v>
      </c>
      <c r="B553" s="195"/>
      <c r="C553" s="198"/>
      <c r="D553" s="199"/>
      <c r="E553" s="198"/>
      <c r="F553" s="195"/>
      <c r="G553" s="191"/>
      <c r="H553" s="192"/>
      <c r="I553" s="191"/>
      <c r="J553" s="191"/>
      <c r="K553" s="191"/>
      <c r="L553" s="192"/>
      <c r="M553" s="193"/>
    </row>
    <row r="554" ht="34.5" hidden="1" customHeight="1">
      <c r="A554" s="194" t="s">
        <v>357</v>
      </c>
      <c r="B554" s="195"/>
      <c r="C554" s="198"/>
      <c r="D554" s="199"/>
      <c r="E554" s="198"/>
      <c r="F554" s="195"/>
      <c r="G554" s="191"/>
      <c r="H554" s="192"/>
      <c r="I554" s="191"/>
      <c r="J554" s="191"/>
      <c r="K554" s="191"/>
      <c r="L554" s="192"/>
      <c r="M554" s="193"/>
    </row>
    <row r="555" ht="34.5" hidden="1" customHeight="1">
      <c r="A555" s="219" t="s">
        <v>355</v>
      </c>
      <c r="B555" s="195"/>
      <c r="C555" s="198"/>
      <c r="D555" s="199"/>
      <c r="E555" s="198"/>
      <c r="F555" s="195"/>
      <c r="G555" s="191"/>
      <c r="H555" s="192"/>
      <c r="I555" s="191"/>
      <c r="J555" s="191"/>
      <c r="K555" s="191"/>
      <c r="L555" s="192"/>
      <c r="M555" s="193"/>
    </row>
    <row r="556" ht="34.5" hidden="1" customHeight="1">
      <c r="A556" s="221" t="s">
        <v>356</v>
      </c>
      <c r="B556" s="195"/>
      <c r="C556" s="198"/>
      <c r="D556" s="199"/>
      <c r="E556" s="198"/>
      <c r="F556" s="195"/>
      <c r="G556" s="191"/>
      <c r="H556" s="192"/>
      <c r="I556" s="191"/>
      <c r="J556" s="191"/>
      <c r="K556" s="191"/>
      <c r="L556" s="192"/>
      <c r="M556" s="193"/>
    </row>
    <row r="557" ht="34.5" hidden="1" customHeight="1">
      <c r="A557" s="194" t="s">
        <v>195</v>
      </c>
      <c r="B557" s="195"/>
      <c r="C557" s="198"/>
      <c r="D557" s="199"/>
      <c r="E557" s="198"/>
      <c r="F557" s="195"/>
      <c r="G557" s="191"/>
      <c r="H557" s="192"/>
      <c r="I557" s="191"/>
      <c r="J557" s="191"/>
      <c r="K557" s="191"/>
      <c r="L557" s="192"/>
      <c r="M557" s="193"/>
    </row>
    <row r="558" ht="34.5" hidden="1" customHeight="1">
      <c r="A558" s="219" t="s">
        <v>355</v>
      </c>
      <c r="B558" s="195"/>
      <c r="C558" s="198"/>
      <c r="D558" s="199"/>
      <c r="E558" s="198"/>
      <c r="F558" s="195"/>
      <c r="G558" s="191"/>
      <c r="H558" s="192"/>
      <c r="I558" s="191"/>
      <c r="J558" s="191"/>
      <c r="K558" s="191"/>
      <c r="L558" s="192"/>
      <c r="M558" s="193"/>
    </row>
    <row r="559" ht="34.5" hidden="1" customHeight="1">
      <c r="A559" s="221" t="s">
        <v>356</v>
      </c>
      <c r="B559" s="195"/>
      <c r="C559" s="198"/>
      <c r="D559" s="199"/>
      <c r="E559" s="198"/>
      <c r="F559" s="195"/>
      <c r="G559" s="191"/>
      <c r="H559" s="192"/>
      <c r="I559" s="191"/>
      <c r="J559" s="191"/>
      <c r="K559" s="191"/>
      <c r="L559" s="192"/>
      <c r="M559" s="193"/>
    </row>
    <row r="560" ht="34.5" hidden="1" customHeight="1">
      <c r="A560" s="194" t="s">
        <v>208</v>
      </c>
      <c r="B560" s="195"/>
      <c r="C560" s="198"/>
      <c r="D560" s="199"/>
      <c r="E560" s="198"/>
      <c r="F560" s="195"/>
      <c r="G560" s="191"/>
      <c r="H560" s="192"/>
      <c r="I560" s="191"/>
      <c r="J560" s="191"/>
      <c r="K560" s="191"/>
      <c r="L560" s="192"/>
      <c r="M560" s="193"/>
    </row>
    <row r="561" ht="34.5" hidden="1" customHeight="1">
      <c r="A561" s="219" t="s">
        <v>355</v>
      </c>
      <c r="B561" s="195"/>
      <c r="C561" s="198"/>
      <c r="D561" s="199"/>
      <c r="E561" s="198"/>
      <c r="F561" s="195"/>
      <c r="G561" s="191"/>
      <c r="H561" s="192"/>
      <c r="I561" s="191"/>
      <c r="J561" s="191"/>
      <c r="K561" s="191"/>
      <c r="L561" s="192"/>
      <c r="M561" s="193"/>
    </row>
    <row r="562" ht="34.5" hidden="1" customHeight="1">
      <c r="A562" s="221" t="s">
        <v>356</v>
      </c>
      <c r="B562" s="195"/>
      <c r="C562" s="198"/>
      <c r="D562" s="199"/>
      <c r="E562" s="198"/>
      <c r="F562" s="195"/>
      <c r="G562" s="191"/>
      <c r="H562" s="192"/>
      <c r="I562" s="191"/>
      <c r="J562" s="191"/>
      <c r="K562" s="191"/>
      <c r="L562" s="192"/>
      <c r="M562" s="193"/>
    </row>
    <row r="563" ht="34.5" hidden="1" customHeight="1">
      <c r="A563" s="194" t="s">
        <v>192</v>
      </c>
      <c r="B563" s="195"/>
      <c r="C563" s="198"/>
      <c r="D563" s="199"/>
      <c r="E563" s="198"/>
      <c r="F563" s="195"/>
      <c r="G563" s="191"/>
      <c r="H563" s="192"/>
      <c r="I563" s="191"/>
      <c r="J563" s="191"/>
      <c r="K563" s="191"/>
      <c r="L563" s="192"/>
      <c r="M563" s="193"/>
    </row>
    <row r="564" ht="34.5" hidden="1" customHeight="1">
      <c r="A564" s="219" t="s">
        <v>355</v>
      </c>
      <c r="B564" s="195"/>
      <c r="C564" s="198"/>
      <c r="D564" s="199"/>
      <c r="E564" s="198"/>
      <c r="F564" s="195"/>
      <c r="G564" s="191"/>
      <c r="H564" s="192"/>
      <c r="I564" s="191"/>
      <c r="J564" s="191"/>
      <c r="K564" s="191"/>
      <c r="L564" s="192"/>
      <c r="M564" s="193"/>
    </row>
    <row r="565" ht="34.5" hidden="1" customHeight="1">
      <c r="A565" s="221" t="s">
        <v>356</v>
      </c>
      <c r="B565" s="195"/>
      <c r="C565" s="198"/>
      <c r="D565" s="199"/>
      <c r="E565" s="198"/>
      <c r="F565" s="195"/>
      <c r="G565" s="191"/>
      <c r="H565" s="192"/>
      <c r="I565" s="191"/>
      <c r="J565" s="191"/>
      <c r="K565" s="191"/>
      <c r="L565" s="192"/>
      <c r="M565" s="193"/>
    </row>
    <row r="566" ht="34.5" hidden="1" customHeight="1">
      <c r="A566" s="194" t="s">
        <v>191</v>
      </c>
      <c r="B566" s="195"/>
      <c r="C566" s="198"/>
      <c r="D566" s="199"/>
      <c r="E566" s="198"/>
      <c r="F566" s="195"/>
      <c r="G566" s="191"/>
      <c r="H566" s="192"/>
      <c r="I566" s="191"/>
      <c r="J566" s="191"/>
      <c r="K566" s="191"/>
      <c r="L566" s="192"/>
      <c r="M566" s="193"/>
    </row>
    <row r="567" ht="34.5" hidden="1" customHeight="1">
      <c r="A567" s="219" t="s">
        <v>355</v>
      </c>
      <c r="B567" s="195"/>
      <c r="C567" s="198"/>
      <c r="D567" s="199"/>
      <c r="E567" s="198"/>
      <c r="F567" s="195"/>
      <c r="G567" s="191"/>
      <c r="H567" s="192"/>
      <c r="I567" s="191"/>
      <c r="J567" s="191"/>
      <c r="K567" s="191"/>
      <c r="L567" s="192"/>
      <c r="M567" s="193"/>
    </row>
    <row r="568" ht="34.5" hidden="1" customHeight="1">
      <c r="A568" s="221" t="s">
        <v>356</v>
      </c>
      <c r="B568" s="195"/>
      <c r="C568" s="198"/>
      <c r="D568" s="199"/>
      <c r="E568" s="198"/>
      <c r="F568" s="195"/>
      <c r="G568" s="191"/>
      <c r="H568" s="192"/>
      <c r="I568" s="191"/>
      <c r="J568" s="191"/>
      <c r="K568" s="191"/>
      <c r="L568" s="192"/>
      <c r="M568" s="193"/>
    </row>
    <row r="569" ht="34.5" hidden="1" customHeight="1">
      <c r="A569" s="221"/>
      <c r="B569" s="195"/>
      <c r="C569" s="198"/>
      <c r="D569" s="199"/>
      <c r="E569" s="198"/>
      <c r="F569" s="195"/>
      <c r="G569" s="191"/>
      <c r="H569" s="192"/>
      <c r="I569" s="191"/>
      <c r="J569" s="191"/>
      <c r="K569" s="191"/>
      <c r="L569" s="192"/>
      <c r="M569" s="193"/>
    </row>
    <row r="570" ht="34.5" hidden="1" customHeight="1">
      <c r="A570" s="194" t="s">
        <v>358</v>
      </c>
      <c r="B570" s="195"/>
      <c r="C570" s="198"/>
      <c r="D570" s="199"/>
      <c r="E570" s="198"/>
      <c r="F570" s="195"/>
      <c r="G570" s="191"/>
      <c r="H570" s="192"/>
      <c r="I570" s="191"/>
      <c r="J570" s="191"/>
      <c r="K570" s="191"/>
      <c r="L570" s="192"/>
      <c r="M570" s="193"/>
    </row>
    <row r="571" ht="34.5" hidden="1" customHeight="1">
      <c r="A571" s="203" t="s">
        <v>359</v>
      </c>
      <c r="B571" s="195"/>
      <c r="C571" s="198"/>
      <c r="D571" s="199"/>
      <c r="E571" s="198"/>
      <c r="F571" s="195"/>
      <c r="G571" s="191"/>
      <c r="H571" s="192"/>
      <c r="I571" s="191"/>
      <c r="J571" s="191"/>
      <c r="K571" s="191"/>
      <c r="L571" s="192"/>
      <c r="M571" s="193"/>
    </row>
    <row r="572" ht="34.5" hidden="1" customHeight="1">
      <c r="A572" s="203" t="s">
        <v>360</v>
      </c>
      <c r="B572" s="195"/>
      <c r="C572" s="198"/>
      <c r="D572" s="199"/>
      <c r="E572" s="198"/>
      <c r="F572" s="195"/>
      <c r="G572" s="191"/>
      <c r="H572" s="192"/>
      <c r="I572" s="191"/>
      <c r="J572" s="191"/>
      <c r="K572" s="191"/>
      <c r="L572" s="192"/>
      <c r="M572" s="193"/>
    </row>
    <row r="573" ht="34.5" hidden="1" customHeight="1">
      <c r="A573" s="203"/>
      <c r="B573" s="195"/>
      <c r="C573" s="198"/>
      <c r="D573" s="199"/>
      <c r="E573" s="198"/>
      <c r="F573" s="195"/>
      <c r="G573" s="191"/>
      <c r="H573" s="192"/>
      <c r="I573" s="191"/>
      <c r="J573" s="191"/>
      <c r="K573" s="191"/>
      <c r="L573" s="192"/>
      <c r="M573" s="193"/>
    </row>
    <row r="574" ht="34.5" hidden="1" customHeight="1">
      <c r="A574" s="194" t="s">
        <v>361</v>
      </c>
      <c r="B574" s="195"/>
      <c r="C574" s="198"/>
      <c r="D574" s="199"/>
      <c r="E574" s="198"/>
      <c r="F574" s="195"/>
      <c r="G574" s="191"/>
      <c r="H574" s="192"/>
      <c r="I574" s="191"/>
      <c r="J574" s="191"/>
      <c r="K574" s="191"/>
      <c r="L574" s="192"/>
      <c r="M574" s="193"/>
    </row>
    <row r="575" ht="34.5" hidden="1" customHeight="1">
      <c r="A575" s="222" t="s">
        <v>362</v>
      </c>
      <c r="B575" s="195"/>
      <c r="C575" s="198"/>
      <c r="D575" s="199"/>
      <c r="E575" s="198"/>
      <c r="F575" s="195"/>
      <c r="G575" s="191"/>
      <c r="H575" s="192"/>
      <c r="I575" s="191"/>
      <c r="J575" s="191"/>
      <c r="K575" s="191"/>
      <c r="L575" s="192"/>
      <c r="M575" s="193"/>
    </row>
    <row r="576" ht="34.5" hidden="1" customHeight="1">
      <c r="A576" s="194" t="s">
        <v>363</v>
      </c>
      <c r="B576" s="195"/>
      <c r="C576" s="198"/>
      <c r="D576" s="199"/>
      <c r="E576" s="198"/>
      <c r="F576" s="195"/>
      <c r="G576" s="191"/>
      <c r="H576" s="192"/>
      <c r="I576" s="191"/>
      <c r="J576" s="191"/>
      <c r="K576" s="191"/>
      <c r="L576" s="192"/>
      <c r="M576" s="193"/>
    </row>
    <row r="577" ht="34.5" hidden="1" customHeight="1">
      <c r="A577" s="222" t="s">
        <v>364</v>
      </c>
      <c r="B577" s="195"/>
      <c r="C577" s="198"/>
      <c r="D577" s="199"/>
      <c r="E577" s="198"/>
      <c r="F577" s="195"/>
      <c r="G577" s="191"/>
      <c r="H577" s="192"/>
      <c r="I577" s="191"/>
      <c r="J577" s="191"/>
      <c r="K577" s="191"/>
      <c r="L577" s="192"/>
      <c r="M577" s="193"/>
    </row>
    <row r="578" ht="34.5" hidden="1" customHeight="1">
      <c r="A578" s="222" t="s">
        <v>365</v>
      </c>
      <c r="B578" s="195"/>
      <c r="C578" s="198"/>
      <c r="D578" s="199"/>
      <c r="E578" s="198"/>
      <c r="F578" s="195"/>
      <c r="G578" s="191"/>
      <c r="H578" s="192"/>
      <c r="I578" s="191"/>
      <c r="J578" s="191"/>
      <c r="K578" s="191"/>
      <c r="L578" s="192"/>
      <c r="M578" s="193"/>
    </row>
    <row r="579" ht="34.5" hidden="1" customHeight="1">
      <c r="A579" s="222" t="s">
        <v>366</v>
      </c>
      <c r="B579" s="195"/>
      <c r="C579" s="198"/>
      <c r="D579" s="199"/>
      <c r="E579" s="198"/>
      <c r="F579" s="195"/>
      <c r="G579" s="191"/>
      <c r="H579" s="192"/>
      <c r="I579" s="191"/>
      <c r="J579" s="191"/>
      <c r="K579" s="191"/>
      <c r="L579" s="192"/>
      <c r="M579" s="193"/>
    </row>
    <row r="580" ht="34.5" hidden="1" customHeight="1">
      <c r="A580" s="222" t="s">
        <v>367</v>
      </c>
      <c r="B580" s="195"/>
      <c r="C580" s="198"/>
      <c r="D580" s="199"/>
      <c r="E580" s="198"/>
      <c r="F580" s="195"/>
      <c r="G580" s="191"/>
      <c r="H580" s="192"/>
      <c r="I580" s="191"/>
      <c r="J580" s="191"/>
      <c r="K580" s="191"/>
      <c r="L580" s="192"/>
      <c r="M580" s="193"/>
    </row>
    <row r="581" ht="34.5" hidden="1" customHeight="1">
      <c r="A581" s="222" t="s">
        <v>368</v>
      </c>
      <c r="B581" s="195"/>
      <c r="C581" s="198"/>
      <c r="D581" s="199"/>
      <c r="E581" s="198"/>
      <c r="F581" s="195"/>
      <c r="G581" s="191"/>
      <c r="H581" s="192"/>
      <c r="I581" s="191"/>
      <c r="J581" s="191"/>
      <c r="K581" s="191"/>
      <c r="L581" s="192"/>
      <c r="M581" s="193"/>
    </row>
    <row r="582" ht="34.5" hidden="1" customHeight="1">
      <c r="A582" s="222"/>
      <c r="B582" s="195"/>
      <c r="C582" s="198"/>
      <c r="D582" s="199"/>
      <c r="E582" s="198"/>
      <c r="F582" s="195"/>
      <c r="G582" s="191"/>
      <c r="H582" s="192"/>
      <c r="I582" s="191"/>
      <c r="J582" s="191"/>
      <c r="K582" s="191"/>
      <c r="L582" s="192"/>
      <c r="M582" s="193"/>
    </row>
    <row r="583" ht="42.0" hidden="1" customHeight="1">
      <c r="A583" s="194" t="s">
        <v>369</v>
      </c>
      <c r="B583" s="195"/>
      <c r="C583" s="198"/>
      <c r="D583" s="199"/>
      <c r="E583" s="198"/>
      <c r="F583" s="195"/>
      <c r="G583" s="191"/>
      <c r="H583" s="192"/>
      <c r="I583" s="191"/>
      <c r="J583" s="191"/>
      <c r="K583" s="191"/>
      <c r="L583" s="192"/>
      <c r="M583" s="193"/>
    </row>
    <row r="584" ht="34.5" hidden="1" customHeight="1">
      <c r="A584" s="194" t="s">
        <v>370</v>
      </c>
      <c r="B584" s="195"/>
      <c r="C584" s="198"/>
      <c r="D584" s="199"/>
      <c r="E584" s="198"/>
      <c r="F584" s="195"/>
      <c r="G584" s="191"/>
      <c r="H584" s="192"/>
      <c r="I584" s="191"/>
      <c r="J584" s="191"/>
      <c r="K584" s="191"/>
      <c r="L584" s="192"/>
      <c r="M584" s="193"/>
    </row>
    <row r="585" ht="34.5" hidden="1" customHeight="1">
      <c r="A585" s="210" t="s">
        <v>371</v>
      </c>
      <c r="B585" s="195"/>
      <c r="C585" s="198"/>
      <c r="D585" s="199"/>
      <c r="E585" s="198"/>
      <c r="F585" s="195"/>
      <c r="G585" s="191"/>
      <c r="H585" s="192"/>
      <c r="I585" s="191"/>
      <c r="J585" s="191"/>
      <c r="K585" s="191"/>
      <c r="L585" s="192"/>
      <c r="M585" s="193"/>
    </row>
    <row r="586" ht="34.5" hidden="1" customHeight="1">
      <c r="A586" s="203" t="s">
        <v>372</v>
      </c>
      <c r="B586" s="195"/>
      <c r="C586" s="198"/>
      <c r="D586" s="199"/>
      <c r="E586" s="198"/>
      <c r="F586" s="195"/>
      <c r="G586" s="191"/>
      <c r="H586" s="192"/>
      <c r="I586" s="191"/>
      <c r="J586" s="191"/>
      <c r="K586" s="191"/>
      <c r="L586" s="192"/>
      <c r="M586" s="193"/>
    </row>
    <row r="587" ht="34.5" hidden="1" customHeight="1">
      <c r="A587" s="203" t="s">
        <v>373</v>
      </c>
      <c r="B587" s="195"/>
      <c r="C587" s="198"/>
      <c r="D587" s="199"/>
      <c r="E587" s="198"/>
      <c r="F587" s="195"/>
      <c r="G587" s="191"/>
      <c r="H587" s="192"/>
      <c r="I587" s="191"/>
      <c r="J587" s="191"/>
      <c r="K587" s="191"/>
      <c r="L587" s="192"/>
      <c r="M587" s="193"/>
    </row>
    <row r="588" ht="34.5" hidden="1" customHeight="1">
      <c r="A588" s="203" t="s">
        <v>374</v>
      </c>
      <c r="B588" s="195"/>
      <c r="C588" s="198"/>
      <c r="D588" s="199"/>
      <c r="E588" s="198"/>
      <c r="F588" s="195"/>
      <c r="G588" s="191"/>
      <c r="H588" s="192"/>
      <c r="I588" s="191"/>
      <c r="J588" s="191"/>
      <c r="K588" s="191"/>
      <c r="L588" s="192"/>
      <c r="M588" s="193"/>
    </row>
    <row r="589" ht="34.5" hidden="1" customHeight="1">
      <c r="A589" s="194" t="s">
        <v>375</v>
      </c>
      <c r="B589" s="195"/>
      <c r="C589" s="198"/>
      <c r="D589" s="199"/>
      <c r="E589" s="198"/>
      <c r="F589" s="195"/>
      <c r="G589" s="191"/>
      <c r="H589" s="192"/>
      <c r="I589" s="191"/>
      <c r="J589" s="191"/>
      <c r="K589" s="191"/>
      <c r="L589" s="192"/>
      <c r="M589" s="193"/>
    </row>
    <row r="590" ht="34.5" hidden="1" customHeight="1">
      <c r="A590" s="203" t="s">
        <v>376</v>
      </c>
      <c r="B590" s="195"/>
      <c r="C590" s="198"/>
      <c r="D590" s="199"/>
      <c r="E590" s="198"/>
      <c r="F590" s="195"/>
      <c r="G590" s="191"/>
      <c r="H590" s="192"/>
      <c r="I590" s="191"/>
      <c r="J590" s="191"/>
      <c r="K590" s="191"/>
      <c r="L590" s="192"/>
      <c r="M590" s="193"/>
    </row>
    <row r="591" ht="34.5" hidden="1" customHeight="1">
      <c r="A591" s="203" t="s">
        <v>377</v>
      </c>
      <c r="B591" s="195"/>
      <c r="C591" s="198"/>
      <c r="D591" s="199"/>
      <c r="E591" s="198"/>
      <c r="F591" s="195"/>
      <c r="G591" s="191"/>
      <c r="H591" s="192"/>
      <c r="I591" s="191"/>
      <c r="J591" s="191"/>
      <c r="K591" s="191"/>
      <c r="L591" s="192"/>
      <c r="M591" s="193"/>
    </row>
    <row r="592" ht="34.5" hidden="1" customHeight="1">
      <c r="A592" s="203" t="s">
        <v>378</v>
      </c>
      <c r="B592" s="195"/>
      <c r="C592" s="198"/>
      <c r="D592" s="199"/>
      <c r="E592" s="198"/>
      <c r="F592" s="195"/>
      <c r="G592" s="191"/>
      <c r="H592" s="192"/>
      <c r="I592" s="191"/>
      <c r="J592" s="191"/>
      <c r="K592" s="191"/>
      <c r="L592" s="192"/>
      <c r="M592" s="193"/>
    </row>
    <row r="593" ht="34.5" hidden="1" customHeight="1">
      <c r="A593" s="194" t="s">
        <v>379</v>
      </c>
      <c r="B593" s="195"/>
      <c r="C593" s="198"/>
      <c r="D593" s="199"/>
      <c r="E593" s="198"/>
      <c r="F593" s="195"/>
      <c r="G593" s="191"/>
      <c r="H593" s="192"/>
      <c r="I593" s="191"/>
      <c r="J593" s="191"/>
      <c r="K593" s="191"/>
      <c r="L593" s="192"/>
      <c r="M593" s="193"/>
    </row>
    <row r="594" ht="34.5" hidden="1" customHeight="1">
      <c r="A594" s="203" t="s">
        <v>380</v>
      </c>
      <c r="B594" s="195"/>
      <c r="C594" s="198"/>
      <c r="D594" s="199"/>
      <c r="E594" s="198"/>
      <c r="F594" s="195"/>
      <c r="G594" s="191"/>
      <c r="H594" s="192"/>
      <c r="I594" s="191"/>
      <c r="J594" s="191"/>
      <c r="K594" s="191"/>
      <c r="L594" s="192"/>
      <c r="M594" s="193"/>
    </row>
    <row r="595" ht="34.5" hidden="1" customHeight="1">
      <c r="A595" s="203" t="s">
        <v>381</v>
      </c>
      <c r="B595" s="195"/>
      <c r="C595" s="198"/>
      <c r="D595" s="199"/>
      <c r="E595" s="198"/>
      <c r="F595" s="195"/>
      <c r="G595" s="191"/>
      <c r="H595" s="192"/>
      <c r="I595" s="191"/>
      <c r="J595" s="191"/>
      <c r="K595" s="191"/>
      <c r="L595" s="192"/>
      <c r="M595" s="193"/>
    </row>
    <row r="596" ht="34.5" hidden="1" customHeight="1">
      <c r="A596" s="223"/>
      <c r="B596" s="195"/>
      <c r="C596" s="198"/>
      <c r="D596" s="199"/>
      <c r="E596" s="198"/>
      <c r="F596" s="195"/>
      <c r="G596" s="191"/>
      <c r="H596" s="192"/>
      <c r="I596" s="191"/>
      <c r="J596" s="191"/>
      <c r="K596" s="191"/>
      <c r="L596" s="192"/>
      <c r="M596" s="193"/>
    </row>
    <row r="597" ht="34.5" hidden="1" customHeight="1">
      <c r="A597" s="197" t="s">
        <v>382</v>
      </c>
      <c r="B597" s="195"/>
      <c r="C597" s="198"/>
      <c r="D597" s="199"/>
      <c r="E597" s="198"/>
      <c r="F597" s="195"/>
      <c r="G597" s="191"/>
      <c r="H597" s="192"/>
      <c r="I597" s="191"/>
      <c r="J597" s="191"/>
      <c r="K597" s="191"/>
      <c r="L597" s="192"/>
      <c r="M597" s="193"/>
    </row>
    <row r="598" ht="34.5" hidden="1" customHeight="1">
      <c r="A598" s="197" t="s">
        <v>383</v>
      </c>
      <c r="B598" s="195"/>
      <c r="C598" s="198"/>
      <c r="D598" s="199"/>
      <c r="E598" s="198"/>
      <c r="F598" s="195"/>
      <c r="G598" s="191"/>
      <c r="H598" s="192"/>
      <c r="I598" s="191"/>
      <c r="J598" s="191"/>
      <c r="K598" s="191"/>
      <c r="L598" s="192"/>
      <c r="M598" s="193"/>
    </row>
    <row r="599" ht="69.75" hidden="1" customHeight="1">
      <c r="A599" s="201" t="s">
        <v>384</v>
      </c>
      <c r="B599" s="195"/>
      <c r="C599" s="198"/>
      <c r="D599" s="199"/>
      <c r="E599" s="198"/>
      <c r="F599" s="195"/>
      <c r="G599" s="191"/>
      <c r="H599" s="192"/>
      <c r="I599" s="191"/>
      <c r="J599" s="191"/>
      <c r="K599" s="191"/>
      <c r="L599" s="192"/>
      <c r="M599" s="193"/>
    </row>
    <row r="600" ht="46.5" hidden="1" customHeight="1">
      <c r="A600" s="197" t="s">
        <v>157</v>
      </c>
      <c r="B600" s="195"/>
      <c r="C600" s="198"/>
      <c r="D600" s="199"/>
      <c r="E600" s="198"/>
      <c r="F600" s="195"/>
      <c r="G600" s="191"/>
      <c r="H600" s="192"/>
      <c r="I600" s="191"/>
      <c r="J600" s="191"/>
      <c r="K600" s="191"/>
      <c r="L600" s="192"/>
      <c r="M600" s="193"/>
    </row>
    <row r="601" ht="73.5" hidden="1" customHeight="1">
      <c r="A601" s="197" t="s">
        <v>385</v>
      </c>
      <c r="B601" s="195"/>
      <c r="C601" s="198"/>
      <c r="D601" s="199"/>
      <c r="E601" s="198"/>
      <c r="F601" s="195"/>
      <c r="G601" s="191"/>
      <c r="H601" s="192"/>
      <c r="I601" s="191"/>
      <c r="J601" s="191"/>
      <c r="K601" s="191"/>
      <c r="L601" s="192"/>
      <c r="M601" s="193"/>
    </row>
    <row r="602" ht="34.5" hidden="1" customHeight="1">
      <c r="A602" s="197" t="s">
        <v>386</v>
      </c>
      <c r="B602" s="195"/>
      <c r="C602" s="198"/>
      <c r="D602" s="199"/>
      <c r="E602" s="198"/>
      <c r="F602" s="195"/>
      <c r="G602" s="191"/>
      <c r="H602" s="192"/>
      <c r="I602" s="191"/>
      <c r="J602" s="191"/>
      <c r="K602" s="191"/>
      <c r="L602" s="192"/>
      <c r="M602" s="193"/>
    </row>
    <row r="603" ht="34.5" hidden="1" customHeight="1">
      <c r="A603" s="201" t="s">
        <v>387</v>
      </c>
      <c r="B603" s="195"/>
      <c r="C603" s="198"/>
      <c r="D603" s="199"/>
      <c r="E603" s="198"/>
      <c r="F603" s="195"/>
      <c r="G603" s="191"/>
      <c r="H603" s="192"/>
      <c r="I603" s="191"/>
      <c r="J603" s="191"/>
      <c r="K603" s="191"/>
      <c r="L603" s="192"/>
      <c r="M603" s="193"/>
    </row>
    <row r="604" ht="34.5" hidden="1" customHeight="1">
      <c r="A604" s="201" t="s">
        <v>388</v>
      </c>
      <c r="B604" s="195"/>
      <c r="C604" s="198"/>
      <c r="D604" s="199"/>
      <c r="E604" s="198"/>
      <c r="F604" s="195"/>
      <c r="G604" s="191"/>
      <c r="H604" s="192"/>
      <c r="I604" s="191"/>
      <c r="J604" s="191"/>
      <c r="K604" s="191"/>
      <c r="L604" s="192"/>
      <c r="M604" s="193"/>
    </row>
    <row r="605" ht="48.75" hidden="1" customHeight="1">
      <c r="A605" s="201" t="s">
        <v>389</v>
      </c>
      <c r="B605" s="195"/>
      <c r="C605" s="198"/>
      <c r="D605" s="199"/>
      <c r="E605" s="198"/>
      <c r="F605" s="195"/>
      <c r="G605" s="191"/>
      <c r="H605" s="192"/>
      <c r="I605" s="191"/>
      <c r="J605" s="191"/>
      <c r="K605" s="191"/>
      <c r="L605" s="192"/>
      <c r="M605" s="193"/>
    </row>
    <row r="606" ht="57.0" hidden="1" customHeight="1">
      <c r="A606" s="201" t="s">
        <v>390</v>
      </c>
      <c r="B606" s="195"/>
      <c r="C606" s="198"/>
      <c r="D606" s="199"/>
      <c r="E606" s="198"/>
      <c r="F606" s="195"/>
      <c r="G606" s="191"/>
      <c r="H606" s="192"/>
      <c r="I606" s="191"/>
      <c r="J606" s="191"/>
      <c r="K606" s="191"/>
      <c r="L606" s="192"/>
      <c r="M606" s="193"/>
    </row>
    <row r="607" ht="34.5" hidden="1" customHeight="1">
      <c r="A607" s="201" t="s">
        <v>391</v>
      </c>
      <c r="B607" s="195"/>
      <c r="C607" s="198"/>
      <c r="D607" s="199"/>
      <c r="E607" s="198"/>
      <c r="F607" s="195"/>
      <c r="G607" s="191"/>
      <c r="H607" s="192"/>
      <c r="I607" s="191"/>
      <c r="J607" s="191"/>
      <c r="K607" s="191"/>
      <c r="L607" s="192"/>
      <c r="M607" s="193"/>
    </row>
    <row r="608" ht="57.0" hidden="1" customHeight="1">
      <c r="A608" s="201" t="s">
        <v>392</v>
      </c>
      <c r="B608" s="195"/>
      <c r="C608" s="198"/>
      <c r="D608" s="199"/>
      <c r="E608" s="198"/>
      <c r="F608" s="195"/>
      <c r="G608" s="191"/>
      <c r="H608" s="192"/>
      <c r="I608" s="191"/>
      <c r="J608" s="191"/>
      <c r="K608" s="191"/>
      <c r="L608" s="192"/>
      <c r="M608" s="193"/>
    </row>
    <row r="609" ht="54.75" hidden="1" customHeight="1">
      <c r="A609" s="201" t="s">
        <v>393</v>
      </c>
      <c r="B609" s="195"/>
      <c r="C609" s="198"/>
      <c r="D609" s="199"/>
      <c r="E609" s="198"/>
      <c r="F609" s="195"/>
      <c r="G609" s="191"/>
      <c r="H609" s="192"/>
      <c r="I609" s="191"/>
      <c r="J609" s="191"/>
      <c r="K609" s="191"/>
      <c r="L609" s="192"/>
      <c r="M609" s="193"/>
    </row>
    <row r="610" ht="34.5" hidden="1" customHeight="1">
      <c r="A610" s="201" t="s">
        <v>394</v>
      </c>
      <c r="B610" s="195"/>
      <c r="C610" s="198"/>
      <c r="D610" s="199"/>
      <c r="E610" s="198"/>
      <c r="F610" s="195"/>
      <c r="G610" s="191"/>
      <c r="H610" s="192"/>
      <c r="I610" s="191"/>
      <c r="J610" s="191"/>
      <c r="K610" s="191"/>
      <c r="L610" s="192"/>
      <c r="M610" s="193"/>
    </row>
    <row r="611" ht="34.5" hidden="1" customHeight="1">
      <c r="A611" s="201" t="s">
        <v>388</v>
      </c>
      <c r="B611" s="195"/>
      <c r="C611" s="198"/>
      <c r="D611" s="199"/>
      <c r="E611" s="198"/>
      <c r="F611" s="195"/>
      <c r="G611" s="191"/>
      <c r="H611" s="192"/>
      <c r="I611" s="191"/>
      <c r="J611" s="191"/>
      <c r="K611" s="191"/>
      <c r="L611" s="192"/>
      <c r="M611" s="193"/>
    </row>
    <row r="612" ht="49.5" hidden="1" customHeight="1">
      <c r="A612" s="201" t="s">
        <v>395</v>
      </c>
      <c r="B612" s="195"/>
      <c r="C612" s="198"/>
      <c r="D612" s="199"/>
      <c r="E612" s="198"/>
      <c r="F612" s="195"/>
      <c r="G612" s="191"/>
      <c r="H612" s="192"/>
      <c r="I612" s="191"/>
      <c r="J612" s="191"/>
      <c r="K612" s="191"/>
      <c r="L612" s="192"/>
      <c r="M612" s="193"/>
    </row>
    <row r="613" ht="34.5" hidden="1" customHeight="1">
      <c r="A613" s="201" t="s">
        <v>396</v>
      </c>
      <c r="B613" s="195"/>
      <c r="C613" s="198"/>
      <c r="D613" s="199"/>
      <c r="E613" s="198"/>
      <c r="F613" s="195"/>
      <c r="G613" s="191"/>
      <c r="H613" s="192"/>
      <c r="I613" s="191"/>
      <c r="J613" s="191"/>
      <c r="K613" s="191"/>
      <c r="L613" s="192"/>
      <c r="M613" s="193"/>
    </row>
    <row r="614" ht="34.5" hidden="1" customHeight="1">
      <c r="A614" s="201" t="s">
        <v>391</v>
      </c>
      <c r="B614" s="195"/>
      <c r="C614" s="198"/>
      <c r="D614" s="199"/>
      <c r="E614" s="198"/>
      <c r="F614" s="195"/>
      <c r="G614" s="191"/>
      <c r="H614" s="192"/>
      <c r="I614" s="191"/>
      <c r="J614" s="191"/>
      <c r="K614" s="191"/>
      <c r="L614" s="192"/>
      <c r="M614" s="193"/>
    </row>
    <row r="615" ht="49.5" hidden="1" customHeight="1">
      <c r="A615" s="201" t="s">
        <v>397</v>
      </c>
      <c r="B615" s="195"/>
      <c r="C615" s="198"/>
      <c r="D615" s="199"/>
      <c r="E615" s="198"/>
      <c r="F615" s="195"/>
      <c r="G615" s="191"/>
      <c r="H615" s="192"/>
      <c r="I615" s="191"/>
      <c r="J615" s="191"/>
      <c r="K615" s="191"/>
      <c r="L615" s="192"/>
      <c r="M615" s="193"/>
    </row>
    <row r="616" ht="48.0" hidden="1" customHeight="1">
      <c r="A616" s="201" t="s">
        <v>398</v>
      </c>
      <c r="B616" s="195"/>
      <c r="C616" s="198"/>
      <c r="D616" s="199"/>
      <c r="E616" s="198"/>
      <c r="F616" s="195"/>
      <c r="G616" s="191"/>
      <c r="H616" s="192"/>
      <c r="I616" s="191"/>
      <c r="J616" s="191"/>
      <c r="K616" s="191"/>
      <c r="L616" s="192"/>
      <c r="M616" s="193"/>
    </row>
    <row r="617" ht="52.5" hidden="1" customHeight="1">
      <c r="A617" s="197" t="s">
        <v>399</v>
      </c>
      <c r="B617" s="195"/>
      <c r="C617" s="198"/>
      <c r="D617" s="199"/>
      <c r="E617" s="198"/>
      <c r="F617" s="195"/>
      <c r="G617" s="191"/>
      <c r="H617" s="192"/>
      <c r="I617" s="191"/>
      <c r="J617" s="191"/>
      <c r="K617" s="191"/>
      <c r="L617" s="192"/>
      <c r="M617" s="193"/>
    </row>
    <row r="618" ht="34.5" hidden="1" customHeight="1">
      <c r="A618" s="201" t="s">
        <v>387</v>
      </c>
      <c r="B618" s="195"/>
      <c r="C618" s="198"/>
      <c r="D618" s="199"/>
      <c r="E618" s="198"/>
      <c r="F618" s="195"/>
      <c r="G618" s="191"/>
      <c r="H618" s="192"/>
      <c r="I618" s="191"/>
      <c r="J618" s="191"/>
      <c r="K618" s="191"/>
      <c r="L618" s="192"/>
      <c r="M618" s="193"/>
    </row>
    <row r="619" ht="34.5" hidden="1" customHeight="1">
      <c r="A619" s="201" t="s">
        <v>388</v>
      </c>
      <c r="B619" s="195"/>
      <c r="C619" s="198"/>
      <c r="D619" s="199"/>
      <c r="E619" s="198"/>
      <c r="F619" s="195"/>
      <c r="G619" s="191"/>
      <c r="H619" s="192"/>
      <c r="I619" s="191"/>
      <c r="J619" s="191"/>
      <c r="K619" s="191"/>
      <c r="L619" s="192"/>
      <c r="M619" s="193"/>
    </row>
    <row r="620" ht="42.0" hidden="1" customHeight="1">
      <c r="A620" s="201" t="s">
        <v>389</v>
      </c>
      <c r="B620" s="195"/>
      <c r="C620" s="198"/>
      <c r="D620" s="199"/>
      <c r="E620" s="198"/>
      <c r="F620" s="195"/>
      <c r="G620" s="191"/>
      <c r="H620" s="192"/>
      <c r="I620" s="191"/>
      <c r="J620" s="191"/>
      <c r="K620" s="191"/>
      <c r="L620" s="192"/>
      <c r="M620" s="193"/>
    </row>
    <row r="621" ht="45.0" hidden="1" customHeight="1">
      <c r="A621" s="201" t="s">
        <v>390</v>
      </c>
      <c r="B621" s="195"/>
      <c r="C621" s="198"/>
      <c r="D621" s="199"/>
      <c r="E621" s="198"/>
      <c r="F621" s="195"/>
      <c r="G621" s="191"/>
      <c r="H621" s="192"/>
      <c r="I621" s="191"/>
      <c r="J621" s="191"/>
      <c r="K621" s="191"/>
      <c r="L621" s="192"/>
      <c r="M621" s="193"/>
    </row>
    <row r="622" ht="34.5" hidden="1" customHeight="1">
      <c r="A622" s="201" t="s">
        <v>391</v>
      </c>
      <c r="B622" s="195"/>
      <c r="C622" s="198"/>
      <c r="D622" s="199"/>
      <c r="E622" s="198"/>
      <c r="F622" s="195"/>
      <c r="G622" s="191"/>
      <c r="H622" s="192"/>
      <c r="I622" s="191"/>
      <c r="J622" s="191"/>
      <c r="K622" s="191"/>
      <c r="L622" s="192"/>
      <c r="M622" s="193"/>
    </row>
    <row r="623" ht="63.0" hidden="1" customHeight="1">
      <c r="A623" s="201" t="s">
        <v>392</v>
      </c>
      <c r="B623" s="195"/>
      <c r="C623" s="198"/>
      <c r="D623" s="199"/>
      <c r="E623" s="198"/>
      <c r="F623" s="195"/>
      <c r="G623" s="191"/>
      <c r="H623" s="192"/>
      <c r="I623" s="191"/>
      <c r="J623" s="191"/>
      <c r="K623" s="191"/>
      <c r="L623" s="192"/>
      <c r="M623" s="193"/>
    </row>
    <row r="624" ht="54.0" hidden="1" customHeight="1">
      <c r="A624" s="201" t="s">
        <v>393</v>
      </c>
      <c r="B624" s="195"/>
      <c r="C624" s="198"/>
      <c r="D624" s="199"/>
      <c r="E624" s="198"/>
      <c r="F624" s="195"/>
      <c r="G624" s="191"/>
      <c r="H624" s="192"/>
      <c r="I624" s="191"/>
      <c r="J624" s="191"/>
      <c r="K624" s="191"/>
      <c r="L624" s="192"/>
      <c r="M624" s="193"/>
    </row>
    <row r="625" ht="34.5" hidden="1" customHeight="1">
      <c r="A625" s="201" t="s">
        <v>394</v>
      </c>
      <c r="B625" s="195"/>
      <c r="C625" s="198"/>
      <c r="D625" s="199"/>
      <c r="E625" s="198"/>
      <c r="F625" s="195"/>
      <c r="G625" s="191"/>
      <c r="H625" s="192"/>
      <c r="I625" s="191"/>
      <c r="J625" s="191"/>
      <c r="K625" s="191"/>
      <c r="L625" s="192"/>
      <c r="M625" s="193"/>
    </row>
    <row r="626" ht="34.5" hidden="1" customHeight="1">
      <c r="A626" s="201" t="s">
        <v>388</v>
      </c>
      <c r="B626" s="195"/>
      <c r="C626" s="198"/>
      <c r="D626" s="199"/>
      <c r="E626" s="198"/>
      <c r="F626" s="195"/>
      <c r="G626" s="191"/>
      <c r="H626" s="192"/>
      <c r="I626" s="191"/>
      <c r="J626" s="191"/>
      <c r="K626" s="191"/>
      <c r="L626" s="192"/>
      <c r="M626" s="193"/>
    </row>
    <row r="627" ht="51.75" hidden="1" customHeight="1">
      <c r="A627" s="201" t="s">
        <v>395</v>
      </c>
      <c r="B627" s="195"/>
      <c r="C627" s="198"/>
      <c r="D627" s="199"/>
      <c r="E627" s="198"/>
      <c r="F627" s="195"/>
      <c r="G627" s="191"/>
      <c r="H627" s="192"/>
      <c r="I627" s="191"/>
      <c r="J627" s="191"/>
      <c r="K627" s="191"/>
      <c r="L627" s="192"/>
      <c r="M627" s="193"/>
    </row>
    <row r="628" ht="49.5" hidden="1" customHeight="1">
      <c r="A628" s="201" t="s">
        <v>396</v>
      </c>
      <c r="B628" s="195"/>
      <c r="C628" s="198"/>
      <c r="D628" s="199"/>
      <c r="E628" s="198"/>
      <c r="F628" s="195"/>
      <c r="G628" s="191"/>
      <c r="H628" s="192"/>
      <c r="I628" s="191"/>
      <c r="J628" s="191"/>
      <c r="K628" s="191"/>
      <c r="L628" s="192"/>
      <c r="M628" s="193"/>
    </row>
    <row r="629" ht="34.5" hidden="1" customHeight="1">
      <c r="A629" s="201" t="s">
        <v>391</v>
      </c>
      <c r="B629" s="195"/>
      <c r="C629" s="198"/>
      <c r="D629" s="199"/>
      <c r="E629" s="198"/>
      <c r="F629" s="195"/>
      <c r="G629" s="191"/>
      <c r="H629" s="192"/>
      <c r="I629" s="191"/>
      <c r="J629" s="191"/>
      <c r="K629" s="191"/>
      <c r="L629" s="192"/>
      <c r="M629" s="193"/>
    </row>
    <row r="630" ht="45.0" hidden="1" customHeight="1">
      <c r="A630" s="201" t="s">
        <v>397</v>
      </c>
      <c r="B630" s="195"/>
      <c r="C630" s="198"/>
      <c r="D630" s="199"/>
      <c r="E630" s="198"/>
      <c r="F630" s="195"/>
      <c r="G630" s="191"/>
      <c r="H630" s="192"/>
      <c r="I630" s="191"/>
      <c r="J630" s="191"/>
      <c r="K630" s="191"/>
      <c r="L630" s="192"/>
      <c r="M630" s="193"/>
    </row>
    <row r="631" ht="51.0" hidden="1" customHeight="1">
      <c r="A631" s="201" t="s">
        <v>398</v>
      </c>
      <c r="B631" s="195"/>
      <c r="C631" s="198"/>
      <c r="D631" s="199"/>
      <c r="E631" s="198"/>
      <c r="F631" s="195"/>
      <c r="G631" s="191"/>
      <c r="H631" s="192"/>
      <c r="I631" s="191"/>
      <c r="J631" s="191"/>
      <c r="K631" s="191"/>
      <c r="L631" s="192"/>
      <c r="M631" s="193"/>
    </row>
    <row r="632" ht="34.5" hidden="1" customHeight="1">
      <c r="A632" s="215"/>
      <c r="B632" s="195"/>
      <c r="C632" s="198"/>
      <c r="D632" s="199"/>
      <c r="E632" s="198"/>
      <c r="F632" s="195"/>
      <c r="G632" s="191"/>
      <c r="H632" s="192"/>
      <c r="I632" s="191"/>
      <c r="J632" s="191"/>
      <c r="K632" s="191"/>
      <c r="L632" s="192"/>
      <c r="M632" s="193"/>
    </row>
    <row r="633" ht="87.0" hidden="1" customHeight="1">
      <c r="A633" s="194" t="s">
        <v>400</v>
      </c>
      <c r="B633" s="195" t="s">
        <v>33</v>
      </c>
      <c r="C633" s="190"/>
      <c r="D633" s="190">
        <f>D634+D767</f>
        <v>0</v>
      </c>
      <c r="E633" s="190"/>
      <c r="F633" s="190">
        <f>F634+F767</f>
        <v>0</v>
      </c>
      <c r="G633" s="191"/>
      <c r="H633" s="192"/>
      <c r="I633" s="191"/>
      <c r="J633" s="191"/>
      <c r="K633" s="191"/>
      <c r="L633" s="192"/>
      <c r="M633" s="193"/>
    </row>
    <row r="634" ht="60.0" hidden="1" customHeight="1">
      <c r="A634" s="194" t="s">
        <v>401</v>
      </c>
      <c r="B634" s="195" t="s">
        <v>33</v>
      </c>
      <c r="C634" s="190"/>
      <c r="D634" s="190">
        <f>SUM(D639:D766)</f>
        <v>0</v>
      </c>
      <c r="E634" s="190"/>
      <c r="F634" s="190">
        <f>SUM(F639:F766)</f>
        <v>0</v>
      </c>
      <c r="G634" s="191"/>
      <c r="H634" s="192"/>
      <c r="I634" s="191"/>
      <c r="J634" s="191"/>
      <c r="K634" s="191"/>
      <c r="L634" s="192"/>
      <c r="M634" s="193"/>
    </row>
    <row r="635" ht="34.5" hidden="1" customHeight="1">
      <c r="A635" s="197" t="s">
        <v>154</v>
      </c>
      <c r="B635" s="195" t="s">
        <v>33</v>
      </c>
      <c r="C635" s="198"/>
      <c r="D635" s="199"/>
      <c r="E635" s="198"/>
      <c r="F635" s="195"/>
      <c r="G635" s="191"/>
      <c r="H635" s="192"/>
      <c r="I635" s="191"/>
      <c r="J635" s="191"/>
      <c r="K635" s="191"/>
      <c r="L635" s="192"/>
      <c r="M635" s="193"/>
    </row>
    <row r="636" ht="42.75" hidden="1" customHeight="1">
      <c r="A636" s="201" t="s">
        <v>402</v>
      </c>
      <c r="B636" s="195" t="s">
        <v>33</v>
      </c>
      <c r="C636" s="198"/>
      <c r="D636" s="199"/>
      <c r="E636" s="198"/>
      <c r="F636" s="195"/>
      <c r="G636" s="191"/>
      <c r="H636" s="192"/>
      <c r="I636" s="191"/>
      <c r="J636" s="191"/>
      <c r="K636" s="191"/>
      <c r="L636" s="192"/>
      <c r="M636" s="193"/>
    </row>
    <row r="637" ht="34.5" hidden="1" customHeight="1">
      <c r="A637" s="197" t="s">
        <v>157</v>
      </c>
      <c r="B637" s="195" t="s">
        <v>33</v>
      </c>
      <c r="C637" s="198"/>
      <c r="D637" s="199"/>
      <c r="E637" s="198"/>
      <c r="F637" s="195"/>
      <c r="G637" s="191"/>
      <c r="H637" s="192"/>
      <c r="I637" s="191"/>
      <c r="J637" s="191"/>
      <c r="K637" s="191"/>
      <c r="L637" s="192"/>
      <c r="M637" s="193"/>
    </row>
    <row r="638" ht="46.5" hidden="1" customHeight="1">
      <c r="A638" s="201" t="s">
        <v>403</v>
      </c>
      <c r="B638" s="195" t="s">
        <v>33</v>
      </c>
      <c r="C638" s="198"/>
      <c r="D638" s="199"/>
      <c r="E638" s="198"/>
      <c r="F638" s="195"/>
      <c r="G638" s="191"/>
      <c r="H638" s="192"/>
      <c r="I638" s="191"/>
      <c r="J638" s="191"/>
      <c r="K638" s="191"/>
      <c r="L638" s="192"/>
      <c r="M638" s="193"/>
    </row>
    <row r="639" ht="34.5" hidden="1" customHeight="1">
      <c r="A639" s="194" t="s">
        <v>159</v>
      </c>
      <c r="B639" s="195" t="s">
        <v>33</v>
      </c>
      <c r="C639" s="198"/>
      <c r="D639" s="199"/>
      <c r="E639" s="198"/>
      <c r="F639" s="195"/>
      <c r="G639" s="191"/>
      <c r="H639" s="192"/>
      <c r="I639" s="191"/>
      <c r="J639" s="191"/>
      <c r="K639" s="191"/>
      <c r="L639" s="192"/>
      <c r="M639" s="193"/>
    </row>
    <row r="640" ht="63.0" hidden="1" customHeight="1">
      <c r="A640" s="194" t="s">
        <v>404</v>
      </c>
      <c r="B640" s="195" t="s">
        <v>33</v>
      </c>
      <c r="C640" s="198"/>
      <c r="D640" s="199"/>
      <c r="E640" s="198"/>
      <c r="F640" s="195"/>
      <c r="G640" s="191"/>
      <c r="H640" s="192"/>
      <c r="I640" s="191"/>
      <c r="J640" s="191"/>
      <c r="K640" s="191"/>
      <c r="L640" s="192"/>
      <c r="M640" s="193"/>
    </row>
    <row r="641" ht="34.5" hidden="1" customHeight="1">
      <c r="A641" s="194" t="s">
        <v>405</v>
      </c>
      <c r="B641" s="195" t="s">
        <v>33</v>
      </c>
      <c r="C641" s="198"/>
      <c r="D641" s="199"/>
      <c r="E641" s="198"/>
      <c r="F641" s="195"/>
      <c r="G641" s="191"/>
      <c r="H641" s="192"/>
      <c r="I641" s="191"/>
      <c r="J641" s="191"/>
      <c r="K641" s="191"/>
      <c r="L641" s="192"/>
      <c r="M641" s="193"/>
    </row>
    <row r="642" ht="34.5" hidden="1" customHeight="1">
      <c r="A642" s="203" t="s">
        <v>406</v>
      </c>
      <c r="B642" s="195" t="s">
        <v>33</v>
      </c>
      <c r="C642" s="198"/>
      <c r="D642" s="199"/>
      <c r="E642" s="198"/>
      <c r="F642" s="195"/>
      <c r="G642" s="191"/>
      <c r="H642" s="192"/>
      <c r="I642" s="191"/>
      <c r="J642" s="191"/>
      <c r="K642" s="191"/>
      <c r="L642" s="192"/>
      <c r="M642" s="193"/>
    </row>
    <row r="643" ht="34.5" hidden="1" customHeight="1">
      <c r="A643" s="203" t="s">
        <v>304</v>
      </c>
      <c r="B643" s="195" t="s">
        <v>33</v>
      </c>
      <c r="C643" s="198"/>
      <c r="D643" s="199"/>
      <c r="E643" s="198"/>
      <c r="F643" s="195"/>
      <c r="G643" s="191"/>
      <c r="H643" s="192"/>
      <c r="I643" s="191"/>
      <c r="J643" s="191"/>
      <c r="K643" s="191"/>
      <c r="L643" s="192"/>
      <c r="M643" s="193"/>
    </row>
    <row r="644" ht="34.5" hidden="1" customHeight="1">
      <c r="A644" s="210" t="s">
        <v>407</v>
      </c>
      <c r="B644" s="195" t="s">
        <v>33</v>
      </c>
      <c r="C644" s="198"/>
      <c r="D644" s="199"/>
      <c r="E644" s="198"/>
      <c r="F644" s="195"/>
      <c r="G644" s="191"/>
      <c r="H644" s="192"/>
      <c r="I644" s="191"/>
      <c r="J644" s="191"/>
      <c r="K644" s="191"/>
      <c r="L644" s="192"/>
      <c r="M644" s="193"/>
    </row>
    <row r="645" ht="34.5" hidden="1" customHeight="1">
      <c r="A645" s="210" t="s">
        <v>408</v>
      </c>
      <c r="B645" s="195" t="s">
        <v>33</v>
      </c>
      <c r="C645" s="198"/>
      <c r="D645" s="199"/>
      <c r="E645" s="198"/>
      <c r="F645" s="195"/>
      <c r="G645" s="191"/>
      <c r="H645" s="192"/>
      <c r="I645" s="191"/>
      <c r="J645" s="191"/>
      <c r="K645" s="191"/>
      <c r="L645" s="192"/>
      <c r="M645" s="193"/>
    </row>
    <row r="646" ht="34.5" hidden="1" customHeight="1">
      <c r="A646" s="203" t="s">
        <v>307</v>
      </c>
      <c r="B646" s="195" t="s">
        <v>33</v>
      </c>
      <c r="C646" s="198"/>
      <c r="D646" s="199"/>
      <c r="E646" s="198"/>
      <c r="F646" s="195"/>
      <c r="G646" s="191"/>
      <c r="H646" s="192"/>
      <c r="I646" s="191"/>
      <c r="J646" s="191"/>
      <c r="K646" s="191"/>
      <c r="L646" s="192"/>
      <c r="M646" s="193"/>
    </row>
    <row r="647" ht="34.5" hidden="1" customHeight="1">
      <c r="A647" s="203" t="s">
        <v>409</v>
      </c>
      <c r="B647" s="195" t="s">
        <v>33</v>
      </c>
      <c r="C647" s="198"/>
      <c r="D647" s="199"/>
      <c r="E647" s="198"/>
      <c r="F647" s="195"/>
      <c r="G647" s="191"/>
      <c r="H647" s="192"/>
      <c r="I647" s="191"/>
      <c r="J647" s="191"/>
      <c r="K647" s="191"/>
      <c r="L647" s="192"/>
      <c r="M647" s="193"/>
    </row>
    <row r="648" ht="34.5" hidden="1" customHeight="1">
      <c r="A648" s="203" t="s">
        <v>309</v>
      </c>
      <c r="B648" s="195" t="s">
        <v>33</v>
      </c>
      <c r="C648" s="198"/>
      <c r="D648" s="199"/>
      <c r="E648" s="198"/>
      <c r="F648" s="195"/>
      <c r="G648" s="191"/>
      <c r="H648" s="192"/>
      <c r="I648" s="191"/>
      <c r="J648" s="191"/>
      <c r="K648" s="191"/>
      <c r="L648" s="192"/>
      <c r="M648" s="193"/>
    </row>
    <row r="649" ht="34.5" hidden="1" customHeight="1">
      <c r="A649" s="203" t="s">
        <v>311</v>
      </c>
      <c r="B649" s="195" t="s">
        <v>33</v>
      </c>
      <c r="C649" s="198"/>
      <c r="D649" s="199"/>
      <c r="E649" s="198"/>
      <c r="F649" s="195"/>
      <c r="G649" s="191"/>
      <c r="H649" s="192"/>
      <c r="I649" s="191"/>
      <c r="J649" s="191"/>
      <c r="K649" s="191"/>
      <c r="L649" s="192"/>
      <c r="M649" s="193"/>
    </row>
    <row r="650" ht="34.5" hidden="1" customHeight="1">
      <c r="A650" s="203" t="s">
        <v>410</v>
      </c>
      <c r="B650" s="195" t="s">
        <v>33</v>
      </c>
      <c r="C650" s="198"/>
      <c r="D650" s="199"/>
      <c r="E650" s="198"/>
      <c r="F650" s="195"/>
      <c r="G650" s="191"/>
      <c r="H650" s="192"/>
      <c r="I650" s="191"/>
      <c r="J650" s="191"/>
      <c r="K650" s="191"/>
      <c r="L650" s="192"/>
      <c r="M650" s="193"/>
    </row>
    <row r="651" ht="34.5" hidden="1" customHeight="1">
      <c r="A651" s="203" t="s">
        <v>411</v>
      </c>
      <c r="B651" s="195" t="s">
        <v>33</v>
      </c>
      <c r="C651" s="198"/>
      <c r="D651" s="199"/>
      <c r="E651" s="198"/>
      <c r="F651" s="195"/>
      <c r="G651" s="191"/>
      <c r="H651" s="192"/>
      <c r="I651" s="191"/>
      <c r="J651" s="191"/>
      <c r="K651" s="191"/>
      <c r="L651" s="192"/>
      <c r="M651" s="193"/>
    </row>
    <row r="652" ht="34.5" hidden="1" customHeight="1">
      <c r="A652" s="203" t="s">
        <v>313</v>
      </c>
      <c r="B652" s="195" t="s">
        <v>33</v>
      </c>
      <c r="C652" s="198"/>
      <c r="D652" s="199"/>
      <c r="E652" s="198"/>
      <c r="F652" s="195"/>
      <c r="G652" s="191"/>
      <c r="H652" s="192"/>
      <c r="I652" s="191"/>
      <c r="J652" s="191"/>
      <c r="K652" s="191"/>
      <c r="L652" s="192"/>
      <c r="M652" s="193"/>
    </row>
    <row r="653" ht="34.5" hidden="1" customHeight="1">
      <c r="A653" s="203" t="s">
        <v>314</v>
      </c>
      <c r="B653" s="195" t="s">
        <v>33</v>
      </c>
      <c r="C653" s="198"/>
      <c r="D653" s="199"/>
      <c r="E653" s="198"/>
      <c r="F653" s="195"/>
      <c r="G653" s="191"/>
      <c r="H653" s="192"/>
      <c r="I653" s="191"/>
      <c r="J653" s="191"/>
      <c r="K653" s="191"/>
      <c r="L653" s="192"/>
      <c r="M653" s="193"/>
    </row>
    <row r="654" ht="34.5" hidden="1" customHeight="1">
      <c r="A654" s="203" t="s">
        <v>412</v>
      </c>
      <c r="B654" s="195" t="s">
        <v>33</v>
      </c>
      <c r="C654" s="198"/>
      <c r="D654" s="199"/>
      <c r="E654" s="198"/>
      <c r="F654" s="195"/>
      <c r="G654" s="191"/>
      <c r="H654" s="192"/>
      <c r="I654" s="191"/>
      <c r="J654" s="191"/>
      <c r="K654" s="191"/>
      <c r="L654" s="192"/>
      <c r="M654" s="193"/>
    </row>
    <row r="655" ht="34.5" hidden="1" customHeight="1">
      <c r="A655" s="203" t="s">
        <v>413</v>
      </c>
      <c r="B655" s="195" t="s">
        <v>33</v>
      </c>
      <c r="C655" s="198"/>
      <c r="D655" s="199"/>
      <c r="E655" s="198"/>
      <c r="F655" s="195"/>
      <c r="G655" s="191"/>
      <c r="H655" s="192"/>
      <c r="I655" s="191"/>
      <c r="J655" s="191"/>
      <c r="K655" s="191"/>
      <c r="L655" s="192"/>
      <c r="M655" s="193"/>
    </row>
    <row r="656" ht="34.5" hidden="1" customHeight="1">
      <c r="A656" s="210" t="s">
        <v>414</v>
      </c>
      <c r="B656" s="195" t="s">
        <v>33</v>
      </c>
      <c r="C656" s="198"/>
      <c r="D656" s="199"/>
      <c r="E656" s="198"/>
      <c r="F656" s="195"/>
      <c r="G656" s="191"/>
      <c r="H656" s="192"/>
      <c r="I656" s="191"/>
      <c r="J656" s="191"/>
      <c r="K656" s="191"/>
      <c r="L656" s="192"/>
      <c r="M656" s="193"/>
    </row>
    <row r="657" ht="34.5" hidden="1" customHeight="1">
      <c r="A657" s="203" t="s">
        <v>415</v>
      </c>
      <c r="B657" s="195" t="s">
        <v>33</v>
      </c>
      <c r="C657" s="198"/>
      <c r="D657" s="199"/>
      <c r="E657" s="198"/>
      <c r="F657" s="195"/>
      <c r="G657" s="191"/>
      <c r="H657" s="192"/>
      <c r="I657" s="191"/>
      <c r="J657" s="191"/>
      <c r="K657" s="191"/>
      <c r="L657" s="192"/>
      <c r="M657" s="193"/>
    </row>
    <row r="658" ht="34.5" hidden="1" customHeight="1">
      <c r="A658" s="223"/>
      <c r="B658" s="195" t="s">
        <v>33</v>
      </c>
      <c r="C658" s="198"/>
      <c r="D658" s="199"/>
      <c r="E658" s="198"/>
      <c r="F658" s="195"/>
      <c r="G658" s="191"/>
      <c r="H658" s="192"/>
      <c r="I658" s="191"/>
      <c r="J658" s="191"/>
      <c r="K658" s="191"/>
      <c r="L658" s="192"/>
      <c r="M658" s="193"/>
    </row>
    <row r="659" ht="34.5" hidden="1" customHeight="1">
      <c r="A659" s="223"/>
      <c r="B659" s="195" t="s">
        <v>33</v>
      </c>
      <c r="C659" s="198"/>
      <c r="D659" s="199"/>
      <c r="E659" s="198"/>
      <c r="F659" s="195"/>
      <c r="G659" s="191"/>
      <c r="H659" s="192"/>
      <c r="I659" s="191"/>
      <c r="J659" s="191"/>
      <c r="K659" s="191"/>
      <c r="L659" s="192"/>
      <c r="M659" s="193"/>
    </row>
    <row r="660" ht="34.5" hidden="1" customHeight="1">
      <c r="A660" s="223"/>
      <c r="B660" s="195" t="s">
        <v>33</v>
      </c>
      <c r="C660" s="198"/>
      <c r="D660" s="199"/>
      <c r="E660" s="198"/>
      <c r="F660" s="195"/>
      <c r="G660" s="191"/>
      <c r="H660" s="192"/>
      <c r="I660" s="191"/>
      <c r="J660" s="191"/>
      <c r="K660" s="191"/>
      <c r="L660" s="192"/>
      <c r="M660" s="193"/>
    </row>
    <row r="661" ht="34.5" hidden="1" customHeight="1">
      <c r="A661" s="194" t="s">
        <v>416</v>
      </c>
      <c r="B661" s="195" t="s">
        <v>33</v>
      </c>
      <c r="C661" s="198"/>
      <c r="D661" s="199"/>
      <c r="E661" s="198"/>
      <c r="F661" s="195"/>
      <c r="G661" s="191"/>
      <c r="H661" s="192"/>
      <c r="I661" s="191"/>
      <c r="J661" s="191"/>
      <c r="K661" s="191"/>
      <c r="L661" s="192"/>
      <c r="M661" s="193"/>
    </row>
    <row r="662" ht="34.5" hidden="1" customHeight="1">
      <c r="A662" s="194" t="s">
        <v>405</v>
      </c>
      <c r="B662" s="195" t="s">
        <v>33</v>
      </c>
      <c r="C662" s="198"/>
      <c r="D662" s="199"/>
      <c r="E662" s="198"/>
      <c r="F662" s="195"/>
      <c r="G662" s="191"/>
      <c r="H662" s="192"/>
      <c r="I662" s="191"/>
      <c r="J662" s="191"/>
      <c r="K662" s="191"/>
      <c r="L662" s="192"/>
      <c r="M662" s="193"/>
    </row>
    <row r="663" ht="34.5" hidden="1" customHeight="1">
      <c r="A663" s="203" t="s">
        <v>269</v>
      </c>
      <c r="B663" s="195" t="s">
        <v>33</v>
      </c>
      <c r="C663" s="198"/>
      <c r="D663" s="199"/>
      <c r="E663" s="198"/>
      <c r="F663" s="195"/>
      <c r="G663" s="191"/>
      <c r="H663" s="192"/>
      <c r="I663" s="191"/>
      <c r="J663" s="191"/>
      <c r="K663" s="191"/>
      <c r="L663" s="192"/>
      <c r="M663" s="193"/>
    </row>
    <row r="664" ht="34.5" hidden="1" customHeight="1">
      <c r="A664" s="203" t="s">
        <v>270</v>
      </c>
      <c r="B664" s="195" t="s">
        <v>33</v>
      </c>
      <c r="C664" s="198"/>
      <c r="D664" s="199"/>
      <c r="E664" s="198"/>
      <c r="F664" s="195"/>
      <c r="G664" s="191"/>
      <c r="H664" s="192"/>
      <c r="I664" s="191"/>
      <c r="J664" s="191"/>
      <c r="K664" s="191"/>
      <c r="L664" s="192"/>
      <c r="M664" s="193"/>
    </row>
    <row r="665" ht="34.5" hidden="1" customHeight="1">
      <c r="A665" s="203" t="s">
        <v>271</v>
      </c>
      <c r="B665" s="195" t="s">
        <v>33</v>
      </c>
      <c r="C665" s="198"/>
      <c r="D665" s="199"/>
      <c r="E665" s="198"/>
      <c r="F665" s="195"/>
      <c r="G665" s="191"/>
      <c r="H665" s="192"/>
      <c r="I665" s="191"/>
      <c r="J665" s="191"/>
      <c r="K665" s="191"/>
      <c r="L665" s="192"/>
      <c r="M665" s="193"/>
    </row>
    <row r="666" ht="34.5" hidden="1" customHeight="1">
      <c r="A666" s="203" t="s">
        <v>272</v>
      </c>
      <c r="B666" s="195" t="s">
        <v>33</v>
      </c>
      <c r="C666" s="198"/>
      <c r="D666" s="199"/>
      <c r="E666" s="198"/>
      <c r="F666" s="195"/>
      <c r="G666" s="191"/>
      <c r="H666" s="192"/>
      <c r="I666" s="191"/>
      <c r="J666" s="191"/>
      <c r="K666" s="191"/>
      <c r="L666" s="192"/>
      <c r="M666" s="193"/>
    </row>
    <row r="667" ht="34.5" hidden="1" customHeight="1">
      <c r="A667" s="203" t="s">
        <v>273</v>
      </c>
      <c r="B667" s="195" t="s">
        <v>33</v>
      </c>
      <c r="C667" s="198"/>
      <c r="D667" s="199"/>
      <c r="E667" s="198"/>
      <c r="F667" s="195"/>
      <c r="G667" s="191"/>
      <c r="H667" s="192"/>
      <c r="I667" s="191"/>
      <c r="J667" s="191"/>
      <c r="K667" s="191"/>
      <c r="L667" s="192"/>
      <c r="M667" s="193"/>
    </row>
    <row r="668" ht="34.5" hidden="1" customHeight="1">
      <c r="A668" s="203" t="s">
        <v>274</v>
      </c>
      <c r="B668" s="195" t="s">
        <v>33</v>
      </c>
      <c r="C668" s="198"/>
      <c r="D668" s="199"/>
      <c r="E668" s="198"/>
      <c r="F668" s="195"/>
      <c r="G668" s="191"/>
      <c r="H668" s="192"/>
      <c r="I668" s="191"/>
      <c r="J668" s="191"/>
      <c r="K668" s="191"/>
      <c r="L668" s="192"/>
      <c r="M668" s="193"/>
    </row>
    <row r="669" ht="34.5" hidden="1" customHeight="1">
      <c r="A669" s="203" t="s">
        <v>299</v>
      </c>
      <c r="B669" s="195" t="s">
        <v>33</v>
      </c>
      <c r="C669" s="198"/>
      <c r="D669" s="199"/>
      <c r="E669" s="198"/>
      <c r="F669" s="195"/>
      <c r="G669" s="191"/>
      <c r="H669" s="192"/>
      <c r="I669" s="191"/>
      <c r="J669" s="191"/>
      <c r="K669" s="191"/>
      <c r="L669" s="192"/>
      <c r="M669" s="193"/>
    </row>
    <row r="670" ht="34.5" hidden="1" customHeight="1">
      <c r="A670" s="203" t="s">
        <v>417</v>
      </c>
      <c r="B670" s="195" t="s">
        <v>33</v>
      </c>
      <c r="C670" s="198"/>
      <c r="D670" s="199"/>
      <c r="E670" s="198"/>
      <c r="F670" s="195"/>
      <c r="G670" s="191"/>
      <c r="H670" s="192"/>
      <c r="I670" s="191"/>
      <c r="J670" s="191"/>
      <c r="K670" s="191"/>
      <c r="L670" s="192"/>
      <c r="M670" s="193"/>
    </row>
    <row r="671" ht="34.5" hidden="1" customHeight="1">
      <c r="A671" s="203" t="s">
        <v>418</v>
      </c>
      <c r="B671" s="195" t="s">
        <v>33</v>
      </c>
      <c r="C671" s="198"/>
      <c r="D671" s="199"/>
      <c r="E671" s="198"/>
      <c r="F671" s="195"/>
      <c r="G671" s="191"/>
      <c r="H671" s="192"/>
      <c r="I671" s="191"/>
      <c r="J671" s="191"/>
      <c r="K671" s="191"/>
      <c r="L671" s="192"/>
      <c r="M671" s="193"/>
    </row>
    <row r="672" ht="34.5" hidden="1" customHeight="1">
      <c r="A672" s="203" t="s">
        <v>419</v>
      </c>
      <c r="B672" s="195"/>
      <c r="C672" s="198"/>
      <c r="D672" s="199"/>
      <c r="E672" s="198"/>
      <c r="F672" s="195"/>
      <c r="G672" s="191"/>
      <c r="H672" s="192"/>
      <c r="I672" s="191"/>
      <c r="J672" s="191"/>
      <c r="K672" s="191"/>
      <c r="L672" s="192"/>
      <c r="M672" s="193"/>
    </row>
    <row r="673" ht="34.5" hidden="1" customHeight="1">
      <c r="A673" s="203" t="s">
        <v>420</v>
      </c>
      <c r="B673" s="195"/>
      <c r="C673" s="198"/>
      <c r="D673" s="199"/>
      <c r="E673" s="198"/>
      <c r="F673" s="195"/>
      <c r="G673" s="191"/>
      <c r="H673" s="192"/>
      <c r="I673" s="191"/>
      <c r="J673" s="191"/>
      <c r="K673" s="191"/>
      <c r="L673" s="192"/>
      <c r="M673" s="193"/>
    </row>
    <row r="674" ht="48.0" hidden="1" customHeight="1">
      <c r="A674" s="203" t="s">
        <v>421</v>
      </c>
      <c r="B674" s="195"/>
      <c r="C674" s="198"/>
      <c r="D674" s="199"/>
      <c r="E674" s="198"/>
      <c r="F674" s="195"/>
      <c r="G674" s="191"/>
      <c r="H674" s="192"/>
      <c r="I674" s="191"/>
      <c r="J674" s="191"/>
      <c r="K674" s="191"/>
      <c r="L674" s="192"/>
      <c r="M674" s="193"/>
    </row>
    <row r="675" ht="34.5" hidden="1" customHeight="1">
      <c r="A675" s="223"/>
      <c r="B675" s="195"/>
      <c r="C675" s="198"/>
      <c r="D675" s="199"/>
      <c r="E675" s="198"/>
      <c r="F675" s="195"/>
      <c r="G675" s="191"/>
      <c r="H675" s="192"/>
      <c r="I675" s="191"/>
      <c r="J675" s="191"/>
      <c r="K675" s="191"/>
      <c r="L675" s="192"/>
      <c r="M675" s="193"/>
    </row>
    <row r="676" ht="60.0" hidden="1" customHeight="1">
      <c r="A676" s="194" t="s">
        <v>422</v>
      </c>
      <c r="B676" s="195"/>
      <c r="C676" s="198"/>
      <c r="D676" s="199"/>
      <c r="E676" s="198"/>
      <c r="F676" s="195"/>
      <c r="G676" s="191"/>
      <c r="H676" s="192"/>
      <c r="I676" s="191"/>
      <c r="J676" s="191"/>
      <c r="K676" s="191"/>
      <c r="L676" s="192"/>
      <c r="M676" s="193"/>
    </row>
    <row r="677" ht="34.5" hidden="1" customHeight="1">
      <c r="A677" s="194" t="s">
        <v>405</v>
      </c>
      <c r="B677" s="195"/>
      <c r="C677" s="198"/>
      <c r="D677" s="199"/>
      <c r="E677" s="198"/>
      <c r="F677" s="195"/>
      <c r="G677" s="191"/>
      <c r="H677" s="192"/>
      <c r="I677" s="191"/>
      <c r="J677" s="191"/>
      <c r="K677" s="191"/>
      <c r="L677" s="192"/>
      <c r="M677" s="193"/>
    </row>
    <row r="678" ht="34.5" hidden="1" customHeight="1">
      <c r="A678" s="203" t="s">
        <v>423</v>
      </c>
      <c r="B678" s="195"/>
      <c r="C678" s="198"/>
      <c r="D678" s="199"/>
      <c r="E678" s="198"/>
      <c r="F678" s="195"/>
      <c r="G678" s="191"/>
      <c r="H678" s="192"/>
      <c r="I678" s="191"/>
      <c r="J678" s="191"/>
      <c r="K678" s="191"/>
      <c r="L678" s="192"/>
      <c r="M678" s="193"/>
    </row>
    <row r="679" ht="34.5" hidden="1" customHeight="1">
      <c r="A679" s="203" t="s">
        <v>424</v>
      </c>
      <c r="B679" s="195"/>
      <c r="C679" s="198"/>
      <c r="D679" s="199"/>
      <c r="E679" s="198"/>
      <c r="F679" s="195"/>
      <c r="G679" s="191"/>
      <c r="H679" s="192"/>
      <c r="I679" s="191"/>
      <c r="J679" s="191"/>
      <c r="K679" s="191"/>
      <c r="L679" s="192"/>
      <c r="M679" s="193"/>
    </row>
    <row r="680" ht="34.5" hidden="1" customHeight="1">
      <c r="A680" s="203" t="s">
        <v>425</v>
      </c>
      <c r="B680" s="195"/>
      <c r="C680" s="198"/>
      <c r="D680" s="199"/>
      <c r="E680" s="198"/>
      <c r="F680" s="195"/>
      <c r="G680" s="191"/>
      <c r="H680" s="192"/>
      <c r="I680" s="191"/>
      <c r="J680" s="191"/>
      <c r="K680" s="191"/>
      <c r="L680" s="192"/>
      <c r="M680" s="193"/>
    </row>
    <row r="681" ht="34.5" hidden="1" customHeight="1">
      <c r="A681" s="203" t="s">
        <v>426</v>
      </c>
      <c r="B681" s="195"/>
      <c r="C681" s="198"/>
      <c r="D681" s="199"/>
      <c r="E681" s="198"/>
      <c r="F681" s="195"/>
      <c r="G681" s="191"/>
      <c r="H681" s="192"/>
      <c r="I681" s="191"/>
      <c r="J681" s="191"/>
      <c r="K681" s="191"/>
      <c r="L681" s="192"/>
      <c r="M681" s="193"/>
    </row>
    <row r="682" ht="34.5" hidden="1" customHeight="1">
      <c r="A682" s="203" t="s">
        <v>427</v>
      </c>
      <c r="B682" s="195"/>
      <c r="C682" s="198"/>
      <c r="D682" s="199"/>
      <c r="E682" s="198"/>
      <c r="F682" s="195"/>
      <c r="G682" s="191"/>
      <c r="H682" s="192"/>
      <c r="I682" s="191"/>
      <c r="J682" s="191"/>
      <c r="K682" s="191"/>
      <c r="L682" s="192"/>
      <c r="M682" s="193"/>
    </row>
    <row r="683" ht="34.5" hidden="1" customHeight="1">
      <c r="A683" s="203" t="s">
        <v>428</v>
      </c>
      <c r="B683" s="195"/>
      <c r="C683" s="198"/>
      <c r="D683" s="199"/>
      <c r="E683" s="198"/>
      <c r="F683" s="195"/>
      <c r="G683" s="191"/>
      <c r="H683" s="192"/>
      <c r="I683" s="191"/>
      <c r="J683" s="191"/>
      <c r="K683" s="191"/>
      <c r="L683" s="192"/>
      <c r="M683" s="193"/>
    </row>
    <row r="684" ht="34.5" hidden="1" customHeight="1">
      <c r="A684" s="203" t="s">
        <v>429</v>
      </c>
      <c r="B684" s="195"/>
      <c r="C684" s="198"/>
      <c r="D684" s="199"/>
      <c r="E684" s="198"/>
      <c r="F684" s="195"/>
      <c r="G684" s="191"/>
      <c r="H684" s="192"/>
      <c r="I684" s="191"/>
      <c r="J684" s="191"/>
      <c r="K684" s="191"/>
      <c r="L684" s="192"/>
      <c r="M684" s="193"/>
    </row>
    <row r="685" ht="34.5" hidden="1" customHeight="1">
      <c r="A685" s="203" t="s">
        <v>430</v>
      </c>
      <c r="B685" s="195"/>
      <c r="C685" s="198"/>
      <c r="D685" s="199"/>
      <c r="E685" s="198"/>
      <c r="F685" s="195"/>
      <c r="G685" s="191"/>
      <c r="H685" s="192"/>
      <c r="I685" s="191"/>
      <c r="J685" s="191"/>
      <c r="K685" s="191"/>
      <c r="L685" s="192"/>
      <c r="M685" s="193"/>
    </row>
    <row r="686" ht="34.5" hidden="1" customHeight="1">
      <c r="A686" s="203" t="s">
        <v>431</v>
      </c>
      <c r="B686" s="195"/>
      <c r="C686" s="198"/>
      <c r="D686" s="199"/>
      <c r="E686" s="198"/>
      <c r="F686" s="195"/>
      <c r="G686" s="191"/>
      <c r="H686" s="192"/>
      <c r="I686" s="191"/>
      <c r="J686" s="191"/>
      <c r="K686" s="191"/>
      <c r="L686" s="192"/>
      <c r="M686" s="193"/>
    </row>
    <row r="687" ht="34.5" hidden="1" customHeight="1">
      <c r="A687" s="203" t="s">
        <v>432</v>
      </c>
      <c r="B687" s="195"/>
      <c r="C687" s="198"/>
      <c r="D687" s="199"/>
      <c r="E687" s="198"/>
      <c r="F687" s="195"/>
      <c r="G687" s="191"/>
      <c r="H687" s="192"/>
      <c r="I687" s="191"/>
      <c r="J687" s="191"/>
      <c r="K687" s="191"/>
      <c r="L687" s="192"/>
      <c r="M687" s="193"/>
    </row>
    <row r="688" ht="34.5" hidden="1" customHeight="1">
      <c r="A688" s="203" t="s">
        <v>433</v>
      </c>
      <c r="B688" s="195"/>
      <c r="C688" s="198"/>
      <c r="D688" s="199"/>
      <c r="E688" s="198"/>
      <c r="F688" s="195"/>
      <c r="G688" s="191"/>
      <c r="H688" s="192"/>
      <c r="I688" s="191"/>
      <c r="J688" s="191"/>
      <c r="K688" s="191"/>
      <c r="L688" s="192"/>
      <c r="M688" s="193"/>
    </row>
    <row r="689" ht="34.5" hidden="1" customHeight="1">
      <c r="A689" s="203" t="s">
        <v>434</v>
      </c>
      <c r="B689" s="195"/>
      <c r="C689" s="198"/>
      <c r="D689" s="199"/>
      <c r="E689" s="198"/>
      <c r="F689" s="195"/>
      <c r="G689" s="191"/>
      <c r="H689" s="192"/>
      <c r="I689" s="191"/>
      <c r="J689" s="191"/>
      <c r="K689" s="191"/>
      <c r="L689" s="192"/>
      <c r="M689" s="193"/>
    </row>
    <row r="690" ht="34.5" hidden="1" customHeight="1">
      <c r="A690" s="203" t="s">
        <v>435</v>
      </c>
      <c r="B690" s="195"/>
      <c r="C690" s="198"/>
      <c r="D690" s="199"/>
      <c r="E690" s="198"/>
      <c r="F690" s="195"/>
      <c r="G690" s="191"/>
      <c r="H690" s="192"/>
      <c r="I690" s="191"/>
      <c r="J690" s="191"/>
      <c r="K690" s="191"/>
      <c r="L690" s="192"/>
      <c r="M690" s="193"/>
    </row>
    <row r="691" ht="34.5" hidden="1" customHeight="1">
      <c r="A691" s="203" t="s">
        <v>436</v>
      </c>
      <c r="B691" s="195"/>
      <c r="C691" s="198"/>
      <c r="D691" s="199"/>
      <c r="E691" s="198"/>
      <c r="F691" s="195"/>
      <c r="G691" s="191"/>
      <c r="H691" s="192"/>
      <c r="I691" s="191"/>
      <c r="J691" s="191"/>
      <c r="K691" s="191"/>
      <c r="L691" s="192"/>
      <c r="M691" s="193"/>
    </row>
    <row r="692" ht="34.5" hidden="1" customHeight="1">
      <c r="A692" s="203" t="s">
        <v>437</v>
      </c>
      <c r="B692" s="195"/>
      <c r="C692" s="198"/>
      <c r="D692" s="199"/>
      <c r="E692" s="198"/>
      <c r="F692" s="195"/>
      <c r="G692" s="191"/>
      <c r="H692" s="192"/>
      <c r="I692" s="191"/>
      <c r="J692" s="191"/>
      <c r="K692" s="191"/>
      <c r="L692" s="192"/>
      <c r="M692" s="193"/>
    </row>
    <row r="693" ht="34.5" hidden="1" customHeight="1">
      <c r="A693" s="203" t="s">
        <v>438</v>
      </c>
      <c r="B693" s="195"/>
      <c r="C693" s="198"/>
      <c r="D693" s="199"/>
      <c r="E693" s="198"/>
      <c r="F693" s="195"/>
      <c r="G693" s="191"/>
      <c r="H693" s="192"/>
      <c r="I693" s="191"/>
      <c r="J693" s="191"/>
      <c r="K693" s="191"/>
      <c r="L693" s="192"/>
      <c r="M693" s="193"/>
    </row>
    <row r="694" ht="34.5" hidden="1" customHeight="1">
      <c r="A694" s="203" t="s">
        <v>439</v>
      </c>
      <c r="B694" s="195"/>
      <c r="C694" s="198"/>
      <c r="D694" s="199"/>
      <c r="E694" s="198"/>
      <c r="F694" s="195"/>
      <c r="G694" s="191"/>
      <c r="H694" s="192"/>
      <c r="I694" s="191"/>
      <c r="J694" s="191"/>
      <c r="K694" s="191"/>
      <c r="L694" s="192"/>
      <c r="M694" s="193"/>
    </row>
    <row r="695" ht="34.5" hidden="1" customHeight="1">
      <c r="A695" s="203" t="s">
        <v>440</v>
      </c>
      <c r="B695" s="195"/>
      <c r="C695" s="198"/>
      <c r="D695" s="199"/>
      <c r="E695" s="198"/>
      <c r="F695" s="195"/>
      <c r="G695" s="191"/>
      <c r="H695" s="192"/>
      <c r="I695" s="191"/>
      <c r="J695" s="191"/>
      <c r="K695" s="191"/>
      <c r="L695" s="192"/>
      <c r="M695" s="193"/>
    </row>
    <row r="696" ht="34.5" hidden="1" customHeight="1">
      <c r="A696" s="203" t="s">
        <v>441</v>
      </c>
      <c r="B696" s="195"/>
      <c r="C696" s="198"/>
      <c r="D696" s="199"/>
      <c r="E696" s="198"/>
      <c r="F696" s="195"/>
      <c r="G696" s="191"/>
      <c r="H696" s="192"/>
      <c r="I696" s="191"/>
      <c r="J696" s="191"/>
      <c r="K696" s="191"/>
      <c r="L696" s="192"/>
      <c r="M696" s="193"/>
    </row>
    <row r="697" ht="34.5" hidden="1" customHeight="1">
      <c r="A697" s="203" t="s">
        <v>442</v>
      </c>
      <c r="B697" s="195"/>
      <c r="C697" s="198"/>
      <c r="D697" s="199"/>
      <c r="E697" s="198"/>
      <c r="F697" s="195"/>
      <c r="G697" s="191"/>
      <c r="H697" s="192"/>
      <c r="I697" s="191"/>
      <c r="J697" s="191"/>
      <c r="K697" s="191"/>
      <c r="L697" s="192"/>
      <c r="M697" s="193"/>
    </row>
    <row r="698" ht="34.5" hidden="1" customHeight="1">
      <c r="A698" s="203" t="s">
        <v>443</v>
      </c>
      <c r="B698" s="195"/>
      <c r="C698" s="198"/>
      <c r="D698" s="199"/>
      <c r="E698" s="198"/>
      <c r="F698" s="195"/>
      <c r="G698" s="191"/>
      <c r="H698" s="192"/>
      <c r="I698" s="191"/>
      <c r="J698" s="191"/>
      <c r="K698" s="191"/>
      <c r="L698" s="192"/>
      <c r="M698" s="193"/>
    </row>
    <row r="699" ht="34.5" hidden="1" customHeight="1">
      <c r="A699" s="203" t="s">
        <v>444</v>
      </c>
      <c r="B699" s="195"/>
      <c r="C699" s="198"/>
      <c r="D699" s="199"/>
      <c r="E699" s="198"/>
      <c r="F699" s="195"/>
      <c r="G699" s="191"/>
      <c r="H699" s="192"/>
      <c r="I699" s="191"/>
      <c r="J699" s="191"/>
      <c r="K699" s="191"/>
      <c r="L699" s="192"/>
      <c r="M699" s="193"/>
    </row>
    <row r="700" ht="34.5" hidden="1" customHeight="1">
      <c r="A700" s="203" t="s">
        <v>445</v>
      </c>
      <c r="B700" s="195"/>
      <c r="C700" s="198"/>
      <c r="D700" s="199"/>
      <c r="E700" s="198"/>
      <c r="F700" s="195"/>
      <c r="G700" s="191"/>
      <c r="H700" s="192"/>
      <c r="I700" s="191"/>
      <c r="J700" s="191"/>
      <c r="K700" s="191"/>
      <c r="L700" s="192"/>
      <c r="M700" s="193"/>
    </row>
    <row r="701" ht="34.5" hidden="1" customHeight="1">
      <c r="A701" s="203" t="s">
        <v>446</v>
      </c>
      <c r="B701" s="195"/>
      <c r="C701" s="198"/>
      <c r="D701" s="199"/>
      <c r="E701" s="198"/>
      <c r="F701" s="195"/>
      <c r="G701" s="191"/>
      <c r="H701" s="192"/>
      <c r="I701" s="191"/>
      <c r="J701" s="191"/>
      <c r="K701" s="191"/>
      <c r="L701" s="192"/>
      <c r="M701" s="193"/>
    </row>
    <row r="702" ht="34.5" hidden="1" customHeight="1">
      <c r="A702" s="203" t="s">
        <v>447</v>
      </c>
      <c r="B702" s="195"/>
      <c r="C702" s="198"/>
      <c r="D702" s="199"/>
      <c r="E702" s="198"/>
      <c r="F702" s="195"/>
      <c r="G702" s="191"/>
      <c r="H702" s="192"/>
      <c r="I702" s="191"/>
      <c r="J702" s="191"/>
      <c r="K702" s="191"/>
      <c r="L702" s="192"/>
      <c r="M702" s="193"/>
    </row>
    <row r="703" ht="34.5" hidden="1" customHeight="1">
      <c r="A703" s="203" t="s">
        <v>448</v>
      </c>
      <c r="B703" s="195"/>
      <c r="C703" s="198"/>
      <c r="D703" s="199"/>
      <c r="E703" s="198"/>
      <c r="F703" s="195"/>
      <c r="G703" s="191"/>
      <c r="H703" s="192"/>
      <c r="I703" s="191"/>
      <c r="J703" s="191"/>
      <c r="K703" s="191"/>
      <c r="L703" s="192"/>
      <c r="M703" s="193"/>
    </row>
    <row r="704" ht="34.5" hidden="1" customHeight="1">
      <c r="A704" s="203" t="s">
        <v>449</v>
      </c>
      <c r="B704" s="195"/>
      <c r="C704" s="198"/>
      <c r="D704" s="199"/>
      <c r="E704" s="198"/>
      <c r="F704" s="195"/>
      <c r="G704" s="191"/>
      <c r="H704" s="192"/>
      <c r="I704" s="191"/>
      <c r="J704" s="191"/>
      <c r="K704" s="191"/>
      <c r="L704" s="192"/>
      <c r="M704" s="193"/>
    </row>
    <row r="705" ht="34.5" hidden="1" customHeight="1">
      <c r="A705" s="203" t="s">
        <v>450</v>
      </c>
      <c r="B705" s="195"/>
      <c r="C705" s="198"/>
      <c r="D705" s="199"/>
      <c r="E705" s="198"/>
      <c r="F705" s="195"/>
      <c r="G705" s="191"/>
      <c r="H705" s="192"/>
      <c r="I705" s="191"/>
      <c r="J705" s="191"/>
      <c r="K705" s="191"/>
      <c r="L705" s="192"/>
      <c r="M705" s="193"/>
    </row>
    <row r="706" ht="34.5" hidden="1" customHeight="1">
      <c r="A706" s="203" t="s">
        <v>451</v>
      </c>
      <c r="B706" s="195"/>
      <c r="C706" s="198"/>
      <c r="D706" s="199"/>
      <c r="E706" s="198"/>
      <c r="F706" s="195"/>
      <c r="G706" s="191"/>
      <c r="H706" s="192"/>
      <c r="I706" s="191"/>
      <c r="J706" s="191"/>
      <c r="K706" s="191"/>
      <c r="L706" s="192"/>
      <c r="M706" s="193"/>
    </row>
    <row r="707" ht="34.5" hidden="1" customHeight="1">
      <c r="A707" s="203" t="s">
        <v>316</v>
      </c>
      <c r="B707" s="195"/>
      <c r="C707" s="198"/>
      <c r="D707" s="199"/>
      <c r="E707" s="198"/>
      <c r="F707" s="195"/>
      <c r="G707" s="191"/>
      <c r="H707" s="192"/>
      <c r="I707" s="191"/>
      <c r="J707" s="191"/>
      <c r="K707" s="191"/>
      <c r="L707" s="192"/>
      <c r="M707" s="193"/>
    </row>
    <row r="708" ht="34.5" hidden="1" customHeight="1">
      <c r="A708" s="203" t="s">
        <v>315</v>
      </c>
      <c r="B708" s="195"/>
      <c r="C708" s="198"/>
      <c r="D708" s="199"/>
      <c r="E708" s="198"/>
      <c r="F708" s="195"/>
      <c r="G708" s="191"/>
      <c r="H708" s="192"/>
      <c r="I708" s="191"/>
      <c r="J708" s="191"/>
      <c r="K708" s="191"/>
      <c r="L708" s="192"/>
      <c r="M708" s="193"/>
    </row>
    <row r="709" ht="34.5" hidden="1" customHeight="1">
      <c r="A709" s="203" t="s">
        <v>452</v>
      </c>
      <c r="B709" s="195"/>
      <c r="C709" s="198"/>
      <c r="D709" s="199"/>
      <c r="E709" s="198"/>
      <c r="F709" s="195"/>
      <c r="G709" s="191"/>
      <c r="H709" s="192"/>
      <c r="I709" s="191"/>
      <c r="J709" s="191"/>
      <c r="K709" s="191"/>
      <c r="L709" s="192"/>
      <c r="M709" s="193"/>
    </row>
    <row r="710" ht="34.5" hidden="1" customHeight="1">
      <c r="A710" s="203" t="s">
        <v>453</v>
      </c>
      <c r="B710" s="195"/>
      <c r="C710" s="198"/>
      <c r="D710" s="199"/>
      <c r="E710" s="198"/>
      <c r="F710" s="195"/>
      <c r="G710" s="191"/>
      <c r="H710" s="192"/>
      <c r="I710" s="191"/>
      <c r="J710" s="191"/>
      <c r="K710" s="191"/>
      <c r="L710" s="192"/>
      <c r="M710" s="193"/>
    </row>
    <row r="711" ht="34.5" hidden="1" customHeight="1">
      <c r="A711" s="203" t="s">
        <v>454</v>
      </c>
      <c r="B711" s="195"/>
      <c r="C711" s="198"/>
      <c r="D711" s="199"/>
      <c r="E711" s="198"/>
      <c r="F711" s="195"/>
      <c r="G711" s="191"/>
      <c r="H711" s="192"/>
      <c r="I711" s="191"/>
      <c r="J711" s="191"/>
      <c r="K711" s="191"/>
      <c r="L711" s="192"/>
      <c r="M711" s="193"/>
    </row>
    <row r="712" ht="34.5" hidden="1" customHeight="1">
      <c r="A712" s="203" t="s">
        <v>455</v>
      </c>
      <c r="B712" s="195"/>
      <c r="C712" s="198"/>
      <c r="D712" s="199"/>
      <c r="E712" s="198"/>
      <c r="F712" s="195"/>
      <c r="G712" s="191"/>
      <c r="H712" s="192"/>
      <c r="I712" s="191"/>
      <c r="J712" s="191"/>
      <c r="K712" s="191"/>
      <c r="L712" s="192"/>
      <c r="M712" s="193"/>
    </row>
    <row r="713" ht="34.5" hidden="1" customHeight="1">
      <c r="A713" s="203" t="s">
        <v>456</v>
      </c>
      <c r="B713" s="195"/>
      <c r="C713" s="198"/>
      <c r="D713" s="199"/>
      <c r="E713" s="198"/>
      <c r="F713" s="195"/>
      <c r="G713" s="191"/>
      <c r="H713" s="192"/>
      <c r="I713" s="191"/>
      <c r="J713" s="191"/>
      <c r="K713" s="191"/>
      <c r="L713" s="192"/>
      <c r="M713" s="193"/>
    </row>
    <row r="714" ht="34.5" hidden="1" customHeight="1">
      <c r="A714" s="203" t="s">
        <v>457</v>
      </c>
      <c r="B714" s="195"/>
      <c r="C714" s="198"/>
      <c r="D714" s="199"/>
      <c r="E714" s="198"/>
      <c r="F714" s="195"/>
      <c r="G714" s="191"/>
      <c r="H714" s="192"/>
      <c r="I714" s="191"/>
      <c r="J714" s="191"/>
      <c r="K714" s="191"/>
      <c r="L714" s="192"/>
      <c r="M714" s="193"/>
    </row>
    <row r="715" ht="34.5" hidden="1" customHeight="1">
      <c r="A715" s="203" t="s">
        <v>458</v>
      </c>
      <c r="B715" s="195"/>
      <c r="C715" s="198"/>
      <c r="D715" s="199"/>
      <c r="E715" s="198"/>
      <c r="F715" s="195"/>
      <c r="G715" s="191"/>
      <c r="H715" s="192"/>
      <c r="I715" s="191"/>
      <c r="J715" s="191"/>
      <c r="K715" s="191"/>
      <c r="L715" s="192"/>
      <c r="M715" s="193"/>
    </row>
    <row r="716" ht="34.5" hidden="1" customHeight="1">
      <c r="A716" s="203" t="s">
        <v>459</v>
      </c>
      <c r="B716" s="195"/>
      <c r="C716" s="198"/>
      <c r="D716" s="199"/>
      <c r="E716" s="198"/>
      <c r="F716" s="195"/>
      <c r="G716" s="191"/>
      <c r="H716" s="192"/>
      <c r="I716" s="191"/>
      <c r="J716" s="191"/>
      <c r="K716" s="191"/>
      <c r="L716" s="192"/>
      <c r="M716" s="193"/>
    </row>
    <row r="717" ht="34.5" hidden="1" customHeight="1">
      <c r="A717" s="203" t="s">
        <v>460</v>
      </c>
      <c r="B717" s="195"/>
      <c r="C717" s="198"/>
      <c r="D717" s="199"/>
      <c r="E717" s="198"/>
      <c r="F717" s="195"/>
      <c r="G717" s="191"/>
      <c r="H717" s="192"/>
      <c r="I717" s="191"/>
      <c r="J717" s="191"/>
      <c r="K717" s="191"/>
      <c r="L717" s="192"/>
      <c r="M717" s="193"/>
    </row>
    <row r="718" ht="34.5" hidden="1" customHeight="1">
      <c r="A718" s="203" t="s">
        <v>461</v>
      </c>
      <c r="B718" s="195"/>
      <c r="C718" s="198"/>
      <c r="D718" s="199"/>
      <c r="E718" s="198"/>
      <c r="F718" s="195"/>
      <c r="G718" s="191"/>
      <c r="H718" s="192"/>
      <c r="I718" s="191"/>
      <c r="J718" s="191"/>
      <c r="K718" s="191"/>
      <c r="L718" s="192"/>
      <c r="M718" s="193"/>
    </row>
    <row r="719" ht="34.5" hidden="1" customHeight="1">
      <c r="A719" s="203" t="s">
        <v>462</v>
      </c>
      <c r="B719" s="195"/>
      <c r="C719" s="198"/>
      <c r="D719" s="199"/>
      <c r="E719" s="198"/>
      <c r="F719" s="195"/>
      <c r="G719" s="191"/>
      <c r="H719" s="192"/>
      <c r="I719" s="191"/>
      <c r="J719" s="191"/>
      <c r="K719" s="191"/>
      <c r="L719" s="192"/>
      <c r="M719" s="193"/>
    </row>
    <row r="720" ht="34.5" hidden="1" customHeight="1">
      <c r="A720" s="203" t="s">
        <v>463</v>
      </c>
      <c r="B720" s="195"/>
      <c r="C720" s="198"/>
      <c r="D720" s="199"/>
      <c r="E720" s="198"/>
      <c r="F720" s="195"/>
      <c r="G720" s="191"/>
      <c r="H720" s="192"/>
      <c r="I720" s="191"/>
      <c r="J720" s="191"/>
      <c r="K720" s="191"/>
      <c r="L720" s="192"/>
      <c r="M720" s="193"/>
    </row>
    <row r="721" ht="34.5" hidden="1" customHeight="1">
      <c r="A721" s="203" t="s">
        <v>464</v>
      </c>
      <c r="B721" s="195"/>
      <c r="C721" s="198"/>
      <c r="D721" s="199"/>
      <c r="E721" s="198"/>
      <c r="F721" s="195"/>
      <c r="G721" s="191"/>
      <c r="H721" s="192"/>
      <c r="I721" s="191"/>
      <c r="J721" s="191"/>
      <c r="K721" s="191"/>
      <c r="L721" s="192"/>
      <c r="M721" s="193"/>
    </row>
    <row r="722" ht="34.5" hidden="1" customHeight="1">
      <c r="A722" s="203" t="s">
        <v>465</v>
      </c>
      <c r="B722" s="195"/>
      <c r="C722" s="198"/>
      <c r="D722" s="199"/>
      <c r="E722" s="198"/>
      <c r="F722" s="195"/>
      <c r="G722" s="191"/>
      <c r="H722" s="192"/>
      <c r="I722" s="191"/>
      <c r="J722" s="191"/>
      <c r="K722" s="191"/>
      <c r="L722" s="192"/>
      <c r="M722" s="193"/>
    </row>
    <row r="723" ht="34.5" hidden="1" customHeight="1">
      <c r="A723" s="203" t="s">
        <v>466</v>
      </c>
      <c r="B723" s="195"/>
      <c r="C723" s="198"/>
      <c r="D723" s="199"/>
      <c r="E723" s="198"/>
      <c r="F723" s="195"/>
      <c r="G723" s="191"/>
      <c r="H723" s="192"/>
      <c r="I723" s="191"/>
      <c r="J723" s="191"/>
      <c r="K723" s="191"/>
      <c r="L723" s="192"/>
      <c r="M723" s="193"/>
    </row>
    <row r="724" ht="34.5" hidden="1" customHeight="1">
      <c r="A724" s="203" t="s">
        <v>467</v>
      </c>
      <c r="B724" s="195"/>
      <c r="C724" s="198"/>
      <c r="D724" s="199"/>
      <c r="E724" s="198"/>
      <c r="F724" s="195"/>
      <c r="G724" s="191"/>
      <c r="H724" s="192"/>
      <c r="I724" s="191"/>
      <c r="J724" s="191"/>
      <c r="K724" s="191"/>
      <c r="L724" s="192"/>
      <c r="M724" s="193"/>
    </row>
    <row r="725" ht="34.5" hidden="1" customHeight="1">
      <c r="A725" s="203" t="s">
        <v>468</v>
      </c>
      <c r="B725" s="195"/>
      <c r="C725" s="198"/>
      <c r="D725" s="199"/>
      <c r="E725" s="198"/>
      <c r="F725" s="195"/>
      <c r="G725" s="191"/>
      <c r="H725" s="192"/>
      <c r="I725" s="191"/>
      <c r="J725" s="191"/>
      <c r="K725" s="191"/>
      <c r="L725" s="192"/>
      <c r="M725" s="193"/>
    </row>
    <row r="726" ht="34.5" hidden="1" customHeight="1">
      <c r="A726" s="203"/>
      <c r="B726" s="195"/>
      <c r="C726" s="198"/>
      <c r="D726" s="199"/>
      <c r="E726" s="198"/>
      <c r="F726" s="195"/>
      <c r="G726" s="191"/>
      <c r="H726" s="192"/>
      <c r="I726" s="191"/>
      <c r="J726" s="191"/>
      <c r="K726" s="191"/>
      <c r="L726" s="192"/>
      <c r="M726" s="193"/>
    </row>
    <row r="727" ht="34.5" hidden="1" customHeight="1">
      <c r="A727" s="223"/>
      <c r="B727" s="195"/>
      <c r="C727" s="198"/>
      <c r="D727" s="199"/>
      <c r="E727" s="198"/>
      <c r="F727" s="195"/>
      <c r="G727" s="191"/>
      <c r="H727" s="192"/>
      <c r="I727" s="191"/>
      <c r="J727" s="191"/>
      <c r="K727" s="191"/>
      <c r="L727" s="192"/>
      <c r="M727" s="193"/>
    </row>
    <row r="728" ht="34.5" hidden="1" customHeight="1">
      <c r="A728" s="194" t="s">
        <v>469</v>
      </c>
      <c r="B728" s="195"/>
      <c r="C728" s="198"/>
      <c r="D728" s="199"/>
      <c r="E728" s="198"/>
      <c r="F728" s="195"/>
      <c r="G728" s="191"/>
      <c r="H728" s="192"/>
      <c r="I728" s="191"/>
      <c r="J728" s="191"/>
      <c r="K728" s="191"/>
      <c r="L728" s="192"/>
      <c r="M728" s="193"/>
    </row>
    <row r="729" ht="34.5" hidden="1" customHeight="1">
      <c r="A729" s="194" t="s">
        <v>405</v>
      </c>
      <c r="B729" s="195"/>
      <c r="C729" s="198"/>
      <c r="D729" s="199"/>
      <c r="E729" s="198"/>
      <c r="F729" s="195"/>
      <c r="G729" s="191"/>
      <c r="H729" s="192"/>
      <c r="I729" s="191"/>
      <c r="J729" s="191"/>
      <c r="K729" s="191"/>
      <c r="L729" s="192"/>
      <c r="M729" s="193"/>
    </row>
    <row r="730" ht="34.5" hidden="1" customHeight="1">
      <c r="A730" s="203" t="s">
        <v>470</v>
      </c>
      <c r="B730" s="195"/>
      <c r="C730" s="198"/>
      <c r="D730" s="199"/>
      <c r="E730" s="198"/>
      <c r="F730" s="195"/>
      <c r="G730" s="191"/>
      <c r="H730" s="192"/>
      <c r="I730" s="191"/>
      <c r="J730" s="191"/>
      <c r="K730" s="191"/>
      <c r="L730" s="192"/>
      <c r="M730" s="193"/>
    </row>
    <row r="731" ht="34.5" hidden="1" customHeight="1">
      <c r="A731" s="203" t="s">
        <v>471</v>
      </c>
      <c r="B731" s="195"/>
      <c r="C731" s="198"/>
      <c r="D731" s="199"/>
      <c r="E731" s="198"/>
      <c r="F731" s="195"/>
      <c r="G731" s="191"/>
      <c r="H731" s="192"/>
      <c r="I731" s="191"/>
      <c r="J731" s="191"/>
      <c r="K731" s="191"/>
      <c r="L731" s="192"/>
      <c r="M731" s="193"/>
    </row>
    <row r="732" ht="34.5" hidden="1" customHeight="1">
      <c r="A732" s="210" t="s">
        <v>472</v>
      </c>
      <c r="B732" s="195"/>
      <c r="C732" s="198"/>
      <c r="D732" s="199"/>
      <c r="E732" s="198"/>
      <c r="F732" s="195"/>
      <c r="G732" s="191"/>
      <c r="H732" s="192"/>
      <c r="I732" s="191"/>
      <c r="J732" s="191"/>
      <c r="K732" s="191"/>
      <c r="L732" s="192"/>
      <c r="M732" s="193"/>
    </row>
    <row r="733" ht="34.5" hidden="1" customHeight="1">
      <c r="A733" s="203" t="s">
        <v>289</v>
      </c>
      <c r="B733" s="195"/>
      <c r="C733" s="198"/>
      <c r="D733" s="199"/>
      <c r="E733" s="198"/>
      <c r="F733" s="195"/>
      <c r="G733" s="191"/>
      <c r="H733" s="192"/>
      <c r="I733" s="191"/>
      <c r="J733" s="191"/>
      <c r="K733" s="191"/>
      <c r="L733" s="192"/>
      <c r="M733" s="193"/>
    </row>
    <row r="734" ht="34.5" hidden="1" customHeight="1">
      <c r="A734" s="203" t="s">
        <v>473</v>
      </c>
      <c r="B734" s="195"/>
      <c r="C734" s="198"/>
      <c r="D734" s="199"/>
      <c r="E734" s="198"/>
      <c r="F734" s="195"/>
      <c r="G734" s="191"/>
      <c r="H734" s="192"/>
      <c r="I734" s="191"/>
      <c r="J734" s="191"/>
      <c r="K734" s="191"/>
      <c r="L734" s="192"/>
      <c r="M734" s="193"/>
    </row>
    <row r="735" ht="34.5" hidden="1" customHeight="1">
      <c r="A735" s="203" t="s">
        <v>474</v>
      </c>
      <c r="B735" s="195"/>
      <c r="C735" s="198"/>
      <c r="D735" s="199"/>
      <c r="E735" s="198"/>
      <c r="F735" s="195"/>
      <c r="G735" s="191"/>
      <c r="H735" s="192"/>
      <c r="I735" s="191"/>
      <c r="J735" s="191"/>
      <c r="K735" s="191"/>
      <c r="L735" s="192"/>
      <c r="M735" s="193"/>
    </row>
    <row r="736" ht="46.5" hidden="1" customHeight="1">
      <c r="A736" s="203" t="s">
        <v>475</v>
      </c>
      <c r="B736" s="195"/>
      <c r="C736" s="198"/>
      <c r="D736" s="199"/>
      <c r="E736" s="198"/>
      <c r="F736" s="195"/>
      <c r="G736" s="191"/>
      <c r="H736" s="192"/>
      <c r="I736" s="191"/>
      <c r="J736" s="191"/>
      <c r="K736" s="191"/>
      <c r="L736" s="192"/>
      <c r="M736" s="193"/>
    </row>
    <row r="737" ht="34.5" hidden="1" customHeight="1">
      <c r="A737" s="203" t="s">
        <v>476</v>
      </c>
      <c r="B737" s="195"/>
      <c r="C737" s="198"/>
      <c r="D737" s="199"/>
      <c r="E737" s="198"/>
      <c r="F737" s="195"/>
      <c r="G737" s="191"/>
      <c r="H737" s="192"/>
      <c r="I737" s="191"/>
      <c r="J737" s="191"/>
      <c r="K737" s="191"/>
      <c r="L737" s="192"/>
      <c r="M737" s="193"/>
    </row>
    <row r="738" ht="34.5" hidden="1" customHeight="1">
      <c r="A738" s="203" t="s">
        <v>477</v>
      </c>
      <c r="B738" s="195"/>
      <c r="C738" s="198"/>
      <c r="D738" s="199"/>
      <c r="E738" s="198"/>
      <c r="F738" s="195"/>
      <c r="G738" s="191"/>
      <c r="H738" s="192"/>
      <c r="I738" s="191"/>
      <c r="J738" s="191"/>
      <c r="K738" s="191"/>
      <c r="L738" s="192"/>
      <c r="M738" s="193"/>
    </row>
    <row r="739" ht="34.5" hidden="1" customHeight="1">
      <c r="A739" s="203" t="s">
        <v>478</v>
      </c>
      <c r="B739" s="195"/>
      <c r="C739" s="198"/>
      <c r="D739" s="199"/>
      <c r="E739" s="198"/>
      <c r="F739" s="195"/>
      <c r="G739" s="191"/>
      <c r="H739" s="192"/>
      <c r="I739" s="191"/>
      <c r="J739" s="191"/>
      <c r="K739" s="191"/>
      <c r="L739" s="192"/>
      <c r="M739" s="193"/>
    </row>
    <row r="740" ht="34.5" hidden="1" customHeight="1">
      <c r="A740" s="203" t="s">
        <v>479</v>
      </c>
      <c r="B740" s="195"/>
      <c r="C740" s="198"/>
      <c r="D740" s="199"/>
      <c r="E740" s="198"/>
      <c r="F740" s="195"/>
      <c r="G740" s="191"/>
      <c r="H740" s="192"/>
      <c r="I740" s="191"/>
      <c r="J740" s="191"/>
      <c r="K740" s="191"/>
      <c r="L740" s="192"/>
      <c r="M740" s="193"/>
    </row>
    <row r="741" ht="34.5" hidden="1" customHeight="1">
      <c r="A741" s="203" t="s">
        <v>480</v>
      </c>
      <c r="B741" s="195"/>
      <c r="C741" s="198"/>
      <c r="D741" s="199"/>
      <c r="E741" s="198"/>
      <c r="F741" s="195"/>
      <c r="G741" s="191"/>
      <c r="H741" s="192"/>
      <c r="I741" s="191"/>
      <c r="J741" s="191"/>
      <c r="K741" s="191"/>
      <c r="L741" s="192"/>
      <c r="M741" s="193"/>
    </row>
    <row r="742" ht="34.5" hidden="1" customHeight="1">
      <c r="A742" s="203" t="s">
        <v>481</v>
      </c>
      <c r="B742" s="195"/>
      <c r="C742" s="198"/>
      <c r="D742" s="199"/>
      <c r="E742" s="198"/>
      <c r="F742" s="195"/>
      <c r="G742" s="191"/>
      <c r="H742" s="192"/>
      <c r="I742" s="191"/>
      <c r="J742" s="191"/>
      <c r="K742" s="191"/>
      <c r="L742" s="192"/>
      <c r="M742" s="193"/>
    </row>
    <row r="743" ht="34.5" hidden="1" customHeight="1">
      <c r="A743" s="203" t="s">
        <v>482</v>
      </c>
      <c r="B743" s="195"/>
      <c r="C743" s="198"/>
      <c r="D743" s="199"/>
      <c r="E743" s="198"/>
      <c r="F743" s="195"/>
      <c r="G743" s="191"/>
      <c r="H743" s="192"/>
      <c r="I743" s="191"/>
      <c r="J743" s="191"/>
      <c r="K743" s="191"/>
      <c r="L743" s="192"/>
      <c r="M743" s="193"/>
    </row>
    <row r="744" ht="34.5" hidden="1" customHeight="1">
      <c r="A744" s="223"/>
      <c r="B744" s="195"/>
      <c r="C744" s="198"/>
      <c r="D744" s="199"/>
      <c r="E744" s="198"/>
      <c r="F744" s="195"/>
      <c r="G744" s="191"/>
      <c r="H744" s="192"/>
      <c r="I744" s="191"/>
      <c r="J744" s="191"/>
      <c r="K744" s="191"/>
      <c r="L744" s="192"/>
      <c r="M744" s="193"/>
    </row>
    <row r="745" ht="45.0" hidden="1" customHeight="1">
      <c r="A745" s="194" t="s">
        <v>483</v>
      </c>
      <c r="B745" s="195"/>
      <c r="C745" s="198"/>
      <c r="D745" s="199"/>
      <c r="E745" s="198"/>
      <c r="F745" s="195"/>
      <c r="G745" s="191"/>
      <c r="H745" s="192"/>
      <c r="I745" s="191"/>
      <c r="J745" s="191"/>
      <c r="K745" s="191"/>
      <c r="L745" s="192"/>
      <c r="M745" s="193"/>
    </row>
    <row r="746" ht="34.5" hidden="1" customHeight="1">
      <c r="A746" s="194" t="s">
        <v>405</v>
      </c>
      <c r="B746" s="195"/>
      <c r="C746" s="198"/>
      <c r="D746" s="199"/>
      <c r="E746" s="198"/>
      <c r="F746" s="195"/>
      <c r="G746" s="191"/>
      <c r="H746" s="192"/>
      <c r="I746" s="191"/>
      <c r="J746" s="191"/>
      <c r="K746" s="191"/>
      <c r="L746" s="192"/>
      <c r="M746" s="193"/>
    </row>
    <row r="747" ht="34.5" hidden="1" customHeight="1">
      <c r="A747" s="203" t="s">
        <v>484</v>
      </c>
      <c r="B747" s="195"/>
      <c r="C747" s="198"/>
      <c r="D747" s="199"/>
      <c r="E747" s="198"/>
      <c r="F747" s="195"/>
      <c r="G747" s="191"/>
      <c r="H747" s="192"/>
      <c r="I747" s="191"/>
      <c r="J747" s="191"/>
      <c r="K747" s="191"/>
      <c r="L747" s="192"/>
      <c r="M747" s="193"/>
    </row>
    <row r="748" ht="34.5" hidden="1" customHeight="1">
      <c r="A748" s="203" t="s">
        <v>485</v>
      </c>
      <c r="B748" s="195"/>
      <c r="C748" s="198"/>
      <c r="D748" s="199"/>
      <c r="E748" s="198"/>
      <c r="F748" s="195"/>
      <c r="G748" s="191"/>
      <c r="H748" s="192"/>
      <c r="I748" s="191"/>
      <c r="J748" s="191"/>
      <c r="K748" s="191"/>
      <c r="L748" s="192"/>
      <c r="M748" s="193"/>
    </row>
    <row r="749" ht="34.5" hidden="1" customHeight="1">
      <c r="A749" s="203" t="s">
        <v>486</v>
      </c>
      <c r="B749" s="195"/>
      <c r="C749" s="198"/>
      <c r="D749" s="199"/>
      <c r="E749" s="198"/>
      <c r="F749" s="195"/>
      <c r="G749" s="191"/>
      <c r="H749" s="192"/>
      <c r="I749" s="191"/>
      <c r="J749" s="191"/>
      <c r="K749" s="191"/>
      <c r="L749" s="192"/>
      <c r="M749" s="193"/>
    </row>
    <row r="750" ht="34.5" hidden="1" customHeight="1">
      <c r="A750" s="203" t="s">
        <v>487</v>
      </c>
      <c r="B750" s="195"/>
      <c r="C750" s="198"/>
      <c r="D750" s="199"/>
      <c r="E750" s="198"/>
      <c r="F750" s="195"/>
      <c r="G750" s="191"/>
      <c r="H750" s="192"/>
      <c r="I750" s="191"/>
      <c r="J750" s="191"/>
      <c r="K750" s="191"/>
      <c r="L750" s="192"/>
      <c r="M750" s="193"/>
    </row>
    <row r="751" ht="34.5" hidden="1" customHeight="1">
      <c r="A751" s="203" t="s">
        <v>488</v>
      </c>
      <c r="B751" s="195"/>
      <c r="C751" s="198"/>
      <c r="D751" s="199"/>
      <c r="E751" s="198"/>
      <c r="F751" s="195"/>
      <c r="G751" s="191"/>
      <c r="H751" s="192"/>
      <c r="I751" s="191"/>
      <c r="J751" s="191"/>
      <c r="K751" s="191"/>
      <c r="L751" s="192"/>
      <c r="M751" s="193"/>
    </row>
    <row r="752" ht="34.5" hidden="1" customHeight="1">
      <c r="A752" s="203" t="s">
        <v>489</v>
      </c>
      <c r="B752" s="195"/>
      <c r="C752" s="198"/>
      <c r="D752" s="199"/>
      <c r="E752" s="198"/>
      <c r="F752" s="195"/>
      <c r="G752" s="191"/>
      <c r="H752" s="192"/>
      <c r="I752" s="191"/>
      <c r="J752" s="191"/>
      <c r="K752" s="191"/>
      <c r="L752" s="192"/>
      <c r="M752" s="193"/>
    </row>
    <row r="753" ht="34.5" hidden="1" customHeight="1">
      <c r="A753" s="203" t="s">
        <v>490</v>
      </c>
      <c r="B753" s="195"/>
      <c r="C753" s="198"/>
      <c r="D753" s="199"/>
      <c r="E753" s="198"/>
      <c r="F753" s="195"/>
      <c r="G753" s="191"/>
      <c r="H753" s="192"/>
      <c r="I753" s="191"/>
      <c r="J753" s="191"/>
      <c r="K753" s="191"/>
      <c r="L753" s="192"/>
      <c r="M753" s="193"/>
    </row>
    <row r="754" ht="34.5" hidden="1" customHeight="1">
      <c r="A754" s="203" t="s">
        <v>491</v>
      </c>
      <c r="B754" s="195"/>
      <c r="C754" s="198"/>
      <c r="D754" s="199"/>
      <c r="E754" s="198"/>
      <c r="F754" s="195"/>
      <c r="G754" s="191"/>
      <c r="H754" s="192"/>
      <c r="I754" s="191"/>
      <c r="J754" s="191"/>
      <c r="K754" s="191"/>
      <c r="L754" s="192"/>
      <c r="M754" s="193"/>
    </row>
    <row r="755" ht="34.5" hidden="1" customHeight="1">
      <c r="A755" s="203" t="s">
        <v>492</v>
      </c>
      <c r="B755" s="195"/>
      <c r="C755" s="198"/>
      <c r="D755" s="199"/>
      <c r="E755" s="198"/>
      <c r="F755" s="195"/>
      <c r="G755" s="191"/>
      <c r="H755" s="192"/>
      <c r="I755" s="191"/>
      <c r="J755" s="191"/>
      <c r="K755" s="191"/>
      <c r="L755" s="192"/>
      <c r="M755" s="193"/>
    </row>
    <row r="756" ht="34.5" hidden="1" customHeight="1">
      <c r="A756" s="203" t="s">
        <v>493</v>
      </c>
      <c r="B756" s="195"/>
      <c r="C756" s="198"/>
      <c r="D756" s="199"/>
      <c r="E756" s="198"/>
      <c r="F756" s="195"/>
      <c r="G756" s="191"/>
      <c r="H756" s="192"/>
      <c r="I756" s="191"/>
      <c r="J756" s="191"/>
      <c r="K756" s="191"/>
      <c r="L756" s="192"/>
      <c r="M756" s="193"/>
    </row>
    <row r="757" ht="34.5" hidden="1" customHeight="1">
      <c r="A757" s="203" t="s">
        <v>494</v>
      </c>
      <c r="B757" s="195"/>
      <c r="C757" s="198"/>
      <c r="D757" s="199"/>
      <c r="E757" s="198"/>
      <c r="F757" s="195"/>
      <c r="G757" s="191"/>
      <c r="H757" s="192"/>
      <c r="I757" s="191"/>
      <c r="J757" s="191"/>
      <c r="K757" s="191"/>
      <c r="L757" s="192"/>
      <c r="M757" s="193"/>
    </row>
    <row r="758" ht="34.5" hidden="1" customHeight="1">
      <c r="A758" s="203" t="s">
        <v>495</v>
      </c>
      <c r="B758" s="195"/>
      <c r="C758" s="198"/>
      <c r="D758" s="199"/>
      <c r="E758" s="198"/>
      <c r="F758" s="195"/>
      <c r="G758" s="191"/>
      <c r="H758" s="192"/>
      <c r="I758" s="191"/>
      <c r="J758" s="191"/>
      <c r="K758" s="191"/>
      <c r="L758" s="192"/>
      <c r="M758" s="193"/>
    </row>
    <row r="759" ht="34.5" hidden="1" customHeight="1">
      <c r="A759" s="203" t="s">
        <v>496</v>
      </c>
      <c r="B759" s="195"/>
      <c r="C759" s="198"/>
      <c r="D759" s="199"/>
      <c r="E759" s="198"/>
      <c r="F759" s="195"/>
      <c r="G759" s="191"/>
      <c r="H759" s="192"/>
      <c r="I759" s="191"/>
      <c r="J759" s="191"/>
      <c r="K759" s="191"/>
      <c r="L759" s="192"/>
      <c r="M759" s="193"/>
    </row>
    <row r="760" ht="34.5" hidden="1" customHeight="1">
      <c r="A760" s="203" t="s">
        <v>497</v>
      </c>
      <c r="B760" s="195"/>
      <c r="C760" s="198"/>
      <c r="D760" s="199"/>
      <c r="E760" s="198"/>
      <c r="F760" s="195"/>
      <c r="G760" s="191"/>
      <c r="H760" s="192"/>
      <c r="I760" s="191"/>
      <c r="J760" s="191"/>
      <c r="K760" s="191"/>
      <c r="L760" s="192"/>
      <c r="M760" s="193"/>
    </row>
    <row r="761" ht="34.5" hidden="1" customHeight="1">
      <c r="A761" s="203" t="s">
        <v>498</v>
      </c>
      <c r="B761" s="195"/>
      <c r="C761" s="198"/>
      <c r="D761" s="199"/>
      <c r="E761" s="198"/>
      <c r="F761" s="195"/>
      <c r="G761" s="191"/>
      <c r="H761" s="192"/>
      <c r="I761" s="191"/>
      <c r="J761" s="191"/>
      <c r="K761" s="191"/>
      <c r="L761" s="192"/>
      <c r="M761" s="193"/>
    </row>
    <row r="762" ht="34.5" hidden="1" customHeight="1">
      <c r="A762" s="203" t="s">
        <v>499</v>
      </c>
      <c r="B762" s="195"/>
      <c r="C762" s="198"/>
      <c r="D762" s="199"/>
      <c r="E762" s="198"/>
      <c r="F762" s="195"/>
      <c r="G762" s="191"/>
      <c r="H762" s="192"/>
      <c r="I762" s="191"/>
      <c r="J762" s="191"/>
      <c r="K762" s="191"/>
      <c r="L762" s="192"/>
      <c r="M762" s="193"/>
    </row>
    <row r="763" ht="34.5" hidden="1" customHeight="1">
      <c r="A763" s="203" t="s">
        <v>500</v>
      </c>
      <c r="B763" s="195"/>
      <c r="C763" s="198"/>
      <c r="D763" s="199"/>
      <c r="E763" s="198"/>
      <c r="F763" s="195"/>
      <c r="G763" s="191"/>
      <c r="H763" s="192"/>
      <c r="I763" s="191"/>
      <c r="J763" s="191"/>
      <c r="K763" s="191"/>
      <c r="L763" s="192"/>
      <c r="M763" s="193"/>
    </row>
    <row r="764" ht="34.5" hidden="1" customHeight="1">
      <c r="A764" s="203" t="s">
        <v>501</v>
      </c>
      <c r="B764" s="195"/>
      <c r="C764" s="198"/>
      <c r="D764" s="199"/>
      <c r="E764" s="198"/>
      <c r="F764" s="195"/>
      <c r="G764" s="191"/>
      <c r="H764" s="192"/>
      <c r="I764" s="191"/>
      <c r="J764" s="191"/>
      <c r="K764" s="191"/>
      <c r="L764" s="192"/>
      <c r="M764" s="193"/>
    </row>
    <row r="765" ht="34.5" hidden="1" customHeight="1">
      <c r="A765" s="203" t="s">
        <v>502</v>
      </c>
      <c r="B765" s="195"/>
      <c r="C765" s="198"/>
      <c r="D765" s="199"/>
      <c r="E765" s="198"/>
      <c r="F765" s="195"/>
      <c r="G765" s="191"/>
      <c r="H765" s="192"/>
      <c r="I765" s="191"/>
      <c r="J765" s="191"/>
      <c r="K765" s="191"/>
      <c r="L765" s="192"/>
      <c r="M765" s="193"/>
    </row>
    <row r="766" ht="34.5" hidden="1" customHeight="1">
      <c r="A766" s="203"/>
      <c r="B766" s="195"/>
      <c r="C766" s="198"/>
      <c r="D766" s="199"/>
      <c r="E766" s="198"/>
      <c r="F766" s="195"/>
      <c r="G766" s="191"/>
      <c r="H766" s="192"/>
      <c r="I766" s="191"/>
      <c r="J766" s="191"/>
      <c r="K766" s="191"/>
      <c r="L766" s="192"/>
      <c r="M766" s="193"/>
    </row>
    <row r="767" ht="60.0" hidden="1" customHeight="1">
      <c r="A767" s="216" t="s">
        <v>503</v>
      </c>
      <c r="B767" s="195" t="s">
        <v>33</v>
      </c>
      <c r="C767" s="190"/>
      <c r="D767" s="190">
        <f>SUM(D768:D800)</f>
        <v>0</v>
      </c>
      <c r="E767" s="190"/>
      <c r="F767" s="190">
        <f>SUM(F768:F800)</f>
        <v>0</v>
      </c>
      <c r="G767" s="191"/>
      <c r="H767" s="192"/>
      <c r="I767" s="191"/>
      <c r="J767" s="191"/>
      <c r="K767" s="191"/>
      <c r="L767" s="192"/>
      <c r="M767" s="193"/>
    </row>
    <row r="768" ht="34.5" hidden="1" customHeight="1">
      <c r="A768" s="197" t="s">
        <v>154</v>
      </c>
      <c r="B768" s="195" t="s">
        <v>33</v>
      </c>
      <c r="C768" s="198"/>
      <c r="D768" s="199"/>
      <c r="E768" s="198"/>
      <c r="F768" s="195"/>
      <c r="G768" s="191"/>
      <c r="H768" s="192"/>
      <c r="I768" s="191"/>
      <c r="J768" s="191"/>
      <c r="K768" s="191"/>
      <c r="L768" s="192"/>
      <c r="M768" s="193"/>
    </row>
    <row r="769" ht="60.75" hidden="1" customHeight="1">
      <c r="A769" s="201" t="s">
        <v>504</v>
      </c>
      <c r="B769" s="195" t="s">
        <v>33</v>
      </c>
      <c r="C769" s="198"/>
      <c r="D769" s="199"/>
      <c r="E769" s="198"/>
      <c r="F769" s="195"/>
      <c r="G769" s="191"/>
      <c r="H769" s="192"/>
      <c r="I769" s="191"/>
      <c r="J769" s="191"/>
      <c r="K769" s="191"/>
      <c r="L769" s="192"/>
      <c r="M769" s="193"/>
    </row>
    <row r="770" ht="34.5" hidden="1" customHeight="1">
      <c r="A770" s="197" t="s">
        <v>157</v>
      </c>
      <c r="B770" s="195" t="s">
        <v>33</v>
      </c>
      <c r="C770" s="198"/>
      <c r="D770" s="199"/>
      <c r="E770" s="198"/>
      <c r="F770" s="195"/>
      <c r="G770" s="191"/>
      <c r="H770" s="192"/>
      <c r="I770" s="191"/>
      <c r="J770" s="191"/>
      <c r="K770" s="191"/>
      <c r="L770" s="192"/>
      <c r="M770" s="193"/>
    </row>
    <row r="771" ht="60.0" hidden="1" customHeight="1">
      <c r="A771" s="201" t="s">
        <v>505</v>
      </c>
      <c r="B771" s="195" t="s">
        <v>33</v>
      </c>
      <c r="C771" s="198"/>
      <c r="D771" s="199"/>
      <c r="E771" s="198"/>
      <c r="F771" s="195"/>
      <c r="G771" s="191"/>
      <c r="H771" s="192"/>
      <c r="I771" s="191"/>
      <c r="J771" s="191"/>
      <c r="K771" s="191"/>
      <c r="L771" s="192"/>
      <c r="M771" s="193"/>
    </row>
    <row r="772" ht="34.5" hidden="1" customHeight="1">
      <c r="A772" s="197" t="s">
        <v>159</v>
      </c>
      <c r="B772" s="195" t="s">
        <v>33</v>
      </c>
      <c r="C772" s="198"/>
      <c r="D772" s="199"/>
      <c r="E772" s="198"/>
      <c r="F772" s="195"/>
      <c r="G772" s="191"/>
      <c r="H772" s="192"/>
      <c r="I772" s="191"/>
      <c r="J772" s="191"/>
      <c r="K772" s="191"/>
      <c r="L772" s="192"/>
      <c r="M772" s="193"/>
    </row>
    <row r="773" ht="61.5" hidden="1" customHeight="1">
      <c r="A773" s="197" t="s">
        <v>506</v>
      </c>
      <c r="B773" s="195" t="s">
        <v>33</v>
      </c>
      <c r="C773" s="198"/>
      <c r="D773" s="199"/>
      <c r="E773" s="198"/>
      <c r="F773" s="195"/>
      <c r="G773" s="191"/>
      <c r="H773" s="192"/>
      <c r="I773" s="191"/>
      <c r="J773" s="191"/>
      <c r="K773" s="191"/>
      <c r="L773" s="192"/>
      <c r="M773" s="193"/>
    </row>
    <row r="774" ht="34.5" hidden="1" customHeight="1">
      <c r="A774" s="203" t="s">
        <v>405</v>
      </c>
      <c r="B774" s="195" t="s">
        <v>33</v>
      </c>
      <c r="C774" s="198"/>
      <c r="D774" s="199"/>
      <c r="E774" s="198"/>
      <c r="F774" s="195"/>
      <c r="G774" s="191"/>
      <c r="H774" s="192"/>
      <c r="I774" s="191"/>
      <c r="J774" s="191"/>
      <c r="K774" s="191"/>
      <c r="L774" s="192"/>
      <c r="M774" s="193"/>
    </row>
    <row r="775" ht="34.5" hidden="1" customHeight="1">
      <c r="A775" s="203" t="s">
        <v>507</v>
      </c>
      <c r="B775" s="195" t="s">
        <v>33</v>
      </c>
      <c r="C775" s="198"/>
      <c r="D775" s="199"/>
      <c r="E775" s="198"/>
      <c r="F775" s="195"/>
      <c r="G775" s="191"/>
      <c r="H775" s="192"/>
      <c r="I775" s="191"/>
      <c r="J775" s="191"/>
      <c r="K775" s="191"/>
      <c r="L775" s="192"/>
      <c r="M775" s="193"/>
    </row>
    <row r="776" ht="34.5" hidden="1" customHeight="1">
      <c r="A776" s="194" t="s">
        <v>508</v>
      </c>
      <c r="B776" s="195" t="s">
        <v>33</v>
      </c>
      <c r="C776" s="198"/>
      <c r="D776" s="199"/>
      <c r="E776" s="198"/>
      <c r="F776" s="195"/>
      <c r="G776" s="191"/>
      <c r="H776" s="192"/>
      <c r="I776" s="191"/>
      <c r="J776" s="191"/>
      <c r="K776" s="191"/>
      <c r="L776" s="192"/>
      <c r="M776" s="193"/>
    </row>
    <row r="777" ht="34.5" hidden="1" customHeight="1">
      <c r="A777" s="203" t="s">
        <v>507</v>
      </c>
      <c r="B777" s="195" t="s">
        <v>33</v>
      </c>
      <c r="C777" s="198"/>
      <c r="D777" s="199"/>
      <c r="E777" s="198"/>
      <c r="F777" s="195"/>
      <c r="G777" s="191"/>
      <c r="H777" s="192"/>
      <c r="I777" s="191"/>
      <c r="J777" s="191"/>
      <c r="K777" s="191"/>
      <c r="L777" s="192"/>
      <c r="M777" s="193"/>
    </row>
    <row r="778" ht="34.5" hidden="1" customHeight="1">
      <c r="A778" s="194" t="s">
        <v>509</v>
      </c>
      <c r="B778" s="195" t="s">
        <v>33</v>
      </c>
      <c r="C778" s="198"/>
      <c r="D778" s="199"/>
      <c r="E778" s="198"/>
      <c r="F778" s="195"/>
      <c r="G778" s="191"/>
      <c r="H778" s="192"/>
      <c r="I778" s="191"/>
      <c r="J778" s="191"/>
      <c r="K778" s="191"/>
      <c r="L778" s="192"/>
      <c r="M778" s="193"/>
    </row>
    <row r="779" ht="34.5" hidden="1" customHeight="1">
      <c r="A779" s="203" t="s">
        <v>507</v>
      </c>
      <c r="B779" s="195" t="s">
        <v>25</v>
      </c>
      <c r="C779" s="198"/>
      <c r="D779" s="199"/>
      <c r="E779" s="198"/>
      <c r="F779" s="195"/>
      <c r="G779" s="191"/>
      <c r="H779" s="192"/>
      <c r="I779" s="191"/>
      <c r="J779" s="191"/>
      <c r="K779" s="191"/>
      <c r="L779" s="192"/>
      <c r="M779" s="193"/>
    </row>
    <row r="780" ht="34.5" hidden="1" customHeight="1">
      <c r="A780" s="194" t="s">
        <v>261</v>
      </c>
      <c r="B780" s="195" t="s">
        <v>33</v>
      </c>
      <c r="C780" s="198"/>
      <c r="D780" s="199"/>
      <c r="E780" s="198"/>
      <c r="F780" s="195"/>
      <c r="G780" s="191"/>
      <c r="H780" s="192"/>
      <c r="I780" s="191"/>
      <c r="J780" s="191"/>
      <c r="K780" s="191"/>
      <c r="L780" s="192"/>
      <c r="M780" s="193"/>
    </row>
    <row r="781" ht="34.5" hidden="1" customHeight="1">
      <c r="A781" s="203" t="s">
        <v>507</v>
      </c>
      <c r="B781" s="195" t="s">
        <v>25</v>
      </c>
      <c r="C781" s="198"/>
      <c r="D781" s="199"/>
      <c r="E781" s="198"/>
      <c r="F781" s="195"/>
      <c r="G781" s="191"/>
      <c r="H781" s="192"/>
      <c r="I781" s="191"/>
      <c r="J781" s="191"/>
      <c r="K781" s="191"/>
      <c r="L781" s="192"/>
      <c r="M781" s="193"/>
    </row>
    <row r="782" ht="34.5" hidden="1" customHeight="1">
      <c r="A782" s="194" t="s">
        <v>510</v>
      </c>
      <c r="B782" s="195" t="s">
        <v>33</v>
      </c>
      <c r="C782" s="198"/>
      <c r="D782" s="199"/>
      <c r="E782" s="198"/>
      <c r="F782" s="195"/>
      <c r="G782" s="191"/>
      <c r="H782" s="192"/>
      <c r="I782" s="191"/>
      <c r="J782" s="191"/>
      <c r="K782" s="191"/>
      <c r="L782" s="192"/>
      <c r="M782" s="193"/>
    </row>
    <row r="783" ht="34.5" hidden="1" customHeight="1">
      <c r="A783" s="203" t="s">
        <v>507</v>
      </c>
      <c r="B783" s="195" t="s">
        <v>33</v>
      </c>
      <c r="C783" s="198"/>
      <c r="D783" s="199"/>
      <c r="E783" s="198"/>
      <c r="F783" s="195"/>
      <c r="G783" s="191"/>
      <c r="H783" s="192"/>
      <c r="I783" s="191"/>
      <c r="J783" s="191"/>
      <c r="K783" s="191"/>
      <c r="L783" s="192"/>
      <c r="M783" s="193"/>
    </row>
    <row r="784" ht="34.5" hidden="1" customHeight="1">
      <c r="A784" s="194" t="s">
        <v>511</v>
      </c>
      <c r="B784" s="195" t="s">
        <v>33</v>
      </c>
      <c r="C784" s="198"/>
      <c r="D784" s="199"/>
      <c r="E784" s="198"/>
      <c r="F784" s="195"/>
      <c r="G784" s="191"/>
      <c r="H784" s="192"/>
      <c r="I784" s="191"/>
      <c r="J784" s="191"/>
      <c r="K784" s="191"/>
      <c r="L784" s="192"/>
      <c r="M784" s="193"/>
    </row>
    <row r="785" ht="34.5" hidden="1" customHeight="1">
      <c r="A785" s="203" t="s">
        <v>507</v>
      </c>
      <c r="B785" s="195" t="s">
        <v>33</v>
      </c>
      <c r="C785" s="198"/>
      <c r="D785" s="199"/>
      <c r="E785" s="198"/>
      <c r="F785" s="195"/>
      <c r="G785" s="191"/>
      <c r="H785" s="192"/>
      <c r="I785" s="191"/>
      <c r="J785" s="191"/>
      <c r="K785" s="191"/>
      <c r="L785" s="192"/>
      <c r="M785" s="193"/>
    </row>
    <row r="786" ht="34.5" hidden="1" customHeight="1">
      <c r="A786" s="194" t="s">
        <v>512</v>
      </c>
      <c r="B786" s="195" t="s">
        <v>33</v>
      </c>
      <c r="C786" s="198"/>
      <c r="D786" s="199"/>
      <c r="E786" s="198"/>
      <c r="F786" s="195"/>
      <c r="G786" s="191"/>
      <c r="H786" s="192"/>
      <c r="I786" s="191"/>
      <c r="J786" s="191"/>
      <c r="K786" s="191"/>
      <c r="L786" s="192"/>
      <c r="M786" s="193"/>
    </row>
    <row r="787" ht="34.5" hidden="1" customHeight="1">
      <c r="A787" s="203" t="s">
        <v>507</v>
      </c>
      <c r="B787" s="195" t="s">
        <v>33</v>
      </c>
      <c r="C787" s="198"/>
      <c r="D787" s="199"/>
      <c r="E787" s="198"/>
      <c r="F787" s="195"/>
      <c r="G787" s="191"/>
      <c r="H787" s="192"/>
      <c r="I787" s="191"/>
      <c r="J787" s="191"/>
      <c r="K787" s="191"/>
      <c r="L787" s="192"/>
      <c r="M787" s="193"/>
    </row>
    <row r="788" ht="34.5" hidden="1" customHeight="1">
      <c r="A788" s="194" t="s">
        <v>513</v>
      </c>
      <c r="B788" s="195" t="s">
        <v>33</v>
      </c>
      <c r="C788" s="198"/>
      <c r="D788" s="199"/>
      <c r="E788" s="198"/>
      <c r="F788" s="195"/>
      <c r="G788" s="191"/>
      <c r="H788" s="192"/>
      <c r="I788" s="191"/>
      <c r="J788" s="191"/>
      <c r="K788" s="191"/>
      <c r="L788" s="192"/>
      <c r="M788" s="193"/>
    </row>
    <row r="789" ht="34.5" hidden="1" customHeight="1">
      <c r="A789" s="203" t="s">
        <v>507</v>
      </c>
      <c r="B789" s="195" t="s">
        <v>33</v>
      </c>
      <c r="C789" s="198"/>
      <c r="D789" s="199"/>
      <c r="E789" s="198"/>
      <c r="F789" s="195"/>
      <c r="G789" s="191"/>
      <c r="H789" s="192"/>
      <c r="I789" s="191"/>
      <c r="J789" s="191"/>
      <c r="K789" s="191"/>
      <c r="L789" s="192"/>
      <c r="M789" s="193"/>
    </row>
    <row r="790" ht="34.5" hidden="1" customHeight="1">
      <c r="A790" s="194" t="s">
        <v>514</v>
      </c>
      <c r="B790" s="195" t="s">
        <v>33</v>
      </c>
      <c r="C790" s="198"/>
      <c r="D790" s="199"/>
      <c r="E790" s="198"/>
      <c r="F790" s="195"/>
      <c r="G790" s="191"/>
      <c r="H790" s="192"/>
      <c r="I790" s="191"/>
      <c r="J790" s="191"/>
      <c r="K790" s="191"/>
      <c r="L790" s="192"/>
      <c r="M790" s="193"/>
    </row>
    <row r="791" ht="34.5" hidden="1" customHeight="1">
      <c r="A791" s="203" t="s">
        <v>507</v>
      </c>
      <c r="B791" s="195" t="s">
        <v>25</v>
      </c>
      <c r="C791" s="198"/>
      <c r="D791" s="199"/>
      <c r="E791" s="198"/>
      <c r="F791" s="195"/>
      <c r="G791" s="191"/>
      <c r="H791" s="192"/>
      <c r="I791" s="191"/>
      <c r="J791" s="191"/>
      <c r="K791" s="191"/>
      <c r="L791" s="192"/>
      <c r="M791" s="193"/>
    </row>
    <row r="792" ht="34.5" hidden="1" customHeight="1">
      <c r="A792" s="197" t="s">
        <v>515</v>
      </c>
      <c r="B792" s="195"/>
      <c r="C792" s="198"/>
      <c r="D792" s="199"/>
      <c r="E792" s="198"/>
      <c r="F792" s="195"/>
      <c r="G792" s="191"/>
      <c r="H792" s="192"/>
      <c r="I792" s="191"/>
      <c r="J792" s="191"/>
      <c r="K792" s="191"/>
      <c r="L792" s="192"/>
      <c r="M792" s="193"/>
    </row>
    <row r="793" ht="34.5" hidden="1" customHeight="1">
      <c r="A793" s="201" t="s">
        <v>507</v>
      </c>
      <c r="B793" s="195"/>
      <c r="C793" s="198"/>
      <c r="D793" s="199"/>
      <c r="E793" s="198"/>
      <c r="F793" s="195"/>
      <c r="G793" s="191"/>
      <c r="H793" s="192"/>
      <c r="I793" s="191"/>
      <c r="J793" s="191"/>
      <c r="K793" s="191"/>
      <c r="L793" s="192"/>
      <c r="M793" s="193"/>
    </row>
    <row r="794" ht="34.5" hidden="1" customHeight="1">
      <c r="A794" s="197" t="s">
        <v>181</v>
      </c>
      <c r="B794" s="195"/>
      <c r="C794" s="198"/>
      <c r="D794" s="199"/>
      <c r="E794" s="198"/>
      <c r="F794" s="195"/>
      <c r="G794" s="191"/>
      <c r="H794" s="192"/>
      <c r="I794" s="191"/>
      <c r="J794" s="191"/>
      <c r="K794" s="191"/>
      <c r="L794" s="192"/>
      <c r="M794" s="193"/>
    </row>
    <row r="795" ht="34.5" hidden="1" customHeight="1">
      <c r="A795" s="201" t="s">
        <v>507</v>
      </c>
      <c r="B795" s="195"/>
      <c r="C795" s="198"/>
      <c r="D795" s="199"/>
      <c r="E795" s="198"/>
      <c r="F795" s="195"/>
      <c r="G795" s="191"/>
      <c r="H795" s="192"/>
      <c r="I795" s="191"/>
      <c r="J795" s="191"/>
      <c r="K795" s="191"/>
      <c r="L795" s="192"/>
      <c r="M795" s="193"/>
    </row>
    <row r="796" ht="34.5" hidden="1" customHeight="1">
      <c r="A796" s="197" t="s">
        <v>181</v>
      </c>
      <c r="B796" s="195"/>
      <c r="C796" s="198"/>
      <c r="D796" s="199"/>
      <c r="E796" s="198"/>
      <c r="F796" s="195"/>
      <c r="G796" s="191"/>
      <c r="H796" s="192"/>
      <c r="I796" s="191"/>
      <c r="J796" s="191"/>
      <c r="K796" s="191"/>
      <c r="L796" s="192"/>
      <c r="M796" s="193"/>
    </row>
    <row r="797" ht="34.5" hidden="1" customHeight="1">
      <c r="A797" s="201" t="s">
        <v>507</v>
      </c>
      <c r="B797" s="195"/>
      <c r="C797" s="198"/>
      <c r="D797" s="199"/>
      <c r="E797" s="198"/>
      <c r="F797" s="195"/>
      <c r="G797" s="191"/>
      <c r="H797" s="192"/>
      <c r="I797" s="191"/>
      <c r="J797" s="191"/>
      <c r="K797" s="191"/>
      <c r="L797" s="192"/>
      <c r="M797" s="193"/>
    </row>
    <row r="798" ht="34.5" hidden="1" customHeight="1">
      <c r="A798" s="215"/>
      <c r="B798" s="195"/>
      <c r="C798" s="198"/>
      <c r="D798" s="199"/>
      <c r="E798" s="198"/>
      <c r="F798" s="195"/>
      <c r="G798" s="191"/>
      <c r="H798" s="192"/>
      <c r="I798" s="191"/>
      <c r="J798" s="191"/>
      <c r="K798" s="191"/>
      <c r="L798" s="192"/>
      <c r="M798" s="193"/>
    </row>
    <row r="799" ht="34.5" hidden="1" customHeight="1">
      <c r="A799" s="215"/>
      <c r="B799" s="195"/>
      <c r="C799" s="198"/>
      <c r="D799" s="199"/>
      <c r="E799" s="198"/>
      <c r="F799" s="195"/>
      <c r="G799" s="191"/>
      <c r="H799" s="192"/>
      <c r="I799" s="191"/>
      <c r="J799" s="191"/>
      <c r="K799" s="191"/>
      <c r="L799" s="192"/>
      <c r="M799" s="193"/>
    </row>
    <row r="800" ht="34.5" hidden="1" customHeight="1">
      <c r="A800" s="215"/>
      <c r="B800" s="195"/>
      <c r="C800" s="198"/>
      <c r="D800" s="199"/>
      <c r="E800" s="198"/>
      <c r="F800" s="195"/>
      <c r="G800" s="191"/>
      <c r="H800" s="192"/>
      <c r="I800" s="191"/>
      <c r="J800" s="191"/>
      <c r="K800" s="191"/>
      <c r="L800" s="192"/>
      <c r="M800" s="193"/>
    </row>
    <row r="801" ht="30.75" customHeight="1">
      <c r="A801" s="224" t="s">
        <v>63</v>
      </c>
      <c r="B801" s="195"/>
      <c r="C801" s="190" t="str">
        <f t="shared" ref="C801:D801" si="1">C11</f>
        <v/>
      </c>
      <c r="D801" s="190">
        <f t="shared" si="1"/>
        <v>3100.09</v>
      </c>
      <c r="E801" s="190"/>
      <c r="F801" s="190">
        <v>300.0</v>
      </c>
      <c r="G801" s="191"/>
      <c r="H801" s="196">
        <f>H12</f>
        <v>1862.65455</v>
      </c>
      <c r="I801" s="191"/>
      <c r="J801" s="225">
        <v>0.0</v>
      </c>
      <c r="K801" s="191"/>
      <c r="L801" s="196">
        <f>L12</f>
        <v>1862.65455</v>
      </c>
      <c r="M801" s="193"/>
    </row>
    <row r="802" ht="19.5" hidden="1" customHeight="1">
      <c r="A802" s="226"/>
      <c r="B802" s="227"/>
      <c r="C802" s="228"/>
      <c r="D802" s="228"/>
      <c r="E802" s="10"/>
      <c r="F802" s="10"/>
      <c r="G802" s="69"/>
      <c r="H802" s="229"/>
      <c r="I802" s="69"/>
      <c r="J802" s="69"/>
      <c r="K802" s="69"/>
      <c r="L802" s="69"/>
      <c r="M802" s="69"/>
    </row>
    <row r="803" ht="19.5" hidden="1" customHeight="1">
      <c r="A803" s="230" t="s">
        <v>64</v>
      </c>
      <c r="B803" s="231"/>
      <c r="C803" s="232" t="s">
        <v>66</v>
      </c>
      <c r="D803" s="171"/>
      <c r="E803" s="233"/>
      <c r="F803" s="171"/>
      <c r="G803" s="69"/>
      <c r="H803" s="229"/>
      <c r="I803" s="69"/>
      <c r="J803" s="69"/>
      <c r="K803" s="69"/>
      <c r="L803" s="69"/>
      <c r="M803" s="69"/>
    </row>
    <row r="804" ht="15.75" hidden="1" customHeight="1">
      <c r="A804" s="234"/>
      <c r="B804" s="234"/>
      <c r="C804" s="234"/>
      <c r="D804" s="235"/>
      <c r="E804" s="233"/>
      <c r="F804" s="171"/>
      <c r="G804" s="236"/>
      <c r="H804" s="237"/>
      <c r="I804" s="236"/>
      <c r="J804" s="236"/>
      <c r="K804" s="236"/>
      <c r="L804" s="236"/>
      <c r="M804" s="236"/>
    </row>
    <row r="805" ht="15.75" hidden="1" customHeight="1">
      <c r="A805" s="234"/>
      <c r="B805" s="233"/>
      <c r="C805" s="234"/>
      <c r="D805" s="171"/>
      <c r="E805" s="234"/>
      <c r="F805" s="171"/>
      <c r="G805" s="10"/>
      <c r="H805" s="183"/>
      <c r="I805" s="10"/>
      <c r="J805" s="10"/>
      <c r="K805" s="10"/>
      <c r="L805" s="10"/>
      <c r="M805" s="10"/>
    </row>
    <row r="806" ht="15.75" hidden="1" customHeight="1">
      <c r="A806" s="234"/>
      <c r="B806" s="233"/>
      <c r="C806" s="234"/>
      <c r="D806" s="171"/>
      <c r="E806" s="234"/>
      <c r="F806" s="171"/>
      <c r="G806" s="10"/>
      <c r="H806" s="183"/>
      <c r="I806" s="10"/>
      <c r="J806" s="10"/>
      <c r="K806" s="10"/>
      <c r="L806" s="10"/>
      <c r="M806" s="10"/>
    </row>
    <row r="807" ht="15.75" hidden="1" customHeight="1">
      <c r="A807" s="234"/>
      <c r="B807" s="234"/>
      <c r="C807" s="234"/>
      <c r="D807" s="171"/>
      <c r="E807" s="234"/>
      <c r="F807" s="171"/>
      <c r="G807" s="10"/>
      <c r="H807" s="183"/>
      <c r="I807" s="10"/>
      <c r="J807" s="10"/>
      <c r="K807" s="10"/>
      <c r="L807" s="10"/>
      <c r="M807" s="10"/>
    </row>
    <row r="808" ht="30.0" hidden="1" customHeight="1">
      <c r="A808" s="71" t="s">
        <v>67</v>
      </c>
      <c r="C808" s="71" t="s">
        <v>70</v>
      </c>
      <c r="D808" s="171"/>
      <c r="E808" s="234"/>
      <c r="F808" s="171"/>
      <c r="G808" s="10"/>
      <c r="H808" s="183"/>
      <c r="I808" s="10"/>
      <c r="J808" s="10"/>
      <c r="K808" s="10"/>
      <c r="L808" s="10"/>
      <c r="M808" s="10"/>
    </row>
    <row r="809" ht="15.75" hidden="1" customHeight="1">
      <c r="A809" s="60" t="s">
        <v>68</v>
      </c>
      <c r="C809" s="60" t="s">
        <v>72</v>
      </c>
      <c r="D809" s="171"/>
      <c r="E809" s="234"/>
      <c r="F809" s="171"/>
      <c r="G809" s="238"/>
      <c r="H809" s="239"/>
      <c r="I809" s="238"/>
      <c r="J809" s="238"/>
      <c r="K809" s="238"/>
      <c r="L809" s="238"/>
      <c r="M809" s="238"/>
    </row>
    <row r="810" ht="15.75" hidden="1" customHeight="1">
      <c r="A810" s="240"/>
      <c r="B810" s="233"/>
      <c r="G810" s="236"/>
      <c r="H810" s="237"/>
      <c r="I810" s="236"/>
      <c r="J810" s="236"/>
      <c r="K810" s="236"/>
      <c r="L810" s="236"/>
      <c r="M810" s="236"/>
    </row>
    <row r="811" ht="19.5" customHeight="1">
      <c r="A811" s="60"/>
      <c r="B811" s="60"/>
      <c r="C811" s="60"/>
      <c r="D811" s="60"/>
      <c r="E811" s="60"/>
      <c r="F811" s="60"/>
      <c r="G811" s="69"/>
      <c r="H811" s="229"/>
      <c r="I811" s="69"/>
      <c r="J811" s="69"/>
      <c r="K811" s="69"/>
      <c r="L811" s="69"/>
      <c r="M811" s="69"/>
    </row>
    <row r="812" ht="19.5" customHeight="1">
      <c r="A812" s="241" t="s">
        <v>64</v>
      </c>
      <c r="B812" s="242"/>
      <c r="D812" s="65" t="s">
        <v>65</v>
      </c>
      <c r="E812" s="170"/>
      <c r="H812" s="243" t="s">
        <v>66</v>
      </c>
      <c r="I812" s="171"/>
      <c r="J812" s="69"/>
      <c r="K812" s="69"/>
      <c r="L812" s="69"/>
      <c r="M812" s="69"/>
    </row>
    <row r="813" ht="19.5" customHeight="1">
      <c r="A813" s="244"/>
      <c r="B813" s="242"/>
      <c r="D813" s="86"/>
      <c r="E813" s="170"/>
      <c r="H813" s="85"/>
      <c r="I813" s="171"/>
      <c r="J813" s="69"/>
      <c r="K813" s="69"/>
      <c r="L813" s="69"/>
      <c r="M813" s="69"/>
    </row>
    <row r="814" ht="19.5" customHeight="1">
      <c r="A814" s="244"/>
      <c r="B814" s="242"/>
      <c r="D814" s="86"/>
      <c r="E814" s="170"/>
      <c r="H814" s="85"/>
      <c r="I814" s="171"/>
      <c r="J814" s="69"/>
      <c r="K814" s="69"/>
      <c r="L814" s="69"/>
      <c r="M814" s="69"/>
    </row>
    <row r="815" ht="19.5" customHeight="1">
      <c r="A815" s="245" t="s">
        <v>67</v>
      </c>
      <c r="B815" s="242"/>
      <c r="D815" s="72" t="s">
        <v>69</v>
      </c>
      <c r="E815" s="174"/>
      <c r="H815" s="246" t="s">
        <v>70</v>
      </c>
      <c r="I815" s="171"/>
      <c r="J815" s="69"/>
      <c r="K815" s="69"/>
      <c r="L815" s="69"/>
      <c r="M815" s="69"/>
    </row>
    <row r="816" ht="19.5" customHeight="1">
      <c r="A816" s="241" t="s">
        <v>68</v>
      </c>
      <c r="B816" s="242"/>
      <c r="C816" s="247"/>
      <c r="D816" s="65" t="s">
        <v>71</v>
      </c>
      <c r="E816" s="87"/>
      <c r="H816" s="243" t="s">
        <v>72</v>
      </c>
      <c r="I816" s="171"/>
      <c r="J816" s="69"/>
      <c r="K816" s="69"/>
      <c r="L816" s="69"/>
      <c r="M816" s="69"/>
    </row>
    <row r="817" ht="19.5" customHeight="1">
      <c r="A817" s="248"/>
      <c r="B817" s="182"/>
      <c r="C817" s="183"/>
      <c r="D817" s="183"/>
      <c r="E817" s="10"/>
      <c r="F817" s="10"/>
      <c r="G817" s="69"/>
      <c r="H817" s="229"/>
      <c r="I817" s="69"/>
      <c r="J817" s="69"/>
      <c r="K817" s="69"/>
      <c r="L817" s="69"/>
      <c r="M817" s="69"/>
    </row>
    <row r="818" ht="19.5" customHeight="1">
      <c r="A818" s="248"/>
      <c r="B818" s="182"/>
      <c r="C818" s="183"/>
      <c r="D818" s="183"/>
      <c r="E818" s="10"/>
      <c r="F818" s="10"/>
      <c r="G818" s="69"/>
      <c r="H818" s="229"/>
      <c r="I818" s="69"/>
      <c r="J818" s="69"/>
      <c r="K818" s="69"/>
      <c r="L818" s="69"/>
      <c r="M818" s="69"/>
    </row>
    <row r="819" ht="19.5" customHeight="1">
      <c r="A819" s="248"/>
      <c r="B819" s="182"/>
      <c r="C819" s="183"/>
      <c r="D819" s="183"/>
      <c r="E819" s="10"/>
      <c r="F819" s="10"/>
      <c r="G819" s="69"/>
      <c r="H819" s="229"/>
      <c r="I819" s="69"/>
      <c r="J819" s="69"/>
      <c r="K819" s="69"/>
      <c r="L819" s="69"/>
      <c r="M819" s="69"/>
    </row>
    <row r="820" ht="19.5" customHeight="1">
      <c r="A820" s="248"/>
      <c r="B820" s="182"/>
      <c r="C820" s="183"/>
      <c r="D820" s="183"/>
      <c r="E820" s="10"/>
      <c r="F820" s="10"/>
      <c r="G820" s="69"/>
      <c r="H820" s="229"/>
      <c r="I820" s="69"/>
      <c r="J820" s="69"/>
      <c r="K820" s="69"/>
      <c r="L820" s="69"/>
      <c r="M820" s="69"/>
    </row>
    <row r="821" ht="19.5" customHeight="1">
      <c r="A821" s="248"/>
      <c r="B821" s="182"/>
      <c r="C821" s="183"/>
      <c r="D821" s="183"/>
      <c r="E821" s="10"/>
      <c r="F821" s="10"/>
      <c r="G821" s="69"/>
      <c r="H821" s="229"/>
      <c r="I821" s="69"/>
      <c r="J821" s="69"/>
      <c r="K821" s="69"/>
      <c r="L821" s="69"/>
      <c r="M821" s="69"/>
    </row>
    <row r="822" ht="19.5" customHeight="1">
      <c r="A822" s="248"/>
      <c r="B822" s="182"/>
      <c r="C822" s="183"/>
      <c r="D822" s="183"/>
      <c r="E822" s="10"/>
      <c r="F822" s="10"/>
      <c r="G822" s="69"/>
      <c r="H822" s="229"/>
      <c r="I822" s="69"/>
      <c r="J822" s="69"/>
      <c r="K822" s="69"/>
      <c r="L822" s="69"/>
      <c r="M822" s="69"/>
    </row>
    <row r="823" ht="19.5" customHeight="1">
      <c r="A823" s="248"/>
      <c r="B823" s="182"/>
      <c r="C823" s="183"/>
      <c r="D823" s="183"/>
      <c r="E823" s="10"/>
      <c r="F823" s="10"/>
      <c r="G823" s="69"/>
      <c r="H823" s="229"/>
      <c r="I823" s="69"/>
      <c r="J823" s="69"/>
      <c r="K823" s="69"/>
      <c r="L823" s="69"/>
      <c r="M823" s="69"/>
    </row>
    <row r="824" ht="19.5" customHeight="1">
      <c r="A824" s="248"/>
      <c r="B824" s="182"/>
      <c r="C824" s="183"/>
      <c r="D824" s="183"/>
      <c r="E824" s="10"/>
      <c r="F824" s="10"/>
      <c r="G824" s="69"/>
      <c r="H824" s="229"/>
      <c r="I824" s="69"/>
      <c r="J824" s="69"/>
      <c r="K824" s="69"/>
      <c r="L824" s="69"/>
      <c r="M824" s="69"/>
    </row>
    <row r="825" ht="19.5" customHeight="1">
      <c r="A825" s="248"/>
      <c r="B825" s="182"/>
      <c r="C825" s="183"/>
      <c r="D825" s="183"/>
      <c r="E825" s="10"/>
      <c r="F825" s="10"/>
      <c r="G825" s="69"/>
      <c r="H825" s="229"/>
      <c r="I825" s="69"/>
      <c r="J825" s="69"/>
      <c r="K825" s="69"/>
      <c r="L825" s="69"/>
      <c r="M825" s="69"/>
    </row>
    <row r="826" ht="19.5" customHeight="1">
      <c r="A826" s="248"/>
      <c r="B826" s="182"/>
      <c r="C826" s="183"/>
      <c r="D826" s="183"/>
      <c r="E826" s="10"/>
      <c r="F826" s="10"/>
      <c r="G826" s="69"/>
      <c r="H826" s="229"/>
      <c r="I826" s="69"/>
      <c r="J826" s="69"/>
      <c r="K826" s="69"/>
      <c r="L826" s="69"/>
      <c r="M826" s="69"/>
    </row>
    <row r="827" ht="19.5" customHeight="1">
      <c r="A827" s="248"/>
      <c r="B827" s="182"/>
      <c r="C827" s="183"/>
      <c r="D827" s="183"/>
      <c r="E827" s="10"/>
      <c r="F827" s="10"/>
      <c r="G827" s="69"/>
      <c r="H827" s="229"/>
      <c r="I827" s="69"/>
      <c r="J827" s="69"/>
      <c r="K827" s="69"/>
      <c r="L827" s="69"/>
      <c r="M827" s="69"/>
    </row>
    <row r="828" ht="19.5" customHeight="1">
      <c r="A828" s="248"/>
      <c r="B828" s="182"/>
      <c r="C828" s="183"/>
      <c r="D828" s="183"/>
      <c r="E828" s="10"/>
      <c r="F828" s="10"/>
      <c r="G828" s="69"/>
      <c r="H828" s="229"/>
      <c r="I828" s="69"/>
      <c r="J828" s="69"/>
      <c r="K828" s="69"/>
      <c r="L828" s="69"/>
      <c r="M828" s="69"/>
    </row>
    <row r="829" ht="19.5" customHeight="1">
      <c r="A829" s="248"/>
      <c r="B829" s="182"/>
      <c r="C829" s="183"/>
      <c r="D829" s="183"/>
      <c r="E829" s="10"/>
      <c r="F829" s="10"/>
      <c r="G829" s="69"/>
      <c r="H829" s="229"/>
      <c r="I829" s="69"/>
      <c r="J829" s="69"/>
      <c r="K829" s="69"/>
      <c r="L829" s="69"/>
      <c r="M829" s="69"/>
    </row>
    <row r="830" ht="19.5" customHeight="1">
      <c r="A830" s="248"/>
      <c r="B830" s="182"/>
      <c r="C830" s="183"/>
      <c r="D830" s="183"/>
      <c r="E830" s="10"/>
      <c r="F830" s="10"/>
      <c r="G830" s="69"/>
      <c r="H830" s="229"/>
      <c r="I830" s="69"/>
      <c r="J830" s="69"/>
      <c r="K830" s="69"/>
      <c r="L830" s="69"/>
      <c r="M830" s="69"/>
    </row>
    <row r="831" ht="19.5" customHeight="1">
      <c r="A831" s="182"/>
      <c r="B831" s="182"/>
      <c r="C831" s="183"/>
      <c r="D831" s="183"/>
      <c r="E831" s="10"/>
      <c r="F831" s="10"/>
      <c r="G831" s="69"/>
      <c r="H831" s="229"/>
      <c r="I831" s="69"/>
      <c r="J831" s="69"/>
      <c r="K831" s="69"/>
      <c r="L831" s="69"/>
      <c r="M831" s="69"/>
    </row>
    <row r="832" ht="19.5" customHeight="1">
      <c r="A832" s="182"/>
      <c r="B832" s="182"/>
      <c r="C832" s="183"/>
      <c r="D832" s="183"/>
      <c r="E832" s="10"/>
      <c r="F832" s="10"/>
      <c r="G832" s="69"/>
      <c r="H832" s="229"/>
      <c r="I832" s="69"/>
      <c r="J832" s="69"/>
      <c r="K832" s="69"/>
      <c r="L832" s="69"/>
      <c r="M832" s="69"/>
    </row>
    <row r="833" ht="19.5" customHeight="1">
      <c r="A833" s="182"/>
      <c r="B833" s="182"/>
      <c r="C833" s="183"/>
      <c r="D833" s="183"/>
      <c r="E833" s="10"/>
      <c r="F833" s="10"/>
      <c r="G833" s="69"/>
      <c r="H833" s="229"/>
      <c r="I833" s="69"/>
      <c r="J833" s="69"/>
      <c r="K833" s="69"/>
      <c r="L833" s="69"/>
      <c r="M833" s="69"/>
    </row>
    <row r="834" ht="19.5" customHeight="1">
      <c r="A834" s="182"/>
      <c r="B834" s="182"/>
      <c r="C834" s="183"/>
      <c r="D834" s="183"/>
      <c r="E834" s="10"/>
      <c r="F834" s="10"/>
      <c r="G834" s="69"/>
      <c r="H834" s="229"/>
      <c r="I834" s="69"/>
      <c r="J834" s="69"/>
      <c r="K834" s="69"/>
      <c r="L834" s="69"/>
      <c r="M834" s="69"/>
    </row>
    <row r="835" ht="19.5" customHeight="1">
      <c r="A835" s="182"/>
      <c r="B835" s="182"/>
      <c r="C835" s="183"/>
      <c r="D835" s="183"/>
      <c r="E835" s="10"/>
      <c r="F835" s="10"/>
      <c r="G835" s="69"/>
      <c r="H835" s="229"/>
      <c r="I835" s="69"/>
      <c r="J835" s="69"/>
      <c r="K835" s="69"/>
      <c r="L835" s="69"/>
      <c r="M835" s="69"/>
    </row>
    <row r="836" ht="19.5" customHeight="1">
      <c r="A836" s="182"/>
      <c r="B836" s="182"/>
      <c r="C836" s="183"/>
      <c r="D836" s="183"/>
      <c r="E836" s="10"/>
      <c r="F836" s="10"/>
      <c r="G836" s="69"/>
      <c r="H836" s="229"/>
      <c r="I836" s="69"/>
      <c r="J836" s="69"/>
      <c r="K836" s="69"/>
      <c r="L836" s="69"/>
      <c r="M836" s="69"/>
    </row>
    <row r="837" ht="19.5" customHeight="1">
      <c r="A837" s="182"/>
      <c r="B837" s="182"/>
      <c r="C837" s="183"/>
      <c r="D837" s="183"/>
      <c r="E837" s="10"/>
      <c r="F837" s="10"/>
      <c r="G837" s="69"/>
      <c r="H837" s="229"/>
      <c r="I837" s="69"/>
      <c r="J837" s="69"/>
      <c r="K837" s="69"/>
      <c r="L837" s="69"/>
      <c r="M837" s="69"/>
    </row>
    <row r="838" ht="19.5" customHeight="1">
      <c r="A838" s="182"/>
      <c r="B838" s="182"/>
      <c r="C838" s="183"/>
      <c r="D838" s="183"/>
      <c r="E838" s="10"/>
      <c r="F838" s="10"/>
      <c r="G838" s="69"/>
      <c r="H838" s="229"/>
      <c r="I838" s="69"/>
      <c r="J838" s="69"/>
      <c r="K838" s="69"/>
      <c r="L838" s="69"/>
      <c r="M838" s="69"/>
    </row>
    <row r="839" ht="19.5" customHeight="1">
      <c r="A839" s="182"/>
      <c r="B839" s="182"/>
      <c r="C839" s="183"/>
      <c r="D839" s="183"/>
      <c r="E839" s="10"/>
      <c r="F839" s="10"/>
      <c r="G839" s="69"/>
      <c r="H839" s="229"/>
      <c r="I839" s="69"/>
      <c r="J839" s="69"/>
      <c r="K839" s="69"/>
      <c r="L839" s="69"/>
      <c r="M839" s="69"/>
    </row>
    <row r="840" ht="19.5" customHeight="1">
      <c r="A840" s="182"/>
      <c r="B840" s="182"/>
      <c r="C840" s="183"/>
      <c r="D840" s="183"/>
      <c r="E840" s="10"/>
      <c r="F840" s="10"/>
      <c r="G840" s="69"/>
      <c r="H840" s="229"/>
      <c r="I840" s="69"/>
      <c r="J840" s="69"/>
      <c r="K840" s="69"/>
      <c r="L840" s="69"/>
      <c r="M840" s="69"/>
    </row>
    <row r="841" ht="19.5" customHeight="1">
      <c r="A841" s="182"/>
      <c r="B841" s="182"/>
      <c r="C841" s="183"/>
      <c r="D841" s="183"/>
      <c r="E841" s="10"/>
      <c r="F841" s="10"/>
      <c r="G841" s="69"/>
      <c r="H841" s="229"/>
      <c r="I841" s="69"/>
      <c r="J841" s="69"/>
      <c r="K841" s="69"/>
      <c r="L841" s="69"/>
      <c r="M841" s="69"/>
    </row>
    <row r="842" ht="19.5" customHeight="1">
      <c r="A842" s="182"/>
      <c r="B842" s="182"/>
      <c r="C842" s="183"/>
      <c r="D842" s="183"/>
      <c r="E842" s="10"/>
      <c r="F842" s="10"/>
      <c r="G842" s="69"/>
      <c r="H842" s="229"/>
      <c r="I842" s="69"/>
      <c r="J842" s="69"/>
      <c r="K842" s="69"/>
      <c r="L842" s="69"/>
      <c r="M842" s="69"/>
    </row>
    <row r="843" ht="19.5" customHeight="1">
      <c r="A843" s="182"/>
      <c r="B843" s="182"/>
      <c r="C843" s="183"/>
      <c r="D843" s="183"/>
      <c r="E843" s="10"/>
      <c r="F843" s="10"/>
      <c r="G843" s="69"/>
      <c r="H843" s="229"/>
      <c r="I843" s="69"/>
      <c r="J843" s="69"/>
      <c r="K843" s="69"/>
      <c r="L843" s="69"/>
      <c r="M843" s="69"/>
    </row>
    <row r="844" ht="19.5" customHeight="1">
      <c r="A844" s="182"/>
      <c r="B844" s="182"/>
      <c r="C844" s="183"/>
      <c r="D844" s="183"/>
      <c r="E844" s="10"/>
      <c r="F844" s="10"/>
      <c r="G844" s="69"/>
      <c r="H844" s="229"/>
      <c r="I844" s="69"/>
      <c r="J844" s="69"/>
      <c r="K844" s="69"/>
      <c r="L844" s="69"/>
      <c r="M844" s="69"/>
    </row>
    <row r="845" ht="19.5" customHeight="1">
      <c r="A845" s="182"/>
      <c r="B845" s="182"/>
      <c r="C845" s="183"/>
      <c r="D845" s="183"/>
      <c r="E845" s="10"/>
      <c r="F845" s="10"/>
      <c r="G845" s="69"/>
      <c r="H845" s="229"/>
      <c r="I845" s="69"/>
      <c r="J845" s="69"/>
      <c r="K845" s="69"/>
      <c r="L845" s="69"/>
      <c r="M845" s="69"/>
    </row>
    <row r="846" ht="19.5" customHeight="1">
      <c r="A846" s="182"/>
      <c r="B846" s="182"/>
      <c r="C846" s="183"/>
      <c r="D846" s="183"/>
      <c r="E846" s="10"/>
      <c r="F846" s="10"/>
      <c r="G846" s="69"/>
      <c r="H846" s="229"/>
      <c r="I846" s="69"/>
      <c r="J846" s="69"/>
      <c r="K846" s="69"/>
      <c r="L846" s="69"/>
      <c r="M846" s="69"/>
    </row>
    <row r="847" ht="19.5" customHeight="1">
      <c r="A847" s="10"/>
      <c r="B847" s="10"/>
      <c r="C847" s="183"/>
      <c r="D847" s="183"/>
      <c r="E847" s="10"/>
      <c r="F847" s="10"/>
      <c r="G847" s="69"/>
      <c r="H847" s="229"/>
      <c r="I847" s="69"/>
      <c r="J847" s="69"/>
      <c r="K847" s="69"/>
      <c r="L847" s="69"/>
      <c r="M847" s="69"/>
    </row>
    <row r="848" ht="19.5" customHeight="1">
      <c r="A848" s="10"/>
      <c r="B848" s="10"/>
      <c r="C848" s="183"/>
      <c r="D848" s="183"/>
      <c r="E848" s="10"/>
      <c r="F848" s="10"/>
      <c r="G848" s="69"/>
      <c r="H848" s="229"/>
      <c r="I848" s="69"/>
      <c r="J848" s="69"/>
      <c r="K848" s="69"/>
      <c r="L848" s="69"/>
      <c r="M848" s="69"/>
    </row>
    <row r="849" ht="19.5" customHeight="1">
      <c r="A849" s="10"/>
      <c r="B849" s="10"/>
      <c r="C849" s="183"/>
      <c r="D849" s="183"/>
      <c r="E849" s="10"/>
      <c r="F849" s="10"/>
      <c r="G849" s="69"/>
      <c r="H849" s="229"/>
      <c r="I849" s="69"/>
      <c r="J849" s="69"/>
      <c r="K849" s="69"/>
      <c r="L849" s="69"/>
      <c r="M849" s="69"/>
    </row>
    <row r="850" ht="19.5" customHeight="1">
      <c r="A850" s="10"/>
      <c r="B850" s="10"/>
      <c r="C850" s="183"/>
      <c r="D850" s="183"/>
      <c r="E850" s="10"/>
      <c r="F850" s="10"/>
      <c r="G850" s="69"/>
      <c r="H850" s="229"/>
      <c r="I850" s="69"/>
      <c r="J850" s="69"/>
      <c r="K850" s="69"/>
      <c r="L850" s="69"/>
      <c r="M850" s="69"/>
    </row>
    <row r="851" ht="19.5" customHeight="1">
      <c r="A851" s="10"/>
      <c r="B851" s="10"/>
      <c r="C851" s="183"/>
      <c r="D851" s="183"/>
      <c r="E851" s="10"/>
      <c r="F851" s="10"/>
      <c r="G851" s="69"/>
      <c r="H851" s="229"/>
      <c r="I851" s="69"/>
      <c r="J851" s="69"/>
      <c r="K851" s="69"/>
      <c r="L851" s="69"/>
      <c r="M851" s="69"/>
    </row>
    <row r="852" ht="15.75" customHeight="1">
      <c r="A852" s="10"/>
      <c r="B852" s="10"/>
      <c r="C852" s="183"/>
      <c r="D852" s="183"/>
      <c r="E852" s="10"/>
      <c r="F852" s="10"/>
      <c r="G852" s="69"/>
      <c r="H852" s="229"/>
      <c r="I852" s="69"/>
      <c r="J852" s="69"/>
      <c r="K852" s="69"/>
      <c r="L852" s="69"/>
      <c r="M852" s="69"/>
    </row>
    <row r="853" ht="15.75" customHeight="1">
      <c r="A853" s="10"/>
      <c r="B853" s="10"/>
      <c r="C853" s="183"/>
      <c r="D853" s="183"/>
      <c r="E853" s="10"/>
      <c r="F853" s="10"/>
      <c r="G853" s="69"/>
      <c r="H853" s="229"/>
      <c r="I853" s="69"/>
      <c r="J853" s="69"/>
      <c r="K853" s="69"/>
      <c r="L853" s="69"/>
      <c r="M853" s="69"/>
    </row>
    <row r="854" ht="15.75" customHeight="1">
      <c r="A854" s="10"/>
      <c r="B854" s="10"/>
      <c r="C854" s="183"/>
      <c r="D854" s="183"/>
      <c r="E854" s="10"/>
      <c r="F854" s="10"/>
      <c r="G854" s="69"/>
      <c r="H854" s="229"/>
      <c r="I854" s="69"/>
      <c r="J854" s="69"/>
      <c r="K854" s="69"/>
      <c r="L854" s="69"/>
      <c r="M854" s="69"/>
    </row>
    <row r="855" ht="15.75" customHeight="1">
      <c r="A855" s="10"/>
      <c r="B855" s="10"/>
      <c r="C855" s="183"/>
      <c r="D855" s="183"/>
      <c r="E855" s="10"/>
      <c r="F855" s="10"/>
      <c r="G855" s="69"/>
      <c r="H855" s="229"/>
      <c r="I855" s="69"/>
      <c r="J855" s="69"/>
      <c r="K855" s="69"/>
      <c r="L855" s="69"/>
      <c r="M855" s="69"/>
    </row>
    <row r="856" ht="15.75" customHeight="1">
      <c r="A856" s="10"/>
      <c r="B856" s="10"/>
      <c r="C856" s="183"/>
      <c r="D856" s="183"/>
      <c r="E856" s="10"/>
      <c r="F856" s="10"/>
      <c r="G856" s="69"/>
      <c r="H856" s="229"/>
      <c r="I856" s="69"/>
      <c r="J856" s="69"/>
      <c r="K856" s="69"/>
      <c r="L856" s="69"/>
      <c r="M856" s="69"/>
    </row>
    <row r="857" ht="15.75" customHeight="1">
      <c r="A857" s="10"/>
      <c r="B857" s="10"/>
      <c r="C857" s="183"/>
      <c r="D857" s="183"/>
      <c r="E857" s="10"/>
      <c r="F857" s="10"/>
      <c r="G857" s="69"/>
      <c r="H857" s="229"/>
      <c r="I857" s="69"/>
      <c r="J857" s="69"/>
      <c r="K857" s="69"/>
      <c r="L857" s="69"/>
      <c r="M857" s="69"/>
    </row>
    <row r="858" ht="15.75" customHeight="1">
      <c r="A858" s="10"/>
      <c r="B858" s="10"/>
      <c r="C858" s="183"/>
      <c r="D858" s="183"/>
      <c r="E858" s="10"/>
      <c r="F858" s="10"/>
      <c r="G858" s="69"/>
      <c r="H858" s="229"/>
      <c r="I858" s="69"/>
      <c r="J858" s="69"/>
      <c r="K858" s="69"/>
      <c r="L858" s="69"/>
      <c r="M858" s="69"/>
    </row>
    <row r="859" ht="15.75" customHeight="1">
      <c r="A859" s="10"/>
      <c r="B859" s="10"/>
      <c r="C859" s="183"/>
      <c r="D859" s="183"/>
      <c r="E859" s="10"/>
      <c r="F859" s="10"/>
      <c r="G859" s="69"/>
      <c r="H859" s="229"/>
      <c r="I859" s="69"/>
      <c r="J859" s="69"/>
      <c r="K859" s="69"/>
      <c r="L859" s="69"/>
      <c r="M859" s="69"/>
    </row>
    <row r="860" ht="15.75" customHeight="1">
      <c r="A860" s="10"/>
      <c r="B860" s="10"/>
      <c r="C860" s="183"/>
      <c r="D860" s="183"/>
      <c r="E860" s="10"/>
      <c r="F860" s="10"/>
      <c r="G860" s="69"/>
      <c r="H860" s="229"/>
      <c r="I860" s="69"/>
      <c r="J860" s="69"/>
      <c r="K860" s="69"/>
      <c r="L860" s="69"/>
      <c r="M860" s="69"/>
    </row>
    <row r="861" ht="15.75" customHeight="1">
      <c r="A861" s="10"/>
      <c r="B861" s="10"/>
      <c r="C861" s="183"/>
      <c r="D861" s="183"/>
      <c r="E861" s="10"/>
      <c r="F861" s="10"/>
      <c r="G861" s="69"/>
      <c r="H861" s="229"/>
      <c r="I861" s="69"/>
      <c r="J861" s="69"/>
      <c r="K861" s="69"/>
      <c r="L861" s="69"/>
      <c r="M861" s="69"/>
    </row>
    <row r="862" ht="15.75" customHeight="1">
      <c r="A862" s="10"/>
      <c r="B862" s="10"/>
      <c r="C862" s="183"/>
      <c r="D862" s="183"/>
      <c r="E862" s="10"/>
      <c r="F862" s="10"/>
      <c r="G862" s="69"/>
      <c r="H862" s="229"/>
      <c r="I862" s="69"/>
      <c r="J862" s="69"/>
      <c r="K862" s="69"/>
      <c r="L862" s="69"/>
      <c r="M862" s="69"/>
    </row>
    <row r="863" ht="15.75" customHeight="1">
      <c r="A863" s="10"/>
      <c r="B863" s="10"/>
      <c r="C863" s="183"/>
      <c r="D863" s="183"/>
      <c r="E863" s="10"/>
      <c r="F863" s="10"/>
      <c r="G863" s="69"/>
      <c r="H863" s="229"/>
      <c r="I863" s="69"/>
      <c r="J863" s="69"/>
      <c r="K863" s="69"/>
      <c r="L863" s="69"/>
      <c r="M863" s="69"/>
    </row>
    <row r="864" ht="15.75" customHeight="1">
      <c r="A864" s="10"/>
      <c r="B864" s="10"/>
      <c r="C864" s="183"/>
      <c r="D864" s="183"/>
      <c r="E864" s="10"/>
      <c r="F864" s="10"/>
      <c r="G864" s="69"/>
      <c r="H864" s="229"/>
      <c r="I864" s="69"/>
      <c r="J864" s="69"/>
      <c r="K864" s="69"/>
      <c r="L864" s="69"/>
      <c r="M864" s="69"/>
    </row>
    <row r="865" ht="15.75" customHeight="1">
      <c r="A865" s="10"/>
      <c r="B865" s="10"/>
      <c r="C865" s="183"/>
      <c r="D865" s="183"/>
      <c r="E865" s="10"/>
      <c r="F865" s="10"/>
      <c r="G865" s="69"/>
      <c r="H865" s="229"/>
      <c r="I865" s="69"/>
      <c r="J865" s="69"/>
      <c r="K865" s="69"/>
      <c r="L865" s="69"/>
      <c r="M865" s="69"/>
    </row>
    <row r="866" ht="15.75" customHeight="1">
      <c r="A866" s="10"/>
      <c r="B866" s="10"/>
      <c r="C866" s="183"/>
      <c r="D866" s="183"/>
      <c r="E866" s="10"/>
      <c r="F866" s="10"/>
      <c r="G866" s="69"/>
      <c r="H866" s="229"/>
      <c r="I866" s="69"/>
      <c r="J866" s="69"/>
      <c r="K866" s="69"/>
      <c r="L866" s="69"/>
      <c r="M866" s="69"/>
    </row>
    <row r="867" ht="15.75" customHeight="1">
      <c r="A867" s="10"/>
      <c r="B867" s="10"/>
      <c r="C867" s="183"/>
      <c r="D867" s="183"/>
      <c r="E867" s="10"/>
      <c r="F867" s="10"/>
      <c r="G867" s="69"/>
      <c r="H867" s="229"/>
      <c r="I867" s="69"/>
      <c r="J867" s="69"/>
      <c r="K867" s="69"/>
      <c r="L867" s="69"/>
      <c r="M867" s="69"/>
    </row>
    <row r="868" ht="15.75" customHeight="1">
      <c r="A868" s="10"/>
      <c r="B868" s="10"/>
      <c r="C868" s="183"/>
      <c r="D868" s="183"/>
      <c r="E868" s="10"/>
      <c r="F868" s="10"/>
      <c r="G868" s="69"/>
      <c r="H868" s="229"/>
      <c r="I868" s="69"/>
      <c r="J868" s="69"/>
      <c r="K868" s="69"/>
      <c r="L868" s="69"/>
      <c r="M868" s="69"/>
    </row>
    <row r="869" ht="15.75" customHeight="1">
      <c r="A869" s="10"/>
      <c r="B869" s="10"/>
      <c r="C869" s="183"/>
      <c r="D869" s="183"/>
      <c r="E869" s="10"/>
      <c r="F869" s="10"/>
      <c r="G869" s="69"/>
      <c r="H869" s="229"/>
      <c r="I869" s="69"/>
      <c r="J869" s="69"/>
      <c r="K869" s="69"/>
      <c r="L869" s="69"/>
      <c r="M869" s="69"/>
    </row>
    <row r="870" ht="15.75" customHeight="1">
      <c r="A870" s="10"/>
      <c r="B870" s="10"/>
      <c r="C870" s="183"/>
      <c r="D870" s="183"/>
      <c r="E870" s="10"/>
      <c r="F870" s="10"/>
      <c r="G870" s="69"/>
      <c r="H870" s="229"/>
      <c r="I870" s="69"/>
      <c r="J870" s="69"/>
      <c r="K870" s="69"/>
      <c r="L870" s="69"/>
      <c r="M870" s="69"/>
    </row>
    <row r="871" ht="15.75" customHeight="1">
      <c r="A871" s="10"/>
      <c r="B871" s="10"/>
      <c r="C871" s="183"/>
      <c r="D871" s="183"/>
      <c r="E871" s="10"/>
      <c r="F871" s="10"/>
      <c r="G871" s="69"/>
      <c r="H871" s="229"/>
      <c r="I871" s="69"/>
      <c r="J871" s="69"/>
      <c r="K871" s="69"/>
      <c r="L871" s="69"/>
      <c r="M871" s="69"/>
    </row>
    <row r="872" ht="15.75" customHeight="1">
      <c r="A872" s="10"/>
      <c r="B872" s="10"/>
      <c r="C872" s="183"/>
      <c r="D872" s="183"/>
      <c r="E872" s="10"/>
      <c r="F872" s="10"/>
      <c r="G872" s="69"/>
      <c r="H872" s="229"/>
      <c r="I872" s="69"/>
      <c r="J872" s="69"/>
      <c r="K872" s="69"/>
      <c r="L872" s="69"/>
      <c r="M872" s="69"/>
    </row>
    <row r="873" ht="15.75" customHeight="1">
      <c r="A873" s="10"/>
      <c r="B873" s="10"/>
      <c r="C873" s="183"/>
      <c r="D873" s="183"/>
      <c r="E873" s="10"/>
      <c r="F873" s="10"/>
      <c r="G873" s="69"/>
      <c r="H873" s="229"/>
      <c r="I873" s="69"/>
      <c r="J873" s="69"/>
      <c r="K873" s="69"/>
      <c r="L873" s="69"/>
      <c r="M873" s="69"/>
    </row>
    <row r="874" ht="15.75" customHeight="1">
      <c r="A874" s="10"/>
      <c r="B874" s="10"/>
      <c r="C874" s="183"/>
      <c r="D874" s="183"/>
      <c r="E874" s="10"/>
      <c r="F874" s="10"/>
      <c r="G874" s="69"/>
      <c r="H874" s="229"/>
      <c r="I874" s="69"/>
      <c r="J874" s="69"/>
      <c r="K874" s="69"/>
      <c r="L874" s="69"/>
      <c r="M874" s="69"/>
    </row>
    <row r="875" ht="15.75" customHeight="1">
      <c r="A875" s="10"/>
      <c r="B875" s="10"/>
      <c r="C875" s="183"/>
      <c r="D875" s="183"/>
      <c r="E875" s="10"/>
      <c r="F875" s="10"/>
      <c r="G875" s="69"/>
      <c r="H875" s="229"/>
      <c r="I875" s="69"/>
      <c r="J875" s="69"/>
      <c r="K875" s="69"/>
      <c r="L875" s="69"/>
      <c r="M875" s="69"/>
    </row>
    <row r="876" ht="15.75" customHeight="1">
      <c r="A876" s="249"/>
      <c r="B876" s="249"/>
      <c r="C876" s="249"/>
      <c r="D876" s="249"/>
      <c r="E876" s="10"/>
      <c r="F876" s="10"/>
      <c r="G876" s="69"/>
      <c r="H876" s="229"/>
      <c r="I876" s="69"/>
      <c r="J876" s="69"/>
      <c r="K876" s="69"/>
      <c r="L876" s="69"/>
      <c r="M876" s="69"/>
    </row>
    <row r="877" ht="15.75" customHeight="1">
      <c r="A877" s="249"/>
      <c r="B877" s="249"/>
      <c r="C877" s="249"/>
      <c r="D877" s="249"/>
      <c r="E877" s="10"/>
      <c r="F877" s="10"/>
      <c r="G877" s="69"/>
      <c r="H877" s="229"/>
      <c r="I877" s="69"/>
      <c r="J877" s="69"/>
      <c r="K877" s="69"/>
      <c r="L877" s="69"/>
      <c r="M877" s="69"/>
    </row>
    <row r="878" ht="15.75" customHeight="1">
      <c r="A878" s="249"/>
      <c r="B878" s="249"/>
      <c r="C878" s="249"/>
      <c r="D878" s="249"/>
      <c r="E878" s="10"/>
      <c r="F878" s="10"/>
      <c r="G878" s="69"/>
      <c r="H878" s="229"/>
      <c r="I878" s="69"/>
      <c r="J878" s="69"/>
      <c r="K878" s="69"/>
      <c r="L878" s="69"/>
      <c r="M878" s="69"/>
    </row>
    <row r="879" ht="15.75" customHeight="1">
      <c r="A879" s="249"/>
      <c r="B879" s="249"/>
      <c r="C879" s="249"/>
      <c r="D879" s="249"/>
      <c r="E879" s="10"/>
      <c r="F879" s="10"/>
      <c r="G879" s="69"/>
      <c r="H879" s="229"/>
      <c r="I879" s="69"/>
      <c r="J879" s="69"/>
      <c r="K879" s="69"/>
      <c r="L879" s="69"/>
      <c r="M879" s="69"/>
    </row>
    <row r="880" ht="15.75" customHeight="1">
      <c r="A880" s="249"/>
      <c r="B880" s="249"/>
      <c r="C880" s="249"/>
      <c r="D880" s="249"/>
      <c r="E880" s="10"/>
      <c r="F880" s="10"/>
      <c r="G880" s="69"/>
      <c r="H880" s="229"/>
      <c r="I880" s="69"/>
      <c r="J880" s="69"/>
      <c r="K880" s="69"/>
      <c r="L880" s="69"/>
      <c r="M880" s="69"/>
    </row>
    <row r="881" ht="15.75" customHeight="1">
      <c r="A881" s="249"/>
      <c r="B881" s="249"/>
      <c r="C881" s="249"/>
      <c r="D881" s="249"/>
      <c r="E881" s="10"/>
      <c r="F881" s="10"/>
      <c r="G881" s="69"/>
      <c r="H881" s="229"/>
      <c r="I881" s="69"/>
      <c r="J881" s="69"/>
      <c r="K881" s="69"/>
      <c r="L881" s="69"/>
      <c r="M881" s="69"/>
    </row>
    <row r="882" ht="15.75" customHeight="1">
      <c r="A882" s="249"/>
      <c r="B882" s="249"/>
      <c r="C882" s="249"/>
      <c r="D882" s="249"/>
      <c r="E882" s="10"/>
      <c r="F882" s="10"/>
      <c r="G882" s="69"/>
      <c r="H882" s="229"/>
      <c r="I882" s="69"/>
      <c r="J882" s="69"/>
      <c r="K882" s="69"/>
      <c r="L882" s="69"/>
      <c r="M882" s="69"/>
    </row>
    <row r="883" ht="15.75" customHeight="1">
      <c r="A883" s="249"/>
      <c r="B883" s="249"/>
      <c r="C883" s="249"/>
      <c r="D883" s="249"/>
      <c r="E883" s="10"/>
      <c r="F883" s="10"/>
      <c r="G883" s="69"/>
      <c r="H883" s="229"/>
      <c r="I883" s="69"/>
      <c r="J883" s="69"/>
      <c r="K883" s="69"/>
      <c r="L883" s="69"/>
      <c r="M883" s="69"/>
    </row>
    <row r="884" ht="15.75" customHeight="1">
      <c r="A884" s="249"/>
      <c r="B884" s="249"/>
      <c r="C884" s="249"/>
      <c r="D884" s="249"/>
      <c r="E884" s="10"/>
      <c r="F884" s="10"/>
      <c r="G884" s="69"/>
      <c r="H884" s="229"/>
      <c r="I884" s="69"/>
      <c r="J884" s="69"/>
      <c r="K884" s="69"/>
      <c r="L884" s="69"/>
      <c r="M884" s="69"/>
    </row>
    <row r="885" ht="15.75" customHeight="1">
      <c r="A885" s="249"/>
      <c r="B885" s="249"/>
      <c r="C885" s="249"/>
      <c r="D885" s="249"/>
      <c r="E885" s="10"/>
      <c r="F885" s="10"/>
      <c r="G885" s="69"/>
      <c r="H885" s="229"/>
      <c r="I885" s="69"/>
      <c r="J885" s="69"/>
      <c r="K885" s="69"/>
      <c r="L885" s="69"/>
      <c r="M885" s="69"/>
    </row>
    <row r="886" ht="15.75" customHeight="1">
      <c r="A886" s="249"/>
      <c r="B886" s="249"/>
      <c r="C886" s="249"/>
      <c r="D886" s="249"/>
      <c r="E886" s="10"/>
      <c r="F886" s="10"/>
      <c r="G886" s="69"/>
      <c r="H886" s="229"/>
      <c r="I886" s="69"/>
      <c r="J886" s="69"/>
      <c r="K886" s="69"/>
      <c r="L886" s="69"/>
      <c r="M886" s="69"/>
    </row>
    <row r="887" ht="15.75" customHeight="1">
      <c r="A887" s="249"/>
      <c r="B887" s="249"/>
      <c r="C887" s="249"/>
      <c r="D887" s="249"/>
      <c r="E887" s="10"/>
      <c r="F887" s="10"/>
      <c r="G887" s="69"/>
      <c r="H887" s="229"/>
      <c r="I887" s="69"/>
      <c r="J887" s="69"/>
      <c r="K887" s="69"/>
      <c r="L887" s="69"/>
      <c r="M887" s="69"/>
    </row>
    <row r="888" ht="15.75" customHeight="1">
      <c r="A888" s="249"/>
      <c r="B888" s="249"/>
      <c r="C888" s="249"/>
      <c r="D888" s="249"/>
      <c r="E888" s="10"/>
      <c r="F888" s="10"/>
      <c r="G888" s="69"/>
      <c r="H888" s="229"/>
      <c r="I888" s="69"/>
      <c r="J888" s="69"/>
      <c r="K888" s="69"/>
      <c r="L888" s="69"/>
      <c r="M888" s="69"/>
    </row>
    <row r="889" ht="15.75" customHeight="1">
      <c r="A889" s="249"/>
      <c r="B889" s="249"/>
      <c r="C889" s="249"/>
      <c r="D889" s="249"/>
      <c r="E889" s="10"/>
      <c r="F889" s="10"/>
      <c r="G889" s="69"/>
      <c r="H889" s="229"/>
      <c r="I889" s="69"/>
      <c r="J889" s="69"/>
      <c r="K889" s="69"/>
      <c r="L889" s="69"/>
      <c r="M889" s="69"/>
    </row>
    <row r="890" ht="15.75" customHeight="1">
      <c r="A890" s="249"/>
      <c r="B890" s="249"/>
      <c r="C890" s="249"/>
      <c r="D890" s="249"/>
      <c r="E890" s="10"/>
      <c r="F890" s="10"/>
      <c r="G890" s="69"/>
      <c r="H890" s="229"/>
      <c r="I890" s="69"/>
      <c r="J890" s="69"/>
      <c r="K890" s="69"/>
      <c r="L890" s="69"/>
      <c r="M890" s="69"/>
    </row>
    <row r="891" ht="15.75" customHeight="1">
      <c r="A891" s="249"/>
      <c r="B891" s="249"/>
      <c r="C891" s="249"/>
      <c r="D891" s="249"/>
      <c r="E891" s="10"/>
      <c r="F891" s="10"/>
      <c r="G891" s="69"/>
      <c r="H891" s="229"/>
      <c r="I891" s="69"/>
      <c r="J891" s="69"/>
      <c r="K891" s="69"/>
      <c r="L891" s="69"/>
      <c r="M891" s="69"/>
    </row>
    <row r="892" ht="15.75" customHeight="1">
      <c r="A892" s="249"/>
      <c r="B892" s="249"/>
      <c r="C892" s="249"/>
      <c r="D892" s="249"/>
      <c r="E892" s="10"/>
      <c r="F892" s="10"/>
      <c r="G892" s="69"/>
      <c r="H892" s="229"/>
      <c r="I892" s="69"/>
      <c r="J892" s="69"/>
      <c r="K892" s="69"/>
      <c r="L892" s="69"/>
      <c r="M892" s="69"/>
    </row>
    <row r="893" ht="15.75" customHeight="1">
      <c r="A893" s="249"/>
      <c r="B893" s="249"/>
      <c r="C893" s="249"/>
      <c r="D893" s="249"/>
      <c r="E893" s="10"/>
      <c r="F893" s="10"/>
      <c r="G893" s="69"/>
      <c r="H893" s="229"/>
      <c r="I893" s="69"/>
      <c r="J893" s="69"/>
      <c r="K893" s="69"/>
      <c r="L893" s="69"/>
      <c r="M893" s="69"/>
    </row>
    <row r="894" ht="15.75" customHeight="1">
      <c r="A894" s="249"/>
      <c r="B894" s="249"/>
      <c r="C894" s="249"/>
      <c r="D894" s="249"/>
      <c r="E894" s="10"/>
      <c r="F894" s="10"/>
      <c r="G894" s="69"/>
      <c r="H894" s="229"/>
      <c r="I894" s="69"/>
      <c r="J894" s="69"/>
      <c r="K894" s="69"/>
      <c r="L894" s="69"/>
      <c r="M894" s="69"/>
    </row>
    <row r="895" ht="15.75" customHeight="1">
      <c r="A895" s="249"/>
      <c r="B895" s="249"/>
      <c r="C895" s="249"/>
      <c r="D895" s="249"/>
      <c r="E895" s="10"/>
      <c r="F895" s="10"/>
      <c r="G895" s="69"/>
      <c r="H895" s="229"/>
      <c r="I895" s="69"/>
      <c r="J895" s="69"/>
      <c r="K895" s="69"/>
      <c r="L895" s="69"/>
      <c r="M895" s="69"/>
    </row>
    <row r="896" ht="15.75" customHeight="1">
      <c r="A896" s="249"/>
      <c r="B896" s="249"/>
      <c r="C896" s="249"/>
      <c r="D896" s="249"/>
      <c r="E896" s="10"/>
      <c r="F896" s="10"/>
      <c r="G896" s="69"/>
      <c r="H896" s="229"/>
      <c r="I896" s="69"/>
      <c r="J896" s="69"/>
      <c r="K896" s="69"/>
      <c r="L896" s="69"/>
      <c r="M896" s="69"/>
    </row>
    <row r="897" ht="15.75" customHeight="1">
      <c r="A897" s="249"/>
      <c r="B897" s="249"/>
      <c r="C897" s="249"/>
      <c r="D897" s="249"/>
      <c r="E897" s="10"/>
      <c r="F897" s="10"/>
      <c r="G897" s="69"/>
      <c r="H897" s="229"/>
      <c r="I897" s="69"/>
      <c r="J897" s="69"/>
      <c r="K897" s="69"/>
      <c r="L897" s="69"/>
      <c r="M897" s="69"/>
    </row>
    <row r="898" ht="15.75" customHeight="1">
      <c r="A898" s="249"/>
      <c r="B898" s="249"/>
      <c r="C898" s="249"/>
      <c r="D898" s="249"/>
      <c r="E898" s="10"/>
      <c r="F898" s="10"/>
      <c r="G898" s="69"/>
      <c r="H898" s="229"/>
      <c r="I898" s="69"/>
      <c r="J898" s="69"/>
      <c r="K898" s="69"/>
      <c r="L898" s="69"/>
      <c r="M898" s="69"/>
    </row>
    <row r="899" ht="15.75" customHeight="1">
      <c r="A899" s="249"/>
      <c r="B899" s="249"/>
      <c r="C899" s="249"/>
      <c r="D899" s="249"/>
      <c r="E899" s="10"/>
      <c r="F899" s="10"/>
      <c r="G899" s="69"/>
      <c r="H899" s="229"/>
      <c r="I899" s="69"/>
      <c r="J899" s="69"/>
      <c r="K899" s="69"/>
      <c r="L899" s="69"/>
      <c r="M899" s="69"/>
    </row>
    <row r="900" ht="15.75" customHeight="1">
      <c r="A900" s="249"/>
      <c r="B900" s="249"/>
      <c r="C900" s="249"/>
      <c r="D900" s="249"/>
      <c r="E900" s="10"/>
      <c r="F900" s="10"/>
      <c r="G900" s="69"/>
      <c r="H900" s="229"/>
      <c r="I900" s="69"/>
      <c r="J900" s="69"/>
      <c r="K900" s="69"/>
      <c r="L900" s="69"/>
      <c r="M900" s="69"/>
    </row>
    <row r="901" ht="15.75" customHeight="1">
      <c r="A901" s="249"/>
      <c r="B901" s="249"/>
      <c r="C901" s="249"/>
      <c r="D901" s="249"/>
      <c r="E901" s="10"/>
      <c r="F901" s="10"/>
      <c r="G901" s="69"/>
      <c r="H901" s="229"/>
      <c r="I901" s="69"/>
      <c r="J901" s="69"/>
      <c r="K901" s="69"/>
      <c r="L901" s="69"/>
      <c r="M901" s="69"/>
    </row>
    <row r="902" ht="15.75" customHeight="1">
      <c r="A902" s="249"/>
      <c r="B902" s="249"/>
      <c r="C902" s="249"/>
      <c r="D902" s="249"/>
      <c r="E902" s="10"/>
      <c r="F902" s="10"/>
      <c r="G902" s="69"/>
      <c r="H902" s="229"/>
      <c r="I902" s="69"/>
      <c r="J902" s="69"/>
      <c r="K902" s="69"/>
      <c r="L902" s="69"/>
      <c r="M902" s="69"/>
    </row>
    <row r="903" ht="15.75" customHeight="1">
      <c r="A903" s="249"/>
      <c r="B903" s="249"/>
      <c r="C903" s="249"/>
      <c r="D903" s="249"/>
      <c r="E903" s="10"/>
      <c r="F903" s="10"/>
      <c r="G903" s="69"/>
      <c r="H903" s="229"/>
      <c r="I903" s="69"/>
      <c r="J903" s="69"/>
      <c r="K903" s="69"/>
      <c r="L903" s="69"/>
      <c r="M903" s="69"/>
    </row>
    <row r="904" ht="15.75" customHeight="1">
      <c r="A904" s="249"/>
      <c r="B904" s="249"/>
      <c r="C904" s="249"/>
      <c r="D904" s="249"/>
      <c r="E904" s="10"/>
      <c r="F904" s="10"/>
      <c r="G904" s="69"/>
      <c r="H904" s="229"/>
      <c r="I904" s="69"/>
      <c r="J904" s="69"/>
      <c r="K904" s="69"/>
      <c r="L904" s="69"/>
      <c r="M904" s="69"/>
    </row>
    <row r="905" ht="15.75" customHeight="1">
      <c r="A905" s="249"/>
      <c r="B905" s="249"/>
      <c r="C905" s="249"/>
      <c r="D905" s="249"/>
      <c r="E905" s="10"/>
      <c r="F905" s="10"/>
      <c r="G905" s="69"/>
      <c r="H905" s="229"/>
      <c r="I905" s="69"/>
      <c r="J905" s="69"/>
      <c r="K905" s="69"/>
      <c r="L905" s="69"/>
      <c r="M905" s="69"/>
    </row>
    <row r="906" ht="15.75" customHeight="1">
      <c r="A906" s="249"/>
      <c r="B906" s="249"/>
      <c r="C906" s="249"/>
      <c r="D906" s="249"/>
      <c r="E906" s="10"/>
      <c r="F906" s="10"/>
      <c r="G906" s="69"/>
      <c r="H906" s="229"/>
      <c r="I906" s="69"/>
      <c r="J906" s="69"/>
      <c r="K906" s="69"/>
      <c r="L906" s="69"/>
      <c r="M906" s="69"/>
    </row>
    <row r="907" ht="15.75" customHeight="1">
      <c r="A907" s="249"/>
      <c r="B907" s="249"/>
      <c r="C907" s="249"/>
      <c r="D907" s="249"/>
      <c r="E907" s="10"/>
      <c r="F907" s="10"/>
      <c r="G907" s="69"/>
      <c r="H907" s="229"/>
      <c r="I907" s="69"/>
      <c r="J907" s="69"/>
      <c r="K907" s="69"/>
      <c r="L907" s="69"/>
      <c r="M907" s="69"/>
    </row>
    <row r="908" ht="15.75" customHeight="1">
      <c r="A908" s="249"/>
      <c r="B908" s="249"/>
      <c r="C908" s="249"/>
      <c r="D908" s="249"/>
      <c r="E908" s="10"/>
      <c r="F908" s="10"/>
      <c r="G908" s="69"/>
      <c r="H908" s="229"/>
      <c r="I908" s="69"/>
      <c r="J908" s="69"/>
      <c r="K908" s="69"/>
      <c r="L908" s="69"/>
      <c r="M908" s="69"/>
    </row>
    <row r="909" ht="15.75" customHeight="1">
      <c r="A909" s="249"/>
      <c r="B909" s="249"/>
      <c r="C909" s="249"/>
      <c r="D909" s="249"/>
      <c r="E909" s="10"/>
      <c r="F909" s="10"/>
      <c r="G909" s="69"/>
      <c r="H909" s="229"/>
      <c r="I909" s="69"/>
      <c r="J909" s="69"/>
      <c r="K909" s="69"/>
      <c r="L909" s="69"/>
      <c r="M909" s="69"/>
    </row>
    <row r="910" ht="15.75" customHeight="1">
      <c r="A910" s="249"/>
      <c r="B910" s="249"/>
      <c r="C910" s="249"/>
      <c r="D910" s="249"/>
      <c r="E910" s="10"/>
      <c r="F910" s="10"/>
      <c r="G910" s="69"/>
      <c r="H910" s="229"/>
      <c r="I910" s="69"/>
      <c r="J910" s="69"/>
      <c r="K910" s="69"/>
      <c r="L910" s="69"/>
      <c r="M910" s="69"/>
    </row>
    <row r="911" ht="15.75" customHeight="1">
      <c r="A911" s="249"/>
      <c r="B911" s="249"/>
      <c r="C911" s="249"/>
      <c r="D911" s="249"/>
      <c r="E911" s="10"/>
      <c r="F911" s="10"/>
      <c r="G911" s="69"/>
      <c r="H911" s="229"/>
      <c r="I911" s="69"/>
      <c r="J911" s="69"/>
      <c r="K911" s="69"/>
      <c r="L911" s="69"/>
      <c r="M911" s="69"/>
    </row>
    <row r="912" ht="15.75" customHeight="1">
      <c r="A912" s="249"/>
      <c r="B912" s="249"/>
      <c r="C912" s="249"/>
      <c r="D912" s="249"/>
      <c r="E912" s="10"/>
      <c r="F912" s="10"/>
      <c r="G912" s="69"/>
      <c r="H912" s="229"/>
      <c r="I912" s="69"/>
      <c r="J912" s="69"/>
      <c r="K912" s="69"/>
      <c r="L912" s="69"/>
      <c r="M912" s="69"/>
    </row>
    <row r="913" ht="15.75" customHeight="1">
      <c r="A913" s="249"/>
      <c r="B913" s="249"/>
      <c r="C913" s="249"/>
      <c r="D913" s="249"/>
      <c r="E913" s="10"/>
      <c r="F913" s="10"/>
      <c r="G913" s="69"/>
      <c r="H913" s="229"/>
      <c r="I913" s="69"/>
      <c r="J913" s="69"/>
      <c r="K913" s="69"/>
      <c r="L913" s="69"/>
      <c r="M913" s="69"/>
    </row>
    <row r="914" ht="15.75" customHeight="1">
      <c r="A914" s="249"/>
      <c r="B914" s="249"/>
      <c r="C914" s="249"/>
      <c r="D914" s="249"/>
      <c r="E914" s="10"/>
      <c r="F914" s="10"/>
      <c r="G914" s="69"/>
      <c r="H914" s="229"/>
      <c r="I914" s="69"/>
      <c r="J914" s="69"/>
      <c r="K914" s="69"/>
      <c r="L914" s="69"/>
      <c r="M914" s="69"/>
    </row>
    <row r="915" ht="15.75" customHeight="1">
      <c r="A915" s="249"/>
      <c r="B915" s="249"/>
      <c r="C915" s="249"/>
      <c r="D915" s="249"/>
      <c r="E915" s="10"/>
      <c r="F915" s="10"/>
      <c r="G915" s="69"/>
      <c r="H915" s="229"/>
      <c r="I915" s="69"/>
      <c r="J915" s="69"/>
      <c r="K915" s="69"/>
      <c r="L915" s="69"/>
      <c r="M915" s="69"/>
    </row>
    <row r="916" ht="15.75" customHeight="1">
      <c r="A916" s="249"/>
      <c r="B916" s="249"/>
      <c r="C916" s="249"/>
      <c r="D916" s="249"/>
      <c r="E916" s="10"/>
      <c r="F916" s="10"/>
      <c r="G916" s="69"/>
      <c r="H916" s="229"/>
      <c r="I916" s="69"/>
      <c r="J916" s="69"/>
      <c r="K916" s="69"/>
      <c r="L916" s="69"/>
      <c r="M916" s="69"/>
    </row>
    <row r="917" ht="15.75" customHeight="1">
      <c r="A917" s="249"/>
      <c r="B917" s="249"/>
      <c r="C917" s="249"/>
      <c r="D917" s="249"/>
      <c r="E917" s="10"/>
      <c r="F917" s="10"/>
      <c r="G917" s="69"/>
      <c r="H917" s="229"/>
      <c r="I917" s="69"/>
      <c r="J917" s="69"/>
      <c r="K917" s="69"/>
      <c r="L917" s="69"/>
      <c r="M917" s="69"/>
    </row>
    <row r="918" ht="15.75" customHeight="1">
      <c r="A918" s="249"/>
      <c r="B918" s="249"/>
      <c r="C918" s="249"/>
      <c r="D918" s="249"/>
      <c r="E918" s="10"/>
      <c r="F918" s="10"/>
      <c r="G918" s="69"/>
      <c r="H918" s="229"/>
      <c r="I918" s="69"/>
      <c r="J918" s="69"/>
      <c r="K918" s="69"/>
      <c r="L918" s="69"/>
      <c r="M918" s="69"/>
    </row>
    <row r="919" ht="15.75" customHeight="1">
      <c r="A919" s="249"/>
      <c r="B919" s="249"/>
      <c r="C919" s="249"/>
      <c r="D919" s="249"/>
      <c r="E919" s="10"/>
      <c r="F919" s="10"/>
      <c r="G919" s="69"/>
      <c r="H919" s="229"/>
      <c r="I919" s="69"/>
      <c r="J919" s="69"/>
      <c r="K919" s="69"/>
      <c r="L919" s="69"/>
      <c r="M919" s="69"/>
    </row>
    <row r="920" ht="15.75" customHeight="1">
      <c r="A920" s="249"/>
      <c r="B920" s="249"/>
      <c r="C920" s="249"/>
      <c r="D920" s="249"/>
      <c r="E920" s="10"/>
      <c r="F920" s="10"/>
      <c r="G920" s="69"/>
      <c r="H920" s="229"/>
      <c r="I920" s="69"/>
      <c r="J920" s="69"/>
      <c r="K920" s="69"/>
      <c r="L920" s="69"/>
      <c r="M920" s="69"/>
    </row>
    <row r="921" ht="15.75" customHeight="1">
      <c r="A921" s="249"/>
      <c r="B921" s="249"/>
      <c r="C921" s="249"/>
      <c r="D921" s="249"/>
      <c r="E921" s="10"/>
      <c r="F921" s="10"/>
      <c r="G921" s="69"/>
      <c r="H921" s="229"/>
      <c r="I921" s="69"/>
      <c r="J921" s="69"/>
      <c r="K921" s="69"/>
      <c r="L921" s="69"/>
      <c r="M921" s="69"/>
    </row>
    <row r="922" ht="15.75" customHeight="1">
      <c r="A922" s="249"/>
      <c r="B922" s="249"/>
      <c r="C922" s="249"/>
      <c r="D922" s="249"/>
      <c r="E922" s="10"/>
      <c r="F922" s="10"/>
      <c r="G922" s="69"/>
      <c r="H922" s="229"/>
      <c r="I922" s="69"/>
      <c r="J922" s="69"/>
      <c r="K922" s="69"/>
      <c r="L922" s="69"/>
      <c r="M922" s="69"/>
    </row>
    <row r="923" ht="15.75" customHeight="1">
      <c r="A923" s="249"/>
      <c r="B923" s="249"/>
      <c r="C923" s="249"/>
      <c r="D923" s="249"/>
      <c r="E923" s="10"/>
      <c r="F923" s="10"/>
      <c r="G923" s="69"/>
      <c r="H923" s="229"/>
      <c r="I923" s="69"/>
      <c r="J923" s="69"/>
      <c r="K923" s="69"/>
      <c r="L923" s="69"/>
      <c r="M923" s="69"/>
    </row>
    <row r="924" ht="15.75" customHeight="1">
      <c r="A924" s="249"/>
      <c r="B924" s="249"/>
      <c r="C924" s="249"/>
      <c r="D924" s="249"/>
      <c r="E924" s="10"/>
      <c r="F924" s="10"/>
      <c r="G924" s="69"/>
      <c r="H924" s="229"/>
      <c r="I924" s="69"/>
      <c r="J924" s="69"/>
      <c r="K924" s="69"/>
      <c r="L924" s="69"/>
      <c r="M924" s="69"/>
    </row>
    <row r="925" ht="15.75" customHeight="1">
      <c r="A925" s="249"/>
      <c r="B925" s="249"/>
      <c r="C925" s="249"/>
      <c r="D925" s="249"/>
      <c r="E925" s="10"/>
      <c r="F925" s="10"/>
      <c r="G925" s="69"/>
      <c r="H925" s="229"/>
      <c r="I925" s="69"/>
      <c r="J925" s="69"/>
      <c r="K925" s="69"/>
      <c r="L925" s="69"/>
      <c r="M925" s="69"/>
    </row>
    <row r="926" ht="15.75" customHeight="1">
      <c r="A926" s="249"/>
      <c r="B926" s="249"/>
      <c r="C926" s="249"/>
      <c r="D926" s="249"/>
      <c r="E926" s="10"/>
      <c r="F926" s="10"/>
      <c r="G926" s="69"/>
      <c r="H926" s="229"/>
      <c r="I926" s="69"/>
      <c r="J926" s="69"/>
      <c r="K926" s="69"/>
      <c r="L926" s="69"/>
      <c r="M926" s="69"/>
    </row>
    <row r="927" ht="15.75" customHeight="1">
      <c r="A927" s="249"/>
      <c r="B927" s="249"/>
      <c r="C927" s="249"/>
      <c r="D927" s="249"/>
      <c r="E927" s="10"/>
      <c r="F927" s="10"/>
      <c r="G927" s="69"/>
      <c r="H927" s="229"/>
      <c r="I927" s="69"/>
      <c r="J927" s="69"/>
      <c r="K927" s="69"/>
      <c r="L927" s="69"/>
      <c r="M927" s="69"/>
    </row>
    <row r="928" ht="15.75" customHeight="1">
      <c r="A928" s="249"/>
      <c r="B928" s="249"/>
      <c r="C928" s="249"/>
      <c r="D928" s="249"/>
      <c r="E928" s="10"/>
      <c r="F928" s="10"/>
      <c r="G928" s="69"/>
      <c r="H928" s="229"/>
      <c r="I928" s="69"/>
      <c r="J928" s="69"/>
      <c r="K928" s="69"/>
      <c r="L928" s="69"/>
      <c r="M928" s="69"/>
    </row>
    <row r="929" ht="15.75" customHeight="1">
      <c r="A929" s="249"/>
      <c r="B929" s="249"/>
      <c r="C929" s="249"/>
      <c r="D929" s="249"/>
      <c r="E929" s="10"/>
      <c r="F929" s="10"/>
      <c r="G929" s="69"/>
      <c r="H929" s="229"/>
      <c r="I929" s="69"/>
      <c r="J929" s="69"/>
      <c r="K929" s="69"/>
      <c r="L929" s="69"/>
      <c r="M929" s="69"/>
    </row>
    <row r="930" ht="15.75" customHeight="1">
      <c r="A930" s="249"/>
      <c r="B930" s="249"/>
      <c r="C930" s="249"/>
      <c r="D930" s="249"/>
      <c r="E930" s="10"/>
      <c r="F930" s="10"/>
      <c r="G930" s="69"/>
      <c r="H930" s="229"/>
      <c r="I930" s="69"/>
      <c r="J930" s="69"/>
      <c r="K930" s="69"/>
      <c r="L930" s="69"/>
      <c r="M930" s="69"/>
    </row>
    <row r="931" ht="15.75" customHeight="1">
      <c r="A931" s="249"/>
      <c r="B931" s="249"/>
      <c r="C931" s="249"/>
      <c r="D931" s="249"/>
      <c r="E931" s="10"/>
      <c r="F931" s="10"/>
      <c r="G931" s="69"/>
      <c r="H931" s="229"/>
      <c r="I931" s="69"/>
      <c r="J931" s="69"/>
      <c r="K931" s="69"/>
      <c r="L931" s="69"/>
      <c r="M931" s="69"/>
    </row>
    <row r="932" ht="15.75" customHeight="1">
      <c r="A932" s="249"/>
      <c r="B932" s="249"/>
      <c r="C932" s="249"/>
      <c r="D932" s="249"/>
      <c r="E932" s="10"/>
      <c r="F932" s="10"/>
      <c r="G932" s="69"/>
      <c r="H932" s="229"/>
      <c r="I932" s="69"/>
      <c r="J932" s="69"/>
      <c r="K932" s="69"/>
      <c r="L932" s="69"/>
      <c r="M932" s="69"/>
    </row>
    <row r="933" ht="15.75" customHeight="1">
      <c r="A933" s="249"/>
      <c r="B933" s="249"/>
      <c r="C933" s="249"/>
      <c r="D933" s="249"/>
      <c r="E933" s="10"/>
      <c r="F933" s="10"/>
      <c r="G933" s="69"/>
      <c r="H933" s="229"/>
      <c r="I933" s="69"/>
      <c r="J933" s="69"/>
      <c r="K933" s="69"/>
      <c r="L933" s="69"/>
      <c r="M933" s="69"/>
    </row>
    <row r="934" ht="15.75" customHeight="1">
      <c r="A934" s="249"/>
      <c r="B934" s="249"/>
      <c r="C934" s="249"/>
      <c r="D934" s="249"/>
      <c r="E934" s="10"/>
      <c r="F934" s="10"/>
      <c r="G934" s="69"/>
      <c r="H934" s="229"/>
      <c r="I934" s="69"/>
      <c r="J934" s="69"/>
      <c r="K934" s="69"/>
      <c r="L934" s="69"/>
      <c r="M934" s="69"/>
    </row>
    <row r="935" ht="15.75" customHeight="1">
      <c r="A935" s="249"/>
      <c r="B935" s="249"/>
      <c r="C935" s="249"/>
      <c r="D935" s="249"/>
      <c r="E935" s="10"/>
      <c r="F935" s="10"/>
      <c r="G935" s="69"/>
      <c r="H935" s="229"/>
      <c r="I935" s="69"/>
      <c r="J935" s="69"/>
      <c r="K935" s="69"/>
      <c r="L935" s="69"/>
      <c r="M935" s="69"/>
    </row>
    <row r="936" ht="15.75" customHeight="1">
      <c r="A936" s="249"/>
      <c r="B936" s="249"/>
      <c r="C936" s="249"/>
      <c r="D936" s="249"/>
      <c r="E936" s="10"/>
      <c r="F936" s="10"/>
      <c r="G936" s="69"/>
      <c r="H936" s="229"/>
      <c r="I936" s="69"/>
      <c r="J936" s="69"/>
      <c r="K936" s="69"/>
      <c r="L936" s="69"/>
      <c r="M936" s="69"/>
    </row>
    <row r="937" ht="15.75" customHeight="1">
      <c r="A937" s="249"/>
      <c r="B937" s="249"/>
      <c r="C937" s="249"/>
      <c r="D937" s="249"/>
      <c r="E937" s="10"/>
      <c r="F937" s="10"/>
      <c r="G937" s="69"/>
      <c r="H937" s="229"/>
      <c r="I937" s="69"/>
      <c r="J937" s="69"/>
      <c r="K937" s="69"/>
      <c r="L937" s="69"/>
      <c r="M937" s="69"/>
    </row>
    <row r="938" ht="15.75" customHeight="1">
      <c r="A938" s="249"/>
      <c r="B938" s="249"/>
      <c r="C938" s="249"/>
      <c r="D938" s="249"/>
      <c r="E938" s="10"/>
      <c r="F938" s="10"/>
      <c r="G938" s="69"/>
      <c r="H938" s="229"/>
      <c r="I938" s="69"/>
      <c r="J938" s="69"/>
      <c r="K938" s="69"/>
      <c r="L938" s="69"/>
      <c r="M938" s="69"/>
    </row>
    <row r="939" ht="15.75" customHeight="1">
      <c r="A939" s="249"/>
      <c r="B939" s="249"/>
      <c r="C939" s="249"/>
      <c r="D939" s="249"/>
      <c r="E939" s="10"/>
      <c r="F939" s="10"/>
      <c r="G939" s="69"/>
      <c r="H939" s="229"/>
      <c r="I939" s="69"/>
      <c r="J939" s="69"/>
      <c r="K939" s="69"/>
      <c r="L939" s="69"/>
      <c r="M939" s="69"/>
    </row>
    <row r="940" ht="15.75" customHeight="1">
      <c r="A940" s="249"/>
      <c r="B940" s="249"/>
      <c r="C940" s="249"/>
      <c r="D940" s="249"/>
      <c r="E940" s="10"/>
      <c r="F940" s="10"/>
      <c r="G940" s="69"/>
      <c r="H940" s="229"/>
      <c r="I940" s="69"/>
      <c r="J940" s="69"/>
      <c r="K940" s="69"/>
      <c r="L940" s="69"/>
      <c r="M940" s="69"/>
    </row>
    <row r="941" ht="15.75" customHeight="1">
      <c r="A941" s="249"/>
      <c r="B941" s="249"/>
      <c r="C941" s="249"/>
      <c r="D941" s="249"/>
      <c r="E941" s="10"/>
      <c r="F941" s="10"/>
      <c r="G941" s="69"/>
      <c r="H941" s="229"/>
      <c r="I941" s="69"/>
      <c r="J941" s="69"/>
      <c r="K941" s="69"/>
      <c r="L941" s="69"/>
      <c r="M941" s="69"/>
    </row>
    <row r="942" ht="15.75" customHeight="1">
      <c r="A942" s="249"/>
      <c r="B942" s="249"/>
      <c r="C942" s="249"/>
      <c r="D942" s="249"/>
      <c r="E942" s="10"/>
      <c r="F942" s="10"/>
      <c r="G942" s="69"/>
      <c r="H942" s="229"/>
      <c r="I942" s="69"/>
      <c r="J942" s="69"/>
      <c r="K942" s="69"/>
      <c r="L942" s="69"/>
      <c r="M942" s="69"/>
    </row>
    <row r="943" ht="15.75" customHeight="1">
      <c r="A943" s="249"/>
      <c r="B943" s="249"/>
      <c r="C943" s="249"/>
      <c r="D943" s="249"/>
      <c r="E943" s="10"/>
      <c r="F943" s="10"/>
      <c r="G943" s="69"/>
      <c r="H943" s="229"/>
      <c r="I943" s="69"/>
      <c r="J943" s="69"/>
      <c r="K943" s="69"/>
      <c r="L943" s="69"/>
      <c r="M943" s="69"/>
    </row>
    <row r="944" ht="15.75" customHeight="1">
      <c r="A944" s="249"/>
      <c r="B944" s="249"/>
      <c r="C944" s="249"/>
      <c r="D944" s="249"/>
      <c r="E944" s="10"/>
      <c r="F944" s="10"/>
      <c r="G944" s="69"/>
      <c r="H944" s="229"/>
      <c r="I944" s="69"/>
      <c r="J944" s="69"/>
      <c r="K944" s="69"/>
      <c r="L944" s="69"/>
      <c r="M944" s="69"/>
    </row>
    <row r="945" ht="15.75" customHeight="1">
      <c r="A945" s="249"/>
      <c r="B945" s="249"/>
      <c r="C945" s="249"/>
      <c r="D945" s="249"/>
      <c r="E945" s="10"/>
      <c r="F945" s="10"/>
      <c r="G945" s="69"/>
      <c r="H945" s="229"/>
      <c r="I945" s="69"/>
      <c r="J945" s="69"/>
      <c r="K945" s="69"/>
      <c r="L945" s="69"/>
      <c r="M945" s="69"/>
    </row>
    <row r="946" ht="15.75" customHeight="1">
      <c r="A946" s="249"/>
      <c r="B946" s="249"/>
      <c r="C946" s="249"/>
      <c r="D946" s="249"/>
      <c r="E946" s="10"/>
      <c r="F946" s="10"/>
      <c r="G946" s="69"/>
      <c r="H946" s="229"/>
      <c r="I946" s="69"/>
      <c r="J946" s="69"/>
      <c r="K946" s="69"/>
      <c r="L946" s="69"/>
      <c r="M946" s="69"/>
    </row>
    <row r="947" ht="15.75" customHeight="1">
      <c r="A947" s="249"/>
      <c r="B947" s="249"/>
      <c r="C947" s="249"/>
      <c r="D947" s="249"/>
      <c r="E947" s="10"/>
      <c r="F947" s="10"/>
      <c r="G947" s="69"/>
      <c r="H947" s="229"/>
      <c r="I947" s="69"/>
      <c r="J947" s="69"/>
      <c r="K947" s="69"/>
      <c r="L947" s="69"/>
      <c r="M947" s="69"/>
    </row>
    <row r="948" ht="15.75" customHeight="1">
      <c r="A948" s="249"/>
      <c r="B948" s="249"/>
      <c r="C948" s="249"/>
      <c r="D948" s="249"/>
      <c r="E948" s="10"/>
      <c r="F948" s="10"/>
      <c r="G948" s="69"/>
      <c r="H948" s="229"/>
      <c r="I948" s="69"/>
      <c r="J948" s="69"/>
      <c r="K948" s="69"/>
      <c r="L948" s="69"/>
      <c r="M948" s="69"/>
    </row>
    <row r="949" ht="15.75" customHeight="1">
      <c r="A949" s="249"/>
      <c r="B949" s="249"/>
      <c r="C949" s="249"/>
      <c r="D949" s="249"/>
      <c r="E949" s="10"/>
      <c r="F949" s="10"/>
      <c r="G949" s="69"/>
      <c r="H949" s="229"/>
      <c r="I949" s="69"/>
      <c r="J949" s="69"/>
      <c r="K949" s="69"/>
      <c r="L949" s="69"/>
      <c r="M949" s="69"/>
    </row>
    <row r="950" ht="15.75" customHeight="1">
      <c r="A950" s="249"/>
      <c r="B950" s="249"/>
      <c r="C950" s="249"/>
      <c r="D950" s="249"/>
      <c r="E950" s="10"/>
      <c r="F950" s="10"/>
      <c r="G950" s="69"/>
      <c r="H950" s="229"/>
      <c r="I950" s="69"/>
      <c r="J950" s="69"/>
      <c r="K950" s="69"/>
      <c r="L950" s="69"/>
      <c r="M950" s="69"/>
    </row>
    <row r="951" ht="15.75" customHeight="1">
      <c r="A951" s="249"/>
      <c r="B951" s="249"/>
      <c r="C951" s="249"/>
      <c r="D951" s="249"/>
      <c r="E951" s="10"/>
      <c r="F951" s="10"/>
      <c r="G951" s="69"/>
      <c r="H951" s="229"/>
      <c r="I951" s="69"/>
      <c r="J951" s="69"/>
      <c r="K951" s="69"/>
      <c r="L951" s="69"/>
      <c r="M951" s="69"/>
    </row>
    <row r="952" ht="15.75" customHeight="1">
      <c r="A952" s="249"/>
      <c r="B952" s="249"/>
      <c r="C952" s="249"/>
      <c r="D952" s="249"/>
      <c r="E952" s="10"/>
      <c r="F952" s="10"/>
      <c r="G952" s="69"/>
      <c r="H952" s="229"/>
      <c r="I952" s="69"/>
      <c r="J952" s="69"/>
      <c r="K952" s="69"/>
      <c r="L952" s="69"/>
      <c r="M952" s="69"/>
    </row>
    <row r="953" ht="15.75" customHeight="1">
      <c r="A953" s="249"/>
      <c r="B953" s="249"/>
      <c r="C953" s="249"/>
      <c r="D953" s="249"/>
      <c r="E953" s="10"/>
      <c r="F953" s="10"/>
      <c r="G953" s="69"/>
      <c r="H953" s="229"/>
      <c r="I953" s="69"/>
      <c r="J953" s="69"/>
      <c r="K953" s="69"/>
      <c r="L953" s="69"/>
      <c r="M953" s="69"/>
    </row>
    <row r="954" ht="15.75" customHeight="1">
      <c r="A954" s="249"/>
      <c r="B954" s="249"/>
      <c r="C954" s="249"/>
      <c r="D954" s="249"/>
      <c r="E954" s="10"/>
      <c r="F954" s="10"/>
      <c r="G954" s="69"/>
      <c r="H954" s="229"/>
      <c r="I954" s="69"/>
      <c r="J954" s="69"/>
      <c r="K954" s="69"/>
      <c r="L954" s="69"/>
      <c r="M954" s="69"/>
    </row>
    <row r="955" ht="15.75" customHeight="1">
      <c r="A955" s="249"/>
      <c r="B955" s="249"/>
      <c r="C955" s="249"/>
      <c r="D955" s="249"/>
      <c r="E955" s="10"/>
      <c r="F955" s="10"/>
      <c r="G955" s="69"/>
      <c r="H955" s="229"/>
      <c r="I955" s="69"/>
      <c r="J955" s="69"/>
      <c r="K955" s="69"/>
      <c r="L955" s="69"/>
      <c r="M955" s="69"/>
    </row>
    <row r="956" ht="15.75" customHeight="1">
      <c r="A956" s="249"/>
      <c r="B956" s="249"/>
      <c r="C956" s="249"/>
      <c r="D956" s="249"/>
      <c r="E956" s="10"/>
      <c r="F956" s="10"/>
      <c r="G956" s="69"/>
      <c r="H956" s="229"/>
      <c r="I956" s="69"/>
      <c r="J956" s="69"/>
      <c r="K956" s="69"/>
      <c r="L956" s="69"/>
      <c r="M956" s="69"/>
    </row>
    <row r="957" ht="15.75" customHeight="1">
      <c r="A957" s="249"/>
      <c r="B957" s="249"/>
      <c r="C957" s="249"/>
      <c r="D957" s="249"/>
      <c r="E957" s="10"/>
      <c r="F957" s="10"/>
      <c r="G957" s="69"/>
      <c r="H957" s="229"/>
      <c r="I957" s="69"/>
      <c r="J957" s="69"/>
      <c r="K957" s="69"/>
      <c r="L957" s="69"/>
      <c r="M957" s="69"/>
    </row>
    <row r="958" ht="15.75" customHeight="1">
      <c r="A958" s="249"/>
      <c r="B958" s="249"/>
      <c r="C958" s="249"/>
      <c r="D958" s="249"/>
      <c r="E958" s="10"/>
      <c r="F958" s="10"/>
      <c r="G958" s="69"/>
      <c r="H958" s="229"/>
      <c r="I958" s="69"/>
      <c r="J958" s="69"/>
      <c r="K958" s="69"/>
      <c r="L958" s="69"/>
      <c r="M958" s="69"/>
    </row>
    <row r="959" ht="15.75" customHeight="1">
      <c r="A959" s="249"/>
      <c r="B959" s="249"/>
      <c r="C959" s="249"/>
      <c r="D959" s="249"/>
      <c r="E959" s="10"/>
      <c r="F959" s="10"/>
      <c r="G959" s="69"/>
      <c r="H959" s="229"/>
      <c r="I959" s="69"/>
      <c r="J959" s="69"/>
      <c r="K959" s="69"/>
      <c r="L959" s="69"/>
      <c r="M959" s="69"/>
    </row>
    <row r="960" ht="15.75" customHeight="1">
      <c r="A960" s="249"/>
      <c r="B960" s="249"/>
      <c r="C960" s="249"/>
      <c r="D960" s="249"/>
      <c r="E960" s="10"/>
      <c r="F960" s="10"/>
      <c r="G960" s="69"/>
      <c r="H960" s="229"/>
      <c r="I960" s="69"/>
      <c r="J960" s="69"/>
      <c r="K960" s="69"/>
      <c r="L960" s="69"/>
      <c r="M960" s="69"/>
    </row>
    <row r="961" ht="15.75" customHeight="1">
      <c r="A961" s="249"/>
      <c r="B961" s="249"/>
      <c r="C961" s="249"/>
      <c r="D961" s="249"/>
      <c r="E961" s="10"/>
      <c r="F961" s="10"/>
      <c r="G961" s="69"/>
      <c r="H961" s="229"/>
      <c r="I961" s="69"/>
      <c r="J961" s="69"/>
      <c r="K961" s="69"/>
      <c r="L961" s="69"/>
      <c r="M961" s="69"/>
    </row>
    <row r="962" ht="15.75" customHeight="1">
      <c r="A962" s="249"/>
      <c r="B962" s="249"/>
      <c r="C962" s="249"/>
      <c r="D962" s="249"/>
      <c r="E962" s="10"/>
      <c r="F962" s="10"/>
      <c r="G962" s="69"/>
      <c r="H962" s="229"/>
      <c r="I962" s="69"/>
      <c r="J962" s="69"/>
      <c r="K962" s="69"/>
      <c r="L962" s="69"/>
      <c r="M962" s="69"/>
    </row>
    <row r="963" ht="15.75" customHeight="1">
      <c r="A963" s="249"/>
      <c r="B963" s="249"/>
      <c r="C963" s="249"/>
      <c r="D963" s="249"/>
      <c r="E963" s="10"/>
      <c r="F963" s="10"/>
      <c r="G963" s="69"/>
      <c r="H963" s="229"/>
      <c r="I963" s="69"/>
      <c r="J963" s="69"/>
      <c r="K963" s="69"/>
      <c r="L963" s="69"/>
      <c r="M963" s="69"/>
    </row>
    <row r="964" ht="15.75" customHeight="1">
      <c r="A964" s="249"/>
      <c r="B964" s="249"/>
      <c r="C964" s="249"/>
      <c r="D964" s="249"/>
      <c r="E964" s="10"/>
      <c r="F964" s="10"/>
      <c r="G964" s="69"/>
      <c r="H964" s="229"/>
      <c r="I964" s="69"/>
      <c r="J964" s="69"/>
      <c r="K964" s="69"/>
      <c r="L964" s="69"/>
      <c r="M964" s="69"/>
    </row>
    <row r="965" ht="15.75" customHeight="1">
      <c r="A965" s="249"/>
      <c r="B965" s="249"/>
      <c r="C965" s="249"/>
      <c r="D965" s="249"/>
      <c r="E965" s="10"/>
      <c r="F965" s="10"/>
      <c r="G965" s="69"/>
      <c r="H965" s="229"/>
      <c r="I965" s="69"/>
      <c r="J965" s="69"/>
      <c r="K965" s="69"/>
      <c r="L965" s="69"/>
      <c r="M965" s="69"/>
    </row>
    <row r="966" ht="15.75" customHeight="1">
      <c r="A966" s="249"/>
      <c r="B966" s="249"/>
      <c r="C966" s="249"/>
      <c r="D966" s="249"/>
      <c r="E966" s="10"/>
      <c r="F966" s="10"/>
      <c r="G966" s="69"/>
      <c r="H966" s="229"/>
      <c r="I966" s="69"/>
      <c r="J966" s="69"/>
      <c r="K966" s="69"/>
      <c r="L966" s="69"/>
      <c r="M966" s="69"/>
    </row>
    <row r="967" ht="15.75" customHeight="1">
      <c r="A967" s="249"/>
      <c r="B967" s="249"/>
      <c r="C967" s="249"/>
      <c r="D967" s="249"/>
      <c r="E967" s="10"/>
      <c r="F967" s="10"/>
      <c r="G967" s="69"/>
      <c r="H967" s="229"/>
      <c r="I967" s="69"/>
      <c r="J967" s="69"/>
      <c r="K967" s="69"/>
      <c r="L967" s="69"/>
      <c r="M967" s="69"/>
    </row>
    <row r="968" ht="15.75" customHeight="1">
      <c r="A968" s="249"/>
      <c r="B968" s="249"/>
      <c r="C968" s="249"/>
      <c r="D968" s="249"/>
      <c r="E968" s="10"/>
      <c r="F968" s="10"/>
      <c r="G968" s="69"/>
      <c r="H968" s="229"/>
      <c r="I968" s="69"/>
      <c r="J968" s="69"/>
      <c r="K968" s="69"/>
      <c r="L968" s="69"/>
      <c r="M968" s="69"/>
    </row>
    <row r="969" ht="15.75" customHeight="1">
      <c r="A969" s="249"/>
      <c r="B969" s="249"/>
      <c r="C969" s="249"/>
      <c r="D969" s="249"/>
      <c r="E969" s="10"/>
      <c r="F969" s="10"/>
      <c r="G969" s="69"/>
      <c r="H969" s="229"/>
      <c r="I969" s="69"/>
      <c r="J969" s="69"/>
      <c r="K969" s="69"/>
      <c r="L969" s="69"/>
      <c r="M969" s="69"/>
    </row>
    <row r="970" ht="15.75" customHeight="1">
      <c r="A970" s="249"/>
      <c r="B970" s="249"/>
      <c r="C970" s="249"/>
      <c r="D970" s="249"/>
      <c r="E970" s="10"/>
      <c r="F970" s="10"/>
      <c r="G970" s="69"/>
      <c r="H970" s="229"/>
      <c r="I970" s="69"/>
      <c r="J970" s="69"/>
      <c r="K970" s="69"/>
      <c r="L970" s="69"/>
      <c r="M970" s="69"/>
    </row>
    <row r="971" ht="15.75" customHeight="1">
      <c r="A971" s="249"/>
      <c r="B971" s="249"/>
      <c r="C971" s="249"/>
      <c r="D971" s="249"/>
      <c r="E971" s="10"/>
      <c r="F971" s="10"/>
      <c r="G971" s="69"/>
      <c r="H971" s="229"/>
      <c r="I971" s="69"/>
      <c r="J971" s="69"/>
      <c r="K971" s="69"/>
      <c r="L971" s="69"/>
      <c r="M971" s="69"/>
    </row>
    <row r="972" ht="15.75" customHeight="1">
      <c r="A972" s="249"/>
      <c r="B972" s="249"/>
      <c r="C972" s="249"/>
      <c r="D972" s="249"/>
      <c r="E972" s="10"/>
      <c r="F972" s="10"/>
      <c r="G972" s="69"/>
      <c r="H972" s="229"/>
      <c r="I972" s="69"/>
      <c r="J972" s="69"/>
      <c r="K972" s="69"/>
      <c r="L972" s="69"/>
      <c r="M972" s="69"/>
    </row>
    <row r="973" ht="15.75" customHeight="1">
      <c r="A973" s="249"/>
      <c r="B973" s="249"/>
      <c r="C973" s="249"/>
      <c r="D973" s="249"/>
      <c r="E973" s="10"/>
      <c r="F973" s="10"/>
      <c r="G973" s="69"/>
      <c r="H973" s="229"/>
      <c r="I973" s="69"/>
      <c r="J973" s="69"/>
      <c r="K973" s="69"/>
      <c r="L973" s="69"/>
      <c r="M973" s="69"/>
    </row>
    <row r="974" ht="15.75" customHeight="1">
      <c r="A974" s="249"/>
      <c r="B974" s="249"/>
      <c r="C974" s="249"/>
      <c r="D974" s="249"/>
      <c r="E974" s="10"/>
      <c r="F974" s="10"/>
      <c r="G974" s="69"/>
      <c r="H974" s="229"/>
      <c r="I974" s="69"/>
      <c r="J974" s="69"/>
      <c r="K974" s="69"/>
      <c r="L974" s="69"/>
      <c r="M974" s="69"/>
    </row>
    <row r="975" ht="15.75" customHeight="1">
      <c r="A975" s="249"/>
      <c r="B975" s="249"/>
      <c r="C975" s="249"/>
      <c r="D975" s="249"/>
      <c r="E975" s="10"/>
      <c r="F975" s="10"/>
      <c r="G975" s="69"/>
      <c r="H975" s="229"/>
      <c r="I975" s="69"/>
      <c r="J975" s="69"/>
      <c r="K975" s="69"/>
      <c r="L975" s="69"/>
      <c r="M975" s="69"/>
    </row>
    <row r="976" ht="15.75" customHeight="1">
      <c r="A976" s="249"/>
      <c r="B976" s="249"/>
      <c r="C976" s="249"/>
      <c r="D976" s="249"/>
      <c r="E976" s="10"/>
      <c r="F976" s="10"/>
      <c r="G976" s="69"/>
      <c r="H976" s="229"/>
      <c r="I976" s="69"/>
      <c r="J976" s="69"/>
      <c r="K976" s="69"/>
      <c r="L976" s="69"/>
      <c r="M976" s="69"/>
    </row>
    <row r="977" ht="15.75" customHeight="1">
      <c r="A977" s="249"/>
      <c r="B977" s="249"/>
      <c r="C977" s="249"/>
      <c r="D977" s="249"/>
      <c r="E977" s="10"/>
      <c r="F977" s="10"/>
      <c r="G977" s="69"/>
      <c r="H977" s="229"/>
      <c r="I977" s="69"/>
      <c r="J977" s="69"/>
      <c r="K977" s="69"/>
      <c r="L977" s="69"/>
      <c r="M977" s="69"/>
    </row>
    <row r="978" ht="15.75" customHeight="1">
      <c r="A978" s="249"/>
      <c r="B978" s="249"/>
      <c r="C978" s="249"/>
      <c r="D978" s="249"/>
      <c r="E978" s="10"/>
      <c r="F978" s="10"/>
      <c r="G978" s="69"/>
      <c r="H978" s="229"/>
      <c r="I978" s="69"/>
      <c r="J978" s="69"/>
      <c r="K978" s="69"/>
      <c r="L978" s="69"/>
      <c r="M978" s="69"/>
    </row>
    <row r="979" ht="15.75" customHeight="1">
      <c r="A979" s="249"/>
      <c r="B979" s="249"/>
      <c r="C979" s="249"/>
      <c r="D979" s="249"/>
      <c r="E979" s="10"/>
      <c r="F979" s="10"/>
      <c r="G979" s="69"/>
      <c r="H979" s="229"/>
      <c r="I979" s="69"/>
      <c r="J979" s="69"/>
      <c r="K979" s="69"/>
      <c r="L979" s="69"/>
      <c r="M979" s="69"/>
    </row>
    <row r="980" ht="15.75" customHeight="1">
      <c r="A980" s="249"/>
      <c r="B980" s="249"/>
      <c r="C980" s="249"/>
      <c r="D980" s="249"/>
      <c r="E980" s="10"/>
      <c r="F980" s="10"/>
      <c r="G980" s="69"/>
      <c r="H980" s="229"/>
      <c r="I980" s="69"/>
      <c r="J980" s="69"/>
      <c r="K980" s="69"/>
      <c r="L980" s="69"/>
      <c r="M980" s="69"/>
    </row>
    <row r="981" ht="15.75" customHeight="1">
      <c r="A981" s="249"/>
      <c r="B981" s="249"/>
      <c r="C981" s="249"/>
      <c r="D981" s="249"/>
      <c r="E981" s="10"/>
      <c r="F981" s="10"/>
      <c r="G981" s="69"/>
      <c r="H981" s="229"/>
      <c r="I981" s="69"/>
      <c r="J981" s="69"/>
      <c r="K981" s="69"/>
      <c r="L981" s="69"/>
      <c r="M981" s="69"/>
    </row>
    <row r="982" ht="15.75" customHeight="1">
      <c r="A982" s="249"/>
      <c r="B982" s="249"/>
      <c r="C982" s="249"/>
      <c r="D982" s="249"/>
      <c r="E982" s="10"/>
      <c r="F982" s="10"/>
      <c r="G982" s="69"/>
      <c r="H982" s="229"/>
      <c r="I982" s="69"/>
      <c r="J982" s="69"/>
      <c r="K982" s="69"/>
      <c r="L982" s="69"/>
      <c r="M982" s="69"/>
    </row>
    <row r="983" ht="15.75" customHeight="1">
      <c r="A983" s="249"/>
      <c r="B983" s="249"/>
      <c r="C983" s="249"/>
      <c r="D983" s="249"/>
      <c r="E983" s="10"/>
      <c r="F983" s="10"/>
      <c r="G983" s="69"/>
      <c r="H983" s="229"/>
      <c r="I983" s="69"/>
      <c r="J983" s="69"/>
      <c r="K983" s="69"/>
      <c r="L983" s="69"/>
      <c r="M983" s="69"/>
    </row>
    <row r="984" ht="15.75" customHeight="1">
      <c r="A984" s="249"/>
      <c r="B984" s="249"/>
      <c r="C984" s="249"/>
      <c r="D984" s="249"/>
      <c r="E984" s="10"/>
      <c r="F984" s="10"/>
      <c r="G984" s="69"/>
      <c r="H984" s="229"/>
      <c r="I984" s="69"/>
      <c r="J984" s="69"/>
      <c r="K984" s="69"/>
      <c r="L984" s="69"/>
      <c r="M984" s="69"/>
    </row>
    <row r="985" ht="15.75" customHeight="1">
      <c r="A985" s="249"/>
      <c r="B985" s="249"/>
      <c r="C985" s="249"/>
      <c r="D985" s="249"/>
      <c r="E985" s="10"/>
      <c r="F985" s="10"/>
      <c r="G985" s="69"/>
      <c r="H985" s="229"/>
      <c r="I985" s="69"/>
      <c r="J985" s="69"/>
      <c r="K985" s="69"/>
      <c r="L985" s="69"/>
      <c r="M985" s="69"/>
    </row>
    <row r="986" ht="15.75" customHeight="1">
      <c r="A986" s="249"/>
      <c r="B986" s="249"/>
      <c r="C986" s="249"/>
      <c r="D986" s="249"/>
      <c r="E986" s="10"/>
      <c r="F986" s="10"/>
      <c r="G986" s="69"/>
      <c r="H986" s="229"/>
      <c r="I986" s="69"/>
      <c r="J986" s="69"/>
      <c r="K986" s="69"/>
      <c r="L986" s="69"/>
      <c r="M986" s="69"/>
    </row>
    <row r="987" ht="15.75" customHeight="1">
      <c r="A987" s="249"/>
      <c r="B987" s="249"/>
      <c r="C987" s="249"/>
      <c r="D987" s="249"/>
      <c r="E987" s="10"/>
      <c r="F987" s="10"/>
      <c r="G987" s="69"/>
      <c r="H987" s="229"/>
      <c r="I987" s="69"/>
      <c r="J987" s="69"/>
      <c r="K987" s="69"/>
      <c r="L987" s="69"/>
      <c r="M987" s="69"/>
    </row>
    <row r="988" ht="15.75" customHeight="1">
      <c r="A988" s="249"/>
      <c r="B988" s="249"/>
      <c r="C988" s="249"/>
      <c r="D988" s="249"/>
      <c r="E988" s="10"/>
      <c r="F988" s="10"/>
      <c r="G988" s="69"/>
      <c r="H988" s="229"/>
      <c r="I988" s="69"/>
      <c r="J988" s="69"/>
      <c r="K988" s="69"/>
      <c r="L988" s="69"/>
      <c r="M988" s="69"/>
    </row>
    <row r="989" ht="15.75" customHeight="1">
      <c r="A989" s="249"/>
      <c r="B989" s="249"/>
      <c r="C989" s="249"/>
      <c r="D989" s="249"/>
      <c r="E989" s="10"/>
      <c r="F989" s="10"/>
      <c r="G989" s="69"/>
      <c r="H989" s="229"/>
      <c r="I989" s="69"/>
      <c r="J989" s="69"/>
      <c r="K989" s="69"/>
      <c r="L989" s="69"/>
      <c r="M989" s="69"/>
    </row>
    <row r="990" ht="15.75" customHeight="1">
      <c r="A990" s="249"/>
      <c r="B990" s="249"/>
      <c r="C990" s="249"/>
      <c r="D990" s="249"/>
      <c r="E990" s="10"/>
      <c r="F990" s="10"/>
      <c r="G990" s="69"/>
      <c r="H990" s="229"/>
      <c r="I990" s="69"/>
      <c r="J990" s="69"/>
      <c r="K990" s="69"/>
      <c r="L990" s="69"/>
      <c r="M990" s="69"/>
    </row>
    <row r="991" ht="15.75" customHeight="1">
      <c r="A991" s="249"/>
      <c r="B991" s="249"/>
      <c r="C991" s="249"/>
      <c r="D991" s="249"/>
      <c r="E991" s="10"/>
      <c r="F991" s="10"/>
      <c r="G991" s="69"/>
      <c r="H991" s="229"/>
      <c r="I991" s="69"/>
      <c r="J991" s="69"/>
      <c r="K991" s="69"/>
      <c r="L991" s="69"/>
      <c r="M991" s="69"/>
    </row>
    <row r="992" ht="15.75" customHeight="1">
      <c r="A992" s="249"/>
      <c r="B992" s="249"/>
      <c r="C992" s="249"/>
      <c r="D992" s="249"/>
      <c r="E992" s="10"/>
      <c r="F992" s="10"/>
      <c r="G992" s="69"/>
      <c r="H992" s="229"/>
      <c r="I992" s="69"/>
      <c r="J992" s="69"/>
      <c r="K992" s="69"/>
      <c r="L992" s="69"/>
      <c r="M992" s="69"/>
    </row>
    <row r="993" ht="15.75" customHeight="1">
      <c r="A993" s="249"/>
      <c r="B993" s="249"/>
      <c r="C993" s="249"/>
      <c r="D993" s="249"/>
      <c r="E993" s="10"/>
      <c r="F993" s="10"/>
      <c r="G993" s="69"/>
      <c r="H993" s="229"/>
      <c r="I993" s="69"/>
      <c r="J993" s="69"/>
      <c r="K993" s="69"/>
      <c r="L993" s="69"/>
      <c r="M993" s="69"/>
    </row>
    <row r="994" ht="15.75" customHeight="1">
      <c r="A994" s="249"/>
      <c r="B994" s="249"/>
      <c r="C994" s="249"/>
      <c r="D994" s="249"/>
      <c r="E994" s="10"/>
      <c r="F994" s="10"/>
      <c r="G994" s="69"/>
      <c r="H994" s="229"/>
      <c r="I994" s="69"/>
      <c r="J994" s="69"/>
      <c r="K994" s="69"/>
      <c r="L994" s="69"/>
      <c r="M994" s="69"/>
    </row>
    <row r="995" ht="15.75" customHeight="1">
      <c r="A995" s="249"/>
      <c r="B995" s="249"/>
      <c r="C995" s="249"/>
      <c r="D995" s="249"/>
      <c r="E995" s="10"/>
      <c r="F995" s="10"/>
      <c r="G995" s="69"/>
      <c r="H995" s="229"/>
      <c r="I995" s="69"/>
      <c r="J995" s="69"/>
      <c r="K995" s="69"/>
      <c r="L995" s="69"/>
      <c r="M995" s="69"/>
    </row>
    <row r="996" ht="15.75" customHeight="1">
      <c r="A996" s="249"/>
      <c r="B996" s="249"/>
      <c r="C996" s="249"/>
      <c r="D996" s="249"/>
      <c r="E996" s="10"/>
      <c r="F996" s="10"/>
      <c r="G996" s="69"/>
      <c r="H996" s="229"/>
      <c r="I996" s="69"/>
      <c r="J996" s="69"/>
      <c r="K996" s="69"/>
      <c r="L996" s="69"/>
      <c r="M996" s="69"/>
    </row>
    <row r="997" ht="15.75" customHeight="1">
      <c r="A997" s="249"/>
      <c r="B997" s="249"/>
      <c r="C997" s="249"/>
      <c r="D997" s="249"/>
      <c r="E997" s="10"/>
      <c r="F997" s="10"/>
      <c r="G997" s="69"/>
      <c r="H997" s="229"/>
      <c r="I997" s="69"/>
      <c r="J997" s="69"/>
      <c r="K997" s="69"/>
      <c r="L997" s="69"/>
      <c r="M997" s="69"/>
    </row>
    <row r="998" ht="15.75" customHeight="1">
      <c r="A998" s="249"/>
      <c r="B998" s="249"/>
      <c r="C998" s="249"/>
      <c r="D998" s="249"/>
      <c r="E998" s="10"/>
      <c r="F998" s="10"/>
      <c r="G998" s="69"/>
      <c r="H998" s="229"/>
      <c r="I998" s="69"/>
      <c r="J998" s="69"/>
      <c r="K998" s="69"/>
      <c r="L998" s="69"/>
      <c r="M998" s="69"/>
    </row>
    <row r="999" ht="15.75" customHeight="1">
      <c r="A999" s="249"/>
      <c r="B999" s="249"/>
      <c r="C999" s="249"/>
      <c r="D999" s="249"/>
      <c r="E999" s="10"/>
      <c r="F999" s="10"/>
      <c r="G999" s="69"/>
      <c r="H999" s="229"/>
      <c r="I999" s="69"/>
      <c r="J999" s="69"/>
      <c r="K999" s="69"/>
      <c r="L999" s="69"/>
      <c r="M999" s="69"/>
    </row>
    <row r="1000" ht="15.75" customHeight="1">
      <c r="A1000" s="249"/>
      <c r="B1000" s="249"/>
      <c r="C1000" s="249"/>
      <c r="D1000" s="249"/>
      <c r="E1000" s="10"/>
      <c r="F1000" s="10"/>
      <c r="G1000" s="69"/>
      <c r="H1000" s="229"/>
      <c r="I1000" s="69"/>
      <c r="J1000" s="69"/>
      <c r="K1000" s="69"/>
      <c r="L1000" s="69"/>
      <c r="M1000" s="69"/>
    </row>
    <row r="1001" ht="15.75" customHeight="1">
      <c r="A1001" s="249"/>
      <c r="B1001" s="249"/>
      <c r="C1001" s="249"/>
      <c r="D1001" s="249"/>
      <c r="E1001" s="10"/>
      <c r="F1001" s="10"/>
      <c r="G1001" s="69"/>
      <c r="H1001" s="229"/>
      <c r="I1001" s="69"/>
      <c r="J1001" s="69"/>
      <c r="K1001" s="69"/>
      <c r="L1001" s="69"/>
      <c r="M1001" s="69"/>
    </row>
    <row r="1002" ht="15.75" customHeight="1">
      <c r="A1002" s="249"/>
      <c r="B1002" s="249"/>
      <c r="C1002" s="249"/>
      <c r="D1002" s="249"/>
      <c r="E1002" s="10"/>
      <c r="F1002" s="10"/>
      <c r="G1002" s="69"/>
      <c r="H1002" s="229"/>
      <c r="I1002" s="69"/>
      <c r="J1002" s="69"/>
      <c r="K1002" s="69"/>
      <c r="L1002" s="69"/>
      <c r="M1002" s="69"/>
    </row>
    <row r="1003" ht="15.75" customHeight="1">
      <c r="A1003" s="249"/>
      <c r="B1003" s="249"/>
      <c r="C1003" s="249"/>
      <c r="D1003" s="249"/>
      <c r="E1003" s="10"/>
      <c r="F1003" s="10"/>
      <c r="G1003" s="69"/>
      <c r="H1003" s="229"/>
      <c r="I1003" s="69"/>
      <c r="J1003" s="69"/>
      <c r="K1003" s="69"/>
      <c r="L1003" s="69"/>
      <c r="M1003" s="69"/>
    </row>
    <row r="1004" ht="15.75" customHeight="1">
      <c r="A1004" s="249"/>
      <c r="B1004" s="249"/>
      <c r="C1004" s="249"/>
      <c r="D1004" s="249"/>
      <c r="E1004" s="10"/>
      <c r="F1004" s="10"/>
      <c r="G1004" s="69"/>
      <c r="H1004" s="229"/>
      <c r="I1004" s="69"/>
      <c r="J1004" s="69"/>
      <c r="K1004" s="69"/>
      <c r="L1004" s="69"/>
      <c r="M1004" s="69"/>
    </row>
    <row r="1005" ht="15.75" customHeight="1">
      <c r="A1005" s="249"/>
      <c r="B1005" s="249"/>
      <c r="C1005" s="249"/>
      <c r="D1005" s="249"/>
      <c r="E1005" s="10"/>
      <c r="F1005" s="10"/>
      <c r="G1005" s="69"/>
      <c r="H1005" s="229"/>
      <c r="I1005" s="69"/>
      <c r="J1005" s="69"/>
      <c r="K1005" s="69"/>
      <c r="L1005" s="69"/>
      <c r="M1005" s="69"/>
    </row>
    <row r="1006" ht="15.75" customHeight="1">
      <c r="A1006" s="249"/>
      <c r="B1006" s="249"/>
      <c r="C1006" s="249"/>
      <c r="D1006" s="249"/>
      <c r="E1006" s="10"/>
      <c r="F1006" s="10"/>
      <c r="G1006" s="69"/>
      <c r="H1006" s="229"/>
      <c r="I1006" s="69"/>
      <c r="J1006" s="69"/>
      <c r="K1006" s="69"/>
      <c r="L1006" s="69"/>
      <c r="M1006" s="69"/>
    </row>
    <row r="1007" ht="15.75" customHeight="1">
      <c r="A1007" s="249"/>
      <c r="B1007" s="249"/>
      <c r="C1007" s="249"/>
      <c r="D1007" s="249"/>
      <c r="E1007" s="10"/>
      <c r="F1007" s="10"/>
      <c r="G1007" s="69"/>
      <c r="H1007" s="229"/>
      <c r="I1007" s="69"/>
      <c r="J1007" s="69"/>
      <c r="K1007" s="69"/>
      <c r="L1007" s="69"/>
      <c r="M1007" s="69"/>
    </row>
    <row r="1008" ht="15.75" customHeight="1">
      <c r="A1008" s="249"/>
      <c r="B1008" s="249"/>
      <c r="C1008" s="249"/>
      <c r="D1008" s="249"/>
      <c r="E1008" s="10"/>
      <c r="F1008" s="10"/>
      <c r="G1008" s="69"/>
      <c r="H1008" s="229"/>
      <c r="I1008" s="69"/>
      <c r="J1008" s="69"/>
      <c r="K1008" s="69"/>
      <c r="L1008" s="69"/>
      <c r="M1008" s="69"/>
    </row>
    <row r="1009" ht="15.75" customHeight="1">
      <c r="A1009" s="249"/>
      <c r="B1009" s="249"/>
      <c r="C1009" s="249"/>
      <c r="D1009" s="249"/>
      <c r="E1009" s="10"/>
      <c r="F1009" s="10"/>
      <c r="G1009" s="69"/>
      <c r="H1009" s="229"/>
      <c r="I1009" s="69"/>
      <c r="J1009" s="69"/>
      <c r="K1009" s="69"/>
      <c r="L1009" s="69"/>
      <c r="M1009" s="69"/>
    </row>
    <row r="1010" ht="15.75" customHeight="1">
      <c r="A1010" s="249"/>
      <c r="B1010" s="249"/>
      <c r="C1010" s="249"/>
      <c r="D1010" s="249"/>
      <c r="E1010" s="10"/>
      <c r="F1010" s="10"/>
      <c r="G1010" s="69"/>
      <c r="H1010" s="229"/>
      <c r="I1010" s="69"/>
      <c r="J1010" s="69"/>
      <c r="K1010" s="69"/>
      <c r="L1010" s="69"/>
      <c r="M1010" s="69"/>
    </row>
    <row r="1011" ht="15.75" customHeight="1">
      <c r="A1011" s="249"/>
      <c r="B1011" s="249"/>
      <c r="C1011" s="249"/>
      <c r="D1011" s="249"/>
      <c r="E1011" s="10"/>
      <c r="F1011" s="10"/>
      <c r="G1011" s="69"/>
      <c r="H1011" s="229"/>
      <c r="I1011" s="69"/>
      <c r="J1011" s="69"/>
      <c r="K1011" s="69"/>
      <c r="L1011" s="69"/>
      <c r="M1011" s="69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outlinePr summaryBelow="0" summaryRight="0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57.43"/>
    <col customWidth="1" min="2" max="2" width="22.43"/>
    <col customWidth="1" min="3" max="3" width="29.86"/>
    <col customWidth="1" min="4" max="4" width="24.43"/>
    <col customWidth="1" min="5" max="5" width="23.0"/>
    <col customWidth="1" min="6" max="6" width="29.86"/>
    <col customWidth="1" min="7" max="13" width="25.29"/>
  </cols>
  <sheetData>
    <row r="1">
      <c r="A1" s="177" t="s">
        <v>0</v>
      </c>
      <c r="B1" s="227"/>
      <c r="C1" s="238"/>
      <c r="D1" s="238"/>
      <c r="E1" s="250"/>
      <c r="F1" s="250"/>
      <c r="G1" s="85"/>
      <c r="H1" s="85"/>
      <c r="I1" s="85"/>
      <c r="J1" s="85"/>
      <c r="K1" s="86"/>
      <c r="L1" s="85"/>
      <c r="M1" s="85"/>
    </row>
    <row r="2">
      <c r="A2" s="6" t="s">
        <v>1</v>
      </c>
      <c r="B2" s="250"/>
      <c r="C2" s="238"/>
      <c r="D2" s="238"/>
      <c r="E2" s="250"/>
      <c r="F2" s="250"/>
      <c r="G2" s="87"/>
      <c r="H2" s="88"/>
      <c r="K2" s="86"/>
      <c r="L2" s="87"/>
      <c r="M2" s="87"/>
    </row>
    <row r="3">
      <c r="A3" s="1" t="s">
        <v>516</v>
      </c>
      <c r="B3" s="227"/>
      <c r="C3" s="238"/>
      <c r="D3" s="238"/>
      <c r="E3" s="250"/>
      <c r="F3" s="250"/>
      <c r="G3" s="87"/>
      <c r="K3" s="87"/>
      <c r="L3" s="87"/>
      <c r="M3" s="87"/>
    </row>
    <row r="4">
      <c r="A4" s="1" t="s">
        <v>3</v>
      </c>
      <c r="B4" s="227"/>
      <c r="C4" s="238"/>
      <c r="D4" s="238"/>
      <c r="E4" s="250"/>
      <c r="F4" s="250"/>
      <c r="G4" s="87"/>
      <c r="K4" s="87"/>
      <c r="L4" s="87"/>
      <c r="M4" s="87"/>
    </row>
    <row r="5">
      <c r="A5" s="1" t="s">
        <v>4</v>
      </c>
      <c r="B5" s="227"/>
      <c r="C5" s="238"/>
      <c r="D5" s="238"/>
      <c r="E5" s="250"/>
      <c r="F5" s="250"/>
      <c r="G5" s="87"/>
      <c r="H5" s="87"/>
      <c r="I5" s="87"/>
      <c r="J5" s="87"/>
      <c r="K5" s="87"/>
      <c r="L5" s="87"/>
      <c r="M5" s="87"/>
    </row>
    <row r="6">
      <c r="A6" s="227"/>
      <c r="B6" s="227"/>
      <c r="C6" s="238"/>
      <c r="D6" s="238"/>
      <c r="E6" s="250"/>
      <c r="F6" s="250"/>
      <c r="G6" s="87"/>
      <c r="H6" s="87"/>
      <c r="I6" s="87"/>
      <c r="J6" s="87"/>
      <c r="K6" s="87"/>
      <c r="L6" s="87"/>
      <c r="M6" s="87"/>
    </row>
    <row r="7" ht="33.0" customHeight="1">
      <c r="A7" s="184" t="s">
        <v>5</v>
      </c>
      <c r="B7" s="184" t="s">
        <v>6</v>
      </c>
      <c r="C7" s="185" t="s">
        <v>7</v>
      </c>
      <c r="D7" s="14"/>
      <c r="E7" s="94" t="s">
        <v>8</v>
      </c>
      <c r="F7" s="14"/>
      <c r="G7" s="95" t="s">
        <v>9</v>
      </c>
      <c r="H7" s="17"/>
      <c r="I7" s="17"/>
      <c r="J7" s="17"/>
      <c r="K7" s="17"/>
      <c r="L7" s="18"/>
      <c r="M7" s="96" t="s">
        <v>517</v>
      </c>
    </row>
    <row r="8" ht="19.5" customHeight="1">
      <c r="A8" s="20"/>
      <c r="B8" s="20"/>
      <c r="C8" s="21"/>
      <c r="D8" s="22"/>
      <c r="E8" s="21"/>
      <c r="F8" s="22"/>
      <c r="G8" s="95" t="s">
        <v>11</v>
      </c>
      <c r="H8" s="18"/>
      <c r="I8" s="95" t="s">
        <v>12</v>
      </c>
      <c r="J8" s="18"/>
      <c r="K8" s="95" t="s">
        <v>13</v>
      </c>
      <c r="L8" s="18"/>
      <c r="M8" s="20"/>
    </row>
    <row r="9" ht="19.5" customHeight="1">
      <c r="A9" s="20"/>
      <c r="B9" s="20"/>
      <c r="C9" s="186" t="s">
        <v>14</v>
      </c>
      <c r="D9" s="187" t="s">
        <v>15</v>
      </c>
      <c r="E9" s="94" t="s">
        <v>16</v>
      </c>
      <c r="F9" s="14"/>
      <c r="G9" s="100" t="s">
        <v>17</v>
      </c>
      <c r="H9" s="101" t="s">
        <v>18</v>
      </c>
      <c r="I9" s="100" t="s">
        <v>17</v>
      </c>
      <c r="J9" s="101" t="s">
        <v>18</v>
      </c>
      <c r="K9" s="100" t="s">
        <v>17</v>
      </c>
      <c r="L9" s="101" t="s">
        <v>18</v>
      </c>
      <c r="M9" s="20"/>
    </row>
    <row r="10" ht="67.5" customHeight="1">
      <c r="A10" s="28"/>
      <c r="B10" s="28"/>
      <c r="C10" s="28"/>
      <c r="D10" s="28"/>
      <c r="E10" s="104" t="s">
        <v>17</v>
      </c>
      <c r="F10" s="105" t="s">
        <v>18</v>
      </c>
      <c r="G10" s="28"/>
      <c r="H10" s="28"/>
      <c r="I10" s="28"/>
      <c r="J10" s="28"/>
      <c r="K10" s="28"/>
      <c r="L10" s="28"/>
      <c r="M10" s="28"/>
    </row>
    <row r="11">
      <c r="A11" s="251" t="s">
        <v>151</v>
      </c>
      <c r="B11" s="195"/>
      <c r="C11" s="252">
        <f t="shared" ref="C11:D11" si="1">C12+C37</f>
        <v>0</v>
      </c>
      <c r="D11" s="252">
        <f t="shared" si="1"/>
        <v>116.44921</v>
      </c>
      <c r="E11" s="253"/>
      <c r="F11" s="252">
        <f>F12+F37</f>
        <v>30</v>
      </c>
      <c r="G11" s="254"/>
      <c r="H11" s="254"/>
      <c r="I11" s="254"/>
      <c r="J11" s="254"/>
      <c r="K11" s="254"/>
      <c r="L11" s="254"/>
      <c r="M11" s="254"/>
    </row>
    <row r="12" ht="51.75" customHeight="1">
      <c r="A12" s="251" t="s">
        <v>152</v>
      </c>
      <c r="B12" s="195"/>
      <c r="C12" s="252">
        <f t="shared" ref="C12:D12" si="2">C13+C35</f>
        <v>0</v>
      </c>
      <c r="D12" s="252">
        <f t="shared" si="2"/>
        <v>116.44921</v>
      </c>
      <c r="E12" s="191"/>
      <c r="F12" s="252">
        <f>F13+F35</f>
        <v>30</v>
      </c>
      <c r="G12" s="254"/>
      <c r="H12" s="254"/>
      <c r="I12" s="254"/>
      <c r="J12" s="254"/>
      <c r="K12" s="254"/>
      <c r="L12" s="254"/>
      <c r="M12" s="254"/>
    </row>
    <row r="13" ht="54.0" customHeight="1">
      <c r="A13" s="251" t="s">
        <v>153</v>
      </c>
      <c r="B13" s="195"/>
      <c r="C13" s="255"/>
      <c r="D13" s="256">
        <f>sum(D15:D22)</f>
        <v>116.44921</v>
      </c>
      <c r="E13" s="191"/>
      <c r="F13" s="190">
        <f>sum(F15:F22)</f>
        <v>30</v>
      </c>
      <c r="G13" s="254"/>
      <c r="H13" s="254"/>
      <c r="I13" s="254"/>
      <c r="J13" s="254"/>
      <c r="K13" s="254"/>
      <c r="L13" s="254"/>
      <c r="M13" s="254"/>
    </row>
    <row r="14" ht="40.5" customHeight="1">
      <c r="A14" s="52" t="s">
        <v>518</v>
      </c>
      <c r="B14" s="58"/>
      <c r="C14" s="198"/>
      <c r="D14" s="257"/>
      <c r="E14" s="191"/>
      <c r="F14" s="254"/>
      <c r="G14" s="254"/>
      <c r="H14" s="254"/>
      <c r="I14" s="254"/>
      <c r="J14" s="254"/>
      <c r="K14" s="254"/>
      <c r="L14" s="254"/>
      <c r="M14" s="254"/>
    </row>
    <row r="15">
      <c r="A15" s="41" t="s">
        <v>175</v>
      </c>
      <c r="B15" s="43" t="s">
        <v>519</v>
      </c>
      <c r="C15" s="198">
        <v>3.0</v>
      </c>
      <c r="D15" s="257">
        <v>38.46153</v>
      </c>
      <c r="E15" s="191"/>
      <c r="F15" s="253"/>
      <c r="G15" s="254"/>
      <c r="H15" s="254"/>
      <c r="I15" s="254"/>
      <c r="J15" s="254"/>
      <c r="K15" s="254"/>
      <c r="L15" s="254"/>
      <c r="M15" s="254"/>
    </row>
    <row r="16">
      <c r="A16" s="41" t="s">
        <v>176</v>
      </c>
      <c r="B16" s="43" t="s">
        <v>519</v>
      </c>
      <c r="C16" s="198">
        <v>3.0</v>
      </c>
      <c r="D16" s="257">
        <v>38.46153</v>
      </c>
      <c r="E16" s="191"/>
      <c r="F16" s="258"/>
      <c r="G16" s="254"/>
      <c r="H16" s="254"/>
      <c r="I16" s="254"/>
      <c r="J16" s="254"/>
      <c r="K16" s="254"/>
      <c r="L16" s="254"/>
      <c r="M16" s="254"/>
    </row>
    <row r="17" ht="42.75" customHeight="1">
      <c r="A17" s="52" t="s">
        <v>520</v>
      </c>
      <c r="B17" s="58"/>
      <c r="C17" s="198"/>
      <c r="D17" s="257"/>
      <c r="E17" s="191"/>
      <c r="F17" s="191"/>
      <c r="G17" s="254"/>
      <c r="H17" s="254"/>
      <c r="I17" s="254"/>
      <c r="J17" s="254"/>
      <c r="K17" s="254"/>
      <c r="L17" s="254"/>
      <c r="M17" s="254"/>
    </row>
    <row r="18">
      <c r="A18" s="41" t="s">
        <v>521</v>
      </c>
      <c r="B18" s="43" t="s">
        <v>101</v>
      </c>
      <c r="C18" s="198"/>
      <c r="D18" s="257"/>
      <c r="E18" s="191"/>
      <c r="F18" s="191"/>
      <c r="G18" s="254"/>
      <c r="H18" s="254"/>
      <c r="I18" s="254"/>
      <c r="J18" s="254"/>
      <c r="K18" s="254"/>
      <c r="L18" s="254"/>
      <c r="M18" s="254"/>
    </row>
    <row r="19">
      <c r="A19" s="41" t="s">
        <v>522</v>
      </c>
      <c r="B19" s="43"/>
      <c r="C19" s="198">
        <v>50.0</v>
      </c>
      <c r="D19" s="257">
        <v>3.8095</v>
      </c>
      <c r="E19" s="191"/>
      <c r="F19" s="253"/>
      <c r="G19" s="254"/>
      <c r="H19" s="254"/>
      <c r="I19" s="254"/>
      <c r="J19" s="254"/>
      <c r="K19" s="254"/>
      <c r="L19" s="254"/>
      <c r="M19" s="254"/>
    </row>
    <row r="20">
      <c r="A20" s="52" t="s">
        <v>523</v>
      </c>
      <c r="B20" s="58"/>
      <c r="C20" s="198"/>
      <c r="D20" s="257"/>
      <c r="E20" s="191"/>
      <c r="F20" s="253"/>
      <c r="G20" s="254"/>
      <c r="H20" s="254"/>
      <c r="I20" s="254"/>
      <c r="J20" s="254"/>
      <c r="K20" s="254"/>
      <c r="L20" s="254"/>
      <c r="M20" s="254"/>
    </row>
    <row r="21" ht="40.5" customHeight="1">
      <c r="A21" s="41" t="s">
        <v>524</v>
      </c>
      <c r="B21" s="43" t="s">
        <v>519</v>
      </c>
      <c r="C21" s="198">
        <v>1500.0</v>
      </c>
      <c r="D21" s="257">
        <v>19.05</v>
      </c>
      <c r="E21" s="191">
        <v>60.0</v>
      </c>
      <c r="F21" s="253">
        <v>30.0</v>
      </c>
      <c r="G21" s="254"/>
      <c r="H21" s="254"/>
      <c r="I21" s="254"/>
      <c r="J21" s="254"/>
      <c r="K21" s="254"/>
      <c r="L21" s="254"/>
      <c r="M21" s="254"/>
    </row>
    <row r="22" ht="42.75" customHeight="1">
      <c r="A22" s="41" t="s">
        <v>525</v>
      </c>
      <c r="B22" s="43" t="s">
        <v>519</v>
      </c>
      <c r="C22" s="198">
        <v>1125.0</v>
      </c>
      <c r="D22" s="257">
        <v>16.66665</v>
      </c>
      <c r="E22" s="191"/>
      <c r="F22" s="253"/>
      <c r="G22" s="254"/>
      <c r="H22" s="254"/>
      <c r="I22" s="254"/>
      <c r="J22" s="254"/>
      <c r="K22" s="254"/>
      <c r="L22" s="254"/>
      <c r="M22" s="254"/>
    </row>
    <row r="23" ht="27.0" customHeight="1">
      <c r="A23" s="41" t="s">
        <v>526</v>
      </c>
      <c r="B23" s="43" t="s">
        <v>527</v>
      </c>
      <c r="C23" s="198"/>
      <c r="D23" s="257"/>
      <c r="E23" s="191"/>
      <c r="F23" s="253"/>
      <c r="G23" s="254"/>
      <c r="H23" s="254"/>
      <c r="I23" s="254"/>
      <c r="J23" s="254"/>
      <c r="K23" s="254"/>
      <c r="L23" s="254"/>
      <c r="M23" s="254"/>
    </row>
    <row r="24" ht="28.5" hidden="1" customHeight="1">
      <c r="A24" s="41"/>
      <c r="B24" s="43"/>
      <c r="C24" s="198"/>
      <c r="D24" s="257"/>
      <c r="E24" s="191"/>
      <c r="F24" s="253"/>
      <c r="G24" s="254"/>
      <c r="H24" s="254"/>
      <c r="I24" s="254"/>
      <c r="J24" s="254"/>
      <c r="K24" s="254"/>
      <c r="L24" s="254"/>
      <c r="M24" s="254"/>
    </row>
    <row r="25" ht="30.0" customHeight="1">
      <c r="A25" s="52" t="s">
        <v>528</v>
      </c>
      <c r="B25" s="58"/>
      <c r="C25" s="198"/>
      <c r="D25" s="257"/>
      <c r="E25" s="191"/>
      <c r="F25" s="253"/>
      <c r="G25" s="254"/>
      <c r="H25" s="254"/>
      <c r="I25" s="254"/>
      <c r="J25" s="254"/>
      <c r="K25" s="254"/>
      <c r="L25" s="254"/>
      <c r="M25" s="254"/>
    </row>
    <row r="26" ht="15.75" hidden="1" customHeight="1">
      <c r="A26" s="41" t="s">
        <v>529</v>
      </c>
      <c r="B26" s="43" t="s">
        <v>101</v>
      </c>
      <c r="C26" s="198"/>
      <c r="D26" s="257"/>
      <c r="E26" s="191"/>
      <c r="F26" s="253"/>
      <c r="G26" s="254"/>
      <c r="H26" s="254"/>
      <c r="I26" s="254"/>
      <c r="J26" s="254"/>
      <c r="K26" s="254"/>
      <c r="L26" s="254"/>
      <c r="M26" s="254"/>
    </row>
    <row r="27" ht="15.75" hidden="1" customHeight="1">
      <c r="A27" s="41" t="s">
        <v>530</v>
      </c>
      <c r="B27" s="43" t="s">
        <v>101</v>
      </c>
      <c r="C27" s="198"/>
      <c r="D27" s="257"/>
      <c r="E27" s="259">
        <v>20.5</v>
      </c>
      <c r="F27" s="260">
        <v>41.0</v>
      </c>
      <c r="G27" s="254"/>
      <c r="H27" s="254"/>
      <c r="I27" s="254"/>
      <c r="J27" s="254"/>
      <c r="K27" s="254"/>
      <c r="L27" s="254"/>
      <c r="M27" s="254"/>
    </row>
    <row r="28" ht="31.5" customHeight="1">
      <c r="A28" s="41" t="s">
        <v>531</v>
      </c>
      <c r="B28" s="43" t="s">
        <v>532</v>
      </c>
      <c r="C28" s="198">
        <v>5.0</v>
      </c>
      <c r="D28" s="257">
        <v>14761.0</v>
      </c>
      <c r="E28" s="261"/>
      <c r="F28" s="253"/>
      <c r="G28" s="254"/>
      <c r="H28" s="254"/>
      <c r="I28" s="254"/>
      <c r="J28" s="254"/>
      <c r="K28" s="254"/>
      <c r="L28" s="254"/>
      <c r="M28" s="254"/>
    </row>
    <row r="29" ht="15.75" hidden="1" customHeight="1">
      <c r="A29" s="41" t="s">
        <v>533</v>
      </c>
      <c r="B29" s="43" t="s">
        <v>33</v>
      </c>
      <c r="C29" s="198"/>
      <c r="D29" s="257"/>
      <c r="E29" s="191"/>
      <c r="F29" s="253"/>
      <c r="G29" s="254"/>
      <c r="H29" s="254"/>
      <c r="I29" s="254"/>
      <c r="J29" s="254"/>
      <c r="K29" s="254"/>
      <c r="L29" s="254"/>
      <c r="M29" s="254"/>
    </row>
    <row r="30" ht="15.75" hidden="1" customHeight="1">
      <c r="A30" s="41" t="s">
        <v>534</v>
      </c>
      <c r="B30" s="43" t="s">
        <v>33</v>
      </c>
      <c r="C30" s="198"/>
      <c r="D30" s="257"/>
      <c r="E30" s="191"/>
      <c r="F30" s="253"/>
      <c r="G30" s="254"/>
      <c r="H30" s="254"/>
      <c r="I30" s="254"/>
      <c r="J30" s="254"/>
      <c r="K30" s="254"/>
      <c r="L30" s="254"/>
      <c r="M30" s="254"/>
    </row>
    <row r="31" ht="33.0" customHeight="1">
      <c r="A31" s="41" t="s">
        <v>535</v>
      </c>
      <c r="B31" s="43" t="s">
        <v>33</v>
      </c>
      <c r="C31" s="198">
        <v>10.0</v>
      </c>
      <c r="D31" s="257">
        <v>38.0952</v>
      </c>
      <c r="E31" s="191"/>
      <c r="F31" s="253"/>
      <c r="G31" s="254"/>
      <c r="H31" s="254"/>
      <c r="I31" s="254"/>
      <c r="J31" s="254"/>
      <c r="K31" s="254"/>
      <c r="L31" s="254"/>
      <c r="M31" s="254"/>
    </row>
    <row r="32" ht="24.75" customHeight="1">
      <c r="A32" s="41" t="s">
        <v>536</v>
      </c>
      <c r="B32" s="43" t="s">
        <v>33</v>
      </c>
      <c r="C32" s="198"/>
      <c r="D32" s="257"/>
      <c r="E32" s="191"/>
      <c r="F32" s="253"/>
      <c r="G32" s="254"/>
      <c r="H32" s="254"/>
      <c r="I32" s="254"/>
      <c r="J32" s="254"/>
      <c r="K32" s="254"/>
      <c r="L32" s="254"/>
      <c r="M32" s="254"/>
    </row>
    <row r="33" ht="39.0" customHeight="1">
      <c r="A33" s="41" t="s">
        <v>537</v>
      </c>
      <c r="B33" s="43" t="s">
        <v>33</v>
      </c>
      <c r="C33" s="198"/>
      <c r="D33" s="257"/>
      <c r="E33" s="191"/>
      <c r="F33" s="253"/>
      <c r="G33" s="254"/>
      <c r="H33" s="254"/>
      <c r="I33" s="254"/>
      <c r="J33" s="254"/>
      <c r="K33" s="254"/>
      <c r="L33" s="254"/>
      <c r="M33" s="254"/>
    </row>
    <row r="34" ht="27.75" customHeight="1">
      <c r="A34" s="41" t="s">
        <v>538</v>
      </c>
      <c r="B34" s="43" t="s">
        <v>33</v>
      </c>
      <c r="C34" s="198"/>
      <c r="D34" s="257"/>
      <c r="E34" s="191"/>
      <c r="F34" s="253"/>
      <c r="G34" s="254"/>
      <c r="H34" s="254"/>
      <c r="I34" s="254"/>
      <c r="J34" s="254"/>
      <c r="K34" s="254"/>
      <c r="L34" s="254"/>
      <c r="M34" s="254"/>
    </row>
    <row r="35" ht="46.5" customHeight="1">
      <c r="A35" s="52" t="s">
        <v>327</v>
      </c>
      <c r="B35" s="58"/>
      <c r="C35" s="198"/>
      <c r="D35" s="257"/>
      <c r="E35" s="191"/>
      <c r="F35" s="253"/>
      <c r="G35" s="254"/>
      <c r="H35" s="254"/>
      <c r="I35" s="254"/>
      <c r="J35" s="254"/>
      <c r="K35" s="254"/>
      <c r="L35" s="254"/>
      <c r="M35" s="254"/>
    </row>
    <row r="36" ht="15.75" customHeight="1">
      <c r="A36" s="58"/>
      <c r="B36" s="58"/>
      <c r="C36" s="198"/>
      <c r="D36" s="257"/>
      <c r="E36" s="191"/>
      <c r="F36" s="253"/>
      <c r="G36" s="254"/>
      <c r="H36" s="254"/>
      <c r="I36" s="254"/>
      <c r="J36" s="254"/>
      <c r="K36" s="254"/>
      <c r="L36" s="254"/>
      <c r="M36" s="254"/>
    </row>
    <row r="37" ht="64.5" customHeight="1">
      <c r="A37" s="52" t="s">
        <v>539</v>
      </c>
      <c r="B37" s="58"/>
      <c r="C37" s="252">
        <f t="shared" ref="C37:D37" si="3">C38</f>
        <v>0</v>
      </c>
      <c r="D37" s="252">
        <f t="shared" si="3"/>
        <v>0</v>
      </c>
      <c r="E37" s="261"/>
      <c r="F37" s="253"/>
      <c r="G37" s="254"/>
      <c r="H37" s="254"/>
      <c r="I37" s="254"/>
      <c r="J37" s="254"/>
      <c r="K37" s="254"/>
      <c r="L37" s="254"/>
      <c r="M37" s="254"/>
    </row>
    <row r="38" ht="69.75" customHeight="1">
      <c r="A38" s="52" t="s">
        <v>540</v>
      </c>
      <c r="B38" s="58"/>
      <c r="C38" s="252">
        <f t="shared" ref="C38:D38" si="4">SUM(C41:C48)</f>
        <v>0</v>
      </c>
      <c r="D38" s="252">
        <f t="shared" si="4"/>
        <v>0</v>
      </c>
      <c r="E38" s="261"/>
      <c r="F38" s="253"/>
      <c r="G38" s="254"/>
      <c r="H38" s="254"/>
      <c r="I38" s="254"/>
      <c r="J38" s="254"/>
      <c r="K38" s="254"/>
      <c r="L38" s="254"/>
      <c r="M38" s="254"/>
    </row>
    <row r="39" ht="57.0" customHeight="1">
      <c r="A39" s="52" t="s">
        <v>541</v>
      </c>
      <c r="B39" s="58"/>
      <c r="C39" s="198"/>
      <c r="D39" s="257"/>
      <c r="E39" s="191"/>
      <c r="F39" s="253"/>
      <c r="G39" s="254"/>
      <c r="H39" s="254"/>
      <c r="I39" s="254"/>
      <c r="J39" s="254"/>
      <c r="K39" s="254"/>
      <c r="L39" s="254"/>
      <c r="M39" s="254"/>
    </row>
    <row r="40" ht="25.5" customHeight="1">
      <c r="A40" s="41" t="s">
        <v>312</v>
      </c>
      <c r="B40" s="43" t="s">
        <v>33</v>
      </c>
      <c r="C40" s="198"/>
      <c r="D40" s="257"/>
      <c r="E40" s="191">
        <v>1.0</v>
      </c>
      <c r="F40" s="253">
        <v>47.0</v>
      </c>
      <c r="G40" s="254"/>
      <c r="H40" s="254"/>
      <c r="I40" s="254"/>
      <c r="J40" s="254"/>
      <c r="K40" s="254"/>
      <c r="L40" s="254"/>
      <c r="M40" s="254"/>
    </row>
    <row r="41" ht="31.5" customHeight="1">
      <c r="A41" s="41" t="s">
        <v>542</v>
      </c>
      <c r="B41" s="43" t="s">
        <v>33</v>
      </c>
      <c r="C41" s="198"/>
      <c r="D41" s="257"/>
      <c r="E41" s="191">
        <v>1.0</v>
      </c>
      <c r="F41" s="253">
        <v>100.0</v>
      </c>
      <c r="G41" s="254"/>
      <c r="H41" s="254"/>
      <c r="I41" s="254"/>
      <c r="J41" s="254"/>
      <c r="K41" s="254"/>
      <c r="L41" s="254"/>
      <c r="M41" s="254"/>
    </row>
    <row r="42" ht="31.5" customHeight="1">
      <c r="A42" s="52" t="s">
        <v>543</v>
      </c>
      <c r="B42" s="58"/>
      <c r="C42" s="198"/>
      <c r="D42" s="257"/>
      <c r="E42" s="191"/>
      <c r="F42" s="253"/>
      <c r="G42" s="254"/>
      <c r="H42" s="254"/>
      <c r="I42" s="254"/>
      <c r="J42" s="254"/>
      <c r="K42" s="254"/>
      <c r="L42" s="254"/>
      <c r="M42" s="254"/>
    </row>
    <row r="43" ht="27.0" customHeight="1">
      <c r="A43" s="41" t="s">
        <v>544</v>
      </c>
      <c r="B43" s="43" t="s">
        <v>33</v>
      </c>
      <c r="C43" s="198"/>
      <c r="D43" s="257"/>
      <c r="E43" s="191">
        <v>1.0</v>
      </c>
      <c r="F43" s="253">
        <v>300.0</v>
      </c>
      <c r="G43" s="254"/>
      <c r="H43" s="254"/>
      <c r="I43" s="254"/>
      <c r="J43" s="254"/>
      <c r="K43" s="254"/>
      <c r="L43" s="254"/>
      <c r="M43" s="254"/>
    </row>
    <row r="44" ht="51.75" customHeight="1">
      <c r="A44" s="41" t="s">
        <v>545</v>
      </c>
      <c r="B44" s="43" t="s">
        <v>33</v>
      </c>
      <c r="C44" s="198"/>
      <c r="D44" s="257"/>
      <c r="E44" s="191">
        <v>1.0</v>
      </c>
      <c r="F44" s="253">
        <v>2000.0</v>
      </c>
      <c r="G44" s="254"/>
      <c r="H44" s="254"/>
      <c r="I44" s="254"/>
      <c r="J44" s="254"/>
      <c r="K44" s="254"/>
      <c r="L44" s="254"/>
      <c r="M44" s="254"/>
    </row>
    <row r="45" ht="39.0" customHeight="1">
      <c r="A45" s="41" t="s">
        <v>546</v>
      </c>
      <c r="B45" s="43" t="s">
        <v>33</v>
      </c>
      <c r="C45" s="198"/>
      <c r="D45" s="257"/>
      <c r="E45" s="191"/>
      <c r="F45" s="253"/>
      <c r="G45" s="254"/>
      <c r="H45" s="254"/>
      <c r="I45" s="254"/>
      <c r="J45" s="254"/>
      <c r="K45" s="254"/>
      <c r="L45" s="254"/>
      <c r="M45" s="254"/>
    </row>
    <row r="46" ht="40.5" customHeight="1">
      <c r="A46" s="41" t="s">
        <v>547</v>
      </c>
      <c r="B46" s="43"/>
      <c r="C46" s="198"/>
      <c r="D46" s="257"/>
      <c r="E46" s="191">
        <v>1.0</v>
      </c>
      <c r="F46" s="253">
        <v>315.0</v>
      </c>
      <c r="G46" s="254"/>
      <c r="H46" s="254"/>
      <c r="I46" s="254"/>
      <c r="J46" s="254"/>
      <c r="K46" s="254"/>
      <c r="L46" s="254"/>
      <c r="M46" s="254"/>
    </row>
    <row r="47" ht="63.75" customHeight="1">
      <c r="A47" s="52" t="s">
        <v>548</v>
      </c>
      <c r="B47" s="58"/>
      <c r="C47" s="198"/>
      <c r="D47" s="257"/>
      <c r="E47" s="254" t="str">
        <f t="shared" ref="E47:F47" si="5">E49</f>
        <v/>
      </c>
      <c r="F47" s="254" t="str">
        <f t="shared" si="5"/>
        <v/>
      </c>
      <c r="G47" s="254"/>
      <c r="H47" s="254"/>
      <c r="I47" s="254"/>
      <c r="J47" s="254"/>
      <c r="K47" s="254"/>
      <c r="L47" s="254"/>
      <c r="M47" s="254"/>
    </row>
    <row r="48" ht="30.75" customHeight="1">
      <c r="A48" s="41" t="s">
        <v>530</v>
      </c>
      <c r="B48" s="43" t="s">
        <v>101</v>
      </c>
      <c r="C48" s="198"/>
      <c r="D48" s="257"/>
      <c r="E48" s="191"/>
      <c r="F48" s="253"/>
      <c r="G48" s="254"/>
      <c r="H48" s="254"/>
      <c r="I48" s="254"/>
      <c r="J48" s="254"/>
      <c r="K48" s="254"/>
      <c r="L48" s="254"/>
      <c r="M48" s="254"/>
    </row>
    <row r="49" ht="42.0" customHeight="1">
      <c r="A49" s="52" t="s">
        <v>549</v>
      </c>
      <c r="B49" s="58"/>
      <c r="C49" s="198"/>
      <c r="D49" s="198"/>
      <c r="E49" s="191"/>
      <c r="F49" s="254"/>
      <c r="G49" s="254"/>
      <c r="H49" s="254"/>
      <c r="I49" s="254"/>
      <c r="J49" s="254"/>
      <c r="K49" s="254"/>
      <c r="L49" s="254"/>
      <c r="M49" s="254"/>
    </row>
    <row r="50" ht="30.0" customHeight="1">
      <c r="A50" s="59" t="s">
        <v>63</v>
      </c>
      <c r="B50" s="58"/>
      <c r="C50" s="198"/>
      <c r="D50" s="262">
        <f>D11</f>
        <v>116.44921</v>
      </c>
      <c r="E50" s="263"/>
      <c r="F50" s="263">
        <f>F46+F44+F43+F41+F40+F21</f>
        <v>2792</v>
      </c>
      <c r="G50" s="254"/>
      <c r="H50" s="264">
        <v>0.0</v>
      </c>
      <c r="I50" s="265"/>
      <c r="J50" s="264">
        <v>0.0</v>
      </c>
      <c r="K50" s="265"/>
      <c r="L50" s="264">
        <v>0.0</v>
      </c>
      <c r="M50" s="254"/>
    </row>
    <row r="51" ht="15.75" hidden="1" customHeight="1">
      <c r="A51" s="266"/>
      <c r="B51" s="238"/>
      <c r="C51" s="238"/>
      <c r="D51" s="238"/>
      <c r="E51" s="267"/>
      <c r="F51" s="267"/>
      <c r="G51" s="267"/>
      <c r="H51" s="267"/>
      <c r="I51" s="267"/>
      <c r="J51" s="267"/>
      <c r="K51" s="267"/>
      <c r="L51" s="267"/>
      <c r="M51" s="267"/>
    </row>
    <row r="52" ht="15.75" hidden="1" customHeight="1">
      <c r="A52" s="238"/>
      <c r="B52" s="238"/>
      <c r="C52" s="238"/>
      <c r="D52" s="238"/>
      <c r="E52" s="267"/>
      <c r="F52" s="267"/>
      <c r="G52" s="267"/>
      <c r="H52" s="267"/>
      <c r="I52" s="267"/>
      <c r="J52" s="267"/>
      <c r="K52" s="267"/>
      <c r="L52" s="267"/>
      <c r="M52" s="267"/>
    </row>
    <row r="53" ht="15.75" hidden="1" customHeight="1">
      <c r="A53" s="268" t="s">
        <v>64</v>
      </c>
      <c r="B53" s="269"/>
      <c r="C53" s="270" t="s">
        <v>550</v>
      </c>
      <c r="D53" s="250"/>
      <c r="E53" s="267"/>
      <c r="F53" s="267"/>
      <c r="G53" s="267"/>
      <c r="H53" s="267"/>
      <c r="I53" s="267"/>
      <c r="J53" s="267"/>
      <c r="K53" s="267"/>
      <c r="L53" s="267"/>
      <c r="M53" s="267"/>
    </row>
    <row r="54" ht="15.75" hidden="1" customHeight="1">
      <c r="A54" s="270"/>
      <c r="B54" s="270"/>
      <c r="C54" s="270"/>
      <c r="D54" s="271"/>
      <c r="E54" s="267"/>
      <c r="F54" s="267"/>
      <c r="G54" s="267"/>
      <c r="H54" s="267"/>
      <c r="I54" s="267"/>
      <c r="J54" s="267"/>
      <c r="K54" s="267"/>
      <c r="L54" s="267"/>
      <c r="M54" s="267"/>
    </row>
    <row r="55" ht="15.75" hidden="1" customHeight="1">
      <c r="A55" s="270"/>
      <c r="B55" s="272"/>
      <c r="C55" s="270"/>
      <c r="D55" s="271"/>
      <c r="E55" s="267"/>
      <c r="F55" s="267"/>
      <c r="G55" s="267"/>
      <c r="H55" s="267"/>
      <c r="I55" s="267"/>
      <c r="J55" s="267"/>
      <c r="K55" s="267"/>
      <c r="L55" s="267"/>
      <c r="M55" s="267"/>
    </row>
    <row r="56" ht="15.75" hidden="1" customHeight="1">
      <c r="A56" s="270"/>
      <c r="B56" s="272"/>
      <c r="C56" s="270"/>
      <c r="D56" s="250"/>
      <c r="E56" s="267"/>
      <c r="F56" s="267"/>
      <c r="G56" s="267"/>
      <c r="H56" s="267"/>
      <c r="I56" s="267"/>
      <c r="J56" s="267"/>
      <c r="K56" s="267"/>
      <c r="L56" s="267"/>
      <c r="M56" s="267"/>
    </row>
    <row r="57" ht="15.75" hidden="1" customHeight="1">
      <c r="A57" s="270"/>
      <c r="B57" s="270"/>
      <c r="C57" s="270"/>
      <c r="D57" s="250"/>
      <c r="E57" s="273"/>
      <c r="F57" s="273"/>
      <c r="G57" s="273"/>
      <c r="H57" s="273"/>
      <c r="I57" s="273"/>
      <c r="J57" s="273"/>
      <c r="K57" s="273"/>
      <c r="L57" s="273"/>
      <c r="M57" s="273"/>
    </row>
    <row r="58" ht="24.75" hidden="1" customHeight="1">
      <c r="A58" s="71" t="s">
        <v>67</v>
      </c>
      <c r="B58" s="250"/>
      <c r="C58" s="71" t="s">
        <v>69</v>
      </c>
      <c r="D58" s="250"/>
      <c r="E58" s="273"/>
      <c r="F58" s="273"/>
      <c r="G58" s="273"/>
      <c r="H58" s="273"/>
      <c r="I58" s="273"/>
      <c r="J58" s="273"/>
      <c r="K58" s="273"/>
      <c r="L58" s="273"/>
      <c r="M58" s="273"/>
    </row>
    <row r="59" ht="15.75" hidden="1" customHeight="1">
      <c r="A59" s="270" t="s">
        <v>68</v>
      </c>
      <c r="B59" s="250"/>
      <c r="C59" s="270" t="s">
        <v>71</v>
      </c>
      <c r="D59" s="250"/>
      <c r="E59" s="274"/>
      <c r="F59" s="274"/>
      <c r="G59" s="274"/>
      <c r="H59" s="274"/>
      <c r="I59" s="274"/>
      <c r="J59" s="274"/>
      <c r="K59" s="274"/>
      <c r="L59" s="274"/>
      <c r="M59" s="274"/>
    </row>
    <row r="60" ht="20.25" customHeight="1">
      <c r="A60" s="275"/>
      <c r="B60" s="272"/>
      <c r="C60" s="250"/>
      <c r="D60" s="276"/>
      <c r="E60" s="250"/>
      <c r="F60" s="250"/>
      <c r="G60" s="250"/>
      <c r="H60" s="250"/>
      <c r="I60" s="250"/>
      <c r="J60" s="250"/>
      <c r="K60" s="250"/>
      <c r="L60" s="250"/>
      <c r="M60" s="250"/>
    </row>
    <row r="61">
      <c r="A61" s="270" t="s">
        <v>64</v>
      </c>
      <c r="B61" s="277"/>
      <c r="D61" s="65" t="s">
        <v>65</v>
      </c>
      <c r="E61" s="170"/>
      <c r="H61" s="65" t="s">
        <v>66</v>
      </c>
      <c r="I61" s="171"/>
      <c r="J61" s="250"/>
      <c r="K61" s="250"/>
      <c r="L61" s="250"/>
      <c r="M61" s="250"/>
    </row>
    <row r="62" ht="15.75" customHeight="1">
      <c r="A62" s="278"/>
      <c r="B62" s="277"/>
      <c r="D62" s="86"/>
      <c r="E62" s="170"/>
      <c r="H62" s="86"/>
      <c r="I62" s="171"/>
      <c r="J62" s="273"/>
      <c r="K62" s="273"/>
      <c r="L62" s="273"/>
      <c r="M62" s="273"/>
    </row>
    <row r="63" ht="15.75" customHeight="1">
      <c r="A63" s="278"/>
      <c r="B63" s="277"/>
      <c r="D63" s="86"/>
      <c r="E63" s="170"/>
      <c r="H63" s="86"/>
      <c r="I63" s="171"/>
      <c r="J63" s="250"/>
      <c r="K63" s="250"/>
      <c r="L63" s="250"/>
      <c r="M63" s="250"/>
    </row>
    <row r="64">
      <c r="A64" s="71" t="s">
        <v>67</v>
      </c>
      <c r="B64" s="277"/>
      <c r="D64" s="72" t="s">
        <v>69</v>
      </c>
      <c r="E64" s="174"/>
      <c r="H64" s="72" t="s">
        <v>70</v>
      </c>
      <c r="I64" s="171"/>
      <c r="J64" s="273"/>
      <c r="K64" s="273"/>
      <c r="L64" s="273"/>
      <c r="M64" s="273"/>
    </row>
    <row r="65">
      <c r="A65" s="270" t="s">
        <v>68</v>
      </c>
      <c r="B65" s="277"/>
      <c r="C65" s="247"/>
      <c r="D65" s="65" t="s">
        <v>71</v>
      </c>
      <c r="E65" s="87"/>
      <c r="H65" s="65" t="s">
        <v>72</v>
      </c>
      <c r="I65" s="171"/>
      <c r="J65" s="250"/>
      <c r="K65" s="250"/>
      <c r="L65" s="250"/>
      <c r="M65" s="250"/>
    </row>
    <row r="66" ht="15.75" customHeight="1">
      <c r="A66" s="238"/>
      <c r="B66" s="238"/>
      <c r="C66" s="238"/>
      <c r="D66" s="238"/>
      <c r="E66" s="250"/>
      <c r="F66" s="250"/>
      <c r="G66" s="250"/>
      <c r="H66" s="250"/>
      <c r="I66" s="250"/>
      <c r="J66" s="250"/>
      <c r="K66" s="250"/>
      <c r="L66" s="250"/>
      <c r="M66" s="250"/>
    </row>
    <row r="67" ht="15.75" customHeight="1">
      <c r="A67" s="238"/>
      <c r="B67" s="238"/>
      <c r="C67" s="238"/>
      <c r="D67" s="238"/>
      <c r="E67" s="279"/>
      <c r="F67" s="279"/>
      <c r="G67" s="279"/>
      <c r="H67" s="279"/>
      <c r="I67" s="279"/>
      <c r="J67" s="279"/>
      <c r="K67" s="279"/>
      <c r="L67" s="279"/>
      <c r="M67" s="279"/>
    </row>
    <row r="68" ht="15.75" customHeight="1">
      <c r="A68" s="238"/>
      <c r="B68" s="238"/>
      <c r="C68" s="238"/>
      <c r="D68" s="238"/>
      <c r="E68" s="250"/>
      <c r="F68" s="250"/>
      <c r="G68" s="250"/>
      <c r="H68" s="250"/>
      <c r="I68" s="250"/>
      <c r="J68" s="250"/>
      <c r="K68" s="250"/>
      <c r="L68" s="250"/>
      <c r="M68" s="250"/>
    </row>
    <row r="69" ht="15.75" customHeight="1">
      <c r="A69" s="238"/>
      <c r="B69" s="238"/>
      <c r="C69" s="238"/>
      <c r="D69" s="238"/>
      <c r="E69" s="250"/>
      <c r="F69" s="250"/>
      <c r="G69" s="250"/>
      <c r="H69" s="250"/>
      <c r="I69" s="250"/>
      <c r="J69" s="250"/>
      <c r="K69" s="250"/>
      <c r="L69" s="250"/>
      <c r="M69" s="250"/>
    </row>
    <row r="70" ht="15.75" customHeight="1">
      <c r="A70" s="238"/>
      <c r="B70" s="238"/>
      <c r="C70" s="238"/>
      <c r="D70" s="238"/>
      <c r="E70" s="274"/>
      <c r="F70" s="274"/>
      <c r="G70" s="274"/>
      <c r="H70" s="274"/>
      <c r="I70" s="274"/>
      <c r="J70" s="274"/>
      <c r="K70" s="274"/>
      <c r="L70" s="274"/>
      <c r="M70" s="274"/>
    </row>
    <row r="71" ht="15.75" customHeight="1">
      <c r="A71" s="238"/>
      <c r="B71" s="238"/>
      <c r="C71" s="238"/>
      <c r="D71" s="238"/>
      <c r="E71" s="274"/>
      <c r="F71" s="274"/>
      <c r="G71" s="274"/>
      <c r="H71" s="274"/>
      <c r="I71" s="274"/>
      <c r="J71" s="274"/>
      <c r="K71" s="274"/>
      <c r="L71" s="274"/>
      <c r="M71" s="274"/>
    </row>
    <row r="72" ht="15.75" customHeight="1">
      <c r="A72" s="238"/>
      <c r="B72" s="238"/>
      <c r="C72" s="238"/>
      <c r="D72" s="238"/>
      <c r="E72" s="274"/>
      <c r="F72" s="274"/>
      <c r="G72" s="274"/>
      <c r="H72" s="274"/>
      <c r="I72" s="274"/>
      <c r="J72" s="274"/>
      <c r="K72" s="274"/>
      <c r="L72" s="274"/>
      <c r="M72" s="274"/>
    </row>
    <row r="73" ht="15.75" customHeight="1">
      <c r="A73" s="238"/>
      <c r="B73" s="238"/>
      <c r="C73" s="238"/>
      <c r="D73" s="238"/>
      <c r="E73" s="274"/>
      <c r="F73" s="274"/>
      <c r="G73" s="274"/>
      <c r="H73" s="274"/>
      <c r="I73" s="274"/>
      <c r="J73" s="274"/>
      <c r="K73" s="274"/>
      <c r="L73" s="274"/>
      <c r="M73" s="274"/>
    </row>
    <row r="74" ht="15.75" customHeight="1">
      <c r="A74" s="238"/>
      <c r="B74" s="238"/>
      <c r="C74" s="238"/>
      <c r="D74" s="238"/>
      <c r="E74" s="274"/>
      <c r="F74" s="274"/>
      <c r="G74" s="274"/>
      <c r="H74" s="274"/>
      <c r="I74" s="274"/>
      <c r="J74" s="274"/>
      <c r="K74" s="274"/>
      <c r="L74" s="274"/>
      <c r="M74" s="274"/>
    </row>
    <row r="75" ht="15.75" customHeight="1">
      <c r="A75" s="238"/>
      <c r="B75" s="238"/>
      <c r="C75" s="238"/>
      <c r="D75" s="238"/>
      <c r="E75" s="274"/>
      <c r="F75" s="274"/>
      <c r="G75" s="274"/>
      <c r="H75" s="274"/>
      <c r="I75" s="274"/>
      <c r="J75" s="274"/>
      <c r="K75" s="274"/>
      <c r="L75" s="274"/>
      <c r="M75" s="274"/>
    </row>
    <row r="76" ht="15.75" customHeight="1">
      <c r="A76" s="238"/>
      <c r="B76" s="238"/>
      <c r="C76" s="238"/>
      <c r="D76" s="238"/>
      <c r="E76" s="274"/>
      <c r="F76" s="274"/>
      <c r="G76" s="274"/>
      <c r="H76" s="274"/>
      <c r="I76" s="274"/>
      <c r="J76" s="274"/>
      <c r="K76" s="274"/>
      <c r="L76" s="274"/>
      <c r="M76" s="274"/>
    </row>
    <row r="77" ht="15.75" customHeight="1">
      <c r="A77" s="238"/>
      <c r="B77" s="238"/>
      <c r="C77" s="238"/>
      <c r="D77" s="238"/>
      <c r="E77" s="250"/>
      <c r="F77" s="250"/>
      <c r="G77" s="250"/>
      <c r="H77" s="250"/>
      <c r="I77" s="250"/>
      <c r="J77" s="250"/>
      <c r="K77" s="250"/>
      <c r="L77" s="250"/>
      <c r="M77" s="250"/>
    </row>
    <row r="78" ht="15.75" customHeight="1">
      <c r="A78" s="238"/>
      <c r="B78" s="238"/>
      <c r="C78" s="238"/>
      <c r="D78" s="238"/>
      <c r="E78" s="250"/>
      <c r="F78" s="250"/>
      <c r="G78" s="250"/>
      <c r="H78" s="250"/>
      <c r="I78" s="250"/>
      <c r="J78" s="250"/>
      <c r="K78" s="250"/>
      <c r="L78" s="250"/>
      <c r="M78" s="250"/>
    </row>
    <row r="79" ht="15.75" customHeight="1">
      <c r="A79" s="238"/>
      <c r="B79" s="238"/>
      <c r="C79" s="238"/>
      <c r="D79" s="238"/>
      <c r="E79" s="250"/>
      <c r="F79" s="250"/>
      <c r="G79" s="250"/>
      <c r="H79" s="250"/>
      <c r="I79" s="250"/>
      <c r="J79" s="250"/>
      <c r="K79" s="250"/>
      <c r="L79" s="250"/>
      <c r="M79" s="250"/>
    </row>
    <row r="80" ht="15.75" customHeight="1">
      <c r="A80" s="238"/>
      <c r="B80" s="238"/>
      <c r="C80" s="238"/>
      <c r="D80" s="238"/>
      <c r="E80" s="250"/>
      <c r="F80" s="250"/>
      <c r="G80" s="250"/>
      <c r="H80" s="250"/>
      <c r="I80" s="250"/>
      <c r="J80" s="250"/>
      <c r="K80" s="250"/>
      <c r="L80" s="250"/>
      <c r="M80" s="250"/>
    </row>
    <row r="81" ht="15.75" customHeight="1">
      <c r="A81" s="238"/>
      <c r="B81" s="238"/>
      <c r="C81" s="238"/>
      <c r="D81" s="238"/>
      <c r="E81" s="250"/>
      <c r="F81" s="250"/>
      <c r="G81" s="250"/>
      <c r="H81" s="250"/>
      <c r="I81" s="250"/>
      <c r="J81" s="250"/>
      <c r="K81" s="250"/>
      <c r="L81" s="250"/>
      <c r="M81" s="250"/>
    </row>
    <row r="82" ht="15.75" customHeight="1">
      <c r="A82" s="238"/>
      <c r="B82" s="238"/>
      <c r="C82" s="238"/>
      <c r="D82" s="238"/>
      <c r="E82" s="250"/>
      <c r="F82" s="250"/>
      <c r="G82" s="250"/>
      <c r="H82" s="250"/>
      <c r="I82" s="250"/>
      <c r="J82" s="250"/>
      <c r="K82" s="250"/>
      <c r="L82" s="250"/>
      <c r="M82" s="250"/>
    </row>
    <row r="83" ht="15.75" customHeight="1">
      <c r="A83" s="238"/>
      <c r="B83" s="238"/>
      <c r="C83" s="238"/>
      <c r="D83" s="238"/>
      <c r="E83" s="250"/>
      <c r="F83" s="250"/>
      <c r="G83" s="250"/>
      <c r="H83" s="250"/>
      <c r="I83" s="250"/>
      <c r="J83" s="250"/>
      <c r="K83" s="250"/>
      <c r="L83" s="250"/>
      <c r="M83" s="250"/>
    </row>
    <row r="84" ht="15.75" customHeight="1">
      <c r="A84" s="238"/>
      <c r="B84" s="238"/>
      <c r="C84" s="238"/>
      <c r="D84" s="238"/>
      <c r="E84" s="250"/>
      <c r="F84" s="250"/>
      <c r="G84" s="250"/>
      <c r="H84" s="250"/>
      <c r="I84" s="250"/>
      <c r="J84" s="250"/>
      <c r="K84" s="250"/>
      <c r="L84" s="250"/>
      <c r="M84" s="250"/>
    </row>
    <row r="85" ht="15.75" customHeight="1">
      <c r="A85" s="238"/>
      <c r="B85" s="238"/>
      <c r="C85" s="238"/>
      <c r="D85" s="238"/>
      <c r="E85" s="250"/>
      <c r="F85" s="250"/>
      <c r="G85" s="250"/>
      <c r="H85" s="250"/>
      <c r="I85" s="250"/>
      <c r="J85" s="250"/>
      <c r="K85" s="250"/>
      <c r="L85" s="250"/>
      <c r="M85" s="250"/>
    </row>
    <row r="86" ht="15.75" customHeight="1">
      <c r="A86" s="238"/>
      <c r="B86" s="238"/>
      <c r="C86" s="238"/>
      <c r="D86" s="238"/>
      <c r="E86" s="250"/>
      <c r="F86" s="250"/>
      <c r="G86" s="250"/>
      <c r="H86" s="250"/>
      <c r="I86" s="250"/>
      <c r="J86" s="250"/>
      <c r="K86" s="250"/>
      <c r="L86" s="250"/>
      <c r="M86" s="250"/>
    </row>
    <row r="87" ht="15.75" customHeight="1">
      <c r="A87" s="238"/>
      <c r="B87" s="238"/>
      <c r="C87" s="238"/>
      <c r="D87" s="238"/>
      <c r="E87" s="250"/>
      <c r="F87" s="250"/>
      <c r="G87" s="250"/>
      <c r="H87" s="250"/>
      <c r="I87" s="250"/>
      <c r="J87" s="250"/>
      <c r="K87" s="250"/>
      <c r="L87" s="250"/>
      <c r="M87" s="250"/>
    </row>
    <row r="88" ht="15.75" customHeight="1">
      <c r="A88" s="238"/>
      <c r="B88" s="238"/>
      <c r="C88" s="238"/>
      <c r="D88" s="238"/>
      <c r="E88" s="250"/>
      <c r="F88" s="250"/>
      <c r="G88" s="250"/>
      <c r="H88" s="250"/>
      <c r="I88" s="250"/>
      <c r="J88" s="250"/>
      <c r="K88" s="250"/>
      <c r="L88" s="250"/>
      <c r="M88" s="250"/>
    </row>
    <row r="89" ht="15.75" customHeight="1">
      <c r="A89" s="238"/>
      <c r="B89" s="238"/>
      <c r="C89" s="238"/>
      <c r="D89" s="238"/>
      <c r="E89" s="250"/>
      <c r="F89" s="250"/>
      <c r="G89" s="250"/>
      <c r="H89" s="250"/>
      <c r="I89" s="250"/>
      <c r="J89" s="250"/>
      <c r="K89" s="250"/>
      <c r="L89" s="250"/>
      <c r="M89" s="250"/>
    </row>
    <row r="90" ht="15.75" customHeight="1">
      <c r="A90" s="238"/>
      <c r="B90" s="238"/>
      <c r="C90" s="238"/>
      <c r="D90" s="238"/>
      <c r="E90" s="250"/>
      <c r="F90" s="250"/>
      <c r="G90" s="250"/>
      <c r="H90" s="250"/>
      <c r="I90" s="250"/>
      <c r="J90" s="250"/>
      <c r="K90" s="250"/>
      <c r="L90" s="250"/>
      <c r="M90" s="250"/>
    </row>
    <row r="91" ht="15.75" customHeight="1">
      <c r="A91" s="238"/>
      <c r="B91" s="238"/>
      <c r="C91" s="238"/>
      <c r="D91" s="238"/>
      <c r="E91" s="250"/>
      <c r="F91" s="250"/>
      <c r="G91" s="250"/>
      <c r="H91" s="250"/>
      <c r="I91" s="250"/>
      <c r="J91" s="250"/>
      <c r="K91" s="250"/>
      <c r="L91" s="250"/>
      <c r="M91" s="250"/>
    </row>
    <row r="92" ht="15.75" customHeight="1">
      <c r="A92" s="238"/>
      <c r="B92" s="238"/>
      <c r="C92" s="238"/>
      <c r="D92" s="238"/>
      <c r="E92" s="250"/>
      <c r="F92" s="250"/>
      <c r="G92" s="250"/>
      <c r="H92" s="250"/>
      <c r="I92" s="250"/>
      <c r="J92" s="250"/>
      <c r="K92" s="250"/>
      <c r="L92" s="250"/>
      <c r="M92" s="250"/>
    </row>
    <row r="93" ht="15.75" customHeight="1">
      <c r="A93" s="238"/>
      <c r="B93" s="238"/>
      <c r="C93" s="238"/>
      <c r="D93" s="238"/>
      <c r="E93" s="250"/>
      <c r="F93" s="250"/>
      <c r="G93" s="250"/>
      <c r="H93" s="250"/>
      <c r="I93" s="250"/>
      <c r="J93" s="250"/>
      <c r="K93" s="250"/>
      <c r="L93" s="250"/>
      <c r="M93" s="250"/>
    </row>
    <row r="94" ht="15.75" customHeight="1">
      <c r="A94" s="238"/>
      <c r="B94" s="238"/>
      <c r="C94" s="238"/>
      <c r="D94" s="238"/>
      <c r="E94" s="250"/>
      <c r="F94" s="250"/>
      <c r="G94" s="250"/>
      <c r="H94" s="250"/>
      <c r="I94" s="250"/>
      <c r="J94" s="250"/>
      <c r="K94" s="250"/>
      <c r="L94" s="250"/>
      <c r="M94" s="250"/>
    </row>
    <row r="95" ht="15.75" customHeight="1">
      <c r="A95" s="238"/>
      <c r="B95" s="238"/>
      <c r="C95" s="238"/>
      <c r="D95" s="238"/>
      <c r="E95" s="250"/>
      <c r="F95" s="250"/>
      <c r="G95" s="250"/>
      <c r="H95" s="250"/>
      <c r="I95" s="250"/>
      <c r="J95" s="250"/>
      <c r="K95" s="250"/>
      <c r="L95" s="250"/>
      <c r="M95" s="250"/>
    </row>
    <row r="96" ht="15.75" customHeight="1">
      <c r="A96" s="238"/>
      <c r="B96" s="238"/>
      <c r="C96" s="238"/>
      <c r="D96" s="238"/>
      <c r="E96" s="250"/>
      <c r="F96" s="250"/>
      <c r="G96" s="250"/>
      <c r="H96" s="250"/>
      <c r="I96" s="250"/>
      <c r="J96" s="250"/>
      <c r="K96" s="250"/>
      <c r="L96" s="250"/>
      <c r="M96" s="250"/>
    </row>
    <row r="97" ht="15.75" customHeight="1">
      <c r="A97" s="238"/>
      <c r="B97" s="238"/>
      <c r="C97" s="238"/>
      <c r="D97" s="238"/>
      <c r="E97" s="250"/>
      <c r="F97" s="250"/>
      <c r="G97" s="250"/>
      <c r="H97" s="250"/>
      <c r="I97" s="250"/>
      <c r="J97" s="250"/>
      <c r="K97" s="250"/>
      <c r="L97" s="250"/>
      <c r="M97" s="250"/>
    </row>
    <row r="98" ht="15.75" customHeight="1">
      <c r="A98" s="238"/>
      <c r="B98" s="238"/>
      <c r="C98" s="238"/>
      <c r="D98" s="238"/>
      <c r="E98" s="250"/>
      <c r="F98" s="250"/>
      <c r="G98" s="250"/>
      <c r="H98" s="250"/>
      <c r="I98" s="250"/>
      <c r="J98" s="250"/>
      <c r="K98" s="250"/>
      <c r="L98" s="250"/>
      <c r="M98" s="250"/>
    </row>
    <row r="99" ht="15.75" customHeight="1">
      <c r="A99" s="238"/>
      <c r="B99" s="238"/>
      <c r="C99" s="238"/>
      <c r="D99" s="238"/>
      <c r="E99" s="250"/>
      <c r="F99" s="250"/>
      <c r="G99" s="250"/>
      <c r="H99" s="250"/>
      <c r="I99" s="250"/>
      <c r="J99" s="250"/>
      <c r="K99" s="250"/>
      <c r="L99" s="250"/>
      <c r="M99" s="250"/>
    </row>
    <row r="100" ht="15.75" customHeight="1">
      <c r="A100" s="238"/>
      <c r="B100" s="238"/>
      <c r="C100" s="238"/>
      <c r="D100" s="238"/>
      <c r="E100" s="250"/>
      <c r="F100" s="250"/>
      <c r="G100" s="250"/>
      <c r="H100" s="250"/>
      <c r="I100" s="250"/>
      <c r="J100" s="250"/>
      <c r="K100" s="250"/>
      <c r="L100" s="250"/>
      <c r="M100" s="250"/>
    </row>
    <row r="101" ht="15.75" customHeight="1">
      <c r="A101" s="238"/>
      <c r="B101" s="238"/>
      <c r="C101" s="238"/>
      <c r="D101" s="238"/>
      <c r="E101" s="250"/>
      <c r="F101" s="250"/>
      <c r="G101" s="250"/>
      <c r="H101" s="250"/>
      <c r="I101" s="250"/>
      <c r="J101" s="250"/>
      <c r="K101" s="250"/>
      <c r="L101" s="250"/>
      <c r="M101" s="250"/>
    </row>
    <row r="102" ht="15.75" customHeight="1">
      <c r="A102" s="238"/>
      <c r="B102" s="238"/>
      <c r="C102" s="238"/>
      <c r="D102" s="238"/>
      <c r="E102" s="250"/>
      <c r="F102" s="250"/>
      <c r="G102" s="250"/>
      <c r="H102" s="250"/>
      <c r="I102" s="250"/>
      <c r="J102" s="250"/>
      <c r="K102" s="250"/>
      <c r="L102" s="250"/>
      <c r="M102" s="250"/>
    </row>
    <row r="103" ht="15.75" customHeight="1">
      <c r="A103" s="238"/>
      <c r="B103" s="238"/>
      <c r="C103" s="238"/>
      <c r="D103" s="238"/>
      <c r="E103" s="250"/>
      <c r="F103" s="250"/>
      <c r="G103" s="250"/>
      <c r="H103" s="250"/>
      <c r="I103" s="250"/>
      <c r="J103" s="250"/>
      <c r="K103" s="250"/>
      <c r="L103" s="250"/>
      <c r="M103" s="250"/>
    </row>
    <row r="104" ht="15.75" customHeight="1">
      <c r="A104" s="238"/>
      <c r="B104" s="238"/>
      <c r="C104" s="238"/>
      <c r="D104" s="238"/>
      <c r="E104" s="250"/>
      <c r="F104" s="250"/>
      <c r="G104" s="250"/>
      <c r="H104" s="250"/>
      <c r="I104" s="250"/>
      <c r="J104" s="250"/>
      <c r="K104" s="250"/>
      <c r="L104" s="250"/>
      <c r="M104" s="250"/>
    </row>
    <row r="105" ht="15.75" customHeight="1">
      <c r="A105" s="238"/>
      <c r="B105" s="238"/>
      <c r="C105" s="238"/>
      <c r="D105" s="238"/>
      <c r="E105" s="250"/>
      <c r="F105" s="250"/>
      <c r="G105" s="250"/>
      <c r="H105" s="250"/>
      <c r="I105" s="250"/>
      <c r="J105" s="250"/>
      <c r="K105" s="250"/>
      <c r="L105" s="250"/>
      <c r="M105" s="250"/>
    </row>
    <row r="106" ht="15.75" customHeight="1">
      <c r="A106" s="238"/>
      <c r="B106" s="238"/>
      <c r="C106" s="238"/>
      <c r="D106" s="238"/>
      <c r="E106" s="250"/>
      <c r="F106" s="250"/>
      <c r="G106" s="250"/>
      <c r="H106" s="250"/>
      <c r="I106" s="250"/>
      <c r="J106" s="250"/>
      <c r="K106" s="250"/>
      <c r="L106" s="250"/>
      <c r="M106" s="250"/>
    </row>
    <row r="107" ht="15.75" customHeight="1">
      <c r="A107" s="238"/>
      <c r="B107" s="238"/>
      <c r="C107" s="238"/>
      <c r="D107" s="238"/>
      <c r="E107" s="250"/>
      <c r="F107" s="250"/>
      <c r="G107" s="250"/>
      <c r="H107" s="250"/>
      <c r="I107" s="250"/>
      <c r="J107" s="250"/>
      <c r="K107" s="250"/>
      <c r="L107" s="250"/>
      <c r="M107" s="250"/>
    </row>
    <row r="108" ht="15.75" customHeight="1">
      <c r="A108" s="238"/>
      <c r="B108" s="238"/>
      <c r="C108" s="238"/>
      <c r="D108" s="238"/>
      <c r="E108" s="250"/>
      <c r="F108" s="250"/>
      <c r="G108" s="250"/>
      <c r="H108" s="250"/>
      <c r="I108" s="250"/>
      <c r="J108" s="250"/>
      <c r="K108" s="250"/>
      <c r="L108" s="250"/>
      <c r="M108" s="250"/>
    </row>
    <row r="109" ht="15.75" customHeight="1">
      <c r="A109" s="238"/>
      <c r="B109" s="238"/>
      <c r="C109" s="238"/>
      <c r="D109" s="238"/>
      <c r="E109" s="250"/>
      <c r="F109" s="250"/>
      <c r="G109" s="250"/>
      <c r="H109" s="250"/>
      <c r="I109" s="250"/>
      <c r="J109" s="250"/>
      <c r="K109" s="250"/>
      <c r="L109" s="250"/>
      <c r="M109" s="250"/>
    </row>
    <row r="110" ht="15.75" customHeight="1">
      <c r="A110" s="238"/>
      <c r="B110" s="238"/>
      <c r="C110" s="238"/>
      <c r="D110" s="238"/>
      <c r="E110" s="250"/>
      <c r="F110" s="250"/>
      <c r="G110" s="250"/>
      <c r="H110" s="250"/>
      <c r="I110" s="250"/>
      <c r="J110" s="250"/>
      <c r="K110" s="250"/>
      <c r="L110" s="250"/>
      <c r="M110" s="250"/>
    </row>
    <row r="111" ht="15.75" customHeight="1">
      <c r="A111" s="238"/>
      <c r="B111" s="238"/>
      <c r="C111" s="238"/>
      <c r="D111" s="238"/>
      <c r="E111" s="250"/>
      <c r="F111" s="250"/>
      <c r="G111" s="250"/>
      <c r="H111" s="250"/>
      <c r="I111" s="250"/>
      <c r="J111" s="250"/>
      <c r="K111" s="250"/>
      <c r="L111" s="250"/>
      <c r="M111" s="250"/>
    </row>
    <row r="112" ht="15.75" customHeight="1">
      <c r="A112" s="238"/>
      <c r="B112" s="238"/>
      <c r="C112" s="238"/>
      <c r="D112" s="238"/>
      <c r="E112" s="250"/>
      <c r="F112" s="250"/>
      <c r="G112" s="250"/>
      <c r="H112" s="250"/>
      <c r="I112" s="250"/>
      <c r="J112" s="250"/>
      <c r="K112" s="250"/>
      <c r="L112" s="250"/>
      <c r="M112" s="250"/>
    </row>
    <row r="113" ht="15.75" customHeight="1">
      <c r="A113" s="238"/>
      <c r="B113" s="238"/>
      <c r="C113" s="238"/>
      <c r="D113" s="238"/>
      <c r="E113" s="250"/>
      <c r="F113" s="250"/>
      <c r="G113" s="250"/>
      <c r="H113" s="250"/>
      <c r="I113" s="250"/>
      <c r="J113" s="250"/>
      <c r="K113" s="250"/>
      <c r="L113" s="250"/>
      <c r="M113" s="250"/>
    </row>
    <row r="114" ht="15.75" customHeight="1">
      <c r="A114" s="238"/>
      <c r="B114" s="238"/>
      <c r="C114" s="238"/>
      <c r="D114" s="238"/>
      <c r="E114" s="250"/>
      <c r="F114" s="250"/>
      <c r="G114" s="250"/>
      <c r="H114" s="250"/>
      <c r="I114" s="250"/>
      <c r="J114" s="250"/>
      <c r="K114" s="250"/>
      <c r="L114" s="250"/>
      <c r="M114" s="250"/>
    </row>
    <row r="115" ht="15.75" customHeight="1">
      <c r="A115" s="238"/>
      <c r="B115" s="238"/>
      <c r="C115" s="238"/>
      <c r="D115" s="238"/>
      <c r="E115" s="250"/>
      <c r="F115" s="250"/>
      <c r="G115" s="250"/>
      <c r="H115" s="250"/>
      <c r="I115" s="250"/>
      <c r="J115" s="250"/>
      <c r="K115" s="250"/>
      <c r="L115" s="250"/>
      <c r="M115" s="250"/>
    </row>
    <row r="116" ht="15.75" customHeight="1">
      <c r="A116" s="238"/>
      <c r="B116" s="238"/>
      <c r="C116" s="238"/>
      <c r="D116" s="238"/>
      <c r="E116" s="250"/>
      <c r="F116" s="250"/>
      <c r="G116" s="250"/>
      <c r="H116" s="250"/>
      <c r="I116" s="250"/>
      <c r="J116" s="250"/>
      <c r="K116" s="250"/>
      <c r="L116" s="250"/>
      <c r="M116" s="250"/>
    </row>
    <row r="117" ht="15.75" customHeight="1">
      <c r="A117" s="238"/>
      <c r="B117" s="238"/>
      <c r="C117" s="238"/>
      <c r="D117" s="238"/>
      <c r="E117" s="250"/>
      <c r="F117" s="250"/>
      <c r="G117" s="250"/>
      <c r="H117" s="250"/>
      <c r="I117" s="250"/>
      <c r="J117" s="250"/>
      <c r="K117" s="250"/>
      <c r="L117" s="250"/>
      <c r="M117" s="250"/>
    </row>
    <row r="118" ht="15.75" customHeight="1">
      <c r="A118" s="238"/>
      <c r="B118" s="238"/>
      <c r="C118" s="238"/>
      <c r="D118" s="238"/>
      <c r="E118" s="250"/>
      <c r="F118" s="250"/>
      <c r="G118" s="250"/>
      <c r="H118" s="250"/>
      <c r="I118" s="250"/>
      <c r="J118" s="250"/>
      <c r="K118" s="250"/>
      <c r="L118" s="250"/>
      <c r="M118" s="250"/>
    </row>
    <row r="119" ht="15.75" customHeight="1">
      <c r="A119" s="238"/>
      <c r="B119" s="238"/>
      <c r="C119" s="238"/>
      <c r="D119" s="238"/>
      <c r="E119" s="250"/>
      <c r="F119" s="250"/>
      <c r="G119" s="250"/>
      <c r="H119" s="250"/>
      <c r="I119" s="250"/>
      <c r="J119" s="250"/>
      <c r="K119" s="250"/>
      <c r="L119" s="250"/>
      <c r="M119" s="250"/>
    </row>
    <row r="120" ht="15.75" customHeight="1">
      <c r="A120" s="238"/>
      <c r="B120" s="238"/>
      <c r="C120" s="238"/>
      <c r="D120" s="238"/>
      <c r="E120" s="250"/>
      <c r="F120" s="250"/>
      <c r="G120" s="250"/>
      <c r="H120" s="250"/>
      <c r="I120" s="250"/>
      <c r="J120" s="250"/>
      <c r="K120" s="250"/>
      <c r="L120" s="250"/>
      <c r="M120" s="250"/>
    </row>
    <row r="121" ht="15.75" customHeight="1">
      <c r="A121" s="238"/>
      <c r="B121" s="238"/>
      <c r="C121" s="238"/>
      <c r="D121" s="238"/>
      <c r="E121" s="250"/>
      <c r="F121" s="250"/>
      <c r="G121" s="250"/>
      <c r="H121" s="250"/>
      <c r="I121" s="250"/>
      <c r="J121" s="250"/>
      <c r="K121" s="250"/>
      <c r="L121" s="250"/>
      <c r="M121" s="250"/>
    </row>
    <row r="122" ht="15.75" customHeight="1">
      <c r="A122" s="238"/>
      <c r="B122" s="238"/>
      <c r="C122" s="238"/>
      <c r="D122" s="238"/>
      <c r="E122" s="250"/>
      <c r="F122" s="250"/>
      <c r="G122" s="250"/>
      <c r="H122" s="250"/>
      <c r="I122" s="250"/>
      <c r="J122" s="250"/>
      <c r="K122" s="250"/>
      <c r="L122" s="250"/>
      <c r="M122" s="250"/>
    </row>
    <row r="123" ht="15.75" customHeight="1">
      <c r="A123" s="238"/>
      <c r="B123" s="238"/>
      <c r="C123" s="238"/>
      <c r="D123" s="238"/>
      <c r="E123" s="250"/>
      <c r="F123" s="250"/>
      <c r="G123" s="250"/>
      <c r="H123" s="250"/>
      <c r="I123" s="250"/>
      <c r="J123" s="250"/>
      <c r="K123" s="250"/>
      <c r="L123" s="250"/>
      <c r="M123" s="250"/>
    </row>
    <row r="124" ht="15.75" customHeight="1">
      <c r="A124" s="238"/>
      <c r="B124" s="238"/>
      <c r="C124" s="238"/>
      <c r="D124" s="238"/>
      <c r="E124" s="250"/>
      <c r="F124" s="250"/>
      <c r="G124" s="250"/>
      <c r="H124" s="250"/>
      <c r="I124" s="250"/>
      <c r="J124" s="250"/>
      <c r="K124" s="250"/>
      <c r="L124" s="250"/>
      <c r="M124" s="250"/>
    </row>
    <row r="125" ht="15.75" customHeight="1">
      <c r="A125" s="238"/>
      <c r="B125" s="238"/>
      <c r="C125" s="238"/>
      <c r="D125" s="238"/>
      <c r="E125" s="250"/>
      <c r="F125" s="250"/>
      <c r="G125" s="250"/>
      <c r="H125" s="250"/>
      <c r="I125" s="250"/>
      <c r="J125" s="250"/>
      <c r="K125" s="250"/>
      <c r="L125" s="250"/>
      <c r="M125" s="250"/>
    </row>
    <row r="126" ht="15.75" customHeight="1">
      <c r="A126" s="238"/>
      <c r="B126" s="238"/>
      <c r="C126" s="238"/>
      <c r="D126" s="238"/>
      <c r="E126" s="250"/>
      <c r="F126" s="250"/>
      <c r="G126" s="250"/>
      <c r="H126" s="250"/>
      <c r="I126" s="250"/>
      <c r="J126" s="250"/>
      <c r="K126" s="250"/>
      <c r="L126" s="250"/>
      <c r="M126" s="250"/>
    </row>
    <row r="127" ht="15.75" customHeight="1">
      <c r="A127" s="238"/>
      <c r="B127" s="238"/>
      <c r="C127" s="238"/>
      <c r="D127" s="238"/>
      <c r="E127" s="250"/>
      <c r="F127" s="250"/>
      <c r="G127" s="250"/>
      <c r="H127" s="250"/>
      <c r="I127" s="250"/>
      <c r="J127" s="250"/>
      <c r="K127" s="250"/>
      <c r="L127" s="250"/>
      <c r="M127" s="250"/>
    </row>
    <row r="128" ht="15.75" customHeight="1">
      <c r="A128" s="238"/>
      <c r="B128" s="238"/>
      <c r="C128" s="238"/>
      <c r="D128" s="238"/>
      <c r="E128" s="250"/>
      <c r="F128" s="250"/>
      <c r="G128" s="250"/>
      <c r="H128" s="250"/>
      <c r="I128" s="250"/>
      <c r="J128" s="250"/>
      <c r="K128" s="250"/>
      <c r="L128" s="250"/>
      <c r="M128" s="250"/>
    </row>
    <row r="129" ht="15.75" customHeight="1">
      <c r="A129" s="238"/>
      <c r="B129" s="238"/>
      <c r="C129" s="238"/>
      <c r="D129" s="238"/>
      <c r="E129" s="250"/>
      <c r="F129" s="250"/>
      <c r="G129" s="250"/>
      <c r="H129" s="250"/>
      <c r="I129" s="250"/>
      <c r="J129" s="250"/>
      <c r="K129" s="250"/>
      <c r="L129" s="250"/>
      <c r="M129" s="250"/>
    </row>
    <row r="130" ht="15.75" customHeight="1">
      <c r="A130" s="238"/>
      <c r="B130" s="238"/>
      <c r="C130" s="238"/>
      <c r="D130" s="238"/>
      <c r="E130" s="250"/>
      <c r="F130" s="250"/>
      <c r="G130" s="250"/>
      <c r="H130" s="250"/>
      <c r="I130" s="250"/>
      <c r="J130" s="250"/>
      <c r="K130" s="250"/>
      <c r="L130" s="250"/>
      <c r="M130" s="250"/>
    </row>
    <row r="131" ht="15.75" customHeight="1">
      <c r="A131" s="238"/>
      <c r="B131" s="238"/>
      <c r="C131" s="238"/>
      <c r="D131" s="238"/>
      <c r="E131" s="250"/>
      <c r="F131" s="250"/>
      <c r="G131" s="250"/>
      <c r="H131" s="250"/>
      <c r="I131" s="250"/>
      <c r="J131" s="250"/>
      <c r="K131" s="250"/>
      <c r="L131" s="250"/>
      <c r="M131" s="250"/>
    </row>
    <row r="132" ht="15.75" customHeight="1">
      <c r="A132" s="238"/>
      <c r="B132" s="238"/>
      <c r="C132" s="238"/>
      <c r="D132" s="238"/>
      <c r="E132" s="250"/>
      <c r="F132" s="250"/>
      <c r="G132" s="250"/>
      <c r="H132" s="250"/>
      <c r="I132" s="250"/>
      <c r="J132" s="250"/>
      <c r="K132" s="250"/>
      <c r="L132" s="250"/>
      <c r="M132" s="250"/>
    </row>
    <row r="133" ht="15.75" customHeight="1">
      <c r="A133" s="238"/>
      <c r="B133" s="238"/>
      <c r="C133" s="238"/>
      <c r="D133" s="238"/>
      <c r="E133" s="250"/>
      <c r="F133" s="250"/>
      <c r="G133" s="250"/>
      <c r="H133" s="250"/>
      <c r="I133" s="250"/>
      <c r="J133" s="250"/>
      <c r="K133" s="250"/>
      <c r="L133" s="250"/>
      <c r="M133" s="250"/>
    </row>
    <row r="134" ht="15.75" customHeight="1">
      <c r="A134" s="238"/>
      <c r="B134" s="238"/>
      <c r="C134" s="238"/>
      <c r="D134" s="238"/>
      <c r="E134" s="250"/>
      <c r="F134" s="250"/>
      <c r="G134" s="250"/>
      <c r="H134" s="250"/>
      <c r="I134" s="250"/>
      <c r="J134" s="250"/>
      <c r="K134" s="250"/>
      <c r="L134" s="250"/>
      <c r="M134" s="250"/>
    </row>
    <row r="135" ht="15.75" customHeight="1">
      <c r="A135" s="238"/>
      <c r="B135" s="238"/>
      <c r="C135" s="238"/>
      <c r="D135" s="238"/>
      <c r="E135" s="250"/>
      <c r="F135" s="250"/>
      <c r="G135" s="250"/>
      <c r="H135" s="250"/>
      <c r="I135" s="250"/>
      <c r="J135" s="250"/>
      <c r="K135" s="250"/>
      <c r="L135" s="250"/>
      <c r="M135" s="250"/>
    </row>
    <row r="136" ht="15.75" customHeight="1">
      <c r="A136" s="238"/>
      <c r="B136" s="238"/>
      <c r="C136" s="238"/>
      <c r="D136" s="238"/>
      <c r="E136" s="250"/>
      <c r="F136" s="250"/>
      <c r="G136" s="250"/>
      <c r="H136" s="250"/>
      <c r="I136" s="250"/>
      <c r="J136" s="250"/>
      <c r="K136" s="250"/>
      <c r="L136" s="250"/>
      <c r="M136" s="250"/>
    </row>
    <row r="137" ht="15.75" customHeight="1">
      <c r="A137" s="238"/>
      <c r="B137" s="238"/>
      <c r="C137" s="238"/>
      <c r="D137" s="238"/>
      <c r="E137" s="250"/>
      <c r="F137" s="250"/>
      <c r="G137" s="250"/>
      <c r="H137" s="250"/>
      <c r="I137" s="250"/>
      <c r="J137" s="250"/>
      <c r="K137" s="250"/>
      <c r="L137" s="250"/>
      <c r="M137" s="250"/>
    </row>
    <row r="138" ht="15.75" customHeight="1">
      <c r="A138" s="238"/>
      <c r="B138" s="238"/>
      <c r="C138" s="238"/>
      <c r="D138" s="238"/>
      <c r="E138" s="250"/>
      <c r="F138" s="250"/>
      <c r="G138" s="250"/>
      <c r="H138" s="250"/>
      <c r="I138" s="250"/>
      <c r="J138" s="250"/>
      <c r="K138" s="250"/>
      <c r="L138" s="250"/>
      <c r="M138" s="250"/>
    </row>
    <row r="139" ht="15.75" customHeight="1">
      <c r="A139" s="238"/>
      <c r="B139" s="238"/>
      <c r="C139" s="238"/>
      <c r="D139" s="238"/>
      <c r="E139" s="250"/>
      <c r="F139" s="250"/>
      <c r="G139" s="250"/>
      <c r="H139" s="250"/>
      <c r="I139" s="250"/>
      <c r="J139" s="250"/>
      <c r="K139" s="250"/>
      <c r="L139" s="250"/>
      <c r="M139" s="250"/>
    </row>
    <row r="140" ht="15.75" customHeight="1">
      <c r="A140" s="238"/>
      <c r="B140" s="238"/>
      <c r="C140" s="238"/>
      <c r="D140" s="238"/>
      <c r="E140" s="250"/>
      <c r="F140" s="250"/>
      <c r="G140" s="250"/>
      <c r="H140" s="250"/>
      <c r="I140" s="250"/>
      <c r="J140" s="250"/>
      <c r="K140" s="250"/>
      <c r="L140" s="250"/>
      <c r="M140" s="250"/>
    </row>
    <row r="141" ht="15.75" customHeight="1">
      <c r="A141" s="238"/>
      <c r="B141" s="238"/>
      <c r="C141" s="238"/>
      <c r="D141" s="238"/>
      <c r="E141" s="250"/>
      <c r="F141" s="250"/>
      <c r="G141" s="250"/>
      <c r="H141" s="250"/>
      <c r="I141" s="250"/>
      <c r="J141" s="250"/>
      <c r="K141" s="250"/>
      <c r="L141" s="250"/>
      <c r="M141" s="250"/>
    </row>
    <row r="142" ht="15.75" customHeight="1">
      <c r="A142" s="238"/>
      <c r="B142" s="238"/>
      <c r="C142" s="238"/>
      <c r="D142" s="238"/>
      <c r="E142" s="250"/>
      <c r="F142" s="250"/>
      <c r="G142" s="250"/>
      <c r="H142" s="250"/>
      <c r="I142" s="250"/>
      <c r="J142" s="250"/>
      <c r="K142" s="250"/>
      <c r="L142" s="250"/>
      <c r="M142" s="250"/>
    </row>
    <row r="143" ht="15.75" customHeight="1">
      <c r="A143" s="238"/>
      <c r="B143" s="238"/>
      <c r="C143" s="238"/>
      <c r="D143" s="238"/>
      <c r="E143" s="250"/>
      <c r="F143" s="250"/>
      <c r="G143" s="250"/>
      <c r="H143" s="250"/>
      <c r="I143" s="250"/>
      <c r="J143" s="250"/>
      <c r="K143" s="250"/>
      <c r="L143" s="250"/>
      <c r="M143" s="250"/>
    </row>
    <row r="144" ht="15.75" customHeight="1">
      <c r="A144" s="238"/>
      <c r="B144" s="238"/>
      <c r="C144" s="238"/>
      <c r="D144" s="238"/>
      <c r="E144" s="250"/>
      <c r="F144" s="250"/>
      <c r="G144" s="250"/>
      <c r="H144" s="250"/>
      <c r="I144" s="250"/>
      <c r="J144" s="250"/>
      <c r="K144" s="250"/>
      <c r="L144" s="250"/>
      <c r="M144" s="250"/>
    </row>
    <row r="145" ht="15.75" customHeight="1">
      <c r="A145" s="238"/>
      <c r="B145" s="238"/>
      <c r="C145" s="238"/>
      <c r="D145" s="238"/>
      <c r="E145" s="250"/>
      <c r="F145" s="250"/>
      <c r="G145" s="250"/>
      <c r="H145" s="250"/>
      <c r="I145" s="250"/>
      <c r="J145" s="250"/>
      <c r="K145" s="250"/>
      <c r="L145" s="250"/>
      <c r="M145" s="250"/>
    </row>
    <row r="146" ht="15.75" customHeight="1">
      <c r="A146" s="238"/>
      <c r="B146" s="238"/>
      <c r="C146" s="238"/>
      <c r="D146" s="238"/>
      <c r="E146" s="250"/>
      <c r="F146" s="250"/>
      <c r="G146" s="250"/>
      <c r="H146" s="250"/>
      <c r="I146" s="250"/>
      <c r="J146" s="250"/>
      <c r="K146" s="250"/>
      <c r="L146" s="250"/>
      <c r="M146" s="250"/>
    </row>
    <row r="147" ht="15.75" customHeight="1">
      <c r="A147" s="238"/>
      <c r="B147" s="238"/>
      <c r="C147" s="238"/>
      <c r="D147" s="238"/>
      <c r="E147" s="250"/>
      <c r="F147" s="250"/>
      <c r="G147" s="250"/>
      <c r="H147" s="250"/>
      <c r="I147" s="250"/>
      <c r="J147" s="250"/>
      <c r="K147" s="250"/>
      <c r="L147" s="250"/>
      <c r="M147" s="250"/>
    </row>
    <row r="148" ht="15.75" customHeight="1">
      <c r="A148" s="238"/>
      <c r="B148" s="238"/>
      <c r="C148" s="238"/>
      <c r="D148" s="238"/>
      <c r="E148" s="250"/>
      <c r="F148" s="250"/>
      <c r="G148" s="250"/>
      <c r="H148" s="250"/>
      <c r="I148" s="250"/>
      <c r="J148" s="250"/>
      <c r="K148" s="250"/>
      <c r="L148" s="250"/>
      <c r="M148" s="250"/>
    </row>
    <row r="149" ht="15.75" customHeight="1">
      <c r="A149" s="238"/>
      <c r="B149" s="238"/>
      <c r="C149" s="238"/>
      <c r="D149" s="238"/>
      <c r="E149" s="250"/>
      <c r="F149" s="250"/>
      <c r="G149" s="250"/>
      <c r="H149" s="250"/>
      <c r="I149" s="250"/>
      <c r="J149" s="250"/>
      <c r="K149" s="250"/>
      <c r="L149" s="250"/>
      <c r="M149" s="250"/>
    </row>
    <row r="150" ht="15.75" customHeight="1">
      <c r="A150" s="238"/>
      <c r="B150" s="238"/>
      <c r="C150" s="238"/>
      <c r="D150" s="238"/>
      <c r="E150" s="250"/>
      <c r="F150" s="250"/>
      <c r="G150" s="250"/>
      <c r="H150" s="250"/>
      <c r="I150" s="250"/>
      <c r="J150" s="250"/>
      <c r="K150" s="250"/>
      <c r="L150" s="250"/>
      <c r="M150" s="250"/>
    </row>
    <row r="151" ht="15.75" customHeight="1">
      <c r="A151" s="238"/>
      <c r="B151" s="238"/>
      <c r="C151" s="238"/>
      <c r="D151" s="238"/>
      <c r="E151" s="250"/>
      <c r="F151" s="250"/>
      <c r="G151" s="250"/>
      <c r="H151" s="250"/>
      <c r="I151" s="250"/>
      <c r="J151" s="250"/>
      <c r="K151" s="250"/>
      <c r="L151" s="250"/>
      <c r="M151" s="250"/>
    </row>
    <row r="152" ht="15.75" customHeight="1">
      <c r="A152" s="238"/>
      <c r="B152" s="238"/>
      <c r="C152" s="238"/>
      <c r="D152" s="238"/>
      <c r="E152" s="250"/>
      <c r="F152" s="250"/>
      <c r="G152" s="250"/>
      <c r="H152" s="250"/>
      <c r="I152" s="250"/>
      <c r="J152" s="250"/>
      <c r="K152" s="250"/>
      <c r="L152" s="250"/>
      <c r="M152" s="250"/>
    </row>
    <row r="153" ht="15.75" customHeight="1">
      <c r="A153" s="238"/>
      <c r="B153" s="238"/>
      <c r="C153" s="238"/>
      <c r="D153" s="238"/>
      <c r="E153" s="250"/>
      <c r="F153" s="250"/>
      <c r="G153" s="250"/>
      <c r="H153" s="250"/>
      <c r="I153" s="250"/>
      <c r="J153" s="250"/>
      <c r="K153" s="250"/>
      <c r="L153" s="250"/>
      <c r="M153" s="250"/>
    </row>
    <row r="154" ht="15.75" customHeight="1">
      <c r="A154" s="238"/>
      <c r="B154" s="238"/>
      <c r="C154" s="238"/>
      <c r="D154" s="238"/>
      <c r="E154" s="250"/>
      <c r="F154" s="250"/>
      <c r="G154" s="250"/>
      <c r="H154" s="250"/>
      <c r="I154" s="250"/>
      <c r="J154" s="250"/>
      <c r="K154" s="250"/>
      <c r="L154" s="250"/>
      <c r="M154" s="250"/>
    </row>
    <row r="155" ht="15.75" customHeight="1">
      <c r="A155" s="238"/>
      <c r="B155" s="238"/>
      <c r="C155" s="238"/>
      <c r="D155" s="238"/>
      <c r="E155" s="250"/>
      <c r="F155" s="250"/>
      <c r="G155" s="250"/>
      <c r="H155" s="250"/>
      <c r="I155" s="250"/>
      <c r="J155" s="250"/>
      <c r="K155" s="250"/>
      <c r="L155" s="250"/>
      <c r="M155" s="250"/>
    </row>
    <row r="156" ht="15.75" customHeight="1">
      <c r="A156" s="238"/>
      <c r="B156" s="238"/>
      <c r="C156" s="238"/>
      <c r="D156" s="238"/>
      <c r="E156" s="250"/>
      <c r="F156" s="250"/>
      <c r="G156" s="250"/>
      <c r="H156" s="250"/>
      <c r="I156" s="250"/>
      <c r="J156" s="250"/>
      <c r="K156" s="250"/>
      <c r="L156" s="250"/>
      <c r="M156" s="250"/>
    </row>
    <row r="157" ht="15.75" customHeight="1">
      <c r="A157" s="238"/>
      <c r="B157" s="238"/>
      <c r="C157" s="238"/>
      <c r="D157" s="238"/>
      <c r="E157" s="250"/>
      <c r="F157" s="250"/>
      <c r="G157" s="250"/>
      <c r="H157" s="250"/>
      <c r="I157" s="250"/>
      <c r="J157" s="250"/>
      <c r="K157" s="250"/>
      <c r="L157" s="250"/>
      <c r="M157" s="250"/>
    </row>
    <row r="158" ht="15.75" customHeight="1">
      <c r="A158" s="238"/>
      <c r="B158" s="238"/>
      <c r="C158" s="238"/>
      <c r="D158" s="238"/>
      <c r="E158" s="250"/>
      <c r="F158" s="250"/>
      <c r="G158" s="250"/>
      <c r="H158" s="250"/>
      <c r="I158" s="250"/>
      <c r="J158" s="250"/>
      <c r="K158" s="250"/>
      <c r="L158" s="250"/>
      <c r="M158" s="250"/>
    </row>
    <row r="159" ht="15.75" customHeight="1">
      <c r="A159" s="238"/>
      <c r="B159" s="238"/>
      <c r="C159" s="238"/>
      <c r="D159" s="238"/>
      <c r="E159" s="250"/>
      <c r="F159" s="250"/>
      <c r="G159" s="250"/>
      <c r="H159" s="250"/>
      <c r="I159" s="250"/>
      <c r="J159" s="250"/>
      <c r="K159" s="250"/>
      <c r="L159" s="250"/>
      <c r="M159" s="250"/>
    </row>
    <row r="160" ht="15.75" customHeight="1">
      <c r="A160" s="238"/>
      <c r="B160" s="238"/>
      <c r="C160" s="238"/>
      <c r="D160" s="238"/>
      <c r="E160" s="250"/>
      <c r="F160" s="250"/>
      <c r="G160" s="250"/>
      <c r="H160" s="250"/>
      <c r="I160" s="250"/>
      <c r="J160" s="250"/>
      <c r="K160" s="250"/>
      <c r="L160" s="250"/>
      <c r="M160" s="250"/>
    </row>
    <row r="161" ht="15.75" customHeight="1">
      <c r="A161" s="238"/>
      <c r="B161" s="238"/>
      <c r="C161" s="238"/>
      <c r="D161" s="238"/>
      <c r="E161" s="250"/>
      <c r="F161" s="250"/>
      <c r="G161" s="250"/>
      <c r="H161" s="250"/>
      <c r="I161" s="250"/>
      <c r="J161" s="250"/>
      <c r="K161" s="250"/>
      <c r="L161" s="250"/>
      <c r="M161" s="250"/>
    </row>
    <row r="162" ht="15.75" customHeight="1">
      <c r="A162" s="238"/>
      <c r="B162" s="238"/>
      <c r="C162" s="238"/>
      <c r="D162" s="238"/>
      <c r="E162" s="250"/>
      <c r="F162" s="250"/>
      <c r="G162" s="250"/>
      <c r="H162" s="250"/>
      <c r="I162" s="250"/>
      <c r="J162" s="250"/>
      <c r="K162" s="250"/>
      <c r="L162" s="250"/>
      <c r="M162" s="250"/>
    </row>
    <row r="163" ht="15.75" customHeight="1">
      <c r="A163" s="238"/>
      <c r="B163" s="238"/>
      <c r="C163" s="238"/>
      <c r="D163" s="238"/>
      <c r="E163" s="250"/>
      <c r="F163" s="250"/>
      <c r="G163" s="250"/>
      <c r="H163" s="250"/>
      <c r="I163" s="250"/>
      <c r="J163" s="250"/>
      <c r="K163" s="250"/>
      <c r="L163" s="250"/>
      <c r="M163" s="250"/>
    </row>
    <row r="164" ht="15.75" customHeight="1">
      <c r="A164" s="238"/>
      <c r="B164" s="238"/>
      <c r="C164" s="238"/>
      <c r="D164" s="238"/>
      <c r="E164" s="250"/>
      <c r="F164" s="250"/>
      <c r="G164" s="250"/>
      <c r="H164" s="250"/>
      <c r="I164" s="250"/>
      <c r="J164" s="250"/>
      <c r="K164" s="250"/>
      <c r="L164" s="250"/>
      <c r="M164" s="250"/>
    </row>
    <row r="165" ht="15.75" customHeight="1">
      <c r="A165" s="238"/>
      <c r="B165" s="238"/>
      <c r="C165" s="238"/>
      <c r="D165" s="238"/>
      <c r="E165" s="250"/>
      <c r="F165" s="250"/>
      <c r="G165" s="250"/>
      <c r="H165" s="250"/>
      <c r="I165" s="250"/>
      <c r="J165" s="250"/>
      <c r="K165" s="250"/>
      <c r="L165" s="250"/>
      <c r="M165" s="250"/>
    </row>
    <row r="166" ht="15.75" customHeight="1">
      <c r="A166" s="238"/>
      <c r="B166" s="238"/>
      <c r="C166" s="238"/>
      <c r="D166" s="238"/>
      <c r="E166" s="250"/>
      <c r="F166" s="250"/>
      <c r="G166" s="250"/>
      <c r="H166" s="250"/>
      <c r="I166" s="250"/>
      <c r="J166" s="250"/>
      <c r="K166" s="250"/>
      <c r="L166" s="250"/>
      <c r="M166" s="250"/>
    </row>
    <row r="167" ht="15.75" customHeight="1">
      <c r="A167" s="238"/>
      <c r="B167" s="238"/>
      <c r="C167" s="238"/>
      <c r="D167" s="238"/>
      <c r="E167" s="250"/>
      <c r="F167" s="250"/>
      <c r="G167" s="250"/>
      <c r="H167" s="250"/>
      <c r="I167" s="250"/>
      <c r="J167" s="250"/>
      <c r="K167" s="250"/>
      <c r="L167" s="250"/>
      <c r="M167" s="250"/>
    </row>
    <row r="168" ht="15.75" customHeight="1">
      <c r="A168" s="238"/>
      <c r="B168" s="238"/>
      <c r="C168" s="238"/>
      <c r="D168" s="238"/>
      <c r="E168" s="250"/>
      <c r="F168" s="250"/>
      <c r="G168" s="250"/>
      <c r="H168" s="250"/>
      <c r="I168" s="250"/>
      <c r="J168" s="250"/>
      <c r="K168" s="250"/>
      <c r="L168" s="250"/>
      <c r="M168" s="250"/>
    </row>
    <row r="169" ht="15.75" customHeight="1">
      <c r="A169" s="238"/>
      <c r="B169" s="238"/>
      <c r="C169" s="238"/>
      <c r="D169" s="238"/>
      <c r="E169" s="250"/>
      <c r="F169" s="250"/>
      <c r="G169" s="250"/>
      <c r="H169" s="250"/>
      <c r="I169" s="250"/>
      <c r="J169" s="250"/>
      <c r="K169" s="250"/>
      <c r="L169" s="250"/>
      <c r="M169" s="250"/>
    </row>
    <row r="170" ht="15.75" customHeight="1">
      <c r="A170" s="238"/>
      <c r="B170" s="238"/>
      <c r="C170" s="238"/>
      <c r="D170" s="238"/>
      <c r="E170" s="250"/>
      <c r="F170" s="250"/>
      <c r="G170" s="250"/>
      <c r="H170" s="250"/>
      <c r="I170" s="250"/>
      <c r="J170" s="250"/>
      <c r="K170" s="250"/>
      <c r="L170" s="250"/>
      <c r="M170" s="250"/>
    </row>
    <row r="171" ht="15.75" customHeight="1">
      <c r="A171" s="238"/>
      <c r="B171" s="238"/>
      <c r="C171" s="238"/>
      <c r="D171" s="238"/>
      <c r="E171" s="250"/>
      <c r="F171" s="250"/>
      <c r="G171" s="250"/>
      <c r="H171" s="250"/>
      <c r="I171" s="250"/>
      <c r="J171" s="250"/>
      <c r="K171" s="250"/>
      <c r="L171" s="250"/>
      <c r="M171" s="250"/>
    </row>
    <row r="172" ht="15.75" customHeight="1">
      <c r="A172" s="238"/>
      <c r="B172" s="238"/>
      <c r="C172" s="238"/>
      <c r="D172" s="238"/>
      <c r="E172" s="250"/>
      <c r="F172" s="250"/>
      <c r="G172" s="250"/>
      <c r="H172" s="250"/>
      <c r="I172" s="250"/>
      <c r="J172" s="250"/>
      <c r="K172" s="250"/>
      <c r="L172" s="250"/>
      <c r="M172" s="250"/>
    </row>
    <row r="173" ht="15.75" customHeight="1">
      <c r="A173" s="238"/>
      <c r="B173" s="238"/>
      <c r="C173" s="238"/>
      <c r="D173" s="238"/>
      <c r="E173" s="250"/>
      <c r="F173" s="250"/>
      <c r="G173" s="250"/>
      <c r="H173" s="250"/>
      <c r="I173" s="250"/>
      <c r="J173" s="250"/>
      <c r="K173" s="250"/>
      <c r="L173" s="250"/>
      <c r="M173" s="250"/>
    </row>
    <row r="174" ht="15.75" customHeight="1">
      <c r="A174" s="238"/>
      <c r="B174" s="238"/>
      <c r="C174" s="238"/>
      <c r="D174" s="238"/>
      <c r="E174" s="250"/>
      <c r="F174" s="250"/>
      <c r="G174" s="250"/>
      <c r="H174" s="250"/>
      <c r="I174" s="250"/>
      <c r="J174" s="250"/>
      <c r="K174" s="250"/>
      <c r="L174" s="250"/>
      <c r="M174" s="250"/>
    </row>
    <row r="175" ht="15.75" customHeight="1">
      <c r="A175" s="238"/>
      <c r="B175" s="238"/>
      <c r="C175" s="238"/>
      <c r="D175" s="238"/>
      <c r="E175" s="250"/>
      <c r="F175" s="250"/>
      <c r="G175" s="250"/>
      <c r="H175" s="250"/>
      <c r="I175" s="250"/>
      <c r="J175" s="250"/>
      <c r="K175" s="250"/>
      <c r="L175" s="250"/>
      <c r="M175" s="250"/>
    </row>
    <row r="176" ht="15.75" customHeight="1">
      <c r="A176" s="238"/>
      <c r="B176" s="238"/>
      <c r="C176" s="238"/>
      <c r="D176" s="238"/>
      <c r="E176" s="250"/>
      <c r="F176" s="250"/>
      <c r="G176" s="250"/>
      <c r="H176" s="250"/>
      <c r="I176" s="250"/>
      <c r="J176" s="250"/>
      <c r="K176" s="250"/>
      <c r="L176" s="250"/>
      <c r="M176" s="250"/>
    </row>
    <row r="177" ht="15.75" customHeight="1">
      <c r="A177" s="238"/>
      <c r="B177" s="238"/>
      <c r="C177" s="238"/>
      <c r="D177" s="238"/>
      <c r="E177" s="250"/>
      <c r="F177" s="250"/>
      <c r="G177" s="250"/>
      <c r="H177" s="250"/>
      <c r="I177" s="250"/>
      <c r="J177" s="250"/>
      <c r="K177" s="250"/>
      <c r="L177" s="250"/>
      <c r="M177" s="250"/>
    </row>
    <row r="178" ht="15.75" customHeight="1">
      <c r="A178" s="238"/>
      <c r="B178" s="238"/>
      <c r="C178" s="238"/>
      <c r="D178" s="238"/>
      <c r="E178" s="250"/>
      <c r="F178" s="250"/>
      <c r="G178" s="250"/>
      <c r="H178" s="250"/>
      <c r="I178" s="250"/>
      <c r="J178" s="250"/>
      <c r="K178" s="250"/>
      <c r="L178" s="250"/>
      <c r="M178" s="250"/>
    </row>
    <row r="179" ht="15.75" customHeight="1">
      <c r="A179" s="238"/>
      <c r="B179" s="238"/>
      <c r="C179" s="238"/>
      <c r="D179" s="238"/>
      <c r="E179" s="250"/>
      <c r="F179" s="250"/>
      <c r="G179" s="250"/>
      <c r="H179" s="250"/>
      <c r="I179" s="250"/>
      <c r="J179" s="250"/>
      <c r="K179" s="250"/>
      <c r="L179" s="250"/>
      <c r="M179" s="250"/>
    </row>
    <row r="180" ht="15.75" customHeight="1">
      <c r="A180" s="238"/>
      <c r="B180" s="238"/>
      <c r="C180" s="238"/>
      <c r="D180" s="238"/>
      <c r="E180" s="250"/>
      <c r="F180" s="250"/>
      <c r="G180" s="250"/>
      <c r="H180" s="250"/>
      <c r="I180" s="250"/>
      <c r="J180" s="250"/>
      <c r="K180" s="250"/>
      <c r="L180" s="250"/>
      <c r="M180" s="250"/>
    </row>
    <row r="181" ht="15.75" customHeight="1">
      <c r="A181" s="238"/>
      <c r="B181" s="238"/>
      <c r="C181" s="238"/>
      <c r="D181" s="238"/>
      <c r="E181" s="250"/>
      <c r="F181" s="250"/>
      <c r="G181" s="250"/>
      <c r="H181" s="250"/>
      <c r="I181" s="250"/>
      <c r="J181" s="250"/>
      <c r="K181" s="250"/>
      <c r="L181" s="250"/>
      <c r="M181" s="250"/>
    </row>
    <row r="182" ht="15.75" customHeight="1">
      <c r="A182" s="238"/>
      <c r="B182" s="238"/>
      <c r="C182" s="238"/>
      <c r="D182" s="238"/>
      <c r="E182" s="250"/>
      <c r="F182" s="250"/>
      <c r="G182" s="250"/>
      <c r="H182" s="250"/>
      <c r="I182" s="250"/>
      <c r="J182" s="250"/>
      <c r="K182" s="250"/>
      <c r="L182" s="250"/>
      <c r="M182" s="250"/>
    </row>
    <row r="183" ht="15.75" customHeight="1">
      <c r="A183" s="238"/>
      <c r="B183" s="238"/>
      <c r="C183" s="238"/>
      <c r="D183" s="238"/>
      <c r="E183" s="250"/>
      <c r="F183" s="250"/>
      <c r="G183" s="250"/>
      <c r="H183" s="250"/>
      <c r="I183" s="250"/>
      <c r="J183" s="250"/>
      <c r="K183" s="250"/>
      <c r="L183" s="250"/>
      <c r="M183" s="250"/>
    </row>
    <row r="184" ht="15.75" customHeight="1">
      <c r="A184" s="238"/>
      <c r="B184" s="238"/>
      <c r="C184" s="238"/>
      <c r="D184" s="238"/>
      <c r="E184" s="250"/>
      <c r="F184" s="250"/>
      <c r="G184" s="250"/>
      <c r="H184" s="250"/>
      <c r="I184" s="250"/>
      <c r="J184" s="250"/>
      <c r="K184" s="250"/>
      <c r="L184" s="250"/>
      <c r="M184" s="250"/>
    </row>
    <row r="185" ht="15.75" customHeight="1">
      <c r="A185" s="238"/>
      <c r="B185" s="238"/>
      <c r="C185" s="238"/>
      <c r="D185" s="238"/>
      <c r="E185" s="250"/>
      <c r="F185" s="250"/>
      <c r="G185" s="250"/>
      <c r="H185" s="250"/>
      <c r="I185" s="250"/>
      <c r="J185" s="250"/>
      <c r="K185" s="250"/>
      <c r="L185" s="250"/>
      <c r="M185" s="250"/>
    </row>
    <row r="186" ht="15.75" customHeight="1">
      <c r="A186" s="238"/>
      <c r="B186" s="238"/>
      <c r="C186" s="238"/>
      <c r="D186" s="238"/>
      <c r="E186" s="250"/>
      <c r="F186" s="250"/>
      <c r="G186" s="250"/>
      <c r="H186" s="250"/>
      <c r="I186" s="250"/>
      <c r="J186" s="250"/>
      <c r="K186" s="250"/>
      <c r="L186" s="250"/>
      <c r="M186" s="250"/>
    </row>
    <row r="187" ht="15.75" customHeight="1">
      <c r="A187" s="238"/>
      <c r="B187" s="238"/>
      <c r="C187" s="238"/>
      <c r="D187" s="238"/>
      <c r="E187" s="250"/>
      <c r="F187" s="250"/>
      <c r="G187" s="250"/>
      <c r="H187" s="250"/>
      <c r="I187" s="250"/>
      <c r="J187" s="250"/>
      <c r="K187" s="250"/>
      <c r="L187" s="250"/>
      <c r="M187" s="250"/>
    </row>
    <row r="188" ht="15.75" customHeight="1">
      <c r="A188" s="238"/>
      <c r="B188" s="238"/>
      <c r="C188" s="238"/>
      <c r="D188" s="238"/>
      <c r="E188" s="250"/>
      <c r="F188" s="250"/>
      <c r="G188" s="250"/>
      <c r="H188" s="250"/>
      <c r="I188" s="250"/>
      <c r="J188" s="250"/>
      <c r="K188" s="250"/>
      <c r="L188" s="250"/>
      <c r="M188" s="250"/>
    </row>
    <row r="189" ht="15.75" customHeight="1">
      <c r="A189" s="238"/>
      <c r="B189" s="238"/>
      <c r="C189" s="238"/>
      <c r="D189" s="238"/>
      <c r="E189" s="250"/>
      <c r="F189" s="250"/>
      <c r="G189" s="250"/>
      <c r="H189" s="250"/>
      <c r="I189" s="250"/>
      <c r="J189" s="250"/>
      <c r="K189" s="250"/>
      <c r="L189" s="250"/>
      <c r="M189" s="250"/>
    </row>
    <row r="190" ht="15.75" customHeight="1">
      <c r="A190" s="238"/>
      <c r="B190" s="238"/>
      <c r="C190" s="238"/>
      <c r="D190" s="238"/>
      <c r="E190" s="250"/>
      <c r="F190" s="250"/>
      <c r="G190" s="250"/>
      <c r="H190" s="250"/>
      <c r="I190" s="250"/>
      <c r="J190" s="250"/>
      <c r="K190" s="250"/>
      <c r="L190" s="250"/>
      <c r="M190" s="250"/>
    </row>
    <row r="191" ht="15.75" customHeight="1">
      <c r="A191" s="238"/>
      <c r="B191" s="238"/>
      <c r="C191" s="238"/>
      <c r="D191" s="238"/>
      <c r="E191" s="250"/>
      <c r="F191" s="250"/>
      <c r="G191" s="250"/>
      <c r="H191" s="250"/>
      <c r="I191" s="250"/>
      <c r="J191" s="250"/>
      <c r="K191" s="250"/>
      <c r="L191" s="250"/>
      <c r="M191" s="250"/>
    </row>
    <row r="192" ht="15.75" customHeight="1">
      <c r="A192" s="238"/>
      <c r="B192" s="238"/>
      <c r="C192" s="238"/>
      <c r="D192" s="238"/>
      <c r="E192" s="250"/>
      <c r="F192" s="250"/>
      <c r="G192" s="250"/>
      <c r="H192" s="250"/>
      <c r="I192" s="250"/>
      <c r="J192" s="250"/>
      <c r="K192" s="250"/>
      <c r="L192" s="250"/>
      <c r="M192" s="250"/>
    </row>
    <row r="193" ht="15.75" customHeight="1">
      <c r="A193" s="238"/>
      <c r="B193" s="238"/>
      <c r="C193" s="238"/>
      <c r="D193" s="238"/>
      <c r="E193" s="250"/>
      <c r="F193" s="250"/>
      <c r="G193" s="250"/>
      <c r="H193" s="250"/>
      <c r="I193" s="250"/>
      <c r="J193" s="250"/>
      <c r="K193" s="250"/>
      <c r="L193" s="250"/>
      <c r="M193" s="250"/>
    </row>
    <row r="194" ht="15.75" customHeight="1">
      <c r="A194" s="238"/>
      <c r="B194" s="238"/>
      <c r="C194" s="238"/>
      <c r="D194" s="238"/>
      <c r="E194" s="250"/>
      <c r="F194" s="250"/>
      <c r="G194" s="250"/>
      <c r="H194" s="250"/>
      <c r="I194" s="250"/>
      <c r="J194" s="250"/>
      <c r="K194" s="250"/>
      <c r="L194" s="250"/>
      <c r="M194" s="250"/>
    </row>
    <row r="195" ht="15.75" customHeight="1">
      <c r="A195" s="238"/>
      <c r="B195" s="238"/>
      <c r="C195" s="238"/>
      <c r="D195" s="238"/>
      <c r="E195" s="250"/>
      <c r="F195" s="250"/>
      <c r="G195" s="250"/>
      <c r="H195" s="250"/>
      <c r="I195" s="250"/>
      <c r="J195" s="250"/>
      <c r="K195" s="250"/>
      <c r="L195" s="250"/>
      <c r="M195" s="250"/>
    </row>
    <row r="196" ht="15.75" customHeight="1">
      <c r="A196" s="238"/>
      <c r="B196" s="238"/>
      <c r="C196" s="238"/>
      <c r="D196" s="238"/>
      <c r="E196" s="250"/>
      <c r="F196" s="250"/>
      <c r="G196" s="250"/>
      <c r="H196" s="250"/>
      <c r="I196" s="250"/>
      <c r="J196" s="250"/>
      <c r="K196" s="250"/>
      <c r="L196" s="250"/>
      <c r="M196" s="250"/>
    </row>
    <row r="197" ht="15.75" customHeight="1">
      <c r="A197" s="238"/>
      <c r="B197" s="238"/>
      <c r="C197" s="238"/>
      <c r="D197" s="238"/>
      <c r="E197" s="250"/>
      <c r="F197" s="250"/>
      <c r="G197" s="250"/>
      <c r="H197" s="250"/>
      <c r="I197" s="250"/>
      <c r="J197" s="250"/>
      <c r="K197" s="250"/>
      <c r="L197" s="250"/>
      <c r="M197" s="250"/>
    </row>
    <row r="198" ht="15.75" customHeight="1">
      <c r="A198" s="238"/>
      <c r="B198" s="238"/>
      <c r="C198" s="238"/>
      <c r="D198" s="238"/>
      <c r="E198" s="250"/>
      <c r="F198" s="250"/>
      <c r="G198" s="250"/>
      <c r="H198" s="250"/>
      <c r="I198" s="250"/>
      <c r="J198" s="250"/>
      <c r="K198" s="250"/>
      <c r="L198" s="250"/>
      <c r="M198" s="250"/>
    </row>
    <row r="199" ht="15.75" customHeight="1">
      <c r="A199" s="238"/>
      <c r="B199" s="238"/>
      <c r="C199" s="238"/>
      <c r="D199" s="238"/>
      <c r="E199" s="250"/>
      <c r="F199" s="250"/>
      <c r="G199" s="250"/>
      <c r="H199" s="250"/>
      <c r="I199" s="250"/>
      <c r="J199" s="250"/>
      <c r="K199" s="250"/>
      <c r="L199" s="250"/>
      <c r="M199" s="250"/>
    </row>
    <row r="200" ht="15.75" customHeight="1">
      <c r="A200" s="238"/>
      <c r="B200" s="238"/>
      <c r="C200" s="238"/>
      <c r="D200" s="238"/>
      <c r="E200" s="250"/>
      <c r="F200" s="250"/>
      <c r="G200" s="250"/>
      <c r="H200" s="250"/>
      <c r="I200" s="250"/>
      <c r="J200" s="250"/>
      <c r="K200" s="250"/>
      <c r="L200" s="250"/>
      <c r="M200" s="250"/>
    </row>
    <row r="201" ht="15.75" customHeight="1">
      <c r="A201" s="238"/>
      <c r="B201" s="238"/>
      <c r="C201" s="238"/>
      <c r="D201" s="238"/>
      <c r="E201" s="250"/>
      <c r="F201" s="250"/>
      <c r="G201" s="250"/>
      <c r="H201" s="250"/>
      <c r="I201" s="250"/>
      <c r="J201" s="250"/>
      <c r="K201" s="250"/>
      <c r="L201" s="250"/>
      <c r="M201" s="250"/>
    </row>
    <row r="202" ht="15.75" customHeight="1">
      <c r="A202" s="238"/>
      <c r="B202" s="238"/>
      <c r="C202" s="238"/>
      <c r="D202" s="238"/>
      <c r="E202" s="250"/>
      <c r="F202" s="250"/>
      <c r="G202" s="250"/>
      <c r="H202" s="250"/>
      <c r="I202" s="250"/>
      <c r="J202" s="250"/>
      <c r="K202" s="250"/>
      <c r="L202" s="250"/>
      <c r="M202" s="250"/>
    </row>
    <row r="203" ht="15.75" customHeight="1">
      <c r="A203" s="238"/>
      <c r="B203" s="238"/>
      <c r="C203" s="238"/>
      <c r="D203" s="238"/>
      <c r="E203" s="250"/>
      <c r="F203" s="250"/>
      <c r="G203" s="250"/>
      <c r="H203" s="250"/>
      <c r="I203" s="250"/>
      <c r="J203" s="250"/>
      <c r="K203" s="250"/>
      <c r="L203" s="250"/>
      <c r="M203" s="250"/>
    </row>
    <row r="204" ht="15.75" customHeight="1">
      <c r="A204" s="238"/>
      <c r="B204" s="238"/>
      <c r="C204" s="238"/>
      <c r="D204" s="238"/>
      <c r="E204" s="250"/>
      <c r="F204" s="250"/>
      <c r="G204" s="250"/>
      <c r="H204" s="250"/>
      <c r="I204" s="250"/>
      <c r="J204" s="250"/>
      <c r="K204" s="250"/>
      <c r="L204" s="250"/>
      <c r="M204" s="250"/>
    </row>
    <row r="205" ht="15.75" customHeight="1">
      <c r="A205" s="238"/>
      <c r="B205" s="238"/>
      <c r="C205" s="238"/>
      <c r="D205" s="238"/>
      <c r="E205" s="250"/>
      <c r="F205" s="250"/>
      <c r="G205" s="250"/>
      <c r="H205" s="250"/>
      <c r="I205" s="250"/>
      <c r="J205" s="250"/>
      <c r="K205" s="250"/>
      <c r="L205" s="250"/>
      <c r="M205" s="250"/>
    </row>
    <row r="206" ht="15.75" customHeight="1">
      <c r="A206" s="238"/>
      <c r="B206" s="238"/>
      <c r="C206" s="238"/>
      <c r="D206" s="238"/>
      <c r="E206" s="250"/>
      <c r="F206" s="250"/>
      <c r="G206" s="250"/>
      <c r="H206" s="250"/>
      <c r="I206" s="250"/>
      <c r="J206" s="250"/>
      <c r="K206" s="250"/>
      <c r="L206" s="250"/>
      <c r="M206" s="250"/>
    </row>
    <row r="207" ht="15.75" customHeight="1">
      <c r="A207" s="238"/>
      <c r="B207" s="238"/>
      <c r="C207" s="238"/>
      <c r="D207" s="238"/>
      <c r="E207" s="250"/>
      <c r="F207" s="250"/>
      <c r="G207" s="250"/>
      <c r="H207" s="250"/>
      <c r="I207" s="250"/>
      <c r="J207" s="250"/>
      <c r="K207" s="250"/>
      <c r="L207" s="250"/>
      <c r="M207" s="250"/>
    </row>
    <row r="208" ht="15.75" customHeight="1">
      <c r="A208" s="238"/>
      <c r="B208" s="238"/>
      <c r="C208" s="238"/>
      <c r="D208" s="238"/>
      <c r="E208" s="250"/>
      <c r="F208" s="250"/>
      <c r="G208" s="250"/>
      <c r="H208" s="250"/>
      <c r="I208" s="250"/>
      <c r="J208" s="250"/>
      <c r="K208" s="250"/>
      <c r="L208" s="250"/>
      <c r="M208" s="250"/>
    </row>
    <row r="209" ht="15.75" customHeight="1">
      <c r="A209" s="238"/>
      <c r="B209" s="238"/>
      <c r="C209" s="238"/>
      <c r="D209" s="238"/>
      <c r="E209" s="250"/>
      <c r="F209" s="250"/>
      <c r="G209" s="250"/>
      <c r="H209" s="250"/>
      <c r="I209" s="250"/>
      <c r="J209" s="250"/>
      <c r="K209" s="250"/>
      <c r="L209" s="250"/>
      <c r="M209" s="250"/>
    </row>
    <row r="210" ht="15.75" customHeight="1">
      <c r="A210" s="238"/>
      <c r="B210" s="238"/>
      <c r="C210" s="238"/>
      <c r="D210" s="238"/>
      <c r="E210" s="250"/>
      <c r="F210" s="250"/>
      <c r="G210" s="250"/>
      <c r="H210" s="250"/>
      <c r="I210" s="250"/>
      <c r="J210" s="250"/>
      <c r="K210" s="250"/>
      <c r="L210" s="250"/>
      <c r="M210" s="250"/>
    </row>
    <row r="211" ht="15.75" customHeight="1">
      <c r="A211" s="238"/>
      <c r="B211" s="238"/>
      <c r="C211" s="238"/>
      <c r="D211" s="238"/>
      <c r="E211" s="250"/>
      <c r="F211" s="250"/>
      <c r="G211" s="250"/>
      <c r="H211" s="250"/>
      <c r="I211" s="250"/>
      <c r="J211" s="250"/>
      <c r="K211" s="250"/>
      <c r="L211" s="250"/>
      <c r="M211" s="250"/>
    </row>
    <row r="212" ht="15.75" customHeight="1">
      <c r="A212" s="238"/>
      <c r="B212" s="238"/>
      <c r="C212" s="238"/>
      <c r="D212" s="238"/>
      <c r="E212" s="250"/>
      <c r="F212" s="250"/>
      <c r="G212" s="250"/>
      <c r="H212" s="250"/>
      <c r="I212" s="250"/>
      <c r="J212" s="250"/>
      <c r="K212" s="250"/>
      <c r="L212" s="250"/>
      <c r="M212" s="250"/>
    </row>
    <row r="213" ht="15.75" customHeight="1">
      <c r="A213" s="238"/>
      <c r="B213" s="238"/>
      <c r="C213" s="238"/>
      <c r="D213" s="238"/>
      <c r="E213" s="250"/>
      <c r="F213" s="250"/>
      <c r="G213" s="250"/>
      <c r="H213" s="250"/>
      <c r="I213" s="250"/>
      <c r="J213" s="250"/>
      <c r="K213" s="250"/>
      <c r="L213" s="250"/>
      <c r="M213" s="250"/>
    </row>
    <row r="214" ht="15.75" customHeight="1">
      <c r="A214" s="238"/>
      <c r="B214" s="238"/>
      <c r="C214" s="238"/>
      <c r="D214" s="238"/>
      <c r="E214" s="250"/>
      <c r="F214" s="250"/>
      <c r="G214" s="250"/>
      <c r="H214" s="250"/>
      <c r="I214" s="250"/>
      <c r="J214" s="250"/>
      <c r="K214" s="250"/>
      <c r="L214" s="250"/>
      <c r="M214" s="250"/>
    </row>
    <row r="215" ht="15.75" customHeight="1">
      <c r="A215" s="238"/>
      <c r="B215" s="238"/>
      <c r="C215" s="238"/>
      <c r="D215" s="238"/>
      <c r="E215" s="250"/>
      <c r="F215" s="250"/>
      <c r="G215" s="250"/>
      <c r="H215" s="250"/>
      <c r="I215" s="250"/>
      <c r="J215" s="250"/>
      <c r="K215" s="250"/>
      <c r="L215" s="250"/>
      <c r="M215" s="250"/>
    </row>
    <row r="216" ht="15.75" customHeight="1">
      <c r="A216" s="238"/>
      <c r="B216" s="238"/>
      <c r="C216" s="238"/>
      <c r="D216" s="238"/>
      <c r="E216" s="250"/>
      <c r="F216" s="250"/>
      <c r="G216" s="250"/>
      <c r="H216" s="250"/>
      <c r="I216" s="250"/>
      <c r="J216" s="250"/>
      <c r="K216" s="250"/>
      <c r="L216" s="250"/>
      <c r="M216" s="250"/>
    </row>
    <row r="217" ht="15.75" customHeight="1">
      <c r="A217" s="238"/>
      <c r="B217" s="238"/>
      <c r="C217" s="238"/>
      <c r="D217" s="238"/>
      <c r="E217" s="250"/>
      <c r="F217" s="250"/>
      <c r="G217" s="250"/>
      <c r="H217" s="250"/>
      <c r="I217" s="250"/>
      <c r="J217" s="250"/>
      <c r="K217" s="250"/>
      <c r="L217" s="250"/>
      <c r="M217" s="250"/>
    </row>
    <row r="218" ht="15.75" customHeight="1">
      <c r="A218" s="238"/>
      <c r="B218" s="238"/>
      <c r="C218" s="238"/>
      <c r="D218" s="238"/>
      <c r="E218" s="250"/>
      <c r="F218" s="250"/>
      <c r="G218" s="250"/>
      <c r="H218" s="250"/>
      <c r="I218" s="250"/>
      <c r="J218" s="250"/>
      <c r="K218" s="250"/>
      <c r="L218" s="250"/>
      <c r="M218" s="250"/>
    </row>
    <row r="219" ht="15.75" customHeight="1">
      <c r="A219" s="238"/>
      <c r="B219" s="238"/>
      <c r="C219" s="238"/>
      <c r="D219" s="238"/>
      <c r="E219" s="250"/>
      <c r="F219" s="250"/>
      <c r="G219" s="250"/>
      <c r="H219" s="250"/>
      <c r="I219" s="250"/>
      <c r="J219" s="250"/>
      <c r="K219" s="250"/>
      <c r="L219" s="250"/>
      <c r="M219" s="250"/>
    </row>
    <row r="220" ht="15.75" customHeight="1">
      <c r="A220" s="238"/>
      <c r="B220" s="238"/>
      <c r="C220" s="238"/>
      <c r="D220" s="238"/>
      <c r="E220" s="250"/>
      <c r="F220" s="250"/>
      <c r="G220" s="250"/>
      <c r="H220" s="250"/>
      <c r="I220" s="250"/>
      <c r="J220" s="250"/>
      <c r="K220" s="250"/>
      <c r="L220" s="250"/>
      <c r="M220" s="250"/>
    </row>
    <row r="221" ht="15.75" customHeight="1">
      <c r="A221" s="238"/>
      <c r="B221" s="238"/>
      <c r="C221" s="238"/>
      <c r="D221" s="238"/>
      <c r="E221" s="250"/>
      <c r="F221" s="250"/>
      <c r="G221" s="250"/>
      <c r="H221" s="250"/>
      <c r="I221" s="250"/>
      <c r="J221" s="250"/>
      <c r="K221" s="250"/>
      <c r="L221" s="250"/>
      <c r="M221" s="250"/>
    </row>
    <row r="222" ht="15.75" customHeight="1">
      <c r="A222" s="238"/>
      <c r="B222" s="238"/>
      <c r="C222" s="238"/>
      <c r="D222" s="238"/>
      <c r="E222" s="250"/>
      <c r="F222" s="250"/>
      <c r="G222" s="250"/>
      <c r="H222" s="250"/>
      <c r="I222" s="250"/>
      <c r="J222" s="250"/>
      <c r="K222" s="250"/>
      <c r="L222" s="250"/>
      <c r="M222" s="250"/>
    </row>
    <row r="223" ht="15.75" customHeight="1">
      <c r="A223" s="238"/>
      <c r="B223" s="238"/>
      <c r="C223" s="238"/>
      <c r="D223" s="238"/>
      <c r="E223" s="250"/>
      <c r="F223" s="250"/>
      <c r="G223" s="250"/>
      <c r="H223" s="250"/>
      <c r="I223" s="250"/>
      <c r="J223" s="250"/>
      <c r="K223" s="250"/>
      <c r="L223" s="250"/>
      <c r="M223" s="250"/>
    </row>
    <row r="224" ht="15.75" customHeight="1">
      <c r="A224" s="238"/>
      <c r="B224" s="238"/>
      <c r="C224" s="238"/>
      <c r="D224" s="238"/>
      <c r="E224" s="250"/>
      <c r="F224" s="250"/>
      <c r="G224" s="250"/>
      <c r="H224" s="250"/>
      <c r="I224" s="250"/>
      <c r="J224" s="250"/>
      <c r="K224" s="250"/>
      <c r="L224" s="250"/>
      <c r="M224" s="250"/>
    </row>
    <row r="225" ht="15.75" customHeight="1">
      <c r="A225" s="238"/>
      <c r="B225" s="238"/>
      <c r="C225" s="238"/>
      <c r="D225" s="238"/>
      <c r="E225" s="250"/>
      <c r="F225" s="250"/>
      <c r="G225" s="250"/>
      <c r="H225" s="250"/>
      <c r="I225" s="250"/>
      <c r="J225" s="250"/>
      <c r="K225" s="250"/>
      <c r="L225" s="250"/>
      <c r="M225" s="250"/>
    </row>
    <row r="226" ht="15.75" customHeight="1">
      <c r="A226" s="238"/>
      <c r="B226" s="238"/>
      <c r="C226" s="238"/>
      <c r="D226" s="238"/>
      <c r="E226" s="250"/>
      <c r="F226" s="250"/>
      <c r="G226" s="250"/>
      <c r="H226" s="250"/>
      <c r="I226" s="250"/>
      <c r="J226" s="250"/>
      <c r="K226" s="250"/>
      <c r="L226" s="250"/>
      <c r="M226" s="250"/>
    </row>
    <row r="227" ht="15.75" customHeight="1">
      <c r="A227" s="238"/>
      <c r="B227" s="238"/>
      <c r="C227" s="238"/>
      <c r="D227" s="238"/>
      <c r="E227" s="250"/>
      <c r="F227" s="250"/>
      <c r="G227" s="250"/>
      <c r="H227" s="250"/>
      <c r="I227" s="250"/>
      <c r="J227" s="250"/>
      <c r="K227" s="250"/>
      <c r="L227" s="250"/>
      <c r="M227" s="250"/>
    </row>
    <row r="228" ht="15.75" customHeight="1">
      <c r="A228" s="238"/>
      <c r="B228" s="238"/>
      <c r="C228" s="238"/>
      <c r="D228" s="238"/>
      <c r="E228" s="250"/>
      <c r="F228" s="250"/>
      <c r="G228" s="250"/>
      <c r="H228" s="250"/>
      <c r="I228" s="250"/>
      <c r="J228" s="250"/>
      <c r="K228" s="250"/>
      <c r="L228" s="250"/>
      <c r="M228" s="250"/>
    </row>
    <row r="229" ht="15.75" customHeight="1">
      <c r="A229" s="238"/>
      <c r="B229" s="238"/>
      <c r="C229" s="238"/>
      <c r="D229" s="238"/>
      <c r="E229" s="250"/>
      <c r="F229" s="250"/>
      <c r="G229" s="250"/>
      <c r="H229" s="250"/>
      <c r="I229" s="250"/>
      <c r="J229" s="250"/>
      <c r="K229" s="250"/>
      <c r="L229" s="250"/>
      <c r="M229" s="250"/>
    </row>
    <row r="230" ht="15.75" customHeight="1">
      <c r="A230" s="238"/>
      <c r="B230" s="238"/>
      <c r="C230" s="238"/>
      <c r="D230" s="238"/>
      <c r="E230" s="250"/>
      <c r="F230" s="250"/>
      <c r="G230" s="250"/>
      <c r="H230" s="250"/>
      <c r="I230" s="250"/>
      <c r="J230" s="250"/>
      <c r="K230" s="250"/>
      <c r="L230" s="250"/>
      <c r="M230" s="250"/>
    </row>
    <row r="231" ht="15.75" customHeight="1">
      <c r="A231" s="238"/>
      <c r="B231" s="238"/>
      <c r="C231" s="238"/>
      <c r="D231" s="238"/>
      <c r="E231" s="250"/>
      <c r="F231" s="250"/>
      <c r="G231" s="250"/>
      <c r="H231" s="250"/>
      <c r="I231" s="250"/>
      <c r="J231" s="250"/>
      <c r="K231" s="250"/>
      <c r="L231" s="250"/>
      <c r="M231" s="250"/>
    </row>
    <row r="232" ht="15.75" customHeight="1">
      <c r="A232" s="238"/>
      <c r="B232" s="238"/>
      <c r="C232" s="238"/>
      <c r="D232" s="238"/>
      <c r="E232" s="250"/>
      <c r="F232" s="250"/>
      <c r="G232" s="250"/>
      <c r="H232" s="250"/>
      <c r="I232" s="250"/>
      <c r="J232" s="250"/>
      <c r="K232" s="250"/>
      <c r="L232" s="250"/>
      <c r="M232" s="250"/>
    </row>
    <row r="233" ht="15.75" customHeight="1">
      <c r="A233" s="238"/>
      <c r="B233" s="238"/>
      <c r="C233" s="238"/>
      <c r="D233" s="238"/>
      <c r="E233" s="250"/>
      <c r="F233" s="250"/>
      <c r="G233" s="250"/>
      <c r="H233" s="250"/>
      <c r="I233" s="250"/>
      <c r="J233" s="250"/>
      <c r="K233" s="250"/>
      <c r="L233" s="250"/>
      <c r="M233" s="250"/>
    </row>
    <row r="234" ht="15.75" customHeight="1">
      <c r="A234" s="238"/>
      <c r="B234" s="238"/>
      <c r="C234" s="238"/>
      <c r="D234" s="238"/>
      <c r="E234" s="250"/>
      <c r="F234" s="250"/>
      <c r="G234" s="250"/>
      <c r="H234" s="250"/>
      <c r="I234" s="250"/>
      <c r="J234" s="250"/>
      <c r="K234" s="250"/>
      <c r="L234" s="250"/>
      <c r="M234" s="250"/>
    </row>
    <row r="235" ht="15.75" customHeight="1">
      <c r="A235" s="238"/>
      <c r="B235" s="238"/>
      <c r="C235" s="238"/>
      <c r="D235" s="238"/>
      <c r="E235" s="250"/>
      <c r="F235" s="250"/>
      <c r="G235" s="250"/>
      <c r="H235" s="250"/>
      <c r="I235" s="250"/>
      <c r="J235" s="250"/>
      <c r="K235" s="250"/>
      <c r="L235" s="250"/>
      <c r="M235" s="250"/>
    </row>
    <row r="236" ht="15.75" customHeight="1">
      <c r="A236" s="238"/>
      <c r="B236" s="238"/>
      <c r="C236" s="238"/>
      <c r="D236" s="238"/>
      <c r="E236" s="250"/>
      <c r="F236" s="250"/>
      <c r="G236" s="250"/>
      <c r="H236" s="250"/>
      <c r="I236" s="250"/>
      <c r="J236" s="250"/>
      <c r="K236" s="250"/>
      <c r="L236" s="250"/>
      <c r="M236" s="250"/>
    </row>
    <row r="237" ht="15.75" customHeight="1">
      <c r="A237" s="238"/>
      <c r="B237" s="238"/>
      <c r="C237" s="238"/>
      <c r="D237" s="238"/>
      <c r="E237" s="250"/>
      <c r="F237" s="250"/>
      <c r="G237" s="250"/>
      <c r="H237" s="250"/>
      <c r="I237" s="250"/>
      <c r="J237" s="250"/>
      <c r="K237" s="250"/>
      <c r="L237" s="250"/>
      <c r="M237" s="250"/>
    </row>
    <row r="238" ht="15.75" customHeight="1">
      <c r="A238" s="238"/>
      <c r="B238" s="238"/>
      <c r="C238" s="238"/>
      <c r="D238" s="238"/>
      <c r="E238" s="250"/>
      <c r="F238" s="250"/>
      <c r="G238" s="250"/>
      <c r="H238" s="250"/>
      <c r="I238" s="250"/>
      <c r="J238" s="250"/>
      <c r="K238" s="250"/>
      <c r="L238" s="250"/>
      <c r="M238" s="250"/>
    </row>
    <row r="239" ht="15.75" customHeight="1">
      <c r="A239" s="238"/>
      <c r="B239" s="238"/>
      <c r="C239" s="238"/>
      <c r="D239" s="238"/>
      <c r="E239" s="250"/>
      <c r="F239" s="250"/>
      <c r="G239" s="250"/>
      <c r="H239" s="250"/>
      <c r="I239" s="250"/>
      <c r="J239" s="250"/>
      <c r="K239" s="250"/>
      <c r="L239" s="250"/>
      <c r="M239" s="250"/>
    </row>
    <row r="240" ht="15.75" customHeight="1">
      <c r="A240" s="238"/>
      <c r="B240" s="238"/>
      <c r="C240" s="238"/>
      <c r="D240" s="238"/>
      <c r="E240" s="250"/>
      <c r="F240" s="250"/>
      <c r="G240" s="250"/>
      <c r="H240" s="250"/>
      <c r="I240" s="250"/>
      <c r="J240" s="250"/>
      <c r="K240" s="250"/>
      <c r="L240" s="250"/>
      <c r="M240" s="250"/>
    </row>
    <row r="241" ht="15.75" customHeight="1">
      <c r="A241" s="238"/>
      <c r="B241" s="238"/>
      <c r="C241" s="238"/>
      <c r="D241" s="238"/>
      <c r="E241" s="250"/>
      <c r="F241" s="250"/>
      <c r="G241" s="250"/>
      <c r="H241" s="250"/>
      <c r="I241" s="250"/>
      <c r="J241" s="250"/>
      <c r="K241" s="250"/>
      <c r="L241" s="250"/>
      <c r="M241" s="250"/>
    </row>
    <row r="242" ht="15.75" customHeight="1">
      <c r="A242" s="238"/>
      <c r="B242" s="238"/>
      <c r="C242" s="238"/>
      <c r="D242" s="238"/>
      <c r="E242" s="250"/>
      <c r="F242" s="250"/>
      <c r="G242" s="250"/>
      <c r="H242" s="250"/>
      <c r="I242" s="250"/>
      <c r="J242" s="250"/>
      <c r="K242" s="250"/>
      <c r="L242" s="250"/>
      <c r="M242" s="250"/>
    </row>
    <row r="243" ht="15.75" customHeight="1">
      <c r="A243" s="238"/>
      <c r="B243" s="238"/>
      <c r="C243" s="238"/>
      <c r="D243" s="238"/>
      <c r="E243" s="250"/>
      <c r="F243" s="250"/>
      <c r="G243" s="250"/>
      <c r="H243" s="250"/>
      <c r="I243" s="250"/>
      <c r="J243" s="250"/>
      <c r="K243" s="250"/>
      <c r="L243" s="250"/>
      <c r="M243" s="250"/>
    </row>
    <row r="244" ht="15.75" customHeight="1">
      <c r="A244" s="238"/>
      <c r="B244" s="238"/>
      <c r="C244" s="238"/>
      <c r="D244" s="238"/>
      <c r="E244" s="250"/>
      <c r="F244" s="250"/>
      <c r="G244" s="250"/>
      <c r="H244" s="250"/>
      <c r="I244" s="250"/>
      <c r="J244" s="250"/>
      <c r="K244" s="250"/>
      <c r="L244" s="250"/>
      <c r="M244" s="250"/>
    </row>
    <row r="245" ht="15.75" customHeight="1">
      <c r="A245" s="238"/>
      <c r="B245" s="238"/>
      <c r="C245" s="238"/>
      <c r="D245" s="238"/>
      <c r="E245" s="250"/>
      <c r="F245" s="250"/>
      <c r="G245" s="250"/>
      <c r="H245" s="250"/>
      <c r="I245" s="250"/>
      <c r="J245" s="250"/>
      <c r="K245" s="250"/>
      <c r="L245" s="250"/>
      <c r="M245" s="250"/>
    </row>
    <row r="246" ht="15.75" customHeight="1">
      <c r="A246" s="238"/>
      <c r="B246" s="238"/>
      <c r="C246" s="238"/>
      <c r="D246" s="238"/>
      <c r="E246" s="250"/>
      <c r="F246" s="250"/>
      <c r="G246" s="250"/>
      <c r="H246" s="250"/>
      <c r="I246" s="250"/>
      <c r="J246" s="250"/>
      <c r="K246" s="250"/>
      <c r="L246" s="250"/>
      <c r="M246" s="250"/>
    </row>
    <row r="247" ht="15.75" customHeight="1">
      <c r="A247" s="238"/>
      <c r="B247" s="238"/>
      <c r="C247" s="238"/>
      <c r="D247" s="238"/>
      <c r="E247" s="250"/>
      <c r="F247" s="250"/>
      <c r="G247" s="250"/>
      <c r="H247" s="250"/>
      <c r="I247" s="250"/>
      <c r="J247" s="250"/>
      <c r="K247" s="250"/>
      <c r="L247" s="250"/>
      <c r="M247" s="250"/>
    </row>
    <row r="248" ht="15.75" customHeight="1">
      <c r="A248" s="238"/>
      <c r="B248" s="238"/>
      <c r="C248" s="238"/>
      <c r="D248" s="238"/>
      <c r="E248" s="250"/>
      <c r="F248" s="250"/>
      <c r="G248" s="250"/>
      <c r="H248" s="250"/>
      <c r="I248" s="250"/>
      <c r="J248" s="250"/>
      <c r="K248" s="250"/>
      <c r="L248" s="250"/>
      <c r="M248" s="250"/>
    </row>
    <row r="249" ht="15.75" customHeight="1">
      <c r="A249" s="238"/>
      <c r="B249" s="238"/>
      <c r="C249" s="238"/>
      <c r="D249" s="238"/>
      <c r="E249" s="250"/>
      <c r="F249" s="250"/>
      <c r="G249" s="250"/>
      <c r="H249" s="250"/>
      <c r="I249" s="250"/>
      <c r="J249" s="250"/>
      <c r="K249" s="250"/>
      <c r="L249" s="250"/>
      <c r="M249" s="250"/>
    </row>
    <row r="250" ht="15.75" customHeight="1">
      <c r="A250" s="238"/>
      <c r="B250" s="238"/>
      <c r="C250" s="238"/>
      <c r="D250" s="238"/>
      <c r="E250" s="250"/>
      <c r="F250" s="250"/>
      <c r="G250" s="250"/>
      <c r="H250" s="250"/>
      <c r="I250" s="250"/>
      <c r="J250" s="250"/>
      <c r="K250" s="250"/>
      <c r="L250" s="250"/>
      <c r="M250" s="250"/>
    </row>
    <row r="251" ht="15.75" customHeight="1">
      <c r="A251" s="238"/>
      <c r="B251" s="238"/>
      <c r="C251" s="238"/>
      <c r="D251" s="238"/>
      <c r="E251" s="250"/>
      <c r="F251" s="250"/>
      <c r="G251" s="250"/>
      <c r="H251" s="250"/>
      <c r="I251" s="250"/>
      <c r="J251" s="250"/>
      <c r="K251" s="250"/>
      <c r="L251" s="250"/>
      <c r="M251" s="250"/>
    </row>
    <row r="252" ht="15.75" customHeight="1">
      <c r="A252" s="238"/>
      <c r="B252" s="238"/>
      <c r="C252" s="238"/>
      <c r="D252" s="238"/>
      <c r="E252" s="250"/>
      <c r="F252" s="250"/>
      <c r="G252" s="250"/>
      <c r="H252" s="250"/>
      <c r="I252" s="250"/>
      <c r="J252" s="250"/>
      <c r="K252" s="250"/>
      <c r="L252" s="250"/>
      <c r="M252" s="250"/>
    </row>
    <row r="253" ht="15.75" customHeight="1">
      <c r="A253" s="238"/>
      <c r="B253" s="238"/>
      <c r="C253" s="238"/>
      <c r="D253" s="238"/>
      <c r="E253" s="250"/>
      <c r="F253" s="250"/>
      <c r="G253" s="250"/>
      <c r="H253" s="250"/>
      <c r="I253" s="250"/>
      <c r="J253" s="250"/>
      <c r="K253" s="250"/>
      <c r="L253" s="250"/>
      <c r="M253" s="250"/>
    </row>
    <row r="254" ht="15.75" customHeight="1">
      <c r="A254" s="238"/>
      <c r="B254" s="238"/>
      <c r="C254" s="238"/>
      <c r="D254" s="238"/>
      <c r="E254" s="250"/>
      <c r="F254" s="250"/>
      <c r="G254" s="250"/>
      <c r="H254" s="250"/>
      <c r="I254" s="250"/>
      <c r="J254" s="250"/>
      <c r="K254" s="250"/>
      <c r="L254" s="250"/>
      <c r="M254" s="250"/>
    </row>
    <row r="255" ht="15.75" customHeight="1">
      <c r="A255" s="238"/>
      <c r="B255" s="238"/>
      <c r="C255" s="238"/>
      <c r="D255" s="238"/>
      <c r="E255" s="250"/>
      <c r="F255" s="250"/>
      <c r="G255" s="250"/>
      <c r="H255" s="250"/>
      <c r="I255" s="250"/>
      <c r="J255" s="250"/>
      <c r="K255" s="250"/>
      <c r="L255" s="250"/>
      <c r="M255" s="250"/>
    </row>
    <row r="256" ht="15.75" customHeight="1">
      <c r="A256" s="238"/>
      <c r="B256" s="238"/>
      <c r="C256" s="238"/>
      <c r="D256" s="238"/>
      <c r="E256" s="250"/>
      <c r="F256" s="250"/>
      <c r="G256" s="250"/>
      <c r="H256" s="250"/>
      <c r="I256" s="250"/>
      <c r="J256" s="250"/>
      <c r="K256" s="250"/>
      <c r="L256" s="250"/>
      <c r="M256" s="250"/>
    </row>
    <row r="257" ht="15.75" customHeight="1">
      <c r="A257" s="238"/>
      <c r="B257" s="238"/>
      <c r="C257" s="238"/>
      <c r="D257" s="238"/>
      <c r="E257" s="250"/>
      <c r="F257" s="250"/>
      <c r="G257" s="250"/>
      <c r="H257" s="250"/>
      <c r="I257" s="250"/>
      <c r="J257" s="250"/>
      <c r="K257" s="250"/>
      <c r="L257" s="250"/>
      <c r="M257" s="250"/>
    </row>
    <row r="258" ht="15.75" customHeight="1">
      <c r="A258" s="238"/>
      <c r="B258" s="238"/>
      <c r="C258" s="238"/>
      <c r="D258" s="238"/>
      <c r="E258" s="250"/>
      <c r="F258" s="250"/>
      <c r="G258" s="250"/>
      <c r="H258" s="250"/>
      <c r="I258" s="250"/>
      <c r="J258" s="250"/>
      <c r="K258" s="250"/>
      <c r="L258" s="250"/>
      <c r="M258" s="250"/>
    </row>
    <row r="259" ht="15.75" customHeight="1">
      <c r="A259" s="238"/>
      <c r="B259" s="238"/>
      <c r="C259" s="238"/>
      <c r="D259" s="238"/>
      <c r="E259" s="250"/>
      <c r="F259" s="250"/>
      <c r="G259" s="250"/>
      <c r="H259" s="250"/>
      <c r="I259" s="250"/>
      <c r="J259" s="250"/>
      <c r="K259" s="250"/>
      <c r="L259" s="250"/>
      <c r="M259" s="250"/>
    </row>
    <row r="260" ht="15.75" customHeight="1">
      <c r="A260" s="238"/>
      <c r="B260" s="238"/>
      <c r="C260" s="238"/>
      <c r="D260" s="238"/>
      <c r="E260" s="250"/>
      <c r="F260" s="250"/>
      <c r="G260" s="250"/>
      <c r="H260" s="250"/>
      <c r="I260" s="250"/>
      <c r="J260" s="250"/>
      <c r="K260" s="250"/>
      <c r="L260" s="250"/>
      <c r="M260" s="250"/>
    </row>
    <row r="261" ht="15.75" customHeight="1">
      <c r="A261" s="238"/>
      <c r="B261" s="238"/>
      <c r="C261" s="238"/>
      <c r="D261" s="238"/>
      <c r="E261" s="250"/>
      <c r="F261" s="250"/>
      <c r="G261" s="250"/>
      <c r="H261" s="250"/>
      <c r="I261" s="250"/>
      <c r="J261" s="250"/>
      <c r="K261" s="250"/>
      <c r="L261" s="250"/>
      <c r="M261" s="250"/>
    </row>
    <row r="262" ht="15.75" customHeight="1">
      <c r="A262" s="238"/>
      <c r="B262" s="238"/>
      <c r="C262" s="238"/>
      <c r="D262" s="238"/>
      <c r="E262" s="250"/>
      <c r="F262" s="250"/>
      <c r="G262" s="250"/>
      <c r="H262" s="250"/>
      <c r="I262" s="250"/>
      <c r="J262" s="250"/>
      <c r="K262" s="250"/>
      <c r="L262" s="250"/>
      <c r="M262" s="250"/>
    </row>
    <row r="263" ht="15.75" customHeight="1">
      <c r="A263" s="238"/>
      <c r="B263" s="238"/>
      <c r="C263" s="238"/>
      <c r="D263" s="238"/>
      <c r="E263" s="250"/>
      <c r="F263" s="250"/>
      <c r="G263" s="250"/>
      <c r="H263" s="250"/>
      <c r="I263" s="250"/>
      <c r="J263" s="250"/>
      <c r="K263" s="250"/>
      <c r="L263" s="250"/>
      <c r="M263" s="250"/>
    </row>
    <row r="264" ht="15.75" customHeight="1">
      <c r="A264" s="238"/>
      <c r="B264" s="238"/>
      <c r="C264" s="238"/>
      <c r="D264" s="238"/>
      <c r="E264" s="250"/>
      <c r="F264" s="250"/>
      <c r="G264" s="250"/>
      <c r="H264" s="250"/>
      <c r="I264" s="250"/>
      <c r="J264" s="250"/>
      <c r="K264" s="250"/>
      <c r="L264" s="250"/>
      <c r="M264" s="250"/>
    </row>
    <row r="265" ht="15.75" customHeight="1">
      <c r="A265" s="238"/>
      <c r="B265" s="238"/>
      <c r="C265" s="238"/>
      <c r="D265" s="238"/>
      <c r="E265" s="250"/>
      <c r="F265" s="250"/>
      <c r="G265" s="250"/>
      <c r="H265" s="250"/>
      <c r="I265" s="250"/>
      <c r="J265" s="250"/>
      <c r="K265" s="250"/>
      <c r="L265" s="250"/>
      <c r="M265" s="250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480314960629921" footer="0.0" header="0.0" left="0.7086614173228347" right="0.7086614173228347" top="0.7480314960629921"/>
  <pageSetup fitToHeight="0" paperSize="1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F9F9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62.57"/>
    <col customWidth="1" min="2" max="2" width="20.0"/>
    <col customWidth="1" min="3" max="3" width="20.29"/>
    <col customWidth="1" min="4" max="4" width="18.43"/>
    <col customWidth="1" hidden="1" min="5" max="6" width="18.43"/>
    <col customWidth="1" min="7" max="14" width="19.14"/>
    <col customWidth="1" min="15" max="15" width="23.86"/>
  </cols>
  <sheetData>
    <row r="1" ht="26.25" customHeight="1">
      <c r="A1" s="1" t="s">
        <v>0</v>
      </c>
      <c r="B1" s="280"/>
      <c r="C1" s="281"/>
      <c r="D1" s="282"/>
      <c r="E1" s="282"/>
      <c r="F1" s="282"/>
      <c r="G1" s="282"/>
      <c r="H1" s="282"/>
      <c r="I1" s="85"/>
      <c r="J1" s="85"/>
      <c r="K1" s="85"/>
      <c r="L1" s="85"/>
      <c r="M1" s="86"/>
      <c r="N1" s="85"/>
      <c r="O1" s="85"/>
    </row>
    <row r="2" ht="25.5" customHeight="1">
      <c r="A2" s="6" t="s">
        <v>1</v>
      </c>
      <c r="B2" s="283"/>
      <c r="C2" s="281"/>
      <c r="D2" s="282"/>
      <c r="E2" s="282"/>
      <c r="F2" s="282"/>
      <c r="G2" s="282"/>
      <c r="H2" s="282"/>
      <c r="I2" s="85"/>
      <c r="J2" s="181"/>
      <c r="M2" s="86"/>
      <c r="N2" s="85"/>
      <c r="O2" s="85"/>
    </row>
    <row r="3">
      <c r="A3" s="284" t="s">
        <v>551</v>
      </c>
      <c r="B3" s="281"/>
      <c r="C3" s="281"/>
      <c r="D3" s="282"/>
      <c r="E3" s="282"/>
      <c r="F3" s="282"/>
      <c r="G3" s="282"/>
      <c r="H3" s="282"/>
      <c r="I3" s="85"/>
      <c r="M3" s="85"/>
      <c r="N3" s="85"/>
      <c r="O3" s="85"/>
    </row>
    <row r="4">
      <c r="A4" s="284" t="s">
        <v>3</v>
      </c>
      <c r="B4" s="281"/>
      <c r="C4" s="281"/>
      <c r="D4" s="282"/>
      <c r="E4" s="282"/>
      <c r="F4" s="282"/>
      <c r="G4" s="282"/>
      <c r="H4" s="282"/>
      <c r="I4" s="85"/>
      <c r="M4" s="85"/>
      <c r="N4" s="85"/>
      <c r="O4" s="85"/>
    </row>
    <row r="5">
      <c r="A5" s="284" t="s">
        <v>4</v>
      </c>
      <c r="B5" s="281"/>
      <c r="C5" s="281"/>
      <c r="D5" s="282"/>
      <c r="E5" s="282"/>
      <c r="F5" s="282"/>
      <c r="G5" s="282"/>
      <c r="H5" s="282"/>
      <c r="I5" s="85"/>
      <c r="J5" s="85"/>
      <c r="K5" s="85"/>
      <c r="L5" s="85"/>
      <c r="M5" s="85"/>
      <c r="N5" s="85"/>
      <c r="O5" s="85"/>
    </row>
    <row r="6">
      <c r="A6" s="285"/>
      <c r="B6" s="285"/>
      <c r="C6" s="285"/>
      <c r="D6" s="286"/>
      <c r="E6" s="286"/>
      <c r="F6" s="286"/>
      <c r="G6" s="286"/>
      <c r="H6" s="286"/>
      <c r="I6" s="85"/>
      <c r="J6" s="85"/>
      <c r="K6" s="85"/>
      <c r="L6" s="85"/>
      <c r="M6" s="85"/>
      <c r="N6" s="85"/>
      <c r="O6" s="85"/>
    </row>
    <row r="7" ht="32.25" customHeight="1">
      <c r="A7" s="287" t="s">
        <v>5</v>
      </c>
      <c r="B7" s="287" t="s">
        <v>6</v>
      </c>
      <c r="C7" s="185" t="s">
        <v>7</v>
      </c>
      <c r="D7" s="14"/>
      <c r="E7" s="288" t="s">
        <v>74</v>
      </c>
      <c r="F7" s="14"/>
      <c r="G7" s="94" t="s">
        <v>8</v>
      </c>
      <c r="H7" s="14"/>
      <c r="I7" s="95" t="s">
        <v>9</v>
      </c>
      <c r="J7" s="17"/>
      <c r="K7" s="17"/>
      <c r="L7" s="17"/>
      <c r="M7" s="17"/>
      <c r="N7" s="18"/>
      <c r="O7" s="96" t="s">
        <v>552</v>
      </c>
    </row>
    <row r="8">
      <c r="A8" s="20"/>
      <c r="B8" s="20"/>
      <c r="C8" s="21"/>
      <c r="D8" s="22"/>
      <c r="E8" s="21"/>
      <c r="F8" s="22"/>
      <c r="G8" s="21"/>
      <c r="H8" s="22"/>
      <c r="I8" s="95" t="s">
        <v>11</v>
      </c>
      <c r="J8" s="18"/>
      <c r="K8" s="95" t="s">
        <v>12</v>
      </c>
      <c r="L8" s="18"/>
      <c r="M8" s="95" t="s">
        <v>13</v>
      </c>
      <c r="N8" s="18"/>
      <c r="O8" s="20"/>
    </row>
    <row r="9" ht="19.5" customHeight="1">
      <c r="A9" s="20"/>
      <c r="B9" s="20"/>
      <c r="C9" s="186" t="s">
        <v>14</v>
      </c>
      <c r="D9" s="187" t="s">
        <v>15</v>
      </c>
      <c r="E9" s="289" t="s">
        <v>16</v>
      </c>
      <c r="F9" s="22"/>
      <c r="G9" s="94" t="s">
        <v>16</v>
      </c>
      <c r="H9" s="14"/>
      <c r="I9" s="100" t="s">
        <v>17</v>
      </c>
      <c r="J9" s="101" t="s">
        <v>18</v>
      </c>
      <c r="K9" s="100" t="s">
        <v>17</v>
      </c>
      <c r="L9" s="101" t="s">
        <v>18</v>
      </c>
      <c r="M9" s="100" t="s">
        <v>17</v>
      </c>
      <c r="N9" s="101" t="s">
        <v>18</v>
      </c>
      <c r="O9" s="20"/>
    </row>
    <row r="10" ht="88.5" customHeight="1">
      <c r="A10" s="28"/>
      <c r="B10" s="28"/>
      <c r="C10" s="28"/>
      <c r="D10" s="28"/>
      <c r="E10" s="290" t="s">
        <v>76</v>
      </c>
      <c r="F10" s="290" t="s">
        <v>77</v>
      </c>
      <c r="G10" s="104" t="s">
        <v>17</v>
      </c>
      <c r="H10" s="105" t="s">
        <v>18</v>
      </c>
      <c r="I10" s="28"/>
      <c r="J10" s="28"/>
      <c r="K10" s="28"/>
      <c r="L10" s="28"/>
      <c r="M10" s="28"/>
      <c r="N10" s="28"/>
      <c r="O10" s="28"/>
    </row>
    <row r="11" ht="57.75" customHeight="1">
      <c r="A11" s="291" t="s">
        <v>553</v>
      </c>
      <c r="B11" s="292"/>
      <c r="C11" s="293">
        <v>225.0</v>
      </c>
      <c r="D11" s="294">
        <f>SUM(D14:D31)</f>
        <v>8079.6</v>
      </c>
      <c r="E11" s="294"/>
      <c r="F11" s="294"/>
      <c r="G11" s="293"/>
      <c r="H11" s="294">
        <f>SUM(H14:H27)</f>
        <v>369.6</v>
      </c>
      <c r="I11" s="294"/>
      <c r="J11" s="294">
        <f>SUM(J14:J27)</f>
        <v>585</v>
      </c>
      <c r="K11" s="294"/>
      <c r="L11" s="294"/>
      <c r="M11" s="294"/>
      <c r="N11" s="294">
        <f>SUM(N14:N27)</f>
        <v>585</v>
      </c>
      <c r="O11" s="294"/>
    </row>
    <row r="12" ht="64.5" customHeight="1">
      <c r="A12" s="291" t="s">
        <v>554</v>
      </c>
      <c r="B12" s="292"/>
      <c r="C12" s="292"/>
      <c r="D12" s="295"/>
      <c r="E12" s="295"/>
      <c r="F12" s="295"/>
      <c r="G12" s="292"/>
      <c r="H12" s="295"/>
      <c r="I12" s="294"/>
      <c r="J12" s="294"/>
      <c r="K12" s="294"/>
      <c r="L12" s="294"/>
      <c r="M12" s="294"/>
      <c r="N12" s="294"/>
      <c r="O12" s="294"/>
    </row>
    <row r="13" ht="48.0" customHeight="1">
      <c r="A13" s="291" t="s">
        <v>555</v>
      </c>
      <c r="B13" s="292"/>
      <c r="C13" s="292"/>
      <c r="D13" s="295"/>
      <c r="E13" s="295"/>
      <c r="F13" s="295"/>
      <c r="G13" s="292"/>
      <c r="H13" s="295"/>
      <c r="I13" s="294"/>
      <c r="J13" s="294"/>
      <c r="K13" s="294"/>
      <c r="L13" s="294"/>
      <c r="M13" s="294"/>
      <c r="N13" s="294"/>
      <c r="O13" s="294"/>
    </row>
    <row r="14">
      <c r="A14" s="292" t="s">
        <v>556</v>
      </c>
      <c r="B14" s="296" t="s">
        <v>33</v>
      </c>
      <c r="C14" s="297">
        <v>200.0</v>
      </c>
      <c r="D14" s="298">
        <v>186.0</v>
      </c>
      <c r="E14" s="298">
        <v>200.0</v>
      </c>
      <c r="F14" s="298">
        <v>186.0</v>
      </c>
      <c r="G14" s="297">
        <v>200.0</v>
      </c>
      <c r="H14" s="298">
        <v>186.0</v>
      </c>
      <c r="I14" s="299">
        <v>160.0</v>
      </c>
      <c r="J14" s="298">
        <f t="shared" ref="J14:J15" si="1">I14*0.5</f>
        <v>80</v>
      </c>
      <c r="K14" s="294"/>
      <c r="L14" s="294"/>
      <c r="M14" s="299">
        <v>160.0</v>
      </c>
      <c r="N14" s="298">
        <f t="shared" ref="N14:N15" si="2">M14*0.5</f>
        <v>80</v>
      </c>
      <c r="O14" s="294"/>
    </row>
    <row r="15">
      <c r="A15" s="292" t="s">
        <v>557</v>
      </c>
      <c r="B15" s="296" t="s">
        <v>33</v>
      </c>
      <c r="C15" s="297">
        <v>20.0</v>
      </c>
      <c r="D15" s="298">
        <v>18.6</v>
      </c>
      <c r="E15" s="298">
        <v>20.0</v>
      </c>
      <c r="F15" s="298">
        <v>18.6</v>
      </c>
      <c r="G15" s="297">
        <v>20.0</v>
      </c>
      <c r="H15" s="298">
        <v>18.6</v>
      </c>
      <c r="I15" s="299">
        <v>50.0</v>
      </c>
      <c r="J15" s="298">
        <f t="shared" si="1"/>
        <v>25</v>
      </c>
      <c r="K15" s="294"/>
      <c r="L15" s="294"/>
      <c r="M15" s="299">
        <v>50.0</v>
      </c>
      <c r="N15" s="298">
        <f t="shared" si="2"/>
        <v>25</v>
      </c>
      <c r="O15" s="294"/>
    </row>
    <row r="16" ht="35.25" customHeight="1">
      <c r="A16" s="300" t="s">
        <v>558</v>
      </c>
      <c r="B16" s="296" t="s">
        <v>33</v>
      </c>
      <c r="C16" s="292"/>
      <c r="D16" s="295"/>
      <c r="E16" s="295"/>
      <c r="F16" s="295"/>
      <c r="G16" s="292"/>
      <c r="H16" s="295"/>
      <c r="I16" s="299">
        <v>11666.0</v>
      </c>
      <c r="J16" s="299">
        <v>175.0</v>
      </c>
      <c r="K16" s="294"/>
      <c r="L16" s="294"/>
      <c r="M16" s="299">
        <v>11666.0</v>
      </c>
      <c r="N16" s="299">
        <v>175.0</v>
      </c>
      <c r="O16" s="294"/>
    </row>
    <row r="17" ht="75.75" customHeight="1">
      <c r="A17" s="301" t="s">
        <v>559</v>
      </c>
      <c r="B17" s="292"/>
      <c r="C17" s="292"/>
      <c r="D17" s="295"/>
      <c r="E17" s="295"/>
      <c r="F17" s="295"/>
      <c r="G17" s="292"/>
      <c r="H17" s="295"/>
      <c r="I17" s="298"/>
      <c r="J17" s="298"/>
      <c r="K17" s="294"/>
      <c r="L17" s="294"/>
      <c r="M17" s="298"/>
      <c r="N17" s="298"/>
      <c r="O17" s="294"/>
    </row>
    <row r="18">
      <c r="A18" s="302" t="s">
        <v>560</v>
      </c>
      <c r="B18" s="296" t="s">
        <v>33</v>
      </c>
      <c r="C18" s="292"/>
      <c r="D18" s="295"/>
      <c r="E18" s="295"/>
      <c r="F18" s="295"/>
      <c r="G18" s="292"/>
      <c r="H18" s="295"/>
      <c r="I18" s="299">
        <v>500.0</v>
      </c>
      <c r="J18" s="299">
        <v>250.0</v>
      </c>
      <c r="K18" s="294"/>
      <c r="L18" s="294"/>
      <c r="M18" s="299">
        <v>500.0</v>
      </c>
      <c r="N18" s="299">
        <v>250.0</v>
      </c>
      <c r="O18" s="294"/>
    </row>
    <row r="19">
      <c r="A19" s="292"/>
      <c r="B19" s="292"/>
      <c r="C19" s="292"/>
      <c r="D19" s="295"/>
      <c r="E19" s="295"/>
      <c r="F19" s="295"/>
      <c r="G19" s="292"/>
      <c r="H19" s="295"/>
      <c r="I19" s="298"/>
      <c r="J19" s="298"/>
      <c r="K19" s="294"/>
      <c r="L19" s="294"/>
      <c r="M19" s="298"/>
      <c r="N19" s="298"/>
      <c r="O19" s="294"/>
    </row>
    <row r="20" ht="73.5" customHeight="1">
      <c r="A20" s="291" t="s">
        <v>561</v>
      </c>
      <c r="B20" s="296" t="s">
        <v>33</v>
      </c>
      <c r="C20" s="292"/>
      <c r="D20" s="295"/>
      <c r="E20" s="295"/>
      <c r="F20" s="295"/>
      <c r="G20" s="292"/>
      <c r="H20" s="295"/>
      <c r="I20" s="298"/>
      <c r="J20" s="298"/>
      <c r="K20" s="294"/>
      <c r="L20" s="294"/>
      <c r="M20" s="298"/>
      <c r="N20" s="298"/>
      <c r="O20" s="294"/>
    </row>
    <row r="21">
      <c r="A21" s="292" t="s">
        <v>562</v>
      </c>
      <c r="B21" s="296" t="s">
        <v>33</v>
      </c>
      <c r="C21" s="297">
        <v>5.0</v>
      </c>
      <c r="D21" s="298">
        <v>275.0</v>
      </c>
      <c r="E21" s="298">
        <v>5.0</v>
      </c>
      <c r="F21" s="298">
        <v>275.0</v>
      </c>
      <c r="G21" s="297">
        <v>3.0</v>
      </c>
      <c r="H21" s="298">
        <f>G21*55</f>
        <v>165</v>
      </c>
      <c r="I21" s="299">
        <v>1.0</v>
      </c>
      <c r="J21" s="299">
        <v>55.0</v>
      </c>
      <c r="K21" s="294"/>
      <c r="L21" s="294"/>
      <c r="M21" s="299">
        <v>1.0</v>
      </c>
      <c r="N21" s="299">
        <v>55.0</v>
      </c>
      <c r="O21" s="294"/>
    </row>
    <row r="22" ht="15.75" customHeight="1">
      <c r="A22" s="292"/>
      <c r="B22" s="292"/>
      <c r="C22" s="292"/>
      <c r="D22" s="295"/>
      <c r="E22" s="295"/>
      <c r="F22" s="295"/>
      <c r="G22" s="292"/>
      <c r="H22" s="295"/>
      <c r="I22" s="298"/>
      <c r="J22" s="298"/>
      <c r="K22" s="294"/>
      <c r="L22" s="294"/>
      <c r="M22" s="298"/>
      <c r="N22" s="298"/>
      <c r="O22" s="294"/>
    </row>
    <row r="23" ht="43.5" customHeight="1">
      <c r="A23" s="303" t="s">
        <v>563</v>
      </c>
      <c r="B23" s="292"/>
      <c r="C23" s="292"/>
      <c r="D23" s="295"/>
      <c r="E23" s="295"/>
      <c r="F23" s="295"/>
      <c r="G23" s="292"/>
      <c r="H23" s="295"/>
      <c r="I23" s="298"/>
      <c r="J23" s="298"/>
      <c r="K23" s="294"/>
      <c r="L23" s="294"/>
      <c r="M23" s="298"/>
      <c r="N23" s="298"/>
      <c r="O23" s="294"/>
    </row>
    <row r="24" ht="27.0" customHeight="1">
      <c r="A24" s="292" t="s">
        <v>564</v>
      </c>
      <c r="B24" s="296" t="s">
        <v>565</v>
      </c>
      <c r="C24" s="292"/>
      <c r="D24" s="295"/>
      <c r="E24" s="295"/>
      <c r="F24" s="295"/>
      <c r="G24" s="292"/>
      <c r="H24" s="295"/>
      <c r="I24" s="298"/>
      <c r="J24" s="298"/>
      <c r="K24" s="294"/>
      <c r="L24" s="294"/>
      <c r="M24" s="298"/>
      <c r="N24" s="298"/>
      <c r="O24" s="294"/>
    </row>
    <row r="25" ht="27.75" customHeight="1">
      <c r="A25" s="292" t="s">
        <v>566</v>
      </c>
      <c r="B25" s="292"/>
      <c r="C25" s="292"/>
      <c r="D25" s="295"/>
      <c r="E25" s="295"/>
      <c r="F25" s="295"/>
      <c r="G25" s="292"/>
      <c r="H25" s="295"/>
      <c r="I25" s="298"/>
      <c r="J25" s="298"/>
      <c r="K25" s="294"/>
      <c r="L25" s="294"/>
      <c r="M25" s="298"/>
      <c r="N25" s="298"/>
      <c r="O25" s="294"/>
    </row>
    <row r="26" ht="31.5" customHeight="1">
      <c r="A26" s="292" t="s">
        <v>567</v>
      </c>
      <c r="B26" s="296" t="s">
        <v>33</v>
      </c>
      <c r="C26" s="304"/>
      <c r="D26" s="305"/>
      <c r="E26" s="305"/>
      <c r="F26" s="305"/>
      <c r="G26" s="292"/>
      <c r="H26" s="295"/>
      <c r="I26" s="298"/>
      <c r="J26" s="298"/>
      <c r="K26" s="294"/>
      <c r="L26" s="294"/>
      <c r="M26" s="298"/>
      <c r="N26" s="298"/>
      <c r="O26" s="294"/>
    </row>
    <row r="27" ht="34.5" customHeight="1">
      <c r="A27" s="292" t="s">
        <v>568</v>
      </c>
      <c r="B27" s="296" t="s">
        <v>33</v>
      </c>
      <c r="C27" s="292"/>
      <c r="D27" s="305"/>
      <c r="E27" s="305"/>
      <c r="F27" s="305"/>
      <c r="G27" s="292"/>
      <c r="H27" s="295"/>
      <c r="I27" s="298"/>
      <c r="J27" s="298"/>
      <c r="K27" s="294"/>
      <c r="L27" s="294"/>
      <c r="M27" s="298"/>
      <c r="N27" s="298"/>
      <c r="O27" s="294"/>
    </row>
    <row r="28" ht="31.5" customHeight="1">
      <c r="A28" s="292" t="s">
        <v>569</v>
      </c>
      <c r="B28" s="296" t="s">
        <v>33</v>
      </c>
      <c r="C28" s="292"/>
      <c r="D28" s="295"/>
      <c r="E28" s="295"/>
      <c r="F28" s="295"/>
      <c r="G28" s="292"/>
      <c r="H28" s="295"/>
      <c r="I28" s="298"/>
      <c r="J28" s="298"/>
      <c r="K28" s="294"/>
      <c r="L28" s="294"/>
      <c r="M28" s="298"/>
      <c r="N28" s="298"/>
      <c r="O28" s="294"/>
    </row>
    <row r="29" ht="37.5" customHeight="1">
      <c r="A29" s="306" t="s">
        <v>570</v>
      </c>
      <c r="B29" s="296"/>
      <c r="C29" s="307"/>
      <c r="D29" s="308"/>
      <c r="E29" s="308"/>
      <c r="F29" s="308"/>
      <c r="G29" s="307"/>
      <c r="H29" s="308"/>
      <c r="I29" s="298"/>
      <c r="J29" s="298"/>
      <c r="K29" s="294"/>
      <c r="L29" s="294"/>
      <c r="M29" s="298"/>
      <c r="N29" s="298"/>
      <c r="O29" s="294"/>
    </row>
    <row r="30" ht="31.5" customHeight="1">
      <c r="A30" s="306" t="s">
        <v>571</v>
      </c>
      <c r="B30" s="296" t="s">
        <v>33</v>
      </c>
      <c r="C30" s="307">
        <v>1.0</v>
      </c>
      <c r="D30" s="308">
        <v>3000.0</v>
      </c>
      <c r="E30" s="308"/>
      <c r="F30" s="308"/>
      <c r="G30" s="307"/>
      <c r="H30" s="308"/>
      <c r="I30" s="298"/>
      <c r="J30" s="298"/>
      <c r="K30" s="294"/>
      <c r="L30" s="294"/>
      <c r="M30" s="298"/>
      <c r="N30" s="298"/>
      <c r="O30" s="294"/>
    </row>
    <row r="31" ht="34.5" customHeight="1">
      <c r="A31" s="292" t="s">
        <v>572</v>
      </c>
      <c r="B31" s="296" t="s">
        <v>33</v>
      </c>
      <c r="C31" s="307">
        <v>1.0</v>
      </c>
      <c r="D31" s="308">
        <v>4600.0</v>
      </c>
      <c r="E31" s="308"/>
      <c r="F31" s="308"/>
      <c r="G31" s="292"/>
      <c r="H31" s="295"/>
      <c r="I31" s="298"/>
      <c r="J31" s="298"/>
      <c r="K31" s="294"/>
      <c r="L31" s="294"/>
      <c r="M31" s="298"/>
      <c r="N31" s="298"/>
      <c r="O31" s="294"/>
    </row>
    <row r="32" ht="69.0" customHeight="1">
      <c r="A32" s="291" t="s">
        <v>539</v>
      </c>
      <c r="B32" s="292"/>
      <c r="C32" s="309"/>
      <c r="D32" s="309">
        <f>D33</f>
        <v>2700</v>
      </c>
      <c r="E32" s="309"/>
      <c r="F32" s="309"/>
      <c r="G32" s="291"/>
      <c r="H32" s="309">
        <f>H33</f>
        <v>2500</v>
      </c>
      <c r="I32" s="298"/>
      <c r="J32" s="309">
        <f>J33</f>
        <v>13300</v>
      </c>
      <c r="K32" s="294"/>
      <c r="L32" s="294"/>
      <c r="M32" s="298"/>
      <c r="N32" s="309">
        <f>N33</f>
        <v>13300</v>
      </c>
      <c r="O32" s="294"/>
    </row>
    <row r="33" ht="48.75" customHeight="1">
      <c r="A33" s="291" t="s">
        <v>573</v>
      </c>
      <c r="B33" s="292"/>
      <c r="C33" s="310"/>
      <c r="D33" s="310">
        <f>SUM(D36:D41)</f>
        <v>2700</v>
      </c>
      <c r="E33" s="310"/>
      <c r="F33" s="310"/>
      <c r="G33" s="291"/>
      <c r="H33" s="309">
        <f>H42+H44</f>
        <v>2500</v>
      </c>
      <c r="I33" s="298"/>
      <c r="J33" s="309">
        <f>sum(J36:J42)</f>
        <v>13300</v>
      </c>
      <c r="K33" s="294"/>
      <c r="L33" s="294"/>
      <c r="M33" s="298"/>
      <c r="N33" s="309">
        <f>sum(N36:N42)</f>
        <v>13300</v>
      </c>
      <c r="O33" s="294"/>
    </row>
    <row r="34" ht="30.75" customHeight="1">
      <c r="A34" s="291" t="s">
        <v>574</v>
      </c>
      <c r="B34" s="296" t="s">
        <v>33</v>
      </c>
      <c r="C34" s="292"/>
      <c r="D34" s="295"/>
      <c r="E34" s="295"/>
      <c r="F34" s="295"/>
      <c r="G34" s="292"/>
      <c r="H34" s="295"/>
      <c r="I34" s="298"/>
      <c r="J34" s="298"/>
      <c r="K34" s="294"/>
      <c r="L34" s="294"/>
      <c r="M34" s="298"/>
      <c r="N34" s="298"/>
      <c r="O34" s="294"/>
    </row>
    <row r="35" ht="58.5" customHeight="1">
      <c r="A35" s="292" t="s">
        <v>575</v>
      </c>
      <c r="B35" s="296" t="s">
        <v>33</v>
      </c>
      <c r="C35" s="292"/>
      <c r="D35" s="295"/>
      <c r="E35" s="295"/>
      <c r="F35" s="295"/>
      <c r="G35" s="292"/>
      <c r="H35" s="295"/>
      <c r="I35" s="298"/>
      <c r="J35" s="298"/>
      <c r="K35" s="294"/>
      <c r="L35" s="294"/>
      <c r="M35" s="298"/>
      <c r="N35" s="298"/>
      <c r="O35" s="294"/>
    </row>
    <row r="36" ht="51.75" customHeight="1">
      <c r="A36" s="306" t="s">
        <v>576</v>
      </c>
      <c r="B36" s="311" t="s">
        <v>33</v>
      </c>
      <c r="C36" s="307">
        <v>1.0</v>
      </c>
      <c r="D36" s="308">
        <v>2700.0</v>
      </c>
      <c r="E36" s="308"/>
      <c r="F36" s="308"/>
      <c r="G36" s="306"/>
      <c r="H36" s="44"/>
      <c r="I36" s="299">
        <v>2.0</v>
      </c>
      <c r="J36" s="299">
        <v>5400.0</v>
      </c>
      <c r="K36" s="294"/>
      <c r="L36" s="294"/>
      <c r="M36" s="299">
        <v>2.0</v>
      </c>
      <c r="N36" s="299">
        <v>5400.0</v>
      </c>
      <c r="O36" s="312" t="s">
        <v>577</v>
      </c>
    </row>
    <row r="37" ht="39.75" customHeight="1">
      <c r="A37" s="292" t="s">
        <v>578</v>
      </c>
      <c r="B37" s="296" t="s">
        <v>33</v>
      </c>
      <c r="C37" s="304"/>
      <c r="D37" s="305"/>
      <c r="E37" s="305"/>
      <c r="F37" s="305"/>
      <c r="G37" s="292"/>
      <c r="H37" s="295"/>
      <c r="I37" s="294"/>
      <c r="J37" s="294"/>
      <c r="K37" s="294"/>
      <c r="L37" s="294"/>
      <c r="M37" s="294"/>
      <c r="N37" s="294"/>
      <c r="O37" s="294"/>
    </row>
    <row r="38" ht="42.0" customHeight="1">
      <c r="A38" s="292" t="s">
        <v>579</v>
      </c>
      <c r="B38" s="296" t="s">
        <v>33</v>
      </c>
      <c r="C38" s="292"/>
      <c r="D38" s="295"/>
      <c r="E38" s="295"/>
      <c r="F38" s="295"/>
      <c r="G38" s="307"/>
      <c r="H38" s="308"/>
      <c r="I38" s="294"/>
      <c r="J38" s="294"/>
      <c r="K38" s="294"/>
      <c r="L38" s="294"/>
      <c r="M38" s="294"/>
      <c r="N38" s="294"/>
      <c r="O38" s="294"/>
    </row>
    <row r="39" ht="39.75" customHeight="1">
      <c r="A39" s="306" t="s">
        <v>571</v>
      </c>
      <c r="B39" s="296" t="s">
        <v>33</v>
      </c>
      <c r="C39" s="307"/>
      <c r="D39" s="308"/>
      <c r="E39" s="308"/>
      <c r="F39" s="308"/>
      <c r="G39" s="307"/>
      <c r="H39" s="308"/>
      <c r="I39" s="294"/>
      <c r="J39" s="294"/>
      <c r="K39" s="294"/>
      <c r="L39" s="294"/>
      <c r="M39" s="294"/>
      <c r="N39" s="294"/>
      <c r="O39" s="294"/>
    </row>
    <row r="40" ht="36.0" customHeight="1">
      <c r="A40" s="292" t="s">
        <v>580</v>
      </c>
      <c r="B40" s="296" t="s">
        <v>33</v>
      </c>
      <c r="C40" s="292"/>
      <c r="D40" s="295"/>
      <c r="E40" s="295"/>
      <c r="F40" s="295"/>
      <c r="G40" s="292"/>
      <c r="H40" s="295"/>
      <c r="I40" s="294"/>
      <c r="J40" s="294"/>
      <c r="K40" s="294"/>
      <c r="L40" s="294"/>
      <c r="M40" s="294"/>
      <c r="N40" s="294"/>
      <c r="O40" s="294"/>
    </row>
    <row r="41" ht="42.75" customHeight="1">
      <c r="A41" s="313" t="s">
        <v>581</v>
      </c>
      <c r="B41" s="296" t="s">
        <v>33</v>
      </c>
      <c r="C41" s="307"/>
      <c r="D41" s="308"/>
      <c r="E41" s="308"/>
      <c r="F41" s="308"/>
      <c r="G41" s="292"/>
      <c r="H41" s="295"/>
      <c r="I41" s="299">
        <v>2.0</v>
      </c>
      <c r="J41" s="299">
        <v>5400.0</v>
      </c>
      <c r="K41" s="294"/>
      <c r="L41" s="294"/>
      <c r="M41" s="299">
        <v>2.0</v>
      </c>
      <c r="N41" s="299">
        <v>5400.0</v>
      </c>
      <c r="O41" s="314" t="s">
        <v>582</v>
      </c>
    </row>
    <row r="42" ht="36.0" customHeight="1">
      <c r="A42" s="292" t="s">
        <v>583</v>
      </c>
      <c r="B42" s="296" t="s">
        <v>33</v>
      </c>
      <c r="C42" s="292"/>
      <c r="D42" s="295"/>
      <c r="E42" s="295"/>
      <c r="F42" s="295"/>
      <c r="G42" s="292">
        <v>1.0</v>
      </c>
      <c r="H42" s="295">
        <v>2500.0</v>
      </c>
      <c r="I42" s="299">
        <v>1.0</v>
      </c>
      <c r="J42" s="299">
        <v>2500.0</v>
      </c>
      <c r="K42" s="294"/>
      <c r="L42" s="294"/>
      <c r="M42" s="299">
        <v>1.0</v>
      </c>
      <c r="N42" s="299">
        <v>2500.0</v>
      </c>
      <c r="O42" s="314" t="s">
        <v>85</v>
      </c>
    </row>
    <row r="43" ht="28.5" customHeight="1">
      <c r="A43" s="292" t="s">
        <v>584</v>
      </c>
      <c r="B43" s="296" t="s">
        <v>33</v>
      </c>
      <c r="C43" s="292" t="s">
        <v>585</v>
      </c>
      <c r="D43" s="295"/>
      <c r="E43" s="295"/>
      <c r="F43" s="295"/>
      <c r="G43" s="292"/>
      <c r="H43" s="295"/>
      <c r="I43" s="294"/>
      <c r="J43" s="294"/>
      <c r="K43" s="294"/>
      <c r="L43" s="294"/>
      <c r="M43" s="294"/>
      <c r="N43" s="294"/>
      <c r="O43" s="294"/>
    </row>
    <row r="44" ht="33.0" customHeight="1">
      <c r="A44" s="292"/>
      <c r="B44" s="296"/>
      <c r="C44" s="292"/>
      <c r="D44" s="295"/>
      <c r="E44" s="295"/>
      <c r="F44" s="295"/>
      <c r="G44" s="292"/>
      <c r="H44" s="295"/>
      <c r="I44" s="294"/>
      <c r="J44" s="294"/>
      <c r="K44" s="294"/>
      <c r="L44" s="294"/>
      <c r="M44" s="294"/>
      <c r="N44" s="294"/>
      <c r="O44" s="294"/>
    </row>
    <row r="45" ht="36.75" customHeight="1">
      <c r="A45" s="315" t="s">
        <v>63</v>
      </c>
      <c r="B45" s="292"/>
      <c r="C45" s="316"/>
      <c r="D45" s="317">
        <f>D33+D11</f>
        <v>10779.6</v>
      </c>
      <c r="E45" s="317"/>
      <c r="F45" s="317"/>
      <c r="G45" s="316"/>
      <c r="H45" s="318">
        <f>H32+H11</f>
        <v>2869.6</v>
      </c>
      <c r="I45" s="294"/>
      <c r="J45" s="318">
        <f>J32+J11</f>
        <v>13885</v>
      </c>
      <c r="K45" s="294"/>
      <c r="L45" s="312">
        <v>0.0</v>
      </c>
      <c r="M45" s="294"/>
      <c r="N45" s="318">
        <f>N32+N11</f>
        <v>13885</v>
      </c>
      <c r="O45" s="294"/>
    </row>
    <row r="46" ht="15.75" hidden="1" customHeight="1">
      <c r="A46" s="319"/>
      <c r="B46" s="320"/>
      <c r="C46" s="285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</row>
    <row r="47" ht="15.75" hidden="1" customHeight="1">
      <c r="A47" s="285"/>
      <c r="B47" s="285"/>
      <c r="C47" s="285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</row>
    <row r="48" ht="15.75" hidden="1" customHeight="1">
      <c r="A48" s="321" t="s">
        <v>64</v>
      </c>
      <c r="B48" s="64"/>
      <c r="C48" s="76" t="s">
        <v>550</v>
      </c>
      <c r="D48" s="322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</row>
    <row r="49" ht="15.75" hidden="1" customHeight="1">
      <c r="A49" s="323"/>
      <c r="B49" s="324"/>
      <c r="C49" s="323"/>
      <c r="D49" s="322"/>
      <c r="E49" s="322"/>
      <c r="F49" s="322"/>
      <c r="G49" s="322"/>
      <c r="H49" s="322"/>
      <c r="I49" s="322"/>
      <c r="J49" s="322"/>
      <c r="K49" s="322"/>
      <c r="L49" s="322"/>
      <c r="M49" s="322"/>
      <c r="N49" s="322"/>
      <c r="O49" s="322"/>
    </row>
    <row r="50" ht="15.75" hidden="1" customHeight="1">
      <c r="A50" s="323"/>
      <c r="B50" s="324"/>
      <c r="C50" s="323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</row>
    <row r="51" ht="15.75" hidden="1" customHeight="1">
      <c r="A51" s="323"/>
      <c r="B51" s="324"/>
      <c r="C51" s="323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</row>
    <row r="52" ht="15.75" hidden="1" customHeight="1">
      <c r="A52" s="323"/>
      <c r="B52" s="323"/>
      <c r="C52" s="323"/>
      <c r="D52" s="322"/>
      <c r="E52" s="322"/>
      <c r="F52" s="322"/>
      <c r="G52" s="322"/>
      <c r="H52" s="322"/>
      <c r="I52" s="322"/>
      <c r="J52" s="322"/>
      <c r="K52" s="322"/>
      <c r="L52" s="322"/>
      <c r="M52" s="322"/>
      <c r="N52" s="322"/>
      <c r="O52" s="322"/>
    </row>
    <row r="53" ht="21.0" hidden="1" customHeight="1">
      <c r="A53" s="325" t="s">
        <v>67</v>
      </c>
      <c r="B53" s="326"/>
      <c r="C53" s="325" t="s">
        <v>69</v>
      </c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</row>
    <row r="54" ht="15.75" hidden="1" customHeight="1">
      <c r="A54" s="76" t="s">
        <v>68</v>
      </c>
      <c r="B54" s="326"/>
      <c r="C54" s="76" t="s">
        <v>71</v>
      </c>
      <c r="D54" s="322"/>
      <c r="E54" s="322"/>
      <c r="F54" s="322"/>
      <c r="G54" s="322"/>
      <c r="H54" s="322"/>
      <c r="I54" s="322"/>
      <c r="J54" s="322"/>
      <c r="K54" s="322"/>
      <c r="L54" s="322"/>
      <c r="M54" s="322"/>
      <c r="N54" s="322"/>
      <c r="O54" s="322"/>
    </row>
    <row r="55" ht="20.25" customHeight="1">
      <c r="A55" s="76"/>
      <c r="B55" s="327"/>
      <c r="C55" s="327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</row>
    <row r="56" ht="15.75" customHeight="1">
      <c r="A56" s="326"/>
      <c r="B56" s="249"/>
      <c r="C56" s="249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</row>
    <row r="57">
      <c r="A57" s="270" t="s">
        <v>64</v>
      </c>
      <c r="B57" s="277"/>
      <c r="D57" s="65" t="s">
        <v>65</v>
      </c>
      <c r="E57" s="170"/>
      <c r="H57" s="65" t="s">
        <v>66</v>
      </c>
      <c r="I57" s="171"/>
      <c r="J57" s="286"/>
      <c r="K57" s="286"/>
      <c r="L57" s="286"/>
      <c r="M57" s="286"/>
      <c r="N57" s="286"/>
      <c r="O57" s="286"/>
    </row>
    <row r="58" ht="15.75" customHeight="1">
      <c r="A58" s="278"/>
      <c r="B58" s="277"/>
      <c r="D58" s="86"/>
      <c r="E58" s="170"/>
      <c r="H58" s="86"/>
      <c r="I58" s="171"/>
      <c r="J58" s="286"/>
      <c r="K58" s="286"/>
      <c r="L58" s="286"/>
      <c r="M58" s="286"/>
      <c r="N58" s="286"/>
      <c r="O58" s="286"/>
    </row>
    <row r="59" ht="15.75" customHeight="1">
      <c r="A59" s="278"/>
      <c r="B59" s="277"/>
      <c r="D59" s="86"/>
      <c r="E59" s="170"/>
      <c r="H59" s="86"/>
      <c r="I59" s="171"/>
      <c r="J59" s="286"/>
      <c r="K59" s="286"/>
      <c r="L59" s="286"/>
      <c r="M59" s="286"/>
      <c r="N59" s="286"/>
      <c r="O59" s="286"/>
    </row>
    <row r="60">
      <c r="A60" s="71" t="s">
        <v>67</v>
      </c>
      <c r="B60" s="277"/>
      <c r="D60" s="72" t="s">
        <v>69</v>
      </c>
      <c r="E60" s="174"/>
      <c r="H60" s="72" t="s">
        <v>70</v>
      </c>
      <c r="I60" s="171"/>
      <c r="J60" s="286"/>
      <c r="K60" s="286"/>
      <c r="L60" s="286"/>
      <c r="M60" s="286"/>
      <c r="N60" s="286"/>
      <c r="O60" s="286"/>
    </row>
    <row r="61">
      <c r="A61" s="270" t="s">
        <v>68</v>
      </c>
      <c r="B61" s="277"/>
      <c r="C61" s="247"/>
      <c r="D61" s="65" t="s">
        <v>71</v>
      </c>
      <c r="E61" s="87"/>
      <c r="H61" s="65" t="s">
        <v>72</v>
      </c>
      <c r="I61" s="171"/>
      <c r="J61" s="286"/>
      <c r="K61" s="286"/>
      <c r="L61" s="286"/>
      <c r="M61" s="286"/>
      <c r="N61" s="286"/>
      <c r="O61" s="286"/>
    </row>
    <row r="62" ht="15.75" customHeight="1">
      <c r="A62" s="285"/>
      <c r="B62" s="285"/>
      <c r="C62" s="285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</row>
    <row r="63" ht="15.75" customHeight="1">
      <c r="A63" s="285"/>
      <c r="B63" s="285"/>
      <c r="C63" s="285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</row>
    <row r="64" ht="15.75" customHeight="1">
      <c r="A64" s="285"/>
      <c r="B64" s="285"/>
      <c r="C64" s="285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</row>
    <row r="65" ht="15.75" customHeight="1">
      <c r="A65" s="285"/>
      <c r="B65" s="285"/>
      <c r="C65" s="285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</row>
    <row r="66" ht="15.75" customHeight="1">
      <c r="A66" s="285"/>
      <c r="B66" s="285"/>
      <c r="C66" s="285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</row>
    <row r="67" ht="15.75" customHeight="1">
      <c r="A67" s="285"/>
      <c r="B67" s="285"/>
      <c r="C67" s="285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</row>
    <row r="68" ht="15.75" customHeight="1">
      <c r="A68" s="285"/>
      <c r="B68" s="285"/>
      <c r="C68" s="285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</row>
    <row r="69" ht="15.75" customHeight="1">
      <c r="A69" s="285"/>
      <c r="B69" s="285"/>
      <c r="C69" s="285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</row>
    <row r="70" ht="15.75" customHeight="1">
      <c r="A70" s="285"/>
      <c r="B70" s="285"/>
      <c r="C70" s="285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</row>
    <row r="71" ht="15.75" customHeight="1">
      <c r="A71" s="285"/>
      <c r="B71" s="285"/>
      <c r="C71" s="285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</row>
    <row r="72" ht="15.75" customHeight="1">
      <c r="A72" s="285"/>
      <c r="B72" s="285"/>
      <c r="C72" s="285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</row>
    <row r="73" ht="15.75" customHeight="1">
      <c r="A73" s="285"/>
      <c r="B73" s="285"/>
      <c r="C73" s="285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</row>
    <row r="74" ht="15.75" customHeight="1">
      <c r="A74" s="285"/>
      <c r="B74" s="285"/>
      <c r="C74" s="285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</row>
    <row r="75" ht="15.75" customHeight="1">
      <c r="A75" s="285"/>
      <c r="B75" s="285"/>
      <c r="C75" s="285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</row>
    <row r="76" ht="15.75" customHeight="1">
      <c r="A76" s="285"/>
      <c r="B76" s="285"/>
      <c r="C76" s="285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</row>
    <row r="77" ht="15.75" customHeight="1">
      <c r="A77" s="285"/>
      <c r="B77" s="285"/>
      <c r="C77" s="285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</row>
    <row r="78" ht="15.75" customHeight="1">
      <c r="A78" s="285"/>
      <c r="B78" s="285"/>
      <c r="C78" s="285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</row>
    <row r="79" ht="15.75" customHeight="1">
      <c r="A79" s="285"/>
      <c r="B79" s="285"/>
      <c r="C79" s="285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</row>
    <row r="80" ht="15.75" customHeight="1">
      <c r="A80" s="285"/>
      <c r="B80" s="285"/>
      <c r="C80" s="285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</row>
    <row r="81" ht="15.75" customHeight="1">
      <c r="A81" s="285"/>
      <c r="B81" s="285"/>
      <c r="C81" s="285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</row>
    <row r="82" ht="15.75" customHeight="1">
      <c r="A82" s="285"/>
      <c r="B82" s="285"/>
      <c r="C82" s="285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</row>
    <row r="83" ht="15.75" customHeight="1">
      <c r="A83" s="285"/>
      <c r="B83" s="285"/>
      <c r="C83" s="285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</row>
    <row r="84" ht="15.75" customHeight="1">
      <c r="A84" s="285"/>
      <c r="B84" s="285"/>
      <c r="C84" s="285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</row>
    <row r="85" ht="15.75" customHeight="1">
      <c r="A85" s="285"/>
      <c r="B85" s="285"/>
      <c r="C85" s="285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</row>
    <row r="86" ht="15.75" customHeight="1">
      <c r="A86" s="285"/>
      <c r="B86" s="285"/>
      <c r="C86" s="285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</row>
    <row r="87" ht="15.75" customHeight="1">
      <c r="A87" s="285"/>
      <c r="B87" s="285"/>
      <c r="C87" s="285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</row>
    <row r="88" ht="15.75" customHeight="1">
      <c r="A88" s="285"/>
      <c r="B88" s="285"/>
      <c r="C88" s="285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</row>
    <row r="89" ht="15.75" customHeight="1">
      <c r="A89" s="285"/>
      <c r="B89" s="285"/>
      <c r="C89" s="285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</row>
    <row r="90" ht="15.75" customHeight="1">
      <c r="A90" s="285"/>
      <c r="B90" s="285"/>
      <c r="C90" s="285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</row>
    <row r="91" ht="15.75" customHeight="1">
      <c r="A91" s="285"/>
      <c r="B91" s="285"/>
      <c r="C91" s="285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</row>
    <row r="92" ht="15.75" customHeight="1">
      <c r="A92" s="285"/>
      <c r="B92" s="285"/>
      <c r="C92" s="285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</row>
    <row r="93" ht="15.75" customHeight="1">
      <c r="A93" s="285"/>
      <c r="B93" s="285"/>
      <c r="C93" s="285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</row>
    <row r="94" ht="15.75" customHeight="1">
      <c r="A94" s="285"/>
      <c r="B94" s="285"/>
      <c r="C94" s="285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</row>
    <row r="95" ht="15.75" customHeight="1">
      <c r="A95" s="285"/>
      <c r="B95" s="285"/>
      <c r="C95" s="285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</row>
    <row r="96" ht="15.75" customHeight="1">
      <c r="A96" s="285"/>
      <c r="B96" s="285"/>
      <c r="C96" s="285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</row>
    <row r="97" ht="15.75" customHeight="1">
      <c r="A97" s="285"/>
      <c r="B97" s="285"/>
      <c r="C97" s="285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</row>
    <row r="98" ht="15.75" customHeight="1">
      <c r="A98" s="285"/>
      <c r="B98" s="285"/>
      <c r="C98" s="285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6"/>
    </row>
    <row r="99" ht="15.75" customHeight="1">
      <c r="A99" s="285"/>
      <c r="B99" s="285"/>
      <c r="C99" s="285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</row>
    <row r="100" ht="15.75" customHeight="1">
      <c r="A100" s="285"/>
      <c r="B100" s="285"/>
      <c r="C100" s="285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</row>
    <row r="101" ht="15.75" customHeight="1">
      <c r="A101" s="285"/>
      <c r="B101" s="285"/>
      <c r="C101" s="285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</row>
    <row r="102" ht="15.75" customHeight="1">
      <c r="A102" s="285"/>
      <c r="B102" s="285"/>
      <c r="C102" s="285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</row>
    <row r="103" ht="15.75" customHeight="1">
      <c r="A103" s="285"/>
      <c r="B103" s="285"/>
      <c r="C103" s="285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</row>
    <row r="104" ht="15.75" customHeight="1">
      <c r="A104" s="285"/>
      <c r="B104" s="285"/>
      <c r="C104" s="285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6"/>
    </row>
    <row r="105" ht="15.75" customHeight="1">
      <c r="A105" s="285"/>
      <c r="B105" s="285"/>
      <c r="C105" s="285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</row>
    <row r="106" ht="15.75" customHeight="1">
      <c r="A106" s="285"/>
      <c r="B106" s="285"/>
      <c r="C106" s="285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</row>
    <row r="107" ht="15.75" customHeight="1">
      <c r="A107" s="285"/>
      <c r="B107" s="285"/>
      <c r="C107" s="285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</row>
    <row r="108" ht="15.75" customHeight="1">
      <c r="A108" s="285"/>
      <c r="B108" s="285"/>
      <c r="C108" s="285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</row>
    <row r="109" ht="15.75" customHeight="1">
      <c r="A109" s="285"/>
      <c r="B109" s="285"/>
      <c r="C109" s="285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</row>
    <row r="110" ht="15.75" customHeight="1">
      <c r="A110" s="285"/>
      <c r="B110" s="285"/>
      <c r="C110" s="285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6"/>
    </row>
    <row r="111" ht="15.75" customHeight="1">
      <c r="A111" s="285"/>
      <c r="B111" s="285"/>
      <c r="C111" s="285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</row>
    <row r="112" ht="15.75" customHeight="1">
      <c r="A112" s="285"/>
      <c r="B112" s="285"/>
      <c r="C112" s="285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</row>
    <row r="113" ht="15.75" customHeight="1">
      <c r="A113" s="285"/>
      <c r="B113" s="285"/>
      <c r="C113" s="285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</row>
    <row r="114" ht="15.75" customHeight="1">
      <c r="A114" s="285"/>
      <c r="B114" s="285"/>
      <c r="C114" s="285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</row>
    <row r="115" ht="15.75" customHeight="1">
      <c r="A115" s="285"/>
      <c r="B115" s="285"/>
      <c r="C115" s="285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</row>
    <row r="116" ht="15.75" customHeight="1">
      <c r="A116" s="285"/>
      <c r="B116" s="285"/>
      <c r="C116" s="285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</row>
    <row r="117" ht="15.75" customHeight="1">
      <c r="A117" s="285"/>
      <c r="B117" s="285"/>
      <c r="C117" s="285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6"/>
    </row>
    <row r="118" ht="15.75" customHeight="1">
      <c r="A118" s="285"/>
      <c r="B118" s="285"/>
      <c r="C118" s="285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</row>
    <row r="119" ht="15.75" customHeight="1">
      <c r="A119" s="285"/>
      <c r="B119" s="285"/>
      <c r="C119" s="285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</row>
    <row r="120" ht="15.75" customHeight="1">
      <c r="A120" s="285"/>
      <c r="B120" s="285"/>
      <c r="C120" s="285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</row>
    <row r="121" ht="15.75" customHeight="1">
      <c r="A121" s="285"/>
      <c r="B121" s="285"/>
      <c r="C121" s="285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6"/>
    </row>
    <row r="122" ht="15.75" customHeight="1">
      <c r="A122" s="285"/>
      <c r="B122" s="285"/>
      <c r="C122" s="285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</row>
    <row r="123" ht="15.75" customHeight="1">
      <c r="A123" s="285"/>
      <c r="B123" s="285"/>
      <c r="C123" s="285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</row>
    <row r="124" ht="15.75" customHeight="1">
      <c r="A124" s="285"/>
      <c r="B124" s="285"/>
      <c r="C124" s="285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</row>
    <row r="125" ht="15.75" customHeight="1">
      <c r="A125" s="285"/>
      <c r="B125" s="285"/>
      <c r="C125" s="285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</row>
    <row r="126" ht="15.75" customHeight="1">
      <c r="A126" s="285"/>
      <c r="B126" s="285"/>
      <c r="C126" s="285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</row>
    <row r="127" ht="15.75" customHeight="1">
      <c r="A127" s="285"/>
      <c r="B127" s="285"/>
      <c r="C127" s="285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</row>
    <row r="128" ht="15.75" customHeight="1">
      <c r="A128" s="285"/>
      <c r="B128" s="285"/>
      <c r="C128" s="285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</row>
    <row r="129" ht="15.75" customHeight="1">
      <c r="A129" s="285"/>
      <c r="B129" s="285"/>
      <c r="C129" s="285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</row>
    <row r="130" ht="15.75" customHeight="1">
      <c r="A130" s="285"/>
      <c r="B130" s="285"/>
      <c r="C130" s="285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</row>
    <row r="131" ht="15.75" customHeight="1">
      <c r="A131" s="285"/>
      <c r="B131" s="285"/>
      <c r="C131" s="285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</row>
    <row r="132" ht="15.75" customHeight="1">
      <c r="A132" s="285"/>
      <c r="B132" s="285"/>
      <c r="C132" s="285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</row>
    <row r="133" ht="15.75" customHeight="1">
      <c r="A133" s="285"/>
      <c r="B133" s="285"/>
      <c r="C133" s="285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</row>
    <row r="134" ht="15.75" customHeight="1">
      <c r="A134" s="285"/>
      <c r="B134" s="285"/>
      <c r="C134" s="285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</row>
    <row r="135" ht="15.75" customHeight="1">
      <c r="A135" s="285"/>
      <c r="B135" s="285"/>
      <c r="C135" s="285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</row>
    <row r="136" ht="15.75" customHeight="1">
      <c r="A136" s="285"/>
      <c r="B136" s="285"/>
      <c r="C136" s="285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</row>
    <row r="137" ht="15.75" customHeight="1">
      <c r="A137" s="285"/>
      <c r="B137" s="285"/>
      <c r="C137" s="285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</row>
    <row r="138" ht="15.75" customHeight="1">
      <c r="A138" s="285"/>
      <c r="B138" s="285"/>
      <c r="C138" s="285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</row>
    <row r="139" ht="15.75" customHeight="1">
      <c r="A139" s="285"/>
      <c r="B139" s="285"/>
      <c r="C139" s="285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</row>
    <row r="140" ht="15.75" customHeight="1">
      <c r="A140" s="285"/>
      <c r="B140" s="285"/>
      <c r="C140" s="285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</row>
    <row r="141" ht="15.75" customHeight="1">
      <c r="A141" s="285"/>
      <c r="B141" s="285"/>
      <c r="C141" s="285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</row>
    <row r="142" ht="15.75" customHeight="1">
      <c r="A142" s="285"/>
      <c r="B142" s="285"/>
      <c r="C142" s="285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</row>
    <row r="143" ht="15.75" customHeight="1">
      <c r="A143" s="285"/>
      <c r="B143" s="285"/>
      <c r="C143" s="285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</row>
    <row r="144" ht="15.75" customHeight="1">
      <c r="A144" s="285"/>
      <c r="B144" s="285"/>
      <c r="C144" s="285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</row>
    <row r="145" ht="15.75" customHeight="1">
      <c r="A145" s="285"/>
      <c r="B145" s="285"/>
      <c r="C145" s="285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</row>
    <row r="146" ht="15.75" customHeight="1">
      <c r="A146" s="285"/>
      <c r="B146" s="285"/>
      <c r="C146" s="285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</row>
    <row r="147" ht="15.75" customHeight="1">
      <c r="A147" s="285"/>
      <c r="B147" s="285"/>
      <c r="C147" s="285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</row>
    <row r="148" ht="15.75" customHeight="1">
      <c r="A148" s="285"/>
      <c r="B148" s="285"/>
      <c r="C148" s="285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</row>
    <row r="149" ht="15.75" customHeight="1">
      <c r="A149" s="285"/>
      <c r="B149" s="285"/>
      <c r="C149" s="285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</row>
    <row r="150" ht="15.75" customHeight="1">
      <c r="A150" s="285"/>
      <c r="B150" s="285"/>
      <c r="C150" s="285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</row>
    <row r="151" ht="15.75" customHeight="1">
      <c r="A151" s="285"/>
      <c r="B151" s="285"/>
      <c r="C151" s="285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</row>
    <row r="152" ht="15.75" customHeight="1">
      <c r="A152" s="285"/>
      <c r="B152" s="285"/>
      <c r="C152" s="285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</row>
    <row r="153" ht="15.75" customHeight="1">
      <c r="A153" s="285"/>
      <c r="B153" s="285"/>
      <c r="C153" s="285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</row>
    <row r="154" ht="15.75" customHeight="1">
      <c r="A154" s="285"/>
      <c r="B154" s="285"/>
      <c r="C154" s="285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</row>
    <row r="155" ht="15.75" customHeight="1">
      <c r="A155" s="285"/>
      <c r="B155" s="285"/>
      <c r="C155" s="285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</row>
    <row r="156" ht="15.75" customHeight="1">
      <c r="A156" s="285"/>
      <c r="B156" s="285"/>
      <c r="C156" s="285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</row>
    <row r="157" ht="15.75" customHeight="1">
      <c r="A157" s="285"/>
      <c r="B157" s="285"/>
      <c r="C157" s="285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</row>
    <row r="158" ht="15.75" customHeight="1">
      <c r="A158" s="285"/>
      <c r="B158" s="285"/>
      <c r="C158" s="285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</row>
    <row r="159" ht="15.75" customHeight="1">
      <c r="A159" s="285"/>
      <c r="B159" s="285"/>
      <c r="C159" s="285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</row>
    <row r="160" ht="15.75" customHeight="1">
      <c r="A160" s="285"/>
      <c r="B160" s="285"/>
      <c r="C160" s="285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</row>
    <row r="161" ht="15.75" customHeight="1">
      <c r="A161" s="285"/>
      <c r="B161" s="285"/>
      <c r="C161" s="285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</row>
    <row r="162" ht="15.75" customHeight="1">
      <c r="A162" s="285"/>
      <c r="B162" s="285"/>
      <c r="C162" s="285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</row>
    <row r="163" ht="15.75" customHeight="1">
      <c r="A163" s="285"/>
      <c r="B163" s="285"/>
      <c r="C163" s="285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</row>
    <row r="164" ht="15.75" customHeight="1">
      <c r="A164" s="285"/>
      <c r="B164" s="285"/>
      <c r="C164" s="285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</row>
    <row r="165" ht="15.75" customHeight="1">
      <c r="A165" s="285"/>
      <c r="B165" s="285"/>
      <c r="C165" s="285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</row>
    <row r="166" ht="15.75" customHeight="1">
      <c r="A166" s="285"/>
      <c r="B166" s="285"/>
      <c r="C166" s="285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</row>
    <row r="167" ht="15.75" customHeight="1">
      <c r="A167" s="285"/>
      <c r="B167" s="285"/>
      <c r="C167" s="285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</row>
    <row r="168" ht="15.75" customHeight="1">
      <c r="A168" s="285"/>
      <c r="B168" s="285"/>
      <c r="C168" s="285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</row>
    <row r="169" ht="15.75" customHeight="1">
      <c r="A169" s="285"/>
      <c r="B169" s="285"/>
      <c r="C169" s="285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</row>
    <row r="170" ht="15.75" customHeight="1">
      <c r="A170" s="285"/>
      <c r="B170" s="285"/>
      <c r="C170" s="285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</row>
    <row r="171" ht="15.75" customHeight="1">
      <c r="A171" s="285"/>
      <c r="B171" s="285"/>
      <c r="C171" s="285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</row>
    <row r="172" ht="15.75" customHeight="1">
      <c r="A172" s="285"/>
      <c r="B172" s="285"/>
      <c r="C172" s="285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</row>
    <row r="173" ht="15.75" customHeight="1">
      <c r="A173" s="285"/>
      <c r="B173" s="285"/>
      <c r="C173" s="285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</row>
    <row r="174" ht="15.75" customHeight="1">
      <c r="A174" s="285"/>
      <c r="B174" s="285"/>
      <c r="C174" s="285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</row>
    <row r="175" ht="15.75" customHeight="1">
      <c r="A175" s="285"/>
      <c r="B175" s="285"/>
      <c r="C175" s="285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</row>
    <row r="176" ht="15.75" customHeight="1">
      <c r="A176" s="285"/>
      <c r="B176" s="285"/>
      <c r="C176" s="285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</row>
    <row r="177" ht="15.75" customHeight="1">
      <c r="A177" s="285"/>
      <c r="B177" s="285"/>
      <c r="C177" s="285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</row>
    <row r="178" ht="15.75" customHeight="1">
      <c r="A178" s="285"/>
      <c r="B178" s="285"/>
      <c r="C178" s="285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</row>
    <row r="179" ht="15.75" customHeight="1">
      <c r="A179" s="285"/>
      <c r="B179" s="285"/>
      <c r="C179" s="285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</row>
    <row r="180" ht="15.75" customHeight="1">
      <c r="A180" s="285"/>
      <c r="B180" s="285"/>
      <c r="C180" s="285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</row>
    <row r="181" ht="15.75" customHeight="1">
      <c r="A181" s="285"/>
      <c r="B181" s="285"/>
      <c r="C181" s="285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</row>
    <row r="182" ht="15.75" customHeight="1">
      <c r="A182" s="285"/>
      <c r="B182" s="285"/>
      <c r="C182" s="285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</row>
    <row r="183" ht="15.75" customHeight="1">
      <c r="A183" s="285"/>
      <c r="B183" s="285"/>
      <c r="C183" s="285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</row>
    <row r="184" ht="15.75" customHeight="1">
      <c r="A184" s="285"/>
      <c r="B184" s="285"/>
      <c r="C184" s="285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</row>
    <row r="185" ht="15.75" customHeight="1">
      <c r="A185" s="285"/>
      <c r="B185" s="285"/>
      <c r="C185" s="285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</row>
    <row r="186" ht="15.75" customHeight="1">
      <c r="A186" s="285"/>
      <c r="B186" s="285"/>
      <c r="C186" s="285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</row>
    <row r="187" ht="15.75" customHeight="1">
      <c r="A187" s="285"/>
      <c r="B187" s="285"/>
      <c r="C187" s="285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</row>
    <row r="188" ht="15.75" customHeight="1">
      <c r="A188" s="285"/>
      <c r="B188" s="285"/>
      <c r="C188" s="285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</row>
    <row r="189" ht="15.75" customHeight="1">
      <c r="A189" s="285"/>
      <c r="B189" s="285"/>
      <c r="C189" s="285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</row>
    <row r="190" ht="15.75" customHeight="1">
      <c r="A190" s="285"/>
      <c r="B190" s="285"/>
      <c r="C190" s="285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</row>
    <row r="191" ht="15.75" customHeight="1">
      <c r="A191" s="285"/>
      <c r="B191" s="285"/>
      <c r="C191" s="285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</row>
    <row r="192" ht="15.75" customHeight="1">
      <c r="A192" s="285"/>
      <c r="B192" s="285"/>
      <c r="C192" s="285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</row>
    <row r="193" ht="15.75" customHeight="1">
      <c r="A193" s="285"/>
      <c r="B193" s="285"/>
      <c r="C193" s="285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</row>
    <row r="194" ht="15.75" customHeight="1">
      <c r="A194" s="285"/>
      <c r="B194" s="285"/>
      <c r="C194" s="285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</row>
    <row r="195" ht="15.75" customHeight="1">
      <c r="A195" s="285"/>
      <c r="B195" s="285"/>
      <c r="C195" s="285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</row>
    <row r="196" ht="15.75" customHeight="1">
      <c r="A196" s="285"/>
      <c r="B196" s="285"/>
      <c r="C196" s="285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</row>
    <row r="197" ht="15.75" customHeight="1">
      <c r="A197" s="285"/>
      <c r="B197" s="285"/>
      <c r="C197" s="285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</row>
    <row r="198" ht="15.75" customHeight="1">
      <c r="A198" s="285"/>
      <c r="B198" s="285"/>
      <c r="C198" s="285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</row>
    <row r="199" ht="15.75" customHeight="1">
      <c r="A199" s="285"/>
      <c r="B199" s="285"/>
      <c r="C199" s="285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</row>
    <row r="200" ht="15.75" customHeight="1">
      <c r="A200" s="285"/>
      <c r="B200" s="285"/>
      <c r="C200" s="285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</row>
    <row r="201" ht="15.75" customHeight="1">
      <c r="A201" s="285"/>
      <c r="B201" s="285"/>
      <c r="C201" s="285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</row>
    <row r="202" ht="15.75" customHeight="1">
      <c r="A202" s="285"/>
      <c r="B202" s="285"/>
      <c r="C202" s="285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</row>
    <row r="203" ht="15.75" customHeight="1">
      <c r="A203" s="285"/>
      <c r="B203" s="285"/>
      <c r="C203" s="285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</row>
    <row r="204" ht="15.75" customHeight="1">
      <c r="A204" s="285"/>
      <c r="B204" s="285"/>
      <c r="C204" s="285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</row>
    <row r="205" ht="15.75" customHeight="1">
      <c r="A205" s="329"/>
      <c r="B205" s="329"/>
      <c r="C205" s="329"/>
      <c r="D205" s="330"/>
      <c r="E205" s="330"/>
      <c r="F205" s="330"/>
      <c r="G205" s="330"/>
      <c r="H205" s="330"/>
      <c r="I205" s="331"/>
      <c r="J205" s="331"/>
      <c r="K205" s="331"/>
      <c r="L205" s="331"/>
      <c r="M205" s="331"/>
      <c r="N205" s="331"/>
      <c r="O205" s="331"/>
    </row>
    <row r="206" ht="15.75" customHeight="1">
      <c r="A206" s="329"/>
      <c r="B206" s="329"/>
      <c r="C206" s="329"/>
      <c r="D206" s="330"/>
      <c r="E206" s="330"/>
      <c r="F206" s="330"/>
      <c r="G206" s="330"/>
      <c r="H206" s="330"/>
      <c r="I206" s="331"/>
      <c r="J206" s="331"/>
      <c r="K206" s="331"/>
      <c r="L206" s="331"/>
      <c r="M206" s="331"/>
      <c r="N206" s="331"/>
      <c r="O206" s="331"/>
    </row>
    <row r="207" ht="15.75" customHeight="1">
      <c r="A207" s="329"/>
      <c r="B207" s="329"/>
      <c r="C207" s="329"/>
      <c r="D207" s="330"/>
      <c r="E207" s="330"/>
      <c r="F207" s="330"/>
      <c r="G207" s="330"/>
      <c r="H207" s="330"/>
      <c r="I207" s="331"/>
      <c r="J207" s="331"/>
      <c r="K207" s="331"/>
      <c r="L207" s="331"/>
      <c r="M207" s="331"/>
      <c r="N207" s="331"/>
      <c r="O207" s="331"/>
    </row>
    <row r="208" ht="15.75" customHeight="1">
      <c r="A208" s="329"/>
      <c r="B208" s="329"/>
      <c r="C208" s="329"/>
      <c r="D208" s="330"/>
      <c r="E208" s="330"/>
      <c r="F208" s="330"/>
      <c r="G208" s="330"/>
      <c r="H208" s="330"/>
      <c r="I208" s="331"/>
      <c r="J208" s="331"/>
      <c r="K208" s="331"/>
      <c r="L208" s="331"/>
      <c r="M208" s="331"/>
      <c r="N208" s="331"/>
      <c r="O208" s="331"/>
    </row>
    <row r="209" ht="15.75" customHeight="1">
      <c r="A209" s="329"/>
      <c r="B209" s="329"/>
      <c r="C209" s="329"/>
      <c r="D209" s="330"/>
      <c r="E209" s="330"/>
      <c r="F209" s="330"/>
      <c r="G209" s="330"/>
      <c r="H209" s="330"/>
      <c r="I209" s="331"/>
      <c r="J209" s="331"/>
      <c r="K209" s="331"/>
      <c r="L209" s="331"/>
      <c r="M209" s="331"/>
      <c r="N209" s="331"/>
      <c r="O209" s="331"/>
    </row>
    <row r="210" ht="15.75" customHeight="1">
      <c r="A210" s="329"/>
      <c r="B210" s="329"/>
      <c r="C210" s="329"/>
      <c r="D210" s="330"/>
      <c r="E210" s="330"/>
      <c r="F210" s="330"/>
      <c r="G210" s="330"/>
      <c r="H210" s="330"/>
      <c r="I210" s="331"/>
      <c r="J210" s="331"/>
      <c r="K210" s="331"/>
      <c r="L210" s="331"/>
      <c r="M210" s="331"/>
      <c r="N210" s="331"/>
      <c r="O210" s="331"/>
    </row>
    <row r="211" ht="15.75" customHeight="1">
      <c r="A211" s="329"/>
      <c r="B211" s="329"/>
      <c r="C211" s="329"/>
      <c r="D211" s="330"/>
      <c r="E211" s="330"/>
      <c r="F211" s="330"/>
      <c r="G211" s="330"/>
      <c r="H211" s="330"/>
      <c r="I211" s="331"/>
      <c r="J211" s="331"/>
      <c r="K211" s="331"/>
      <c r="L211" s="331"/>
      <c r="M211" s="331"/>
      <c r="N211" s="331"/>
      <c r="O211" s="331"/>
    </row>
    <row r="212" ht="15.75" customHeight="1">
      <c r="A212" s="329"/>
      <c r="B212" s="329"/>
      <c r="C212" s="329"/>
      <c r="D212" s="330"/>
      <c r="E212" s="330"/>
      <c r="F212" s="330"/>
      <c r="G212" s="330"/>
      <c r="H212" s="330"/>
      <c r="I212" s="331"/>
      <c r="J212" s="331"/>
      <c r="K212" s="331"/>
      <c r="L212" s="331"/>
      <c r="M212" s="331"/>
      <c r="N212" s="331"/>
      <c r="O212" s="331"/>
    </row>
    <row r="213" ht="15.75" customHeight="1">
      <c r="A213" s="329"/>
      <c r="B213" s="329"/>
      <c r="C213" s="329"/>
      <c r="D213" s="330"/>
      <c r="E213" s="330"/>
      <c r="F213" s="330"/>
      <c r="G213" s="330"/>
      <c r="H213" s="330"/>
      <c r="I213" s="331"/>
      <c r="J213" s="331"/>
      <c r="K213" s="331"/>
      <c r="L213" s="331"/>
      <c r="M213" s="331"/>
      <c r="N213" s="331"/>
      <c r="O213" s="331"/>
    </row>
    <row r="214" ht="15.75" customHeight="1">
      <c r="A214" s="329"/>
      <c r="B214" s="329"/>
      <c r="C214" s="329"/>
      <c r="D214" s="330"/>
      <c r="E214" s="330"/>
      <c r="F214" s="330"/>
      <c r="G214" s="330"/>
      <c r="H214" s="330"/>
      <c r="I214" s="331"/>
      <c r="J214" s="331"/>
      <c r="K214" s="331"/>
      <c r="L214" s="331"/>
      <c r="M214" s="331"/>
      <c r="N214" s="331"/>
      <c r="O214" s="331"/>
    </row>
    <row r="215" ht="15.75" customHeight="1">
      <c r="A215" s="329"/>
      <c r="B215" s="329"/>
      <c r="C215" s="329"/>
      <c r="D215" s="330"/>
      <c r="E215" s="330"/>
      <c r="F215" s="330"/>
      <c r="G215" s="330"/>
      <c r="H215" s="330"/>
      <c r="I215" s="331"/>
      <c r="J215" s="331"/>
      <c r="K215" s="331"/>
      <c r="L215" s="331"/>
      <c r="M215" s="331"/>
      <c r="N215" s="331"/>
      <c r="O215" s="331"/>
    </row>
    <row r="216" ht="15.75" customHeight="1">
      <c r="A216" s="329"/>
      <c r="B216" s="329"/>
      <c r="C216" s="329"/>
      <c r="D216" s="330"/>
      <c r="E216" s="330"/>
      <c r="F216" s="330"/>
      <c r="G216" s="330"/>
      <c r="H216" s="330"/>
      <c r="I216" s="331"/>
      <c r="J216" s="331"/>
      <c r="K216" s="331"/>
      <c r="L216" s="331"/>
      <c r="M216" s="331"/>
      <c r="N216" s="331"/>
      <c r="O216" s="331"/>
    </row>
    <row r="217" ht="15.75" customHeight="1">
      <c r="A217" s="329"/>
      <c r="B217" s="329"/>
      <c r="C217" s="329"/>
      <c r="D217" s="330"/>
      <c r="E217" s="330"/>
      <c r="F217" s="330"/>
      <c r="G217" s="330"/>
      <c r="H217" s="330"/>
      <c r="I217" s="331"/>
      <c r="J217" s="331"/>
      <c r="K217" s="331"/>
      <c r="L217" s="331"/>
      <c r="M217" s="331"/>
      <c r="N217" s="331"/>
      <c r="O217" s="331"/>
    </row>
    <row r="218" ht="15.75" customHeight="1">
      <c r="A218" s="329"/>
      <c r="B218" s="329"/>
      <c r="C218" s="329"/>
      <c r="D218" s="330"/>
      <c r="E218" s="330"/>
      <c r="F218" s="330"/>
      <c r="G218" s="330"/>
      <c r="H218" s="330"/>
      <c r="I218" s="331"/>
      <c r="J218" s="331"/>
      <c r="K218" s="331"/>
      <c r="L218" s="331"/>
      <c r="M218" s="331"/>
      <c r="N218" s="331"/>
      <c r="O218" s="331"/>
    </row>
    <row r="219" ht="15.75" customHeight="1">
      <c r="A219" s="329"/>
      <c r="B219" s="329"/>
      <c r="C219" s="329"/>
      <c r="D219" s="330"/>
      <c r="E219" s="330"/>
      <c r="F219" s="330"/>
      <c r="G219" s="330"/>
      <c r="H219" s="330"/>
      <c r="I219" s="331"/>
      <c r="J219" s="331"/>
      <c r="K219" s="331"/>
      <c r="L219" s="331"/>
      <c r="M219" s="331"/>
      <c r="N219" s="331"/>
      <c r="O219" s="331"/>
    </row>
    <row r="220" ht="15.75" customHeight="1">
      <c r="A220" s="329"/>
      <c r="B220" s="329"/>
      <c r="C220" s="329"/>
      <c r="D220" s="330"/>
      <c r="E220" s="330"/>
      <c r="F220" s="330"/>
      <c r="G220" s="330"/>
      <c r="H220" s="330"/>
      <c r="I220" s="331"/>
      <c r="J220" s="331"/>
      <c r="K220" s="331"/>
      <c r="L220" s="331"/>
      <c r="M220" s="331"/>
      <c r="N220" s="331"/>
      <c r="O220" s="331"/>
    </row>
    <row r="221" ht="15.75" customHeight="1">
      <c r="A221" s="329"/>
      <c r="B221" s="329"/>
      <c r="C221" s="329"/>
      <c r="D221" s="330"/>
      <c r="E221" s="330"/>
      <c r="F221" s="330"/>
      <c r="G221" s="330"/>
      <c r="H221" s="330"/>
      <c r="I221" s="331"/>
      <c r="J221" s="331"/>
      <c r="K221" s="331"/>
      <c r="L221" s="331"/>
      <c r="M221" s="331"/>
      <c r="N221" s="331"/>
      <c r="O221" s="331"/>
    </row>
    <row r="222" ht="15.75" customHeight="1">
      <c r="A222" s="329"/>
      <c r="B222" s="329"/>
      <c r="C222" s="329"/>
      <c r="D222" s="330"/>
      <c r="E222" s="330"/>
      <c r="F222" s="330"/>
      <c r="G222" s="330"/>
      <c r="H222" s="330"/>
      <c r="I222" s="331"/>
      <c r="J222" s="331"/>
      <c r="K222" s="331"/>
      <c r="L222" s="331"/>
      <c r="M222" s="331"/>
      <c r="N222" s="331"/>
      <c r="O222" s="331"/>
    </row>
    <row r="223" ht="15.75" customHeight="1">
      <c r="A223" s="329"/>
      <c r="B223" s="329"/>
      <c r="C223" s="329"/>
      <c r="D223" s="330"/>
      <c r="E223" s="330"/>
      <c r="F223" s="330"/>
      <c r="G223" s="330"/>
      <c r="H223" s="330"/>
      <c r="I223" s="331"/>
      <c r="J223" s="331"/>
      <c r="K223" s="331"/>
      <c r="L223" s="331"/>
      <c r="M223" s="331"/>
      <c r="N223" s="331"/>
      <c r="O223" s="331"/>
    </row>
    <row r="224" ht="15.75" customHeight="1">
      <c r="A224" s="329"/>
      <c r="B224" s="329"/>
      <c r="C224" s="329"/>
      <c r="D224" s="330"/>
      <c r="E224" s="330"/>
      <c r="F224" s="330"/>
      <c r="G224" s="330"/>
      <c r="H224" s="330"/>
      <c r="I224" s="331"/>
      <c r="J224" s="331"/>
      <c r="K224" s="331"/>
      <c r="L224" s="331"/>
      <c r="M224" s="331"/>
      <c r="N224" s="331"/>
      <c r="O224" s="331"/>
    </row>
    <row r="225" ht="15.75" customHeight="1">
      <c r="A225" s="329"/>
      <c r="B225" s="329"/>
      <c r="C225" s="329"/>
      <c r="D225" s="330"/>
      <c r="E225" s="330"/>
      <c r="F225" s="330"/>
      <c r="G225" s="330"/>
      <c r="H225" s="330"/>
      <c r="I225" s="331"/>
      <c r="J225" s="331"/>
      <c r="K225" s="331"/>
      <c r="L225" s="331"/>
      <c r="M225" s="331"/>
      <c r="N225" s="331"/>
      <c r="O225" s="331"/>
    </row>
    <row r="226" ht="15.75" customHeight="1">
      <c r="A226" s="329"/>
      <c r="B226" s="329"/>
      <c r="C226" s="329"/>
      <c r="D226" s="330"/>
      <c r="E226" s="330"/>
      <c r="F226" s="330"/>
      <c r="G226" s="330"/>
      <c r="H226" s="330"/>
      <c r="I226" s="331"/>
      <c r="J226" s="331"/>
      <c r="K226" s="331"/>
      <c r="L226" s="331"/>
      <c r="M226" s="331"/>
      <c r="N226" s="331"/>
      <c r="O226" s="331"/>
    </row>
    <row r="227" ht="15.75" customHeight="1">
      <c r="A227" s="329"/>
      <c r="B227" s="329"/>
      <c r="C227" s="329"/>
      <c r="D227" s="330"/>
      <c r="E227" s="330"/>
      <c r="F227" s="330"/>
      <c r="G227" s="330"/>
      <c r="H227" s="330"/>
      <c r="I227" s="331"/>
      <c r="J227" s="331"/>
      <c r="K227" s="331"/>
      <c r="L227" s="331"/>
      <c r="M227" s="331"/>
      <c r="N227" s="331"/>
      <c r="O227" s="331"/>
    </row>
    <row r="228" ht="15.75" customHeight="1">
      <c r="A228" s="329"/>
      <c r="B228" s="329"/>
      <c r="C228" s="329"/>
      <c r="D228" s="330"/>
      <c r="E228" s="330"/>
      <c r="F228" s="330"/>
      <c r="G228" s="330"/>
      <c r="H228" s="330"/>
      <c r="I228" s="331"/>
      <c r="J228" s="331"/>
      <c r="K228" s="331"/>
      <c r="L228" s="331"/>
      <c r="M228" s="331"/>
      <c r="N228" s="331"/>
      <c r="O228" s="331"/>
    </row>
    <row r="229" ht="15.75" customHeight="1">
      <c r="A229" s="329"/>
      <c r="B229" s="329"/>
      <c r="C229" s="329"/>
      <c r="D229" s="330"/>
      <c r="E229" s="330"/>
      <c r="F229" s="330"/>
      <c r="G229" s="330"/>
      <c r="H229" s="330"/>
      <c r="I229" s="331"/>
      <c r="J229" s="331"/>
      <c r="K229" s="331"/>
      <c r="L229" s="331"/>
      <c r="M229" s="331"/>
      <c r="N229" s="331"/>
      <c r="O229" s="331"/>
    </row>
    <row r="230" ht="15.75" customHeight="1">
      <c r="A230" s="329"/>
      <c r="B230" s="329"/>
      <c r="C230" s="329"/>
      <c r="D230" s="330"/>
      <c r="E230" s="330"/>
      <c r="F230" s="330"/>
      <c r="G230" s="330"/>
      <c r="H230" s="330"/>
      <c r="I230" s="331"/>
      <c r="J230" s="331"/>
      <c r="K230" s="331"/>
      <c r="L230" s="331"/>
      <c r="M230" s="331"/>
      <c r="N230" s="331"/>
      <c r="O230" s="331"/>
    </row>
    <row r="231" ht="15.75" customHeight="1">
      <c r="A231" s="329"/>
      <c r="B231" s="329"/>
      <c r="C231" s="329"/>
      <c r="D231" s="330"/>
      <c r="E231" s="330"/>
      <c r="F231" s="330"/>
      <c r="G231" s="330"/>
      <c r="H231" s="330"/>
      <c r="I231" s="331"/>
      <c r="J231" s="331"/>
      <c r="K231" s="331"/>
      <c r="L231" s="331"/>
      <c r="M231" s="331"/>
      <c r="N231" s="331"/>
      <c r="O231" s="331"/>
    </row>
    <row r="232" ht="15.75" customHeight="1">
      <c r="A232" s="329"/>
      <c r="B232" s="329"/>
      <c r="C232" s="329"/>
      <c r="D232" s="330"/>
      <c r="E232" s="330"/>
      <c r="F232" s="330"/>
      <c r="G232" s="330"/>
      <c r="H232" s="330"/>
      <c r="I232" s="331"/>
      <c r="J232" s="331"/>
      <c r="K232" s="331"/>
      <c r="L232" s="331"/>
      <c r="M232" s="331"/>
      <c r="N232" s="331"/>
      <c r="O232" s="331"/>
    </row>
    <row r="233" ht="15.75" customHeight="1">
      <c r="A233" s="329"/>
      <c r="B233" s="329"/>
      <c r="C233" s="329"/>
      <c r="D233" s="330"/>
      <c r="E233" s="330"/>
      <c r="F233" s="330"/>
      <c r="G233" s="330"/>
      <c r="H233" s="330"/>
      <c r="I233" s="331"/>
      <c r="J233" s="331"/>
      <c r="K233" s="331"/>
      <c r="L233" s="331"/>
      <c r="M233" s="331"/>
      <c r="N233" s="331"/>
      <c r="O233" s="331"/>
    </row>
    <row r="234" ht="15.75" customHeight="1">
      <c r="A234" s="329"/>
      <c r="B234" s="329"/>
      <c r="C234" s="329"/>
      <c r="D234" s="330"/>
      <c r="E234" s="330"/>
      <c r="F234" s="330"/>
      <c r="G234" s="330"/>
      <c r="H234" s="330"/>
      <c r="I234" s="331"/>
      <c r="J234" s="331"/>
      <c r="K234" s="331"/>
      <c r="L234" s="331"/>
      <c r="M234" s="331"/>
      <c r="N234" s="331"/>
      <c r="O234" s="331"/>
    </row>
    <row r="235" ht="15.75" customHeight="1">
      <c r="A235" s="329"/>
      <c r="B235" s="329"/>
      <c r="C235" s="329"/>
      <c r="D235" s="330"/>
      <c r="E235" s="330"/>
      <c r="F235" s="330"/>
      <c r="G235" s="330"/>
      <c r="H235" s="330"/>
      <c r="I235" s="331"/>
      <c r="J235" s="331"/>
      <c r="K235" s="331"/>
      <c r="L235" s="331"/>
      <c r="M235" s="331"/>
      <c r="N235" s="331"/>
      <c r="O235" s="331"/>
    </row>
    <row r="236" ht="15.75" customHeight="1">
      <c r="A236" s="329"/>
      <c r="B236" s="329"/>
      <c r="C236" s="329"/>
      <c r="D236" s="330"/>
      <c r="E236" s="330"/>
      <c r="F236" s="330"/>
      <c r="G236" s="330"/>
      <c r="H236" s="330"/>
      <c r="I236" s="331"/>
      <c r="J236" s="331"/>
      <c r="K236" s="331"/>
      <c r="L236" s="331"/>
      <c r="M236" s="331"/>
      <c r="N236" s="331"/>
      <c r="O236" s="331"/>
    </row>
    <row r="237" ht="15.75" customHeight="1">
      <c r="A237" s="329"/>
      <c r="B237" s="329"/>
      <c r="C237" s="329"/>
      <c r="D237" s="330"/>
      <c r="E237" s="330"/>
      <c r="F237" s="330"/>
      <c r="G237" s="330"/>
      <c r="H237" s="330"/>
      <c r="I237" s="331"/>
      <c r="J237" s="331"/>
      <c r="K237" s="331"/>
      <c r="L237" s="331"/>
      <c r="M237" s="331"/>
      <c r="N237" s="331"/>
      <c r="O237" s="331"/>
    </row>
    <row r="238" ht="15.75" customHeight="1">
      <c r="A238" s="329"/>
      <c r="B238" s="329"/>
      <c r="C238" s="329"/>
      <c r="D238" s="330"/>
      <c r="E238" s="330"/>
      <c r="F238" s="330"/>
      <c r="G238" s="330"/>
      <c r="H238" s="330"/>
      <c r="I238" s="331"/>
      <c r="J238" s="331"/>
      <c r="K238" s="331"/>
      <c r="L238" s="331"/>
      <c r="M238" s="331"/>
      <c r="N238" s="331"/>
      <c r="O238" s="331"/>
    </row>
    <row r="239" ht="15.75" customHeight="1">
      <c r="A239" s="329"/>
      <c r="B239" s="329"/>
      <c r="C239" s="329"/>
      <c r="D239" s="330"/>
      <c r="E239" s="330"/>
      <c r="F239" s="330"/>
      <c r="G239" s="330"/>
      <c r="H239" s="330"/>
      <c r="I239" s="331"/>
      <c r="J239" s="331"/>
      <c r="K239" s="331"/>
      <c r="L239" s="331"/>
      <c r="M239" s="331"/>
      <c r="N239" s="331"/>
      <c r="O239" s="331"/>
    </row>
    <row r="240" ht="15.75" customHeight="1">
      <c r="A240" s="329"/>
      <c r="B240" s="329"/>
      <c r="C240" s="329"/>
      <c r="D240" s="330"/>
      <c r="E240" s="330"/>
      <c r="F240" s="330"/>
      <c r="G240" s="330"/>
      <c r="H240" s="330"/>
      <c r="I240" s="331"/>
      <c r="J240" s="331"/>
      <c r="K240" s="331"/>
      <c r="L240" s="331"/>
      <c r="M240" s="331"/>
      <c r="N240" s="331"/>
      <c r="O240" s="331"/>
    </row>
    <row r="241" ht="15.75" customHeight="1">
      <c r="A241" s="329"/>
      <c r="B241" s="329"/>
      <c r="C241" s="329"/>
      <c r="D241" s="330"/>
      <c r="E241" s="330"/>
      <c r="F241" s="330"/>
      <c r="G241" s="330"/>
      <c r="H241" s="330"/>
      <c r="I241" s="331"/>
      <c r="J241" s="331"/>
      <c r="K241" s="331"/>
      <c r="L241" s="331"/>
      <c r="M241" s="331"/>
      <c r="N241" s="331"/>
      <c r="O241" s="331"/>
    </row>
    <row r="242" ht="15.75" customHeight="1">
      <c r="A242" s="329"/>
      <c r="B242" s="329"/>
      <c r="C242" s="329"/>
      <c r="D242" s="330"/>
      <c r="E242" s="330"/>
      <c r="F242" s="330"/>
      <c r="G242" s="330"/>
      <c r="H242" s="330"/>
      <c r="I242" s="331"/>
      <c r="J242" s="331"/>
      <c r="K242" s="331"/>
      <c r="L242" s="331"/>
      <c r="M242" s="331"/>
      <c r="N242" s="331"/>
      <c r="O242" s="331"/>
    </row>
    <row r="243" ht="15.75" customHeight="1">
      <c r="A243" s="329"/>
      <c r="B243" s="329"/>
      <c r="C243" s="329"/>
      <c r="D243" s="330"/>
      <c r="E243" s="330"/>
      <c r="F243" s="330"/>
      <c r="G243" s="330"/>
      <c r="H243" s="330"/>
      <c r="I243" s="331"/>
      <c r="J243" s="331"/>
      <c r="K243" s="331"/>
      <c r="L243" s="331"/>
      <c r="M243" s="331"/>
      <c r="N243" s="331"/>
      <c r="O243" s="331"/>
    </row>
    <row r="244" ht="15.75" customHeight="1">
      <c r="A244" s="329"/>
      <c r="B244" s="329"/>
      <c r="C244" s="329"/>
      <c r="D244" s="330"/>
      <c r="E244" s="330"/>
      <c r="F244" s="330"/>
      <c r="G244" s="330"/>
      <c r="H244" s="330"/>
      <c r="I244" s="331"/>
      <c r="J244" s="331"/>
      <c r="K244" s="331"/>
      <c r="L244" s="331"/>
      <c r="M244" s="331"/>
      <c r="N244" s="331"/>
      <c r="O244" s="331"/>
    </row>
    <row r="245" ht="15.75" customHeight="1">
      <c r="A245" s="329"/>
      <c r="B245" s="329"/>
      <c r="C245" s="329"/>
      <c r="D245" s="330"/>
      <c r="E245" s="330"/>
      <c r="F245" s="330"/>
      <c r="G245" s="330"/>
      <c r="H245" s="330"/>
      <c r="I245" s="331"/>
      <c r="J245" s="331"/>
      <c r="K245" s="331"/>
      <c r="L245" s="331"/>
      <c r="M245" s="331"/>
      <c r="N245" s="331"/>
      <c r="O245" s="331"/>
    </row>
    <row r="246" ht="15.75" customHeight="1">
      <c r="A246" s="329"/>
      <c r="B246" s="329"/>
      <c r="C246" s="329"/>
      <c r="D246" s="330"/>
      <c r="E246" s="330"/>
      <c r="F246" s="330"/>
      <c r="G246" s="330"/>
      <c r="H246" s="330"/>
      <c r="I246" s="331"/>
      <c r="J246" s="331"/>
      <c r="K246" s="331"/>
      <c r="L246" s="331"/>
      <c r="M246" s="331"/>
      <c r="N246" s="331"/>
      <c r="O246" s="331"/>
    </row>
    <row r="247" ht="15.75" customHeight="1">
      <c r="A247" s="329"/>
      <c r="B247" s="329"/>
      <c r="C247" s="329"/>
      <c r="D247" s="330"/>
      <c r="E247" s="330"/>
      <c r="F247" s="330"/>
      <c r="G247" s="330"/>
      <c r="H247" s="330"/>
      <c r="I247" s="331"/>
      <c r="J247" s="331"/>
      <c r="K247" s="331"/>
      <c r="L247" s="331"/>
      <c r="M247" s="331"/>
      <c r="N247" s="331"/>
      <c r="O247" s="331"/>
    </row>
    <row r="248" ht="15.75" customHeight="1">
      <c r="A248" s="329"/>
      <c r="B248" s="329"/>
      <c r="C248" s="329"/>
      <c r="D248" s="330"/>
      <c r="E248" s="330"/>
      <c r="F248" s="330"/>
      <c r="G248" s="330"/>
      <c r="H248" s="330"/>
      <c r="I248" s="331"/>
      <c r="J248" s="331"/>
      <c r="K248" s="331"/>
      <c r="L248" s="331"/>
      <c r="M248" s="331"/>
      <c r="N248" s="331"/>
      <c r="O248" s="331"/>
    </row>
    <row r="249" ht="15.75" customHeight="1">
      <c r="A249" s="329"/>
      <c r="B249" s="329"/>
      <c r="C249" s="329"/>
      <c r="D249" s="330"/>
      <c r="E249" s="330"/>
      <c r="F249" s="330"/>
      <c r="G249" s="330"/>
      <c r="H249" s="330"/>
      <c r="I249" s="331"/>
      <c r="J249" s="331"/>
      <c r="K249" s="331"/>
      <c r="L249" s="331"/>
      <c r="M249" s="331"/>
      <c r="N249" s="331"/>
      <c r="O249" s="331"/>
    </row>
    <row r="250" ht="15.75" customHeight="1">
      <c r="A250" s="329"/>
      <c r="B250" s="329"/>
      <c r="C250" s="329"/>
      <c r="D250" s="330"/>
      <c r="E250" s="330"/>
      <c r="F250" s="330"/>
      <c r="G250" s="330"/>
      <c r="H250" s="330"/>
      <c r="I250" s="331"/>
      <c r="J250" s="331"/>
      <c r="K250" s="331"/>
      <c r="L250" s="331"/>
      <c r="M250" s="331"/>
      <c r="N250" s="331"/>
      <c r="O250" s="331"/>
    </row>
    <row r="251" ht="15.75" customHeight="1">
      <c r="A251" s="329"/>
      <c r="B251" s="329"/>
      <c r="C251" s="329"/>
      <c r="D251" s="330"/>
      <c r="E251" s="330"/>
      <c r="F251" s="330"/>
      <c r="G251" s="330"/>
      <c r="H251" s="330"/>
      <c r="I251" s="331"/>
      <c r="J251" s="331"/>
      <c r="K251" s="331"/>
      <c r="L251" s="331"/>
      <c r="M251" s="331"/>
      <c r="N251" s="331"/>
      <c r="O251" s="331"/>
    </row>
    <row r="252" ht="15.75" customHeight="1">
      <c r="A252" s="329"/>
      <c r="B252" s="329"/>
      <c r="C252" s="329"/>
      <c r="D252" s="330"/>
      <c r="E252" s="330"/>
      <c r="F252" s="330"/>
      <c r="G252" s="330"/>
      <c r="H252" s="330"/>
      <c r="I252" s="331"/>
      <c r="J252" s="331"/>
      <c r="K252" s="331"/>
      <c r="L252" s="331"/>
      <c r="M252" s="331"/>
      <c r="N252" s="331"/>
      <c r="O252" s="331"/>
    </row>
    <row r="253" ht="15.75" customHeight="1">
      <c r="A253" s="329"/>
      <c r="B253" s="329"/>
      <c r="C253" s="329"/>
      <c r="D253" s="330"/>
      <c r="E253" s="330"/>
      <c r="F253" s="330"/>
      <c r="G253" s="330"/>
      <c r="H253" s="330"/>
      <c r="I253" s="331"/>
      <c r="J253" s="331"/>
      <c r="K253" s="331"/>
      <c r="L253" s="331"/>
      <c r="M253" s="331"/>
      <c r="N253" s="331"/>
      <c r="O253" s="331"/>
    </row>
    <row r="254" ht="15.75" customHeight="1">
      <c r="A254" s="329"/>
      <c r="B254" s="329"/>
      <c r="C254" s="329"/>
      <c r="D254" s="330"/>
      <c r="E254" s="330"/>
      <c r="F254" s="330"/>
      <c r="G254" s="330"/>
      <c r="H254" s="330"/>
      <c r="I254" s="331"/>
      <c r="J254" s="331"/>
      <c r="K254" s="331"/>
      <c r="L254" s="331"/>
      <c r="M254" s="331"/>
      <c r="N254" s="331"/>
      <c r="O254" s="331"/>
    </row>
    <row r="255" ht="15.75" customHeight="1">
      <c r="A255" s="329"/>
      <c r="B255" s="329"/>
      <c r="C255" s="329"/>
      <c r="D255" s="330"/>
      <c r="E255" s="330"/>
      <c r="F255" s="330"/>
      <c r="G255" s="330"/>
      <c r="H255" s="330"/>
      <c r="I255" s="331"/>
      <c r="J255" s="331"/>
      <c r="K255" s="331"/>
      <c r="L255" s="331"/>
      <c r="M255" s="331"/>
      <c r="N255" s="331"/>
      <c r="O255" s="331"/>
    </row>
    <row r="256" ht="15.75" customHeight="1">
      <c r="A256" s="329"/>
      <c r="B256" s="329"/>
      <c r="C256" s="329"/>
      <c r="D256" s="330"/>
      <c r="E256" s="330"/>
      <c r="F256" s="330"/>
      <c r="G256" s="330"/>
      <c r="H256" s="330"/>
      <c r="I256" s="331"/>
      <c r="J256" s="331"/>
      <c r="K256" s="331"/>
      <c r="L256" s="331"/>
      <c r="M256" s="331"/>
      <c r="N256" s="331"/>
      <c r="O256" s="331"/>
    </row>
    <row r="257" ht="15.75" customHeight="1">
      <c r="A257" s="329"/>
      <c r="B257" s="329"/>
      <c r="C257" s="329"/>
      <c r="D257" s="330"/>
      <c r="E257" s="330"/>
      <c r="F257" s="330"/>
      <c r="G257" s="330"/>
      <c r="H257" s="330"/>
      <c r="I257" s="331"/>
      <c r="J257" s="331"/>
      <c r="K257" s="331"/>
      <c r="L257" s="331"/>
      <c r="M257" s="331"/>
      <c r="N257" s="331"/>
      <c r="O257" s="331"/>
    </row>
    <row r="258" ht="15.75" customHeight="1">
      <c r="A258" s="329"/>
      <c r="B258" s="329"/>
      <c r="C258" s="329"/>
      <c r="D258" s="330"/>
      <c r="E258" s="330"/>
      <c r="F258" s="330"/>
      <c r="G258" s="330"/>
      <c r="H258" s="330"/>
      <c r="I258" s="331"/>
      <c r="J258" s="331"/>
      <c r="K258" s="331"/>
      <c r="L258" s="331"/>
      <c r="M258" s="331"/>
      <c r="N258" s="331"/>
      <c r="O258" s="331"/>
    </row>
    <row r="259" ht="15.75" customHeight="1">
      <c r="A259" s="329"/>
      <c r="B259" s="329"/>
      <c r="C259" s="329"/>
      <c r="D259" s="330"/>
      <c r="E259" s="330"/>
      <c r="F259" s="330"/>
      <c r="G259" s="330"/>
      <c r="H259" s="330"/>
      <c r="I259" s="331"/>
      <c r="J259" s="331"/>
      <c r="K259" s="331"/>
      <c r="L259" s="331"/>
      <c r="M259" s="331"/>
      <c r="N259" s="331"/>
      <c r="O259" s="331"/>
    </row>
    <row r="260" ht="15.75" customHeight="1">
      <c r="A260" s="329"/>
      <c r="B260" s="329"/>
      <c r="C260" s="329"/>
      <c r="D260" s="330"/>
      <c r="E260" s="330"/>
      <c r="F260" s="330"/>
      <c r="G260" s="330"/>
      <c r="H260" s="330"/>
      <c r="I260" s="331"/>
      <c r="J260" s="331"/>
      <c r="K260" s="331"/>
      <c r="L260" s="331"/>
      <c r="M260" s="331"/>
      <c r="N260" s="331"/>
      <c r="O260" s="331"/>
    </row>
    <row r="261" ht="15.75" customHeight="1">
      <c r="A261" s="329"/>
      <c r="B261" s="329"/>
      <c r="C261" s="329"/>
      <c r="D261" s="330"/>
      <c r="E261" s="330"/>
      <c r="F261" s="330"/>
      <c r="G261" s="330"/>
      <c r="H261" s="330"/>
      <c r="I261" s="331"/>
      <c r="J261" s="331"/>
      <c r="K261" s="331"/>
      <c r="L261" s="331"/>
      <c r="M261" s="331"/>
      <c r="N261" s="331"/>
      <c r="O261" s="331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1">
    <mergeCell ref="G7:H8"/>
    <mergeCell ref="I8:J8"/>
    <mergeCell ref="K8:L8"/>
    <mergeCell ref="M8:N8"/>
    <mergeCell ref="C9:C10"/>
    <mergeCell ref="D9:D10"/>
    <mergeCell ref="E9:F9"/>
    <mergeCell ref="G9:H9"/>
    <mergeCell ref="I9:I10"/>
    <mergeCell ref="J9:J10"/>
    <mergeCell ref="K9:K10"/>
    <mergeCell ref="L9:L10"/>
    <mergeCell ref="M9:M10"/>
    <mergeCell ref="N9:N10"/>
    <mergeCell ref="J2:L4"/>
    <mergeCell ref="A7:A10"/>
    <mergeCell ref="B7:B10"/>
    <mergeCell ref="C7:D8"/>
    <mergeCell ref="E7:F8"/>
    <mergeCell ref="I7:N7"/>
    <mergeCell ref="O7:O10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33.86"/>
    <col customWidth="1" min="3" max="3" width="27.29"/>
    <col customWidth="1" min="4" max="4" width="21.57"/>
    <col customWidth="1" min="5" max="5" width="25.0"/>
    <col customWidth="1" min="6" max="6" width="20.71"/>
    <col customWidth="1" min="7" max="13" width="29.0"/>
  </cols>
  <sheetData>
    <row r="1" ht="30.75" customHeight="1">
      <c r="A1" s="332" t="s">
        <v>0</v>
      </c>
      <c r="B1" s="333"/>
      <c r="C1" s="334"/>
      <c r="D1" s="335"/>
      <c r="E1" s="239"/>
      <c r="F1" s="239"/>
      <c r="G1" s="85"/>
      <c r="H1" s="85"/>
      <c r="I1" s="85"/>
      <c r="J1" s="85"/>
      <c r="K1" s="86"/>
      <c r="L1" s="85"/>
      <c r="M1" s="85"/>
    </row>
    <row r="2" ht="27.0" customHeight="1">
      <c r="A2" s="6" t="s">
        <v>1</v>
      </c>
      <c r="B2" s="336"/>
      <c r="C2" s="334"/>
      <c r="D2" s="335"/>
      <c r="E2" s="239"/>
      <c r="F2" s="239"/>
      <c r="G2" s="87"/>
      <c r="H2" s="88"/>
      <c r="K2" s="86"/>
      <c r="L2" s="87"/>
      <c r="M2" s="87"/>
    </row>
    <row r="3">
      <c r="A3" s="9" t="s">
        <v>586</v>
      </c>
      <c r="B3" s="334"/>
      <c r="C3" s="334"/>
      <c r="D3" s="335"/>
      <c r="E3" s="239"/>
      <c r="F3" s="239"/>
      <c r="G3" s="87"/>
      <c r="K3" s="87"/>
      <c r="L3" s="87"/>
      <c r="M3" s="87"/>
    </row>
    <row r="4">
      <c r="A4" s="9" t="s">
        <v>587</v>
      </c>
      <c r="B4" s="334"/>
      <c r="C4" s="334"/>
      <c r="D4" s="335"/>
      <c r="E4" s="239"/>
      <c r="F4" s="239"/>
      <c r="G4" s="87"/>
      <c r="K4" s="87"/>
      <c r="L4" s="87"/>
      <c r="M4" s="87"/>
    </row>
    <row r="5">
      <c r="A5" s="9" t="s">
        <v>4</v>
      </c>
      <c r="B5" s="334"/>
      <c r="C5" s="334"/>
      <c r="D5" s="335"/>
      <c r="E5" s="239"/>
      <c r="F5" s="239"/>
      <c r="G5" s="87"/>
      <c r="H5" s="87"/>
      <c r="I5" s="87"/>
      <c r="J5" s="87"/>
      <c r="K5" s="87"/>
      <c r="L5" s="87"/>
      <c r="M5" s="87"/>
    </row>
    <row r="6" ht="20.25" customHeight="1">
      <c r="A6" s="334"/>
      <c r="B6" s="334"/>
      <c r="C6" s="334"/>
      <c r="D6" s="335"/>
      <c r="E6" s="239"/>
      <c r="F6" s="239"/>
      <c r="G6" s="87"/>
      <c r="H6" s="87"/>
      <c r="I6" s="87"/>
      <c r="J6" s="87"/>
      <c r="K6" s="87"/>
      <c r="L6" s="87"/>
      <c r="M6" s="87"/>
    </row>
    <row r="7" ht="20.25" customHeight="1">
      <c r="A7" s="184" t="s">
        <v>588</v>
      </c>
      <c r="B7" s="184" t="s">
        <v>6</v>
      </c>
      <c r="C7" s="337" t="s">
        <v>589</v>
      </c>
      <c r="D7" s="18"/>
      <c r="E7" s="338" t="s">
        <v>8</v>
      </c>
      <c r="F7" s="14"/>
      <c r="G7" s="95" t="s">
        <v>9</v>
      </c>
      <c r="H7" s="17"/>
      <c r="I7" s="17"/>
      <c r="J7" s="17"/>
      <c r="K7" s="17"/>
      <c r="L7" s="18"/>
      <c r="M7" s="96" t="s">
        <v>590</v>
      </c>
    </row>
    <row r="8" ht="24.75" customHeight="1">
      <c r="A8" s="20"/>
      <c r="B8" s="20"/>
      <c r="C8" s="339" t="s">
        <v>14</v>
      </c>
      <c r="D8" s="340" t="s">
        <v>18</v>
      </c>
      <c r="E8" s="21"/>
      <c r="F8" s="22"/>
      <c r="G8" s="95" t="s">
        <v>11</v>
      </c>
      <c r="H8" s="18"/>
      <c r="I8" s="95" t="s">
        <v>12</v>
      </c>
      <c r="J8" s="18"/>
      <c r="K8" s="95" t="s">
        <v>13</v>
      </c>
      <c r="L8" s="18"/>
      <c r="M8" s="20"/>
    </row>
    <row r="9" ht="20.25" customHeight="1">
      <c r="A9" s="20"/>
      <c r="B9" s="20"/>
      <c r="C9" s="20"/>
      <c r="D9" s="20"/>
      <c r="E9" s="94" t="s">
        <v>16</v>
      </c>
      <c r="F9" s="14"/>
      <c r="G9" s="100" t="s">
        <v>17</v>
      </c>
      <c r="H9" s="101" t="s">
        <v>18</v>
      </c>
      <c r="I9" s="100" t="s">
        <v>17</v>
      </c>
      <c r="J9" s="101" t="s">
        <v>18</v>
      </c>
      <c r="K9" s="100" t="s">
        <v>17</v>
      </c>
      <c r="L9" s="101" t="s">
        <v>18</v>
      </c>
      <c r="M9" s="20"/>
    </row>
    <row r="10" ht="71.25" customHeight="1">
      <c r="A10" s="28"/>
      <c r="B10" s="28"/>
      <c r="C10" s="28"/>
      <c r="D10" s="28"/>
      <c r="E10" s="104" t="s">
        <v>17</v>
      </c>
      <c r="F10" s="105" t="s">
        <v>18</v>
      </c>
      <c r="G10" s="28"/>
      <c r="H10" s="28"/>
      <c r="I10" s="28"/>
      <c r="J10" s="28"/>
      <c r="K10" s="28"/>
      <c r="L10" s="28"/>
      <c r="M10" s="28"/>
    </row>
    <row r="11" ht="45.75" customHeight="1">
      <c r="A11" s="52" t="s">
        <v>591</v>
      </c>
      <c r="B11" s="41"/>
      <c r="C11" s="41"/>
      <c r="D11" s="341">
        <v>200.0</v>
      </c>
      <c r="E11" s="58"/>
      <c r="F11" s="199"/>
      <c r="G11" s="199"/>
      <c r="H11" s="199"/>
      <c r="I11" s="199"/>
      <c r="J11" s="199"/>
      <c r="K11" s="199"/>
      <c r="L11" s="199"/>
      <c r="M11" s="199"/>
    </row>
    <row r="12" ht="44.25" customHeight="1">
      <c r="A12" s="52" t="s">
        <v>592</v>
      </c>
      <c r="B12" s="41"/>
      <c r="C12" s="41"/>
      <c r="D12" s="341">
        <v>200.0</v>
      </c>
      <c r="E12" s="58"/>
      <c r="F12" s="199"/>
      <c r="G12" s="199"/>
      <c r="H12" s="199"/>
      <c r="I12" s="199"/>
      <c r="J12" s="199"/>
      <c r="K12" s="199"/>
      <c r="L12" s="199"/>
      <c r="M12" s="199"/>
    </row>
    <row r="13" ht="45.0" customHeight="1">
      <c r="A13" s="41" t="s">
        <v>593</v>
      </c>
      <c r="B13" s="41"/>
      <c r="C13" s="41"/>
      <c r="D13" s="342">
        <v>60.0</v>
      </c>
      <c r="E13" s="58"/>
      <c r="F13" s="199"/>
      <c r="G13" s="199"/>
      <c r="H13" s="199"/>
      <c r="I13" s="199"/>
      <c r="J13" s="199"/>
      <c r="K13" s="199"/>
      <c r="L13" s="199"/>
      <c r="M13" s="199"/>
    </row>
    <row r="14" ht="30.75" customHeight="1">
      <c r="A14" s="343" t="s">
        <v>594</v>
      </c>
      <c r="B14" s="43" t="s">
        <v>33</v>
      </c>
      <c r="C14" s="344">
        <v>1.0</v>
      </c>
      <c r="D14" s="345"/>
      <c r="E14" s="58"/>
      <c r="F14" s="199"/>
      <c r="G14" s="199"/>
      <c r="H14" s="199"/>
      <c r="I14" s="199"/>
      <c r="J14" s="199"/>
      <c r="K14" s="199"/>
      <c r="L14" s="199"/>
      <c r="M14" s="199"/>
    </row>
    <row r="15" ht="20.25" customHeight="1">
      <c r="A15" s="343" t="s">
        <v>595</v>
      </c>
      <c r="B15" s="43" t="s">
        <v>33</v>
      </c>
      <c r="C15" s="344">
        <v>25.0</v>
      </c>
      <c r="D15" s="345"/>
      <c r="E15" s="58"/>
      <c r="F15" s="199"/>
      <c r="G15" s="199"/>
      <c r="H15" s="199"/>
      <c r="I15" s="199"/>
      <c r="J15" s="199"/>
      <c r="K15" s="199"/>
      <c r="L15" s="199"/>
      <c r="M15" s="199"/>
    </row>
    <row r="16" ht="30.75" customHeight="1">
      <c r="A16" s="41" t="s">
        <v>596</v>
      </c>
      <c r="B16" s="41"/>
      <c r="C16" s="344">
        <v>1.0</v>
      </c>
      <c r="D16" s="342">
        <v>50.0</v>
      </c>
      <c r="E16" s="58">
        <v>3.0</v>
      </c>
      <c r="F16" s="199">
        <v>125.0</v>
      </c>
      <c r="G16" s="199"/>
      <c r="H16" s="199"/>
      <c r="I16" s="199"/>
      <c r="J16" s="199"/>
      <c r="K16" s="199"/>
      <c r="L16" s="199"/>
      <c r="M16" s="199"/>
    </row>
    <row r="17" ht="36.0" customHeight="1">
      <c r="A17" s="343" t="s">
        <v>597</v>
      </c>
      <c r="B17" s="43" t="s">
        <v>33</v>
      </c>
      <c r="C17" s="41"/>
      <c r="D17" s="345"/>
      <c r="E17" s="58"/>
      <c r="F17" s="199"/>
      <c r="G17" s="199"/>
      <c r="H17" s="199"/>
      <c r="I17" s="199"/>
      <c r="J17" s="199"/>
      <c r="K17" s="199"/>
      <c r="L17" s="199"/>
      <c r="M17" s="199"/>
    </row>
    <row r="18" ht="41.25" customHeight="1">
      <c r="A18" s="41" t="s">
        <v>598</v>
      </c>
      <c r="B18" s="41"/>
      <c r="C18" s="344">
        <v>1.0</v>
      </c>
      <c r="D18" s="342">
        <v>90.0</v>
      </c>
      <c r="E18" s="58"/>
      <c r="F18" s="199"/>
      <c r="G18" s="199"/>
      <c r="H18" s="199"/>
      <c r="I18" s="199"/>
      <c r="J18" s="199"/>
      <c r="K18" s="199"/>
      <c r="L18" s="199"/>
      <c r="M18" s="199"/>
    </row>
    <row r="19" ht="31.5" customHeight="1">
      <c r="A19" s="343" t="s">
        <v>599</v>
      </c>
      <c r="B19" s="43" t="s">
        <v>33</v>
      </c>
      <c r="C19" s="41"/>
      <c r="D19" s="345"/>
      <c r="E19" s="58"/>
      <c r="F19" s="199"/>
      <c r="G19" s="199"/>
      <c r="H19" s="199"/>
      <c r="I19" s="199"/>
      <c r="J19" s="199"/>
      <c r="K19" s="199"/>
      <c r="L19" s="199"/>
      <c r="M19" s="199"/>
    </row>
    <row r="20" ht="20.25" customHeight="1">
      <c r="A20" s="41"/>
      <c r="B20" s="41"/>
      <c r="C20" s="41"/>
      <c r="D20" s="345"/>
      <c r="E20" s="58"/>
      <c r="F20" s="199"/>
      <c r="G20" s="199"/>
      <c r="H20" s="199"/>
      <c r="I20" s="199"/>
      <c r="J20" s="199"/>
      <c r="K20" s="199"/>
      <c r="L20" s="199"/>
      <c r="M20" s="199"/>
    </row>
    <row r="21" ht="45.0" customHeight="1">
      <c r="A21" s="52" t="s">
        <v>600</v>
      </c>
      <c r="B21" s="41"/>
      <c r="C21" s="41"/>
      <c r="D21" s="345"/>
      <c r="E21" s="58"/>
      <c r="F21" s="199"/>
      <c r="G21" s="199"/>
      <c r="H21" s="199"/>
      <c r="I21" s="199"/>
      <c r="J21" s="199"/>
      <c r="K21" s="199"/>
      <c r="L21" s="199"/>
      <c r="M21" s="199"/>
    </row>
    <row r="22" ht="30.0" customHeight="1">
      <c r="A22" s="41" t="s">
        <v>601</v>
      </c>
      <c r="B22" s="41"/>
      <c r="C22" s="41"/>
      <c r="D22" s="345"/>
      <c r="E22" s="58"/>
      <c r="F22" s="199"/>
      <c r="G22" s="199"/>
      <c r="H22" s="199"/>
      <c r="I22" s="199"/>
      <c r="J22" s="199"/>
      <c r="K22" s="199"/>
      <c r="L22" s="199"/>
      <c r="M22" s="199"/>
    </row>
    <row r="23" ht="20.25" customHeight="1">
      <c r="A23" s="344" t="s">
        <v>602</v>
      </c>
      <c r="B23" s="43" t="s">
        <v>33</v>
      </c>
      <c r="C23" s="41"/>
      <c r="D23" s="345" t="s">
        <v>603</v>
      </c>
      <c r="E23" s="58"/>
      <c r="F23" s="199"/>
      <c r="G23" s="199"/>
      <c r="H23" s="199"/>
      <c r="I23" s="199"/>
      <c r="J23" s="199"/>
      <c r="K23" s="199"/>
      <c r="L23" s="199"/>
      <c r="M23" s="199"/>
    </row>
    <row r="24" ht="20.25" customHeight="1">
      <c r="A24" s="41"/>
      <c r="B24" s="41"/>
      <c r="C24" s="41"/>
      <c r="D24" s="345"/>
      <c r="E24" s="58"/>
      <c r="F24" s="199"/>
      <c r="G24" s="199"/>
      <c r="H24" s="199"/>
      <c r="I24" s="199"/>
      <c r="J24" s="199"/>
      <c r="K24" s="199"/>
      <c r="L24" s="199"/>
      <c r="M24" s="199"/>
    </row>
    <row r="25" ht="20.25" customHeight="1">
      <c r="A25" s="59" t="s">
        <v>63</v>
      </c>
      <c r="B25" s="41"/>
      <c r="C25" s="41"/>
      <c r="D25" s="341">
        <v>200.0</v>
      </c>
      <c r="E25" s="341"/>
      <c r="F25" s="34">
        <f>F16</f>
        <v>125</v>
      </c>
      <c r="G25" s="199"/>
      <c r="H25" s="346">
        <v>0.0</v>
      </c>
      <c r="I25" s="347"/>
      <c r="J25" s="346">
        <v>0.0</v>
      </c>
      <c r="K25" s="347"/>
      <c r="L25" s="346">
        <v>0.0</v>
      </c>
      <c r="M25" s="199"/>
    </row>
    <row r="26" ht="20.25" customHeight="1">
      <c r="A26" s="334"/>
      <c r="B26" s="348"/>
      <c r="C26" s="348"/>
      <c r="D26" s="349"/>
      <c r="E26" s="239"/>
      <c r="F26" s="239"/>
      <c r="G26" s="239"/>
      <c r="H26" s="239"/>
      <c r="I26" s="239"/>
      <c r="J26" s="239"/>
      <c r="K26" s="239"/>
      <c r="L26" s="239"/>
      <c r="M26" s="239"/>
    </row>
    <row r="27" ht="20.25" customHeight="1">
      <c r="A27" s="268" t="s">
        <v>64</v>
      </c>
      <c r="C27" s="65" t="s">
        <v>65</v>
      </c>
      <c r="G27" s="65" t="s">
        <v>66</v>
      </c>
      <c r="H27" s="171"/>
      <c r="I27" s="239"/>
      <c r="J27" s="239"/>
      <c r="K27" s="239"/>
      <c r="L27" s="239"/>
      <c r="M27" s="239"/>
    </row>
    <row r="28" ht="20.25" customHeight="1">
      <c r="A28" s="278"/>
      <c r="C28" s="86"/>
      <c r="G28" s="86"/>
      <c r="H28" s="171"/>
      <c r="I28" s="239"/>
      <c r="J28" s="239"/>
      <c r="K28" s="239"/>
      <c r="L28" s="239"/>
      <c r="M28" s="239"/>
    </row>
    <row r="29" ht="20.25" customHeight="1">
      <c r="A29" s="278"/>
      <c r="C29" s="86"/>
      <c r="G29" s="86"/>
      <c r="H29" s="171"/>
      <c r="I29" s="239"/>
      <c r="J29" s="239"/>
      <c r="K29" s="239"/>
      <c r="L29" s="239"/>
      <c r="M29" s="239"/>
    </row>
    <row r="30" ht="20.25" customHeight="1">
      <c r="A30" s="71" t="s">
        <v>67</v>
      </c>
      <c r="C30" s="72" t="s">
        <v>69</v>
      </c>
      <c r="G30" s="72" t="s">
        <v>70</v>
      </c>
      <c r="H30" s="171"/>
      <c r="I30" s="239"/>
      <c r="J30" s="239"/>
      <c r="K30" s="239"/>
      <c r="L30" s="239"/>
      <c r="M30" s="239"/>
    </row>
    <row r="31" ht="20.25" customHeight="1">
      <c r="A31" s="270" t="s">
        <v>68</v>
      </c>
      <c r="C31" s="65" t="s">
        <v>71</v>
      </c>
      <c r="G31" s="65" t="s">
        <v>72</v>
      </c>
      <c r="H31" s="171"/>
      <c r="I31" s="239"/>
      <c r="J31" s="239"/>
      <c r="K31" s="239"/>
      <c r="L31" s="239"/>
      <c r="M31" s="239"/>
    </row>
    <row r="32" ht="28.5" customHeight="1">
      <c r="B32" s="277"/>
      <c r="C32" s="71"/>
      <c r="D32" s="278"/>
      <c r="E32" s="72"/>
      <c r="F32" s="239"/>
      <c r="G32" s="239"/>
      <c r="H32" s="239"/>
      <c r="I32" s="239"/>
      <c r="J32" s="239"/>
      <c r="K32" s="239"/>
      <c r="L32" s="239"/>
      <c r="M32" s="239"/>
    </row>
    <row r="33" ht="22.5" customHeight="1">
      <c r="B33" s="277"/>
      <c r="C33" s="270"/>
      <c r="D33" s="350"/>
      <c r="E33" s="65"/>
      <c r="F33" s="239"/>
      <c r="G33" s="239"/>
      <c r="H33" s="239"/>
      <c r="I33" s="239"/>
      <c r="J33" s="239"/>
      <c r="K33" s="239"/>
      <c r="L33" s="239"/>
      <c r="M33" s="239"/>
    </row>
    <row r="34" ht="20.25" customHeight="1">
      <c r="A34" s="351"/>
      <c r="B34" s="350"/>
      <c r="C34" s="350"/>
      <c r="D34" s="350"/>
      <c r="E34" s="239"/>
      <c r="F34" s="239"/>
      <c r="G34" s="239"/>
      <c r="H34" s="239"/>
      <c r="I34" s="239"/>
      <c r="J34" s="239"/>
      <c r="K34" s="239"/>
      <c r="L34" s="239"/>
      <c r="M34" s="239"/>
    </row>
    <row r="35" ht="20.25" customHeight="1">
      <c r="A35" s="334"/>
      <c r="B35" s="348"/>
      <c r="C35" s="348"/>
      <c r="D35" s="349"/>
      <c r="E35" s="239"/>
      <c r="F35" s="239"/>
      <c r="G35" s="239"/>
      <c r="H35" s="239"/>
      <c r="I35" s="239"/>
      <c r="J35" s="239"/>
      <c r="K35" s="239"/>
      <c r="L35" s="239"/>
      <c r="M35" s="239"/>
    </row>
    <row r="36" ht="20.25" customHeight="1">
      <c r="A36" s="238"/>
      <c r="B36" s="348"/>
      <c r="C36" s="238"/>
      <c r="D36" s="352"/>
      <c r="E36" s="239"/>
      <c r="F36" s="239"/>
      <c r="G36" s="239"/>
      <c r="H36" s="239"/>
      <c r="I36" s="239"/>
      <c r="J36" s="239"/>
      <c r="K36" s="239"/>
      <c r="L36" s="239"/>
      <c r="M36" s="239"/>
    </row>
    <row r="37" ht="20.25" customHeight="1">
      <c r="B37" s="349"/>
      <c r="C37" s="238"/>
      <c r="D37" s="352"/>
      <c r="E37" s="239"/>
      <c r="F37" s="239"/>
      <c r="G37" s="239"/>
      <c r="H37" s="239"/>
      <c r="I37" s="239"/>
      <c r="J37" s="239"/>
      <c r="K37" s="239"/>
      <c r="L37" s="239"/>
      <c r="M37" s="239"/>
    </row>
    <row r="38" ht="20.25" customHeight="1">
      <c r="A38" s="238"/>
      <c r="B38" s="349"/>
      <c r="C38" s="238"/>
      <c r="D38" s="352"/>
      <c r="E38" s="239"/>
      <c r="F38" s="239"/>
      <c r="G38" s="239"/>
      <c r="H38" s="239"/>
      <c r="I38" s="239"/>
      <c r="J38" s="239"/>
      <c r="K38" s="239"/>
      <c r="L38" s="239"/>
      <c r="M38" s="239"/>
    </row>
    <row r="39" ht="20.25" customHeight="1">
      <c r="A39" s="238"/>
      <c r="B39" s="349"/>
      <c r="C39" s="238"/>
      <c r="D39" s="352"/>
      <c r="E39" s="239"/>
      <c r="F39" s="239"/>
      <c r="G39" s="239"/>
      <c r="H39" s="239"/>
      <c r="I39" s="239"/>
      <c r="J39" s="239"/>
      <c r="K39" s="239"/>
      <c r="L39" s="239"/>
      <c r="M39" s="239"/>
    </row>
    <row r="40" ht="20.25" customHeight="1">
      <c r="A40" s="238"/>
      <c r="B40" s="349"/>
      <c r="C40" s="238"/>
      <c r="D40" s="352"/>
      <c r="E40" s="239"/>
      <c r="F40" s="239"/>
      <c r="G40" s="239"/>
      <c r="H40" s="239"/>
      <c r="I40" s="239"/>
      <c r="J40" s="239"/>
      <c r="K40" s="239"/>
      <c r="L40" s="239"/>
      <c r="M40" s="239"/>
    </row>
    <row r="41" ht="20.25" customHeight="1">
      <c r="A41" s="238"/>
      <c r="B41" s="353"/>
      <c r="C41" s="238"/>
      <c r="D41" s="352"/>
      <c r="E41" s="239"/>
      <c r="F41" s="239"/>
      <c r="G41" s="239"/>
      <c r="H41" s="239"/>
      <c r="I41" s="239"/>
      <c r="J41" s="239"/>
      <c r="K41" s="239"/>
      <c r="L41" s="239"/>
      <c r="M41" s="239"/>
    </row>
    <row r="42" ht="20.25" customHeight="1">
      <c r="A42" s="238"/>
      <c r="B42" s="348"/>
      <c r="C42" s="238"/>
      <c r="D42" s="352"/>
      <c r="E42" s="239"/>
      <c r="F42" s="239"/>
      <c r="G42" s="239"/>
      <c r="H42" s="239"/>
      <c r="I42" s="239"/>
      <c r="J42" s="239"/>
      <c r="K42" s="239"/>
      <c r="L42" s="239"/>
      <c r="M42" s="239"/>
    </row>
    <row r="43" ht="20.25" customHeight="1">
      <c r="A43" s="238"/>
      <c r="B43" s="238"/>
      <c r="C43" s="238"/>
      <c r="D43" s="352"/>
      <c r="E43" s="239"/>
      <c r="F43" s="239"/>
      <c r="G43" s="239"/>
      <c r="H43" s="239"/>
      <c r="I43" s="239"/>
      <c r="J43" s="239"/>
      <c r="K43" s="239"/>
      <c r="L43" s="239"/>
      <c r="M43" s="239"/>
    </row>
    <row r="44" ht="20.25" customHeight="1">
      <c r="A44" s="238"/>
      <c r="B44" s="238"/>
      <c r="C44" s="238"/>
      <c r="D44" s="352"/>
      <c r="E44" s="239"/>
      <c r="F44" s="239"/>
      <c r="G44" s="239"/>
      <c r="H44" s="239"/>
      <c r="I44" s="239"/>
      <c r="J44" s="239"/>
      <c r="K44" s="239"/>
      <c r="L44" s="239"/>
      <c r="M44" s="239"/>
    </row>
    <row r="45" ht="20.25" customHeight="1">
      <c r="A45" s="238"/>
      <c r="B45" s="238"/>
      <c r="C45" s="238"/>
      <c r="D45" s="352"/>
      <c r="E45" s="239"/>
      <c r="F45" s="239"/>
      <c r="G45" s="239"/>
      <c r="H45" s="239"/>
      <c r="I45" s="239"/>
      <c r="J45" s="239"/>
      <c r="K45" s="239"/>
      <c r="L45" s="239"/>
      <c r="M45" s="239"/>
    </row>
    <row r="46" ht="20.25" customHeight="1">
      <c r="A46" s="238"/>
      <c r="B46" s="238"/>
      <c r="C46" s="238"/>
      <c r="D46" s="352"/>
      <c r="E46" s="239"/>
      <c r="F46" s="239"/>
      <c r="G46" s="239"/>
      <c r="H46" s="239"/>
      <c r="I46" s="239"/>
      <c r="J46" s="239"/>
      <c r="K46" s="239"/>
      <c r="L46" s="239"/>
      <c r="M46" s="239"/>
    </row>
    <row r="47" ht="20.25" customHeight="1">
      <c r="A47" s="238"/>
      <c r="B47" s="238"/>
      <c r="C47" s="238"/>
      <c r="D47" s="352"/>
      <c r="E47" s="239"/>
      <c r="F47" s="239"/>
      <c r="G47" s="239"/>
      <c r="H47" s="239"/>
      <c r="I47" s="239"/>
      <c r="J47" s="239"/>
      <c r="K47" s="239"/>
      <c r="L47" s="239"/>
      <c r="M47" s="239"/>
    </row>
    <row r="48" ht="20.25" customHeight="1">
      <c r="A48" s="238"/>
      <c r="B48" s="238"/>
      <c r="C48" s="238"/>
      <c r="D48" s="352"/>
      <c r="E48" s="239"/>
      <c r="F48" s="239"/>
      <c r="G48" s="239"/>
      <c r="H48" s="239"/>
      <c r="I48" s="239"/>
      <c r="J48" s="239"/>
      <c r="K48" s="239"/>
      <c r="L48" s="239"/>
      <c r="M48" s="239"/>
    </row>
    <row r="49" ht="20.25" customHeight="1">
      <c r="A49" s="238"/>
      <c r="B49" s="238"/>
      <c r="C49" s="238"/>
      <c r="D49" s="352"/>
      <c r="E49" s="239"/>
      <c r="F49" s="239"/>
      <c r="G49" s="239"/>
      <c r="H49" s="239"/>
      <c r="I49" s="239"/>
      <c r="J49" s="239"/>
      <c r="K49" s="239"/>
      <c r="L49" s="239"/>
      <c r="M49" s="239"/>
    </row>
    <row r="50" ht="20.25" customHeight="1">
      <c r="A50" s="238"/>
      <c r="B50" s="238"/>
      <c r="C50" s="238"/>
      <c r="D50" s="352"/>
      <c r="E50" s="239"/>
      <c r="F50" s="239"/>
      <c r="G50" s="239"/>
      <c r="H50" s="239"/>
      <c r="I50" s="239"/>
      <c r="J50" s="239"/>
      <c r="K50" s="239"/>
      <c r="L50" s="239"/>
      <c r="M50" s="239"/>
    </row>
    <row r="51" ht="20.25" customHeight="1">
      <c r="A51" s="238"/>
      <c r="B51" s="238"/>
      <c r="C51" s="238"/>
      <c r="D51" s="352"/>
      <c r="E51" s="239"/>
      <c r="F51" s="239"/>
      <c r="G51" s="239"/>
      <c r="H51" s="239"/>
      <c r="I51" s="239"/>
      <c r="J51" s="239"/>
      <c r="K51" s="239"/>
      <c r="L51" s="239"/>
      <c r="M51" s="239"/>
    </row>
    <row r="52" ht="20.25" customHeight="1">
      <c r="A52" s="238"/>
      <c r="B52" s="238"/>
      <c r="C52" s="238"/>
      <c r="D52" s="352"/>
      <c r="E52" s="239"/>
      <c r="F52" s="239"/>
      <c r="G52" s="239"/>
      <c r="H52" s="239"/>
      <c r="I52" s="239"/>
      <c r="J52" s="239"/>
      <c r="K52" s="239"/>
      <c r="L52" s="239"/>
      <c r="M52" s="239"/>
    </row>
    <row r="53" ht="20.25" customHeight="1">
      <c r="A53" s="238"/>
      <c r="B53" s="238"/>
      <c r="C53" s="238"/>
      <c r="D53" s="352"/>
      <c r="E53" s="239"/>
      <c r="F53" s="239"/>
      <c r="G53" s="239"/>
      <c r="H53" s="239"/>
      <c r="I53" s="239"/>
      <c r="J53" s="239"/>
      <c r="K53" s="239"/>
      <c r="L53" s="239"/>
      <c r="M53" s="239"/>
    </row>
    <row r="54" ht="20.25" customHeight="1">
      <c r="A54" s="238"/>
      <c r="B54" s="238"/>
      <c r="C54" s="238"/>
      <c r="D54" s="352"/>
      <c r="E54" s="239"/>
      <c r="F54" s="239"/>
      <c r="G54" s="239"/>
      <c r="H54" s="239"/>
      <c r="I54" s="239"/>
      <c r="J54" s="239"/>
      <c r="K54" s="239"/>
      <c r="L54" s="239"/>
      <c r="M54" s="239"/>
    </row>
    <row r="55" ht="20.25" customHeight="1">
      <c r="A55" s="238"/>
      <c r="B55" s="238"/>
      <c r="C55" s="238"/>
      <c r="D55" s="352"/>
      <c r="E55" s="239"/>
      <c r="F55" s="239"/>
      <c r="G55" s="239"/>
      <c r="H55" s="239"/>
      <c r="I55" s="239"/>
      <c r="J55" s="239"/>
      <c r="K55" s="239"/>
      <c r="L55" s="239"/>
      <c r="M55" s="239"/>
    </row>
    <row r="56" ht="20.25" customHeight="1">
      <c r="A56" s="238"/>
      <c r="B56" s="238"/>
      <c r="C56" s="238"/>
      <c r="D56" s="352"/>
      <c r="E56" s="239"/>
      <c r="F56" s="239"/>
      <c r="G56" s="239"/>
      <c r="H56" s="239"/>
      <c r="I56" s="239"/>
      <c r="J56" s="239"/>
      <c r="K56" s="239"/>
      <c r="L56" s="239"/>
      <c r="M56" s="239"/>
    </row>
    <row r="57" ht="20.25" customHeight="1">
      <c r="A57" s="238"/>
      <c r="B57" s="238"/>
      <c r="C57" s="238"/>
      <c r="D57" s="352"/>
      <c r="E57" s="239"/>
      <c r="F57" s="239"/>
      <c r="G57" s="239"/>
      <c r="H57" s="239"/>
      <c r="I57" s="239"/>
      <c r="J57" s="239"/>
      <c r="K57" s="239"/>
      <c r="L57" s="239"/>
      <c r="M57" s="239"/>
    </row>
    <row r="58" ht="20.25" customHeight="1">
      <c r="A58" s="238"/>
      <c r="B58" s="238"/>
      <c r="C58" s="238"/>
      <c r="D58" s="352"/>
      <c r="E58" s="239"/>
      <c r="F58" s="239"/>
      <c r="G58" s="239"/>
      <c r="H58" s="239"/>
      <c r="I58" s="239"/>
      <c r="J58" s="239"/>
      <c r="K58" s="239"/>
      <c r="L58" s="239"/>
      <c r="M58" s="239"/>
    </row>
    <row r="59" ht="20.25" customHeight="1">
      <c r="A59" s="238"/>
      <c r="B59" s="238"/>
      <c r="C59" s="238"/>
      <c r="D59" s="352"/>
      <c r="E59" s="239"/>
      <c r="F59" s="239"/>
      <c r="G59" s="239"/>
      <c r="H59" s="239"/>
      <c r="I59" s="239"/>
      <c r="J59" s="239"/>
      <c r="K59" s="239"/>
      <c r="L59" s="239"/>
      <c r="M59" s="239"/>
    </row>
    <row r="60" ht="20.25" customHeight="1">
      <c r="A60" s="238"/>
      <c r="B60" s="238"/>
      <c r="C60" s="238"/>
      <c r="D60" s="352"/>
      <c r="E60" s="239"/>
      <c r="F60" s="239"/>
      <c r="G60" s="239"/>
      <c r="H60" s="239"/>
      <c r="I60" s="239"/>
      <c r="J60" s="239"/>
      <c r="K60" s="239"/>
      <c r="L60" s="239"/>
      <c r="M60" s="239"/>
    </row>
    <row r="61" ht="20.25" customHeight="1">
      <c r="A61" s="238"/>
      <c r="B61" s="238"/>
      <c r="C61" s="238"/>
      <c r="D61" s="352"/>
      <c r="E61" s="239"/>
      <c r="F61" s="239"/>
      <c r="G61" s="239"/>
      <c r="H61" s="239"/>
      <c r="I61" s="239"/>
      <c r="J61" s="239"/>
      <c r="K61" s="239"/>
      <c r="L61" s="239"/>
      <c r="M61" s="239"/>
    </row>
    <row r="62" ht="20.25" customHeight="1">
      <c r="A62" s="238"/>
      <c r="B62" s="238"/>
      <c r="C62" s="238"/>
      <c r="D62" s="352"/>
      <c r="E62" s="239"/>
      <c r="F62" s="239"/>
      <c r="G62" s="239"/>
      <c r="H62" s="239"/>
      <c r="I62" s="239"/>
      <c r="J62" s="239"/>
      <c r="K62" s="239"/>
      <c r="L62" s="239"/>
      <c r="M62" s="239"/>
    </row>
    <row r="63" ht="20.25" customHeight="1">
      <c r="A63" s="238"/>
      <c r="B63" s="238"/>
      <c r="C63" s="238"/>
      <c r="D63" s="352"/>
      <c r="E63" s="239"/>
      <c r="F63" s="239"/>
      <c r="G63" s="239"/>
      <c r="H63" s="239"/>
      <c r="I63" s="239"/>
      <c r="J63" s="239"/>
      <c r="K63" s="239"/>
      <c r="L63" s="239"/>
      <c r="M63" s="239"/>
    </row>
    <row r="64" ht="20.25" customHeight="1">
      <c r="A64" s="238"/>
      <c r="B64" s="238"/>
      <c r="C64" s="238"/>
      <c r="D64" s="352"/>
      <c r="E64" s="239"/>
      <c r="F64" s="239"/>
      <c r="G64" s="239"/>
      <c r="H64" s="239"/>
      <c r="I64" s="239"/>
      <c r="J64" s="239"/>
      <c r="K64" s="239"/>
      <c r="L64" s="239"/>
      <c r="M64" s="239"/>
    </row>
    <row r="65" ht="20.25" customHeight="1">
      <c r="A65" s="238"/>
      <c r="B65" s="238"/>
      <c r="C65" s="238"/>
      <c r="D65" s="352"/>
      <c r="E65" s="239"/>
      <c r="F65" s="239"/>
      <c r="G65" s="239"/>
      <c r="H65" s="239"/>
      <c r="I65" s="239"/>
      <c r="J65" s="239"/>
      <c r="K65" s="239"/>
      <c r="L65" s="239"/>
      <c r="M65" s="239"/>
    </row>
    <row r="66" ht="20.25" customHeight="1">
      <c r="A66" s="238"/>
      <c r="B66" s="238"/>
      <c r="C66" s="238"/>
      <c r="D66" s="352"/>
      <c r="E66" s="239"/>
      <c r="F66" s="239"/>
      <c r="G66" s="239"/>
      <c r="H66" s="239"/>
      <c r="I66" s="239"/>
      <c r="J66" s="239"/>
      <c r="K66" s="239"/>
      <c r="L66" s="239"/>
      <c r="M66" s="239"/>
    </row>
    <row r="67" ht="20.25" customHeight="1">
      <c r="A67" s="238"/>
      <c r="B67" s="238"/>
      <c r="C67" s="238"/>
      <c r="D67" s="352"/>
      <c r="E67" s="239"/>
      <c r="F67" s="239"/>
      <c r="G67" s="239"/>
      <c r="H67" s="239"/>
      <c r="I67" s="239"/>
      <c r="J67" s="239"/>
      <c r="K67" s="239"/>
      <c r="L67" s="239"/>
      <c r="M67" s="239"/>
    </row>
    <row r="68" ht="20.25" customHeight="1">
      <c r="A68" s="238"/>
      <c r="B68" s="238"/>
      <c r="C68" s="238"/>
      <c r="D68" s="352"/>
      <c r="E68" s="239"/>
      <c r="F68" s="239"/>
      <c r="G68" s="239"/>
      <c r="H68" s="239"/>
      <c r="I68" s="239"/>
      <c r="J68" s="239"/>
      <c r="K68" s="239"/>
      <c r="L68" s="239"/>
      <c r="M68" s="239"/>
    </row>
    <row r="69" ht="20.25" customHeight="1">
      <c r="A69" s="238"/>
      <c r="B69" s="238"/>
      <c r="C69" s="238"/>
      <c r="D69" s="352"/>
      <c r="E69" s="239"/>
      <c r="F69" s="239"/>
      <c r="G69" s="239"/>
      <c r="H69" s="239"/>
      <c r="I69" s="239"/>
      <c r="J69" s="239"/>
      <c r="K69" s="239"/>
      <c r="L69" s="239"/>
      <c r="M69" s="239"/>
    </row>
    <row r="70" ht="20.25" customHeight="1">
      <c r="A70" s="238"/>
      <c r="B70" s="238"/>
      <c r="C70" s="238"/>
      <c r="D70" s="352"/>
      <c r="E70" s="239"/>
      <c r="F70" s="239"/>
      <c r="G70" s="239"/>
      <c r="H70" s="239"/>
      <c r="I70" s="239"/>
      <c r="J70" s="239"/>
      <c r="K70" s="239"/>
      <c r="L70" s="239"/>
      <c r="M70" s="239"/>
    </row>
    <row r="71" ht="20.25" customHeight="1">
      <c r="A71" s="238"/>
      <c r="B71" s="238"/>
      <c r="C71" s="238"/>
      <c r="D71" s="352"/>
      <c r="E71" s="239"/>
      <c r="F71" s="239"/>
      <c r="G71" s="239"/>
      <c r="H71" s="239"/>
      <c r="I71" s="239"/>
      <c r="J71" s="239"/>
      <c r="K71" s="239"/>
      <c r="L71" s="239"/>
      <c r="M71" s="239"/>
    </row>
    <row r="72" ht="20.25" customHeight="1">
      <c r="A72" s="238"/>
      <c r="B72" s="238"/>
      <c r="C72" s="238"/>
      <c r="D72" s="352"/>
      <c r="E72" s="239"/>
      <c r="F72" s="239"/>
      <c r="G72" s="239"/>
      <c r="H72" s="239"/>
      <c r="I72" s="239"/>
      <c r="J72" s="239"/>
      <c r="K72" s="239"/>
      <c r="L72" s="239"/>
      <c r="M72" s="239"/>
    </row>
    <row r="73" ht="20.25" customHeight="1">
      <c r="A73" s="238"/>
      <c r="B73" s="238"/>
      <c r="C73" s="238"/>
      <c r="D73" s="352"/>
      <c r="E73" s="239"/>
      <c r="F73" s="239"/>
      <c r="G73" s="239"/>
      <c r="H73" s="239"/>
      <c r="I73" s="239"/>
      <c r="J73" s="239"/>
      <c r="K73" s="239"/>
      <c r="L73" s="239"/>
      <c r="M73" s="239"/>
    </row>
    <row r="74" ht="20.25" customHeight="1">
      <c r="A74" s="238"/>
      <c r="B74" s="238"/>
      <c r="C74" s="238"/>
      <c r="D74" s="352"/>
      <c r="E74" s="239"/>
      <c r="F74" s="239"/>
      <c r="G74" s="239"/>
      <c r="H74" s="239"/>
      <c r="I74" s="239"/>
      <c r="J74" s="239"/>
      <c r="K74" s="239"/>
      <c r="L74" s="239"/>
      <c r="M74" s="239"/>
    </row>
    <row r="75" ht="20.25" customHeight="1">
      <c r="A75" s="238"/>
      <c r="B75" s="238"/>
      <c r="C75" s="238"/>
      <c r="D75" s="352"/>
      <c r="E75" s="239"/>
      <c r="F75" s="239"/>
      <c r="G75" s="239"/>
      <c r="H75" s="239"/>
      <c r="I75" s="239"/>
      <c r="J75" s="239"/>
      <c r="K75" s="239"/>
      <c r="L75" s="239"/>
      <c r="M75" s="239"/>
    </row>
    <row r="76" ht="20.25" customHeight="1">
      <c r="A76" s="238"/>
      <c r="B76" s="238"/>
      <c r="C76" s="238"/>
      <c r="D76" s="352"/>
      <c r="E76" s="239"/>
      <c r="F76" s="239"/>
      <c r="G76" s="239"/>
      <c r="H76" s="239"/>
      <c r="I76" s="239"/>
      <c r="J76" s="239"/>
      <c r="K76" s="239"/>
      <c r="L76" s="239"/>
      <c r="M76" s="239"/>
    </row>
    <row r="77" ht="20.25" customHeight="1">
      <c r="A77" s="238"/>
      <c r="B77" s="238"/>
      <c r="C77" s="238"/>
      <c r="D77" s="352"/>
      <c r="E77" s="239"/>
      <c r="F77" s="239"/>
      <c r="G77" s="239"/>
      <c r="H77" s="239"/>
      <c r="I77" s="239"/>
      <c r="J77" s="239"/>
      <c r="K77" s="239"/>
      <c r="L77" s="239"/>
      <c r="M77" s="239"/>
    </row>
    <row r="78" ht="20.25" customHeight="1">
      <c r="A78" s="238"/>
      <c r="B78" s="238"/>
      <c r="C78" s="238"/>
      <c r="D78" s="352"/>
      <c r="E78" s="239"/>
      <c r="F78" s="239"/>
      <c r="G78" s="239"/>
      <c r="H78" s="239"/>
      <c r="I78" s="239"/>
      <c r="J78" s="239"/>
      <c r="K78" s="239"/>
      <c r="L78" s="239"/>
      <c r="M78" s="239"/>
    </row>
    <row r="79" ht="20.25" customHeight="1">
      <c r="A79" s="238"/>
      <c r="B79" s="238"/>
      <c r="C79" s="238"/>
      <c r="D79" s="352"/>
      <c r="E79" s="239"/>
      <c r="F79" s="239"/>
      <c r="G79" s="239"/>
      <c r="H79" s="239"/>
      <c r="I79" s="239"/>
      <c r="J79" s="239"/>
      <c r="K79" s="239"/>
      <c r="L79" s="239"/>
      <c r="M79" s="239"/>
    </row>
    <row r="80" ht="20.25" customHeight="1">
      <c r="A80" s="238"/>
      <c r="B80" s="238"/>
      <c r="C80" s="238"/>
      <c r="D80" s="352"/>
      <c r="E80" s="239"/>
      <c r="F80" s="239"/>
      <c r="G80" s="239"/>
      <c r="H80" s="239"/>
      <c r="I80" s="239"/>
      <c r="J80" s="239"/>
      <c r="K80" s="239"/>
      <c r="L80" s="239"/>
      <c r="M80" s="239"/>
    </row>
    <row r="81" ht="20.25" customHeight="1">
      <c r="A81" s="238"/>
      <c r="B81" s="238"/>
      <c r="C81" s="238"/>
      <c r="D81" s="352"/>
      <c r="E81" s="239"/>
      <c r="F81" s="239"/>
      <c r="G81" s="239"/>
      <c r="H81" s="239"/>
      <c r="I81" s="239"/>
      <c r="J81" s="239"/>
      <c r="K81" s="239"/>
      <c r="L81" s="239"/>
      <c r="M81" s="239"/>
    </row>
    <row r="82" ht="20.25" customHeight="1">
      <c r="A82" s="238"/>
      <c r="B82" s="238"/>
      <c r="C82" s="238"/>
      <c r="D82" s="352"/>
      <c r="E82" s="239"/>
      <c r="F82" s="239"/>
      <c r="G82" s="239"/>
      <c r="H82" s="239"/>
      <c r="I82" s="239"/>
      <c r="J82" s="239"/>
      <c r="K82" s="239"/>
      <c r="L82" s="239"/>
      <c r="M82" s="239"/>
    </row>
    <row r="83" ht="20.25" customHeight="1">
      <c r="A83" s="238"/>
      <c r="B83" s="238"/>
      <c r="C83" s="238"/>
      <c r="D83" s="352"/>
      <c r="E83" s="239"/>
      <c r="F83" s="239"/>
      <c r="G83" s="239"/>
      <c r="H83" s="239"/>
      <c r="I83" s="239"/>
      <c r="J83" s="239"/>
      <c r="K83" s="239"/>
      <c r="L83" s="239"/>
      <c r="M83" s="239"/>
    </row>
    <row r="84" ht="20.25" customHeight="1">
      <c r="A84" s="238"/>
      <c r="B84" s="238"/>
      <c r="C84" s="238"/>
      <c r="D84" s="352"/>
      <c r="E84" s="239"/>
      <c r="F84" s="239"/>
      <c r="G84" s="239"/>
      <c r="H84" s="239"/>
      <c r="I84" s="239"/>
      <c r="J84" s="239"/>
      <c r="K84" s="239"/>
      <c r="L84" s="239"/>
      <c r="M84" s="239"/>
    </row>
    <row r="85" ht="20.25" customHeight="1">
      <c r="A85" s="238"/>
      <c r="B85" s="238"/>
      <c r="C85" s="238"/>
      <c r="D85" s="352"/>
      <c r="E85" s="239"/>
      <c r="F85" s="239"/>
      <c r="G85" s="239"/>
      <c r="H85" s="239"/>
      <c r="I85" s="239"/>
      <c r="J85" s="239"/>
      <c r="K85" s="239"/>
      <c r="L85" s="239"/>
      <c r="M85" s="239"/>
    </row>
    <row r="86" ht="20.25" customHeight="1">
      <c r="A86" s="238"/>
      <c r="B86" s="238"/>
      <c r="C86" s="238"/>
      <c r="D86" s="352"/>
      <c r="E86" s="239"/>
      <c r="F86" s="239"/>
      <c r="G86" s="239"/>
      <c r="H86" s="239"/>
      <c r="I86" s="239"/>
      <c r="J86" s="239"/>
      <c r="K86" s="239"/>
      <c r="L86" s="239"/>
      <c r="M86" s="239"/>
    </row>
    <row r="87" ht="20.25" customHeight="1">
      <c r="A87" s="238"/>
      <c r="B87" s="238"/>
      <c r="C87" s="238"/>
      <c r="D87" s="352"/>
      <c r="E87" s="239"/>
      <c r="F87" s="239"/>
      <c r="G87" s="239"/>
      <c r="H87" s="239"/>
      <c r="I87" s="239"/>
      <c r="J87" s="239"/>
      <c r="K87" s="239"/>
      <c r="L87" s="239"/>
      <c r="M87" s="239"/>
    </row>
    <row r="88" ht="20.25" customHeight="1">
      <c r="A88" s="238"/>
      <c r="B88" s="238"/>
      <c r="C88" s="238"/>
      <c r="D88" s="352"/>
      <c r="E88" s="239"/>
      <c r="F88" s="239"/>
      <c r="G88" s="239"/>
      <c r="H88" s="239"/>
      <c r="I88" s="239"/>
      <c r="J88" s="239"/>
      <c r="K88" s="239"/>
      <c r="L88" s="239"/>
      <c r="M88" s="239"/>
    </row>
    <row r="89" ht="20.25" customHeight="1">
      <c r="A89" s="238"/>
      <c r="B89" s="238"/>
      <c r="C89" s="238"/>
      <c r="D89" s="352"/>
      <c r="E89" s="239"/>
      <c r="F89" s="239"/>
      <c r="G89" s="239"/>
      <c r="H89" s="239"/>
      <c r="I89" s="239"/>
      <c r="J89" s="239"/>
      <c r="K89" s="239"/>
      <c r="L89" s="239"/>
      <c r="M89" s="239"/>
    </row>
    <row r="90" ht="20.25" customHeight="1">
      <c r="A90" s="238"/>
      <c r="B90" s="238"/>
      <c r="C90" s="238"/>
      <c r="D90" s="352"/>
      <c r="E90" s="239"/>
      <c r="F90" s="239"/>
      <c r="G90" s="239"/>
      <c r="H90" s="239"/>
      <c r="I90" s="239"/>
      <c r="J90" s="239"/>
      <c r="K90" s="239"/>
      <c r="L90" s="239"/>
      <c r="M90" s="239"/>
    </row>
    <row r="91" ht="20.25" customHeight="1">
      <c r="A91" s="238"/>
      <c r="B91" s="238"/>
      <c r="C91" s="238"/>
      <c r="D91" s="352"/>
      <c r="E91" s="239"/>
      <c r="F91" s="239"/>
      <c r="G91" s="239"/>
      <c r="H91" s="239"/>
      <c r="I91" s="239"/>
      <c r="J91" s="239"/>
      <c r="K91" s="239"/>
      <c r="L91" s="239"/>
      <c r="M91" s="239"/>
    </row>
    <row r="92" ht="20.25" customHeight="1">
      <c r="A92" s="238"/>
      <c r="B92" s="238"/>
      <c r="C92" s="238"/>
      <c r="D92" s="352"/>
      <c r="E92" s="239"/>
      <c r="F92" s="239"/>
      <c r="G92" s="239"/>
      <c r="H92" s="239"/>
      <c r="I92" s="239"/>
      <c r="J92" s="239"/>
      <c r="K92" s="239"/>
      <c r="L92" s="239"/>
      <c r="M92" s="239"/>
    </row>
    <row r="93" ht="20.25" customHeight="1">
      <c r="A93" s="238"/>
      <c r="B93" s="238"/>
      <c r="C93" s="238"/>
      <c r="D93" s="352"/>
      <c r="E93" s="239"/>
      <c r="F93" s="239"/>
      <c r="G93" s="239"/>
      <c r="H93" s="239"/>
      <c r="I93" s="239"/>
      <c r="J93" s="239"/>
      <c r="K93" s="239"/>
      <c r="L93" s="239"/>
      <c r="M93" s="239"/>
    </row>
    <row r="94" ht="20.25" customHeight="1">
      <c r="A94" s="238"/>
      <c r="B94" s="238"/>
      <c r="C94" s="238"/>
      <c r="D94" s="352"/>
      <c r="E94" s="239"/>
      <c r="F94" s="239"/>
      <c r="G94" s="239"/>
      <c r="H94" s="239"/>
      <c r="I94" s="239"/>
      <c r="J94" s="239"/>
      <c r="K94" s="239"/>
      <c r="L94" s="239"/>
      <c r="M94" s="239"/>
    </row>
    <row r="95" ht="20.25" customHeight="1">
      <c r="A95" s="238"/>
      <c r="B95" s="238"/>
      <c r="C95" s="238"/>
      <c r="D95" s="352"/>
      <c r="E95" s="239"/>
      <c r="F95" s="239"/>
      <c r="G95" s="239"/>
      <c r="H95" s="239"/>
      <c r="I95" s="239"/>
      <c r="J95" s="239"/>
      <c r="K95" s="239"/>
      <c r="L95" s="239"/>
      <c r="M95" s="239"/>
    </row>
    <row r="96" ht="20.25" customHeight="1">
      <c r="A96" s="238"/>
      <c r="B96" s="238"/>
      <c r="C96" s="238"/>
      <c r="D96" s="352"/>
      <c r="E96" s="239"/>
      <c r="F96" s="239"/>
      <c r="G96" s="239"/>
      <c r="H96" s="239"/>
      <c r="I96" s="239"/>
      <c r="J96" s="239"/>
      <c r="K96" s="239"/>
      <c r="L96" s="239"/>
      <c r="M96" s="239"/>
    </row>
    <row r="97" ht="20.25" customHeight="1">
      <c r="A97" s="238"/>
      <c r="B97" s="238"/>
      <c r="C97" s="238"/>
      <c r="D97" s="352"/>
      <c r="E97" s="239"/>
      <c r="F97" s="239"/>
      <c r="G97" s="239"/>
      <c r="H97" s="239"/>
      <c r="I97" s="239"/>
      <c r="J97" s="239"/>
      <c r="K97" s="239"/>
      <c r="L97" s="239"/>
      <c r="M97" s="239"/>
    </row>
    <row r="98" ht="20.25" customHeight="1">
      <c r="A98" s="238"/>
      <c r="B98" s="238"/>
      <c r="C98" s="238"/>
      <c r="D98" s="352"/>
      <c r="E98" s="239"/>
      <c r="F98" s="239"/>
      <c r="G98" s="239"/>
      <c r="H98" s="239"/>
      <c r="I98" s="239"/>
      <c r="J98" s="239"/>
      <c r="K98" s="239"/>
      <c r="L98" s="239"/>
      <c r="M98" s="239"/>
    </row>
    <row r="99" ht="20.25" customHeight="1">
      <c r="A99" s="238"/>
      <c r="B99" s="238"/>
      <c r="C99" s="238"/>
      <c r="D99" s="352"/>
      <c r="E99" s="239"/>
      <c r="F99" s="239"/>
      <c r="G99" s="239"/>
      <c r="H99" s="239"/>
      <c r="I99" s="239"/>
      <c r="J99" s="239"/>
      <c r="K99" s="239"/>
      <c r="L99" s="239"/>
      <c r="M99" s="239"/>
    </row>
    <row r="100" ht="20.25" customHeight="1">
      <c r="A100" s="238"/>
      <c r="B100" s="238"/>
      <c r="C100" s="238"/>
      <c r="D100" s="352"/>
      <c r="E100" s="239"/>
      <c r="F100" s="239"/>
      <c r="G100" s="239"/>
      <c r="H100" s="239"/>
      <c r="I100" s="239"/>
      <c r="J100" s="239"/>
      <c r="K100" s="239"/>
      <c r="L100" s="239"/>
      <c r="M100" s="239"/>
    </row>
    <row r="101" ht="20.25" customHeight="1">
      <c r="A101" s="238"/>
      <c r="B101" s="238"/>
      <c r="C101" s="238"/>
      <c r="D101" s="352"/>
      <c r="E101" s="239"/>
      <c r="F101" s="239"/>
      <c r="G101" s="239"/>
      <c r="H101" s="239"/>
      <c r="I101" s="239"/>
      <c r="J101" s="239"/>
      <c r="K101" s="239"/>
      <c r="L101" s="239"/>
      <c r="M101" s="239"/>
    </row>
    <row r="102" ht="20.25" customHeight="1">
      <c r="A102" s="238"/>
      <c r="B102" s="238"/>
      <c r="C102" s="238"/>
      <c r="D102" s="352"/>
      <c r="E102" s="239"/>
      <c r="F102" s="239"/>
      <c r="G102" s="239"/>
      <c r="H102" s="239"/>
      <c r="I102" s="239"/>
      <c r="J102" s="239"/>
      <c r="K102" s="239"/>
      <c r="L102" s="239"/>
      <c r="M102" s="239"/>
    </row>
    <row r="103" ht="20.25" customHeight="1">
      <c r="A103" s="238"/>
      <c r="B103" s="238"/>
      <c r="C103" s="238"/>
      <c r="D103" s="352"/>
      <c r="E103" s="239"/>
      <c r="F103" s="239"/>
      <c r="G103" s="239"/>
      <c r="H103" s="239"/>
      <c r="I103" s="239"/>
      <c r="J103" s="239"/>
      <c r="K103" s="239"/>
      <c r="L103" s="239"/>
      <c r="M103" s="239"/>
    </row>
    <row r="104" ht="20.25" customHeight="1">
      <c r="A104" s="238"/>
      <c r="B104" s="238"/>
      <c r="C104" s="238"/>
      <c r="D104" s="352"/>
      <c r="E104" s="239"/>
      <c r="F104" s="239"/>
      <c r="G104" s="239"/>
      <c r="H104" s="239"/>
      <c r="I104" s="239"/>
      <c r="J104" s="239"/>
      <c r="K104" s="239"/>
      <c r="L104" s="239"/>
      <c r="M104" s="239"/>
    </row>
    <row r="105" ht="20.25" customHeight="1">
      <c r="A105" s="238"/>
      <c r="B105" s="238"/>
      <c r="C105" s="238"/>
      <c r="D105" s="352"/>
      <c r="E105" s="239"/>
      <c r="F105" s="239"/>
      <c r="G105" s="239"/>
      <c r="H105" s="239"/>
      <c r="I105" s="239"/>
      <c r="J105" s="239"/>
      <c r="K105" s="239"/>
      <c r="L105" s="239"/>
      <c r="M105" s="239"/>
    </row>
    <row r="106" ht="20.25" customHeight="1">
      <c r="A106" s="238"/>
      <c r="B106" s="238"/>
      <c r="C106" s="238"/>
      <c r="D106" s="352"/>
      <c r="E106" s="239"/>
      <c r="F106" s="239"/>
      <c r="G106" s="239"/>
      <c r="H106" s="239"/>
      <c r="I106" s="239"/>
      <c r="J106" s="239"/>
      <c r="K106" s="239"/>
      <c r="L106" s="239"/>
      <c r="M106" s="239"/>
    </row>
    <row r="107" ht="20.25" customHeight="1">
      <c r="A107" s="238"/>
      <c r="B107" s="238"/>
      <c r="C107" s="238"/>
      <c r="D107" s="352"/>
      <c r="E107" s="239"/>
      <c r="F107" s="239"/>
      <c r="G107" s="239"/>
      <c r="H107" s="239"/>
      <c r="I107" s="239"/>
      <c r="J107" s="239"/>
      <c r="K107" s="239"/>
      <c r="L107" s="239"/>
      <c r="M107" s="239"/>
    </row>
    <row r="108" ht="20.25" customHeight="1">
      <c r="A108" s="238"/>
      <c r="B108" s="238"/>
      <c r="C108" s="238"/>
      <c r="D108" s="352"/>
      <c r="E108" s="239"/>
      <c r="F108" s="239"/>
      <c r="G108" s="239"/>
      <c r="H108" s="239"/>
      <c r="I108" s="239"/>
      <c r="J108" s="239"/>
      <c r="K108" s="239"/>
      <c r="L108" s="239"/>
      <c r="M108" s="239"/>
    </row>
    <row r="109" ht="20.25" customHeight="1">
      <c r="A109" s="238"/>
      <c r="B109" s="238"/>
      <c r="C109" s="238"/>
      <c r="D109" s="352"/>
      <c r="E109" s="239"/>
      <c r="F109" s="239"/>
      <c r="G109" s="239"/>
      <c r="H109" s="239"/>
      <c r="I109" s="239"/>
      <c r="J109" s="239"/>
      <c r="K109" s="239"/>
      <c r="L109" s="239"/>
      <c r="M109" s="239"/>
    </row>
    <row r="110" ht="20.25" customHeight="1">
      <c r="A110" s="238"/>
      <c r="B110" s="238"/>
      <c r="C110" s="238"/>
      <c r="D110" s="352"/>
      <c r="E110" s="239"/>
      <c r="F110" s="239"/>
      <c r="G110" s="239"/>
      <c r="H110" s="239"/>
      <c r="I110" s="239"/>
      <c r="J110" s="239"/>
      <c r="K110" s="239"/>
      <c r="L110" s="239"/>
      <c r="M110" s="239"/>
    </row>
    <row r="111" ht="20.25" customHeight="1">
      <c r="A111" s="238"/>
      <c r="B111" s="238"/>
      <c r="C111" s="238"/>
      <c r="D111" s="352"/>
      <c r="E111" s="239"/>
      <c r="F111" s="239"/>
      <c r="G111" s="239"/>
      <c r="H111" s="239"/>
      <c r="I111" s="239"/>
      <c r="J111" s="239"/>
      <c r="K111" s="239"/>
      <c r="L111" s="239"/>
      <c r="M111" s="239"/>
    </row>
    <row r="112" ht="20.25" customHeight="1">
      <c r="A112" s="238"/>
      <c r="B112" s="238"/>
      <c r="C112" s="238"/>
      <c r="D112" s="352"/>
      <c r="E112" s="239"/>
      <c r="F112" s="239"/>
      <c r="G112" s="239"/>
      <c r="H112" s="239"/>
      <c r="I112" s="239"/>
      <c r="J112" s="239"/>
      <c r="K112" s="239"/>
      <c r="L112" s="239"/>
      <c r="M112" s="239"/>
    </row>
    <row r="113" ht="20.25" customHeight="1">
      <c r="A113" s="238"/>
      <c r="B113" s="238"/>
      <c r="C113" s="238"/>
      <c r="D113" s="352"/>
      <c r="E113" s="239"/>
      <c r="F113" s="239"/>
      <c r="G113" s="239"/>
      <c r="H113" s="239"/>
      <c r="I113" s="239"/>
      <c r="J113" s="239"/>
      <c r="K113" s="239"/>
      <c r="L113" s="239"/>
      <c r="M113" s="239"/>
    </row>
    <row r="114" ht="20.25" customHeight="1">
      <c r="A114" s="238"/>
      <c r="B114" s="238"/>
      <c r="C114" s="238"/>
      <c r="D114" s="352"/>
      <c r="E114" s="239"/>
      <c r="F114" s="239"/>
      <c r="G114" s="239"/>
      <c r="H114" s="239"/>
      <c r="I114" s="239"/>
      <c r="J114" s="239"/>
      <c r="K114" s="239"/>
      <c r="L114" s="239"/>
      <c r="M114" s="239"/>
    </row>
    <row r="115" ht="20.25" customHeight="1">
      <c r="A115" s="238"/>
      <c r="B115" s="238"/>
      <c r="C115" s="238"/>
      <c r="D115" s="352"/>
      <c r="E115" s="239"/>
      <c r="F115" s="239"/>
      <c r="G115" s="239"/>
      <c r="H115" s="239"/>
      <c r="I115" s="239"/>
      <c r="J115" s="239"/>
      <c r="K115" s="239"/>
      <c r="L115" s="239"/>
      <c r="M115" s="239"/>
    </row>
    <row r="116" ht="20.25" customHeight="1">
      <c r="A116" s="238"/>
      <c r="B116" s="238"/>
      <c r="C116" s="238"/>
      <c r="D116" s="352"/>
      <c r="E116" s="239"/>
      <c r="F116" s="239"/>
      <c r="G116" s="239"/>
      <c r="H116" s="239"/>
      <c r="I116" s="239"/>
      <c r="J116" s="239"/>
      <c r="K116" s="239"/>
      <c r="L116" s="239"/>
      <c r="M116" s="239"/>
    </row>
    <row r="117" ht="20.25" customHeight="1">
      <c r="A117" s="238"/>
      <c r="B117" s="238"/>
      <c r="C117" s="238"/>
      <c r="D117" s="352"/>
      <c r="E117" s="239"/>
      <c r="F117" s="239"/>
      <c r="G117" s="239"/>
      <c r="H117" s="239"/>
      <c r="I117" s="239"/>
      <c r="J117" s="239"/>
      <c r="K117" s="239"/>
      <c r="L117" s="239"/>
      <c r="M117" s="239"/>
    </row>
    <row r="118" ht="20.25" customHeight="1">
      <c r="A118" s="238"/>
      <c r="B118" s="238"/>
      <c r="C118" s="238"/>
      <c r="D118" s="352"/>
      <c r="E118" s="239"/>
      <c r="F118" s="239"/>
      <c r="G118" s="239"/>
      <c r="H118" s="239"/>
      <c r="I118" s="239"/>
      <c r="J118" s="239"/>
      <c r="K118" s="239"/>
      <c r="L118" s="239"/>
      <c r="M118" s="239"/>
    </row>
    <row r="119" ht="20.25" customHeight="1">
      <c r="A119" s="238"/>
      <c r="B119" s="238"/>
      <c r="C119" s="238"/>
      <c r="D119" s="352"/>
      <c r="E119" s="239"/>
      <c r="F119" s="239"/>
      <c r="G119" s="239"/>
      <c r="H119" s="239"/>
      <c r="I119" s="239"/>
      <c r="J119" s="239"/>
      <c r="K119" s="239"/>
      <c r="L119" s="239"/>
      <c r="M119" s="239"/>
    </row>
    <row r="120" ht="20.25" customHeight="1">
      <c r="A120" s="238"/>
      <c r="B120" s="238"/>
      <c r="C120" s="238"/>
      <c r="D120" s="352"/>
      <c r="E120" s="239"/>
      <c r="F120" s="239"/>
      <c r="G120" s="239"/>
      <c r="H120" s="239"/>
      <c r="I120" s="239"/>
      <c r="J120" s="239"/>
      <c r="K120" s="239"/>
      <c r="L120" s="239"/>
      <c r="M120" s="239"/>
    </row>
    <row r="121" ht="20.25" customHeight="1">
      <c r="A121" s="238"/>
      <c r="B121" s="238"/>
      <c r="C121" s="238"/>
      <c r="D121" s="352"/>
      <c r="E121" s="239"/>
      <c r="F121" s="239"/>
      <c r="G121" s="239"/>
      <c r="H121" s="239"/>
      <c r="I121" s="239"/>
      <c r="J121" s="239"/>
      <c r="K121" s="239"/>
      <c r="L121" s="239"/>
      <c r="M121" s="239"/>
    </row>
    <row r="122" ht="20.25" customHeight="1">
      <c r="A122" s="238"/>
      <c r="B122" s="238"/>
      <c r="C122" s="238"/>
      <c r="D122" s="352"/>
      <c r="E122" s="239"/>
      <c r="F122" s="239"/>
      <c r="G122" s="239"/>
      <c r="H122" s="239"/>
      <c r="I122" s="239"/>
      <c r="J122" s="239"/>
      <c r="K122" s="239"/>
      <c r="L122" s="239"/>
      <c r="M122" s="239"/>
    </row>
    <row r="123" ht="20.25" customHeight="1">
      <c r="A123" s="238"/>
      <c r="B123" s="238"/>
      <c r="C123" s="238"/>
      <c r="D123" s="352"/>
      <c r="E123" s="239"/>
      <c r="F123" s="239"/>
      <c r="G123" s="239"/>
      <c r="H123" s="239"/>
      <c r="I123" s="239"/>
      <c r="J123" s="239"/>
      <c r="K123" s="239"/>
      <c r="L123" s="239"/>
      <c r="M123" s="239"/>
    </row>
    <row r="124" ht="20.25" customHeight="1">
      <c r="A124" s="238"/>
      <c r="B124" s="238"/>
      <c r="C124" s="238"/>
      <c r="D124" s="352"/>
      <c r="E124" s="239"/>
      <c r="F124" s="239"/>
      <c r="G124" s="239"/>
      <c r="H124" s="239"/>
      <c r="I124" s="239"/>
      <c r="J124" s="239"/>
      <c r="K124" s="239"/>
      <c r="L124" s="239"/>
      <c r="M124" s="239"/>
    </row>
    <row r="125" ht="20.25" customHeight="1">
      <c r="A125" s="238"/>
      <c r="B125" s="238"/>
      <c r="C125" s="238"/>
      <c r="D125" s="352"/>
      <c r="E125" s="239"/>
      <c r="F125" s="239"/>
      <c r="G125" s="239"/>
      <c r="H125" s="239"/>
      <c r="I125" s="239"/>
      <c r="J125" s="239"/>
      <c r="K125" s="239"/>
      <c r="L125" s="239"/>
      <c r="M125" s="239"/>
    </row>
    <row r="126" ht="20.25" customHeight="1">
      <c r="A126" s="238"/>
      <c r="B126" s="238"/>
      <c r="C126" s="238"/>
      <c r="D126" s="352"/>
      <c r="E126" s="239"/>
      <c r="F126" s="239"/>
      <c r="G126" s="239"/>
      <c r="H126" s="239"/>
      <c r="I126" s="239"/>
      <c r="J126" s="239"/>
      <c r="K126" s="239"/>
      <c r="L126" s="239"/>
      <c r="M126" s="239"/>
    </row>
    <row r="127" ht="20.25" customHeight="1">
      <c r="A127" s="238"/>
      <c r="B127" s="238"/>
      <c r="C127" s="238"/>
      <c r="D127" s="352"/>
      <c r="E127" s="239"/>
      <c r="F127" s="239"/>
      <c r="G127" s="239"/>
      <c r="H127" s="239"/>
      <c r="I127" s="239"/>
      <c r="J127" s="239"/>
      <c r="K127" s="239"/>
      <c r="L127" s="239"/>
      <c r="M127" s="239"/>
    </row>
    <row r="128" ht="20.25" customHeight="1">
      <c r="A128" s="238"/>
      <c r="B128" s="238"/>
      <c r="C128" s="238"/>
      <c r="D128" s="352"/>
      <c r="E128" s="239"/>
      <c r="F128" s="239"/>
      <c r="G128" s="239"/>
      <c r="H128" s="239"/>
      <c r="I128" s="239"/>
      <c r="J128" s="239"/>
      <c r="K128" s="239"/>
      <c r="L128" s="239"/>
      <c r="M128" s="239"/>
    </row>
    <row r="129" ht="20.25" customHeight="1">
      <c r="A129" s="238"/>
      <c r="B129" s="238"/>
      <c r="C129" s="238"/>
      <c r="D129" s="352"/>
      <c r="E129" s="239"/>
      <c r="F129" s="239"/>
      <c r="G129" s="239"/>
      <c r="H129" s="239"/>
      <c r="I129" s="239"/>
      <c r="J129" s="239"/>
      <c r="K129" s="239"/>
      <c r="L129" s="239"/>
      <c r="M129" s="239"/>
    </row>
    <row r="130" ht="20.25" customHeight="1">
      <c r="A130" s="238"/>
      <c r="B130" s="238"/>
      <c r="C130" s="238"/>
      <c r="D130" s="352"/>
      <c r="E130" s="239"/>
      <c r="F130" s="239"/>
      <c r="G130" s="239"/>
      <c r="H130" s="239"/>
      <c r="I130" s="239"/>
      <c r="J130" s="239"/>
      <c r="K130" s="239"/>
      <c r="L130" s="239"/>
      <c r="M130" s="239"/>
    </row>
    <row r="131" ht="20.25" customHeight="1">
      <c r="A131" s="238"/>
      <c r="B131" s="238"/>
      <c r="C131" s="238"/>
      <c r="D131" s="352"/>
      <c r="E131" s="239"/>
      <c r="F131" s="239"/>
      <c r="G131" s="239"/>
      <c r="H131" s="239"/>
      <c r="I131" s="239"/>
      <c r="J131" s="239"/>
      <c r="K131" s="239"/>
      <c r="L131" s="239"/>
      <c r="M131" s="239"/>
    </row>
    <row r="132" ht="20.25" customHeight="1">
      <c r="A132" s="238"/>
      <c r="B132" s="238"/>
      <c r="C132" s="238"/>
      <c r="D132" s="352"/>
      <c r="E132" s="239"/>
      <c r="F132" s="239"/>
      <c r="G132" s="239"/>
      <c r="H132" s="239"/>
      <c r="I132" s="239"/>
      <c r="J132" s="239"/>
      <c r="K132" s="239"/>
      <c r="L132" s="239"/>
      <c r="M132" s="239"/>
    </row>
    <row r="133" ht="20.25" customHeight="1">
      <c r="A133" s="238"/>
      <c r="B133" s="238"/>
      <c r="C133" s="238"/>
      <c r="D133" s="352"/>
      <c r="E133" s="239"/>
      <c r="F133" s="239"/>
      <c r="G133" s="239"/>
      <c r="H133" s="239"/>
      <c r="I133" s="239"/>
      <c r="J133" s="239"/>
      <c r="K133" s="239"/>
      <c r="L133" s="239"/>
      <c r="M133" s="239"/>
    </row>
    <row r="134" ht="20.25" customHeight="1">
      <c r="A134" s="238"/>
      <c r="B134" s="238"/>
      <c r="C134" s="238"/>
      <c r="D134" s="352"/>
      <c r="E134" s="239"/>
      <c r="F134" s="239"/>
      <c r="G134" s="239"/>
      <c r="H134" s="239"/>
      <c r="I134" s="239"/>
      <c r="J134" s="239"/>
      <c r="K134" s="239"/>
      <c r="L134" s="239"/>
      <c r="M134" s="239"/>
    </row>
    <row r="135" ht="20.25" customHeight="1">
      <c r="A135" s="238"/>
      <c r="B135" s="238"/>
      <c r="C135" s="238"/>
      <c r="D135" s="352"/>
      <c r="E135" s="239"/>
      <c r="F135" s="239"/>
      <c r="G135" s="239"/>
      <c r="H135" s="239"/>
      <c r="I135" s="239"/>
      <c r="J135" s="239"/>
      <c r="K135" s="239"/>
      <c r="L135" s="239"/>
      <c r="M135" s="239"/>
    </row>
    <row r="136" ht="20.25" customHeight="1">
      <c r="A136" s="238"/>
      <c r="B136" s="238"/>
      <c r="C136" s="238"/>
      <c r="D136" s="352"/>
      <c r="E136" s="239"/>
      <c r="F136" s="239"/>
      <c r="G136" s="239"/>
      <c r="H136" s="239"/>
      <c r="I136" s="239"/>
      <c r="J136" s="239"/>
      <c r="K136" s="239"/>
      <c r="L136" s="239"/>
      <c r="M136" s="239"/>
    </row>
    <row r="137" ht="20.25" customHeight="1">
      <c r="A137" s="238"/>
      <c r="B137" s="238"/>
      <c r="C137" s="238"/>
      <c r="D137" s="352"/>
      <c r="E137" s="239"/>
      <c r="F137" s="239"/>
      <c r="G137" s="239"/>
      <c r="H137" s="239"/>
      <c r="I137" s="239"/>
      <c r="J137" s="239"/>
      <c r="K137" s="239"/>
      <c r="L137" s="239"/>
      <c r="M137" s="239"/>
    </row>
    <row r="138" ht="20.25" customHeight="1">
      <c r="A138" s="238"/>
      <c r="B138" s="238"/>
      <c r="C138" s="238"/>
      <c r="D138" s="352"/>
      <c r="E138" s="239"/>
      <c r="F138" s="239"/>
      <c r="G138" s="239"/>
      <c r="H138" s="239"/>
      <c r="I138" s="239"/>
      <c r="J138" s="239"/>
      <c r="K138" s="239"/>
      <c r="L138" s="239"/>
      <c r="M138" s="239"/>
    </row>
    <row r="139" ht="20.25" customHeight="1">
      <c r="A139" s="238"/>
      <c r="B139" s="238"/>
      <c r="C139" s="238"/>
      <c r="D139" s="352"/>
      <c r="E139" s="239"/>
      <c r="F139" s="239"/>
      <c r="G139" s="239"/>
      <c r="H139" s="239"/>
      <c r="I139" s="239"/>
      <c r="J139" s="239"/>
      <c r="K139" s="239"/>
      <c r="L139" s="239"/>
      <c r="M139" s="239"/>
    </row>
    <row r="140" ht="20.25" customHeight="1">
      <c r="A140" s="238"/>
      <c r="B140" s="238"/>
      <c r="C140" s="238"/>
      <c r="D140" s="352"/>
      <c r="E140" s="239"/>
      <c r="F140" s="239"/>
      <c r="G140" s="239"/>
      <c r="H140" s="239"/>
      <c r="I140" s="239"/>
      <c r="J140" s="239"/>
      <c r="K140" s="239"/>
      <c r="L140" s="239"/>
      <c r="M140" s="239"/>
    </row>
    <row r="141" ht="20.25" customHeight="1">
      <c r="A141" s="238"/>
      <c r="B141" s="238"/>
      <c r="C141" s="238"/>
      <c r="D141" s="352"/>
      <c r="E141" s="239"/>
      <c r="F141" s="239"/>
      <c r="G141" s="239"/>
      <c r="H141" s="239"/>
      <c r="I141" s="239"/>
      <c r="J141" s="239"/>
      <c r="K141" s="239"/>
      <c r="L141" s="239"/>
      <c r="M141" s="239"/>
    </row>
    <row r="142" ht="20.25" customHeight="1">
      <c r="A142" s="238"/>
      <c r="B142" s="238"/>
      <c r="C142" s="238"/>
      <c r="D142" s="352"/>
      <c r="E142" s="239"/>
      <c r="F142" s="239"/>
      <c r="G142" s="239"/>
      <c r="H142" s="239"/>
      <c r="I142" s="239"/>
      <c r="J142" s="239"/>
      <c r="K142" s="239"/>
      <c r="L142" s="239"/>
      <c r="M142" s="239"/>
    </row>
    <row r="143" ht="20.25" customHeight="1">
      <c r="A143" s="238"/>
      <c r="B143" s="238"/>
      <c r="C143" s="238"/>
      <c r="D143" s="352"/>
      <c r="E143" s="239"/>
      <c r="F143" s="239"/>
      <c r="G143" s="239"/>
      <c r="H143" s="239"/>
      <c r="I143" s="239"/>
      <c r="J143" s="239"/>
      <c r="K143" s="239"/>
      <c r="L143" s="239"/>
      <c r="M143" s="239"/>
    </row>
    <row r="144" ht="20.25" customHeight="1">
      <c r="A144" s="238"/>
      <c r="B144" s="238"/>
      <c r="C144" s="238"/>
      <c r="D144" s="352"/>
      <c r="E144" s="239"/>
      <c r="F144" s="239"/>
      <c r="G144" s="239"/>
      <c r="H144" s="239"/>
      <c r="I144" s="239"/>
      <c r="J144" s="239"/>
      <c r="K144" s="239"/>
      <c r="L144" s="239"/>
      <c r="M144" s="239"/>
    </row>
    <row r="145" ht="20.25" customHeight="1">
      <c r="A145" s="238"/>
      <c r="B145" s="238"/>
      <c r="C145" s="238"/>
      <c r="D145" s="352"/>
      <c r="E145" s="239"/>
      <c r="F145" s="239"/>
      <c r="G145" s="239"/>
      <c r="H145" s="239"/>
      <c r="I145" s="239"/>
      <c r="J145" s="239"/>
      <c r="K145" s="239"/>
      <c r="L145" s="239"/>
      <c r="M145" s="239"/>
    </row>
    <row r="146" ht="20.25" customHeight="1">
      <c r="A146" s="238"/>
      <c r="B146" s="238"/>
      <c r="C146" s="238"/>
      <c r="D146" s="352"/>
      <c r="E146" s="239"/>
      <c r="F146" s="239"/>
      <c r="G146" s="239"/>
      <c r="H146" s="239"/>
      <c r="I146" s="239"/>
      <c r="J146" s="239"/>
      <c r="K146" s="239"/>
      <c r="L146" s="239"/>
      <c r="M146" s="239"/>
    </row>
    <row r="147" ht="20.25" customHeight="1">
      <c r="A147" s="238"/>
      <c r="B147" s="238"/>
      <c r="C147" s="238"/>
      <c r="D147" s="352"/>
      <c r="E147" s="239"/>
      <c r="F147" s="239"/>
      <c r="G147" s="239"/>
      <c r="H147" s="239"/>
      <c r="I147" s="239"/>
      <c r="J147" s="239"/>
      <c r="K147" s="239"/>
      <c r="L147" s="239"/>
      <c r="M147" s="239"/>
    </row>
    <row r="148" ht="20.25" customHeight="1">
      <c r="A148" s="238"/>
      <c r="B148" s="238"/>
      <c r="C148" s="238"/>
      <c r="D148" s="352"/>
      <c r="E148" s="239"/>
      <c r="F148" s="239"/>
      <c r="G148" s="239"/>
      <c r="H148" s="239"/>
      <c r="I148" s="239"/>
      <c r="J148" s="239"/>
      <c r="K148" s="239"/>
      <c r="L148" s="239"/>
      <c r="M148" s="239"/>
    </row>
    <row r="149" ht="20.25" customHeight="1">
      <c r="A149" s="238"/>
      <c r="B149" s="238"/>
      <c r="C149" s="238"/>
      <c r="D149" s="352"/>
      <c r="E149" s="239"/>
      <c r="F149" s="239"/>
      <c r="G149" s="239"/>
      <c r="H149" s="239"/>
      <c r="I149" s="239"/>
      <c r="J149" s="239"/>
      <c r="K149" s="239"/>
      <c r="L149" s="239"/>
      <c r="M149" s="239"/>
    </row>
    <row r="150" ht="20.25" customHeight="1">
      <c r="A150" s="238"/>
      <c r="B150" s="238"/>
      <c r="C150" s="238"/>
      <c r="D150" s="352"/>
      <c r="E150" s="239"/>
      <c r="F150" s="239"/>
      <c r="G150" s="239"/>
      <c r="H150" s="239"/>
      <c r="I150" s="239"/>
      <c r="J150" s="239"/>
      <c r="K150" s="239"/>
      <c r="L150" s="239"/>
      <c r="M150" s="239"/>
    </row>
    <row r="151" ht="20.25" customHeight="1">
      <c r="A151" s="238"/>
      <c r="B151" s="238"/>
      <c r="C151" s="238"/>
      <c r="D151" s="352"/>
      <c r="E151" s="239"/>
      <c r="F151" s="239"/>
      <c r="G151" s="239"/>
      <c r="H151" s="239"/>
      <c r="I151" s="239"/>
      <c r="J151" s="239"/>
      <c r="K151" s="239"/>
      <c r="L151" s="239"/>
      <c r="M151" s="239"/>
    </row>
    <row r="152" ht="20.25" customHeight="1">
      <c r="A152" s="238"/>
      <c r="B152" s="238"/>
      <c r="C152" s="238"/>
      <c r="D152" s="352"/>
      <c r="E152" s="239"/>
      <c r="F152" s="239"/>
      <c r="G152" s="239"/>
      <c r="H152" s="239"/>
      <c r="I152" s="239"/>
      <c r="J152" s="239"/>
      <c r="K152" s="239"/>
      <c r="L152" s="239"/>
      <c r="M152" s="239"/>
    </row>
    <row r="153" ht="20.25" customHeight="1">
      <c r="A153" s="238"/>
      <c r="B153" s="238"/>
      <c r="C153" s="238"/>
      <c r="D153" s="352"/>
      <c r="E153" s="239"/>
      <c r="F153" s="239"/>
      <c r="G153" s="239"/>
      <c r="H153" s="239"/>
      <c r="I153" s="239"/>
      <c r="J153" s="239"/>
      <c r="K153" s="239"/>
      <c r="L153" s="239"/>
      <c r="M153" s="239"/>
    </row>
    <row r="154" ht="20.25" customHeight="1">
      <c r="A154" s="238"/>
      <c r="B154" s="238"/>
      <c r="C154" s="238"/>
      <c r="D154" s="352"/>
      <c r="E154" s="239"/>
      <c r="F154" s="239"/>
      <c r="G154" s="239"/>
      <c r="H154" s="239"/>
      <c r="I154" s="239"/>
      <c r="J154" s="239"/>
      <c r="K154" s="239"/>
      <c r="L154" s="239"/>
      <c r="M154" s="239"/>
    </row>
    <row r="155" ht="20.25" customHeight="1">
      <c r="A155" s="238"/>
      <c r="B155" s="238"/>
      <c r="C155" s="238"/>
      <c r="D155" s="352"/>
      <c r="E155" s="239"/>
      <c r="F155" s="239"/>
      <c r="G155" s="239"/>
      <c r="H155" s="239"/>
      <c r="I155" s="239"/>
      <c r="J155" s="239"/>
      <c r="K155" s="239"/>
      <c r="L155" s="239"/>
      <c r="M155" s="239"/>
    </row>
    <row r="156" ht="20.25" customHeight="1">
      <c r="A156" s="238"/>
      <c r="B156" s="238"/>
      <c r="C156" s="238"/>
      <c r="D156" s="352"/>
      <c r="E156" s="239"/>
      <c r="F156" s="239"/>
      <c r="G156" s="239"/>
      <c r="H156" s="239"/>
      <c r="I156" s="239"/>
      <c r="J156" s="239"/>
      <c r="K156" s="239"/>
      <c r="L156" s="239"/>
      <c r="M156" s="239"/>
    </row>
    <row r="157" ht="20.25" customHeight="1">
      <c r="A157" s="238"/>
      <c r="B157" s="238"/>
      <c r="C157" s="238"/>
      <c r="D157" s="352"/>
      <c r="E157" s="239"/>
      <c r="F157" s="239"/>
      <c r="G157" s="239"/>
      <c r="H157" s="239"/>
      <c r="I157" s="239"/>
      <c r="J157" s="239"/>
      <c r="K157" s="239"/>
      <c r="L157" s="239"/>
      <c r="M157" s="239"/>
    </row>
    <row r="158" ht="20.25" customHeight="1">
      <c r="A158" s="238"/>
      <c r="B158" s="238"/>
      <c r="C158" s="238"/>
      <c r="D158" s="352"/>
      <c r="E158" s="239"/>
      <c r="F158" s="239"/>
      <c r="G158" s="239"/>
      <c r="H158" s="239"/>
      <c r="I158" s="239"/>
      <c r="J158" s="239"/>
      <c r="K158" s="239"/>
      <c r="L158" s="239"/>
      <c r="M158" s="239"/>
    </row>
    <row r="159" ht="20.25" customHeight="1">
      <c r="A159" s="238"/>
      <c r="B159" s="238"/>
      <c r="C159" s="238"/>
      <c r="D159" s="352"/>
      <c r="E159" s="239"/>
      <c r="F159" s="239"/>
      <c r="G159" s="239"/>
      <c r="H159" s="239"/>
      <c r="I159" s="239"/>
      <c r="J159" s="239"/>
      <c r="K159" s="239"/>
      <c r="L159" s="239"/>
      <c r="M159" s="239"/>
    </row>
    <row r="160" ht="20.25" customHeight="1">
      <c r="A160" s="238"/>
      <c r="B160" s="238"/>
      <c r="C160" s="238"/>
      <c r="D160" s="352"/>
      <c r="E160" s="239"/>
      <c r="F160" s="239"/>
      <c r="G160" s="239"/>
      <c r="H160" s="239"/>
      <c r="I160" s="239"/>
      <c r="J160" s="239"/>
      <c r="K160" s="239"/>
      <c r="L160" s="239"/>
      <c r="M160" s="239"/>
    </row>
    <row r="161" ht="20.25" customHeight="1">
      <c r="A161" s="238"/>
      <c r="B161" s="238"/>
      <c r="C161" s="238"/>
      <c r="D161" s="352"/>
      <c r="E161" s="239"/>
      <c r="F161" s="239"/>
      <c r="G161" s="239"/>
      <c r="H161" s="239"/>
      <c r="I161" s="239"/>
      <c r="J161" s="239"/>
      <c r="K161" s="239"/>
      <c r="L161" s="239"/>
      <c r="M161" s="239"/>
    </row>
    <row r="162" ht="20.25" customHeight="1">
      <c r="A162" s="238"/>
      <c r="B162" s="238"/>
      <c r="C162" s="238"/>
      <c r="D162" s="352"/>
      <c r="E162" s="239"/>
      <c r="F162" s="239"/>
      <c r="G162" s="239"/>
      <c r="H162" s="239"/>
      <c r="I162" s="239"/>
      <c r="J162" s="239"/>
      <c r="K162" s="239"/>
      <c r="L162" s="239"/>
      <c r="M162" s="239"/>
    </row>
    <row r="163" ht="20.25" customHeight="1">
      <c r="A163" s="238"/>
      <c r="B163" s="238"/>
      <c r="C163" s="238"/>
      <c r="D163" s="352"/>
      <c r="E163" s="239"/>
      <c r="F163" s="239"/>
      <c r="G163" s="239"/>
      <c r="H163" s="239"/>
      <c r="I163" s="239"/>
      <c r="J163" s="239"/>
      <c r="K163" s="239"/>
      <c r="L163" s="239"/>
      <c r="M163" s="239"/>
    </row>
    <row r="164" ht="20.25" customHeight="1">
      <c r="A164" s="238"/>
      <c r="B164" s="238"/>
      <c r="C164" s="238"/>
      <c r="D164" s="352"/>
      <c r="E164" s="239"/>
      <c r="F164" s="239"/>
      <c r="G164" s="239"/>
      <c r="H164" s="239"/>
      <c r="I164" s="239"/>
      <c r="J164" s="239"/>
      <c r="K164" s="239"/>
      <c r="L164" s="239"/>
      <c r="M164" s="239"/>
    </row>
    <row r="165" ht="20.25" customHeight="1">
      <c r="A165" s="238"/>
      <c r="B165" s="238"/>
      <c r="C165" s="238"/>
      <c r="D165" s="352"/>
      <c r="E165" s="239"/>
      <c r="F165" s="239"/>
      <c r="G165" s="239"/>
      <c r="H165" s="239"/>
      <c r="I165" s="239"/>
      <c r="J165" s="239"/>
      <c r="K165" s="239"/>
      <c r="L165" s="239"/>
      <c r="M165" s="239"/>
    </row>
    <row r="166" ht="20.25" customHeight="1">
      <c r="A166" s="238"/>
      <c r="B166" s="238"/>
      <c r="C166" s="238"/>
      <c r="D166" s="352"/>
      <c r="E166" s="239"/>
      <c r="F166" s="239"/>
      <c r="G166" s="239"/>
      <c r="H166" s="239"/>
      <c r="I166" s="239"/>
      <c r="J166" s="239"/>
      <c r="K166" s="239"/>
      <c r="L166" s="239"/>
      <c r="M166" s="239"/>
    </row>
    <row r="167" ht="20.25" customHeight="1">
      <c r="A167" s="238"/>
      <c r="B167" s="238"/>
      <c r="C167" s="238"/>
      <c r="D167" s="352"/>
      <c r="E167" s="239"/>
      <c r="F167" s="239"/>
      <c r="G167" s="239"/>
      <c r="H167" s="239"/>
      <c r="I167" s="239"/>
      <c r="J167" s="239"/>
      <c r="K167" s="239"/>
      <c r="L167" s="239"/>
      <c r="M167" s="239"/>
    </row>
    <row r="168" ht="20.25" customHeight="1">
      <c r="A168" s="238"/>
      <c r="B168" s="238"/>
      <c r="C168" s="238"/>
      <c r="D168" s="352"/>
      <c r="E168" s="239"/>
      <c r="F168" s="239"/>
      <c r="G168" s="239"/>
      <c r="H168" s="239"/>
      <c r="I168" s="239"/>
      <c r="J168" s="239"/>
      <c r="K168" s="239"/>
      <c r="L168" s="239"/>
      <c r="M168" s="239"/>
    </row>
    <row r="169" ht="20.25" customHeight="1">
      <c r="A169" s="238"/>
      <c r="B169" s="238"/>
      <c r="C169" s="238"/>
      <c r="D169" s="352"/>
      <c r="E169" s="239"/>
      <c r="F169" s="239"/>
      <c r="G169" s="239"/>
      <c r="H169" s="239"/>
      <c r="I169" s="239"/>
      <c r="J169" s="239"/>
      <c r="K169" s="239"/>
      <c r="L169" s="239"/>
      <c r="M169" s="239"/>
    </row>
    <row r="170" ht="20.25" customHeight="1">
      <c r="A170" s="238"/>
      <c r="B170" s="238"/>
      <c r="C170" s="238"/>
      <c r="D170" s="352"/>
      <c r="E170" s="239"/>
      <c r="F170" s="239"/>
      <c r="G170" s="239"/>
      <c r="H170" s="239"/>
      <c r="I170" s="239"/>
      <c r="J170" s="239"/>
      <c r="K170" s="239"/>
      <c r="L170" s="239"/>
      <c r="M170" s="239"/>
    </row>
    <row r="171" ht="20.25" customHeight="1">
      <c r="A171" s="238"/>
      <c r="B171" s="238"/>
      <c r="C171" s="238"/>
      <c r="D171" s="352"/>
      <c r="E171" s="239"/>
      <c r="F171" s="239"/>
      <c r="G171" s="239"/>
      <c r="H171" s="239"/>
      <c r="I171" s="239"/>
      <c r="J171" s="239"/>
      <c r="K171" s="239"/>
      <c r="L171" s="239"/>
      <c r="M171" s="239"/>
    </row>
    <row r="172" ht="20.25" customHeight="1">
      <c r="A172" s="238"/>
      <c r="B172" s="238"/>
      <c r="C172" s="238"/>
      <c r="D172" s="352"/>
      <c r="E172" s="239"/>
      <c r="F172" s="239"/>
      <c r="G172" s="239"/>
      <c r="H172" s="239"/>
      <c r="I172" s="239"/>
      <c r="J172" s="239"/>
      <c r="K172" s="239"/>
      <c r="L172" s="239"/>
      <c r="M172" s="239"/>
    </row>
    <row r="173" ht="20.25" customHeight="1">
      <c r="A173" s="238"/>
      <c r="B173" s="238"/>
      <c r="C173" s="238"/>
      <c r="D173" s="352"/>
      <c r="E173" s="239"/>
      <c r="F173" s="239"/>
      <c r="G173" s="239"/>
      <c r="H173" s="239"/>
      <c r="I173" s="239"/>
      <c r="J173" s="239"/>
      <c r="K173" s="239"/>
      <c r="L173" s="239"/>
      <c r="M173" s="239"/>
    </row>
    <row r="174" ht="20.25" customHeight="1">
      <c r="A174" s="238"/>
      <c r="B174" s="238"/>
      <c r="C174" s="238"/>
      <c r="D174" s="352"/>
      <c r="E174" s="239"/>
      <c r="F174" s="239"/>
      <c r="G174" s="239"/>
      <c r="H174" s="239"/>
      <c r="I174" s="239"/>
      <c r="J174" s="239"/>
      <c r="K174" s="239"/>
      <c r="L174" s="239"/>
      <c r="M174" s="239"/>
    </row>
    <row r="175" ht="20.25" customHeight="1">
      <c r="A175" s="238"/>
      <c r="B175" s="238"/>
      <c r="C175" s="238"/>
      <c r="D175" s="352"/>
      <c r="E175" s="239"/>
      <c r="F175" s="239"/>
      <c r="G175" s="239"/>
      <c r="H175" s="239"/>
      <c r="I175" s="239"/>
      <c r="J175" s="239"/>
      <c r="K175" s="239"/>
      <c r="L175" s="239"/>
      <c r="M175" s="239"/>
    </row>
    <row r="176" ht="20.25" customHeight="1">
      <c r="A176" s="238"/>
      <c r="B176" s="238"/>
      <c r="C176" s="238"/>
      <c r="D176" s="352"/>
      <c r="E176" s="239"/>
      <c r="F176" s="239"/>
      <c r="G176" s="239"/>
      <c r="H176" s="239"/>
      <c r="I176" s="239"/>
      <c r="J176" s="239"/>
      <c r="K176" s="239"/>
      <c r="L176" s="239"/>
      <c r="M176" s="239"/>
    </row>
    <row r="177" ht="20.25" customHeight="1">
      <c r="A177" s="238"/>
      <c r="B177" s="238"/>
      <c r="C177" s="238"/>
      <c r="D177" s="352"/>
      <c r="E177" s="239"/>
      <c r="F177" s="239"/>
      <c r="G177" s="239"/>
      <c r="H177" s="239"/>
      <c r="I177" s="239"/>
      <c r="J177" s="239"/>
      <c r="K177" s="239"/>
      <c r="L177" s="239"/>
      <c r="M177" s="239"/>
    </row>
    <row r="178" ht="20.25" customHeight="1">
      <c r="A178" s="238"/>
      <c r="B178" s="238"/>
      <c r="C178" s="238"/>
      <c r="D178" s="352"/>
      <c r="E178" s="239"/>
      <c r="F178" s="239"/>
      <c r="G178" s="239"/>
      <c r="H178" s="239"/>
      <c r="I178" s="239"/>
      <c r="J178" s="239"/>
      <c r="K178" s="239"/>
      <c r="L178" s="239"/>
      <c r="M178" s="239"/>
    </row>
    <row r="179" ht="20.25" customHeight="1">
      <c r="A179" s="238"/>
      <c r="B179" s="238"/>
      <c r="C179" s="238"/>
      <c r="D179" s="352"/>
      <c r="E179" s="239"/>
      <c r="F179" s="239"/>
      <c r="G179" s="239"/>
      <c r="H179" s="239"/>
      <c r="I179" s="239"/>
      <c r="J179" s="239"/>
      <c r="K179" s="239"/>
      <c r="L179" s="239"/>
      <c r="M179" s="239"/>
    </row>
    <row r="180" ht="20.25" customHeight="1">
      <c r="A180" s="238"/>
      <c r="B180" s="238"/>
      <c r="C180" s="238"/>
      <c r="D180" s="352"/>
      <c r="E180" s="239"/>
      <c r="F180" s="239"/>
      <c r="G180" s="239"/>
      <c r="H180" s="239"/>
      <c r="I180" s="239"/>
      <c r="J180" s="239"/>
      <c r="K180" s="239"/>
      <c r="L180" s="239"/>
      <c r="M180" s="239"/>
    </row>
    <row r="181" ht="20.25" customHeight="1">
      <c r="A181" s="238"/>
      <c r="B181" s="238"/>
      <c r="C181" s="238"/>
      <c r="D181" s="352"/>
      <c r="E181" s="239"/>
      <c r="F181" s="239"/>
      <c r="G181" s="239"/>
      <c r="H181" s="239"/>
      <c r="I181" s="239"/>
      <c r="J181" s="239"/>
      <c r="K181" s="239"/>
      <c r="L181" s="239"/>
      <c r="M181" s="239"/>
    </row>
    <row r="182" ht="20.25" customHeight="1">
      <c r="A182" s="238"/>
      <c r="B182" s="238"/>
      <c r="C182" s="238"/>
      <c r="D182" s="352"/>
      <c r="E182" s="239"/>
      <c r="F182" s="239"/>
      <c r="G182" s="239"/>
      <c r="H182" s="239"/>
      <c r="I182" s="239"/>
      <c r="J182" s="239"/>
      <c r="K182" s="239"/>
      <c r="L182" s="239"/>
      <c r="M182" s="239"/>
    </row>
    <row r="183" ht="20.25" customHeight="1">
      <c r="A183" s="238"/>
      <c r="B183" s="238"/>
      <c r="C183" s="238"/>
      <c r="D183" s="352"/>
      <c r="E183" s="239"/>
      <c r="F183" s="239"/>
      <c r="G183" s="239"/>
      <c r="H183" s="239"/>
      <c r="I183" s="239"/>
      <c r="J183" s="239"/>
      <c r="K183" s="239"/>
      <c r="L183" s="239"/>
      <c r="M183" s="239"/>
    </row>
    <row r="184" ht="20.25" customHeight="1">
      <c r="A184" s="238"/>
      <c r="B184" s="238"/>
      <c r="C184" s="238"/>
      <c r="D184" s="352"/>
      <c r="E184" s="239"/>
      <c r="F184" s="239"/>
      <c r="G184" s="239"/>
      <c r="H184" s="239"/>
      <c r="I184" s="239"/>
      <c r="J184" s="239"/>
      <c r="K184" s="239"/>
      <c r="L184" s="239"/>
      <c r="M184" s="239"/>
    </row>
    <row r="185" ht="20.25" customHeight="1">
      <c r="A185" s="238"/>
      <c r="B185" s="238"/>
      <c r="C185" s="238"/>
      <c r="D185" s="352"/>
      <c r="E185" s="239"/>
      <c r="F185" s="239"/>
      <c r="G185" s="239"/>
      <c r="H185" s="239"/>
      <c r="I185" s="239"/>
      <c r="J185" s="239"/>
      <c r="K185" s="239"/>
      <c r="L185" s="239"/>
      <c r="M185" s="239"/>
    </row>
    <row r="186" ht="20.25" customHeight="1">
      <c r="A186" s="238"/>
      <c r="B186" s="238"/>
      <c r="C186" s="238"/>
      <c r="D186" s="352"/>
      <c r="E186" s="239"/>
      <c r="F186" s="239"/>
      <c r="G186" s="239"/>
      <c r="H186" s="239"/>
      <c r="I186" s="239"/>
      <c r="J186" s="239"/>
      <c r="K186" s="239"/>
      <c r="L186" s="239"/>
      <c r="M186" s="239"/>
    </row>
    <row r="187" ht="20.25" customHeight="1">
      <c r="A187" s="238"/>
      <c r="B187" s="238"/>
      <c r="C187" s="238"/>
      <c r="D187" s="352"/>
      <c r="E187" s="239"/>
      <c r="F187" s="239"/>
      <c r="G187" s="239"/>
      <c r="H187" s="239"/>
      <c r="I187" s="239"/>
      <c r="J187" s="239"/>
      <c r="K187" s="239"/>
      <c r="L187" s="239"/>
      <c r="M187" s="239"/>
    </row>
    <row r="188" ht="20.25" customHeight="1">
      <c r="A188" s="238"/>
      <c r="B188" s="238"/>
      <c r="C188" s="238"/>
      <c r="D188" s="352"/>
      <c r="E188" s="239"/>
      <c r="F188" s="239"/>
      <c r="G188" s="239"/>
      <c r="H188" s="239"/>
      <c r="I188" s="239"/>
      <c r="J188" s="239"/>
      <c r="K188" s="239"/>
      <c r="L188" s="239"/>
      <c r="M188" s="239"/>
    </row>
    <row r="189" ht="20.25" customHeight="1">
      <c r="A189" s="238"/>
      <c r="B189" s="238"/>
      <c r="C189" s="238"/>
      <c r="D189" s="352"/>
      <c r="E189" s="239"/>
      <c r="F189" s="239"/>
      <c r="G189" s="239"/>
      <c r="H189" s="239"/>
      <c r="I189" s="239"/>
      <c r="J189" s="239"/>
      <c r="K189" s="239"/>
      <c r="L189" s="239"/>
      <c r="M189" s="239"/>
    </row>
    <row r="190" ht="20.25" customHeight="1">
      <c r="A190" s="238"/>
      <c r="B190" s="238"/>
      <c r="C190" s="238"/>
      <c r="D190" s="352"/>
      <c r="E190" s="239"/>
      <c r="F190" s="239"/>
      <c r="G190" s="239"/>
      <c r="H190" s="239"/>
      <c r="I190" s="239"/>
      <c r="J190" s="239"/>
      <c r="K190" s="239"/>
      <c r="L190" s="239"/>
      <c r="M190" s="239"/>
    </row>
    <row r="191" ht="20.25" customHeight="1">
      <c r="A191" s="238"/>
      <c r="B191" s="238"/>
      <c r="C191" s="238"/>
      <c r="D191" s="352"/>
      <c r="E191" s="239"/>
      <c r="F191" s="239"/>
      <c r="G191" s="239"/>
      <c r="H191" s="239"/>
      <c r="I191" s="239"/>
      <c r="J191" s="239"/>
      <c r="K191" s="239"/>
      <c r="L191" s="239"/>
      <c r="M191" s="239"/>
    </row>
    <row r="192" ht="20.25" customHeight="1">
      <c r="A192" s="238"/>
      <c r="B192" s="238"/>
      <c r="C192" s="238"/>
      <c r="D192" s="352"/>
      <c r="E192" s="239"/>
      <c r="F192" s="239"/>
      <c r="G192" s="239"/>
      <c r="H192" s="239"/>
      <c r="I192" s="239"/>
      <c r="J192" s="239"/>
      <c r="K192" s="239"/>
      <c r="L192" s="239"/>
      <c r="M192" s="239"/>
    </row>
    <row r="193" ht="20.25" customHeight="1">
      <c r="A193" s="238"/>
      <c r="B193" s="238"/>
      <c r="C193" s="238"/>
      <c r="D193" s="352"/>
      <c r="E193" s="239"/>
      <c r="F193" s="239"/>
      <c r="G193" s="239"/>
      <c r="H193" s="239"/>
      <c r="I193" s="239"/>
      <c r="J193" s="239"/>
      <c r="K193" s="239"/>
      <c r="L193" s="239"/>
      <c r="M193" s="239"/>
    </row>
    <row r="194" ht="20.25" customHeight="1">
      <c r="A194" s="238"/>
      <c r="B194" s="238"/>
      <c r="C194" s="238"/>
      <c r="D194" s="352"/>
      <c r="E194" s="239"/>
      <c r="F194" s="239"/>
      <c r="G194" s="239"/>
      <c r="H194" s="239"/>
      <c r="I194" s="239"/>
      <c r="J194" s="239"/>
      <c r="K194" s="239"/>
      <c r="L194" s="239"/>
      <c r="M194" s="239"/>
    </row>
    <row r="195" ht="20.25" customHeight="1">
      <c r="A195" s="238"/>
      <c r="B195" s="238"/>
      <c r="C195" s="238"/>
      <c r="D195" s="352"/>
      <c r="E195" s="239"/>
      <c r="F195" s="239"/>
      <c r="G195" s="239"/>
      <c r="H195" s="239"/>
      <c r="I195" s="239"/>
      <c r="J195" s="239"/>
      <c r="K195" s="239"/>
      <c r="L195" s="239"/>
      <c r="M195" s="239"/>
    </row>
    <row r="196" ht="20.25" customHeight="1">
      <c r="A196" s="238"/>
      <c r="B196" s="238"/>
      <c r="C196" s="238"/>
      <c r="D196" s="352"/>
      <c r="E196" s="239"/>
      <c r="F196" s="239"/>
      <c r="G196" s="239"/>
      <c r="H196" s="239"/>
      <c r="I196" s="239"/>
      <c r="J196" s="239"/>
      <c r="K196" s="239"/>
      <c r="L196" s="239"/>
      <c r="M196" s="239"/>
    </row>
    <row r="197" ht="20.25" customHeight="1">
      <c r="A197" s="238"/>
      <c r="B197" s="238"/>
      <c r="C197" s="238"/>
      <c r="D197" s="352"/>
      <c r="E197" s="239"/>
      <c r="F197" s="239"/>
      <c r="G197" s="239"/>
      <c r="H197" s="239"/>
      <c r="I197" s="239"/>
      <c r="J197" s="239"/>
      <c r="K197" s="239"/>
      <c r="L197" s="239"/>
      <c r="M197" s="239"/>
    </row>
    <row r="198" ht="20.25" customHeight="1">
      <c r="A198" s="238"/>
      <c r="B198" s="238"/>
      <c r="C198" s="238"/>
      <c r="D198" s="352"/>
      <c r="E198" s="239"/>
      <c r="F198" s="239"/>
      <c r="G198" s="239"/>
      <c r="H198" s="239"/>
      <c r="I198" s="239"/>
      <c r="J198" s="239"/>
      <c r="K198" s="239"/>
      <c r="L198" s="239"/>
      <c r="M198" s="239"/>
    </row>
    <row r="199" ht="20.25" customHeight="1">
      <c r="A199" s="238"/>
      <c r="B199" s="238"/>
      <c r="C199" s="238"/>
      <c r="D199" s="352"/>
      <c r="E199" s="239"/>
      <c r="F199" s="239"/>
      <c r="G199" s="239"/>
      <c r="H199" s="239"/>
      <c r="I199" s="239"/>
      <c r="J199" s="239"/>
      <c r="K199" s="239"/>
      <c r="L199" s="239"/>
      <c r="M199" s="239"/>
    </row>
    <row r="200" ht="20.25" customHeight="1">
      <c r="A200" s="238"/>
      <c r="B200" s="238"/>
      <c r="C200" s="238"/>
      <c r="D200" s="352"/>
      <c r="E200" s="239"/>
      <c r="F200" s="239"/>
      <c r="G200" s="239"/>
      <c r="H200" s="239"/>
      <c r="I200" s="239"/>
      <c r="J200" s="239"/>
      <c r="K200" s="239"/>
      <c r="L200" s="239"/>
      <c r="M200" s="239"/>
    </row>
    <row r="201" ht="20.25" customHeight="1">
      <c r="A201" s="238"/>
      <c r="B201" s="238"/>
      <c r="C201" s="238"/>
      <c r="D201" s="352"/>
      <c r="E201" s="239"/>
      <c r="F201" s="239"/>
      <c r="G201" s="239"/>
      <c r="H201" s="239"/>
      <c r="I201" s="239"/>
      <c r="J201" s="239"/>
      <c r="K201" s="239"/>
      <c r="L201" s="239"/>
      <c r="M201" s="239"/>
    </row>
    <row r="202" ht="20.25" customHeight="1">
      <c r="A202" s="238"/>
      <c r="B202" s="238"/>
      <c r="C202" s="238"/>
      <c r="D202" s="352"/>
      <c r="E202" s="239"/>
      <c r="F202" s="239"/>
      <c r="G202" s="239"/>
      <c r="H202" s="239"/>
      <c r="I202" s="239"/>
      <c r="J202" s="239"/>
      <c r="K202" s="239"/>
      <c r="L202" s="239"/>
      <c r="M202" s="239"/>
    </row>
    <row r="203" ht="20.25" customHeight="1">
      <c r="A203" s="238"/>
      <c r="B203" s="238"/>
      <c r="C203" s="238"/>
      <c r="D203" s="352"/>
      <c r="E203" s="239"/>
      <c r="F203" s="239"/>
      <c r="G203" s="239"/>
      <c r="H203" s="239"/>
      <c r="I203" s="239"/>
      <c r="J203" s="239"/>
      <c r="K203" s="239"/>
      <c r="L203" s="239"/>
      <c r="M203" s="239"/>
    </row>
    <row r="204" ht="20.25" customHeight="1">
      <c r="A204" s="238"/>
      <c r="B204" s="238"/>
      <c r="C204" s="238"/>
      <c r="D204" s="352"/>
      <c r="E204" s="239"/>
      <c r="F204" s="239"/>
      <c r="G204" s="239"/>
      <c r="H204" s="239"/>
      <c r="I204" s="239"/>
      <c r="J204" s="239"/>
      <c r="K204" s="239"/>
      <c r="L204" s="239"/>
      <c r="M204" s="239"/>
    </row>
    <row r="205" ht="20.25" customHeight="1">
      <c r="A205" s="238"/>
      <c r="B205" s="238"/>
      <c r="C205" s="238"/>
      <c r="D205" s="352"/>
      <c r="E205" s="239"/>
      <c r="F205" s="239"/>
      <c r="G205" s="239"/>
      <c r="H205" s="239"/>
      <c r="I205" s="239"/>
      <c r="J205" s="239"/>
      <c r="K205" s="239"/>
      <c r="L205" s="239"/>
      <c r="M205" s="239"/>
    </row>
    <row r="206" ht="20.25" customHeight="1">
      <c r="A206" s="238"/>
      <c r="B206" s="238"/>
      <c r="C206" s="238"/>
      <c r="D206" s="352"/>
      <c r="E206" s="239"/>
      <c r="F206" s="239"/>
      <c r="G206" s="239"/>
      <c r="H206" s="239"/>
      <c r="I206" s="239"/>
      <c r="J206" s="239"/>
      <c r="K206" s="239"/>
      <c r="L206" s="239"/>
      <c r="M206" s="239"/>
    </row>
    <row r="207" ht="20.25" customHeight="1">
      <c r="A207" s="238"/>
      <c r="B207" s="238"/>
      <c r="C207" s="238"/>
      <c r="D207" s="352"/>
      <c r="E207" s="239"/>
      <c r="F207" s="239"/>
      <c r="G207" s="239"/>
      <c r="H207" s="239"/>
      <c r="I207" s="239"/>
      <c r="J207" s="239"/>
      <c r="K207" s="239"/>
      <c r="L207" s="239"/>
      <c r="M207" s="239"/>
    </row>
    <row r="208" ht="20.25" customHeight="1">
      <c r="A208" s="238"/>
      <c r="B208" s="238"/>
      <c r="C208" s="238"/>
      <c r="D208" s="352"/>
      <c r="E208" s="239"/>
      <c r="F208" s="239"/>
      <c r="G208" s="239"/>
      <c r="H208" s="239"/>
      <c r="I208" s="239"/>
      <c r="J208" s="239"/>
      <c r="K208" s="239"/>
      <c r="L208" s="239"/>
      <c r="M208" s="239"/>
    </row>
    <row r="209" ht="20.25" customHeight="1">
      <c r="A209" s="238"/>
      <c r="B209" s="238"/>
      <c r="C209" s="238"/>
      <c r="D209" s="352"/>
      <c r="E209" s="239"/>
      <c r="F209" s="239"/>
      <c r="G209" s="239"/>
      <c r="H209" s="239"/>
      <c r="I209" s="239"/>
      <c r="J209" s="239"/>
      <c r="K209" s="239"/>
      <c r="L209" s="239"/>
      <c r="M209" s="239"/>
    </row>
    <row r="210" ht="20.25" customHeight="1">
      <c r="A210" s="238"/>
      <c r="B210" s="238"/>
      <c r="C210" s="238"/>
      <c r="D210" s="352"/>
      <c r="E210" s="239"/>
      <c r="F210" s="239"/>
      <c r="G210" s="239"/>
      <c r="H210" s="239"/>
      <c r="I210" s="239"/>
      <c r="J210" s="239"/>
      <c r="K210" s="239"/>
      <c r="L210" s="239"/>
      <c r="M210" s="239"/>
    </row>
    <row r="211" ht="20.25" customHeight="1">
      <c r="A211" s="238"/>
      <c r="B211" s="238"/>
      <c r="C211" s="238"/>
      <c r="D211" s="352"/>
      <c r="E211" s="239"/>
      <c r="F211" s="239"/>
      <c r="G211" s="239"/>
      <c r="H211" s="239"/>
      <c r="I211" s="239"/>
      <c r="J211" s="239"/>
      <c r="K211" s="239"/>
      <c r="L211" s="239"/>
      <c r="M211" s="239"/>
    </row>
    <row r="212" ht="20.25" customHeight="1">
      <c r="A212" s="238"/>
      <c r="B212" s="238"/>
      <c r="C212" s="238"/>
      <c r="D212" s="352"/>
      <c r="E212" s="239"/>
      <c r="F212" s="239"/>
      <c r="G212" s="239"/>
      <c r="H212" s="239"/>
      <c r="I212" s="239"/>
      <c r="J212" s="239"/>
      <c r="K212" s="239"/>
      <c r="L212" s="239"/>
      <c r="M212" s="239"/>
    </row>
    <row r="213" ht="20.25" customHeight="1">
      <c r="A213" s="238"/>
      <c r="B213" s="238"/>
      <c r="C213" s="238"/>
      <c r="D213" s="352"/>
      <c r="E213" s="239"/>
      <c r="F213" s="239"/>
      <c r="G213" s="239"/>
      <c r="H213" s="239"/>
      <c r="I213" s="239"/>
      <c r="J213" s="239"/>
      <c r="K213" s="239"/>
      <c r="L213" s="239"/>
      <c r="M213" s="239"/>
    </row>
    <row r="214" ht="20.25" customHeight="1">
      <c r="A214" s="238"/>
      <c r="B214" s="238"/>
      <c r="C214" s="238"/>
      <c r="D214" s="352"/>
      <c r="E214" s="239"/>
      <c r="F214" s="239"/>
      <c r="G214" s="239"/>
      <c r="H214" s="239"/>
      <c r="I214" s="239"/>
      <c r="J214" s="239"/>
      <c r="K214" s="239"/>
      <c r="L214" s="239"/>
      <c r="M214" s="239"/>
    </row>
    <row r="215" ht="20.25" customHeight="1">
      <c r="A215" s="238"/>
      <c r="B215" s="238"/>
      <c r="C215" s="238"/>
      <c r="D215" s="352"/>
      <c r="E215" s="239"/>
      <c r="F215" s="239"/>
      <c r="G215" s="239"/>
      <c r="H215" s="239"/>
      <c r="I215" s="239"/>
      <c r="J215" s="239"/>
      <c r="K215" s="239"/>
      <c r="L215" s="239"/>
      <c r="M215" s="239"/>
    </row>
    <row r="216" ht="20.25" customHeight="1">
      <c r="A216" s="238"/>
      <c r="B216" s="238"/>
      <c r="C216" s="238"/>
      <c r="D216" s="352"/>
      <c r="E216" s="239"/>
      <c r="F216" s="239"/>
      <c r="G216" s="239"/>
      <c r="H216" s="239"/>
      <c r="I216" s="239"/>
      <c r="J216" s="239"/>
      <c r="K216" s="239"/>
      <c r="L216" s="239"/>
      <c r="M216" s="239"/>
    </row>
    <row r="217" ht="20.25" customHeight="1">
      <c r="A217" s="238"/>
      <c r="B217" s="238"/>
      <c r="C217" s="238"/>
      <c r="D217" s="352"/>
      <c r="E217" s="239"/>
      <c r="F217" s="239"/>
      <c r="G217" s="239"/>
      <c r="H217" s="239"/>
      <c r="I217" s="239"/>
      <c r="J217" s="239"/>
      <c r="K217" s="239"/>
      <c r="L217" s="239"/>
      <c r="M217" s="239"/>
    </row>
    <row r="218" ht="20.25" customHeight="1">
      <c r="A218" s="238"/>
      <c r="B218" s="238"/>
      <c r="C218" s="238"/>
      <c r="D218" s="352"/>
      <c r="E218" s="239"/>
      <c r="F218" s="239"/>
      <c r="G218" s="239"/>
      <c r="H218" s="239"/>
      <c r="I218" s="239"/>
      <c r="J218" s="239"/>
      <c r="K218" s="239"/>
      <c r="L218" s="239"/>
      <c r="M218" s="239"/>
    </row>
    <row r="219" ht="20.25" customHeight="1">
      <c r="A219" s="238"/>
      <c r="B219" s="238"/>
      <c r="C219" s="238"/>
      <c r="D219" s="352"/>
      <c r="E219" s="239"/>
      <c r="F219" s="239"/>
      <c r="G219" s="239"/>
      <c r="H219" s="239"/>
      <c r="I219" s="239"/>
      <c r="J219" s="239"/>
      <c r="K219" s="239"/>
      <c r="L219" s="239"/>
      <c r="M219" s="239"/>
    </row>
    <row r="220" ht="20.25" customHeight="1">
      <c r="A220" s="238"/>
      <c r="B220" s="238"/>
      <c r="C220" s="238"/>
      <c r="D220" s="352"/>
      <c r="E220" s="239"/>
      <c r="F220" s="239"/>
      <c r="G220" s="239"/>
      <c r="H220" s="239"/>
      <c r="I220" s="239"/>
      <c r="J220" s="239"/>
      <c r="K220" s="239"/>
      <c r="L220" s="239"/>
      <c r="M220" s="239"/>
    </row>
    <row r="221" ht="20.25" customHeight="1">
      <c r="A221" s="238"/>
      <c r="B221" s="238"/>
      <c r="C221" s="238"/>
      <c r="D221" s="352"/>
      <c r="E221" s="239"/>
      <c r="F221" s="239"/>
      <c r="G221" s="239"/>
      <c r="H221" s="239"/>
      <c r="I221" s="239"/>
      <c r="J221" s="239"/>
      <c r="K221" s="239"/>
      <c r="L221" s="239"/>
      <c r="M221" s="239"/>
    </row>
    <row r="222" ht="20.25" customHeight="1">
      <c r="A222" s="238"/>
      <c r="B222" s="238"/>
      <c r="C222" s="238"/>
      <c r="D222" s="352"/>
      <c r="E222" s="239"/>
      <c r="F222" s="239"/>
      <c r="G222" s="239"/>
      <c r="H222" s="239"/>
      <c r="I222" s="239"/>
      <c r="J222" s="239"/>
      <c r="K222" s="239"/>
      <c r="L222" s="239"/>
      <c r="M222" s="239"/>
    </row>
    <row r="223" ht="20.25" customHeight="1">
      <c r="A223" s="238"/>
      <c r="B223" s="238"/>
      <c r="C223" s="238"/>
      <c r="D223" s="352"/>
      <c r="E223" s="239"/>
      <c r="F223" s="239"/>
      <c r="G223" s="239"/>
      <c r="H223" s="239"/>
      <c r="I223" s="239"/>
      <c r="J223" s="239"/>
      <c r="K223" s="239"/>
      <c r="L223" s="239"/>
      <c r="M223" s="239"/>
    </row>
    <row r="224" ht="20.25" customHeight="1">
      <c r="A224" s="238"/>
      <c r="B224" s="238"/>
      <c r="C224" s="238"/>
      <c r="D224" s="352"/>
      <c r="E224" s="239"/>
      <c r="F224" s="239"/>
      <c r="G224" s="239"/>
      <c r="H224" s="239"/>
      <c r="I224" s="239"/>
      <c r="J224" s="239"/>
      <c r="K224" s="239"/>
      <c r="L224" s="239"/>
      <c r="M224" s="239"/>
    </row>
    <row r="225" ht="20.25" customHeight="1">
      <c r="A225" s="238"/>
      <c r="B225" s="238"/>
      <c r="C225" s="238"/>
      <c r="D225" s="352"/>
      <c r="E225" s="239"/>
      <c r="F225" s="239"/>
      <c r="G225" s="239"/>
      <c r="H225" s="239"/>
      <c r="I225" s="239"/>
      <c r="J225" s="239"/>
      <c r="K225" s="239"/>
      <c r="L225" s="239"/>
      <c r="M225" s="239"/>
    </row>
    <row r="226" ht="20.25" customHeight="1">
      <c r="A226" s="238"/>
      <c r="B226" s="238"/>
      <c r="C226" s="238"/>
      <c r="D226" s="352"/>
      <c r="E226" s="239"/>
      <c r="F226" s="239"/>
      <c r="G226" s="239"/>
      <c r="H226" s="239"/>
      <c r="I226" s="239"/>
      <c r="J226" s="239"/>
      <c r="K226" s="239"/>
      <c r="L226" s="239"/>
      <c r="M226" s="239"/>
    </row>
    <row r="227" ht="20.25" customHeight="1">
      <c r="A227" s="238"/>
      <c r="B227" s="238"/>
      <c r="C227" s="238"/>
      <c r="D227" s="352"/>
      <c r="E227" s="239"/>
      <c r="F227" s="239"/>
      <c r="G227" s="239"/>
      <c r="H227" s="239"/>
      <c r="I227" s="239"/>
      <c r="J227" s="239"/>
      <c r="K227" s="239"/>
      <c r="L227" s="239"/>
      <c r="M227" s="239"/>
    </row>
    <row r="228" ht="20.25" customHeight="1">
      <c r="A228" s="238"/>
      <c r="B228" s="238"/>
      <c r="C228" s="238"/>
      <c r="D228" s="352"/>
      <c r="E228" s="239"/>
      <c r="F228" s="239"/>
      <c r="G228" s="239"/>
      <c r="H228" s="239"/>
      <c r="I228" s="239"/>
      <c r="J228" s="239"/>
      <c r="K228" s="239"/>
      <c r="L228" s="239"/>
      <c r="M228" s="239"/>
    </row>
    <row r="229" ht="20.25" customHeight="1">
      <c r="A229" s="238"/>
      <c r="B229" s="238"/>
      <c r="C229" s="238"/>
      <c r="D229" s="352"/>
      <c r="E229" s="239"/>
      <c r="F229" s="239"/>
      <c r="G229" s="239"/>
      <c r="H229" s="239"/>
      <c r="I229" s="239"/>
      <c r="J229" s="239"/>
      <c r="K229" s="239"/>
      <c r="L229" s="239"/>
      <c r="M229" s="239"/>
    </row>
    <row r="230" ht="20.25" customHeight="1">
      <c r="A230" s="238"/>
      <c r="B230" s="238"/>
      <c r="C230" s="238"/>
      <c r="D230" s="352"/>
      <c r="E230" s="239"/>
      <c r="F230" s="239"/>
      <c r="G230" s="239"/>
      <c r="H230" s="239"/>
      <c r="I230" s="239"/>
      <c r="J230" s="239"/>
      <c r="K230" s="239"/>
      <c r="L230" s="239"/>
      <c r="M230" s="239"/>
    </row>
    <row r="231" ht="20.25" customHeight="1">
      <c r="A231" s="238"/>
      <c r="B231" s="238"/>
      <c r="C231" s="238"/>
      <c r="D231" s="352"/>
      <c r="E231" s="239"/>
      <c r="F231" s="239"/>
      <c r="G231" s="239"/>
      <c r="H231" s="239"/>
      <c r="I231" s="239"/>
      <c r="J231" s="239"/>
      <c r="K231" s="239"/>
      <c r="L231" s="239"/>
      <c r="M231" s="239"/>
    </row>
    <row r="232" ht="20.25" customHeight="1">
      <c r="A232" s="238"/>
      <c r="B232" s="238"/>
      <c r="C232" s="238"/>
      <c r="D232" s="352"/>
      <c r="E232" s="239"/>
      <c r="F232" s="239"/>
      <c r="G232" s="239"/>
      <c r="H232" s="239"/>
      <c r="I232" s="239"/>
      <c r="J232" s="239"/>
      <c r="K232" s="239"/>
      <c r="L232" s="239"/>
      <c r="M232" s="239"/>
    </row>
    <row r="233" ht="20.25" customHeight="1">
      <c r="A233" s="238"/>
      <c r="B233" s="238"/>
      <c r="C233" s="238"/>
      <c r="D233" s="352"/>
      <c r="E233" s="239"/>
      <c r="F233" s="239"/>
      <c r="G233" s="239"/>
      <c r="H233" s="239"/>
      <c r="I233" s="239"/>
      <c r="J233" s="239"/>
      <c r="K233" s="239"/>
      <c r="L233" s="239"/>
      <c r="M233" s="239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75" footer="0.0" header="0.0" left="0.7" right="0.7" top="0.75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65.43"/>
    <col customWidth="1" min="3" max="3" width="83.86"/>
    <col customWidth="1" min="4" max="4" width="45.14"/>
    <col customWidth="1" min="5" max="5" width="51.29"/>
  </cols>
  <sheetData>
    <row r="1">
      <c r="A1" s="354" t="s">
        <v>0</v>
      </c>
      <c r="B1" s="61"/>
      <c r="C1" s="334"/>
      <c r="D1" s="355"/>
      <c r="E1" s="356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</row>
    <row r="2" ht="26.25" customHeight="1">
      <c r="A2" s="6" t="s">
        <v>1</v>
      </c>
      <c r="B2" s="266"/>
      <c r="C2" s="357"/>
      <c r="D2" s="357"/>
      <c r="E2" s="357"/>
      <c r="F2" s="357"/>
      <c r="G2" s="357"/>
      <c r="H2" s="358"/>
      <c r="I2" s="358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</row>
    <row r="3">
      <c r="A3" s="359" t="s">
        <v>604</v>
      </c>
      <c r="B3" s="61"/>
      <c r="C3" s="334"/>
      <c r="D3" s="355"/>
      <c r="E3" s="356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>
      <c r="A4" s="360" t="s">
        <v>3</v>
      </c>
      <c r="B4" s="61"/>
      <c r="C4" s="334"/>
      <c r="D4" s="355"/>
      <c r="E4" s="356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</row>
    <row r="5">
      <c r="A5" s="360" t="s">
        <v>605</v>
      </c>
      <c r="B5" s="61"/>
      <c r="C5" s="334"/>
      <c r="D5" s="355"/>
      <c r="E5" s="356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</row>
    <row r="6">
      <c r="A6" s="61"/>
      <c r="B6" s="61"/>
      <c r="C6" s="334"/>
      <c r="D6" s="355"/>
      <c r="E6" s="356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</row>
    <row r="7" ht="15.75" customHeight="1">
      <c r="A7" s="43"/>
      <c r="B7" s="43"/>
      <c r="C7" s="41"/>
      <c r="D7" s="361"/>
      <c r="E7" s="40"/>
      <c r="F7" s="334"/>
      <c r="G7" s="334"/>
      <c r="H7" s="334"/>
      <c r="I7" s="334"/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</row>
    <row r="8" ht="15.75" hidden="1" customHeight="1">
      <c r="A8" s="362" t="s">
        <v>606</v>
      </c>
      <c r="B8" s="17"/>
      <c r="C8" s="17"/>
      <c r="D8" s="17"/>
      <c r="E8" s="18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</row>
    <row r="9" ht="15.75" hidden="1" customHeight="1">
      <c r="A9" s="363"/>
      <c r="B9" s="364"/>
      <c r="C9" s="365"/>
      <c r="D9" s="366"/>
      <c r="E9" s="46"/>
      <c r="F9" s="334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</row>
    <row r="10" ht="15.75" hidden="1" customHeight="1">
      <c r="A10" s="28"/>
      <c r="B10" s="364"/>
      <c r="C10" s="41"/>
      <c r="D10" s="366"/>
      <c r="E10" s="46"/>
      <c r="F10" s="334"/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</row>
    <row r="11" ht="15.75" hidden="1" customHeight="1">
      <c r="A11" s="363"/>
      <c r="B11" s="364"/>
      <c r="C11" s="41"/>
      <c r="D11" s="366"/>
      <c r="E11" s="46"/>
      <c r="F11" s="334"/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</row>
    <row r="12" ht="15.75" hidden="1" customHeight="1">
      <c r="A12" s="28"/>
      <c r="B12" s="43"/>
      <c r="C12" s="41"/>
      <c r="D12" s="366"/>
      <c r="E12" s="46"/>
      <c r="F12" s="334"/>
      <c r="G12" s="334"/>
      <c r="H12" s="334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</row>
    <row r="13" ht="15.75" hidden="1" customHeight="1">
      <c r="A13" s="363"/>
      <c r="B13" s="364"/>
      <c r="C13" s="41"/>
      <c r="D13" s="366"/>
      <c r="E13" s="46"/>
      <c r="F13" s="334"/>
      <c r="G13" s="334"/>
      <c r="H13" s="334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</row>
    <row r="14" ht="15.75" hidden="1" customHeight="1">
      <c r="A14" s="20"/>
      <c r="B14" s="364"/>
      <c r="C14" s="41"/>
      <c r="D14" s="366"/>
      <c r="E14" s="46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</row>
    <row r="15" ht="15.75" hidden="1" customHeight="1">
      <c r="A15" s="20"/>
      <c r="B15" s="364"/>
      <c r="C15" s="41"/>
      <c r="D15" s="366"/>
      <c r="E15" s="46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</row>
    <row r="16" ht="15.75" hidden="1" customHeight="1">
      <c r="A16" s="20"/>
      <c r="B16" s="364"/>
      <c r="C16" s="41"/>
      <c r="D16" s="366"/>
      <c r="E16" s="46"/>
      <c r="F16" s="334"/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</row>
    <row r="17" ht="15.75" hidden="1" customHeight="1">
      <c r="A17" s="20"/>
      <c r="B17" s="364"/>
      <c r="C17" s="41"/>
      <c r="D17" s="366"/>
      <c r="E17" s="46"/>
      <c r="F17" s="334"/>
      <c r="G17" s="334"/>
      <c r="H17" s="334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</row>
    <row r="18" ht="15.75" hidden="1" customHeight="1">
      <c r="A18" s="20"/>
      <c r="B18" s="364"/>
      <c r="C18" s="41"/>
      <c r="D18" s="366"/>
      <c r="E18" s="46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</row>
    <row r="19" ht="15.75" hidden="1" customHeight="1">
      <c r="A19" s="20"/>
      <c r="B19" s="43"/>
      <c r="C19" s="41"/>
      <c r="D19" s="366"/>
      <c r="E19" s="46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</row>
    <row r="20" ht="15.75" hidden="1" customHeight="1">
      <c r="A20" s="28"/>
      <c r="B20" s="43"/>
      <c r="C20" s="41"/>
      <c r="D20" s="366"/>
      <c r="E20" s="46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</row>
    <row r="21" ht="15.75" hidden="1" customHeight="1">
      <c r="A21" s="362" t="s">
        <v>13</v>
      </c>
      <c r="B21" s="17"/>
      <c r="C21" s="18"/>
      <c r="D21" s="367">
        <f t="shared" ref="D21:E21" si="1">SUM(D9:D20)</f>
        <v>0</v>
      </c>
      <c r="E21" s="367">
        <f t="shared" si="1"/>
        <v>0</v>
      </c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</row>
    <row r="22" ht="15.75" hidden="1" customHeight="1">
      <c r="A22" s="43"/>
      <c r="B22" s="43"/>
      <c r="C22" s="41"/>
      <c r="D22" s="361"/>
      <c r="E22" s="40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</row>
    <row r="23" ht="15.75" hidden="1" customHeight="1">
      <c r="A23" s="59" t="s">
        <v>607</v>
      </c>
      <c r="B23" s="43"/>
      <c r="C23" s="41"/>
      <c r="D23" s="361"/>
      <c r="E23" s="40"/>
      <c r="F23" s="334"/>
      <c r="G23" s="334"/>
      <c r="H23" s="334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</row>
    <row r="24" ht="15.75" hidden="1" customHeight="1">
      <c r="A24" s="363" t="s">
        <v>608</v>
      </c>
      <c r="B24" s="364" t="s">
        <v>609</v>
      </c>
      <c r="C24" s="41" t="s">
        <v>610</v>
      </c>
      <c r="D24" s="366">
        <v>1.0</v>
      </c>
      <c r="E24" s="46">
        <v>15000.0</v>
      </c>
      <c r="F24" s="334"/>
      <c r="G24" s="334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</row>
    <row r="25" ht="15.75" hidden="1" customHeight="1">
      <c r="A25" s="28"/>
      <c r="B25" s="364" t="s">
        <v>611</v>
      </c>
      <c r="C25" s="41" t="s">
        <v>612</v>
      </c>
      <c r="D25" s="366">
        <v>1.0</v>
      </c>
      <c r="E25" s="46">
        <v>15000.0</v>
      </c>
      <c r="F25" s="334"/>
      <c r="G25" s="334"/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</row>
    <row r="26" ht="15.75" hidden="1" customHeight="1">
      <c r="A26" s="363" t="s">
        <v>613</v>
      </c>
      <c r="B26" s="364" t="s">
        <v>614</v>
      </c>
      <c r="C26" s="41" t="s">
        <v>615</v>
      </c>
      <c r="D26" s="366">
        <v>1.0</v>
      </c>
      <c r="E26" s="46">
        <v>15000.0</v>
      </c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</row>
    <row r="27" ht="15.75" hidden="1" customHeight="1">
      <c r="A27" s="28"/>
      <c r="B27" s="364" t="s">
        <v>616</v>
      </c>
      <c r="C27" s="41" t="s">
        <v>617</v>
      </c>
      <c r="D27" s="366">
        <v>1.0</v>
      </c>
      <c r="E27" s="46">
        <v>15000.0</v>
      </c>
      <c r="F27" s="334"/>
      <c r="G27" s="334"/>
      <c r="H27" s="334"/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</row>
    <row r="28" ht="15.75" hidden="1" customHeight="1">
      <c r="A28" s="362" t="s">
        <v>618</v>
      </c>
      <c r="B28" s="17"/>
      <c r="C28" s="18"/>
      <c r="D28" s="368">
        <f t="shared" ref="D28:E28" si="2">SUM(D24:D27)</f>
        <v>4</v>
      </c>
      <c r="E28" s="34">
        <f t="shared" si="2"/>
        <v>60000</v>
      </c>
      <c r="F28" s="334"/>
      <c r="G28" s="334"/>
      <c r="H28" s="334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</row>
    <row r="29" ht="15.75" hidden="1" customHeight="1">
      <c r="A29" s="43"/>
      <c r="B29" s="43"/>
      <c r="C29" s="41"/>
      <c r="D29" s="361"/>
      <c r="E29" s="40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</row>
    <row r="30" ht="15.75" hidden="1" customHeight="1">
      <c r="A30" s="362" t="s">
        <v>619</v>
      </c>
      <c r="B30" s="17"/>
      <c r="C30" s="17"/>
      <c r="D30" s="17"/>
      <c r="E30" s="18"/>
      <c r="F30" s="334"/>
      <c r="G30" s="334"/>
      <c r="H30" s="334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</row>
    <row r="31" ht="15.75" hidden="1" customHeight="1">
      <c r="A31" s="363" t="s">
        <v>608</v>
      </c>
      <c r="B31" s="364" t="s">
        <v>620</v>
      </c>
      <c r="C31" s="41" t="s">
        <v>621</v>
      </c>
      <c r="D31" s="366">
        <v>1.0</v>
      </c>
      <c r="E31" s="46">
        <v>15000.0</v>
      </c>
      <c r="F31" s="334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</row>
    <row r="32" ht="15.75" hidden="1" customHeight="1">
      <c r="A32" s="20"/>
      <c r="B32" s="364" t="s">
        <v>622</v>
      </c>
      <c r="C32" s="41" t="s">
        <v>623</v>
      </c>
      <c r="D32" s="366">
        <v>1.0</v>
      </c>
      <c r="E32" s="46">
        <v>15000.0</v>
      </c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</row>
    <row r="33" ht="15.75" hidden="1" customHeight="1">
      <c r="A33" s="28"/>
      <c r="B33" s="364" t="s">
        <v>624</v>
      </c>
      <c r="C33" s="41" t="s">
        <v>625</v>
      </c>
      <c r="D33" s="366">
        <v>1.2</v>
      </c>
      <c r="E33" s="46">
        <v>18000.0</v>
      </c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</row>
    <row r="34" ht="15.75" hidden="1" customHeight="1">
      <c r="A34" s="59" t="s">
        <v>613</v>
      </c>
      <c r="B34" s="364" t="s">
        <v>626</v>
      </c>
      <c r="C34" s="41" t="s">
        <v>627</v>
      </c>
      <c r="D34" s="366">
        <v>1.0</v>
      </c>
      <c r="E34" s="46">
        <v>15000.0</v>
      </c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</row>
    <row r="35" ht="15.75" hidden="1" customHeight="1">
      <c r="A35" s="362" t="s">
        <v>618</v>
      </c>
      <c r="B35" s="17"/>
      <c r="C35" s="18"/>
      <c r="D35" s="368">
        <f>SUM(D31:D33)</f>
        <v>3.2</v>
      </c>
      <c r="E35" s="34">
        <f>SUM(E31:E34)</f>
        <v>63000</v>
      </c>
      <c r="F35" s="334"/>
      <c r="G35" s="334"/>
      <c r="H35" s="334"/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</row>
    <row r="36" ht="15.75" hidden="1" customHeight="1">
      <c r="A36" s="362" t="s">
        <v>13</v>
      </c>
      <c r="B36" s="17"/>
      <c r="C36" s="18"/>
      <c r="D36" s="368">
        <f t="shared" ref="D36:E36" si="3">D35+D28</f>
        <v>7.2</v>
      </c>
      <c r="E36" s="34">
        <f t="shared" si="3"/>
        <v>123000</v>
      </c>
      <c r="F36" s="334"/>
      <c r="G36" s="334"/>
      <c r="H36" s="334"/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</row>
    <row r="37" ht="15.75" hidden="1" customHeight="1">
      <c r="A37" s="362" t="s">
        <v>606</v>
      </c>
      <c r="B37" s="17"/>
      <c r="C37" s="17"/>
      <c r="D37" s="17"/>
      <c r="E37" s="18"/>
      <c r="F37" s="334"/>
      <c r="G37" s="334"/>
      <c r="H37" s="334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4"/>
      <c r="T37" s="334"/>
      <c r="U37" s="334"/>
      <c r="V37" s="334"/>
      <c r="W37" s="334"/>
      <c r="X37" s="334"/>
      <c r="Y37" s="334"/>
    </row>
    <row r="38" ht="15.75" hidden="1" customHeight="1">
      <c r="A38" s="363" t="s">
        <v>608</v>
      </c>
      <c r="B38" s="364" t="s">
        <v>609</v>
      </c>
      <c r="C38" s="369" t="s">
        <v>628</v>
      </c>
      <c r="D38" s="370">
        <v>1.0</v>
      </c>
      <c r="E38" s="371">
        <v>15000.0</v>
      </c>
      <c r="F38" s="334"/>
      <c r="G38" s="334"/>
      <c r="H38" s="334"/>
      <c r="I38" s="372"/>
      <c r="J38" s="372"/>
      <c r="K38" s="334"/>
      <c r="L38" s="372"/>
      <c r="M38" s="372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</row>
    <row r="39" ht="15.75" hidden="1" customHeight="1">
      <c r="A39" s="20"/>
      <c r="B39" s="364" t="s">
        <v>629</v>
      </c>
      <c r="C39" s="369" t="s">
        <v>630</v>
      </c>
      <c r="D39" s="370">
        <v>1.0</v>
      </c>
      <c r="E39" s="371">
        <v>15000.0</v>
      </c>
      <c r="F39" s="334"/>
      <c r="G39" s="334"/>
      <c r="H39" s="334"/>
      <c r="I39" s="372"/>
      <c r="J39" s="372"/>
      <c r="K39" s="334"/>
      <c r="L39" s="372"/>
      <c r="M39" s="372"/>
      <c r="N39" s="334"/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4"/>
    </row>
    <row r="40" ht="15.75" hidden="1" customHeight="1">
      <c r="A40" s="20"/>
      <c r="B40" s="364" t="s">
        <v>631</v>
      </c>
      <c r="C40" s="369" t="s">
        <v>632</v>
      </c>
      <c r="D40" s="370">
        <v>0.667</v>
      </c>
      <c r="E40" s="371">
        <v>10000.0</v>
      </c>
      <c r="F40" s="334"/>
      <c r="G40" s="334"/>
      <c r="H40" s="334"/>
      <c r="I40" s="372"/>
      <c r="J40" s="372"/>
      <c r="K40" s="334"/>
      <c r="L40" s="372"/>
      <c r="M40" s="372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</row>
    <row r="41" ht="15.75" hidden="1" customHeight="1">
      <c r="A41" s="20"/>
      <c r="B41" s="364" t="s">
        <v>633</v>
      </c>
      <c r="C41" s="369" t="s">
        <v>634</v>
      </c>
      <c r="D41" s="370">
        <v>0.667</v>
      </c>
      <c r="E41" s="371">
        <v>10000.0</v>
      </c>
      <c r="F41" s="334"/>
      <c r="G41" s="334"/>
      <c r="H41" s="334"/>
      <c r="I41" s="372"/>
      <c r="J41" s="372"/>
      <c r="K41" s="334"/>
      <c r="L41" s="372"/>
      <c r="M41" s="372"/>
      <c r="N41" s="334"/>
      <c r="O41" s="334"/>
      <c r="P41" s="334"/>
      <c r="Q41" s="334"/>
      <c r="R41" s="334"/>
      <c r="S41" s="334"/>
      <c r="T41" s="334"/>
      <c r="U41" s="334"/>
      <c r="V41" s="334"/>
      <c r="W41" s="334"/>
      <c r="X41" s="334"/>
      <c r="Y41" s="334"/>
    </row>
    <row r="42" ht="15.75" hidden="1" customHeight="1">
      <c r="A42" s="20"/>
      <c r="B42" s="364" t="s">
        <v>635</v>
      </c>
      <c r="C42" s="369" t="s">
        <v>636</v>
      </c>
      <c r="D42" s="370">
        <v>0.667</v>
      </c>
      <c r="E42" s="371">
        <v>10000.0</v>
      </c>
      <c r="F42" s="334"/>
      <c r="G42" s="334"/>
      <c r="H42" s="334"/>
      <c r="I42" s="372"/>
      <c r="J42" s="372"/>
      <c r="K42" s="334"/>
      <c r="L42" s="372"/>
      <c r="M42" s="372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</row>
    <row r="43" ht="15.75" hidden="1" customHeight="1">
      <c r="A43" s="20"/>
      <c r="B43" s="364" t="s">
        <v>637</v>
      </c>
      <c r="C43" s="369" t="s">
        <v>638</v>
      </c>
      <c r="D43" s="370">
        <v>0.667</v>
      </c>
      <c r="E43" s="371">
        <v>10000.0</v>
      </c>
      <c r="F43" s="334"/>
      <c r="G43" s="334"/>
      <c r="H43" s="334"/>
      <c r="I43" s="372"/>
      <c r="J43" s="372"/>
      <c r="K43" s="334"/>
      <c r="L43" s="372"/>
      <c r="M43" s="372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</row>
    <row r="44" ht="15.75" hidden="1" customHeight="1">
      <c r="A44" s="20"/>
      <c r="B44" s="364" t="s">
        <v>639</v>
      </c>
      <c r="C44" s="369" t="s">
        <v>640</v>
      </c>
      <c r="D44" s="370">
        <v>0.666</v>
      </c>
      <c r="E44" s="371">
        <v>10000.0</v>
      </c>
      <c r="F44" s="334"/>
      <c r="G44" s="334"/>
      <c r="H44" s="334"/>
      <c r="I44" s="372"/>
      <c r="J44" s="372"/>
      <c r="K44" s="334"/>
      <c r="L44" s="372"/>
      <c r="M44" s="372"/>
      <c r="N44" s="334"/>
      <c r="O44" s="334"/>
      <c r="P44" s="334"/>
      <c r="Q44" s="334"/>
      <c r="R44" s="334"/>
      <c r="S44" s="334"/>
      <c r="T44" s="334"/>
      <c r="U44" s="334"/>
      <c r="V44" s="334"/>
      <c r="W44" s="334"/>
      <c r="X44" s="334"/>
      <c r="Y44" s="334"/>
    </row>
    <row r="45" ht="15.75" hidden="1" customHeight="1">
      <c r="A45" s="20"/>
      <c r="B45" s="364" t="s">
        <v>641</v>
      </c>
      <c r="C45" s="369" t="s">
        <v>642</v>
      </c>
      <c r="D45" s="370">
        <v>2.0</v>
      </c>
      <c r="E45" s="371">
        <v>30000.0</v>
      </c>
      <c r="F45" s="334"/>
      <c r="G45" s="334"/>
      <c r="H45" s="334"/>
      <c r="I45" s="372"/>
      <c r="J45" s="372"/>
      <c r="K45" s="334"/>
      <c r="L45" s="372"/>
      <c r="M45" s="372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</row>
    <row r="46" ht="15.75" hidden="1" customHeight="1">
      <c r="A46" s="28"/>
      <c r="B46" s="364" t="s">
        <v>643</v>
      </c>
      <c r="C46" s="369" t="s">
        <v>644</v>
      </c>
      <c r="D46" s="370">
        <v>0.666</v>
      </c>
      <c r="E46" s="371">
        <v>10000.0</v>
      </c>
      <c r="F46" s="334"/>
      <c r="G46" s="334"/>
      <c r="H46" s="334"/>
      <c r="I46" s="372"/>
      <c r="J46" s="372"/>
      <c r="K46" s="334"/>
      <c r="L46" s="372"/>
      <c r="M46" s="372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</row>
    <row r="47" ht="15.75" hidden="1" customHeight="1">
      <c r="A47" s="373" t="s">
        <v>645</v>
      </c>
      <c r="B47" s="364" t="s">
        <v>646</v>
      </c>
      <c r="C47" s="369" t="s">
        <v>647</v>
      </c>
      <c r="D47" s="370">
        <v>1.0</v>
      </c>
      <c r="E47" s="371">
        <v>15000.0</v>
      </c>
      <c r="F47" s="334"/>
      <c r="G47" s="334"/>
      <c r="H47" s="334"/>
      <c r="I47" s="372"/>
      <c r="J47" s="372"/>
      <c r="K47" s="334"/>
      <c r="L47" s="372"/>
      <c r="M47" s="372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</row>
    <row r="48" ht="15.75" hidden="1" customHeight="1">
      <c r="A48" s="362" t="s">
        <v>13</v>
      </c>
      <c r="B48" s="17"/>
      <c r="C48" s="18"/>
      <c r="D48" s="374">
        <f t="shared" ref="D48:E48" si="4">SUM(D38:D47)</f>
        <v>9</v>
      </c>
      <c r="E48" s="375">
        <f t="shared" si="4"/>
        <v>135000</v>
      </c>
      <c r="F48" s="334"/>
      <c r="G48" s="334"/>
      <c r="H48" s="334"/>
      <c r="I48" s="334"/>
      <c r="J48" s="334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</row>
    <row r="49" ht="15.75" hidden="1" customHeight="1">
      <c r="A49" s="376"/>
      <c r="B49" s="17"/>
      <c r="C49" s="17"/>
      <c r="D49" s="17"/>
      <c r="E49" s="1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</row>
    <row r="50" ht="42.0" customHeight="1">
      <c r="A50" s="377" t="s">
        <v>648</v>
      </c>
      <c r="B50" s="17"/>
      <c r="C50" s="17"/>
      <c r="D50" s="17"/>
      <c r="E50" s="1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</row>
    <row r="51" ht="45.0" customHeight="1">
      <c r="A51" s="379" t="s">
        <v>108</v>
      </c>
      <c r="B51" s="380" t="s">
        <v>649</v>
      </c>
      <c r="C51" s="316" t="s">
        <v>628</v>
      </c>
      <c r="D51" s="381">
        <v>1.0</v>
      </c>
      <c r="E51" s="382">
        <v>15000.0</v>
      </c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</row>
    <row r="52" ht="60.0" customHeight="1">
      <c r="A52" s="379" t="s">
        <v>108</v>
      </c>
      <c r="B52" s="380" t="s">
        <v>629</v>
      </c>
      <c r="C52" s="316" t="s">
        <v>630</v>
      </c>
      <c r="D52" s="381">
        <v>1.0</v>
      </c>
      <c r="E52" s="382">
        <v>15000.0</v>
      </c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</row>
    <row r="53" ht="42.0" customHeight="1">
      <c r="A53" s="379" t="s">
        <v>108</v>
      </c>
      <c r="B53" s="380" t="s">
        <v>650</v>
      </c>
      <c r="C53" s="316" t="s">
        <v>651</v>
      </c>
      <c r="D53" s="381">
        <v>0.667</v>
      </c>
      <c r="E53" s="382">
        <v>10000.0</v>
      </c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</row>
    <row r="54" ht="54.0" customHeight="1">
      <c r="A54" s="379" t="s">
        <v>108</v>
      </c>
      <c r="B54" s="380" t="s">
        <v>652</v>
      </c>
      <c r="C54" s="316" t="s">
        <v>653</v>
      </c>
      <c r="D54" s="381">
        <v>0.333</v>
      </c>
      <c r="E54" s="382">
        <v>5000.0</v>
      </c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</row>
    <row r="55" ht="60.0" customHeight="1">
      <c r="A55" s="379" t="s">
        <v>108</v>
      </c>
      <c r="B55" s="380" t="s">
        <v>654</v>
      </c>
      <c r="C55" s="316" t="s">
        <v>655</v>
      </c>
      <c r="D55" s="381">
        <v>0.333</v>
      </c>
      <c r="E55" s="382">
        <v>5000.0</v>
      </c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</row>
    <row r="56" ht="42.0" customHeight="1">
      <c r="A56" s="379" t="s">
        <v>108</v>
      </c>
      <c r="B56" s="380" t="s">
        <v>656</v>
      </c>
      <c r="C56" s="316" t="s">
        <v>657</v>
      </c>
      <c r="D56" s="381">
        <v>0.333</v>
      </c>
      <c r="E56" s="382">
        <v>5000.0</v>
      </c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</row>
    <row r="57" ht="27.0" customHeight="1">
      <c r="A57" s="379" t="s">
        <v>108</v>
      </c>
      <c r="B57" s="380" t="s">
        <v>658</v>
      </c>
      <c r="C57" s="316" t="s">
        <v>659</v>
      </c>
      <c r="D57" s="381">
        <v>0.667</v>
      </c>
      <c r="E57" s="382">
        <v>10000.0</v>
      </c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</row>
    <row r="58" ht="40.5" customHeight="1">
      <c r="A58" s="379" t="s">
        <v>108</v>
      </c>
      <c r="B58" s="380" t="s">
        <v>660</v>
      </c>
      <c r="C58" s="316" t="s">
        <v>661</v>
      </c>
      <c r="D58" s="381">
        <v>0.667</v>
      </c>
      <c r="E58" s="382">
        <v>10000.0</v>
      </c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</row>
    <row r="59" ht="46.5" customHeight="1">
      <c r="A59" s="379" t="s">
        <v>111</v>
      </c>
      <c r="B59" s="380" t="s">
        <v>662</v>
      </c>
      <c r="C59" s="316" t="s">
        <v>663</v>
      </c>
      <c r="D59" s="381">
        <v>0.333</v>
      </c>
      <c r="E59" s="382">
        <v>5000.0</v>
      </c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</row>
    <row r="60" ht="46.5" customHeight="1">
      <c r="A60" s="379" t="s">
        <v>111</v>
      </c>
      <c r="B60" s="380" t="s">
        <v>664</v>
      </c>
      <c r="C60" s="316" t="s">
        <v>665</v>
      </c>
      <c r="D60" s="381">
        <v>0.333</v>
      </c>
      <c r="E60" s="382">
        <v>5000.0</v>
      </c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</row>
    <row r="61" ht="22.5" customHeight="1">
      <c r="A61" s="362" t="s">
        <v>13</v>
      </c>
      <c r="B61" s="17"/>
      <c r="C61" s="18"/>
      <c r="D61" s="374">
        <f t="shared" ref="D61:E61" si="5">SUM(D51:D60)</f>
        <v>5.666</v>
      </c>
      <c r="E61" s="375">
        <f t="shared" si="5"/>
        <v>85000</v>
      </c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</row>
    <row r="62" ht="15.75" customHeight="1">
      <c r="A62" s="383"/>
      <c r="B62" s="17"/>
      <c r="C62" s="17"/>
      <c r="D62" s="17"/>
      <c r="E62" s="1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</row>
    <row r="63" ht="48.0" customHeight="1">
      <c r="A63" s="384" t="s">
        <v>666</v>
      </c>
      <c r="B63" s="17"/>
      <c r="C63" s="17"/>
      <c r="D63" s="17"/>
      <c r="E63" s="18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6"/>
      <c r="AA63" s="386"/>
      <c r="AB63" s="386"/>
      <c r="AC63" s="386"/>
      <c r="AD63" s="386"/>
      <c r="AE63" s="386"/>
      <c r="AF63" s="386"/>
      <c r="AG63" s="386"/>
      <c r="AH63" s="386"/>
      <c r="AI63" s="386"/>
      <c r="AJ63" s="386"/>
    </row>
    <row r="64" ht="40.5" customHeight="1">
      <c r="A64" s="387" t="s">
        <v>608</v>
      </c>
      <c r="B64" s="364" t="s">
        <v>667</v>
      </c>
      <c r="C64" s="388" t="s">
        <v>630</v>
      </c>
      <c r="D64" s="389">
        <v>1.0</v>
      </c>
      <c r="E64" s="390">
        <v>15000.0</v>
      </c>
      <c r="F64" s="348"/>
      <c r="G64" s="348"/>
      <c r="H64" s="348"/>
      <c r="I64" s="348"/>
      <c r="J64" s="348"/>
      <c r="K64" s="348"/>
      <c r="L64" s="348"/>
      <c r="M64" s="348"/>
      <c r="N64" s="348"/>
      <c r="O64" s="348"/>
      <c r="P64" s="348"/>
      <c r="Q64" s="348"/>
      <c r="R64" s="348"/>
      <c r="S64" s="348"/>
      <c r="T64" s="348"/>
      <c r="U64" s="348"/>
      <c r="V64" s="348"/>
      <c r="W64" s="348"/>
      <c r="X64" s="348"/>
      <c r="Y64" s="348"/>
    </row>
    <row r="65" ht="40.5" customHeight="1">
      <c r="A65" s="387" t="s">
        <v>645</v>
      </c>
      <c r="B65" s="364" t="s">
        <v>668</v>
      </c>
      <c r="C65" s="388" t="s">
        <v>669</v>
      </c>
      <c r="D65" s="389">
        <v>1.0</v>
      </c>
      <c r="E65" s="390">
        <v>15000.0</v>
      </c>
      <c r="F65" s="348"/>
      <c r="G65" s="348"/>
      <c r="H65" s="348"/>
      <c r="I65" s="348"/>
      <c r="J65" s="348"/>
      <c r="K65" s="348"/>
      <c r="L65" s="348"/>
      <c r="M65" s="348"/>
      <c r="N65" s="348"/>
      <c r="O65" s="348"/>
      <c r="P65" s="348"/>
      <c r="Q65" s="348"/>
      <c r="R65" s="348"/>
      <c r="S65" s="348"/>
      <c r="T65" s="348"/>
      <c r="U65" s="348"/>
      <c r="V65" s="348"/>
      <c r="W65" s="348"/>
      <c r="X65" s="348"/>
      <c r="Y65" s="348"/>
    </row>
    <row r="66" ht="42.0" customHeight="1">
      <c r="A66" s="387" t="s">
        <v>670</v>
      </c>
      <c r="B66" s="364" t="s">
        <v>626</v>
      </c>
      <c r="C66" s="388" t="s">
        <v>671</v>
      </c>
      <c r="D66" s="389">
        <v>1.0</v>
      </c>
      <c r="E66" s="390">
        <v>15000.0</v>
      </c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</row>
    <row r="67" ht="39.75" customHeight="1">
      <c r="A67" s="387" t="s">
        <v>645</v>
      </c>
      <c r="B67" s="364" t="s">
        <v>646</v>
      </c>
      <c r="C67" s="388" t="s">
        <v>647</v>
      </c>
      <c r="D67" s="389">
        <v>0.733</v>
      </c>
      <c r="E67" s="390">
        <v>11000.0</v>
      </c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</row>
    <row r="68" ht="39.0" customHeight="1">
      <c r="A68" s="387" t="s">
        <v>608</v>
      </c>
      <c r="B68" s="364" t="s">
        <v>672</v>
      </c>
      <c r="C68" s="388" t="s">
        <v>673</v>
      </c>
      <c r="D68" s="389">
        <v>1.0</v>
      </c>
      <c r="E68" s="390">
        <v>15000.0</v>
      </c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8"/>
      <c r="W68" s="348"/>
      <c r="X68" s="348"/>
      <c r="Y68" s="348"/>
    </row>
    <row r="69" ht="33.0" customHeight="1">
      <c r="A69" s="387" t="s">
        <v>608</v>
      </c>
      <c r="B69" s="364" t="s">
        <v>674</v>
      </c>
      <c r="C69" s="388" t="s">
        <v>675</v>
      </c>
      <c r="D69" s="389">
        <v>1.0</v>
      </c>
      <c r="E69" s="390">
        <v>15000.0</v>
      </c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4"/>
    </row>
    <row r="70" ht="39.75" customHeight="1">
      <c r="A70" s="391" t="s">
        <v>613</v>
      </c>
      <c r="B70" s="364" t="s">
        <v>676</v>
      </c>
      <c r="C70" s="388" t="s">
        <v>677</v>
      </c>
      <c r="D70" s="389">
        <v>1.0</v>
      </c>
      <c r="E70" s="390">
        <v>15000.0</v>
      </c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4"/>
    </row>
    <row r="71" ht="21.0" customHeight="1">
      <c r="A71" s="362" t="s">
        <v>13</v>
      </c>
      <c r="B71" s="17"/>
      <c r="C71" s="17"/>
      <c r="D71" s="374">
        <f t="shared" ref="D71:E71" si="6">SUM(D64:D70)</f>
        <v>6.733</v>
      </c>
      <c r="E71" s="375">
        <f t="shared" si="6"/>
        <v>101000</v>
      </c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</row>
    <row r="72" ht="21.0" customHeight="1">
      <c r="A72" s="392" t="s">
        <v>8</v>
      </c>
      <c r="B72" s="17"/>
      <c r="C72" s="17"/>
      <c r="D72" s="17"/>
      <c r="E72" s="1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</row>
    <row r="73">
      <c r="A73" s="393" t="s">
        <v>108</v>
      </c>
      <c r="B73" s="394" t="s">
        <v>678</v>
      </c>
      <c r="C73" s="395" t="s">
        <v>679</v>
      </c>
      <c r="D73" s="396">
        <v>1.0</v>
      </c>
      <c r="E73" s="397">
        <v>15000.0</v>
      </c>
      <c r="F73" s="348"/>
      <c r="G73" s="348"/>
      <c r="H73" s="348"/>
      <c r="I73" s="348"/>
      <c r="J73" s="348"/>
      <c r="K73" s="348"/>
      <c r="L73" s="348"/>
      <c r="M73" s="348"/>
      <c r="N73" s="348"/>
      <c r="O73" s="348"/>
      <c r="P73" s="348"/>
      <c r="Q73" s="348"/>
      <c r="R73" s="348"/>
      <c r="S73" s="348"/>
      <c r="T73" s="348"/>
      <c r="U73" s="348"/>
      <c r="V73" s="348"/>
      <c r="W73" s="348"/>
      <c r="X73" s="348"/>
      <c r="Y73" s="348"/>
    </row>
    <row r="74">
      <c r="A74" s="393" t="s">
        <v>108</v>
      </c>
      <c r="B74" s="394" t="s">
        <v>680</v>
      </c>
      <c r="C74" s="395" t="s">
        <v>681</v>
      </c>
      <c r="D74" s="396">
        <v>2.0</v>
      </c>
      <c r="E74" s="397">
        <v>30000.0</v>
      </c>
      <c r="F74" s="348"/>
      <c r="G74" s="348"/>
      <c r="H74" s="348"/>
      <c r="I74" s="348"/>
      <c r="J74" s="348"/>
      <c r="K74" s="348"/>
      <c r="L74" s="348"/>
      <c r="M74" s="348"/>
      <c r="N74" s="348"/>
      <c r="O74" s="348"/>
      <c r="P74" s="348"/>
      <c r="Q74" s="348"/>
      <c r="R74" s="348"/>
      <c r="S74" s="348"/>
      <c r="T74" s="348"/>
      <c r="U74" s="348"/>
      <c r="V74" s="348"/>
      <c r="W74" s="348"/>
      <c r="X74" s="348"/>
      <c r="Y74" s="348"/>
    </row>
    <row r="75">
      <c r="A75" s="393" t="s">
        <v>108</v>
      </c>
      <c r="B75" s="394" t="s">
        <v>682</v>
      </c>
      <c r="C75" s="395" t="s">
        <v>683</v>
      </c>
      <c r="D75" s="396">
        <v>1.0</v>
      </c>
      <c r="E75" s="397">
        <v>15000.0</v>
      </c>
      <c r="F75" s="348"/>
      <c r="G75" s="348"/>
      <c r="H75" s="348"/>
      <c r="I75" s="348"/>
      <c r="J75" s="348"/>
      <c r="K75" s="348"/>
      <c r="L75" s="348"/>
      <c r="M75" s="348"/>
      <c r="N75" s="348"/>
      <c r="O75" s="348"/>
      <c r="P75" s="348"/>
      <c r="Q75" s="348"/>
      <c r="R75" s="348"/>
      <c r="S75" s="348"/>
      <c r="T75" s="348"/>
      <c r="U75" s="348"/>
      <c r="V75" s="348"/>
      <c r="W75" s="348"/>
      <c r="X75" s="348"/>
      <c r="Y75" s="348"/>
    </row>
    <row r="76">
      <c r="A76" s="393" t="s">
        <v>108</v>
      </c>
      <c r="B76" s="394" t="s">
        <v>684</v>
      </c>
      <c r="C76" s="395" t="s">
        <v>685</v>
      </c>
      <c r="D76" s="396">
        <v>1.47</v>
      </c>
      <c r="E76" s="397">
        <v>22000.0</v>
      </c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</row>
    <row r="77">
      <c r="A77" s="393" t="s">
        <v>108</v>
      </c>
      <c r="B77" s="394" t="s">
        <v>674</v>
      </c>
      <c r="C77" s="395" t="s">
        <v>686</v>
      </c>
      <c r="D77" s="396">
        <v>1.6</v>
      </c>
      <c r="E77" s="397">
        <v>24000.0</v>
      </c>
      <c r="F77" s="348"/>
      <c r="G77" s="348"/>
      <c r="H77" s="348"/>
      <c r="I77" s="348"/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</row>
    <row r="78">
      <c r="A78" s="393" t="s">
        <v>108</v>
      </c>
      <c r="B78" s="394" t="s">
        <v>687</v>
      </c>
      <c r="C78" s="395" t="s">
        <v>688</v>
      </c>
      <c r="D78" s="396">
        <v>1.9</v>
      </c>
      <c r="E78" s="397">
        <v>28500.0</v>
      </c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</row>
    <row r="79">
      <c r="A79" s="393" t="s">
        <v>108</v>
      </c>
      <c r="B79" s="394" t="s">
        <v>689</v>
      </c>
      <c r="C79" s="395" t="s">
        <v>690</v>
      </c>
      <c r="D79" s="396">
        <v>1.0</v>
      </c>
      <c r="E79" s="397">
        <v>15000.0</v>
      </c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</row>
    <row r="80">
      <c r="A80" s="393" t="s">
        <v>108</v>
      </c>
      <c r="B80" s="394" t="s">
        <v>674</v>
      </c>
      <c r="C80" s="395" t="s">
        <v>691</v>
      </c>
      <c r="D80" s="396">
        <v>1.0</v>
      </c>
      <c r="E80" s="397">
        <v>15000.0</v>
      </c>
      <c r="F80" s="348"/>
      <c r="G80" s="348"/>
      <c r="H80" s="348"/>
      <c r="I80" s="348"/>
      <c r="J80" s="348"/>
      <c r="K80" s="348"/>
      <c r="L80" s="348"/>
      <c r="M80" s="348"/>
      <c r="N80" s="348"/>
      <c r="O80" s="348"/>
      <c r="P80" s="348"/>
      <c r="Q80" s="348"/>
      <c r="R80" s="348"/>
      <c r="S80" s="348"/>
      <c r="T80" s="348"/>
      <c r="U80" s="348"/>
      <c r="V80" s="348"/>
      <c r="W80" s="348"/>
      <c r="X80" s="348"/>
      <c r="Y80" s="348"/>
    </row>
    <row r="81">
      <c r="A81" s="393" t="s">
        <v>108</v>
      </c>
      <c r="B81" s="394" t="s">
        <v>692</v>
      </c>
      <c r="C81" s="395" t="s">
        <v>693</v>
      </c>
      <c r="D81" s="396">
        <v>1.0</v>
      </c>
      <c r="E81" s="397">
        <v>15000.0</v>
      </c>
      <c r="F81" s="348"/>
      <c r="G81" s="348"/>
      <c r="H81" s="348"/>
      <c r="I81" s="348"/>
      <c r="J81" s="348"/>
      <c r="K81" s="348"/>
      <c r="L81" s="348"/>
      <c r="M81" s="348"/>
      <c r="N81" s="348"/>
      <c r="O81" s="348"/>
      <c r="P81" s="348"/>
      <c r="Q81" s="348"/>
      <c r="R81" s="348"/>
      <c r="S81" s="348"/>
      <c r="T81" s="348"/>
      <c r="U81" s="348"/>
      <c r="V81" s="348"/>
      <c r="W81" s="348"/>
      <c r="X81" s="348"/>
      <c r="Y81" s="348"/>
    </row>
    <row r="82">
      <c r="A82" s="393" t="s">
        <v>108</v>
      </c>
      <c r="B82" s="394" t="s">
        <v>694</v>
      </c>
      <c r="C82" s="395" t="s">
        <v>695</v>
      </c>
      <c r="D82" s="396">
        <v>1.33</v>
      </c>
      <c r="E82" s="397">
        <v>20000.0</v>
      </c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</row>
    <row r="83">
      <c r="A83" s="393" t="s">
        <v>108</v>
      </c>
      <c r="B83" s="394" t="s">
        <v>696</v>
      </c>
      <c r="C83" s="395" t="s">
        <v>697</v>
      </c>
      <c r="D83" s="396">
        <v>1.33</v>
      </c>
      <c r="E83" s="397">
        <v>20000.0</v>
      </c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</row>
    <row r="84">
      <c r="A84" s="393" t="s">
        <v>108</v>
      </c>
      <c r="B84" s="394" t="s">
        <v>622</v>
      </c>
      <c r="C84" s="395" t="s">
        <v>698</v>
      </c>
      <c r="D84" s="396">
        <v>1.0</v>
      </c>
      <c r="E84" s="397">
        <v>15000.0</v>
      </c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</row>
    <row r="85">
      <c r="A85" s="393" t="s">
        <v>108</v>
      </c>
      <c r="B85" s="394" t="s">
        <v>699</v>
      </c>
      <c r="C85" s="395" t="s">
        <v>700</v>
      </c>
      <c r="D85" s="396">
        <v>1.5</v>
      </c>
      <c r="E85" s="397">
        <v>22500.0</v>
      </c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</row>
    <row r="86">
      <c r="A86" s="393" t="s">
        <v>108</v>
      </c>
      <c r="B86" s="394" t="s">
        <v>667</v>
      </c>
      <c r="C86" s="395" t="s">
        <v>701</v>
      </c>
      <c r="D86" s="396">
        <v>1.42</v>
      </c>
      <c r="E86" s="397">
        <v>21300.0</v>
      </c>
      <c r="F86" s="348"/>
      <c r="G86" s="348"/>
      <c r="H86" s="348"/>
      <c r="I86" s="348"/>
      <c r="J86" s="348"/>
      <c r="K86" s="348"/>
      <c r="L86" s="348"/>
      <c r="M86" s="348"/>
      <c r="N86" s="348"/>
      <c r="O86" s="348"/>
      <c r="P86" s="348"/>
      <c r="Q86" s="348"/>
      <c r="R86" s="348"/>
      <c r="S86" s="348"/>
      <c r="T86" s="348"/>
      <c r="U86" s="348"/>
      <c r="V86" s="348"/>
      <c r="W86" s="348"/>
      <c r="X86" s="348"/>
      <c r="Y86" s="348"/>
    </row>
    <row r="87">
      <c r="A87" s="393" t="s">
        <v>108</v>
      </c>
      <c r="B87" s="394" t="s">
        <v>702</v>
      </c>
      <c r="C87" s="395" t="s">
        <v>703</v>
      </c>
      <c r="D87" s="396">
        <v>1.87</v>
      </c>
      <c r="E87" s="397">
        <v>28100.0</v>
      </c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</row>
    <row r="88">
      <c r="A88" s="393" t="s">
        <v>111</v>
      </c>
      <c r="B88" s="394" t="s">
        <v>668</v>
      </c>
      <c r="C88" s="395" t="s">
        <v>669</v>
      </c>
      <c r="D88" s="396">
        <v>1.0</v>
      </c>
      <c r="E88" s="397">
        <v>15000.0</v>
      </c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</row>
    <row r="89">
      <c r="A89" s="393" t="s">
        <v>111</v>
      </c>
      <c r="B89" s="394" t="s">
        <v>704</v>
      </c>
      <c r="C89" s="395" t="s">
        <v>705</v>
      </c>
      <c r="D89" s="396">
        <v>1.0</v>
      </c>
      <c r="E89" s="397">
        <v>15000.0</v>
      </c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</row>
    <row r="90">
      <c r="A90" s="393" t="s">
        <v>111</v>
      </c>
      <c r="B90" s="394" t="s">
        <v>706</v>
      </c>
      <c r="C90" s="395" t="s">
        <v>707</v>
      </c>
      <c r="D90" s="396">
        <v>1.0</v>
      </c>
      <c r="E90" s="397">
        <v>15000.0</v>
      </c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</row>
    <row r="91">
      <c r="A91" s="393" t="s">
        <v>111</v>
      </c>
      <c r="B91" s="394" t="s">
        <v>668</v>
      </c>
      <c r="C91" s="395" t="s">
        <v>708</v>
      </c>
      <c r="D91" s="396">
        <v>1.0</v>
      </c>
      <c r="E91" s="397">
        <v>15000.0</v>
      </c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8"/>
      <c r="R91" s="348"/>
      <c r="S91" s="348"/>
      <c r="T91" s="348"/>
      <c r="U91" s="348"/>
      <c r="V91" s="348"/>
      <c r="W91" s="348"/>
      <c r="X91" s="348"/>
      <c r="Y91" s="348"/>
    </row>
    <row r="92">
      <c r="A92" s="393" t="s">
        <v>111</v>
      </c>
      <c r="B92" s="394" t="s">
        <v>709</v>
      </c>
      <c r="C92" s="395" t="s">
        <v>710</v>
      </c>
      <c r="D92" s="396">
        <v>1.9</v>
      </c>
      <c r="E92" s="397">
        <v>28500.0</v>
      </c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8"/>
      <c r="R92" s="348"/>
      <c r="S92" s="348"/>
      <c r="T92" s="348"/>
      <c r="U92" s="348"/>
      <c r="V92" s="348"/>
      <c r="W92" s="348"/>
      <c r="X92" s="348"/>
      <c r="Y92" s="348"/>
    </row>
    <row r="93">
      <c r="A93" s="393" t="s">
        <v>111</v>
      </c>
      <c r="B93" s="394" t="s">
        <v>711</v>
      </c>
      <c r="C93" s="395" t="s">
        <v>712</v>
      </c>
      <c r="D93" s="396">
        <v>2.0</v>
      </c>
      <c r="E93" s="397">
        <v>30000.0</v>
      </c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8"/>
      <c r="R93" s="348"/>
      <c r="S93" s="348"/>
      <c r="T93" s="348"/>
      <c r="U93" s="348"/>
      <c r="V93" s="348"/>
      <c r="W93" s="348"/>
      <c r="X93" s="348"/>
      <c r="Y93" s="348"/>
    </row>
    <row r="94">
      <c r="A94" s="393" t="s">
        <v>111</v>
      </c>
      <c r="B94" s="394" t="s">
        <v>713</v>
      </c>
      <c r="C94" s="395" t="s">
        <v>714</v>
      </c>
      <c r="D94" s="396">
        <v>1.32</v>
      </c>
      <c r="E94" s="397">
        <v>19750.0</v>
      </c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</row>
    <row r="95">
      <c r="A95" s="393" t="s">
        <v>85</v>
      </c>
      <c r="B95" s="394" t="s">
        <v>715</v>
      </c>
      <c r="C95" s="395" t="s">
        <v>716</v>
      </c>
      <c r="D95" s="396">
        <v>1.0</v>
      </c>
      <c r="E95" s="397">
        <v>15000.0</v>
      </c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</row>
    <row r="96">
      <c r="A96" s="393" t="s">
        <v>85</v>
      </c>
      <c r="B96" s="394" t="s">
        <v>717</v>
      </c>
      <c r="C96" s="395" t="s">
        <v>718</v>
      </c>
      <c r="D96" s="396">
        <v>1.0</v>
      </c>
      <c r="E96" s="397">
        <v>15000.0</v>
      </c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</row>
    <row r="97">
      <c r="A97" s="393" t="s">
        <v>85</v>
      </c>
      <c r="B97" s="394" t="s">
        <v>719</v>
      </c>
      <c r="C97" s="395" t="s">
        <v>720</v>
      </c>
      <c r="D97" s="396">
        <v>1.0</v>
      </c>
      <c r="E97" s="397">
        <v>15000.0</v>
      </c>
      <c r="F97" s="348"/>
      <c r="G97" s="348"/>
      <c r="H97" s="348"/>
      <c r="I97" s="348"/>
      <c r="J97" s="348"/>
      <c r="K97" s="348"/>
      <c r="L97" s="348"/>
      <c r="M97" s="348"/>
      <c r="N97" s="348"/>
      <c r="O97" s="348"/>
      <c r="P97" s="348"/>
      <c r="Q97" s="348"/>
      <c r="R97" s="348"/>
      <c r="S97" s="348"/>
      <c r="T97" s="348"/>
      <c r="U97" s="348"/>
      <c r="V97" s="348"/>
      <c r="W97" s="348"/>
      <c r="X97" s="348"/>
      <c r="Y97" s="348"/>
    </row>
    <row r="98">
      <c r="A98" s="393" t="s">
        <v>85</v>
      </c>
      <c r="B98" s="394" t="s">
        <v>721</v>
      </c>
      <c r="C98" s="395" t="s">
        <v>722</v>
      </c>
      <c r="D98" s="396">
        <v>1.65</v>
      </c>
      <c r="E98" s="397">
        <v>24750.0</v>
      </c>
      <c r="F98" s="348"/>
      <c r="G98" s="348"/>
      <c r="H98" s="348"/>
      <c r="I98" s="348"/>
      <c r="J98" s="348"/>
      <c r="K98" s="348"/>
      <c r="L98" s="348"/>
      <c r="M98" s="348"/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</row>
    <row r="99">
      <c r="A99" s="393" t="s">
        <v>723</v>
      </c>
      <c r="B99" s="394" t="s">
        <v>724</v>
      </c>
      <c r="C99" s="395" t="s">
        <v>725</v>
      </c>
      <c r="D99" s="396">
        <v>1.33</v>
      </c>
      <c r="E99" s="397">
        <v>20000.0</v>
      </c>
      <c r="F99" s="348"/>
      <c r="G99" s="348"/>
      <c r="H99" s="348"/>
      <c r="I99" s="348"/>
      <c r="J99" s="348"/>
      <c r="K99" s="348"/>
      <c r="L99" s="348"/>
      <c r="M99" s="348"/>
      <c r="N99" s="348"/>
      <c r="O99" s="348"/>
      <c r="P99" s="348"/>
      <c r="Q99" s="348"/>
      <c r="R99" s="348"/>
      <c r="S99" s="348"/>
      <c r="T99" s="348"/>
      <c r="U99" s="348"/>
      <c r="V99" s="348"/>
      <c r="W99" s="348"/>
      <c r="X99" s="348"/>
      <c r="Y99" s="348"/>
    </row>
    <row r="100">
      <c r="A100" s="393" t="s">
        <v>723</v>
      </c>
      <c r="B100" s="394" t="s">
        <v>726</v>
      </c>
      <c r="C100" s="395" t="s">
        <v>727</v>
      </c>
      <c r="D100" s="396">
        <v>1.0</v>
      </c>
      <c r="E100" s="397">
        <v>15000.0</v>
      </c>
      <c r="F100" s="348"/>
      <c r="G100" s="348"/>
      <c r="H100" s="348"/>
      <c r="I100" s="348"/>
      <c r="J100" s="348"/>
      <c r="K100" s="348"/>
      <c r="L100" s="348"/>
      <c r="M100" s="348"/>
      <c r="N100" s="348"/>
      <c r="O100" s="348"/>
      <c r="P100" s="348"/>
      <c r="Q100" s="348"/>
      <c r="R100" s="348"/>
      <c r="S100" s="348"/>
      <c r="T100" s="348"/>
      <c r="U100" s="348"/>
      <c r="V100" s="348"/>
      <c r="W100" s="348"/>
      <c r="X100" s="348"/>
      <c r="Y100" s="348"/>
    </row>
    <row r="101" ht="15.75" customHeight="1">
      <c r="A101" s="362" t="s">
        <v>13</v>
      </c>
      <c r="B101" s="17"/>
      <c r="C101" s="17"/>
      <c r="D101" s="374">
        <f t="shared" ref="D101:E101" si="7">SUM(D73:D100)</f>
        <v>36.62</v>
      </c>
      <c r="E101" s="398">
        <f t="shared" si="7"/>
        <v>549400</v>
      </c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</row>
    <row r="102">
      <c r="A102" s="399" t="s">
        <v>728</v>
      </c>
      <c r="B102" s="17"/>
      <c r="C102" s="17"/>
      <c r="D102" s="17"/>
      <c r="E102" s="18"/>
      <c r="F102" s="400"/>
      <c r="H102" s="250"/>
      <c r="K102" s="60"/>
      <c r="L102" s="400"/>
      <c r="N102" s="250"/>
      <c r="R102" s="232"/>
      <c r="S102" s="334"/>
      <c r="T102" s="334"/>
      <c r="U102" s="334"/>
      <c r="V102" s="334"/>
      <c r="W102" s="334"/>
      <c r="X102" s="334"/>
      <c r="Y102" s="334"/>
    </row>
    <row r="103">
      <c r="A103" s="393" t="s">
        <v>85</v>
      </c>
      <c r="B103" s="394" t="s">
        <v>729</v>
      </c>
      <c r="C103" s="395" t="s">
        <v>730</v>
      </c>
      <c r="D103" s="396">
        <v>2.0</v>
      </c>
      <c r="E103" s="397">
        <v>30000.0</v>
      </c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</row>
    <row r="104">
      <c r="A104" s="393" t="s">
        <v>723</v>
      </c>
      <c r="B104" s="394" t="s">
        <v>731</v>
      </c>
      <c r="C104" s="395" t="s">
        <v>732</v>
      </c>
      <c r="D104" s="396">
        <v>2.0</v>
      </c>
      <c r="E104" s="397">
        <v>30000.0</v>
      </c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</row>
    <row r="105">
      <c r="A105" s="393" t="s">
        <v>108</v>
      </c>
      <c r="B105" s="394" t="s">
        <v>682</v>
      </c>
      <c r="C105" s="395" t="s">
        <v>733</v>
      </c>
      <c r="D105" s="396">
        <v>3.0</v>
      </c>
      <c r="E105" s="397">
        <v>45000.0</v>
      </c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</row>
    <row r="106">
      <c r="A106" s="393" t="s">
        <v>723</v>
      </c>
      <c r="B106" s="394" t="s">
        <v>734</v>
      </c>
      <c r="C106" s="395" t="s">
        <v>735</v>
      </c>
      <c r="D106" s="396">
        <v>1.8</v>
      </c>
      <c r="E106" s="397">
        <v>27000.0</v>
      </c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</row>
    <row r="107">
      <c r="A107" s="393" t="s">
        <v>108</v>
      </c>
      <c r="B107" s="394" t="s">
        <v>736</v>
      </c>
      <c r="C107" s="395" t="s">
        <v>737</v>
      </c>
      <c r="D107" s="396">
        <v>1.6</v>
      </c>
      <c r="E107" s="397">
        <v>23000.0</v>
      </c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</row>
    <row r="108">
      <c r="A108" s="401" t="s">
        <v>618</v>
      </c>
      <c r="D108" s="402">
        <f t="shared" ref="D108:E108" si="8">SUM(D103:D107)</f>
        <v>10.4</v>
      </c>
      <c r="E108" s="403">
        <f t="shared" si="8"/>
        <v>155000</v>
      </c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</row>
    <row r="109">
      <c r="A109" s="61"/>
      <c r="B109" s="61"/>
      <c r="C109" s="334"/>
      <c r="D109" s="355"/>
      <c r="E109" s="356"/>
      <c r="F109" s="334"/>
      <c r="G109" s="334"/>
      <c r="H109" s="334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</row>
    <row r="110">
      <c r="A110" s="399" t="s">
        <v>738</v>
      </c>
      <c r="B110" s="17"/>
      <c r="C110" s="17"/>
      <c r="D110" s="17"/>
      <c r="E110" s="18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</row>
    <row r="111">
      <c r="A111" s="393" t="s">
        <v>108</v>
      </c>
      <c r="B111" s="364" t="s">
        <v>620</v>
      </c>
      <c r="C111" s="388" t="s">
        <v>739</v>
      </c>
      <c r="D111" s="389">
        <v>1.0</v>
      </c>
      <c r="E111" s="390">
        <v>15000.0</v>
      </c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</row>
    <row r="112">
      <c r="A112" s="393" t="s">
        <v>85</v>
      </c>
      <c r="B112" s="364" t="s">
        <v>740</v>
      </c>
      <c r="C112" s="388" t="s">
        <v>741</v>
      </c>
      <c r="D112" s="389">
        <v>5.4</v>
      </c>
      <c r="E112" s="390">
        <v>80000.0</v>
      </c>
      <c r="F112" s="334"/>
      <c r="G112" s="334"/>
      <c r="H112" s="334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</row>
    <row r="113">
      <c r="A113" s="393" t="s">
        <v>723</v>
      </c>
      <c r="B113" s="364" t="s">
        <v>742</v>
      </c>
      <c r="C113" s="388" t="s">
        <v>743</v>
      </c>
      <c r="D113" s="389">
        <v>1.0</v>
      </c>
      <c r="E113" s="390">
        <v>15000.0</v>
      </c>
      <c r="F113" s="334"/>
      <c r="G113" s="334"/>
      <c r="H113" s="334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</row>
    <row r="114">
      <c r="A114" s="393" t="s">
        <v>723</v>
      </c>
      <c r="B114" s="364" t="s">
        <v>744</v>
      </c>
      <c r="C114" s="388" t="s">
        <v>745</v>
      </c>
      <c r="D114" s="389">
        <v>1.0</v>
      </c>
      <c r="E114" s="390">
        <v>15000.0</v>
      </c>
      <c r="F114" s="334"/>
      <c r="G114" s="334"/>
      <c r="H114" s="334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</row>
    <row r="115">
      <c r="A115" s="393" t="s">
        <v>108</v>
      </c>
      <c r="B115" s="364" t="s">
        <v>746</v>
      </c>
      <c r="C115" s="388" t="s">
        <v>747</v>
      </c>
      <c r="D115" s="389">
        <v>1.5</v>
      </c>
      <c r="E115" s="390">
        <v>22500.0</v>
      </c>
      <c r="F115" s="334"/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</row>
    <row r="116">
      <c r="A116" s="393" t="s">
        <v>108</v>
      </c>
      <c r="B116" s="364" t="s">
        <v>748</v>
      </c>
      <c r="C116" s="388" t="s">
        <v>749</v>
      </c>
      <c r="D116" s="389">
        <v>1.7</v>
      </c>
      <c r="E116" s="390">
        <v>25500.0</v>
      </c>
      <c r="F116" s="334"/>
      <c r="G116" s="334"/>
      <c r="H116" s="334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</row>
    <row r="117">
      <c r="A117" s="393" t="s">
        <v>108</v>
      </c>
      <c r="B117" s="364" t="s">
        <v>750</v>
      </c>
      <c r="C117" s="388" t="s">
        <v>751</v>
      </c>
      <c r="D117" s="389">
        <v>1.3</v>
      </c>
      <c r="E117" s="390">
        <v>19500.0</v>
      </c>
      <c r="F117" s="334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</row>
    <row r="118">
      <c r="A118" s="404" t="s">
        <v>618</v>
      </c>
      <c r="B118" s="17"/>
      <c r="C118" s="18"/>
      <c r="D118" s="405">
        <f t="shared" ref="D118:E118" si="9">SUM(D111:D117)</f>
        <v>12.9</v>
      </c>
      <c r="E118" s="405">
        <f t="shared" si="9"/>
        <v>192500</v>
      </c>
      <c r="F118" s="334"/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</row>
    <row r="119">
      <c r="A119" s="404" t="s">
        <v>13</v>
      </c>
      <c r="B119" s="17"/>
      <c r="C119" s="18"/>
      <c r="D119" s="406">
        <f t="shared" ref="D119:E119" si="10">D108+D118</f>
        <v>23.3</v>
      </c>
      <c r="E119" s="405">
        <f t="shared" si="10"/>
        <v>347500</v>
      </c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</row>
    <row r="120" ht="15.75" customHeight="1">
      <c r="A120" s="407"/>
      <c r="B120" s="407"/>
      <c r="C120" s="408"/>
      <c r="D120" s="409"/>
      <c r="E120" s="410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</row>
    <row r="121" ht="15.75" customHeight="1">
      <c r="A121" s="407"/>
      <c r="B121" s="407"/>
      <c r="C121" s="408"/>
      <c r="D121" s="409"/>
      <c r="E121" s="410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</row>
    <row r="122" ht="15.75" customHeight="1">
      <c r="A122" s="407"/>
      <c r="B122" s="61"/>
      <c r="C122" s="334"/>
      <c r="D122" s="409"/>
      <c r="E122" s="410"/>
      <c r="F122" s="334"/>
      <c r="G122" s="334"/>
      <c r="H122" s="334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</row>
    <row r="123" ht="15.75" customHeight="1">
      <c r="A123" s="407"/>
      <c r="B123" s="61"/>
      <c r="C123" s="334"/>
      <c r="D123" s="409"/>
      <c r="E123" s="410"/>
      <c r="F123" s="334"/>
      <c r="G123" s="334"/>
      <c r="H123" s="334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</row>
    <row r="124" ht="15.75" customHeight="1">
      <c r="A124" s="61"/>
      <c r="B124" s="61"/>
      <c r="C124" s="334"/>
      <c r="D124" s="355"/>
      <c r="E124" s="356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</row>
    <row r="125" ht="15.75" customHeight="1">
      <c r="A125" s="61"/>
      <c r="B125" s="61"/>
      <c r="C125" s="334"/>
      <c r="D125" s="355"/>
      <c r="E125" s="356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</row>
    <row r="126" ht="15.75" customHeight="1">
      <c r="A126" s="61"/>
      <c r="B126" s="61"/>
      <c r="C126" s="334"/>
      <c r="D126" s="355"/>
      <c r="E126" s="356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</row>
    <row r="127" ht="15.75" customHeight="1">
      <c r="A127" s="61"/>
      <c r="B127" s="61"/>
      <c r="C127" s="334"/>
      <c r="D127" s="355"/>
      <c r="E127" s="356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</row>
    <row r="128" ht="15.75" customHeight="1">
      <c r="A128" s="61"/>
      <c r="B128" s="61"/>
      <c r="C128" s="334"/>
      <c r="D128" s="355"/>
      <c r="E128" s="356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</row>
    <row r="129" ht="15.75" customHeight="1">
      <c r="A129" s="61"/>
      <c r="B129" s="61"/>
      <c r="C129" s="334"/>
      <c r="D129" s="355"/>
      <c r="E129" s="356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</row>
    <row r="130" ht="15.75" customHeight="1">
      <c r="A130" s="61"/>
      <c r="B130" s="61"/>
      <c r="C130" s="334"/>
      <c r="D130" s="355"/>
      <c r="E130" s="356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</row>
    <row r="131" ht="15.75" customHeight="1">
      <c r="A131" s="61"/>
      <c r="B131" s="61"/>
      <c r="C131" s="334"/>
      <c r="D131" s="355"/>
      <c r="E131" s="356"/>
      <c r="F131" s="334"/>
      <c r="G131" s="334"/>
      <c r="H131" s="334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</row>
    <row r="132" ht="15.75" customHeight="1">
      <c r="A132" s="61"/>
      <c r="B132" s="61"/>
      <c r="C132" s="334"/>
      <c r="D132" s="355"/>
      <c r="E132" s="356"/>
      <c r="F132" s="334"/>
      <c r="G132" s="334"/>
      <c r="H132" s="334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</row>
    <row r="133" ht="15.75" customHeight="1">
      <c r="A133" s="61"/>
      <c r="B133" s="61"/>
      <c r="C133" s="334"/>
      <c r="D133" s="355"/>
      <c r="E133" s="356"/>
      <c r="F133" s="334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</row>
    <row r="134" ht="15.75" customHeight="1">
      <c r="A134" s="61"/>
      <c r="B134" s="61"/>
      <c r="C134" s="334"/>
      <c r="D134" s="355"/>
      <c r="E134" s="356"/>
      <c r="F134" s="334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</row>
    <row r="135" ht="15.75" customHeight="1">
      <c r="A135" s="61"/>
      <c r="B135" s="61"/>
      <c r="C135" s="334"/>
      <c r="D135" s="355"/>
      <c r="E135" s="356"/>
      <c r="F135" s="334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</row>
    <row r="136" ht="15.75" customHeight="1">
      <c r="A136" s="61"/>
      <c r="B136" s="61"/>
      <c r="C136" s="334"/>
      <c r="D136" s="355"/>
      <c r="E136" s="356"/>
      <c r="F136" s="334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</row>
    <row r="137" ht="15.75" customHeight="1">
      <c r="A137" s="61"/>
      <c r="B137" s="61"/>
      <c r="C137" s="334"/>
      <c r="D137" s="355"/>
      <c r="E137" s="356"/>
      <c r="F137" s="334"/>
      <c r="G137" s="334"/>
      <c r="H137" s="334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/>
      <c r="X137" s="334"/>
      <c r="Y137" s="334"/>
    </row>
    <row r="138" ht="15.75" customHeight="1">
      <c r="A138" s="61"/>
      <c r="B138" s="61"/>
      <c r="C138" s="334"/>
      <c r="D138" s="355"/>
      <c r="E138" s="356"/>
      <c r="F138" s="334"/>
      <c r="G138" s="334"/>
      <c r="H138" s="334"/>
      <c r="I138" s="334"/>
      <c r="J138" s="334"/>
      <c r="K138" s="334"/>
      <c r="L138" s="334"/>
      <c r="M138" s="334"/>
      <c r="N138" s="334"/>
      <c r="O138" s="334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</row>
    <row r="139" ht="15.75" customHeight="1">
      <c r="A139" s="61"/>
      <c r="B139" s="61"/>
      <c r="C139" s="334"/>
      <c r="D139" s="355"/>
      <c r="E139" s="356"/>
      <c r="F139" s="334"/>
      <c r="G139" s="334"/>
      <c r="H139" s="334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</row>
    <row r="140" ht="15.75" customHeight="1">
      <c r="A140" s="61"/>
      <c r="B140" s="61"/>
      <c r="C140" s="334"/>
      <c r="D140" s="355"/>
      <c r="E140" s="356"/>
      <c r="F140" s="334"/>
      <c r="G140" s="334"/>
      <c r="H140" s="334"/>
      <c r="I140" s="334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</row>
    <row r="141" ht="15.75" customHeight="1">
      <c r="A141" s="61"/>
      <c r="B141" s="61"/>
      <c r="C141" s="334"/>
      <c r="D141" s="355"/>
      <c r="E141" s="356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</row>
    <row r="142" ht="15.75" customHeight="1">
      <c r="A142" s="61"/>
      <c r="B142" s="61"/>
      <c r="C142" s="334"/>
      <c r="D142" s="355"/>
      <c r="E142" s="356"/>
      <c r="F142" s="334"/>
      <c r="G142" s="334"/>
      <c r="H142" s="334"/>
      <c r="I142" s="334"/>
      <c r="J142" s="334"/>
      <c r="K142" s="334"/>
      <c r="L142" s="334"/>
      <c r="M142" s="334"/>
      <c r="N142" s="334"/>
      <c r="O142" s="334"/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</row>
    <row r="143" ht="15.75" customHeight="1">
      <c r="A143" s="61"/>
      <c r="B143" s="61"/>
      <c r="C143" s="334"/>
      <c r="D143" s="355"/>
      <c r="E143" s="356"/>
      <c r="F143" s="334"/>
      <c r="G143" s="334"/>
      <c r="H143" s="334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/>
      <c r="X143" s="334"/>
      <c r="Y143" s="334"/>
    </row>
    <row r="144" ht="15.75" customHeight="1">
      <c r="A144" s="61"/>
      <c r="B144" s="61"/>
      <c r="C144" s="334"/>
      <c r="D144" s="355"/>
      <c r="E144" s="356"/>
      <c r="F144" s="334"/>
      <c r="G144" s="334"/>
      <c r="H144" s="334"/>
      <c r="I144" s="334"/>
      <c r="J144" s="334"/>
      <c r="K144" s="334"/>
      <c r="L144" s="334"/>
      <c r="M144" s="334"/>
      <c r="N144" s="334"/>
      <c r="O144" s="334"/>
      <c r="P144" s="334"/>
      <c r="Q144" s="334"/>
      <c r="R144" s="334"/>
      <c r="S144" s="334"/>
      <c r="T144" s="334"/>
      <c r="U144" s="334"/>
      <c r="V144" s="334"/>
      <c r="W144" s="334"/>
      <c r="X144" s="334"/>
      <c r="Y144" s="334"/>
    </row>
    <row r="145" ht="15.75" customHeight="1">
      <c r="A145" s="61"/>
      <c r="B145" s="61"/>
      <c r="C145" s="334"/>
      <c r="D145" s="355"/>
      <c r="E145" s="356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</row>
    <row r="146" ht="15.75" customHeight="1">
      <c r="A146" s="61"/>
      <c r="B146" s="61"/>
      <c r="C146" s="334"/>
      <c r="D146" s="355"/>
      <c r="E146" s="356"/>
      <c r="F146" s="334"/>
      <c r="G146" s="334"/>
      <c r="H146" s="334"/>
      <c r="I146" s="334"/>
      <c r="J146" s="334"/>
      <c r="K146" s="334"/>
      <c r="L146" s="334"/>
      <c r="M146" s="334"/>
      <c r="N146" s="334"/>
      <c r="O146" s="334"/>
      <c r="P146" s="334"/>
      <c r="Q146" s="334"/>
      <c r="R146" s="334"/>
      <c r="S146" s="334"/>
      <c r="T146" s="334"/>
      <c r="U146" s="334"/>
      <c r="V146" s="334"/>
      <c r="W146" s="334"/>
      <c r="X146" s="334"/>
      <c r="Y146" s="334"/>
    </row>
    <row r="147" ht="15.75" customHeight="1">
      <c r="A147" s="61"/>
      <c r="B147" s="61"/>
      <c r="C147" s="334"/>
      <c r="D147" s="355"/>
      <c r="E147" s="356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/>
      <c r="X147" s="334"/>
      <c r="Y147" s="334"/>
    </row>
    <row r="148" ht="15.75" customHeight="1">
      <c r="A148" s="61"/>
      <c r="B148" s="61"/>
      <c r="C148" s="334"/>
      <c r="D148" s="355"/>
      <c r="E148" s="356"/>
      <c r="F148" s="334"/>
      <c r="G148" s="334"/>
      <c r="H148" s="334"/>
      <c r="I148" s="334"/>
      <c r="J148" s="334"/>
      <c r="K148" s="334"/>
      <c r="L148" s="334"/>
      <c r="M148" s="334"/>
      <c r="N148" s="334"/>
      <c r="O148" s="334"/>
      <c r="P148" s="334"/>
      <c r="Q148" s="334"/>
      <c r="R148" s="334"/>
      <c r="S148" s="334"/>
      <c r="T148" s="334"/>
      <c r="U148" s="334"/>
      <c r="V148" s="334"/>
      <c r="W148" s="334"/>
      <c r="X148" s="334"/>
      <c r="Y148" s="334"/>
    </row>
    <row r="149" ht="15.75" customHeight="1">
      <c r="A149" s="61"/>
      <c r="B149" s="61"/>
      <c r="C149" s="334"/>
      <c r="D149" s="355"/>
      <c r="E149" s="356"/>
      <c r="F149" s="334"/>
      <c r="G149" s="334"/>
      <c r="H149" s="334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/>
      <c r="X149" s="334"/>
      <c r="Y149" s="334"/>
    </row>
    <row r="150" ht="15.75" customHeight="1">
      <c r="A150" s="61"/>
      <c r="B150" s="61"/>
      <c r="C150" s="334"/>
      <c r="D150" s="355"/>
      <c r="E150" s="356"/>
      <c r="F150" s="334"/>
      <c r="G150" s="334"/>
      <c r="H150" s="334"/>
      <c r="I150" s="334"/>
      <c r="J150" s="334"/>
      <c r="K150" s="334"/>
      <c r="L150" s="334"/>
      <c r="M150" s="334"/>
      <c r="N150" s="334"/>
      <c r="O150" s="334"/>
      <c r="P150" s="334"/>
      <c r="Q150" s="334"/>
      <c r="R150" s="334"/>
      <c r="S150" s="334"/>
      <c r="T150" s="334"/>
      <c r="U150" s="334"/>
      <c r="V150" s="334"/>
      <c r="W150" s="334"/>
      <c r="X150" s="334"/>
      <c r="Y150" s="334"/>
    </row>
    <row r="151" ht="15.75" customHeight="1">
      <c r="A151" s="61"/>
      <c r="B151" s="61"/>
      <c r="C151" s="334"/>
      <c r="D151" s="355"/>
      <c r="E151" s="356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</row>
    <row r="152" ht="15.75" customHeight="1">
      <c r="A152" s="61"/>
      <c r="B152" s="61"/>
      <c r="C152" s="334"/>
      <c r="D152" s="355"/>
      <c r="E152" s="356"/>
      <c r="F152" s="334"/>
      <c r="G152" s="334"/>
      <c r="H152" s="334"/>
      <c r="I152" s="334"/>
      <c r="J152" s="334"/>
      <c r="K152" s="334"/>
      <c r="L152" s="334"/>
      <c r="M152" s="334"/>
      <c r="N152" s="334"/>
      <c r="O152" s="334"/>
      <c r="P152" s="334"/>
      <c r="Q152" s="334"/>
      <c r="R152" s="334"/>
      <c r="S152" s="334"/>
      <c r="T152" s="334"/>
      <c r="U152" s="334"/>
      <c r="V152" s="334"/>
      <c r="W152" s="334"/>
      <c r="X152" s="334"/>
      <c r="Y152" s="334"/>
    </row>
    <row r="153" ht="15.75" customHeight="1">
      <c r="A153" s="61"/>
      <c r="B153" s="61"/>
      <c r="C153" s="334"/>
      <c r="D153" s="355"/>
      <c r="E153" s="356"/>
      <c r="F153" s="334"/>
      <c r="G153" s="334"/>
      <c r="H153" s="334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/>
      <c r="X153" s="334"/>
      <c r="Y153" s="334"/>
    </row>
    <row r="154" ht="15.75" customHeight="1">
      <c r="A154" s="61"/>
      <c r="B154" s="61"/>
      <c r="C154" s="334"/>
      <c r="D154" s="355"/>
      <c r="E154" s="356"/>
      <c r="F154" s="334"/>
      <c r="G154" s="334"/>
      <c r="H154" s="334"/>
      <c r="I154" s="334"/>
      <c r="J154" s="334"/>
      <c r="K154" s="334"/>
      <c r="L154" s="334"/>
      <c r="M154" s="334"/>
      <c r="N154" s="334"/>
      <c r="O154" s="334"/>
      <c r="P154" s="334"/>
      <c r="Q154" s="334"/>
      <c r="R154" s="334"/>
      <c r="S154" s="334"/>
      <c r="T154" s="334"/>
      <c r="U154" s="334"/>
      <c r="V154" s="334"/>
      <c r="W154" s="334"/>
      <c r="X154" s="334"/>
      <c r="Y154" s="334"/>
    </row>
    <row r="155" ht="15.75" customHeight="1">
      <c r="A155" s="61"/>
      <c r="B155" s="61"/>
      <c r="C155" s="334"/>
      <c r="D155" s="355"/>
      <c r="E155" s="356"/>
      <c r="F155" s="334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34"/>
      <c r="Y155" s="334"/>
    </row>
    <row r="156" ht="15.75" customHeight="1">
      <c r="A156" s="61"/>
      <c r="B156" s="61"/>
      <c r="C156" s="334"/>
      <c r="D156" s="355"/>
      <c r="E156" s="356"/>
      <c r="F156" s="334"/>
      <c r="G156" s="334"/>
      <c r="H156" s="334"/>
      <c r="I156" s="334"/>
      <c r="J156" s="334"/>
      <c r="K156" s="334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</row>
    <row r="157" ht="15.75" customHeight="1">
      <c r="A157" s="61"/>
      <c r="B157" s="61"/>
      <c r="C157" s="334"/>
      <c r="D157" s="355"/>
      <c r="E157" s="356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</row>
    <row r="158" ht="15.75" customHeight="1">
      <c r="A158" s="61"/>
      <c r="B158" s="61"/>
      <c r="C158" s="334"/>
      <c r="D158" s="355"/>
      <c r="E158" s="356"/>
      <c r="F158" s="334"/>
      <c r="G158" s="334"/>
      <c r="H158" s="334"/>
      <c r="I158" s="334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</row>
    <row r="159" ht="15.75" customHeight="1">
      <c r="A159" s="61"/>
      <c r="B159" s="61"/>
      <c r="C159" s="334"/>
      <c r="D159" s="355"/>
      <c r="E159" s="356"/>
      <c r="F159" s="334"/>
      <c r="G159" s="334"/>
      <c r="H159" s="334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/>
      <c r="X159" s="334"/>
      <c r="Y159" s="334"/>
    </row>
    <row r="160" ht="15.75" customHeight="1">
      <c r="A160" s="61"/>
      <c r="B160" s="61"/>
      <c r="C160" s="334"/>
      <c r="D160" s="355"/>
      <c r="E160" s="356"/>
      <c r="F160" s="334"/>
      <c r="G160" s="334"/>
      <c r="H160" s="334"/>
      <c r="I160" s="334"/>
      <c r="J160" s="334"/>
      <c r="K160" s="334"/>
      <c r="L160" s="334"/>
      <c r="M160" s="334"/>
      <c r="N160" s="334"/>
      <c r="O160" s="334"/>
      <c r="P160" s="334"/>
      <c r="Q160" s="334"/>
      <c r="R160" s="334"/>
      <c r="S160" s="334"/>
      <c r="T160" s="334"/>
      <c r="U160" s="334"/>
      <c r="V160" s="334"/>
      <c r="W160" s="334"/>
      <c r="X160" s="334"/>
      <c r="Y160" s="334"/>
    </row>
    <row r="161" ht="15.75" customHeight="1">
      <c r="A161" s="61"/>
      <c r="B161" s="61"/>
      <c r="C161" s="334"/>
      <c r="D161" s="355"/>
      <c r="E161" s="356"/>
      <c r="F161" s="334"/>
      <c r="G161" s="334"/>
      <c r="H161" s="334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</row>
    <row r="162" ht="15.75" customHeight="1">
      <c r="A162" s="61"/>
      <c r="B162" s="61"/>
      <c r="C162" s="334"/>
      <c r="D162" s="355"/>
      <c r="E162" s="356"/>
      <c r="F162" s="334"/>
      <c r="G162" s="334"/>
      <c r="H162" s="334"/>
      <c r="I162" s="334"/>
      <c r="J162" s="334"/>
      <c r="K162" s="334"/>
      <c r="L162" s="334"/>
      <c r="M162" s="334"/>
      <c r="N162" s="334"/>
      <c r="O162" s="334"/>
      <c r="P162" s="334"/>
      <c r="Q162" s="334"/>
      <c r="R162" s="334"/>
      <c r="S162" s="334"/>
      <c r="T162" s="334"/>
      <c r="U162" s="334"/>
      <c r="V162" s="334"/>
      <c r="W162" s="334"/>
      <c r="X162" s="334"/>
      <c r="Y162" s="334"/>
    </row>
    <row r="163" ht="15.75" customHeight="1">
      <c r="A163" s="61"/>
      <c r="B163" s="61"/>
      <c r="C163" s="334"/>
      <c r="D163" s="355"/>
      <c r="E163" s="356"/>
      <c r="F163" s="334"/>
      <c r="G163" s="334"/>
      <c r="H163" s="334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/>
      <c r="X163" s="334"/>
      <c r="Y163" s="334"/>
    </row>
    <row r="164" ht="15.75" customHeight="1">
      <c r="A164" s="61"/>
      <c r="B164" s="61"/>
      <c r="C164" s="334"/>
      <c r="D164" s="355"/>
      <c r="E164" s="356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</row>
    <row r="165" ht="15.75" customHeight="1">
      <c r="A165" s="61"/>
      <c r="B165" s="61"/>
      <c r="C165" s="334"/>
      <c r="D165" s="355"/>
      <c r="E165" s="356"/>
      <c r="F165" s="334"/>
      <c r="G165" s="334"/>
      <c r="H165" s="334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/>
      <c r="X165" s="334"/>
      <c r="Y165" s="334"/>
    </row>
    <row r="166" ht="15.75" customHeight="1">
      <c r="A166" s="61"/>
      <c r="B166" s="61"/>
      <c r="C166" s="334"/>
      <c r="D166" s="355"/>
      <c r="E166" s="356"/>
      <c r="F166" s="334"/>
      <c r="G166" s="334"/>
      <c r="H166" s="334"/>
      <c r="I166" s="334"/>
      <c r="J166" s="334"/>
      <c r="K166" s="334"/>
      <c r="L166" s="334"/>
      <c r="M166" s="334"/>
      <c r="N166" s="334"/>
      <c r="O166" s="334"/>
      <c r="P166" s="334"/>
      <c r="Q166" s="334"/>
      <c r="R166" s="334"/>
      <c r="S166" s="334"/>
      <c r="T166" s="334"/>
      <c r="U166" s="334"/>
      <c r="V166" s="334"/>
      <c r="W166" s="334"/>
      <c r="X166" s="334"/>
      <c r="Y166" s="334"/>
    </row>
    <row r="167" ht="15.75" customHeight="1">
      <c r="A167" s="61"/>
      <c r="B167" s="61"/>
      <c r="C167" s="334"/>
      <c r="D167" s="355"/>
      <c r="E167" s="356"/>
      <c r="F167" s="334"/>
      <c r="G167" s="334"/>
      <c r="H167" s="334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/>
      <c r="X167" s="334"/>
      <c r="Y167" s="334"/>
    </row>
    <row r="168" ht="15.75" customHeight="1">
      <c r="A168" s="61"/>
      <c r="B168" s="61"/>
      <c r="C168" s="334"/>
      <c r="D168" s="355"/>
      <c r="E168" s="356"/>
      <c r="F168" s="334"/>
      <c r="G168" s="334"/>
      <c r="H168" s="334"/>
      <c r="I168" s="334"/>
      <c r="J168" s="334"/>
      <c r="K168" s="334"/>
      <c r="L168" s="334"/>
      <c r="M168" s="334"/>
      <c r="N168" s="334"/>
      <c r="O168" s="334"/>
      <c r="P168" s="334"/>
      <c r="Q168" s="334"/>
      <c r="R168" s="334"/>
      <c r="S168" s="334"/>
      <c r="T168" s="334"/>
      <c r="U168" s="334"/>
      <c r="V168" s="334"/>
      <c r="W168" s="334"/>
      <c r="X168" s="334"/>
      <c r="Y168" s="334"/>
    </row>
    <row r="169" ht="15.75" customHeight="1">
      <c r="A169" s="61"/>
      <c r="B169" s="61"/>
      <c r="C169" s="334"/>
      <c r="D169" s="355"/>
      <c r="E169" s="356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</row>
    <row r="170" ht="15.75" customHeight="1">
      <c r="A170" s="61"/>
      <c r="B170" s="61"/>
      <c r="C170" s="334"/>
      <c r="D170" s="355"/>
      <c r="E170" s="356"/>
      <c r="F170" s="334"/>
      <c r="G170" s="334"/>
      <c r="H170" s="334"/>
      <c r="I170" s="334"/>
      <c r="J170" s="334"/>
      <c r="K170" s="334"/>
      <c r="L170" s="334"/>
      <c r="M170" s="334"/>
      <c r="N170" s="334"/>
      <c r="O170" s="334"/>
      <c r="P170" s="334"/>
      <c r="Q170" s="334"/>
      <c r="R170" s="334"/>
      <c r="S170" s="334"/>
      <c r="T170" s="334"/>
      <c r="U170" s="334"/>
      <c r="V170" s="334"/>
      <c r="W170" s="334"/>
      <c r="X170" s="334"/>
      <c r="Y170" s="334"/>
    </row>
    <row r="171" ht="15.75" customHeight="1">
      <c r="A171" s="61"/>
      <c r="B171" s="61"/>
      <c r="C171" s="334"/>
      <c r="D171" s="355"/>
      <c r="E171" s="356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</row>
    <row r="172" ht="15.75" customHeight="1">
      <c r="A172" s="61"/>
      <c r="B172" s="61"/>
      <c r="C172" s="334"/>
      <c r="D172" s="355"/>
      <c r="E172" s="356"/>
      <c r="F172" s="334"/>
      <c r="G172" s="334"/>
      <c r="H172" s="334"/>
      <c r="I172" s="334"/>
      <c r="J172" s="334"/>
      <c r="K172" s="334"/>
      <c r="L172" s="334"/>
      <c r="M172" s="334"/>
      <c r="N172" s="334"/>
      <c r="O172" s="334"/>
      <c r="P172" s="334"/>
      <c r="Q172" s="334"/>
      <c r="R172" s="334"/>
      <c r="S172" s="334"/>
      <c r="T172" s="334"/>
      <c r="U172" s="334"/>
      <c r="V172" s="334"/>
      <c r="W172" s="334"/>
      <c r="X172" s="334"/>
      <c r="Y172" s="334"/>
    </row>
    <row r="173" ht="15.75" customHeight="1">
      <c r="A173" s="61"/>
      <c r="B173" s="61"/>
      <c r="C173" s="334"/>
      <c r="D173" s="355"/>
      <c r="E173" s="356"/>
      <c r="F173" s="334"/>
      <c r="G173" s="334"/>
      <c r="H173" s="334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/>
      <c r="X173" s="334"/>
      <c r="Y173" s="334"/>
    </row>
    <row r="174" ht="15.75" customHeight="1">
      <c r="A174" s="61"/>
      <c r="B174" s="61"/>
      <c r="C174" s="334"/>
      <c r="D174" s="355"/>
      <c r="E174" s="356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</row>
    <row r="175" ht="15.75" customHeight="1">
      <c r="A175" s="61"/>
      <c r="B175" s="61"/>
      <c r="C175" s="334"/>
      <c r="D175" s="355"/>
      <c r="E175" s="356"/>
      <c r="F175" s="334"/>
      <c r="G175" s="334"/>
      <c r="H175" s="334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/>
      <c r="X175" s="334"/>
      <c r="Y175" s="334"/>
    </row>
    <row r="176" ht="15.75" customHeight="1">
      <c r="A176" s="61"/>
      <c r="B176" s="61"/>
      <c r="C176" s="334"/>
      <c r="D176" s="355"/>
      <c r="E176" s="356"/>
      <c r="F176" s="334"/>
      <c r="G176" s="334"/>
      <c r="H176" s="334"/>
      <c r="I176" s="334"/>
      <c r="J176" s="334"/>
      <c r="K176" s="334"/>
      <c r="L176" s="334"/>
      <c r="M176" s="334"/>
      <c r="N176" s="334"/>
      <c r="O176" s="334"/>
      <c r="P176" s="334"/>
      <c r="Q176" s="334"/>
      <c r="R176" s="334"/>
      <c r="S176" s="334"/>
      <c r="T176" s="334"/>
      <c r="U176" s="334"/>
      <c r="V176" s="334"/>
      <c r="W176" s="334"/>
      <c r="X176" s="334"/>
      <c r="Y176" s="334"/>
    </row>
    <row r="177" ht="15.75" customHeight="1">
      <c r="A177" s="61"/>
      <c r="B177" s="61"/>
      <c r="C177" s="334"/>
      <c r="D177" s="355"/>
      <c r="E177" s="356"/>
      <c r="F177" s="334"/>
      <c r="G177" s="334"/>
      <c r="H177" s="334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/>
      <c r="X177" s="334"/>
      <c r="Y177" s="334"/>
    </row>
    <row r="178" ht="15.75" customHeight="1">
      <c r="A178" s="61"/>
      <c r="B178" s="61"/>
      <c r="C178" s="334"/>
      <c r="D178" s="355"/>
      <c r="E178" s="356"/>
      <c r="F178" s="334"/>
      <c r="G178" s="334"/>
      <c r="H178" s="334"/>
      <c r="I178" s="334"/>
      <c r="J178" s="334"/>
      <c r="K178" s="334"/>
      <c r="L178" s="334"/>
      <c r="M178" s="334"/>
      <c r="N178" s="334"/>
      <c r="O178" s="334"/>
      <c r="P178" s="334"/>
      <c r="Q178" s="334"/>
      <c r="R178" s="334"/>
      <c r="S178" s="334"/>
      <c r="T178" s="334"/>
      <c r="U178" s="334"/>
      <c r="V178" s="334"/>
      <c r="W178" s="334"/>
      <c r="X178" s="334"/>
      <c r="Y178" s="334"/>
    </row>
    <row r="179" ht="15.75" customHeight="1">
      <c r="A179" s="61"/>
      <c r="B179" s="61"/>
      <c r="C179" s="334"/>
      <c r="D179" s="355"/>
      <c r="E179" s="356"/>
      <c r="F179" s="334"/>
      <c r="G179" s="334"/>
      <c r="H179" s="334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/>
      <c r="X179" s="334"/>
      <c r="Y179" s="334"/>
    </row>
    <row r="180" ht="15.75" customHeight="1">
      <c r="A180" s="61"/>
      <c r="B180" s="61"/>
      <c r="C180" s="334"/>
      <c r="D180" s="355"/>
      <c r="E180" s="356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</row>
    <row r="181" ht="15.75" customHeight="1">
      <c r="A181" s="61"/>
      <c r="B181" s="61"/>
      <c r="C181" s="334"/>
      <c r="D181" s="355"/>
      <c r="E181" s="356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</row>
    <row r="182" ht="15.75" customHeight="1">
      <c r="A182" s="61"/>
      <c r="B182" s="61"/>
      <c r="C182" s="334"/>
      <c r="D182" s="355"/>
      <c r="E182" s="356"/>
      <c r="F182" s="334"/>
      <c r="G182" s="334"/>
      <c r="H182" s="334"/>
      <c r="I182" s="334"/>
      <c r="J182" s="334"/>
      <c r="K182" s="334"/>
      <c r="L182" s="334"/>
      <c r="M182" s="334"/>
      <c r="N182" s="334"/>
      <c r="O182" s="334"/>
      <c r="P182" s="334"/>
      <c r="Q182" s="334"/>
      <c r="R182" s="334"/>
      <c r="S182" s="334"/>
      <c r="T182" s="334"/>
      <c r="U182" s="334"/>
      <c r="V182" s="334"/>
      <c r="W182" s="334"/>
      <c r="X182" s="334"/>
      <c r="Y182" s="334"/>
    </row>
    <row r="183" ht="15.75" customHeight="1">
      <c r="A183" s="61"/>
      <c r="B183" s="61"/>
      <c r="C183" s="334"/>
      <c r="D183" s="355"/>
      <c r="E183" s="356"/>
      <c r="F183" s="334"/>
      <c r="G183" s="334"/>
      <c r="H183" s="334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/>
      <c r="X183" s="334"/>
      <c r="Y183" s="334"/>
    </row>
    <row r="184" ht="15.75" customHeight="1">
      <c r="A184" s="61"/>
      <c r="B184" s="61"/>
      <c r="C184" s="334"/>
      <c r="D184" s="355"/>
      <c r="E184" s="356"/>
      <c r="F184" s="334"/>
      <c r="G184" s="334"/>
      <c r="H184" s="334"/>
      <c r="I184" s="334"/>
      <c r="J184" s="334"/>
      <c r="K184" s="334"/>
      <c r="L184" s="334"/>
      <c r="M184" s="334"/>
      <c r="N184" s="334"/>
      <c r="O184" s="334"/>
      <c r="P184" s="334"/>
      <c r="Q184" s="334"/>
      <c r="R184" s="334"/>
      <c r="S184" s="334"/>
      <c r="T184" s="334"/>
      <c r="U184" s="334"/>
      <c r="V184" s="334"/>
      <c r="W184" s="334"/>
      <c r="X184" s="334"/>
      <c r="Y184" s="334"/>
    </row>
    <row r="185" ht="15.75" customHeight="1">
      <c r="A185" s="61"/>
      <c r="B185" s="61"/>
      <c r="C185" s="334"/>
      <c r="D185" s="355"/>
      <c r="E185" s="356"/>
      <c r="F185" s="334"/>
      <c r="G185" s="334"/>
      <c r="H185" s="334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/>
      <c r="X185" s="334"/>
      <c r="Y185" s="334"/>
    </row>
    <row r="186" ht="15.75" customHeight="1">
      <c r="A186" s="61"/>
      <c r="B186" s="61"/>
      <c r="C186" s="334"/>
      <c r="D186" s="355"/>
      <c r="E186" s="356"/>
      <c r="F186" s="334"/>
      <c r="G186" s="334"/>
      <c r="H186" s="334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</row>
    <row r="187" ht="15.75" customHeight="1">
      <c r="A187" s="61"/>
      <c r="B187" s="61"/>
      <c r="C187" s="334"/>
      <c r="D187" s="355"/>
      <c r="E187" s="356"/>
      <c r="F187" s="334"/>
      <c r="G187" s="334"/>
      <c r="H187" s="334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/>
      <c r="X187" s="334"/>
      <c r="Y187" s="334"/>
    </row>
    <row r="188" ht="15.75" customHeight="1">
      <c r="A188" s="61"/>
      <c r="B188" s="61"/>
      <c r="C188" s="334"/>
      <c r="D188" s="355"/>
      <c r="E188" s="356"/>
      <c r="F188" s="334"/>
      <c r="G188" s="334"/>
      <c r="H188" s="334"/>
      <c r="I188" s="334"/>
      <c r="J188" s="334"/>
      <c r="K188" s="334"/>
      <c r="L188" s="334"/>
      <c r="M188" s="334"/>
      <c r="N188" s="334"/>
      <c r="O188" s="334"/>
      <c r="P188" s="334"/>
      <c r="Q188" s="334"/>
      <c r="R188" s="334"/>
      <c r="S188" s="334"/>
      <c r="T188" s="334"/>
      <c r="U188" s="334"/>
      <c r="V188" s="334"/>
      <c r="W188" s="334"/>
      <c r="X188" s="334"/>
      <c r="Y188" s="334"/>
    </row>
    <row r="189" ht="15.75" customHeight="1">
      <c r="A189" s="61"/>
      <c r="B189" s="61"/>
      <c r="C189" s="334"/>
      <c r="D189" s="355"/>
      <c r="E189" s="356"/>
      <c r="F189" s="334"/>
      <c r="G189" s="334"/>
      <c r="H189" s="334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/>
      <c r="X189" s="334"/>
      <c r="Y189" s="334"/>
    </row>
    <row r="190" ht="15.75" customHeight="1">
      <c r="A190" s="61"/>
      <c r="B190" s="61"/>
      <c r="C190" s="334"/>
      <c r="D190" s="355"/>
      <c r="E190" s="356"/>
      <c r="F190" s="334"/>
      <c r="G190" s="334"/>
      <c r="H190" s="334"/>
      <c r="I190" s="334"/>
      <c r="J190" s="334"/>
      <c r="K190" s="334"/>
      <c r="L190" s="334"/>
      <c r="M190" s="334"/>
      <c r="N190" s="334"/>
      <c r="O190" s="334"/>
      <c r="P190" s="334"/>
      <c r="Q190" s="334"/>
      <c r="R190" s="334"/>
      <c r="S190" s="334"/>
      <c r="T190" s="334"/>
      <c r="U190" s="334"/>
      <c r="V190" s="334"/>
      <c r="W190" s="334"/>
      <c r="X190" s="334"/>
      <c r="Y190" s="334"/>
    </row>
    <row r="191" ht="15.75" customHeight="1">
      <c r="A191" s="61"/>
      <c r="B191" s="61"/>
      <c r="C191" s="334"/>
      <c r="D191" s="355"/>
      <c r="E191" s="356"/>
      <c r="F191" s="334"/>
      <c r="G191" s="334"/>
      <c r="H191" s="334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/>
      <c r="X191" s="334"/>
      <c r="Y191" s="334"/>
    </row>
    <row r="192" ht="15.75" customHeight="1">
      <c r="A192" s="61"/>
      <c r="B192" s="61"/>
      <c r="C192" s="334"/>
      <c r="D192" s="355"/>
      <c r="E192" s="356"/>
      <c r="F192" s="334"/>
      <c r="G192" s="334"/>
      <c r="H192" s="334"/>
      <c r="I192" s="334"/>
      <c r="J192" s="334"/>
      <c r="K192" s="334"/>
      <c r="L192" s="334"/>
      <c r="M192" s="334"/>
      <c r="N192" s="334"/>
      <c r="O192" s="334"/>
      <c r="P192" s="334"/>
      <c r="Q192" s="334"/>
      <c r="R192" s="334"/>
      <c r="S192" s="334"/>
      <c r="T192" s="334"/>
      <c r="U192" s="334"/>
      <c r="V192" s="334"/>
      <c r="W192" s="334"/>
      <c r="X192" s="334"/>
      <c r="Y192" s="334"/>
    </row>
    <row r="193" ht="15.75" customHeight="1">
      <c r="A193" s="61"/>
      <c r="B193" s="61"/>
      <c r="C193" s="334"/>
      <c r="D193" s="355"/>
      <c r="E193" s="356"/>
      <c r="F193" s="334"/>
      <c r="G193" s="334"/>
      <c r="H193" s="334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/>
      <c r="X193" s="334"/>
      <c r="Y193" s="334"/>
    </row>
    <row r="194" ht="15.75" customHeight="1">
      <c r="A194" s="61"/>
      <c r="B194" s="61"/>
      <c r="C194" s="334"/>
      <c r="D194" s="355"/>
      <c r="E194" s="356"/>
      <c r="F194" s="334"/>
      <c r="G194" s="334"/>
      <c r="H194" s="334"/>
      <c r="I194" s="334"/>
      <c r="J194" s="334"/>
      <c r="K194" s="334"/>
      <c r="L194" s="334"/>
      <c r="M194" s="334"/>
      <c r="N194" s="334"/>
      <c r="O194" s="334"/>
      <c r="P194" s="334"/>
      <c r="Q194" s="334"/>
      <c r="R194" s="334"/>
      <c r="S194" s="334"/>
      <c r="T194" s="334"/>
      <c r="U194" s="334"/>
      <c r="V194" s="334"/>
      <c r="W194" s="334"/>
      <c r="X194" s="334"/>
      <c r="Y194" s="334"/>
    </row>
    <row r="195" ht="15.75" customHeight="1">
      <c r="A195" s="61"/>
      <c r="B195" s="61"/>
      <c r="C195" s="334"/>
      <c r="D195" s="355"/>
      <c r="E195" s="356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</row>
    <row r="196" ht="15.75" customHeight="1">
      <c r="A196" s="61"/>
      <c r="B196" s="61"/>
      <c r="C196" s="334"/>
      <c r="D196" s="355"/>
      <c r="E196" s="356"/>
      <c r="F196" s="334"/>
      <c r="G196" s="334"/>
      <c r="H196" s="334"/>
      <c r="I196" s="334"/>
      <c r="J196" s="334"/>
      <c r="K196" s="334"/>
      <c r="L196" s="334"/>
      <c r="M196" s="334"/>
      <c r="N196" s="334"/>
      <c r="O196" s="334"/>
      <c r="P196" s="334"/>
      <c r="Q196" s="334"/>
      <c r="R196" s="334"/>
      <c r="S196" s="334"/>
      <c r="T196" s="334"/>
      <c r="U196" s="334"/>
      <c r="V196" s="334"/>
      <c r="W196" s="334"/>
      <c r="X196" s="334"/>
      <c r="Y196" s="334"/>
    </row>
    <row r="197" ht="15.75" customHeight="1">
      <c r="A197" s="61"/>
      <c r="B197" s="61"/>
      <c r="C197" s="334"/>
      <c r="D197" s="355"/>
      <c r="E197" s="356"/>
      <c r="F197" s="334"/>
      <c r="G197" s="334"/>
      <c r="H197" s="334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34"/>
      <c r="Y197" s="334"/>
    </row>
    <row r="198" ht="15.75" customHeight="1">
      <c r="A198" s="61"/>
      <c r="B198" s="61"/>
      <c r="C198" s="334"/>
      <c r="D198" s="355"/>
      <c r="E198" s="356"/>
      <c r="F198" s="334"/>
      <c r="G198" s="334"/>
      <c r="H198" s="334"/>
      <c r="I198" s="334"/>
      <c r="J198" s="334"/>
      <c r="K198" s="334"/>
      <c r="L198" s="334"/>
      <c r="M198" s="334"/>
      <c r="N198" s="334"/>
      <c r="O198" s="334"/>
      <c r="P198" s="334"/>
      <c r="Q198" s="334"/>
      <c r="R198" s="334"/>
      <c r="S198" s="334"/>
      <c r="T198" s="334"/>
      <c r="U198" s="334"/>
      <c r="V198" s="334"/>
      <c r="W198" s="334"/>
      <c r="X198" s="334"/>
      <c r="Y198" s="334"/>
    </row>
    <row r="199" ht="15.75" customHeight="1">
      <c r="A199" s="61"/>
      <c r="B199" s="61"/>
      <c r="C199" s="334"/>
      <c r="D199" s="355"/>
      <c r="E199" s="356"/>
      <c r="F199" s="334"/>
      <c r="G199" s="334"/>
      <c r="H199" s="334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/>
      <c r="X199" s="334"/>
      <c r="Y199" s="334"/>
    </row>
    <row r="200" ht="15.75" customHeight="1">
      <c r="A200" s="61"/>
      <c r="B200" s="61"/>
      <c r="C200" s="334"/>
      <c r="D200" s="355"/>
      <c r="E200" s="356"/>
      <c r="F200" s="334"/>
      <c r="G200" s="334"/>
      <c r="H200" s="334"/>
      <c r="I200" s="334"/>
      <c r="J200" s="334"/>
      <c r="K200" s="334"/>
      <c r="L200" s="334"/>
      <c r="M200" s="334"/>
      <c r="N200" s="334"/>
      <c r="O200" s="334"/>
      <c r="P200" s="334"/>
      <c r="Q200" s="334"/>
      <c r="R200" s="334"/>
      <c r="S200" s="334"/>
      <c r="T200" s="334"/>
      <c r="U200" s="334"/>
      <c r="V200" s="334"/>
      <c r="W200" s="334"/>
      <c r="X200" s="334"/>
      <c r="Y200" s="334"/>
    </row>
    <row r="201" ht="15.75" customHeight="1">
      <c r="A201" s="61"/>
      <c r="B201" s="61"/>
      <c r="C201" s="334"/>
      <c r="D201" s="355"/>
      <c r="E201" s="356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</row>
    <row r="202" ht="15.75" customHeight="1">
      <c r="A202" s="61"/>
      <c r="B202" s="61"/>
      <c r="C202" s="334"/>
      <c r="D202" s="355"/>
      <c r="E202" s="356"/>
      <c r="F202" s="334"/>
      <c r="G202" s="334"/>
      <c r="H202" s="334"/>
      <c r="I202" s="334"/>
      <c r="J202" s="334"/>
      <c r="K202" s="334"/>
      <c r="L202" s="334"/>
      <c r="M202" s="334"/>
      <c r="N202" s="334"/>
      <c r="O202" s="334"/>
      <c r="P202" s="334"/>
      <c r="Q202" s="334"/>
      <c r="R202" s="334"/>
      <c r="S202" s="334"/>
      <c r="T202" s="334"/>
      <c r="U202" s="334"/>
      <c r="V202" s="334"/>
      <c r="W202" s="334"/>
      <c r="X202" s="334"/>
      <c r="Y202" s="334"/>
    </row>
    <row r="203" ht="15.75" customHeight="1">
      <c r="A203" s="61"/>
      <c r="B203" s="61"/>
      <c r="C203" s="334"/>
      <c r="D203" s="355"/>
      <c r="E203" s="356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</row>
    <row r="204" ht="15.75" customHeight="1">
      <c r="A204" s="61"/>
      <c r="B204" s="61"/>
      <c r="C204" s="334"/>
      <c r="D204" s="355"/>
      <c r="E204" s="356"/>
      <c r="F204" s="334"/>
      <c r="G204" s="334"/>
      <c r="H204" s="334"/>
      <c r="I204" s="334"/>
      <c r="J204" s="334"/>
      <c r="K204" s="334"/>
      <c r="L204" s="334"/>
      <c r="M204" s="334"/>
      <c r="N204" s="334"/>
      <c r="O204" s="334"/>
      <c r="P204" s="334"/>
      <c r="Q204" s="334"/>
      <c r="R204" s="334"/>
      <c r="S204" s="334"/>
      <c r="T204" s="334"/>
      <c r="U204" s="334"/>
      <c r="V204" s="334"/>
      <c r="W204" s="334"/>
      <c r="X204" s="334"/>
      <c r="Y204" s="334"/>
    </row>
    <row r="205" ht="15.75" customHeight="1">
      <c r="A205" s="61"/>
      <c r="B205" s="61"/>
      <c r="C205" s="334"/>
      <c r="D205" s="355"/>
      <c r="E205" s="356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/>
      <c r="X205" s="334"/>
      <c r="Y205" s="334"/>
    </row>
    <row r="206" ht="15.75" customHeight="1">
      <c r="A206" s="61"/>
      <c r="B206" s="61"/>
      <c r="C206" s="334"/>
      <c r="D206" s="355"/>
      <c r="E206" s="356"/>
      <c r="F206" s="334"/>
      <c r="G206" s="334"/>
      <c r="H206" s="334"/>
      <c r="I206" s="334"/>
      <c r="J206" s="334"/>
      <c r="K206" s="334"/>
      <c r="L206" s="334"/>
      <c r="M206" s="334"/>
      <c r="N206" s="334"/>
      <c r="O206" s="334"/>
      <c r="P206" s="334"/>
      <c r="Q206" s="334"/>
      <c r="R206" s="334"/>
      <c r="S206" s="334"/>
      <c r="T206" s="334"/>
      <c r="U206" s="334"/>
      <c r="V206" s="334"/>
      <c r="W206" s="334"/>
      <c r="X206" s="334"/>
      <c r="Y206" s="334"/>
    </row>
    <row r="207" ht="15.75" customHeight="1">
      <c r="A207" s="61"/>
      <c r="B207" s="61"/>
      <c r="C207" s="334"/>
      <c r="D207" s="355"/>
      <c r="E207" s="356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</row>
    <row r="208" ht="15.75" customHeight="1">
      <c r="A208" s="61"/>
      <c r="B208" s="61"/>
      <c r="C208" s="334"/>
      <c r="D208" s="355"/>
      <c r="E208" s="356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</row>
    <row r="209" ht="15.75" customHeight="1">
      <c r="A209" s="61"/>
      <c r="B209" s="61"/>
      <c r="C209" s="334"/>
      <c r="D209" s="355"/>
      <c r="E209" s="356"/>
      <c r="F209" s="334"/>
      <c r="G209" s="334"/>
      <c r="H209" s="334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/>
      <c r="X209" s="334"/>
      <c r="Y209" s="334"/>
    </row>
    <row r="210" ht="15.75" customHeight="1">
      <c r="A210" s="61"/>
      <c r="B210" s="61"/>
      <c r="C210" s="334"/>
      <c r="D210" s="355"/>
      <c r="E210" s="356"/>
      <c r="F210" s="334"/>
      <c r="G210" s="334"/>
      <c r="H210" s="334"/>
      <c r="I210" s="334"/>
      <c r="J210" s="334"/>
      <c r="K210" s="334"/>
      <c r="L210" s="334"/>
      <c r="M210" s="334"/>
      <c r="N210" s="334"/>
      <c r="O210" s="334"/>
      <c r="P210" s="334"/>
      <c r="Q210" s="334"/>
      <c r="R210" s="334"/>
      <c r="S210" s="334"/>
      <c r="T210" s="334"/>
      <c r="U210" s="334"/>
      <c r="V210" s="334"/>
      <c r="W210" s="334"/>
      <c r="X210" s="334"/>
      <c r="Y210" s="334"/>
    </row>
    <row r="211" ht="15.75" customHeight="1">
      <c r="A211" s="61"/>
      <c r="B211" s="61"/>
      <c r="C211" s="334"/>
      <c r="D211" s="355"/>
      <c r="E211" s="356"/>
      <c r="F211" s="334"/>
      <c r="G211" s="334"/>
      <c r="H211" s="334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</row>
    <row r="212" ht="15.75" customHeight="1">
      <c r="A212" s="61"/>
      <c r="B212" s="61"/>
      <c r="C212" s="334"/>
      <c r="D212" s="355"/>
      <c r="E212" s="356"/>
      <c r="F212" s="334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34"/>
      <c r="W212" s="334"/>
      <c r="X212" s="334"/>
      <c r="Y212" s="334"/>
    </row>
    <row r="213" ht="15.75" customHeight="1">
      <c r="A213" s="61"/>
      <c r="B213" s="61"/>
      <c r="C213" s="334"/>
      <c r="D213" s="355"/>
      <c r="E213" s="356"/>
      <c r="F213" s="334"/>
      <c r="G213" s="334"/>
      <c r="H213" s="334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/>
      <c r="X213" s="334"/>
      <c r="Y213" s="334"/>
    </row>
    <row r="214" ht="15.75" customHeight="1">
      <c r="A214" s="61"/>
      <c r="B214" s="61"/>
      <c r="C214" s="334"/>
      <c r="D214" s="355"/>
      <c r="E214" s="356"/>
      <c r="F214" s="334"/>
      <c r="G214" s="334"/>
      <c r="H214" s="334"/>
      <c r="I214" s="334"/>
      <c r="J214" s="334"/>
      <c r="K214" s="334"/>
      <c r="L214" s="334"/>
      <c r="M214" s="334"/>
      <c r="N214" s="334"/>
      <c r="O214" s="334"/>
      <c r="P214" s="334"/>
      <c r="Q214" s="334"/>
      <c r="R214" s="334"/>
      <c r="S214" s="334"/>
      <c r="T214" s="334"/>
      <c r="U214" s="334"/>
      <c r="V214" s="334"/>
      <c r="W214" s="334"/>
      <c r="X214" s="334"/>
      <c r="Y214" s="334"/>
    </row>
    <row r="215" ht="15.75" customHeight="1">
      <c r="A215" s="61"/>
      <c r="B215" s="61"/>
      <c r="C215" s="334"/>
      <c r="D215" s="355"/>
      <c r="E215" s="356"/>
      <c r="F215" s="334"/>
      <c r="G215" s="334"/>
      <c r="H215" s="334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/>
      <c r="X215" s="334"/>
      <c r="Y215" s="334"/>
    </row>
    <row r="216" ht="15.75" customHeight="1">
      <c r="A216" s="61"/>
      <c r="B216" s="61"/>
      <c r="C216" s="334"/>
      <c r="D216" s="355"/>
      <c r="E216" s="356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</row>
    <row r="217" ht="15.75" customHeight="1">
      <c r="A217" s="61"/>
      <c r="B217" s="61"/>
      <c r="C217" s="334"/>
      <c r="D217" s="355"/>
      <c r="E217" s="356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</row>
    <row r="218" ht="15.75" customHeight="1">
      <c r="A218" s="61"/>
      <c r="B218" s="61"/>
      <c r="C218" s="334"/>
      <c r="D218" s="355"/>
      <c r="E218" s="356"/>
      <c r="F218" s="334"/>
      <c r="G218" s="334"/>
      <c r="H218" s="334"/>
      <c r="I218" s="334"/>
      <c r="J218" s="334"/>
      <c r="K218" s="334"/>
      <c r="L218" s="334"/>
      <c r="M218" s="334"/>
      <c r="N218" s="334"/>
      <c r="O218" s="334"/>
      <c r="P218" s="334"/>
      <c r="Q218" s="334"/>
      <c r="R218" s="334"/>
      <c r="S218" s="334"/>
      <c r="T218" s="334"/>
      <c r="U218" s="334"/>
      <c r="V218" s="334"/>
      <c r="W218" s="334"/>
      <c r="X218" s="334"/>
      <c r="Y218" s="334"/>
    </row>
    <row r="219" ht="15.75" customHeight="1">
      <c r="A219" s="61"/>
      <c r="B219" s="61"/>
      <c r="C219" s="334"/>
      <c r="D219" s="355"/>
      <c r="E219" s="356"/>
      <c r="F219" s="334"/>
      <c r="G219" s="334"/>
      <c r="H219" s="334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/>
      <c r="X219" s="334"/>
      <c r="Y219" s="334"/>
    </row>
    <row r="220" ht="15.75" customHeight="1">
      <c r="A220" s="61"/>
      <c r="B220" s="61"/>
      <c r="C220" s="334"/>
      <c r="D220" s="355"/>
      <c r="E220" s="356"/>
      <c r="F220" s="334"/>
      <c r="G220" s="334"/>
      <c r="H220" s="334"/>
      <c r="I220" s="334"/>
      <c r="J220" s="334"/>
      <c r="K220" s="334"/>
      <c r="L220" s="334"/>
      <c r="M220" s="334"/>
      <c r="N220" s="334"/>
      <c r="O220" s="334"/>
      <c r="P220" s="334"/>
      <c r="Q220" s="334"/>
      <c r="R220" s="334"/>
      <c r="S220" s="334"/>
      <c r="T220" s="334"/>
      <c r="U220" s="334"/>
      <c r="V220" s="334"/>
      <c r="W220" s="334"/>
      <c r="X220" s="334"/>
      <c r="Y220" s="334"/>
    </row>
    <row r="221" ht="15.75" customHeight="1">
      <c r="A221" s="61"/>
      <c r="B221" s="61"/>
      <c r="C221" s="334"/>
      <c r="D221" s="355"/>
      <c r="E221" s="356"/>
      <c r="F221" s="334"/>
      <c r="G221" s="334"/>
      <c r="H221" s="334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/>
      <c r="X221" s="334"/>
      <c r="Y221" s="334"/>
    </row>
    <row r="222" ht="15.75" customHeight="1">
      <c r="A222" s="61"/>
      <c r="B222" s="61"/>
      <c r="C222" s="334"/>
      <c r="D222" s="355"/>
      <c r="E222" s="356"/>
      <c r="F222" s="334"/>
      <c r="G222" s="334"/>
      <c r="H222" s="334"/>
      <c r="I222" s="334"/>
      <c r="J222" s="334"/>
      <c r="K222" s="334"/>
      <c r="L222" s="334"/>
      <c r="M222" s="334"/>
      <c r="N222" s="334"/>
      <c r="O222" s="334"/>
      <c r="P222" s="334"/>
      <c r="Q222" s="334"/>
      <c r="R222" s="334"/>
      <c r="S222" s="334"/>
      <c r="T222" s="334"/>
      <c r="U222" s="334"/>
      <c r="V222" s="334"/>
      <c r="W222" s="334"/>
      <c r="X222" s="334"/>
      <c r="Y222" s="334"/>
    </row>
    <row r="223" ht="15.75" customHeight="1">
      <c r="A223" s="61"/>
      <c r="B223" s="61"/>
      <c r="C223" s="334"/>
      <c r="D223" s="355"/>
      <c r="E223" s="356"/>
      <c r="F223" s="334"/>
      <c r="G223" s="334"/>
      <c r="H223" s="334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/>
      <c r="X223" s="334"/>
      <c r="Y223" s="334"/>
    </row>
    <row r="224" ht="15.75" customHeight="1">
      <c r="A224" s="61"/>
      <c r="B224" s="61"/>
      <c r="C224" s="334"/>
      <c r="D224" s="355"/>
      <c r="E224" s="356"/>
      <c r="F224" s="334"/>
      <c r="G224" s="334"/>
      <c r="H224" s="334"/>
      <c r="I224" s="334"/>
      <c r="J224" s="334"/>
      <c r="K224" s="334"/>
      <c r="L224" s="334"/>
      <c r="M224" s="334"/>
      <c r="N224" s="334"/>
      <c r="O224" s="334"/>
      <c r="P224" s="334"/>
      <c r="Q224" s="334"/>
      <c r="R224" s="334"/>
      <c r="S224" s="334"/>
      <c r="T224" s="334"/>
      <c r="U224" s="334"/>
      <c r="V224" s="334"/>
      <c r="W224" s="334"/>
      <c r="X224" s="334"/>
      <c r="Y224" s="334"/>
    </row>
    <row r="225" ht="15.75" customHeight="1">
      <c r="A225" s="61"/>
      <c r="B225" s="61"/>
      <c r="C225" s="334"/>
      <c r="D225" s="355"/>
      <c r="E225" s="356"/>
      <c r="F225" s="334"/>
      <c r="G225" s="334"/>
      <c r="H225" s="334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/>
      <c r="U225" s="334"/>
      <c r="V225" s="334"/>
      <c r="W225" s="334"/>
      <c r="X225" s="334"/>
      <c r="Y225" s="334"/>
    </row>
    <row r="226" ht="15.75" customHeight="1">
      <c r="A226" s="61"/>
      <c r="B226" s="61"/>
      <c r="C226" s="334"/>
      <c r="D226" s="355"/>
      <c r="E226" s="356"/>
      <c r="F226" s="334"/>
      <c r="G226" s="334"/>
      <c r="H226" s="334"/>
      <c r="I226" s="334"/>
      <c r="J226" s="334"/>
      <c r="K226" s="334"/>
      <c r="L226" s="334"/>
      <c r="M226" s="334"/>
      <c r="N226" s="334"/>
      <c r="O226" s="334"/>
      <c r="P226" s="334"/>
      <c r="Q226" s="334"/>
      <c r="R226" s="334"/>
      <c r="S226" s="334"/>
      <c r="T226" s="334"/>
      <c r="U226" s="334"/>
      <c r="V226" s="334"/>
      <c r="W226" s="334"/>
      <c r="X226" s="334"/>
      <c r="Y226" s="334"/>
    </row>
    <row r="227" ht="15.75" customHeight="1">
      <c r="A227" s="61"/>
      <c r="B227" s="61"/>
      <c r="C227" s="334"/>
      <c r="D227" s="355"/>
      <c r="E227" s="356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</row>
    <row r="228" ht="15.75" customHeight="1">
      <c r="A228" s="61"/>
      <c r="B228" s="61"/>
      <c r="C228" s="334"/>
      <c r="D228" s="355"/>
      <c r="E228" s="356"/>
      <c r="F228" s="334"/>
      <c r="G228" s="334"/>
      <c r="H228" s="334"/>
      <c r="I228" s="334"/>
      <c r="J228" s="334"/>
      <c r="K228" s="334"/>
      <c r="L228" s="334"/>
      <c r="M228" s="334"/>
      <c r="N228" s="334"/>
      <c r="O228" s="334"/>
      <c r="P228" s="334"/>
      <c r="Q228" s="334"/>
      <c r="R228" s="334"/>
      <c r="S228" s="334"/>
      <c r="T228" s="334"/>
      <c r="U228" s="334"/>
      <c r="V228" s="334"/>
      <c r="W228" s="334"/>
      <c r="X228" s="334"/>
      <c r="Y228" s="334"/>
    </row>
    <row r="229" ht="15.75" customHeight="1">
      <c r="A229" s="61"/>
      <c r="B229" s="61"/>
      <c r="C229" s="334"/>
      <c r="D229" s="355"/>
      <c r="E229" s="356"/>
      <c r="F229" s="334"/>
      <c r="G229" s="334"/>
      <c r="H229" s="334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/>
      <c r="X229" s="334"/>
      <c r="Y229" s="334"/>
    </row>
    <row r="230" ht="15.75" customHeight="1">
      <c r="A230" s="61"/>
      <c r="B230" s="61"/>
      <c r="C230" s="334"/>
      <c r="D230" s="355"/>
      <c r="E230" s="356"/>
      <c r="F230" s="334"/>
      <c r="G230" s="334"/>
      <c r="H230" s="334"/>
      <c r="I230" s="334"/>
      <c r="J230" s="334"/>
      <c r="K230" s="334"/>
      <c r="L230" s="334"/>
      <c r="M230" s="334"/>
      <c r="N230" s="334"/>
      <c r="O230" s="334"/>
      <c r="P230" s="334"/>
      <c r="Q230" s="334"/>
      <c r="R230" s="334"/>
      <c r="S230" s="334"/>
      <c r="T230" s="334"/>
      <c r="U230" s="334"/>
      <c r="V230" s="334"/>
      <c r="W230" s="334"/>
      <c r="X230" s="334"/>
      <c r="Y230" s="334"/>
    </row>
    <row r="231" ht="15.75" customHeight="1">
      <c r="A231" s="61"/>
      <c r="B231" s="61"/>
      <c r="C231" s="334"/>
      <c r="D231" s="355"/>
      <c r="E231" s="356"/>
      <c r="F231" s="334"/>
      <c r="G231" s="334"/>
      <c r="H231" s="334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/>
      <c r="X231" s="334"/>
      <c r="Y231" s="334"/>
    </row>
    <row r="232" ht="15.75" customHeight="1">
      <c r="A232" s="61"/>
      <c r="B232" s="61"/>
      <c r="C232" s="334"/>
      <c r="D232" s="355"/>
      <c r="E232" s="356"/>
      <c r="F232" s="334"/>
      <c r="G232" s="334"/>
      <c r="H232" s="334"/>
      <c r="I232" s="334"/>
      <c r="J232" s="334"/>
      <c r="K232" s="334"/>
      <c r="L232" s="334"/>
      <c r="M232" s="334"/>
      <c r="N232" s="334"/>
      <c r="O232" s="334"/>
      <c r="P232" s="334"/>
      <c r="Q232" s="334"/>
      <c r="R232" s="334"/>
      <c r="S232" s="334"/>
      <c r="T232" s="334"/>
      <c r="U232" s="334"/>
      <c r="V232" s="334"/>
      <c r="W232" s="334"/>
      <c r="X232" s="334"/>
      <c r="Y232" s="334"/>
    </row>
    <row r="233" ht="15.75" customHeight="1">
      <c r="A233" s="61"/>
      <c r="B233" s="61"/>
      <c r="C233" s="334"/>
      <c r="D233" s="355"/>
      <c r="E233" s="356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</row>
    <row r="234" ht="15.75" customHeight="1">
      <c r="A234" s="61"/>
      <c r="B234" s="61"/>
      <c r="C234" s="334"/>
      <c r="D234" s="355"/>
      <c r="E234" s="356"/>
      <c r="F234" s="334"/>
      <c r="G234" s="334"/>
      <c r="H234" s="334"/>
      <c r="I234" s="334"/>
      <c r="J234" s="334"/>
      <c r="K234" s="334"/>
      <c r="L234" s="334"/>
      <c r="M234" s="334"/>
      <c r="N234" s="334"/>
      <c r="O234" s="334"/>
      <c r="P234" s="334"/>
      <c r="Q234" s="334"/>
      <c r="R234" s="334"/>
      <c r="S234" s="334"/>
      <c r="T234" s="334"/>
      <c r="U234" s="334"/>
      <c r="V234" s="334"/>
      <c r="W234" s="334"/>
      <c r="X234" s="334"/>
      <c r="Y234" s="334"/>
    </row>
    <row r="235" ht="15.75" customHeight="1">
      <c r="A235" s="61"/>
      <c r="B235" s="61"/>
      <c r="C235" s="334"/>
      <c r="D235" s="355"/>
      <c r="E235" s="356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</row>
    <row r="236" ht="15.75" customHeight="1">
      <c r="A236" s="61"/>
      <c r="B236" s="61"/>
      <c r="C236" s="334"/>
      <c r="D236" s="355"/>
      <c r="E236" s="356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</row>
    <row r="237" ht="15.75" customHeight="1">
      <c r="A237" s="61"/>
      <c r="B237" s="61"/>
      <c r="C237" s="334"/>
      <c r="D237" s="355"/>
      <c r="E237" s="356"/>
      <c r="F237" s="334"/>
      <c r="G237" s="334"/>
      <c r="H237" s="334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/>
      <c r="X237" s="334"/>
      <c r="Y237" s="334"/>
    </row>
    <row r="238" ht="15.75" customHeight="1">
      <c r="A238" s="61"/>
      <c r="B238" s="61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  <c r="M238" s="334"/>
      <c r="N238" s="334"/>
      <c r="O238" s="334"/>
      <c r="P238" s="334"/>
      <c r="Q238" s="334"/>
      <c r="R238" s="334"/>
      <c r="S238" s="334"/>
      <c r="T238" s="334"/>
      <c r="U238" s="334"/>
      <c r="V238" s="334"/>
      <c r="W238" s="334"/>
      <c r="X238" s="334"/>
      <c r="Y238" s="334"/>
    </row>
    <row r="239" ht="15.75" customHeight="1">
      <c r="A239" s="61"/>
      <c r="B239" s="61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</row>
    <row r="240" ht="15.75" customHeight="1">
      <c r="A240" s="61"/>
      <c r="B240" s="61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</row>
    <row r="241" ht="15.75" customHeight="1">
      <c r="A241" s="61"/>
      <c r="B241" s="61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/>
      <c r="X241" s="334"/>
      <c r="Y241" s="334"/>
    </row>
    <row r="242" ht="15.75" customHeight="1">
      <c r="A242" s="61"/>
      <c r="B242" s="61"/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  <c r="M242" s="334"/>
      <c r="N242" s="334"/>
      <c r="O242" s="334"/>
      <c r="P242" s="334"/>
      <c r="Q242" s="334"/>
      <c r="R242" s="334"/>
      <c r="S242" s="334"/>
      <c r="T242" s="334"/>
      <c r="U242" s="334"/>
      <c r="V242" s="334"/>
      <c r="W242" s="334"/>
      <c r="X242" s="334"/>
      <c r="Y242" s="334"/>
    </row>
    <row r="243" ht="15.75" customHeight="1">
      <c r="A243" s="61"/>
      <c r="B243" s="61"/>
      <c r="C243" s="334"/>
      <c r="D243" s="334"/>
      <c r="E243" s="334"/>
      <c r="F243" s="334"/>
      <c r="G243" s="334"/>
      <c r="H243" s="334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/>
      <c r="X243" s="334"/>
      <c r="Y243" s="334"/>
    </row>
    <row r="244" ht="15.75" customHeight="1">
      <c r="A244" s="61"/>
      <c r="B244" s="61"/>
      <c r="C244" s="334"/>
      <c r="D244" s="334"/>
      <c r="E244" s="334"/>
      <c r="F244" s="334"/>
      <c r="G244" s="334"/>
      <c r="H244" s="334"/>
      <c r="I244" s="334"/>
      <c r="J244" s="334"/>
      <c r="K244" s="334"/>
      <c r="L244" s="334"/>
      <c r="M244" s="334"/>
      <c r="N244" s="334"/>
      <c r="O244" s="334"/>
      <c r="P244" s="334"/>
      <c r="Q244" s="334"/>
      <c r="R244" s="334"/>
      <c r="S244" s="334"/>
      <c r="T244" s="334"/>
      <c r="U244" s="334"/>
      <c r="V244" s="334"/>
      <c r="W244" s="334"/>
      <c r="X244" s="334"/>
      <c r="Y244" s="334"/>
    </row>
    <row r="245" ht="15.75" customHeight="1">
      <c r="A245" s="61"/>
      <c r="B245" s="61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</row>
    <row r="246" ht="15.75" customHeight="1">
      <c r="A246" s="61"/>
      <c r="B246" s="61"/>
      <c r="C246" s="334"/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</row>
    <row r="247" ht="15.75" customHeight="1">
      <c r="A247" s="61"/>
      <c r="B247" s="61"/>
      <c r="C247" s="334"/>
      <c r="D247" s="334"/>
      <c r="E247" s="334"/>
      <c r="F247" s="334"/>
      <c r="G247" s="334"/>
      <c r="H247" s="334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/>
      <c r="X247" s="334"/>
      <c r="Y247" s="334"/>
    </row>
    <row r="248" ht="15.75" customHeight="1">
      <c r="A248" s="61"/>
      <c r="B248" s="61"/>
      <c r="C248" s="334"/>
      <c r="D248" s="334"/>
      <c r="E248" s="334"/>
      <c r="F248" s="334"/>
      <c r="G248" s="334"/>
      <c r="H248" s="334"/>
      <c r="I248" s="334"/>
      <c r="J248" s="334"/>
      <c r="K248" s="334"/>
      <c r="L248" s="334"/>
      <c r="M248" s="334"/>
      <c r="N248" s="334"/>
      <c r="O248" s="334"/>
      <c r="P248" s="334"/>
      <c r="Q248" s="334"/>
      <c r="R248" s="334"/>
      <c r="S248" s="334"/>
      <c r="T248" s="334"/>
      <c r="U248" s="334"/>
      <c r="V248" s="334"/>
      <c r="W248" s="334"/>
      <c r="X248" s="334"/>
      <c r="Y248" s="334"/>
    </row>
    <row r="249" ht="15.75" customHeight="1">
      <c r="A249" s="61"/>
      <c r="B249" s="61"/>
      <c r="C249" s="334"/>
      <c r="D249" s="334"/>
      <c r="E249" s="334"/>
      <c r="F249" s="334"/>
      <c r="G249" s="334"/>
      <c r="H249" s="334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/>
      <c r="X249" s="334"/>
      <c r="Y249" s="334"/>
    </row>
    <row r="250" ht="15.75" customHeight="1">
      <c r="A250" s="61"/>
      <c r="B250" s="61"/>
      <c r="C250" s="334"/>
      <c r="D250" s="334"/>
      <c r="E250" s="334"/>
      <c r="F250" s="334"/>
      <c r="G250" s="334"/>
      <c r="H250" s="334"/>
      <c r="I250" s="334"/>
      <c r="J250" s="334"/>
      <c r="K250" s="334"/>
      <c r="L250" s="334"/>
      <c r="M250" s="334"/>
      <c r="N250" s="334"/>
      <c r="O250" s="334"/>
      <c r="P250" s="334"/>
      <c r="Q250" s="334"/>
      <c r="R250" s="334"/>
      <c r="S250" s="334"/>
      <c r="T250" s="334"/>
      <c r="U250" s="334"/>
      <c r="V250" s="334"/>
      <c r="W250" s="334"/>
      <c r="X250" s="334"/>
      <c r="Y250" s="334"/>
    </row>
    <row r="251" ht="15.75" customHeight="1">
      <c r="A251" s="61"/>
      <c r="B251" s="61"/>
      <c r="C251" s="334"/>
      <c r="D251" s="334"/>
      <c r="E251" s="334"/>
      <c r="F251" s="334"/>
      <c r="G251" s="334"/>
      <c r="H251" s="334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34"/>
      <c r="X251" s="334"/>
      <c r="Y251" s="334"/>
    </row>
    <row r="252" ht="15.75" customHeight="1">
      <c r="A252" s="61"/>
      <c r="B252" s="61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34"/>
      <c r="Q252" s="334"/>
      <c r="R252" s="334"/>
      <c r="S252" s="334"/>
      <c r="T252" s="334"/>
      <c r="U252" s="334"/>
      <c r="V252" s="334"/>
      <c r="W252" s="334"/>
      <c r="X252" s="334"/>
      <c r="Y252" s="334"/>
    </row>
    <row r="253" ht="15.75" customHeight="1">
      <c r="A253" s="61"/>
      <c r="B253" s="61"/>
      <c r="C253" s="334"/>
      <c r="D253" s="334"/>
      <c r="E253" s="334"/>
      <c r="F253" s="334"/>
      <c r="G253" s="334"/>
      <c r="H253" s="334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/>
      <c r="X253" s="334"/>
      <c r="Y253" s="334"/>
    </row>
    <row r="254" ht="15.75" customHeight="1">
      <c r="A254" s="61"/>
      <c r="B254" s="61"/>
      <c r="C254" s="334"/>
      <c r="D254" s="334"/>
      <c r="E254" s="334"/>
      <c r="F254" s="334"/>
      <c r="G254" s="334"/>
      <c r="H254" s="334"/>
      <c r="I254" s="334"/>
      <c r="J254" s="334"/>
      <c r="K254" s="334"/>
      <c r="L254" s="334"/>
      <c r="M254" s="334"/>
      <c r="N254" s="334"/>
      <c r="O254" s="334"/>
      <c r="P254" s="334"/>
      <c r="Q254" s="334"/>
      <c r="R254" s="334"/>
      <c r="S254" s="334"/>
      <c r="T254" s="334"/>
      <c r="U254" s="334"/>
      <c r="V254" s="334"/>
      <c r="W254" s="334"/>
      <c r="X254" s="334"/>
      <c r="Y254" s="334"/>
    </row>
    <row r="255" ht="15.75" customHeight="1">
      <c r="A255" s="61"/>
      <c r="B255" s="61"/>
      <c r="C255" s="334"/>
      <c r="D255" s="334"/>
      <c r="E255" s="334"/>
      <c r="F255" s="334"/>
      <c r="G255" s="334"/>
      <c r="H255" s="334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</row>
    <row r="256" ht="15.75" customHeight="1">
      <c r="A256" s="61"/>
      <c r="B256" s="61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</row>
    <row r="257" ht="15.75" customHeight="1">
      <c r="A257" s="61"/>
      <c r="B257" s="61"/>
      <c r="C257" s="334"/>
      <c r="D257" s="334"/>
      <c r="E257" s="334"/>
      <c r="F257" s="334"/>
      <c r="G257" s="334"/>
      <c r="H257" s="334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/>
      <c r="X257" s="334"/>
      <c r="Y257" s="334"/>
    </row>
    <row r="258" ht="15.75" customHeight="1">
      <c r="A258" s="61"/>
      <c r="B258" s="61"/>
      <c r="C258" s="334"/>
      <c r="D258" s="334"/>
      <c r="E258" s="334"/>
      <c r="F258" s="334"/>
      <c r="G258" s="334"/>
      <c r="H258" s="334"/>
      <c r="I258" s="334"/>
      <c r="J258" s="334"/>
      <c r="K258" s="334"/>
      <c r="L258" s="334"/>
      <c r="M258" s="334"/>
      <c r="N258" s="334"/>
      <c r="O258" s="334"/>
      <c r="P258" s="334"/>
      <c r="Q258" s="334"/>
      <c r="R258" s="334"/>
      <c r="S258" s="334"/>
      <c r="T258" s="334"/>
      <c r="U258" s="334"/>
      <c r="V258" s="334"/>
      <c r="W258" s="334"/>
      <c r="X258" s="334"/>
      <c r="Y258" s="334"/>
    </row>
    <row r="259" ht="15.75" customHeight="1">
      <c r="A259" s="61"/>
      <c r="B259" s="61"/>
      <c r="C259" s="334"/>
      <c r="D259" s="334"/>
      <c r="E259" s="334"/>
      <c r="F259" s="334"/>
      <c r="G259" s="334"/>
      <c r="H259" s="334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/>
      <c r="X259" s="334"/>
      <c r="Y259" s="334"/>
    </row>
    <row r="260" ht="15.75" customHeight="1">
      <c r="A260" s="61"/>
      <c r="B260" s="61"/>
      <c r="C260" s="334"/>
      <c r="D260" s="334"/>
      <c r="E260" s="334"/>
      <c r="F260" s="334"/>
      <c r="G260" s="334"/>
      <c r="H260" s="334"/>
      <c r="I260" s="334"/>
      <c r="J260" s="334"/>
      <c r="K260" s="334"/>
      <c r="L260" s="334"/>
      <c r="M260" s="334"/>
      <c r="N260" s="334"/>
      <c r="O260" s="334"/>
      <c r="P260" s="334"/>
      <c r="Q260" s="334"/>
      <c r="R260" s="334"/>
      <c r="S260" s="334"/>
      <c r="T260" s="334"/>
      <c r="U260" s="334"/>
      <c r="V260" s="334"/>
      <c r="W260" s="334"/>
      <c r="X260" s="334"/>
      <c r="Y260" s="334"/>
    </row>
    <row r="261" ht="15.75" customHeight="1">
      <c r="A261" s="61"/>
      <c r="B261" s="61"/>
      <c r="C261" s="334"/>
      <c r="D261" s="334"/>
      <c r="E261" s="334"/>
      <c r="F261" s="334"/>
      <c r="G261" s="334"/>
      <c r="H261" s="334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34"/>
      <c r="Y261" s="334"/>
    </row>
    <row r="262" ht="15.75" customHeight="1">
      <c r="A262" s="61"/>
      <c r="B262" s="61"/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  <c r="M262" s="334"/>
      <c r="N262" s="334"/>
      <c r="O262" s="334"/>
      <c r="P262" s="334"/>
      <c r="Q262" s="334"/>
      <c r="R262" s="334"/>
      <c r="S262" s="334"/>
      <c r="T262" s="334"/>
      <c r="U262" s="334"/>
      <c r="V262" s="334"/>
      <c r="W262" s="334"/>
      <c r="X262" s="334"/>
      <c r="Y262" s="334"/>
    </row>
    <row r="263" ht="15.75" customHeight="1">
      <c r="A263" s="61"/>
      <c r="B263" s="61"/>
      <c r="C263" s="334"/>
      <c r="D263" s="334"/>
      <c r="E263" s="334"/>
      <c r="F263" s="334"/>
      <c r="G263" s="334"/>
      <c r="H263" s="334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</row>
    <row r="264" ht="15.75" customHeight="1">
      <c r="A264" s="61"/>
      <c r="B264" s="61"/>
      <c r="C264" s="334"/>
      <c r="D264" s="334"/>
      <c r="E264" s="334"/>
      <c r="F264" s="334"/>
      <c r="G264" s="334"/>
      <c r="H264" s="334"/>
      <c r="I264" s="334"/>
      <c r="J264" s="334"/>
      <c r="K264" s="334"/>
      <c r="L264" s="334"/>
      <c r="M264" s="334"/>
      <c r="N264" s="334"/>
      <c r="O264" s="334"/>
      <c r="P264" s="334"/>
      <c r="Q264" s="334"/>
      <c r="R264" s="334"/>
      <c r="S264" s="334"/>
      <c r="T264" s="334"/>
      <c r="U264" s="334"/>
      <c r="V264" s="334"/>
      <c r="W264" s="334"/>
      <c r="X264" s="334"/>
      <c r="Y264" s="334"/>
    </row>
    <row r="265" ht="15.75" customHeight="1">
      <c r="A265" s="61"/>
      <c r="B265" s="61"/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</row>
    <row r="266" ht="15.75" customHeight="1">
      <c r="A266" s="61"/>
      <c r="B266" s="61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</row>
    <row r="267" ht="15.75" customHeight="1">
      <c r="A267" s="61"/>
      <c r="B267" s="61"/>
      <c r="C267" s="334"/>
      <c r="D267" s="334"/>
      <c r="E267" s="334"/>
      <c r="F267" s="334"/>
      <c r="G267" s="334"/>
      <c r="H267" s="334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/>
      <c r="X267" s="334"/>
      <c r="Y267" s="334"/>
    </row>
    <row r="268" ht="15.75" customHeight="1">
      <c r="A268" s="61"/>
      <c r="B268" s="61"/>
      <c r="C268" s="334"/>
      <c r="D268" s="334"/>
      <c r="E268" s="334"/>
      <c r="F268" s="334"/>
      <c r="G268" s="334"/>
      <c r="H268" s="334"/>
      <c r="I268" s="334"/>
      <c r="J268" s="334"/>
      <c r="K268" s="334"/>
      <c r="L268" s="334"/>
      <c r="M268" s="334"/>
      <c r="N268" s="334"/>
      <c r="O268" s="334"/>
      <c r="P268" s="334"/>
      <c r="Q268" s="334"/>
      <c r="R268" s="334"/>
      <c r="S268" s="334"/>
      <c r="T268" s="334"/>
      <c r="U268" s="334"/>
      <c r="V268" s="334"/>
      <c r="W268" s="334"/>
      <c r="X268" s="334"/>
      <c r="Y268" s="334"/>
    </row>
    <row r="269" ht="15.75" customHeight="1">
      <c r="A269" s="61"/>
      <c r="B269" s="61"/>
      <c r="C269" s="334"/>
      <c r="D269" s="334"/>
      <c r="E269" s="334"/>
      <c r="F269" s="334"/>
      <c r="G269" s="334"/>
      <c r="H269" s="334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/>
      <c r="X269" s="334"/>
      <c r="Y269" s="334"/>
    </row>
    <row r="270" ht="15.75" customHeight="1">
      <c r="A270" s="61"/>
      <c r="B270" s="61"/>
      <c r="C270" s="334"/>
      <c r="D270" s="334"/>
      <c r="E270" s="334"/>
      <c r="F270" s="334"/>
      <c r="G270" s="334"/>
      <c r="H270" s="334"/>
      <c r="I270" s="334"/>
      <c r="J270" s="334"/>
      <c r="K270" s="334"/>
      <c r="L270" s="334"/>
      <c r="M270" s="334"/>
      <c r="N270" s="334"/>
      <c r="O270" s="334"/>
      <c r="P270" s="334"/>
      <c r="Q270" s="334"/>
      <c r="R270" s="334"/>
      <c r="S270" s="334"/>
      <c r="T270" s="334"/>
      <c r="U270" s="334"/>
      <c r="V270" s="334"/>
      <c r="W270" s="334"/>
      <c r="X270" s="334"/>
      <c r="Y270" s="334"/>
    </row>
    <row r="271" ht="15.75" customHeight="1">
      <c r="A271" s="61"/>
      <c r="B271" s="61"/>
      <c r="C271" s="334"/>
      <c r="D271" s="334"/>
      <c r="E271" s="334"/>
      <c r="F271" s="334"/>
      <c r="G271" s="334"/>
      <c r="H271" s="334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/>
      <c r="X271" s="334"/>
      <c r="Y271" s="334"/>
    </row>
    <row r="272" ht="15.75" customHeight="1">
      <c r="A272" s="61"/>
      <c r="B272" s="61"/>
      <c r="C272" s="334"/>
      <c r="D272" s="334"/>
      <c r="E272" s="334"/>
      <c r="F272" s="334"/>
      <c r="G272" s="334"/>
      <c r="H272" s="334"/>
      <c r="I272" s="334"/>
      <c r="J272" s="334"/>
      <c r="K272" s="334"/>
      <c r="L272" s="334"/>
      <c r="M272" s="334"/>
      <c r="N272" s="334"/>
      <c r="O272" s="334"/>
      <c r="P272" s="334"/>
      <c r="Q272" s="334"/>
      <c r="R272" s="334"/>
      <c r="S272" s="334"/>
      <c r="T272" s="334"/>
      <c r="U272" s="334"/>
      <c r="V272" s="334"/>
      <c r="W272" s="334"/>
      <c r="X272" s="334"/>
      <c r="Y272" s="334"/>
    </row>
    <row r="273" ht="15.75" customHeight="1">
      <c r="A273" s="61"/>
      <c r="B273" s="61"/>
      <c r="C273" s="334"/>
      <c r="D273" s="334"/>
      <c r="E273" s="334"/>
      <c r="F273" s="334"/>
      <c r="G273" s="334"/>
      <c r="H273" s="334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/>
      <c r="X273" s="334"/>
      <c r="Y273" s="334"/>
    </row>
    <row r="274" ht="15.75" customHeight="1">
      <c r="A274" s="61"/>
      <c r="B274" s="61"/>
      <c r="C274" s="334"/>
      <c r="D274" s="334"/>
      <c r="E274" s="334"/>
      <c r="F274" s="334"/>
      <c r="G274" s="334"/>
      <c r="H274" s="334"/>
      <c r="I274" s="334"/>
      <c r="J274" s="334"/>
      <c r="K274" s="334"/>
      <c r="L274" s="334"/>
      <c r="M274" s="334"/>
      <c r="N274" s="334"/>
      <c r="O274" s="334"/>
      <c r="P274" s="334"/>
      <c r="Q274" s="334"/>
      <c r="R274" s="334"/>
      <c r="S274" s="334"/>
      <c r="T274" s="334"/>
      <c r="U274" s="334"/>
      <c r="V274" s="334"/>
      <c r="W274" s="334"/>
      <c r="X274" s="334"/>
      <c r="Y274" s="334"/>
    </row>
    <row r="275" ht="15.75" customHeight="1">
      <c r="A275" s="61"/>
      <c r="B275" s="61"/>
      <c r="C275" s="334"/>
      <c r="D275" s="334"/>
      <c r="E275" s="334"/>
      <c r="F275" s="334"/>
      <c r="G275" s="334"/>
      <c r="H275" s="334"/>
      <c r="I275" s="334"/>
      <c r="J275" s="334"/>
      <c r="K275" s="334"/>
      <c r="L275" s="334"/>
      <c r="M275" s="334"/>
      <c r="N275" s="334"/>
      <c r="O275" s="334"/>
      <c r="P275" s="334"/>
      <c r="Q275" s="334"/>
      <c r="R275" s="334"/>
      <c r="S275" s="334"/>
      <c r="T275" s="334"/>
      <c r="U275" s="334"/>
      <c r="V275" s="334"/>
      <c r="W275" s="334"/>
      <c r="X275" s="334"/>
      <c r="Y275" s="334"/>
    </row>
    <row r="276" ht="15.75" customHeight="1">
      <c r="A276" s="61"/>
      <c r="B276" s="61"/>
      <c r="C276" s="334"/>
      <c r="D276" s="334"/>
      <c r="E276" s="334"/>
      <c r="F276" s="334"/>
      <c r="G276" s="334"/>
      <c r="H276" s="334"/>
      <c r="I276" s="334"/>
      <c r="J276" s="334"/>
      <c r="K276" s="334"/>
      <c r="L276" s="334"/>
      <c r="M276" s="334"/>
      <c r="N276" s="334"/>
      <c r="O276" s="334"/>
      <c r="P276" s="334"/>
      <c r="Q276" s="334"/>
      <c r="R276" s="334"/>
      <c r="S276" s="334"/>
      <c r="T276" s="334"/>
      <c r="U276" s="334"/>
      <c r="V276" s="334"/>
      <c r="W276" s="334"/>
      <c r="X276" s="334"/>
      <c r="Y276" s="334"/>
    </row>
    <row r="277" ht="15.75" customHeight="1">
      <c r="A277" s="61"/>
      <c r="B277" s="61"/>
      <c r="C277" s="334"/>
      <c r="D277" s="334"/>
      <c r="E277" s="334"/>
      <c r="F277" s="334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</row>
    <row r="278" ht="15.75" customHeight="1">
      <c r="A278" s="61"/>
      <c r="B278" s="61"/>
      <c r="C278" s="334"/>
      <c r="D278" s="334"/>
      <c r="E278" s="334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</row>
    <row r="279" ht="15.75" customHeight="1">
      <c r="A279" s="61"/>
      <c r="B279" s="61"/>
      <c r="C279" s="334"/>
      <c r="D279" s="334"/>
      <c r="E279" s="334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</row>
    <row r="280" ht="15.75" customHeight="1">
      <c r="A280" s="61"/>
      <c r="B280" s="61"/>
      <c r="C280" s="334"/>
      <c r="D280" s="334"/>
      <c r="E280" s="334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</row>
    <row r="281" ht="15.75" customHeight="1">
      <c r="A281" s="61"/>
      <c r="B281" s="61"/>
      <c r="C281" s="334"/>
      <c r="D281" s="334"/>
      <c r="E281" s="334"/>
      <c r="F281" s="334"/>
      <c r="G281" s="334"/>
      <c r="H281" s="334"/>
      <c r="I281" s="334"/>
      <c r="J281" s="334"/>
      <c r="K281" s="334"/>
      <c r="L281" s="334"/>
      <c r="M281" s="334"/>
      <c r="N281" s="334"/>
      <c r="O281" s="334"/>
      <c r="P281" s="334"/>
      <c r="Q281" s="334"/>
      <c r="R281" s="334"/>
      <c r="S281" s="334"/>
      <c r="T281" s="334"/>
      <c r="U281" s="334"/>
      <c r="V281" s="334"/>
      <c r="W281" s="334"/>
      <c r="X281" s="334"/>
      <c r="Y281" s="334"/>
    </row>
    <row r="282" ht="15.75" customHeight="1">
      <c r="A282" s="61"/>
      <c r="B282" s="61"/>
      <c r="C282" s="334"/>
      <c r="D282" s="334"/>
      <c r="E282" s="334"/>
      <c r="F282" s="334"/>
      <c r="G282" s="334"/>
      <c r="H282" s="334"/>
      <c r="I282" s="334"/>
      <c r="J282" s="334"/>
      <c r="K282" s="334"/>
      <c r="L282" s="334"/>
      <c r="M282" s="334"/>
      <c r="N282" s="334"/>
      <c r="O282" s="334"/>
      <c r="P282" s="334"/>
      <c r="Q282" s="334"/>
      <c r="R282" s="334"/>
      <c r="S282" s="334"/>
      <c r="T282" s="334"/>
      <c r="U282" s="334"/>
      <c r="V282" s="334"/>
      <c r="W282" s="334"/>
      <c r="X282" s="334"/>
      <c r="Y282" s="334"/>
    </row>
    <row r="283" ht="15.75" customHeight="1">
      <c r="A283" s="61"/>
      <c r="B283" s="61"/>
      <c r="C283" s="334"/>
      <c r="D283" s="334"/>
      <c r="E283" s="334"/>
      <c r="F283" s="334"/>
      <c r="G283" s="334"/>
      <c r="H283" s="334"/>
      <c r="I283" s="334"/>
      <c r="J283" s="334"/>
      <c r="K283" s="334"/>
      <c r="L283" s="334"/>
      <c r="M283" s="334"/>
      <c r="N283" s="334"/>
      <c r="O283" s="334"/>
      <c r="P283" s="334"/>
      <c r="Q283" s="334"/>
      <c r="R283" s="334"/>
      <c r="S283" s="334"/>
      <c r="T283" s="334"/>
      <c r="U283" s="334"/>
      <c r="V283" s="334"/>
      <c r="W283" s="334"/>
      <c r="X283" s="334"/>
      <c r="Y283" s="334"/>
    </row>
    <row r="284" ht="15.75" customHeight="1">
      <c r="A284" s="61"/>
      <c r="B284" s="61"/>
      <c r="C284" s="334"/>
      <c r="D284" s="334"/>
      <c r="E284" s="334"/>
      <c r="F284" s="334"/>
      <c r="G284" s="334"/>
      <c r="H284" s="334"/>
      <c r="I284" s="334"/>
      <c r="J284" s="334"/>
      <c r="K284" s="334"/>
      <c r="L284" s="334"/>
      <c r="M284" s="334"/>
      <c r="N284" s="334"/>
      <c r="O284" s="334"/>
      <c r="P284" s="334"/>
      <c r="Q284" s="334"/>
      <c r="R284" s="334"/>
      <c r="S284" s="334"/>
      <c r="T284" s="334"/>
      <c r="U284" s="334"/>
      <c r="V284" s="334"/>
      <c r="W284" s="334"/>
      <c r="X284" s="334"/>
      <c r="Y284" s="334"/>
    </row>
    <row r="285" ht="15.75" customHeight="1">
      <c r="A285" s="61"/>
      <c r="B285" s="61"/>
      <c r="C285" s="334"/>
      <c r="D285" s="334"/>
      <c r="E285" s="334"/>
      <c r="F285" s="334"/>
      <c r="G285" s="334"/>
      <c r="H285" s="334"/>
      <c r="I285" s="334"/>
      <c r="J285" s="334"/>
      <c r="K285" s="334"/>
      <c r="L285" s="334"/>
      <c r="M285" s="334"/>
      <c r="N285" s="334"/>
      <c r="O285" s="334"/>
      <c r="P285" s="334"/>
      <c r="Q285" s="334"/>
      <c r="R285" s="334"/>
      <c r="S285" s="334"/>
      <c r="T285" s="334"/>
      <c r="U285" s="334"/>
      <c r="V285" s="334"/>
      <c r="W285" s="334"/>
      <c r="X285" s="334"/>
      <c r="Y285" s="334"/>
    </row>
    <row r="286" ht="15.75" customHeight="1">
      <c r="A286" s="61"/>
      <c r="B286" s="61"/>
      <c r="C286" s="334"/>
      <c r="D286" s="334"/>
      <c r="E286" s="334"/>
      <c r="F286" s="334"/>
      <c r="G286" s="334"/>
      <c r="H286" s="334"/>
      <c r="I286" s="334"/>
      <c r="J286" s="334"/>
      <c r="K286" s="334"/>
      <c r="L286" s="334"/>
      <c r="M286" s="334"/>
      <c r="N286" s="334"/>
      <c r="O286" s="334"/>
      <c r="P286" s="334"/>
      <c r="Q286" s="334"/>
      <c r="R286" s="334"/>
      <c r="S286" s="334"/>
      <c r="T286" s="334"/>
      <c r="U286" s="334"/>
      <c r="V286" s="334"/>
      <c r="W286" s="334"/>
      <c r="X286" s="334"/>
      <c r="Y286" s="334"/>
    </row>
    <row r="287" ht="15.75" customHeight="1">
      <c r="A287" s="61"/>
      <c r="B287" s="61"/>
      <c r="C287" s="334"/>
      <c r="D287" s="334"/>
      <c r="E287" s="334"/>
      <c r="F287" s="334"/>
      <c r="G287" s="334"/>
      <c r="H287" s="334"/>
      <c r="I287" s="334"/>
      <c r="J287" s="334"/>
      <c r="K287" s="334"/>
      <c r="L287" s="334"/>
      <c r="M287" s="334"/>
      <c r="N287" s="334"/>
      <c r="O287" s="334"/>
      <c r="P287" s="334"/>
      <c r="Q287" s="334"/>
      <c r="R287" s="334"/>
      <c r="S287" s="334"/>
      <c r="T287" s="334"/>
      <c r="U287" s="334"/>
      <c r="V287" s="334"/>
      <c r="W287" s="334"/>
      <c r="X287" s="334"/>
      <c r="Y287" s="334"/>
    </row>
    <row r="288" ht="15.75" customHeight="1">
      <c r="A288" s="61"/>
      <c r="B288" s="61"/>
      <c r="C288" s="334"/>
      <c r="D288" s="334"/>
      <c r="E288" s="334"/>
      <c r="F288" s="334"/>
      <c r="G288" s="334"/>
      <c r="H288" s="334"/>
      <c r="I288" s="334"/>
      <c r="J288" s="334"/>
      <c r="K288" s="334"/>
      <c r="L288" s="334"/>
      <c r="M288" s="334"/>
      <c r="N288" s="334"/>
      <c r="O288" s="334"/>
      <c r="P288" s="334"/>
      <c r="Q288" s="334"/>
      <c r="R288" s="334"/>
      <c r="S288" s="334"/>
      <c r="T288" s="334"/>
      <c r="U288" s="334"/>
      <c r="V288" s="334"/>
      <c r="W288" s="334"/>
      <c r="X288" s="334"/>
      <c r="Y288" s="334"/>
    </row>
    <row r="289" ht="15.75" customHeight="1">
      <c r="A289" s="61"/>
      <c r="B289" s="61"/>
      <c r="C289" s="334"/>
      <c r="D289" s="334"/>
      <c r="E289" s="334"/>
      <c r="F289" s="334"/>
      <c r="G289" s="334"/>
      <c r="H289" s="334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</row>
    <row r="290" ht="15.75" customHeight="1">
      <c r="A290" s="61"/>
      <c r="B290" s="61"/>
      <c r="C290" s="334"/>
      <c r="D290" s="334"/>
      <c r="E290" s="334"/>
      <c r="F290" s="334"/>
      <c r="G290" s="334"/>
      <c r="H290" s="334"/>
      <c r="I290" s="334"/>
      <c r="J290" s="334"/>
      <c r="K290" s="334"/>
      <c r="L290" s="334"/>
      <c r="M290" s="334"/>
      <c r="N290" s="334"/>
      <c r="O290" s="334"/>
      <c r="P290" s="334"/>
      <c r="Q290" s="334"/>
      <c r="R290" s="334"/>
      <c r="S290" s="334"/>
      <c r="T290" s="334"/>
      <c r="U290" s="334"/>
      <c r="V290" s="334"/>
      <c r="W290" s="334"/>
      <c r="X290" s="334"/>
      <c r="Y290" s="334"/>
    </row>
    <row r="291" ht="15.75" customHeight="1">
      <c r="A291" s="61"/>
      <c r="B291" s="61"/>
      <c r="C291" s="334"/>
      <c r="D291" s="334"/>
      <c r="E291" s="334"/>
      <c r="F291" s="334"/>
      <c r="G291" s="334"/>
      <c r="H291" s="334"/>
      <c r="I291" s="334"/>
      <c r="J291" s="334"/>
      <c r="K291" s="334"/>
      <c r="L291" s="334"/>
      <c r="M291" s="334"/>
      <c r="N291" s="334"/>
      <c r="O291" s="334"/>
      <c r="P291" s="334"/>
      <c r="Q291" s="334"/>
      <c r="R291" s="334"/>
      <c r="S291" s="334"/>
      <c r="T291" s="334"/>
      <c r="U291" s="334"/>
      <c r="V291" s="334"/>
      <c r="W291" s="334"/>
      <c r="X291" s="334"/>
      <c r="Y291" s="334"/>
    </row>
    <row r="292" ht="15.75" customHeight="1">
      <c r="A292" s="61"/>
      <c r="B292" s="61"/>
      <c r="C292" s="334"/>
      <c r="D292" s="334"/>
      <c r="E292" s="334"/>
      <c r="F292" s="334"/>
      <c r="G292" s="334"/>
      <c r="H292" s="334"/>
      <c r="I292" s="334"/>
      <c r="J292" s="334"/>
      <c r="K292" s="334"/>
      <c r="L292" s="334"/>
      <c r="M292" s="334"/>
      <c r="N292" s="334"/>
      <c r="O292" s="334"/>
      <c r="P292" s="334"/>
      <c r="Q292" s="334"/>
      <c r="R292" s="334"/>
      <c r="S292" s="334"/>
      <c r="T292" s="334"/>
      <c r="U292" s="334"/>
      <c r="V292" s="334"/>
      <c r="W292" s="334"/>
      <c r="X292" s="334"/>
      <c r="Y292" s="334"/>
    </row>
    <row r="293" ht="15.75" customHeight="1">
      <c r="A293" s="61"/>
      <c r="B293" s="61"/>
      <c r="C293" s="334"/>
      <c r="D293" s="334"/>
      <c r="E293" s="334"/>
      <c r="F293" s="334"/>
      <c r="G293" s="334"/>
      <c r="H293" s="334"/>
      <c r="I293" s="334"/>
      <c r="J293" s="334"/>
      <c r="K293" s="334"/>
      <c r="L293" s="334"/>
      <c r="M293" s="334"/>
      <c r="N293" s="334"/>
      <c r="O293" s="334"/>
      <c r="P293" s="334"/>
      <c r="Q293" s="334"/>
      <c r="R293" s="334"/>
      <c r="S293" s="334"/>
      <c r="T293" s="334"/>
      <c r="U293" s="334"/>
      <c r="V293" s="334"/>
      <c r="W293" s="334"/>
      <c r="X293" s="334"/>
      <c r="Y293" s="334"/>
    </row>
    <row r="294" ht="15.75" customHeight="1">
      <c r="A294" s="61"/>
      <c r="B294" s="61"/>
      <c r="C294" s="334"/>
      <c r="D294" s="334"/>
      <c r="E294" s="334"/>
      <c r="F294" s="334"/>
      <c r="G294" s="334"/>
      <c r="H294" s="334"/>
      <c r="I294" s="334"/>
      <c r="J294" s="334"/>
      <c r="K294" s="334"/>
      <c r="L294" s="334"/>
      <c r="M294" s="334"/>
      <c r="N294" s="334"/>
      <c r="O294" s="334"/>
      <c r="P294" s="334"/>
      <c r="Q294" s="334"/>
      <c r="R294" s="334"/>
      <c r="S294" s="334"/>
      <c r="T294" s="334"/>
      <c r="U294" s="334"/>
      <c r="V294" s="334"/>
      <c r="W294" s="334"/>
      <c r="X294" s="334"/>
      <c r="Y294" s="334"/>
    </row>
    <row r="295" ht="15.75" customHeight="1">
      <c r="A295" s="61"/>
      <c r="B295" s="61"/>
      <c r="C295" s="334"/>
      <c r="D295" s="334"/>
      <c r="E295" s="334"/>
      <c r="F295" s="334"/>
      <c r="G295" s="334"/>
      <c r="H295" s="334"/>
      <c r="I295" s="334"/>
      <c r="J295" s="334"/>
      <c r="K295" s="334"/>
      <c r="L295" s="334"/>
      <c r="M295" s="334"/>
      <c r="N295" s="334"/>
      <c r="O295" s="334"/>
      <c r="P295" s="334"/>
      <c r="Q295" s="334"/>
      <c r="R295" s="334"/>
      <c r="S295" s="334"/>
      <c r="T295" s="334"/>
      <c r="U295" s="334"/>
      <c r="V295" s="334"/>
      <c r="W295" s="334"/>
      <c r="X295" s="334"/>
      <c r="Y295" s="334"/>
    </row>
    <row r="296" ht="15.75" customHeight="1">
      <c r="A296" s="61"/>
      <c r="B296" s="61"/>
      <c r="C296" s="334"/>
      <c r="D296" s="334"/>
      <c r="E296" s="334"/>
      <c r="F296" s="334"/>
      <c r="G296" s="334"/>
      <c r="H296" s="334"/>
      <c r="I296" s="334"/>
      <c r="J296" s="334"/>
      <c r="K296" s="334"/>
      <c r="L296" s="334"/>
      <c r="M296" s="334"/>
      <c r="N296" s="334"/>
      <c r="O296" s="334"/>
      <c r="P296" s="334"/>
      <c r="Q296" s="334"/>
      <c r="R296" s="334"/>
      <c r="S296" s="334"/>
      <c r="T296" s="334"/>
      <c r="U296" s="334"/>
      <c r="V296" s="334"/>
      <c r="W296" s="334"/>
      <c r="X296" s="334"/>
      <c r="Y296" s="334"/>
    </row>
    <row r="297" ht="15.75" customHeight="1">
      <c r="A297" s="61"/>
      <c r="B297" s="61"/>
      <c r="C297" s="334"/>
      <c r="D297" s="334"/>
      <c r="E297" s="334"/>
      <c r="F297" s="334"/>
      <c r="G297" s="334"/>
      <c r="H297" s="334"/>
      <c r="I297" s="334"/>
      <c r="J297" s="334"/>
      <c r="K297" s="334"/>
      <c r="L297" s="334"/>
      <c r="M297" s="334"/>
      <c r="N297" s="334"/>
      <c r="O297" s="334"/>
      <c r="P297" s="334"/>
      <c r="Q297" s="334"/>
      <c r="R297" s="334"/>
      <c r="S297" s="334"/>
      <c r="T297" s="334"/>
      <c r="U297" s="334"/>
      <c r="V297" s="334"/>
      <c r="W297" s="334"/>
      <c r="X297" s="334"/>
      <c r="Y297" s="334"/>
    </row>
    <row r="298" ht="15.75" customHeight="1">
      <c r="A298" s="61"/>
      <c r="B298" s="61"/>
      <c r="C298" s="334"/>
      <c r="D298" s="334"/>
      <c r="E298" s="334"/>
      <c r="F298" s="334"/>
      <c r="G298" s="334"/>
      <c r="H298" s="334"/>
      <c r="I298" s="334"/>
      <c r="J298" s="334"/>
      <c r="K298" s="334"/>
      <c r="L298" s="334"/>
      <c r="M298" s="334"/>
      <c r="N298" s="334"/>
      <c r="O298" s="334"/>
      <c r="P298" s="334"/>
      <c r="Q298" s="334"/>
      <c r="R298" s="334"/>
      <c r="S298" s="334"/>
      <c r="T298" s="334"/>
      <c r="U298" s="334"/>
      <c r="V298" s="334"/>
      <c r="W298" s="334"/>
      <c r="X298" s="334"/>
      <c r="Y298" s="334"/>
    </row>
    <row r="299" ht="15.75" customHeight="1">
      <c r="A299" s="61"/>
      <c r="B299" s="61"/>
      <c r="C299" s="334"/>
      <c r="D299" s="334"/>
      <c r="E299" s="334"/>
      <c r="F299" s="334"/>
      <c r="G299" s="334"/>
      <c r="H299" s="334"/>
      <c r="I299" s="334"/>
      <c r="J299" s="334"/>
      <c r="K299" s="334"/>
      <c r="L299" s="334"/>
      <c r="M299" s="334"/>
      <c r="N299" s="334"/>
      <c r="O299" s="334"/>
      <c r="P299" s="334"/>
      <c r="Q299" s="334"/>
      <c r="R299" s="334"/>
      <c r="S299" s="334"/>
      <c r="T299" s="334"/>
      <c r="U299" s="334"/>
      <c r="V299" s="334"/>
      <c r="W299" s="334"/>
      <c r="X299" s="334"/>
      <c r="Y299" s="334"/>
    </row>
    <row r="300" ht="15.75" customHeight="1">
      <c r="A300" s="61"/>
      <c r="B300" s="61"/>
      <c r="C300" s="334"/>
      <c r="D300" s="334"/>
      <c r="E300" s="334"/>
      <c r="F300" s="334"/>
      <c r="G300" s="334"/>
      <c r="H300" s="334"/>
      <c r="I300" s="334"/>
      <c r="J300" s="334"/>
      <c r="K300" s="334"/>
      <c r="L300" s="334"/>
      <c r="M300" s="334"/>
      <c r="N300" s="334"/>
      <c r="O300" s="334"/>
      <c r="P300" s="334"/>
      <c r="Q300" s="334"/>
      <c r="R300" s="334"/>
      <c r="S300" s="334"/>
      <c r="T300" s="334"/>
      <c r="U300" s="334"/>
      <c r="V300" s="334"/>
      <c r="W300" s="334"/>
      <c r="X300" s="334"/>
      <c r="Y300" s="334"/>
    </row>
    <row r="301" ht="15.75" customHeight="1">
      <c r="A301" s="61"/>
      <c r="B301" s="61"/>
      <c r="C301" s="334"/>
      <c r="D301" s="334"/>
      <c r="E301" s="334"/>
      <c r="F301" s="334"/>
      <c r="G301" s="334"/>
      <c r="H301" s="334"/>
      <c r="I301" s="334"/>
      <c r="J301" s="334"/>
      <c r="K301" s="334"/>
      <c r="L301" s="334"/>
      <c r="M301" s="334"/>
      <c r="N301" s="334"/>
      <c r="O301" s="334"/>
      <c r="P301" s="334"/>
      <c r="Q301" s="334"/>
      <c r="R301" s="334"/>
      <c r="S301" s="334"/>
      <c r="T301" s="334"/>
      <c r="U301" s="334"/>
      <c r="V301" s="334"/>
      <c r="W301" s="334"/>
      <c r="X301" s="334"/>
      <c r="Y301" s="334"/>
    </row>
    <row r="302" ht="15.75" customHeight="1">
      <c r="A302" s="61"/>
      <c r="B302" s="61"/>
      <c r="C302" s="334"/>
      <c r="D302" s="334"/>
      <c r="E302" s="334"/>
      <c r="F302" s="334"/>
      <c r="G302" s="334"/>
      <c r="H302" s="334"/>
      <c r="I302" s="334"/>
      <c r="J302" s="334"/>
      <c r="K302" s="334"/>
      <c r="L302" s="334"/>
      <c r="M302" s="334"/>
      <c r="N302" s="334"/>
      <c r="O302" s="334"/>
      <c r="P302" s="334"/>
      <c r="Q302" s="334"/>
      <c r="R302" s="334"/>
      <c r="S302" s="334"/>
      <c r="T302" s="334"/>
      <c r="U302" s="334"/>
      <c r="V302" s="334"/>
      <c r="W302" s="334"/>
      <c r="X302" s="334"/>
      <c r="Y302" s="334"/>
    </row>
    <row r="303" ht="15.75" customHeight="1">
      <c r="A303" s="61"/>
      <c r="B303" s="61"/>
      <c r="C303" s="334"/>
      <c r="D303" s="334"/>
      <c r="E303" s="334"/>
      <c r="F303" s="334"/>
      <c r="G303" s="334"/>
      <c r="H303" s="334"/>
      <c r="I303" s="334"/>
      <c r="J303" s="334"/>
      <c r="K303" s="334"/>
      <c r="L303" s="334"/>
      <c r="M303" s="334"/>
      <c r="N303" s="334"/>
      <c r="O303" s="334"/>
      <c r="P303" s="334"/>
      <c r="Q303" s="334"/>
      <c r="R303" s="334"/>
      <c r="S303" s="334"/>
      <c r="T303" s="334"/>
      <c r="U303" s="334"/>
      <c r="V303" s="334"/>
      <c r="W303" s="334"/>
      <c r="X303" s="334"/>
      <c r="Y303" s="334"/>
    </row>
    <row r="304" ht="15.75" customHeight="1">
      <c r="B304" s="411"/>
    </row>
    <row r="305" ht="15.75" customHeight="1">
      <c r="B305" s="411"/>
    </row>
    <row r="306" ht="15.75" customHeight="1">
      <c r="B306" s="411"/>
    </row>
    <row r="307" ht="15.75" customHeight="1">
      <c r="B307" s="411"/>
    </row>
    <row r="308" ht="15.75" customHeight="1">
      <c r="B308" s="411"/>
    </row>
    <row r="309" ht="15.75" customHeight="1">
      <c r="B309" s="411"/>
    </row>
    <row r="310" ht="15.75" customHeight="1">
      <c r="B310" s="411"/>
    </row>
    <row r="311" ht="15.75" customHeight="1">
      <c r="B311" s="411"/>
    </row>
    <row r="312" ht="15.75" customHeight="1">
      <c r="B312" s="411"/>
    </row>
    <row r="313" ht="15.75" customHeight="1">
      <c r="B313" s="411"/>
    </row>
    <row r="314" ht="15.75" customHeight="1">
      <c r="B314" s="411"/>
    </row>
    <row r="315" ht="15.75" customHeight="1">
      <c r="B315" s="411"/>
    </row>
    <row r="316" ht="15.75" customHeight="1">
      <c r="B316" s="411"/>
    </row>
    <row r="317" ht="15.75" customHeight="1">
      <c r="B317" s="411"/>
    </row>
    <row r="318" ht="15.75" customHeight="1">
      <c r="B318" s="411"/>
    </row>
    <row r="319" ht="15.75" customHeight="1">
      <c r="B319" s="411"/>
    </row>
    <row r="320" ht="15.75" customHeight="1">
      <c r="B320" s="411"/>
    </row>
    <row r="321" ht="15.75" customHeight="1">
      <c r="B321" s="411"/>
    </row>
    <row r="322" ht="15.75" customHeight="1">
      <c r="B322" s="411"/>
    </row>
    <row r="323" ht="15.75" customHeight="1">
      <c r="B323" s="411"/>
    </row>
    <row r="324" ht="15.75" customHeight="1">
      <c r="B324" s="411"/>
    </row>
    <row r="325" ht="15.75" customHeight="1">
      <c r="B325" s="411"/>
    </row>
    <row r="326" ht="15.75" customHeight="1">
      <c r="B326" s="411"/>
    </row>
    <row r="327" ht="15.75" customHeight="1">
      <c r="B327" s="411"/>
    </row>
    <row r="328" ht="15.75" customHeight="1">
      <c r="B328" s="411"/>
    </row>
    <row r="329" ht="15.75" customHeight="1">
      <c r="B329" s="411"/>
    </row>
    <row r="330" ht="15.75" customHeight="1">
      <c r="B330" s="411"/>
    </row>
    <row r="331" ht="15.75" customHeight="1">
      <c r="B331" s="411"/>
    </row>
    <row r="332" ht="15.75" customHeight="1">
      <c r="B332" s="411"/>
    </row>
    <row r="333" ht="15.75" customHeight="1">
      <c r="B333" s="411"/>
    </row>
    <row r="334" ht="15.75" customHeight="1">
      <c r="B334" s="411"/>
    </row>
    <row r="335" ht="15.75" customHeight="1">
      <c r="B335" s="411"/>
    </row>
    <row r="336" ht="15.75" customHeight="1">
      <c r="B336" s="411"/>
    </row>
    <row r="337" ht="15.75" customHeight="1">
      <c r="B337" s="411"/>
    </row>
    <row r="338" ht="15.75" customHeight="1">
      <c r="B338" s="411"/>
    </row>
    <row r="339" ht="15.75" customHeight="1">
      <c r="B339" s="411"/>
    </row>
    <row r="340" ht="15.75" customHeight="1">
      <c r="B340" s="411"/>
    </row>
    <row r="341" ht="15.75" customHeight="1">
      <c r="B341" s="411"/>
    </row>
    <row r="342" ht="15.75" customHeight="1">
      <c r="B342" s="411"/>
    </row>
    <row r="343" ht="15.75" customHeight="1">
      <c r="B343" s="411"/>
    </row>
    <row r="344" ht="15.75" customHeight="1">
      <c r="B344" s="411"/>
    </row>
    <row r="345" ht="15.75" customHeight="1">
      <c r="B345" s="411"/>
    </row>
    <row r="346" ht="15.75" customHeight="1">
      <c r="B346" s="411"/>
    </row>
    <row r="347" ht="15.75" customHeight="1">
      <c r="B347" s="411"/>
    </row>
    <row r="348" ht="15.75" customHeight="1">
      <c r="B348" s="411"/>
    </row>
    <row r="349" ht="15.75" customHeight="1">
      <c r="B349" s="411"/>
    </row>
    <row r="350" ht="15.75" customHeight="1">
      <c r="B350" s="411"/>
    </row>
    <row r="351" ht="15.75" customHeight="1">
      <c r="B351" s="411"/>
    </row>
    <row r="352" ht="15.75" customHeight="1">
      <c r="B352" s="411"/>
    </row>
    <row r="353" ht="15.75" customHeight="1">
      <c r="B353" s="411"/>
    </row>
    <row r="354" ht="15.75" customHeight="1">
      <c r="B354" s="411"/>
    </row>
    <row r="355" ht="15.75" customHeight="1">
      <c r="B355" s="411"/>
    </row>
    <row r="356" ht="15.75" customHeight="1">
      <c r="B356" s="411"/>
    </row>
    <row r="357" ht="15.75" customHeight="1">
      <c r="B357" s="411"/>
    </row>
    <row r="358" ht="15.75" customHeight="1">
      <c r="B358" s="411"/>
    </row>
    <row r="359" ht="15.75" customHeight="1">
      <c r="B359" s="411"/>
    </row>
    <row r="360" ht="15.75" customHeight="1">
      <c r="B360" s="411"/>
    </row>
    <row r="361" ht="15.75" customHeight="1">
      <c r="B361" s="411"/>
    </row>
    <row r="362" ht="15.75" customHeight="1">
      <c r="B362" s="411"/>
    </row>
    <row r="363" ht="15.75" customHeight="1">
      <c r="B363" s="411"/>
    </row>
    <row r="364" ht="15.75" customHeight="1">
      <c r="B364" s="411"/>
    </row>
    <row r="365" ht="15.75" customHeight="1">
      <c r="B365" s="411"/>
    </row>
    <row r="366" ht="15.75" customHeight="1">
      <c r="B366" s="411"/>
    </row>
    <row r="367" ht="15.75" customHeight="1">
      <c r="B367" s="411"/>
    </row>
    <row r="368" ht="15.75" customHeight="1">
      <c r="B368" s="411"/>
    </row>
    <row r="369" ht="15.75" customHeight="1">
      <c r="B369" s="411"/>
    </row>
    <row r="370" ht="15.75" customHeight="1">
      <c r="B370" s="411"/>
    </row>
    <row r="371" ht="15.75" customHeight="1">
      <c r="B371" s="411"/>
    </row>
    <row r="372" ht="15.75" customHeight="1">
      <c r="B372" s="411"/>
    </row>
    <row r="373" ht="15.75" customHeight="1">
      <c r="B373" s="411"/>
    </row>
    <row r="374" ht="15.75" customHeight="1">
      <c r="B374" s="411"/>
    </row>
    <row r="375" ht="15.75" customHeight="1">
      <c r="B375" s="411"/>
    </row>
    <row r="376" ht="15.75" customHeight="1">
      <c r="B376" s="411"/>
    </row>
    <row r="377" ht="15.75" customHeight="1">
      <c r="B377" s="411"/>
    </row>
    <row r="378" ht="15.75" customHeight="1">
      <c r="B378" s="411"/>
    </row>
    <row r="379" ht="15.75" customHeight="1">
      <c r="B379" s="411"/>
    </row>
    <row r="380" ht="15.75" customHeight="1">
      <c r="B380" s="411"/>
    </row>
    <row r="381" ht="15.75" customHeight="1">
      <c r="B381" s="411"/>
    </row>
    <row r="382" ht="15.75" customHeight="1">
      <c r="B382" s="411"/>
    </row>
    <row r="383" ht="15.75" customHeight="1">
      <c r="B383" s="411"/>
    </row>
    <row r="384" ht="15.75" customHeight="1">
      <c r="B384" s="411"/>
    </row>
    <row r="385" ht="15.75" customHeight="1">
      <c r="B385" s="411"/>
    </row>
    <row r="386" ht="15.75" customHeight="1">
      <c r="B386" s="411"/>
    </row>
    <row r="387" ht="15.75" customHeight="1">
      <c r="B387" s="411"/>
    </row>
    <row r="388" ht="15.75" customHeight="1">
      <c r="B388" s="411"/>
    </row>
    <row r="389" ht="15.75" customHeight="1">
      <c r="B389" s="411"/>
    </row>
    <row r="390" ht="15.75" customHeight="1">
      <c r="B390" s="411"/>
    </row>
    <row r="391" ht="15.75" customHeight="1">
      <c r="B391" s="411"/>
    </row>
    <row r="392" ht="15.75" customHeight="1">
      <c r="B392" s="411"/>
    </row>
    <row r="393" ht="15.75" customHeight="1">
      <c r="B393" s="411"/>
    </row>
    <row r="394" ht="15.75" customHeight="1">
      <c r="B394" s="411"/>
    </row>
    <row r="395" ht="15.75" customHeight="1">
      <c r="B395" s="411"/>
    </row>
    <row r="396" ht="15.75" customHeight="1">
      <c r="B396" s="411"/>
    </row>
    <row r="397" ht="15.75" customHeight="1">
      <c r="B397" s="411"/>
    </row>
    <row r="398" ht="15.75" customHeight="1">
      <c r="B398" s="411"/>
    </row>
    <row r="399" ht="15.75" customHeight="1">
      <c r="B399" s="411"/>
    </row>
    <row r="400" ht="15.75" customHeight="1">
      <c r="B400" s="411"/>
    </row>
    <row r="401" ht="15.75" customHeight="1">
      <c r="B401" s="411"/>
    </row>
    <row r="402" ht="15.75" customHeight="1">
      <c r="B402" s="411"/>
    </row>
    <row r="403" ht="15.75" customHeight="1">
      <c r="B403" s="411"/>
    </row>
    <row r="404" ht="15.75" customHeight="1">
      <c r="B404" s="411"/>
    </row>
    <row r="405" ht="15.75" customHeight="1">
      <c r="B405" s="411"/>
    </row>
    <row r="406" ht="15.75" customHeight="1">
      <c r="B406" s="411"/>
    </row>
    <row r="407" ht="15.75" customHeight="1">
      <c r="B407" s="411"/>
    </row>
    <row r="408" ht="15.75" customHeight="1">
      <c r="B408" s="411"/>
    </row>
    <row r="409" ht="15.75" customHeight="1">
      <c r="B409" s="411"/>
    </row>
    <row r="410" ht="15.75" customHeight="1">
      <c r="B410" s="411"/>
    </row>
    <row r="411" ht="15.75" customHeight="1">
      <c r="B411" s="411"/>
    </row>
    <row r="412" ht="15.75" customHeight="1">
      <c r="B412" s="411"/>
    </row>
    <row r="413" ht="15.75" customHeight="1">
      <c r="B413" s="411"/>
    </row>
    <row r="414" ht="15.75" customHeight="1">
      <c r="B414" s="411"/>
    </row>
    <row r="415" ht="15.75" customHeight="1">
      <c r="B415" s="411"/>
    </row>
    <row r="416" ht="15.75" customHeight="1">
      <c r="B416" s="411"/>
    </row>
    <row r="417" ht="15.75" customHeight="1">
      <c r="B417" s="411"/>
    </row>
    <row r="418" ht="15.75" customHeight="1">
      <c r="B418" s="411"/>
    </row>
    <row r="419" ht="15.75" customHeight="1">
      <c r="B419" s="411"/>
    </row>
    <row r="420" ht="15.75" customHeight="1">
      <c r="B420" s="411"/>
    </row>
    <row r="421" ht="15.75" customHeight="1">
      <c r="B421" s="411"/>
    </row>
    <row r="422" ht="15.75" customHeight="1">
      <c r="B422" s="411"/>
    </row>
    <row r="423" ht="15.75" customHeight="1">
      <c r="B423" s="411"/>
    </row>
    <row r="424" ht="15.75" customHeight="1">
      <c r="B424" s="411"/>
    </row>
    <row r="425" ht="15.75" customHeight="1">
      <c r="B425" s="411"/>
    </row>
    <row r="426" ht="15.75" customHeight="1">
      <c r="B426" s="411"/>
    </row>
    <row r="427" ht="15.75" customHeight="1">
      <c r="B427" s="411"/>
    </row>
    <row r="428" ht="15.75" customHeight="1">
      <c r="B428" s="411"/>
    </row>
    <row r="429" ht="15.75" customHeight="1">
      <c r="B429" s="411"/>
    </row>
    <row r="430" ht="15.75" customHeight="1">
      <c r="B430" s="411"/>
    </row>
    <row r="431" ht="15.75" customHeight="1">
      <c r="B431" s="411"/>
    </row>
    <row r="432" ht="15.75" customHeight="1">
      <c r="B432" s="411"/>
    </row>
    <row r="433" ht="15.75" customHeight="1">
      <c r="B433" s="411"/>
    </row>
    <row r="434" ht="15.75" customHeight="1">
      <c r="B434" s="411"/>
    </row>
    <row r="435" ht="15.75" customHeight="1">
      <c r="B435" s="411"/>
    </row>
    <row r="436" ht="15.75" customHeight="1">
      <c r="B436" s="411"/>
    </row>
    <row r="437" ht="15.75" customHeight="1">
      <c r="B437" s="411"/>
    </row>
    <row r="438" ht="15.75" customHeight="1">
      <c r="B438" s="411"/>
    </row>
    <row r="439" ht="15.75" customHeight="1">
      <c r="B439" s="411"/>
    </row>
    <row r="440" ht="15.75" customHeight="1">
      <c r="B440" s="411"/>
    </row>
    <row r="441" ht="15.75" customHeight="1">
      <c r="B441" s="411"/>
    </row>
    <row r="442" ht="15.75" customHeight="1">
      <c r="B442" s="411"/>
    </row>
    <row r="443" ht="15.75" customHeight="1">
      <c r="B443" s="411"/>
    </row>
    <row r="444" ht="15.75" customHeight="1">
      <c r="B444" s="411"/>
    </row>
    <row r="445" ht="15.75" customHeight="1">
      <c r="B445" s="411"/>
    </row>
    <row r="446" ht="15.75" customHeight="1">
      <c r="B446" s="411"/>
    </row>
    <row r="447" ht="15.75" customHeight="1">
      <c r="B447" s="411"/>
    </row>
    <row r="448" ht="15.75" customHeight="1">
      <c r="B448" s="411"/>
    </row>
    <row r="449" ht="15.75" customHeight="1">
      <c r="B449" s="411"/>
    </row>
    <row r="450" ht="15.75" customHeight="1">
      <c r="B450" s="411"/>
    </row>
    <row r="451" ht="15.75" customHeight="1">
      <c r="B451" s="411"/>
    </row>
    <row r="452" ht="15.75" customHeight="1">
      <c r="B452" s="411"/>
    </row>
    <row r="453" ht="15.75" customHeight="1">
      <c r="B453" s="411"/>
    </row>
    <row r="454" ht="15.75" customHeight="1">
      <c r="B454" s="411"/>
    </row>
    <row r="455" ht="15.75" customHeight="1">
      <c r="B455" s="411"/>
    </row>
    <row r="456" ht="15.75" customHeight="1">
      <c r="B456" s="411"/>
    </row>
    <row r="457" ht="15.75" customHeight="1">
      <c r="B457" s="411"/>
    </row>
    <row r="458" ht="15.75" customHeight="1">
      <c r="B458" s="411"/>
    </row>
    <row r="459" ht="15.75" customHeight="1">
      <c r="B459" s="411"/>
    </row>
    <row r="460" ht="15.75" customHeight="1">
      <c r="B460" s="411"/>
    </row>
    <row r="461" ht="15.75" customHeight="1">
      <c r="B461" s="411"/>
    </row>
    <row r="462" ht="15.75" customHeight="1">
      <c r="B462" s="411"/>
    </row>
    <row r="463" ht="15.75" customHeight="1">
      <c r="B463" s="411"/>
    </row>
    <row r="464" ht="15.75" customHeight="1">
      <c r="B464" s="411"/>
    </row>
    <row r="465" ht="15.75" customHeight="1">
      <c r="B465" s="411"/>
    </row>
    <row r="466" ht="15.75" customHeight="1">
      <c r="B466" s="411"/>
    </row>
    <row r="467" ht="15.75" customHeight="1">
      <c r="B467" s="411"/>
    </row>
    <row r="468" ht="15.75" customHeight="1">
      <c r="B468" s="411"/>
    </row>
    <row r="469" ht="15.75" customHeight="1">
      <c r="B469" s="411"/>
    </row>
    <row r="470" ht="15.75" customHeight="1">
      <c r="B470" s="411"/>
    </row>
    <row r="471" ht="15.75" customHeight="1">
      <c r="B471" s="411"/>
    </row>
    <row r="472" ht="15.75" customHeight="1">
      <c r="B472" s="411"/>
    </row>
    <row r="473" ht="15.75" customHeight="1">
      <c r="B473" s="411"/>
    </row>
    <row r="474" ht="15.75" customHeight="1">
      <c r="B474" s="411"/>
    </row>
    <row r="475" ht="15.75" customHeight="1">
      <c r="B475" s="411"/>
    </row>
    <row r="476" ht="15.75" customHeight="1">
      <c r="B476" s="411"/>
    </row>
    <row r="477" ht="15.75" customHeight="1">
      <c r="B477" s="411"/>
    </row>
    <row r="478" ht="15.75" customHeight="1">
      <c r="B478" s="411"/>
    </row>
    <row r="479" ht="15.75" customHeight="1">
      <c r="B479" s="411"/>
    </row>
    <row r="480" ht="15.75" customHeight="1">
      <c r="B480" s="411"/>
    </row>
    <row r="481" ht="15.75" customHeight="1">
      <c r="B481" s="411"/>
    </row>
    <row r="482" ht="15.75" customHeight="1">
      <c r="B482" s="411"/>
    </row>
    <row r="483" ht="15.75" customHeight="1">
      <c r="B483" s="411"/>
    </row>
    <row r="484" ht="15.75" customHeight="1">
      <c r="B484" s="411"/>
    </row>
    <row r="485" ht="15.75" customHeight="1">
      <c r="B485" s="411"/>
    </row>
    <row r="486" ht="15.75" customHeight="1">
      <c r="B486" s="411"/>
    </row>
    <row r="487" ht="15.75" customHeight="1">
      <c r="B487" s="411"/>
    </row>
    <row r="488" ht="15.75" customHeight="1">
      <c r="B488" s="411"/>
    </row>
    <row r="489" ht="15.75" customHeight="1">
      <c r="B489" s="411"/>
    </row>
    <row r="490" ht="15.75" customHeight="1">
      <c r="B490" s="411"/>
    </row>
    <row r="491" ht="15.75" customHeight="1">
      <c r="B491" s="411"/>
    </row>
    <row r="492" ht="15.75" customHeight="1">
      <c r="B492" s="411"/>
    </row>
    <row r="493" ht="15.75" customHeight="1">
      <c r="B493" s="411"/>
    </row>
    <row r="494" ht="15.75" customHeight="1">
      <c r="B494" s="411"/>
    </row>
    <row r="495" ht="15.75" customHeight="1">
      <c r="B495" s="411"/>
    </row>
    <row r="496" ht="15.75" customHeight="1">
      <c r="B496" s="411"/>
    </row>
    <row r="497" ht="15.75" customHeight="1">
      <c r="B497" s="411"/>
    </row>
    <row r="498" ht="15.75" customHeight="1">
      <c r="B498" s="411"/>
    </row>
    <row r="499" ht="15.75" customHeight="1">
      <c r="B499" s="411"/>
    </row>
    <row r="500" ht="15.75" customHeight="1">
      <c r="B500" s="411"/>
    </row>
    <row r="501" ht="15.75" customHeight="1">
      <c r="B501" s="411"/>
    </row>
    <row r="502" ht="15.75" customHeight="1">
      <c r="B502" s="411"/>
    </row>
    <row r="503" ht="15.75" customHeight="1">
      <c r="B503" s="411"/>
    </row>
    <row r="504" ht="15.75" customHeight="1">
      <c r="B504" s="411"/>
    </row>
    <row r="505" ht="15.75" customHeight="1">
      <c r="B505" s="411"/>
    </row>
    <row r="506" ht="15.75" customHeight="1">
      <c r="B506" s="411"/>
    </row>
    <row r="507" ht="15.75" customHeight="1">
      <c r="B507" s="411"/>
    </row>
    <row r="508" ht="15.75" customHeight="1">
      <c r="B508" s="411"/>
    </row>
    <row r="509" ht="15.75" customHeight="1">
      <c r="B509" s="411"/>
    </row>
    <row r="510" ht="15.75" customHeight="1">
      <c r="B510" s="411"/>
    </row>
    <row r="511" ht="15.75" customHeight="1">
      <c r="B511" s="411"/>
    </row>
    <row r="512" ht="15.75" customHeight="1">
      <c r="B512" s="411"/>
    </row>
    <row r="513" ht="15.75" customHeight="1">
      <c r="B513" s="411"/>
    </row>
    <row r="514" ht="15.75" customHeight="1">
      <c r="B514" s="411"/>
    </row>
    <row r="515" ht="15.75" customHeight="1">
      <c r="B515" s="411"/>
    </row>
    <row r="516" ht="15.75" customHeight="1">
      <c r="B516" s="411"/>
    </row>
    <row r="517" ht="15.75" customHeight="1">
      <c r="B517" s="411"/>
    </row>
    <row r="518" ht="15.75" customHeight="1">
      <c r="B518" s="411"/>
    </row>
    <row r="519" ht="15.75" customHeight="1">
      <c r="B519" s="411"/>
    </row>
    <row r="520" ht="15.75" customHeight="1">
      <c r="B520" s="411"/>
    </row>
    <row r="521" ht="15.75" customHeight="1">
      <c r="B521" s="411"/>
    </row>
    <row r="522" ht="15.75" customHeight="1">
      <c r="B522" s="411"/>
    </row>
    <row r="523" ht="15.75" customHeight="1">
      <c r="B523" s="411"/>
    </row>
    <row r="524" ht="15.75" customHeight="1">
      <c r="B524" s="411"/>
    </row>
    <row r="525" ht="15.75" customHeight="1">
      <c r="B525" s="411"/>
    </row>
    <row r="526" ht="15.75" customHeight="1">
      <c r="B526" s="411"/>
    </row>
    <row r="527" ht="15.75" customHeight="1">
      <c r="B527" s="411"/>
    </row>
    <row r="528" ht="15.75" customHeight="1">
      <c r="B528" s="411"/>
    </row>
    <row r="529" ht="15.75" customHeight="1">
      <c r="B529" s="411"/>
    </row>
    <row r="530" ht="15.75" customHeight="1">
      <c r="B530" s="411"/>
    </row>
    <row r="531" ht="15.75" customHeight="1">
      <c r="B531" s="411"/>
    </row>
    <row r="532" ht="15.75" customHeight="1">
      <c r="B532" s="411"/>
    </row>
    <row r="533" ht="15.75" customHeight="1">
      <c r="B533" s="411"/>
    </row>
    <row r="534" ht="15.75" customHeight="1">
      <c r="B534" s="411"/>
    </row>
    <row r="535" ht="15.75" customHeight="1">
      <c r="B535" s="411"/>
    </row>
    <row r="536" ht="15.75" customHeight="1">
      <c r="B536" s="411"/>
    </row>
    <row r="537" ht="15.75" customHeight="1">
      <c r="B537" s="411"/>
    </row>
    <row r="538" ht="15.75" customHeight="1">
      <c r="B538" s="411"/>
    </row>
    <row r="539" ht="15.75" customHeight="1">
      <c r="B539" s="411"/>
    </row>
    <row r="540" ht="15.75" customHeight="1">
      <c r="B540" s="411"/>
    </row>
    <row r="541" ht="15.75" customHeight="1">
      <c r="B541" s="411"/>
    </row>
    <row r="542" ht="15.75" customHeight="1">
      <c r="B542" s="411"/>
    </row>
    <row r="543" ht="15.75" customHeight="1">
      <c r="B543" s="411"/>
    </row>
    <row r="544" ht="15.75" customHeight="1">
      <c r="B544" s="411"/>
    </row>
    <row r="545" ht="15.75" customHeight="1">
      <c r="B545" s="411"/>
    </row>
    <row r="546" ht="15.75" customHeight="1">
      <c r="B546" s="411"/>
    </row>
    <row r="547" ht="15.75" customHeight="1">
      <c r="B547" s="411"/>
    </row>
    <row r="548" ht="15.75" customHeight="1">
      <c r="B548" s="411"/>
    </row>
    <row r="549" ht="15.75" customHeight="1">
      <c r="B549" s="411"/>
    </row>
    <row r="550" ht="15.75" customHeight="1">
      <c r="B550" s="411"/>
    </row>
    <row r="551" ht="15.75" customHeight="1">
      <c r="B551" s="411"/>
    </row>
    <row r="552" ht="15.75" customHeight="1">
      <c r="B552" s="411"/>
    </row>
    <row r="553" ht="15.75" customHeight="1">
      <c r="B553" s="411"/>
    </row>
    <row r="554" ht="15.75" customHeight="1">
      <c r="B554" s="411"/>
    </row>
    <row r="555" ht="15.75" customHeight="1">
      <c r="B555" s="411"/>
    </row>
    <row r="556" ht="15.75" customHeight="1">
      <c r="B556" s="411"/>
    </row>
    <row r="557" ht="15.75" customHeight="1">
      <c r="B557" s="411"/>
    </row>
    <row r="558" ht="15.75" customHeight="1">
      <c r="B558" s="411"/>
    </row>
    <row r="559" ht="15.75" customHeight="1">
      <c r="B559" s="411"/>
    </row>
    <row r="560" ht="15.75" customHeight="1">
      <c r="B560" s="411"/>
    </row>
    <row r="561" ht="15.75" customHeight="1">
      <c r="B561" s="411"/>
    </row>
    <row r="562" ht="15.75" customHeight="1">
      <c r="B562" s="411"/>
    </row>
    <row r="563" ht="15.75" customHeight="1">
      <c r="B563" s="411"/>
    </row>
    <row r="564" ht="15.75" customHeight="1">
      <c r="B564" s="411"/>
    </row>
    <row r="565" ht="15.75" customHeight="1">
      <c r="B565" s="411"/>
    </row>
    <row r="566" ht="15.75" customHeight="1">
      <c r="B566" s="411"/>
    </row>
    <row r="567" ht="15.75" customHeight="1">
      <c r="B567" s="411"/>
    </row>
    <row r="568" ht="15.75" customHeight="1">
      <c r="B568" s="411"/>
    </row>
    <row r="569" ht="15.75" customHeight="1">
      <c r="B569" s="411"/>
    </row>
    <row r="570" ht="15.75" customHeight="1">
      <c r="B570" s="411"/>
    </row>
    <row r="571" ht="15.75" customHeight="1">
      <c r="B571" s="411"/>
    </row>
    <row r="572" ht="15.75" customHeight="1">
      <c r="B572" s="411"/>
    </row>
    <row r="573" ht="15.75" customHeight="1">
      <c r="B573" s="411"/>
    </row>
    <row r="574" ht="15.75" customHeight="1">
      <c r="B574" s="411"/>
    </row>
    <row r="575" ht="15.75" customHeight="1">
      <c r="B575" s="411"/>
    </row>
    <row r="576" ht="15.75" customHeight="1">
      <c r="B576" s="411"/>
    </row>
    <row r="577" ht="15.75" customHeight="1">
      <c r="B577" s="411"/>
    </row>
    <row r="578" ht="15.75" customHeight="1">
      <c r="B578" s="411"/>
    </row>
    <row r="579" ht="15.75" customHeight="1">
      <c r="B579" s="411"/>
    </row>
    <row r="580" ht="15.75" customHeight="1">
      <c r="B580" s="411"/>
    </row>
    <row r="581" ht="15.75" customHeight="1">
      <c r="B581" s="411"/>
    </row>
    <row r="582" ht="15.75" customHeight="1">
      <c r="B582" s="411"/>
    </row>
    <row r="583" ht="15.75" customHeight="1">
      <c r="B583" s="411"/>
    </row>
    <row r="584" ht="15.75" customHeight="1">
      <c r="B584" s="411"/>
    </row>
    <row r="585" ht="15.75" customHeight="1">
      <c r="B585" s="411"/>
    </row>
    <row r="586" ht="15.75" customHeight="1">
      <c r="B586" s="411"/>
    </row>
    <row r="587" ht="15.75" customHeight="1">
      <c r="B587" s="411"/>
    </row>
    <row r="588" ht="15.75" customHeight="1">
      <c r="B588" s="411"/>
    </row>
    <row r="589" ht="15.75" customHeight="1">
      <c r="B589" s="411"/>
    </row>
    <row r="590" ht="15.75" customHeight="1">
      <c r="B590" s="411"/>
    </row>
    <row r="591" ht="15.75" customHeight="1">
      <c r="B591" s="411"/>
    </row>
    <row r="592" ht="15.75" customHeight="1">
      <c r="B592" s="411"/>
    </row>
    <row r="593" ht="15.75" customHeight="1">
      <c r="B593" s="411"/>
    </row>
    <row r="594" ht="15.75" customHeight="1">
      <c r="B594" s="411"/>
    </row>
    <row r="595" ht="15.75" customHeight="1">
      <c r="B595" s="411"/>
    </row>
    <row r="596" ht="15.75" customHeight="1">
      <c r="B596" s="411"/>
    </row>
    <row r="597" ht="15.75" customHeight="1">
      <c r="B597" s="411"/>
    </row>
    <row r="598" ht="15.75" customHeight="1">
      <c r="B598" s="411"/>
    </row>
    <row r="599" ht="15.75" customHeight="1">
      <c r="B599" s="411"/>
    </row>
    <row r="600" ht="15.75" customHeight="1">
      <c r="B600" s="411"/>
    </row>
    <row r="601" ht="15.75" customHeight="1">
      <c r="B601" s="411"/>
    </row>
    <row r="602" ht="15.75" customHeight="1">
      <c r="B602" s="411"/>
    </row>
    <row r="603" ht="15.75" customHeight="1">
      <c r="B603" s="411"/>
    </row>
    <row r="604" ht="15.75" customHeight="1">
      <c r="B604" s="411"/>
    </row>
    <row r="605" ht="15.75" customHeight="1">
      <c r="B605" s="411"/>
    </row>
    <row r="606" ht="15.75" customHeight="1">
      <c r="B606" s="411"/>
    </row>
    <row r="607" ht="15.75" customHeight="1">
      <c r="B607" s="411"/>
    </row>
    <row r="608" ht="15.75" customHeight="1">
      <c r="B608" s="411"/>
    </row>
    <row r="609" ht="15.75" customHeight="1">
      <c r="B609" s="411"/>
    </row>
    <row r="610" ht="15.75" customHeight="1">
      <c r="B610" s="411"/>
    </row>
    <row r="611" ht="15.75" customHeight="1">
      <c r="B611" s="411"/>
    </row>
    <row r="612" ht="15.75" customHeight="1">
      <c r="B612" s="411"/>
    </row>
    <row r="613" ht="15.75" customHeight="1">
      <c r="B613" s="411"/>
    </row>
    <row r="614" ht="15.75" customHeight="1">
      <c r="B614" s="411"/>
    </row>
    <row r="615" ht="15.75" customHeight="1">
      <c r="B615" s="411"/>
    </row>
    <row r="616" ht="15.75" customHeight="1">
      <c r="B616" s="411"/>
    </row>
    <row r="617" ht="15.75" customHeight="1">
      <c r="B617" s="411"/>
    </row>
    <row r="618" ht="15.75" customHeight="1">
      <c r="B618" s="411"/>
    </row>
    <row r="619" ht="15.75" customHeight="1">
      <c r="B619" s="411"/>
    </row>
    <row r="620" ht="15.75" customHeight="1">
      <c r="B620" s="411"/>
    </row>
    <row r="621" ht="15.75" customHeight="1">
      <c r="B621" s="411"/>
    </row>
    <row r="622" ht="15.75" customHeight="1">
      <c r="B622" s="411"/>
    </row>
    <row r="623" ht="15.75" customHeight="1">
      <c r="B623" s="411"/>
    </row>
    <row r="624" ht="15.75" customHeight="1">
      <c r="B624" s="411"/>
    </row>
    <row r="625" ht="15.75" customHeight="1">
      <c r="B625" s="411"/>
    </row>
    <row r="626" ht="15.75" customHeight="1">
      <c r="B626" s="411"/>
    </row>
    <row r="627" ht="15.75" customHeight="1">
      <c r="B627" s="411"/>
    </row>
    <row r="628" ht="15.75" customHeight="1">
      <c r="B628" s="411"/>
    </row>
    <row r="629" ht="15.75" customHeight="1">
      <c r="B629" s="411"/>
    </row>
    <row r="630" ht="15.75" customHeight="1">
      <c r="B630" s="411"/>
    </row>
    <row r="631" ht="15.75" customHeight="1">
      <c r="B631" s="411"/>
    </row>
    <row r="632" ht="15.75" customHeight="1">
      <c r="B632" s="411"/>
    </row>
    <row r="633" ht="15.75" customHeight="1">
      <c r="B633" s="411"/>
    </row>
    <row r="634" ht="15.75" customHeight="1">
      <c r="B634" s="411"/>
    </row>
    <row r="635" ht="15.75" customHeight="1">
      <c r="B635" s="411"/>
    </row>
    <row r="636" ht="15.75" customHeight="1">
      <c r="B636" s="411"/>
    </row>
    <row r="637" ht="15.75" customHeight="1">
      <c r="B637" s="411"/>
    </row>
    <row r="638" ht="15.75" customHeight="1">
      <c r="B638" s="411"/>
    </row>
    <row r="639" ht="15.75" customHeight="1">
      <c r="B639" s="411"/>
    </row>
    <row r="640" ht="15.75" customHeight="1">
      <c r="B640" s="411"/>
    </row>
    <row r="641" ht="15.75" customHeight="1">
      <c r="B641" s="411"/>
    </row>
    <row r="642" ht="15.75" customHeight="1">
      <c r="B642" s="411"/>
    </row>
    <row r="643" ht="15.75" customHeight="1">
      <c r="B643" s="411"/>
    </row>
    <row r="644" ht="15.75" customHeight="1">
      <c r="B644" s="411"/>
    </row>
    <row r="645" ht="15.75" customHeight="1">
      <c r="B645" s="411"/>
    </row>
    <row r="646" ht="15.75" customHeight="1">
      <c r="B646" s="411"/>
    </row>
    <row r="647" ht="15.75" customHeight="1">
      <c r="B647" s="411"/>
    </row>
    <row r="648" ht="15.75" customHeight="1">
      <c r="B648" s="411"/>
    </row>
    <row r="649" ht="15.75" customHeight="1">
      <c r="B649" s="411"/>
    </row>
    <row r="650" ht="15.75" customHeight="1">
      <c r="B650" s="411"/>
    </row>
    <row r="651" ht="15.75" customHeight="1">
      <c r="B651" s="411"/>
    </row>
    <row r="652" ht="15.75" customHeight="1">
      <c r="B652" s="411"/>
    </row>
    <row r="653" ht="15.75" customHeight="1">
      <c r="B653" s="411"/>
    </row>
    <row r="654" ht="15.75" customHeight="1">
      <c r="B654" s="411"/>
    </row>
    <row r="655" ht="15.75" customHeight="1">
      <c r="B655" s="411"/>
    </row>
    <row r="656" ht="15.75" customHeight="1">
      <c r="B656" s="411"/>
    </row>
    <row r="657" ht="15.75" customHeight="1">
      <c r="B657" s="411"/>
    </row>
    <row r="658" ht="15.75" customHeight="1">
      <c r="B658" s="411"/>
    </row>
    <row r="659" ht="15.75" customHeight="1">
      <c r="B659" s="411"/>
    </row>
    <row r="660" ht="15.75" customHeight="1">
      <c r="B660" s="411"/>
    </row>
    <row r="661" ht="15.75" customHeight="1">
      <c r="B661" s="411"/>
    </row>
    <row r="662" ht="15.75" customHeight="1">
      <c r="B662" s="411"/>
    </row>
    <row r="663" ht="15.75" customHeight="1">
      <c r="B663" s="411"/>
    </row>
    <row r="664" ht="15.75" customHeight="1">
      <c r="B664" s="411"/>
    </row>
    <row r="665" ht="15.75" customHeight="1">
      <c r="B665" s="411"/>
    </row>
    <row r="666" ht="15.75" customHeight="1">
      <c r="B666" s="411"/>
    </row>
    <row r="667" ht="15.75" customHeight="1">
      <c r="B667" s="411"/>
    </row>
    <row r="668" ht="15.75" customHeight="1">
      <c r="B668" s="411"/>
    </row>
    <row r="669" ht="15.75" customHeight="1">
      <c r="B669" s="411"/>
    </row>
    <row r="670" ht="15.75" customHeight="1">
      <c r="B670" s="411"/>
    </row>
    <row r="671" ht="15.75" customHeight="1">
      <c r="B671" s="411"/>
    </row>
    <row r="672" ht="15.75" customHeight="1">
      <c r="B672" s="411"/>
    </row>
    <row r="673" ht="15.75" customHeight="1">
      <c r="B673" s="411"/>
    </row>
    <row r="674" ht="15.75" customHeight="1">
      <c r="B674" s="411"/>
    </row>
    <row r="675" ht="15.75" customHeight="1">
      <c r="B675" s="411"/>
    </row>
    <row r="676" ht="15.75" customHeight="1">
      <c r="B676" s="411"/>
    </row>
    <row r="677" ht="15.75" customHeight="1">
      <c r="B677" s="411"/>
    </row>
    <row r="678" ht="15.75" customHeight="1">
      <c r="B678" s="411"/>
    </row>
    <row r="679" ht="15.75" customHeight="1">
      <c r="B679" s="411"/>
    </row>
    <row r="680" ht="15.75" customHeight="1">
      <c r="B680" s="411"/>
    </row>
    <row r="681" ht="15.75" customHeight="1">
      <c r="B681" s="411"/>
    </row>
    <row r="682" ht="15.75" customHeight="1">
      <c r="B682" s="411"/>
    </row>
    <row r="683" ht="15.75" customHeight="1">
      <c r="B683" s="411"/>
    </row>
    <row r="684" ht="15.75" customHeight="1">
      <c r="B684" s="411"/>
    </row>
    <row r="685" ht="15.75" customHeight="1">
      <c r="B685" s="411"/>
    </row>
    <row r="686" ht="15.75" customHeight="1">
      <c r="B686" s="411"/>
    </row>
    <row r="687" ht="15.75" customHeight="1">
      <c r="B687" s="411"/>
    </row>
    <row r="688" ht="15.75" customHeight="1">
      <c r="B688" s="411"/>
    </row>
    <row r="689" ht="15.75" customHeight="1">
      <c r="B689" s="411"/>
    </row>
    <row r="690" ht="15.75" customHeight="1">
      <c r="B690" s="411"/>
    </row>
    <row r="691" ht="15.75" customHeight="1">
      <c r="B691" s="411"/>
    </row>
    <row r="692" ht="15.75" customHeight="1">
      <c r="B692" s="411"/>
    </row>
    <row r="693" ht="15.75" customHeight="1">
      <c r="B693" s="411"/>
    </row>
    <row r="694" ht="15.75" customHeight="1">
      <c r="B694" s="411"/>
    </row>
    <row r="695" ht="15.75" customHeight="1">
      <c r="B695" s="411"/>
    </row>
    <row r="696" ht="15.75" customHeight="1">
      <c r="B696" s="411"/>
    </row>
    <row r="697" ht="15.75" customHeight="1">
      <c r="B697" s="411"/>
    </row>
    <row r="698" ht="15.75" customHeight="1">
      <c r="B698" s="411"/>
    </row>
    <row r="699" ht="15.75" customHeight="1">
      <c r="B699" s="411"/>
    </row>
    <row r="700" ht="15.75" customHeight="1">
      <c r="B700" s="411"/>
    </row>
    <row r="701" ht="15.75" customHeight="1">
      <c r="B701" s="411"/>
    </row>
    <row r="702" ht="15.75" customHeight="1">
      <c r="B702" s="411"/>
    </row>
    <row r="703" ht="15.75" customHeight="1">
      <c r="B703" s="411"/>
    </row>
    <row r="704" ht="15.75" customHeight="1">
      <c r="B704" s="411"/>
    </row>
    <row r="705" ht="15.75" customHeight="1">
      <c r="B705" s="411"/>
    </row>
    <row r="706" ht="15.75" customHeight="1">
      <c r="B706" s="411"/>
    </row>
    <row r="707" ht="15.75" customHeight="1">
      <c r="B707" s="411"/>
    </row>
    <row r="708" ht="15.75" customHeight="1">
      <c r="B708" s="411"/>
    </row>
    <row r="709" ht="15.75" customHeight="1">
      <c r="B709" s="411"/>
    </row>
    <row r="710" ht="15.75" customHeight="1">
      <c r="B710" s="411"/>
    </row>
    <row r="711" ht="15.75" customHeight="1">
      <c r="B711" s="411"/>
    </row>
    <row r="712" ht="15.75" customHeight="1">
      <c r="B712" s="411"/>
    </row>
    <row r="713" ht="15.75" customHeight="1">
      <c r="B713" s="411"/>
    </row>
    <row r="714" ht="15.75" customHeight="1">
      <c r="B714" s="411"/>
    </row>
    <row r="715" ht="15.75" customHeight="1">
      <c r="B715" s="411"/>
    </row>
    <row r="716" ht="15.75" customHeight="1">
      <c r="B716" s="411"/>
    </row>
    <row r="717" ht="15.75" customHeight="1">
      <c r="B717" s="411"/>
    </row>
    <row r="718" ht="15.75" customHeight="1">
      <c r="B718" s="411"/>
    </row>
    <row r="719" ht="15.75" customHeight="1">
      <c r="B719" s="411"/>
    </row>
    <row r="720" ht="15.75" customHeight="1">
      <c r="B720" s="411"/>
    </row>
    <row r="721" ht="15.75" customHeight="1">
      <c r="B721" s="411"/>
    </row>
    <row r="722" ht="15.75" customHeight="1">
      <c r="B722" s="411"/>
    </row>
    <row r="723" ht="15.75" customHeight="1">
      <c r="B723" s="411"/>
    </row>
    <row r="724" ht="15.75" customHeight="1">
      <c r="B724" s="411"/>
    </row>
    <row r="725" ht="15.75" customHeight="1">
      <c r="B725" s="411"/>
    </row>
    <row r="726" ht="15.75" customHeight="1">
      <c r="B726" s="411"/>
    </row>
    <row r="727" ht="15.75" customHeight="1">
      <c r="B727" s="411"/>
    </row>
    <row r="728" ht="15.75" customHeight="1">
      <c r="B728" s="411"/>
    </row>
    <row r="729" ht="15.75" customHeight="1">
      <c r="B729" s="411"/>
    </row>
    <row r="730" ht="15.75" customHeight="1">
      <c r="B730" s="411"/>
    </row>
    <row r="731" ht="15.75" customHeight="1">
      <c r="B731" s="411"/>
    </row>
    <row r="732" ht="15.75" customHeight="1">
      <c r="B732" s="411"/>
    </row>
    <row r="733" ht="15.75" customHeight="1">
      <c r="B733" s="411"/>
    </row>
    <row r="734" ht="15.75" customHeight="1">
      <c r="B734" s="411"/>
    </row>
    <row r="735" ht="15.75" customHeight="1">
      <c r="B735" s="411"/>
    </row>
    <row r="736" ht="15.75" customHeight="1">
      <c r="B736" s="411"/>
    </row>
    <row r="737" ht="15.75" customHeight="1">
      <c r="B737" s="411"/>
    </row>
    <row r="738" ht="15.75" customHeight="1">
      <c r="B738" s="411"/>
    </row>
    <row r="739" ht="15.75" customHeight="1">
      <c r="B739" s="411"/>
    </row>
    <row r="740" ht="15.75" customHeight="1">
      <c r="B740" s="411"/>
    </row>
    <row r="741" ht="15.75" customHeight="1">
      <c r="B741" s="411"/>
    </row>
    <row r="742" ht="15.75" customHeight="1">
      <c r="B742" s="411"/>
    </row>
    <row r="743" ht="15.75" customHeight="1">
      <c r="B743" s="411"/>
    </row>
    <row r="744" ht="15.75" customHeight="1">
      <c r="B744" s="411"/>
    </row>
    <row r="745" ht="15.75" customHeight="1">
      <c r="B745" s="411"/>
    </row>
    <row r="746" ht="15.75" customHeight="1">
      <c r="B746" s="411"/>
    </row>
    <row r="747" ht="15.75" customHeight="1">
      <c r="B747" s="411"/>
    </row>
    <row r="748" ht="15.75" customHeight="1">
      <c r="B748" s="411"/>
    </row>
    <row r="749" ht="15.75" customHeight="1">
      <c r="B749" s="411"/>
    </row>
    <row r="750" ht="15.75" customHeight="1">
      <c r="B750" s="411"/>
    </row>
    <row r="751" ht="15.75" customHeight="1">
      <c r="B751" s="411"/>
    </row>
    <row r="752" ht="15.75" customHeight="1">
      <c r="B752" s="411"/>
    </row>
    <row r="753" ht="15.75" customHeight="1">
      <c r="B753" s="411"/>
    </row>
    <row r="754" ht="15.75" customHeight="1">
      <c r="B754" s="411"/>
    </row>
    <row r="755" ht="15.75" customHeight="1">
      <c r="B755" s="411"/>
    </row>
    <row r="756" ht="15.75" customHeight="1">
      <c r="B756" s="411"/>
    </row>
    <row r="757" ht="15.75" customHeight="1">
      <c r="B757" s="411"/>
    </row>
    <row r="758" ht="15.75" customHeight="1">
      <c r="B758" s="411"/>
    </row>
    <row r="759" ht="15.75" customHeight="1">
      <c r="B759" s="411"/>
    </row>
    <row r="760" ht="15.75" customHeight="1">
      <c r="B760" s="411"/>
    </row>
    <row r="761" ht="15.75" customHeight="1">
      <c r="B761" s="411"/>
    </row>
    <row r="762" ht="15.75" customHeight="1">
      <c r="B762" s="411"/>
    </row>
    <row r="763" ht="15.75" customHeight="1">
      <c r="B763" s="411"/>
    </row>
    <row r="764" ht="15.75" customHeight="1">
      <c r="B764" s="411"/>
    </row>
    <row r="765" ht="15.75" customHeight="1">
      <c r="B765" s="411"/>
    </row>
    <row r="766" ht="15.75" customHeight="1">
      <c r="B766" s="411"/>
    </row>
    <row r="767" ht="15.75" customHeight="1">
      <c r="B767" s="411"/>
    </row>
    <row r="768" ht="15.75" customHeight="1">
      <c r="B768" s="411"/>
    </row>
    <row r="769" ht="15.75" customHeight="1">
      <c r="B769" s="411"/>
    </row>
    <row r="770" ht="15.75" customHeight="1">
      <c r="B770" s="411"/>
    </row>
    <row r="771" ht="15.75" customHeight="1">
      <c r="B771" s="411"/>
    </row>
    <row r="772" ht="15.75" customHeight="1">
      <c r="B772" s="411"/>
    </row>
    <row r="773" ht="15.75" customHeight="1">
      <c r="B773" s="411"/>
    </row>
    <row r="774" ht="15.75" customHeight="1">
      <c r="B774" s="411"/>
    </row>
    <row r="775" ht="15.75" customHeight="1">
      <c r="B775" s="411"/>
    </row>
    <row r="776" ht="15.75" customHeight="1">
      <c r="B776" s="411"/>
    </row>
    <row r="777" ht="15.75" customHeight="1">
      <c r="B777" s="411"/>
    </row>
    <row r="778" ht="15.75" customHeight="1">
      <c r="B778" s="411"/>
    </row>
    <row r="779" ht="15.75" customHeight="1">
      <c r="B779" s="411"/>
    </row>
    <row r="780" ht="15.75" customHeight="1">
      <c r="B780" s="411"/>
    </row>
    <row r="781" ht="15.75" customHeight="1">
      <c r="B781" s="411"/>
    </row>
    <row r="782" ht="15.75" customHeight="1">
      <c r="B782" s="411"/>
    </row>
    <row r="783" ht="15.75" customHeight="1">
      <c r="B783" s="411"/>
    </row>
    <row r="784" ht="15.75" customHeight="1">
      <c r="B784" s="411"/>
    </row>
    <row r="785" ht="15.75" customHeight="1">
      <c r="B785" s="411"/>
    </row>
    <row r="786" ht="15.75" customHeight="1">
      <c r="B786" s="411"/>
    </row>
    <row r="787" ht="15.75" customHeight="1">
      <c r="B787" s="411"/>
    </row>
    <row r="788" ht="15.75" customHeight="1">
      <c r="B788" s="411"/>
    </row>
    <row r="789" ht="15.75" customHeight="1">
      <c r="B789" s="411"/>
    </row>
    <row r="790" ht="15.75" customHeight="1">
      <c r="B790" s="411"/>
    </row>
    <row r="791" ht="15.75" customHeight="1">
      <c r="B791" s="411"/>
    </row>
    <row r="792" ht="15.75" customHeight="1">
      <c r="B792" s="411"/>
    </row>
    <row r="793" ht="15.75" customHeight="1">
      <c r="B793" s="411"/>
    </row>
    <row r="794" ht="15.75" customHeight="1">
      <c r="B794" s="411"/>
    </row>
    <row r="795" ht="15.75" customHeight="1">
      <c r="B795" s="411"/>
    </row>
    <row r="796" ht="15.75" customHeight="1">
      <c r="B796" s="411"/>
    </row>
    <row r="797" ht="15.75" customHeight="1">
      <c r="B797" s="411"/>
    </row>
    <row r="798" ht="15.75" customHeight="1">
      <c r="B798" s="411"/>
    </row>
    <row r="799" ht="15.75" customHeight="1">
      <c r="B799" s="411"/>
    </row>
    <row r="800" ht="15.75" customHeight="1">
      <c r="B800" s="411"/>
    </row>
    <row r="801" ht="15.75" customHeight="1">
      <c r="B801" s="411"/>
    </row>
    <row r="802" ht="15.75" customHeight="1">
      <c r="B802" s="411"/>
    </row>
    <row r="803" ht="15.75" customHeight="1">
      <c r="B803" s="411"/>
    </row>
    <row r="804" ht="15.75" customHeight="1">
      <c r="B804" s="411"/>
    </row>
    <row r="805" ht="15.75" customHeight="1">
      <c r="B805" s="411"/>
    </row>
    <row r="806" ht="15.75" customHeight="1">
      <c r="B806" s="411"/>
    </row>
    <row r="807" ht="15.75" customHeight="1">
      <c r="B807" s="411"/>
    </row>
    <row r="808" ht="15.75" customHeight="1">
      <c r="B808" s="411"/>
    </row>
    <row r="809" ht="15.75" customHeight="1">
      <c r="B809" s="411"/>
    </row>
    <row r="810" ht="15.75" customHeight="1">
      <c r="B810" s="411"/>
    </row>
    <row r="811" ht="15.75" customHeight="1">
      <c r="B811" s="411"/>
    </row>
    <row r="812" ht="15.75" customHeight="1">
      <c r="B812" s="411"/>
    </row>
    <row r="813" ht="15.75" customHeight="1">
      <c r="B813" s="411"/>
    </row>
    <row r="814" ht="15.75" customHeight="1">
      <c r="B814" s="411"/>
    </row>
    <row r="815" ht="15.75" customHeight="1">
      <c r="B815" s="411"/>
    </row>
    <row r="816" ht="15.75" customHeight="1">
      <c r="B816" s="411"/>
    </row>
    <row r="817" ht="15.75" customHeight="1">
      <c r="B817" s="411"/>
    </row>
    <row r="818" ht="15.75" customHeight="1">
      <c r="B818" s="411"/>
    </row>
    <row r="819" ht="15.75" customHeight="1">
      <c r="B819" s="411"/>
    </row>
    <row r="820" ht="15.75" customHeight="1">
      <c r="B820" s="411"/>
    </row>
    <row r="821" ht="15.75" customHeight="1">
      <c r="B821" s="411"/>
    </row>
    <row r="822" ht="15.75" customHeight="1">
      <c r="B822" s="411"/>
    </row>
    <row r="823" ht="15.75" customHeight="1">
      <c r="B823" s="411"/>
    </row>
    <row r="824" ht="15.75" customHeight="1">
      <c r="B824" s="411"/>
    </row>
    <row r="825" ht="15.75" customHeight="1">
      <c r="B825" s="411"/>
    </row>
    <row r="826" ht="15.75" customHeight="1">
      <c r="B826" s="411"/>
    </row>
    <row r="827" ht="15.75" customHeight="1">
      <c r="B827" s="411"/>
    </row>
    <row r="828" ht="15.75" customHeight="1">
      <c r="B828" s="411"/>
    </row>
    <row r="829" ht="15.75" customHeight="1">
      <c r="B829" s="411"/>
    </row>
    <row r="830" ht="15.75" customHeight="1">
      <c r="B830" s="411"/>
    </row>
    <row r="831" ht="15.75" customHeight="1">
      <c r="B831" s="411"/>
    </row>
    <row r="832" ht="15.75" customHeight="1">
      <c r="B832" s="411"/>
    </row>
    <row r="833" ht="15.75" customHeight="1">
      <c r="B833" s="411"/>
    </row>
    <row r="834" ht="15.75" customHeight="1">
      <c r="B834" s="411"/>
    </row>
    <row r="835" ht="15.75" customHeight="1">
      <c r="B835" s="411"/>
    </row>
    <row r="836" ht="15.75" customHeight="1">
      <c r="B836" s="411"/>
    </row>
    <row r="837" ht="15.75" customHeight="1">
      <c r="B837" s="411"/>
    </row>
    <row r="838" ht="15.75" customHeight="1">
      <c r="B838" s="411"/>
    </row>
    <row r="839" ht="15.75" customHeight="1">
      <c r="B839" s="411"/>
    </row>
    <row r="840" ht="15.75" customHeight="1">
      <c r="B840" s="411"/>
    </row>
    <row r="841" ht="15.75" customHeight="1">
      <c r="B841" s="411"/>
    </row>
    <row r="842" ht="15.75" customHeight="1">
      <c r="B842" s="411"/>
    </row>
    <row r="843" ht="15.75" customHeight="1">
      <c r="B843" s="411"/>
    </row>
    <row r="844" ht="15.75" customHeight="1">
      <c r="B844" s="411"/>
    </row>
    <row r="845" ht="15.75" customHeight="1">
      <c r="B845" s="411"/>
    </row>
    <row r="846" ht="15.75" customHeight="1">
      <c r="B846" s="411"/>
    </row>
    <row r="847" ht="15.75" customHeight="1">
      <c r="B847" s="411"/>
    </row>
    <row r="848" ht="15.75" customHeight="1">
      <c r="B848" s="411"/>
    </row>
    <row r="849" ht="15.75" customHeight="1">
      <c r="B849" s="411"/>
    </row>
    <row r="850" ht="15.75" customHeight="1">
      <c r="B850" s="411"/>
    </row>
    <row r="851" ht="15.75" customHeight="1">
      <c r="B851" s="411"/>
    </row>
    <row r="852" ht="15.75" customHeight="1">
      <c r="B852" s="411"/>
    </row>
    <row r="853" ht="15.75" customHeight="1">
      <c r="B853" s="411"/>
    </row>
    <row r="854" ht="15.75" customHeight="1">
      <c r="B854" s="411"/>
    </row>
    <row r="855" ht="15.75" customHeight="1">
      <c r="B855" s="411"/>
    </row>
    <row r="856" ht="15.75" customHeight="1">
      <c r="B856" s="411"/>
    </row>
    <row r="857" ht="15.75" customHeight="1">
      <c r="B857" s="411"/>
    </row>
    <row r="858" ht="15.75" customHeight="1">
      <c r="B858" s="411"/>
    </row>
    <row r="859" ht="15.75" customHeight="1">
      <c r="B859" s="411"/>
    </row>
    <row r="860" ht="15.75" customHeight="1">
      <c r="B860" s="411"/>
    </row>
    <row r="861" ht="15.75" customHeight="1">
      <c r="B861" s="411"/>
    </row>
    <row r="862" ht="15.75" customHeight="1">
      <c r="B862" s="411"/>
    </row>
    <row r="863" ht="15.75" customHeight="1">
      <c r="B863" s="411"/>
    </row>
    <row r="864" ht="15.75" customHeight="1">
      <c r="B864" s="411"/>
    </row>
    <row r="865" ht="15.75" customHeight="1">
      <c r="B865" s="411"/>
    </row>
    <row r="866" ht="15.75" customHeight="1">
      <c r="B866" s="411"/>
    </row>
    <row r="867" ht="15.75" customHeight="1">
      <c r="B867" s="411"/>
    </row>
    <row r="868" ht="15.75" customHeight="1">
      <c r="B868" s="411"/>
    </row>
    <row r="869" ht="15.75" customHeight="1">
      <c r="B869" s="411"/>
    </row>
    <row r="870" ht="15.75" customHeight="1">
      <c r="B870" s="411"/>
    </row>
    <row r="871" ht="15.75" customHeight="1">
      <c r="B871" s="411"/>
    </row>
    <row r="872" ht="15.75" customHeight="1">
      <c r="B872" s="411"/>
    </row>
    <row r="873" ht="15.75" customHeight="1">
      <c r="B873" s="411"/>
    </row>
    <row r="874" ht="15.75" customHeight="1">
      <c r="B874" s="411"/>
    </row>
    <row r="875" ht="15.75" customHeight="1">
      <c r="B875" s="411"/>
    </row>
    <row r="876" ht="15.75" customHeight="1">
      <c r="B876" s="411"/>
    </row>
    <row r="877" ht="15.75" customHeight="1">
      <c r="B877" s="411"/>
    </row>
    <row r="878" ht="15.75" customHeight="1">
      <c r="B878" s="411"/>
    </row>
    <row r="879" ht="15.75" customHeight="1">
      <c r="B879" s="411"/>
    </row>
    <row r="880" ht="15.75" customHeight="1">
      <c r="B880" s="411"/>
    </row>
    <row r="881" ht="15.75" customHeight="1">
      <c r="B881" s="411"/>
    </row>
    <row r="882" ht="15.75" customHeight="1">
      <c r="B882" s="411"/>
    </row>
    <row r="883" ht="15.75" customHeight="1">
      <c r="B883" s="411"/>
    </row>
    <row r="884" ht="15.75" customHeight="1">
      <c r="B884" s="411"/>
    </row>
    <row r="885" ht="15.75" customHeight="1">
      <c r="B885" s="411"/>
    </row>
    <row r="886" ht="15.75" customHeight="1">
      <c r="B886" s="411"/>
    </row>
    <row r="887" ht="15.75" customHeight="1">
      <c r="B887" s="411"/>
    </row>
    <row r="888" ht="15.75" customHeight="1">
      <c r="B888" s="411"/>
    </row>
    <row r="889" ht="15.75" customHeight="1">
      <c r="B889" s="411"/>
    </row>
    <row r="890" ht="15.75" customHeight="1">
      <c r="B890" s="411"/>
    </row>
    <row r="891" ht="15.75" customHeight="1">
      <c r="B891" s="411"/>
    </row>
    <row r="892" ht="15.75" customHeight="1">
      <c r="B892" s="411"/>
    </row>
    <row r="893" ht="15.75" customHeight="1">
      <c r="B893" s="411"/>
    </row>
    <row r="894" ht="15.75" customHeight="1">
      <c r="B894" s="411"/>
    </row>
    <row r="895" ht="15.75" customHeight="1">
      <c r="B895" s="411"/>
    </row>
    <row r="896" ht="15.75" customHeight="1">
      <c r="B896" s="411"/>
    </row>
    <row r="897" ht="15.75" customHeight="1">
      <c r="B897" s="411"/>
    </row>
    <row r="898" ht="15.75" customHeight="1">
      <c r="B898" s="411"/>
    </row>
    <row r="899" ht="15.75" customHeight="1">
      <c r="B899" s="411"/>
    </row>
    <row r="900" ht="15.75" customHeight="1">
      <c r="B900" s="411"/>
    </row>
    <row r="901" ht="15.75" customHeight="1">
      <c r="B901" s="411"/>
    </row>
    <row r="902" ht="15.75" customHeight="1">
      <c r="B902" s="411"/>
    </row>
    <row r="903" ht="15.75" customHeight="1">
      <c r="B903" s="411"/>
    </row>
    <row r="904" ht="15.75" customHeight="1">
      <c r="B904" s="411"/>
    </row>
    <row r="905" ht="15.75" customHeight="1">
      <c r="B905" s="411"/>
    </row>
    <row r="906" ht="15.75" customHeight="1">
      <c r="B906" s="411"/>
    </row>
    <row r="907" ht="15.75" customHeight="1">
      <c r="B907" s="411"/>
    </row>
    <row r="908" ht="15.75" customHeight="1">
      <c r="B908" s="411"/>
    </row>
    <row r="909" ht="15.75" customHeight="1">
      <c r="B909" s="411"/>
    </row>
    <row r="910" ht="15.75" customHeight="1">
      <c r="B910" s="411"/>
    </row>
    <row r="911" ht="15.75" customHeight="1">
      <c r="B911" s="411"/>
    </row>
    <row r="912" ht="15.75" customHeight="1">
      <c r="B912" s="411"/>
    </row>
    <row r="913" ht="15.75" customHeight="1">
      <c r="B913" s="411"/>
    </row>
    <row r="914" ht="15.75" customHeight="1">
      <c r="B914" s="411"/>
    </row>
    <row r="915" ht="15.75" customHeight="1">
      <c r="B915" s="411"/>
    </row>
    <row r="916" ht="15.75" customHeight="1">
      <c r="B916" s="411"/>
    </row>
    <row r="917" ht="15.75" customHeight="1">
      <c r="B917" s="411"/>
    </row>
    <row r="918" ht="15.75" customHeight="1">
      <c r="B918" s="411"/>
    </row>
    <row r="919" ht="15.75" customHeight="1">
      <c r="B919" s="411"/>
    </row>
    <row r="920" ht="15.75" customHeight="1">
      <c r="B920" s="411"/>
    </row>
    <row r="921" ht="15.75" customHeight="1">
      <c r="B921" s="411"/>
    </row>
    <row r="922" ht="15.75" customHeight="1">
      <c r="B922" s="411"/>
    </row>
    <row r="923" ht="15.75" customHeight="1">
      <c r="B923" s="411"/>
    </row>
    <row r="924" ht="15.75" customHeight="1">
      <c r="B924" s="411"/>
    </row>
    <row r="925" ht="15.75" customHeight="1">
      <c r="B925" s="411"/>
    </row>
    <row r="926" ht="15.75" customHeight="1">
      <c r="B926" s="411"/>
    </row>
    <row r="927" ht="15.75" customHeight="1">
      <c r="B927" s="411"/>
    </row>
    <row r="928" ht="15.75" customHeight="1">
      <c r="B928" s="411"/>
    </row>
    <row r="929" ht="15.75" customHeight="1">
      <c r="B929" s="411"/>
    </row>
    <row r="930" ht="15.75" customHeight="1">
      <c r="B930" s="411"/>
    </row>
    <row r="931" ht="15.75" customHeight="1">
      <c r="B931" s="411"/>
    </row>
    <row r="932" ht="15.75" customHeight="1">
      <c r="B932" s="411"/>
    </row>
    <row r="933" ht="15.75" customHeight="1">
      <c r="B933" s="411"/>
    </row>
    <row r="934" ht="15.75" customHeight="1">
      <c r="B934" s="411"/>
    </row>
    <row r="935" ht="15.75" customHeight="1">
      <c r="B935" s="411"/>
    </row>
    <row r="936" ht="15.75" customHeight="1">
      <c r="B936" s="411"/>
    </row>
    <row r="937" ht="15.75" customHeight="1">
      <c r="B937" s="411"/>
    </row>
    <row r="938" ht="15.75" customHeight="1">
      <c r="B938" s="411"/>
    </row>
    <row r="939" ht="15.75" customHeight="1">
      <c r="B939" s="411"/>
    </row>
    <row r="940" ht="15.75" customHeight="1">
      <c r="B940" s="411"/>
    </row>
    <row r="941" ht="15.75" customHeight="1">
      <c r="B941" s="411"/>
    </row>
    <row r="942" ht="15.75" customHeight="1">
      <c r="B942" s="411"/>
    </row>
    <row r="943" ht="15.75" customHeight="1">
      <c r="B943" s="411"/>
    </row>
    <row r="944" ht="15.75" customHeight="1">
      <c r="B944" s="411"/>
    </row>
    <row r="945" ht="15.75" customHeight="1">
      <c r="B945" s="411"/>
    </row>
    <row r="946" ht="15.75" customHeight="1">
      <c r="B946" s="411"/>
    </row>
    <row r="947" ht="15.75" customHeight="1">
      <c r="B947" s="411"/>
    </row>
    <row r="948" ht="15.75" customHeight="1">
      <c r="B948" s="411"/>
    </row>
    <row r="949" ht="15.75" customHeight="1">
      <c r="B949" s="411"/>
    </row>
    <row r="950" ht="15.75" customHeight="1">
      <c r="B950" s="411"/>
    </row>
    <row r="951" ht="15.75" customHeight="1">
      <c r="B951" s="411"/>
    </row>
    <row r="952" ht="15.75" customHeight="1">
      <c r="B952" s="411"/>
    </row>
    <row r="953" ht="15.75" customHeight="1">
      <c r="B953" s="411"/>
    </row>
    <row r="954" ht="15.75" customHeight="1">
      <c r="B954" s="411"/>
    </row>
    <row r="955" ht="15.75" customHeight="1">
      <c r="B955" s="411"/>
    </row>
  </sheetData>
  <mergeCells count="28">
    <mergeCell ref="A8:E8"/>
    <mergeCell ref="A9:A10"/>
    <mergeCell ref="A11:A12"/>
    <mergeCell ref="A13:A20"/>
    <mergeCell ref="A21:C21"/>
    <mergeCell ref="A24:A25"/>
    <mergeCell ref="A26:A27"/>
    <mergeCell ref="A28:C28"/>
    <mergeCell ref="A30:E30"/>
    <mergeCell ref="A31:A33"/>
    <mergeCell ref="A35:C35"/>
    <mergeCell ref="A36:C36"/>
    <mergeCell ref="A37:E37"/>
    <mergeCell ref="A38:A46"/>
    <mergeCell ref="A71:C71"/>
    <mergeCell ref="A101:C101"/>
    <mergeCell ref="A102:E102"/>
    <mergeCell ref="A108:C108"/>
    <mergeCell ref="A110:E110"/>
    <mergeCell ref="A118:C118"/>
    <mergeCell ref="A119:C119"/>
    <mergeCell ref="A48:C48"/>
    <mergeCell ref="A49:E49"/>
    <mergeCell ref="A50:E50"/>
    <mergeCell ref="A61:C61"/>
    <mergeCell ref="A62:E62"/>
    <mergeCell ref="A63:E63"/>
    <mergeCell ref="A72:E72"/>
  </mergeCells>
  <printOptions/>
  <pageMargins bottom="0.7480314960629921" footer="0.0" header="0.0" left="0.2362204724409449" right="0.2362204724409449" top="0.7480314960629921"/>
  <pageSetup paperSize="14" scale="5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29"/>
    <col customWidth="1" min="2" max="2" width="16.29"/>
    <col customWidth="1" min="3" max="3" width="18.43"/>
    <col customWidth="1" min="4" max="4" width="24.14"/>
    <col customWidth="1" min="5" max="5" width="18.57"/>
    <col customWidth="1" min="6" max="6" width="18.29"/>
    <col customWidth="1" min="7" max="7" width="33.86"/>
    <col customWidth="1" min="8" max="8" width="19.57"/>
    <col customWidth="1" min="9" max="9" width="17.86"/>
    <col customWidth="1" min="10" max="10" width="18.57"/>
    <col customWidth="1" min="11" max="11" width="16.43"/>
    <col customWidth="1" min="12" max="12" width="17.86"/>
    <col customWidth="1" min="13" max="13" width="24.86"/>
    <col customWidth="1" min="14" max="23" width="12.57"/>
  </cols>
  <sheetData>
    <row r="1" ht="27.0" customHeight="1">
      <c r="A1" s="412" t="s">
        <v>752</v>
      </c>
      <c r="B1" s="413"/>
      <c r="C1" s="413"/>
      <c r="D1" s="414"/>
      <c r="E1" s="414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</row>
    <row r="2" ht="27.0" customHeight="1">
      <c r="A2" s="336" t="s">
        <v>753</v>
      </c>
      <c r="B2" s="413"/>
      <c r="C2" s="413"/>
      <c r="D2" s="413"/>
      <c r="E2" s="413"/>
      <c r="F2" s="413"/>
      <c r="G2" s="413"/>
      <c r="H2" s="413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</row>
    <row r="3" ht="27.0" customHeight="1">
      <c r="A3" s="412" t="s">
        <v>754</v>
      </c>
      <c r="B3" s="415"/>
      <c r="C3" s="414"/>
      <c r="D3" s="414"/>
      <c r="E3" s="414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</row>
    <row r="4" ht="27.0" customHeight="1">
      <c r="A4" s="412" t="s">
        <v>3</v>
      </c>
      <c r="B4" s="415"/>
      <c r="C4" s="414"/>
      <c r="D4" s="414"/>
      <c r="E4" s="414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</row>
    <row r="5" ht="27.0" customHeight="1">
      <c r="A5" s="412" t="s">
        <v>4</v>
      </c>
      <c r="B5" s="415"/>
      <c r="C5" s="414"/>
      <c r="D5" s="414"/>
      <c r="E5" s="414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</row>
    <row r="6" ht="15.75" customHeight="1">
      <c r="A6" s="416"/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ht="15.75" customHeight="1">
      <c r="A7" s="363" t="s">
        <v>5</v>
      </c>
      <c r="B7" s="418" t="s">
        <v>6</v>
      </c>
      <c r="C7" s="419" t="s">
        <v>755</v>
      </c>
      <c r="D7" s="18"/>
      <c r="E7" s="362" t="s">
        <v>756</v>
      </c>
      <c r="F7" s="17"/>
      <c r="G7" s="17"/>
      <c r="H7" s="420" t="s">
        <v>757</v>
      </c>
      <c r="I7" s="421"/>
      <c r="J7" s="421"/>
      <c r="K7" s="421"/>
      <c r="L7" s="421"/>
      <c r="M7" s="14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ht="21.0" customHeight="1">
      <c r="A8" s="20"/>
      <c r="B8" s="422"/>
      <c r="C8" s="423" t="s">
        <v>16</v>
      </c>
      <c r="D8" s="22"/>
      <c r="E8" s="363" t="s">
        <v>14</v>
      </c>
      <c r="F8" s="424" t="s">
        <v>758</v>
      </c>
      <c r="G8" s="424" t="s">
        <v>16</v>
      </c>
      <c r="H8" s="425"/>
      <c r="I8" s="425"/>
      <c r="J8" s="425"/>
      <c r="K8" s="425"/>
      <c r="L8" s="425"/>
      <c r="M8" s="22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ht="21.0" customHeight="1">
      <c r="A9" s="20"/>
      <c r="B9" s="422"/>
      <c r="C9" s="426" t="s">
        <v>76</v>
      </c>
      <c r="D9" s="426" t="s">
        <v>759</v>
      </c>
      <c r="E9" s="20"/>
      <c r="F9" s="20"/>
      <c r="G9" s="28"/>
      <c r="H9" s="423" t="s">
        <v>11</v>
      </c>
      <c r="I9" s="22"/>
      <c r="J9" s="427" t="s">
        <v>12</v>
      </c>
      <c r="K9" s="22"/>
      <c r="L9" s="423" t="s">
        <v>13</v>
      </c>
      <c r="M9" s="22"/>
      <c r="N9" s="69"/>
      <c r="O9" s="69"/>
      <c r="P9" s="69"/>
      <c r="Q9" s="69"/>
      <c r="R9" s="69"/>
      <c r="S9" s="69"/>
      <c r="T9" s="69"/>
      <c r="U9" s="69"/>
      <c r="V9" s="69"/>
      <c r="W9" s="69"/>
    </row>
    <row r="10" ht="65.25" customHeight="1">
      <c r="A10" s="28"/>
      <c r="B10" s="22"/>
      <c r="C10" s="22"/>
      <c r="D10" s="22"/>
      <c r="E10" s="28"/>
      <c r="F10" s="28"/>
      <c r="G10" s="428" t="s">
        <v>760</v>
      </c>
      <c r="H10" s="429" t="s">
        <v>17</v>
      </c>
      <c r="I10" s="430" t="s">
        <v>761</v>
      </c>
      <c r="J10" s="430" t="s">
        <v>17</v>
      </c>
      <c r="K10" s="430" t="s">
        <v>761</v>
      </c>
      <c r="L10" s="429" t="s">
        <v>17</v>
      </c>
      <c r="M10" s="431" t="s">
        <v>18</v>
      </c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 ht="15.75" customHeight="1">
      <c r="A11" s="432" t="s">
        <v>151</v>
      </c>
      <c r="B11" s="433"/>
      <c r="C11" s="191"/>
      <c r="D11" s="192"/>
      <c r="E11" s="191"/>
      <c r="F11" s="191"/>
      <c r="G11" s="191"/>
      <c r="H11" s="191"/>
      <c r="I11" s="192"/>
      <c r="J11" s="434"/>
      <c r="K11" s="435"/>
      <c r="L11" s="191"/>
      <c r="M11" s="191"/>
      <c r="N11" s="69"/>
      <c r="O11" s="69"/>
      <c r="P11" s="69"/>
      <c r="Q11" s="69"/>
      <c r="R11" s="69"/>
      <c r="S11" s="69"/>
      <c r="T11" s="69"/>
      <c r="U11" s="69"/>
      <c r="V11" s="69"/>
      <c r="W11" s="69"/>
    </row>
    <row r="12">
      <c r="A12" s="432" t="s">
        <v>591</v>
      </c>
      <c r="B12" s="433"/>
      <c r="C12" s="191"/>
      <c r="D12" s="192"/>
      <c r="E12" s="191"/>
      <c r="F12" s="191"/>
      <c r="G12" s="191"/>
      <c r="H12" s="191"/>
      <c r="I12" s="192"/>
      <c r="J12" s="434"/>
      <c r="K12" s="435"/>
      <c r="L12" s="191"/>
      <c r="M12" s="191"/>
      <c r="N12" s="69"/>
      <c r="O12" s="69"/>
      <c r="P12" s="69"/>
      <c r="Q12" s="69"/>
      <c r="R12" s="69"/>
      <c r="S12" s="69"/>
      <c r="T12" s="69"/>
      <c r="U12" s="69"/>
      <c r="V12" s="69"/>
      <c r="W12" s="69"/>
    </row>
    <row r="13">
      <c r="A13" s="432" t="s">
        <v>762</v>
      </c>
      <c r="B13" s="433"/>
      <c r="C13" s="191"/>
      <c r="D13" s="192"/>
      <c r="E13" s="191"/>
      <c r="F13" s="191"/>
      <c r="G13" s="191"/>
      <c r="H13" s="191"/>
      <c r="I13" s="192"/>
      <c r="J13" s="434"/>
      <c r="K13" s="435"/>
      <c r="L13" s="191"/>
      <c r="M13" s="191"/>
      <c r="N13" s="69"/>
      <c r="O13" s="69"/>
      <c r="P13" s="69"/>
      <c r="Q13" s="69"/>
      <c r="R13" s="69"/>
      <c r="S13" s="69"/>
      <c r="T13" s="69"/>
      <c r="U13" s="69"/>
      <c r="V13" s="69"/>
      <c r="W13" s="69"/>
    </row>
    <row r="14">
      <c r="A14" s="432" t="s">
        <v>327</v>
      </c>
      <c r="B14" s="433"/>
      <c r="C14" s="191"/>
      <c r="D14" s="192"/>
      <c r="E14" s="191"/>
      <c r="F14" s="191"/>
      <c r="G14" s="191"/>
      <c r="H14" s="191"/>
      <c r="I14" s="192"/>
      <c r="J14" s="434"/>
      <c r="K14" s="435"/>
      <c r="L14" s="191"/>
      <c r="M14" s="191"/>
      <c r="N14" s="69"/>
      <c r="O14" s="69"/>
      <c r="P14" s="69"/>
      <c r="Q14" s="69"/>
      <c r="R14" s="69"/>
      <c r="S14" s="69"/>
      <c r="T14" s="69"/>
      <c r="U14" s="69"/>
      <c r="V14" s="69"/>
      <c r="W14" s="69"/>
    </row>
    <row r="15">
      <c r="A15" s="436" t="s">
        <v>763</v>
      </c>
      <c r="B15" s="433"/>
      <c r="C15" s="191"/>
      <c r="D15" s="192"/>
      <c r="E15" s="191"/>
      <c r="F15" s="191"/>
      <c r="G15" s="191"/>
      <c r="H15" s="191"/>
      <c r="I15" s="192"/>
      <c r="J15" s="434"/>
      <c r="K15" s="435"/>
      <c r="L15" s="191"/>
      <c r="M15" s="191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>
      <c r="A16" s="436" t="s">
        <v>764</v>
      </c>
      <c r="B16" s="433"/>
      <c r="C16" s="191"/>
      <c r="D16" s="192"/>
      <c r="E16" s="191"/>
      <c r="F16" s="191"/>
      <c r="G16" s="191"/>
      <c r="H16" s="191"/>
      <c r="I16" s="192"/>
      <c r="J16" s="434"/>
      <c r="K16" s="435"/>
      <c r="L16" s="191"/>
      <c r="M16" s="191"/>
      <c r="N16" s="69"/>
      <c r="O16" s="69"/>
      <c r="P16" s="69"/>
      <c r="Q16" s="69"/>
      <c r="R16" s="69"/>
      <c r="S16" s="69"/>
      <c r="T16" s="69"/>
      <c r="U16" s="69"/>
      <c r="V16" s="69"/>
      <c r="W16" s="69"/>
    </row>
    <row r="17">
      <c r="A17" s="432" t="s">
        <v>765</v>
      </c>
      <c r="B17" s="433"/>
      <c r="C17" s="191"/>
      <c r="D17" s="192"/>
      <c r="E17" s="191"/>
      <c r="F17" s="191"/>
      <c r="G17" s="191"/>
      <c r="H17" s="191"/>
      <c r="I17" s="192"/>
      <c r="J17" s="434"/>
      <c r="K17" s="435"/>
      <c r="L17" s="191"/>
      <c r="M17" s="191"/>
      <c r="N17" s="69"/>
      <c r="O17" s="69"/>
      <c r="P17" s="69"/>
      <c r="Q17" s="69"/>
      <c r="R17" s="69"/>
      <c r="S17" s="69"/>
      <c r="T17" s="69"/>
      <c r="U17" s="69"/>
      <c r="V17" s="69"/>
      <c r="W17" s="69"/>
    </row>
    <row r="18" ht="15.75" customHeight="1">
      <c r="A18" s="191"/>
      <c r="B18" s="433"/>
      <c r="C18" s="191"/>
      <c r="D18" s="192"/>
      <c r="E18" s="191"/>
      <c r="F18" s="191"/>
      <c r="G18" s="191"/>
      <c r="H18" s="191"/>
      <c r="I18" s="192"/>
      <c r="J18" s="434"/>
      <c r="K18" s="435"/>
      <c r="L18" s="191"/>
      <c r="M18" s="191"/>
      <c r="N18" s="69"/>
      <c r="O18" s="69"/>
      <c r="P18" s="69"/>
      <c r="Q18" s="69"/>
      <c r="R18" s="69"/>
      <c r="S18" s="69"/>
      <c r="T18" s="69"/>
      <c r="U18" s="69"/>
      <c r="V18" s="69"/>
      <c r="W18" s="69"/>
    </row>
    <row r="19" ht="15.75" customHeight="1">
      <c r="A19" s="191"/>
      <c r="B19" s="433"/>
      <c r="C19" s="191"/>
      <c r="D19" s="192"/>
      <c r="E19" s="191"/>
      <c r="F19" s="191"/>
      <c r="G19" s="191"/>
      <c r="H19" s="191"/>
      <c r="I19" s="192"/>
      <c r="J19" s="434"/>
      <c r="K19" s="435"/>
      <c r="L19" s="191"/>
      <c r="M19" s="191"/>
      <c r="N19" s="69"/>
      <c r="O19" s="69"/>
      <c r="P19" s="69"/>
      <c r="Q19" s="69"/>
      <c r="R19" s="69"/>
      <c r="S19" s="69"/>
      <c r="T19" s="69"/>
      <c r="U19" s="69"/>
      <c r="V19" s="69"/>
      <c r="W19" s="69"/>
    </row>
    <row r="20" ht="15.75" customHeight="1">
      <c r="A20" s="191"/>
      <c r="B20" s="433"/>
      <c r="C20" s="191"/>
      <c r="D20" s="192"/>
      <c r="E20" s="191"/>
      <c r="F20" s="191"/>
      <c r="G20" s="191"/>
      <c r="H20" s="191"/>
      <c r="I20" s="192"/>
      <c r="J20" s="434"/>
      <c r="K20" s="435"/>
      <c r="L20" s="191"/>
      <c r="M20" s="191"/>
      <c r="N20" s="69"/>
      <c r="O20" s="69"/>
      <c r="P20" s="69"/>
      <c r="Q20" s="69"/>
      <c r="R20" s="69"/>
      <c r="S20" s="69"/>
      <c r="T20" s="69"/>
      <c r="U20" s="69"/>
      <c r="V20" s="69"/>
      <c r="W20" s="69"/>
    </row>
    <row r="21" ht="15.75" customHeight="1">
      <c r="A21" s="191"/>
      <c r="B21" s="433"/>
      <c r="C21" s="191"/>
      <c r="D21" s="192"/>
      <c r="E21" s="191"/>
      <c r="F21" s="191"/>
      <c r="G21" s="191"/>
      <c r="H21" s="191"/>
      <c r="I21" s="192"/>
      <c r="J21" s="434"/>
      <c r="K21" s="435"/>
      <c r="L21" s="191"/>
      <c r="M21" s="191"/>
      <c r="N21" s="69"/>
      <c r="O21" s="69"/>
      <c r="P21" s="69"/>
      <c r="Q21" s="69"/>
      <c r="R21" s="69"/>
      <c r="S21" s="69"/>
      <c r="T21" s="69"/>
      <c r="U21" s="69"/>
      <c r="V21" s="69"/>
      <c r="W21" s="69"/>
    </row>
    <row r="22" ht="15.75" customHeight="1">
      <c r="A22" s="191"/>
      <c r="B22" s="433"/>
      <c r="C22" s="191"/>
      <c r="D22" s="192"/>
      <c r="E22" s="191"/>
      <c r="F22" s="191"/>
      <c r="G22" s="191"/>
      <c r="H22" s="191"/>
      <c r="I22" s="192"/>
      <c r="J22" s="434"/>
      <c r="K22" s="435"/>
      <c r="L22" s="191"/>
      <c r="M22" s="191"/>
      <c r="N22" s="69"/>
      <c r="O22" s="69"/>
      <c r="P22" s="69"/>
      <c r="Q22" s="69"/>
      <c r="R22" s="69"/>
      <c r="S22" s="69"/>
      <c r="T22" s="69"/>
      <c r="U22" s="69"/>
      <c r="V22" s="69"/>
      <c r="W22" s="69"/>
    </row>
    <row r="23" ht="15.75" customHeight="1">
      <c r="A23" s="191"/>
      <c r="B23" s="433"/>
      <c r="C23" s="191"/>
      <c r="D23" s="192"/>
      <c r="E23" s="191"/>
      <c r="F23" s="191"/>
      <c r="G23" s="191"/>
      <c r="H23" s="191"/>
      <c r="I23" s="192"/>
      <c r="J23" s="434"/>
      <c r="K23" s="435"/>
      <c r="L23" s="191"/>
      <c r="M23" s="191"/>
      <c r="N23" s="69"/>
      <c r="O23" s="69"/>
      <c r="P23" s="69"/>
      <c r="Q23" s="69"/>
      <c r="R23" s="69"/>
      <c r="S23" s="69"/>
      <c r="T23" s="69"/>
      <c r="U23" s="69"/>
      <c r="V23" s="69"/>
      <c r="W23" s="69"/>
    </row>
    <row r="24" ht="15.75" customHeight="1">
      <c r="A24" s="191"/>
      <c r="B24" s="433"/>
      <c r="C24" s="191"/>
      <c r="D24" s="192"/>
      <c r="E24" s="191"/>
      <c r="F24" s="191"/>
      <c r="G24" s="191"/>
      <c r="H24" s="191"/>
      <c r="I24" s="192"/>
      <c r="J24" s="434"/>
      <c r="K24" s="435"/>
      <c r="L24" s="191"/>
      <c r="M24" s="191"/>
      <c r="N24" s="69"/>
      <c r="O24" s="69"/>
      <c r="P24" s="69"/>
      <c r="Q24" s="69"/>
      <c r="R24" s="69"/>
      <c r="S24" s="69"/>
      <c r="T24" s="69"/>
      <c r="U24" s="69"/>
      <c r="V24" s="69"/>
      <c r="W24" s="69"/>
    </row>
    <row r="25" ht="15.75" customHeight="1">
      <c r="A25" s="191"/>
      <c r="B25" s="433"/>
      <c r="C25" s="191"/>
      <c r="D25" s="192"/>
      <c r="E25" s="191"/>
      <c r="F25" s="191"/>
      <c r="G25" s="191"/>
      <c r="H25" s="191"/>
      <c r="I25" s="192"/>
      <c r="J25" s="434"/>
      <c r="K25" s="435"/>
      <c r="L25" s="191"/>
      <c r="M25" s="191"/>
      <c r="N25" s="69"/>
      <c r="O25" s="69"/>
      <c r="P25" s="69"/>
      <c r="Q25" s="69"/>
      <c r="R25" s="69"/>
      <c r="S25" s="69"/>
      <c r="T25" s="69"/>
      <c r="U25" s="69"/>
      <c r="V25" s="69"/>
      <c r="W25" s="69"/>
    </row>
    <row r="26" ht="15.75" customHeight="1">
      <c r="A26" s="191"/>
      <c r="B26" s="433"/>
      <c r="C26" s="191"/>
      <c r="D26" s="192"/>
      <c r="E26" s="191"/>
      <c r="F26" s="191"/>
      <c r="G26" s="191"/>
      <c r="H26" s="191"/>
      <c r="I26" s="192"/>
      <c r="J26" s="434"/>
      <c r="K26" s="435"/>
      <c r="L26" s="191"/>
      <c r="M26" s="191"/>
      <c r="N26" s="69"/>
      <c r="O26" s="69"/>
      <c r="P26" s="69"/>
      <c r="Q26" s="69"/>
      <c r="R26" s="69"/>
      <c r="S26" s="69"/>
      <c r="T26" s="69"/>
      <c r="U26" s="69"/>
      <c r="V26" s="69"/>
      <c r="W26" s="69"/>
    </row>
    <row r="27" ht="15.75" customHeight="1">
      <c r="A27" s="191"/>
      <c r="B27" s="433"/>
      <c r="C27" s="191"/>
      <c r="D27" s="192"/>
      <c r="E27" s="191"/>
      <c r="F27" s="191"/>
      <c r="G27" s="191"/>
      <c r="H27" s="191"/>
      <c r="I27" s="192"/>
      <c r="J27" s="434"/>
      <c r="K27" s="435"/>
      <c r="L27" s="191"/>
      <c r="M27" s="191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ht="15.75" customHeight="1">
      <c r="A28" s="191"/>
      <c r="B28" s="433"/>
      <c r="C28" s="191"/>
      <c r="D28" s="192"/>
      <c r="E28" s="191"/>
      <c r="F28" s="191"/>
      <c r="G28" s="191"/>
      <c r="H28" s="191"/>
      <c r="I28" s="192"/>
      <c r="J28" s="434"/>
      <c r="K28" s="435"/>
      <c r="L28" s="191"/>
      <c r="M28" s="191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ht="15.75" customHeight="1">
      <c r="A29" s="191"/>
      <c r="B29" s="433"/>
      <c r="C29" s="191"/>
      <c r="D29" s="192"/>
      <c r="E29" s="191"/>
      <c r="F29" s="191"/>
      <c r="G29" s="191"/>
      <c r="H29" s="191"/>
      <c r="I29" s="192"/>
      <c r="J29" s="434"/>
      <c r="K29" s="435"/>
      <c r="L29" s="191"/>
      <c r="M29" s="191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ht="15.75" customHeight="1">
      <c r="A30" s="191"/>
      <c r="B30" s="433"/>
      <c r="C30" s="191"/>
      <c r="D30" s="192"/>
      <c r="E30" s="191"/>
      <c r="F30" s="191"/>
      <c r="G30" s="191"/>
      <c r="H30" s="191"/>
      <c r="I30" s="192"/>
      <c r="J30" s="434"/>
      <c r="K30" s="435"/>
      <c r="L30" s="191"/>
      <c r="M30" s="191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ht="15.75" customHeight="1">
      <c r="A31" s="191"/>
      <c r="B31" s="433"/>
      <c r="C31" s="191"/>
      <c r="D31" s="192"/>
      <c r="E31" s="191"/>
      <c r="F31" s="191"/>
      <c r="G31" s="191"/>
      <c r="H31" s="191"/>
      <c r="I31" s="192"/>
      <c r="J31" s="434"/>
      <c r="K31" s="435"/>
      <c r="L31" s="191"/>
      <c r="M31" s="191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ht="15.75" customHeight="1">
      <c r="A32" s="191"/>
      <c r="B32" s="433"/>
      <c r="C32" s="191"/>
      <c r="D32" s="192"/>
      <c r="E32" s="191"/>
      <c r="F32" s="191"/>
      <c r="G32" s="191"/>
      <c r="H32" s="191"/>
      <c r="I32" s="192"/>
      <c r="J32" s="434"/>
      <c r="K32" s="435"/>
      <c r="L32" s="191"/>
      <c r="M32" s="191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ht="15.75" customHeight="1">
      <c r="A33" s="191"/>
      <c r="B33" s="433"/>
      <c r="C33" s="191"/>
      <c r="D33" s="192"/>
      <c r="E33" s="191"/>
      <c r="F33" s="191"/>
      <c r="G33" s="191"/>
      <c r="H33" s="191"/>
      <c r="I33" s="192"/>
      <c r="J33" s="434"/>
      <c r="K33" s="435"/>
      <c r="L33" s="191"/>
      <c r="M33" s="191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 ht="15.75" customHeight="1">
      <c r="A34" s="191"/>
      <c r="B34" s="433"/>
      <c r="C34" s="191"/>
      <c r="D34" s="192"/>
      <c r="E34" s="191"/>
      <c r="F34" s="191"/>
      <c r="G34" s="191"/>
      <c r="H34" s="191"/>
      <c r="I34" s="192"/>
      <c r="J34" s="434"/>
      <c r="K34" s="435"/>
      <c r="L34" s="191"/>
      <c r="M34" s="191"/>
      <c r="N34" s="69"/>
      <c r="O34" s="69"/>
      <c r="P34" s="69"/>
      <c r="Q34" s="69"/>
      <c r="R34" s="69"/>
      <c r="S34" s="69"/>
      <c r="T34" s="69"/>
      <c r="U34" s="69"/>
      <c r="V34" s="69"/>
      <c r="W34" s="69"/>
    </row>
    <row r="35" ht="15.75" customHeight="1">
      <c r="A35" s="191"/>
      <c r="B35" s="433"/>
      <c r="C35" s="191"/>
      <c r="D35" s="192"/>
      <c r="E35" s="191"/>
      <c r="F35" s="191"/>
      <c r="G35" s="191"/>
      <c r="H35" s="191"/>
      <c r="I35" s="192"/>
      <c r="J35" s="434"/>
      <c r="K35" s="435"/>
      <c r="L35" s="191"/>
      <c r="M35" s="191"/>
      <c r="N35" s="69"/>
      <c r="O35" s="69"/>
      <c r="P35" s="69"/>
      <c r="Q35" s="69"/>
      <c r="R35" s="69"/>
      <c r="S35" s="69"/>
      <c r="T35" s="69"/>
      <c r="U35" s="69"/>
      <c r="V35" s="69"/>
      <c r="W35" s="69"/>
    </row>
    <row r="36" ht="15.75" customHeight="1">
      <c r="A36" s="191"/>
      <c r="B36" s="433"/>
      <c r="C36" s="191"/>
      <c r="D36" s="192"/>
      <c r="E36" s="191"/>
      <c r="F36" s="191"/>
      <c r="G36" s="191"/>
      <c r="H36" s="191"/>
      <c r="I36" s="192"/>
      <c r="J36" s="434"/>
      <c r="K36" s="435"/>
      <c r="L36" s="191"/>
      <c r="M36" s="191"/>
      <c r="N36" s="69"/>
      <c r="O36" s="69"/>
      <c r="P36" s="69"/>
      <c r="Q36" s="69"/>
      <c r="R36" s="69"/>
      <c r="S36" s="69"/>
      <c r="T36" s="69"/>
      <c r="U36" s="69"/>
      <c r="V36" s="69"/>
      <c r="W36" s="69"/>
    </row>
    <row r="37" ht="15.75" customHeight="1">
      <c r="A37" s="191"/>
      <c r="B37" s="433"/>
      <c r="C37" s="191"/>
      <c r="D37" s="192"/>
      <c r="E37" s="191"/>
      <c r="F37" s="191"/>
      <c r="G37" s="191"/>
      <c r="H37" s="191"/>
      <c r="I37" s="192"/>
      <c r="J37" s="434"/>
      <c r="K37" s="435"/>
      <c r="L37" s="191"/>
      <c r="M37" s="191"/>
      <c r="N37" s="69"/>
      <c r="O37" s="69"/>
      <c r="P37" s="69"/>
      <c r="Q37" s="69"/>
      <c r="R37" s="69"/>
      <c r="S37" s="69"/>
      <c r="T37" s="69"/>
      <c r="U37" s="69"/>
      <c r="V37" s="69"/>
      <c r="W37" s="69"/>
    </row>
    <row r="38" ht="15.75" customHeight="1">
      <c r="A38" s="191"/>
      <c r="B38" s="433"/>
      <c r="C38" s="191"/>
      <c r="D38" s="192"/>
      <c r="E38" s="191"/>
      <c r="F38" s="191"/>
      <c r="G38" s="191"/>
      <c r="H38" s="191"/>
      <c r="I38" s="192"/>
      <c r="J38" s="434"/>
      <c r="K38" s="435"/>
      <c r="L38" s="191"/>
      <c r="M38" s="191"/>
      <c r="N38" s="69"/>
      <c r="O38" s="69"/>
      <c r="P38" s="69"/>
      <c r="Q38" s="69"/>
      <c r="R38" s="69"/>
      <c r="S38" s="69"/>
      <c r="T38" s="69"/>
      <c r="U38" s="69"/>
      <c r="V38" s="69"/>
      <c r="W38" s="69"/>
    </row>
    <row r="39" ht="15.75" customHeight="1">
      <c r="A39" s="191"/>
      <c r="B39" s="433"/>
      <c r="C39" s="191"/>
      <c r="D39" s="191"/>
      <c r="E39" s="191"/>
      <c r="F39" s="191"/>
      <c r="G39" s="191"/>
      <c r="H39" s="191"/>
      <c r="I39" s="191"/>
      <c r="J39" s="434"/>
      <c r="K39" s="435"/>
      <c r="L39" s="191"/>
      <c r="M39" s="191"/>
      <c r="N39" s="69"/>
      <c r="O39" s="69"/>
      <c r="P39" s="69"/>
      <c r="Q39" s="69"/>
      <c r="R39" s="69"/>
      <c r="S39" s="69"/>
      <c r="T39" s="69"/>
      <c r="U39" s="69"/>
      <c r="V39" s="69"/>
      <c r="W39" s="69"/>
    </row>
    <row r="40" ht="15.75" customHeight="1">
      <c r="A40" s="191"/>
      <c r="B40" s="433"/>
      <c r="C40" s="191"/>
      <c r="D40" s="191"/>
      <c r="E40" s="191"/>
      <c r="F40" s="191"/>
      <c r="G40" s="191"/>
      <c r="H40" s="191"/>
      <c r="I40" s="191"/>
      <c r="J40" s="434"/>
      <c r="K40" s="435"/>
      <c r="L40" s="191"/>
      <c r="M40" s="191"/>
      <c r="N40" s="69"/>
      <c r="O40" s="69"/>
      <c r="P40" s="69"/>
      <c r="Q40" s="69"/>
      <c r="R40" s="69"/>
      <c r="S40" s="69"/>
      <c r="T40" s="69"/>
      <c r="U40" s="69"/>
      <c r="V40" s="69"/>
      <c r="W40" s="69"/>
    </row>
    <row r="41" ht="15.75" customHeight="1">
      <c r="A41" s="191"/>
      <c r="B41" s="433"/>
      <c r="C41" s="191"/>
      <c r="D41" s="191"/>
      <c r="E41" s="191"/>
      <c r="F41" s="191"/>
      <c r="G41" s="191"/>
      <c r="H41" s="191"/>
      <c r="I41" s="191"/>
      <c r="J41" s="434"/>
      <c r="K41" s="435"/>
      <c r="L41" s="191"/>
      <c r="M41" s="191"/>
      <c r="N41" s="69"/>
      <c r="O41" s="69"/>
      <c r="P41" s="69"/>
      <c r="Q41" s="69"/>
      <c r="R41" s="69"/>
      <c r="S41" s="69"/>
      <c r="T41" s="69"/>
      <c r="U41" s="69"/>
      <c r="V41" s="69"/>
      <c r="W41" s="69"/>
    </row>
    <row r="42" ht="15.75" customHeight="1">
      <c r="A42" s="191"/>
      <c r="B42" s="433"/>
      <c r="C42" s="191"/>
      <c r="D42" s="191"/>
      <c r="E42" s="191"/>
      <c r="F42" s="191"/>
      <c r="G42" s="191"/>
      <c r="H42" s="191"/>
      <c r="I42" s="191"/>
      <c r="J42" s="434"/>
      <c r="K42" s="435"/>
      <c r="L42" s="191"/>
      <c r="M42" s="191"/>
      <c r="N42" s="69"/>
      <c r="O42" s="69"/>
      <c r="P42" s="69"/>
      <c r="Q42" s="69"/>
      <c r="R42" s="69"/>
      <c r="S42" s="69"/>
      <c r="T42" s="69"/>
      <c r="U42" s="69"/>
      <c r="V42" s="69"/>
      <c r="W42" s="69"/>
    </row>
    <row r="43" ht="15.75" customHeight="1">
      <c r="A43" s="191"/>
      <c r="B43" s="433"/>
      <c r="C43" s="191"/>
      <c r="D43" s="191">
        <v>0.0</v>
      </c>
      <c r="E43" s="191"/>
      <c r="F43" s="191">
        <v>0.0</v>
      </c>
      <c r="G43" s="191"/>
      <c r="H43" s="191"/>
      <c r="I43" s="191"/>
      <c r="J43" s="434"/>
      <c r="K43" s="435"/>
      <c r="L43" s="191"/>
      <c r="M43" s="191">
        <v>0.0</v>
      </c>
      <c r="N43" s="69"/>
      <c r="O43" s="69"/>
      <c r="P43" s="69"/>
      <c r="Q43" s="69"/>
      <c r="R43" s="69"/>
      <c r="S43" s="69"/>
      <c r="T43" s="69"/>
      <c r="U43" s="69"/>
      <c r="V43" s="69"/>
      <c r="W43" s="69"/>
    </row>
    <row r="44" ht="15.75" customHeight="1">
      <c r="A44" s="437"/>
      <c r="B44" s="437"/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69"/>
      <c r="O44" s="69"/>
      <c r="P44" s="69"/>
      <c r="Q44" s="69"/>
      <c r="R44" s="69"/>
      <c r="S44" s="69"/>
      <c r="T44" s="69"/>
      <c r="U44" s="69"/>
      <c r="V44" s="69"/>
      <c r="W44" s="69"/>
    </row>
    <row r="45" ht="15.75" customHeight="1">
      <c r="A45" s="230" t="s">
        <v>64</v>
      </c>
      <c r="B45" s="438"/>
      <c r="C45" s="439" t="s">
        <v>766</v>
      </c>
      <c r="D45" s="440"/>
      <c r="E45" s="440"/>
      <c r="F45" s="438"/>
      <c r="G45" s="60"/>
      <c r="H45" s="441" t="s">
        <v>550</v>
      </c>
      <c r="I45" s="440"/>
      <c r="J45" s="440"/>
      <c r="K45" s="442"/>
      <c r="L45" s="442"/>
      <c r="M45" s="232" t="s">
        <v>767</v>
      </c>
      <c r="N45" s="443"/>
      <c r="O45" s="442"/>
      <c r="P45" s="444"/>
      <c r="Q45" s="444"/>
      <c r="R45" s="444"/>
      <c r="S45" s="444"/>
      <c r="T45" s="444"/>
      <c r="U45" s="444"/>
      <c r="V45" s="444"/>
      <c r="W45" s="444"/>
    </row>
    <row r="46" ht="15.75" customHeight="1">
      <c r="A46" s="234"/>
      <c r="B46" s="233"/>
      <c r="C46" s="233"/>
      <c r="D46" s="233"/>
      <c r="E46" s="445"/>
      <c r="F46" s="233"/>
      <c r="G46" s="234"/>
      <c r="H46" s="234"/>
      <c r="I46" s="233"/>
      <c r="J46" s="234"/>
      <c r="K46" s="234"/>
      <c r="L46" s="233"/>
      <c r="M46" s="234"/>
      <c r="N46" s="446"/>
      <c r="O46" s="234"/>
      <c r="P46" s="69"/>
      <c r="Q46" s="69"/>
      <c r="R46" s="69"/>
      <c r="S46" s="69"/>
      <c r="T46" s="69"/>
      <c r="U46" s="69"/>
      <c r="V46" s="69"/>
      <c r="W46" s="69"/>
    </row>
    <row r="47" ht="15.75" customHeight="1">
      <c r="A47" s="234"/>
      <c r="B47" s="233"/>
      <c r="C47" s="233"/>
      <c r="D47" s="233"/>
      <c r="E47" s="445"/>
      <c r="F47" s="233"/>
      <c r="G47" s="234"/>
      <c r="H47" s="234"/>
      <c r="I47" s="233"/>
      <c r="J47" s="234"/>
      <c r="K47" s="234"/>
      <c r="L47" s="233"/>
      <c r="M47" s="234"/>
      <c r="N47" s="446"/>
      <c r="O47" s="234"/>
      <c r="P47" s="69"/>
      <c r="Q47" s="69"/>
      <c r="R47" s="69"/>
      <c r="S47" s="69"/>
      <c r="T47" s="69"/>
      <c r="U47" s="69"/>
      <c r="V47" s="69"/>
      <c r="W47" s="69"/>
    </row>
    <row r="48" ht="15.75" customHeight="1">
      <c r="A48" s="234"/>
      <c r="B48" s="233"/>
      <c r="C48" s="233"/>
      <c r="D48" s="233"/>
      <c r="E48" s="445"/>
      <c r="F48" s="233"/>
      <c r="G48" s="234"/>
      <c r="H48" s="234"/>
      <c r="I48" s="233"/>
      <c r="J48" s="234"/>
      <c r="K48" s="234"/>
      <c r="L48" s="233"/>
      <c r="M48" s="234"/>
      <c r="N48" s="446"/>
      <c r="O48" s="234"/>
      <c r="P48" s="69"/>
      <c r="Q48" s="69"/>
      <c r="R48" s="69"/>
      <c r="S48" s="69"/>
      <c r="T48" s="69"/>
      <c r="U48" s="69"/>
      <c r="V48" s="69"/>
      <c r="W48" s="69"/>
    </row>
    <row r="49" ht="15.75" customHeight="1">
      <c r="A49" s="234"/>
      <c r="B49" s="233"/>
      <c r="C49" s="233"/>
      <c r="D49" s="233"/>
      <c r="E49" s="445"/>
      <c r="F49" s="233"/>
      <c r="G49" s="234"/>
      <c r="H49" s="234"/>
      <c r="I49" s="233"/>
      <c r="J49" s="234"/>
      <c r="K49" s="234"/>
      <c r="L49" s="233"/>
      <c r="M49" s="234"/>
      <c r="N49" s="446"/>
      <c r="O49" s="234"/>
      <c r="P49" s="69"/>
      <c r="Q49" s="69"/>
      <c r="R49" s="69"/>
      <c r="S49" s="69"/>
      <c r="T49" s="69"/>
      <c r="U49" s="69"/>
      <c r="V49" s="69"/>
      <c r="W49" s="69"/>
    </row>
    <row r="50" ht="15.75" customHeight="1">
      <c r="A50" s="71" t="s">
        <v>768</v>
      </c>
      <c r="B50" s="447"/>
      <c r="C50" s="71" t="s">
        <v>67</v>
      </c>
      <c r="D50" s="447"/>
      <c r="E50" s="350"/>
      <c r="F50" s="447"/>
      <c r="G50" s="71"/>
      <c r="H50" s="448" t="s">
        <v>69</v>
      </c>
      <c r="I50" s="440"/>
      <c r="J50" s="440"/>
      <c r="K50" s="278"/>
      <c r="L50" s="278"/>
      <c r="M50" s="71" t="s">
        <v>70</v>
      </c>
      <c r="N50" s="278"/>
      <c r="O50" s="278"/>
      <c r="P50" s="250"/>
      <c r="Q50" s="250"/>
      <c r="R50" s="250"/>
      <c r="S50" s="250"/>
      <c r="T50" s="250"/>
      <c r="U50" s="250"/>
      <c r="V50" s="250"/>
      <c r="W50" s="250"/>
    </row>
    <row r="51" ht="15.75" customHeight="1">
      <c r="A51" s="230" t="s">
        <v>769</v>
      </c>
      <c r="B51" s="438"/>
      <c r="C51" s="60" t="s">
        <v>770</v>
      </c>
      <c r="D51" s="438"/>
      <c r="E51" s="449"/>
      <c r="F51" s="438"/>
      <c r="G51" s="60"/>
      <c r="H51" s="441" t="s">
        <v>71</v>
      </c>
      <c r="I51" s="440"/>
      <c r="J51" s="440"/>
      <c r="K51" s="442"/>
      <c r="L51" s="442"/>
      <c r="M51" s="60" t="s">
        <v>72</v>
      </c>
      <c r="N51" s="442"/>
      <c r="O51" s="442"/>
      <c r="P51" s="444"/>
      <c r="Q51" s="444"/>
      <c r="R51" s="444"/>
      <c r="S51" s="444"/>
      <c r="T51" s="444"/>
      <c r="U51" s="444"/>
      <c r="V51" s="444"/>
      <c r="W51" s="444"/>
    </row>
    <row r="52" ht="15.75" customHeight="1">
      <c r="A52" s="74" t="s">
        <v>771</v>
      </c>
      <c r="B52" s="438"/>
      <c r="C52" s="438"/>
      <c r="D52" s="449"/>
      <c r="E52" s="449"/>
      <c r="F52" s="449"/>
      <c r="G52" s="449"/>
      <c r="H52" s="449"/>
      <c r="I52" s="449"/>
      <c r="J52" s="449"/>
      <c r="K52" s="450"/>
      <c r="L52" s="450"/>
      <c r="M52" s="450"/>
      <c r="N52" s="450"/>
      <c r="O52" s="450"/>
      <c r="P52" s="444"/>
      <c r="Q52" s="444"/>
      <c r="R52" s="444"/>
      <c r="S52" s="444"/>
      <c r="T52" s="444"/>
      <c r="U52" s="444"/>
      <c r="V52" s="444"/>
      <c r="W52" s="444"/>
    </row>
    <row r="53" ht="15.75" customHeight="1">
      <c r="A53" s="437"/>
      <c r="B53" s="437"/>
      <c r="C53" s="437"/>
      <c r="D53" s="437"/>
      <c r="E53" s="437"/>
      <c r="F53" s="437"/>
      <c r="G53" s="437"/>
      <c r="H53" s="437"/>
      <c r="I53" s="437"/>
      <c r="J53" s="437"/>
      <c r="K53" s="437"/>
      <c r="L53" s="437"/>
      <c r="M53" s="437"/>
      <c r="N53" s="69"/>
      <c r="O53" s="69"/>
      <c r="P53" s="69"/>
      <c r="Q53" s="69"/>
      <c r="R53" s="69"/>
      <c r="S53" s="69"/>
      <c r="T53" s="69"/>
      <c r="U53" s="69"/>
      <c r="V53" s="69"/>
      <c r="W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F8:F10"/>
    <mergeCell ref="G8:G9"/>
    <mergeCell ref="C9:C10"/>
    <mergeCell ref="D9:D10"/>
    <mergeCell ref="C45:E45"/>
    <mergeCell ref="H9:I9"/>
    <mergeCell ref="J9:K9"/>
    <mergeCell ref="H45:J45"/>
    <mergeCell ref="H50:J50"/>
    <mergeCell ref="H51:J51"/>
    <mergeCell ref="A7:A10"/>
    <mergeCell ref="B7:B10"/>
    <mergeCell ref="C7:D7"/>
    <mergeCell ref="E7:G7"/>
    <mergeCell ref="H7:M8"/>
    <mergeCell ref="C8:D8"/>
    <mergeCell ref="E8:E10"/>
    <mergeCell ref="L9:M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68.43"/>
    <col customWidth="1" min="2" max="2" width="21.71"/>
    <col customWidth="1" min="3" max="3" width="23.0"/>
    <col customWidth="1" min="4" max="4" width="24.43"/>
    <col customWidth="1" min="5" max="5" width="22.71"/>
    <col customWidth="1" min="6" max="6" width="26.14"/>
    <col customWidth="1" min="7" max="13" width="22.71"/>
  </cols>
  <sheetData>
    <row r="1">
      <c r="A1" s="177" t="s">
        <v>0</v>
      </c>
      <c r="B1" s="451"/>
      <c r="C1" s="452"/>
      <c r="D1" s="452"/>
      <c r="E1" s="452"/>
      <c r="F1" s="452"/>
      <c r="G1" s="85"/>
      <c r="H1" s="85"/>
      <c r="I1" s="85"/>
      <c r="J1" s="85"/>
      <c r="K1" s="86"/>
      <c r="L1" s="85"/>
      <c r="M1" s="85"/>
    </row>
    <row r="2">
      <c r="A2" s="6" t="s">
        <v>1</v>
      </c>
      <c r="B2" s="180"/>
      <c r="C2" s="452"/>
      <c r="D2" s="452"/>
      <c r="E2" s="452"/>
      <c r="F2" s="452"/>
      <c r="G2" s="87"/>
      <c r="H2" s="88"/>
      <c r="K2" s="86"/>
      <c r="L2" s="87"/>
      <c r="M2" s="87"/>
    </row>
    <row r="3">
      <c r="A3" s="453" t="s">
        <v>772</v>
      </c>
      <c r="B3" s="451"/>
      <c r="C3" s="452"/>
      <c r="D3" s="452"/>
      <c r="E3" s="452"/>
      <c r="F3" s="452"/>
      <c r="G3" s="87"/>
      <c r="K3" s="87"/>
      <c r="L3" s="87"/>
      <c r="M3" s="87"/>
    </row>
    <row r="4">
      <c r="A4" s="453" t="s">
        <v>3</v>
      </c>
      <c r="B4" s="451"/>
      <c r="C4" s="452"/>
      <c r="D4" s="452"/>
      <c r="E4" s="452"/>
      <c r="F4" s="452"/>
      <c r="G4" s="87"/>
      <c r="K4" s="87"/>
      <c r="L4" s="87"/>
      <c r="M4" s="87"/>
    </row>
    <row r="5">
      <c r="A5" s="453" t="s">
        <v>605</v>
      </c>
      <c r="B5" s="451"/>
      <c r="C5" s="452"/>
      <c r="D5" s="452"/>
      <c r="E5" s="452"/>
      <c r="F5" s="452"/>
      <c r="G5" s="87"/>
      <c r="H5" s="87"/>
      <c r="I5" s="87"/>
      <c r="J5" s="87"/>
      <c r="K5" s="87"/>
      <c r="L5" s="87"/>
      <c r="M5" s="87"/>
    </row>
    <row r="6">
      <c r="A6" s="454"/>
      <c r="B6" s="455"/>
      <c r="C6" s="456"/>
      <c r="D6" s="456"/>
      <c r="E6" s="456"/>
      <c r="F6" s="456"/>
      <c r="G6" s="87"/>
      <c r="H6" s="87"/>
      <c r="I6" s="87"/>
      <c r="J6" s="87"/>
      <c r="K6" s="87"/>
      <c r="L6" s="87"/>
      <c r="M6" s="87"/>
    </row>
    <row r="7">
      <c r="A7" s="457" t="s">
        <v>5</v>
      </c>
      <c r="B7" s="457" t="s">
        <v>6</v>
      </c>
      <c r="C7" s="185" t="s">
        <v>7</v>
      </c>
      <c r="D7" s="14"/>
      <c r="E7" s="94" t="s">
        <v>8</v>
      </c>
      <c r="F7" s="14"/>
      <c r="G7" s="95" t="s">
        <v>9</v>
      </c>
      <c r="H7" s="17"/>
      <c r="I7" s="17"/>
      <c r="J7" s="17"/>
      <c r="K7" s="17"/>
      <c r="L7" s="18"/>
      <c r="M7" s="96" t="s">
        <v>773</v>
      </c>
    </row>
    <row r="8">
      <c r="A8" s="20"/>
      <c r="B8" s="20"/>
      <c r="C8" s="21"/>
      <c r="D8" s="22"/>
      <c r="E8" s="21"/>
      <c r="F8" s="22"/>
      <c r="G8" s="95" t="s">
        <v>11</v>
      </c>
      <c r="H8" s="18"/>
      <c r="I8" s="95" t="s">
        <v>12</v>
      </c>
      <c r="J8" s="18"/>
      <c r="K8" s="95" t="s">
        <v>13</v>
      </c>
      <c r="L8" s="18"/>
      <c r="M8" s="20"/>
    </row>
    <row r="9">
      <c r="A9" s="20"/>
      <c r="B9" s="20"/>
      <c r="C9" s="186" t="s">
        <v>14</v>
      </c>
      <c r="D9" s="187" t="s">
        <v>15</v>
      </c>
      <c r="E9" s="94" t="s">
        <v>16</v>
      </c>
      <c r="F9" s="14"/>
      <c r="G9" s="100" t="s">
        <v>17</v>
      </c>
      <c r="H9" s="101" t="s">
        <v>18</v>
      </c>
      <c r="I9" s="100" t="s">
        <v>17</v>
      </c>
      <c r="J9" s="101" t="s">
        <v>18</v>
      </c>
      <c r="K9" s="100" t="s">
        <v>17</v>
      </c>
      <c r="L9" s="101" t="s">
        <v>18</v>
      </c>
      <c r="M9" s="20"/>
    </row>
    <row r="10" ht="56.25" customHeight="1">
      <c r="A10" s="20"/>
      <c r="B10" s="28"/>
      <c r="C10" s="28"/>
      <c r="D10" s="28"/>
      <c r="E10" s="104" t="s">
        <v>17</v>
      </c>
      <c r="F10" s="105" t="s">
        <v>18</v>
      </c>
      <c r="G10" s="28"/>
      <c r="H10" s="28"/>
      <c r="I10" s="28"/>
      <c r="J10" s="28"/>
      <c r="K10" s="28"/>
      <c r="L10" s="28"/>
      <c r="M10" s="28"/>
    </row>
    <row r="11" ht="51.75" customHeight="1">
      <c r="A11" s="458" t="s">
        <v>774</v>
      </c>
      <c r="B11" s="459"/>
      <c r="C11" s="369"/>
      <c r="D11" s="460">
        <v>225.0</v>
      </c>
      <c r="E11" s="369"/>
      <c r="F11" s="460">
        <v>287.5</v>
      </c>
      <c r="G11" s="461"/>
      <c r="H11" s="462">
        <v>265.0</v>
      </c>
      <c r="I11" s="460"/>
      <c r="J11" s="460"/>
      <c r="K11" s="461"/>
      <c r="L11" s="462">
        <v>265.0</v>
      </c>
      <c r="M11" s="460"/>
    </row>
    <row r="12" ht="43.5" customHeight="1">
      <c r="A12" s="458" t="s">
        <v>775</v>
      </c>
      <c r="B12" s="463"/>
      <c r="C12" s="369"/>
      <c r="D12" s="464"/>
      <c r="E12" s="369"/>
      <c r="F12" s="464"/>
      <c r="G12" s="461"/>
      <c r="H12" s="461"/>
      <c r="I12" s="460"/>
      <c r="J12" s="460"/>
      <c r="K12" s="461"/>
      <c r="L12" s="461"/>
      <c r="M12" s="460"/>
    </row>
    <row r="13" ht="72.0" customHeight="1">
      <c r="A13" s="365" t="s">
        <v>776</v>
      </c>
      <c r="B13" s="465" t="s">
        <v>33</v>
      </c>
      <c r="C13" s="466"/>
      <c r="D13" s="464"/>
      <c r="E13" s="369">
        <v>1.0</v>
      </c>
      <c r="F13" s="461"/>
      <c r="G13" s="467">
        <v>1.0</v>
      </c>
      <c r="H13" s="461"/>
      <c r="I13" s="460"/>
      <c r="J13" s="460"/>
      <c r="K13" s="467">
        <v>1.0</v>
      </c>
      <c r="L13" s="461"/>
      <c r="M13" s="462" t="s">
        <v>723</v>
      </c>
    </row>
    <row r="14" ht="70.5" customHeight="1">
      <c r="A14" s="365" t="s">
        <v>777</v>
      </c>
      <c r="B14" s="465" t="s">
        <v>778</v>
      </c>
      <c r="C14" s="466">
        <v>1.0</v>
      </c>
      <c r="D14" s="464"/>
      <c r="E14" s="369">
        <v>1.0</v>
      </c>
      <c r="F14" s="461"/>
      <c r="G14" s="461"/>
      <c r="H14" s="461"/>
      <c r="I14" s="460"/>
      <c r="J14" s="460"/>
      <c r="K14" s="461"/>
      <c r="L14" s="461"/>
      <c r="M14" s="460"/>
    </row>
    <row r="15" ht="54.75" customHeight="1">
      <c r="A15" s="458" t="s">
        <v>779</v>
      </c>
      <c r="B15" s="468"/>
      <c r="C15" s="466"/>
      <c r="D15" s="464"/>
      <c r="E15" s="369">
        <v>4.0</v>
      </c>
      <c r="F15" s="464"/>
      <c r="G15" s="461"/>
      <c r="H15" s="461"/>
      <c r="I15" s="460"/>
      <c r="J15" s="460"/>
      <c r="K15" s="461"/>
      <c r="L15" s="461"/>
      <c r="M15" s="460"/>
    </row>
    <row r="16" ht="55.5" customHeight="1">
      <c r="A16" s="365" t="s">
        <v>780</v>
      </c>
      <c r="B16" s="469" t="s">
        <v>778</v>
      </c>
      <c r="C16" s="466">
        <v>3.0</v>
      </c>
      <c r="D16" s="464"/>
      <c r="E16" s="369">
        <v>8.0</v>
      </c>
      <c r="F16" s="461"/>
      <c r="G16" s="467">
        <v>3.0</v>
      </c>
      <c r="H16" s="461"/>
      <c r="I16" s="460"/>
      <c r="J16" s="460"/>
      <c r="K16" s="467">
        <v>3.0</v>
      </c>
      <c r="L16" s="461"/>
      <c r="M16" s="462" t="s">
        <v>723</v>
      </c>
    </row>
    <row r="17" ht="37.5" customHeight="1">
      <c r="A17" s="458" t="s">
        <v>781</v>
      </c>
      <c r="B17" s="468"/>
      <c r="C17" s="466"/>
      <c r="D17" s="464"/>
      <c r="E17" s="369"/>
      <c r="F17" s="464"/>
      <c r="G17" s="461"/>
      <c r="H17" s="461"/>
      <c r="I17" s="460"/>
      <c r="J17" s="460"/>
      <c r="K17" s="461"/>
      <c r="L17" s="461"/>
      <c r="M17" s="460"/>
    </row>
    <row r="18" ht="43.5" customHeight="1">
      <c r="A18" s="365" t="s">
        <v>782</v>
      </c>
      <c r="B18" s="469" t="s">
        <v>778</v>
      </c>
      <c r="C18" s="466">
        <v>3.0</v>
      </c>
      <c r="D18" s="371"/>
      <c r="E18" s="369">
        <v>4.0</v>
      </c>
      <c r="F18" s="390"/>
      <c r="G18" s="467">
        <v>3.0</v>
      </c>
      <c r="H18" s="461"/>
      <c r="I18" s="460"/>
      <c r="J18" s="460"/>
      <c r="K18" s="467">
        <v>3.0</v>
      </c>
      <c r="L18" s="461"/>
      <c r="M18" s="462" t="s">
        <v>723</v>
      </c>
    </row>
    <row r="19" ht="34.5" customHeight="1">
      <c r="A19" s="365" t="s">
        <v>783</v>
      </c>
      <c r="B19" s="469" t="s">
        <v>778</v>
      </c>
      <c r="C19" s="466">
        <v>3.0</v>
      </c>
      <c r="D19" s="371"/>
      <c r="E19" s="369">
        <v>4.0</v>
      </c>
      <c r="F19" s="390"/>
      <c r="G19" s="467">
        <v>3.0</v>
      </c>
      <c r="H19" s="461"/>
      <c r="I19" s="460"/>
      <c r="J19" s="460"/>
      <c r="K19" s="467">
        <v>3.0</v>
      </c>
      <c r="L19" s="461"/>
      <c r="M19" s="462" t="s">
        <v>723</v>
      </c>
    </row>
    <row r="20">
      <c r="A20" s="470"/>
      <c r="B20" s="468"/>
      <c r="C20" s="471"/>
      <c r="D20" s="371"/>
      <c r="E20" s="472"/>
      <c r="F20" s="371"/>
      <c r="G20" s="461"/>
      <c r="H20" s="461"/>
      <c r="I20" s="460"/>
      <c r="J20" s="460"/>
      <c r="K20" s="461"/>
      <c r="L20" s="461"/>
      <c r="M20" s="460"/>
    </row>
    <row r="21" ht="55.5" customHeight="1">
      <c r="A21" s="458" t="s">
        <v>784</v>
      </c>
      <c r="B21" s="468"/>
      <c r="C21" s="471"/>
      <c r="D21" s="473">
        <f>SUM(D22:D23)</f>
        <v>2491</v>
      </c>
      <c r="E21" s="473"/>
      <c r="F21" s="473">
        <f>SUM(F22:F23)</f>
        <v>2710</v>
      </c>
      <c r="G21" s="461"/>
      <c r="H21" s="461">
        <f>H22</f>
        <v>1516</v>
      </c>
      <c r="I21" s="460"/>
      <c r="J21" s="460"/>
      <c r="K21" s="461"/>
      <c r="L21" s="461">
        <f>L22</f>
        <v>1516</v>
      </c>
      <c r="M21" s="460"/>
    </row>
    <row r="22" ht="45.0" customHeight="1">
      <c r="A22" s="365" t="s">
        <v>785</v>
      </c>
      <c r="B22" s="469" t="s">
        <v>778</v>
      </c>
      <c r="C22" s="474">
        <v>3.0</v>
      </c>
      <c r="D22" s="475">
        <v>2396.0</v>
      </c>
      <c r="E22" s="476">
        <v>2.0</v>
      </c>
      <c r="F22" s="390">
        <v>2510.0</v>
      </c>
      <c r="G22" s="467">
        <v>3.0</v>
      </c>
      <c r="H22" s="467">
        <v>1516.0</v>
      </c>
      <c r="I22" s="460"/>
      <c r="J22" s="460"/>
      <c r="K22" s="467">
        <v>3.0</v>
      </c>
      <c r="L22" s="467">
        <v>1516.0</v>
      </c>
      <c r="M22" s="462" t="s">
        <v>723</v>
      </c>
    </row>
    <row r="23" ht="39.0" customHeight="1">
      <c r="A23" s="365" t="s">
        <v>786</v>
      </c>
      <c r="B23" s="469" t="s">
        <v>33</v>
      </c>
      <c r="C23" s="474">
        <v>1.0</v>
      </c>
      <c r="D23" s="475">
        <v>95.0</v>
      </c>
      <c r="E23" s="476">
        <v>4.0</v>
      </c>
      <c r="F23" s="390">
        <v>200.0</v>
      </c>
      <c r="G23" s="461"/>
      <c r="H23" s="461"/>
      <c r="I23" s="460"/>
      <c r="J23" s="460"/>
      <c r="K23" s="461"/>
      <c r="L23" s="461"/>
      <c r="M23" s="460"/>
    </row>
    <row r="24" ht="27.0" customHeight="1">
      <c r="A24" s="470"/>
      <c r="B24" s="468"/>
      <c r="C24" s="364"/>
      <c r="D24" s="371"/>
      <c r="E24" s="476" t="str">
        <f>#REF!</f>
        <v>#REF!</v>
      </c>
      <c r="F24" s="371"/>
      <c r="G24" s="461"/>
      <c r="H24" s="461"/>
      <c r="I24" s="460"/>
      <c r="J24" s="460"/>
      <c r="K24" s="461"/>
      <c r="L24" s="461"/>
      <c r="M24" s="460"/>
    </row>
    <row r="25" ht="43.5" customHeight="1">
      <c r="A25" s="458" t="s">
        <v>787</v>
      </c>
      <c r="B25" s="468"/>
      <c r="C25" s="477"/>
      <c r="D25" s="473">
        <f>D26+D27</f>
        <v>150</v>
      </c>
      <c r="E25" s="473"/>
      <c r="F25" s="473">
        <f>F26</f>
        <v>287.5</v>
      </c>
      <c r="G25" s="461"/>
      <c r="H25" s="467">
        <v>326.0</v>
      </c>
      <c r="I25" s="460"/>
      <c r="J25" s="460"/>
      <c r="K25" s="461"/>
      <c r="L25" s="467">
        <v>326.0</v>
      </c>
      <c r="M25" s="460"/>
    </row>
    <row r="26" ht="54.0" customHeight="1">
      <c r="A26" s="365" t="s">
        <v>788</v>
      </c>
      <c r="B26" s="469" t="s">
        <v>33</v>
      </c>
      <c r="C26" s="466">
        <v>2.0</v>
      </c>
      <c r="D26" s="390">
        <v>150.0</v>
      </c>
      <c r="E26" s="476">
        <v>8.0</v>
      </c>
      <c r="F26" s="390">
        <v>287.5</v>
      </c>
      <c r="G26" s="467">
        <v>3.0</v>
      </c>
      <c r="H26" s="461"/>
      <c r="I26" s="460"/>
      <c r="J26" s="460"/>
      <c r="K26" s="467">
        <v>3.0</v>
      </c>
      <c r="L26" s="461"/>
      <c r="M26" s="462" t="s">
        <v>723</v>
      </c>
    </row>
    <row r="27" ht="33.0" customHeight="1">
      <c r="A27" s="365" t="s">
        <v>789</v>
      </c>
      <c r="B27" s="469" t="s">
        <v>778</v>
      </c>
      <c r="C27" s="478"/>
      <c r="D27" s="390"/>
      <c r="E27" s="476"/>
      <c r="F27" s="479"/>
      <c r="G27" s="467">
        <v>1.0</v>
      </c>
      <c r="H27" s="461"/>
      <c r="I27" s="460"/>
      <c r="J27" s="460"/>
      <c r="K27" s="467">
        <v>1.0</v>
      </c>
      <c r="L27" s="461"/>
      <c r="M27" s="462" t="s">
        <v>723</v>
      </c>
    </row>
    <row r="28" ht="21.75" customHeight="1">
      <c r="A28" s="480"/>
      <c r="B28" s="365"/>
      <c r="C28" s="371"/>
      <c r="D28" s="371"/>
      <c r="E28" s="481"/>
      <c r="F28" s="482"/>
      <c r="G28" s="460"/>
      <c r="H28" s="460"/>
      <c r="I28" s="460"/>
      <c r="J28" s="460"/>
      <c r="K28" s="460"/>
      <c r="L28" s="460"/>
      <c r="M28" s="460"/>
    </row>
    <row r="29" ht="36.0" hidden="1" customHeight="1">
      <c r="A29" s="483" t="s">
        <v>790</v>
      </c>
      <c r="B29" s="365"/>
      <c r="C29" s="481"/>
      <c r="D29" s="473">
        <v>0.0</v>
      </c>
      <c r="E29" s="481"/>
      <c r="F29" s="473">
        <v>0.0</v>
      </c>
      <c r="G29" s="460"/>
      <c r="H29" s="460"/>
      <c r="I29" s="460"/>
      <c r="J29" s="460"/>
      <c r="K29" s="460"/>
      <c r="L29" s="460"/>
      <c r="M29" s="460"/>
    </row>
    <row r="30" ht="27.0" hidden="1" customHeight="1">
      <c r="A30" s="369" t="s">
        <v>791</v>
      </c>
      <c r="B30" s="365"/>
      <c r="C30" s="371"/>
      <c r="D30" s="371"/>
      <c r="E30" s="481"/>
      <c r="F30" s="371"/>
      <c r="G30" s="460"/>
      <c r="H30" s="460"/>
      <c r="I30" s="460"/>
      <c r="J30" s="460"/>
      <c r="K30" s="460"/>
      <c r="L30" s="460"/>
      <c r="M30" s="460"/>
    </row>
    <row r="31" ht="34.5" hidden="1" customHeight="1">
      <c r="A31" s="365" t="s">
        <v>792</v>
      </c>
      <c r="B31" s="365"/>
      <c r="C31" s="481"/>
      <c r="D31" s="371"/>
      <c r="E31" s="481"/>
      <c r="F31" s="482"/>
      <c r="G31" s="460"/>
      <c r="H31" s="460"/>
      <c r="I31" s="460"/>
      <c r="J31" s="460"/>
      <c r="K31" s="460"/>
      <c r="L31" s="460"/>
      <c r="M31" s="460"/>
    </row>
    <row r="32" ht="27.0" hidden="1" customHeight="1">
      <c r="A32" s="365" t="s">
        <v>793</v>
      </c>
      <c r="B32" s="365"/>
      <c r="C32" s="481"/>
      <c r="D32" s="371"/>
      <c r="E32" s="481"/>
      <c r="F32" s="482"/>
      <c r="G32" s="460"/>
      <c r="H32" s="460"/>
      <c r="I32" s="460"/>
      <c r="J32" s="460"/>
      <c r="K32" s="460"/>
      <c r="L32" s="460"/>
      <c r="M32" s="460"/>
    </row>
    <row r="33" ht="37.5" hidden="1" customHeight="1">
      <c r="A33" s="365" t="s">
        <v>794</v>
      </c>
      <c r="B33" s="365"/>
      <c r="C33" s="481"/>
      <c r="D33" s="371"/>
      <c r="E33" s="481"/>
      <c r="F33" s="482"/>
      <c r="G33" s="460"/>
      <c r="H33" s="460"/>
      <c r="I33" s="460"/>
      <c r="J33" s="460"/>
      <c r="K33" s="460"/>
      <c r="L33" s="460"/>
      <c r="M33" s="460"/>
    </row>
    <row r="34" ht="39.0" hidden="1" customHeight="1">
      <c r="A34" s="458" t="s">
        <v>795</v>
      </c>
      <c r="B34" s="365"/>
      <c r="C34" s="481"/>
      <c r="D34" s="371"/>
      <c r="E34" s="481"/>
      <c r="F34" s="482"/>
      <c r="G34" s="460"/>
      <c r="H34" s="460"/>
      <c r="I34" s="460"/>
      <c r="J34" s="460"/>
      <c r="K34" s="460"/>
      <c r="L34" s="460"/>
      <c r="M34" s="460"/>
    </row>
    <row r="35" ht="36.0" hidden="1" customHeight="1">
      <c r="A35" s="365" t="s">
        <v>796</v>
      </c>
      <c r="B35" s="365"/>
      <c r="C35" s="481"/>
      <c r="D35" s="371"/>
      <c r="E35" s="481"/>
      <c r="F35" s="482"/>
      <c r="G35" s="460"/>
      <c r="H35" s="460"/>
      <c r="I35" s="460"/>
      <c r="J35" s="460"/>
      <c r="K35" s="460"/>
      <c r="L35" s="460"/>
      <c r="M35" s="460"/>
    </row>
    <row r="36" ht="45.0" hidden="1" customHeight="1">
      <c r="A36" s="365" t="s">
        <v>797</v>
      </c>
      <c r="B36" s="365"/>
      <c r="C36" s="481"/>
      <c r="D36" s="371"/>
      <c r="E36" s="481"/>
      <c r="F36" s="482"/>
      <c r="G36" s="460"/>
      <c r="H36" s="460"/>
      <c r="I36" s="460"/>
      <c r="J36" s="460"/>
      <c r="K36" s="460"/>
      <c r="L36" s="460"/>
      <c r="M36" s="460"/>
    </row>
    <row r="37" ht="27.0" hidden="1" customHeight="1">
      <c r="A37" s="458" t="s">
        <v>798</v>
      </c>
      <c r="B37" s="365"/>
      <c r="C37" s="481"/>
      <c r="D37" s="371"/>
      <c r="E37" s="481"/>
      <c r="F37" s="482"/>
      <c r="G37" s="460"/>
      <c r="H37" s="460"/>
      <c r="I37" s="460"/>
      <c r="J37" s="460"/>
      <c r="K37" s="460"/>
      <c r="L37" s="460"/>
      <c r="M37" s="460"/>
    </row>
    <row r="38" ht="40.5" hidden="1" customHeight="1">
      <c r="A38" s="365" t="s">
        <v>799</v>
      </c>
      <c r="B38" s="365"/>
      <c r="C38" s="481"/>
      <c r="D38" s="371"/>
      <c r="E38" s="481"/>
      <c r="F38" s="482"/>
      <c r="G38" s="460"/>
      <c r="H38" s="460"/>
      <c r="I38" s="460"/>
      <c r="J38" s="460"/>
      <c r="K38" s="460"/>
      <c r="L38" s="460"/>
      <c r="M38" s="460"/>
    </row>
    <row r="39" ht="49.5" hidden="1" customHeight="1">
      <c r="A39" s="365" t="s">
        <v>800</v>
      </c>
      <c r="B39" s="365"/>
      <c r="C39" s="481"/>
      <c r="D39" s="371"/>
      <c r="E39" s="481"/>
      <c r="F39" s="482"/>
      <c r="G39" s="460"/>
      <c r="H39" s="460"/>
      <c r="I39" s="460"/>
      <c r="J39" s="460"/>
      <c r="K39" s="460"/>
      <c r="L39" s="460"/>
      <c r="M39" s="460"/>
    </row>
    <row r="40" ht="33.0" hidden="1" customHeight="1">
      <c r="A40" s="365" t="s">
        <v>801</v>
      </c>
      <c r="B40" s="365"/>
      <c r="C40" s="481"/>
      <c r="D40" s="371"/>
      <c r="E40" s="481"/>
      <c r="F40" s="482"/>
      <c r="G40" s="460"/>
      <c r="H40" s="460"/>
      <c r="I40" s="460"/>
      <c r="J40" s="460"/>
      <c r="K40" s="460"/>
      <c r="L40" s="460"/>
      <c r="M40" s="460"/>
    </row>
    <row r="41" ht="42.0" hidden="1" customHeight="1">
      <c r="A41" s="458" t="s">
        <v>802</v>
      </c>
      <c r="B41" s="365"/>
      <c r="C41" s="371"/>
      <c r="D41" s="371"/>
      <c r="E41" s="481"/>
      <c r="F41" s="482"/>
      <c r="G41" s="460"/>
      <c r="H41" s="460"/>
      <c r="I41" s="460"/>
      <c r="J41" s="460"/>
      <c r="K41" s="460"/>
      <c r="L41" s="460"/>
      <c r="M41" s="460"/>
    </row>
    <row r="42" ht="45.0" hidden="1" customHeight="1">
      <c r="A42" s="458" t="s">
        <v>803</v>
      </c>
      <c r="B42" s="365"/>
      <c r="C42" s="371"/>
      <c r="D42" s="371"/>
      <c r="E42" s="481"/>
      <c r="F42" s="482"/>
      <c r="G42" s="460"/>
      <c r="H42" s="460"/>
      <c r="I42" s="460"/>
      <c r="J42" s="460"/>
      <c r="K42" s="460"/>
      <c r="L42" s="460"/>
      <c r="M42" s="460"/>
    </row>
    <row r="43" ht="34.5" hidden="1" customHeight="1">
      <c r="A43" s="365" t="s">
        <v>804</v>
      </c>
      <c r="B43" s="365"/>
      <c r="C43" s="371"/>
      <c r="D43" s="371"/>
      <c r="E43" s="481"/>
      <c r="F43" s="482"/>
      <c r="G43" s="460"/>
      <c r="H43" s="460"/>
      <c r="I43" s="460"/>
      <c r="J43" s="460"/>
      <c r="K43" s="460"/>
      <c r="L43" s="460"/>
      <c r="M43" s="460"/>
    </row>
    <row r="44" ht="43.5" hidden="1" customHeight="1">
      <c r="A44" s="365" t="s">
        <v>805</v>
      </c>
      <c r="B44" s="365"/>
      <c r="C44" s="371"/>
      <c r="D44" s="371"/>
      <c r="E44" s="481"/>
      <c r="F44" s="482"/>
      <c r="G44" s="460"/>
      <c r="H44" s="460"/>
      <c r="I44" s="460"/>
      <c r="J44" s="460"/>
      <c r="K44" s="460"/>
      <c r="L44" s="460"/>
      <c r="M44" s="460"/>
    </row>
    <row r="45" ht="40.5" hidden="1" customHeight="1">
      <c r="A45" s="458" t="s">
        <v>806</v>
      </c>
      <c r="B45" s="365"/>
      <c r="C45" s="371"/>
      <c r="D45" s="371"/>
      <c r="E45" s="481"/>
      <c r="F45" s="371"/>
      <c r="G45" s="460"/>
      <c r="H45" s="460"/>
      <c r="I45" s="460"/>
      <c r="J45" s="460"/>
      <c r="K45" s="460"/>
      <c r="L45" s="460"/>
      <c r="M45" s="460"/>
    </row>
    <row r="46" ht="27.0" hidden="1" customHeight="1">
      <c r="A46" s="365"/>
      <c r="B46" s="365"/>
      <c r="C46" s="371"/>
      <c r="D46" s="371"/>
      <c r="E46" s="481"/>
      <c r="F46" s="371"/>
      <c r="G46" s="460"/>
      <c r="H46" s="460"/>
      <c r="I46" s="460"/>
      <c r="J46" s="460"/>
      <c r="K46" s="460"/>
      <c r="L46" s="460"/>
      <c r="M46" s="460"/>
    </row>
    <row r="47" ht="28.5" customHeight="1">
      <c r="A47" s="484" t="s">
        <v>63</v>
      </c>
      <c r="B47" s="365"/>
      <c r="C47" s="390"/>
      <c r="D47" s="473">
        <f>D29+D25+D21+D11</f>
        <v>2866</v>
      </c>
      <c r="E47" s="481"/>
      <c r="F47" s="473">
        <f>F29+F25+F21+F11</f>
        <v>3285</v>
      </c>
      <c r="G47" s="460"/>
      <c r="H47" s="460">
        <f>H11+H21+H25</f>
        <v>2107</v>
      </c>
      <c r="I47" s="460"/>
      <c r="J47" s="485">
        <v>0.0</v>
      </c>
      <c r="K47" s="460"/>
      <c r="L47" s="460">
        <f>L11+L21+L25</f>
        <v>2107</v>
      </c>
      <c r="M47" s="460"/>
    </row>
    <row r="48" ht="15.75" customHeight="1">
      <c r="A48" s="486" t="s">
        <v>807</v>
      </c>
      <c r="B48" s="234"/>
      <c r="C48" s="445"/>
      <c r="D48" s="445"/>
      <c r="E48" s="445"/>
      <c r="F48" s="445"/>
      <c r="G48" s="487"/>
      <c r="H48" s="487"/>
      <c r="I48" s="487"/>
      <c r="J48" s="487"/>
      <c r="K48" s="487"/>
      <c r="L48" s="487"/>
      <c r="M48" s="487"/>
    </row>
    <row r="49" ht="20.25" customHeight="1">
      <c r="A49" s="270"/>
      <c r="B49" s="65"/>
      <c r="C49" s="170"/>
      <c r="F49" s="65"/>
      <c r="G49" s="171"/>
      <c r="H49" s="488"/>
      <c r="I49" s="488"/>
      <c r="J49" s="488"/>
      <c r="K49" s="488"/>
      <c r="L49" s="488"/>
      <c r="M49" s="488"/>
    </row>
    <row r="50" ht="20.25" customHeight="1">
      <c r="A50" s="270" t="s">
        <v>64</v>
      </c>
      <c r="B50" s="65" t="s">
        <v>65</v>
      </c>
      <c r="C50" s="170"/>
      <c r="F50" s="65" t="s">
        <v>66</v>
      </c>
      <c r="G50" s="171"/>
      <c r="H50" s="488"/>
      <c r="I50" s="488"/>
      <c r="J50" s="488"/>
      <c r="K50" s="488"/>
      <c r="L50" s="488"/>
      <c r="M50" s="488"/>
    </row>
    <row r="51" ht="15.75" customHeight="1">
      <c r="A51" s="278"/>
      <c r="B51" s="86"/>
      <c r="C51" s="170"/>
      <c r="F51" s="86"/>
      <c r="G51" s="171"/>
      <c r="H51" s="489"/>
      <c r="I51" s="489"/>
      <c r="J51" s="489"/>
      <c r="K51" s="489"/>
      <c r="L51" s="489"/>
      <c r="M51" s="489"/>
    </row>
    <row r="52" ht="15.75" customHeight="1">
      <c r="A52" s="278"/>
      <c r="B52" s="86"/>
      <c r="C52" s="170"/>
      <c r="F52" s="86"/>
      <c r="G52" s="171"/>
      <c r="H52" s="489"/>
      <c r="I52" s="489"/>
      <c r="J52" s="489"/>
      <c r="K52" s="489"/>
      <c r="L52" s="489"/>
      <c r="M52" s="489"/>
    </row>
    <row r="53">
      <c r="A53" s="71" t="s">
        <v>67</v>
      </c>
      <c r="B53" s="72" t="s">
        <v>69</v>
      </c>
      <c r="C53" s="174"/>
      <c r="F53" s="72" t="s">
        <v>70</v>
      </c>
      <c r="G53" s="171"/>
      <c r="H53" s="489"/>
      <c r="I53" s="489"/>
      <c r="J53" s="489"/>
      <c r="K53" s="489"/>
      <c r="L53" s="489"/>
      <c r="M53" s="489"/>
    </row>
    <row r="54">
      <c r="A54" s="270" t="s">
        <v>68</v>
      </c>
      <c r="B54" s="65" t="s">
        <v>71</v>
      </c>
      <c r="C54" s="87"/>
      <c r="F54" s="65" t="s">
        <v>72</v>
      </c>
      <c r="G54" s="171"/>
      <c r="H54" s="489"/>
      <c r="I54" s="489"/>
      <c r="J54" s="489"/>
      <c r="K54" s="489"/>
      <c r="L54" s="489"/>
      <c r="M54" s="489"/>
    </row>
    <row r="55" ht="15.75" customHeight="1">
      <c r="E55" s="490"/>
      <c r="F55" s="490"/>
      <c r="G55" s="489"/>
      <c r="H55" s="489"/>
      <c r="I55" s="489"/>
      <c r="J55" s="489"/>
      <c r="K55" s="489"/>
      <c r="L55" s="489"/>
      <c r="M55" s="489"/>
    </row>
    <row r="56" ht="15.75" customHeight="1">
      <c r="A56" s="285"/>
      <c r="B56" s="285"/>
      <c r="C56" s="285"/>
      <c r="D56" s="286"/>
      <c r="E56" s="490"/>
      <c r="F56" s="490"/>
      <c r="G56" s="489"/>
      <c r="H56" s="489"/>
      <c r="I56" s="489"/>
      <c r="J56" s="489"/>
      <c r="K56" s="489"/>
      <c r="L56" s="489"/>
      <c r="M56" s="489"/>
    </row>
    <row r="57" ht="15.75" customHeight="1">
      <c r="A57" s="490"/>
      <c r="B57" s="490"/>
      <c r="C57" s="490"/>
      <c r="D57" s="490"/>
      <c r="E57" s="490"/>
      <c r="F57" s="490"/>
      <c r="G57" s="489"/>
      <c r="H57" s="489"/>
      <c r="I57" s="489"/>
      <c r="J57" s="489"/>
      <c r="K57" s="489"/>
      <c r="L57" s="489"/>
      <c r="M57" s="489"/>
    </row>
    <row r="58" ht="15.75" customHeight="1">
      <c r="A58" s="490"/>
      <c r="B58" s="490"/>
      <c r="C58" s="490"/>
      <c r="D58" s="490"/>
      <c r="E58" s="490"/>
      <c r="F58" s="490"/>
      <c r="G58" s="489"/>
      <c r="H58" s="489"/>
      <c r="I58" s="489"/>
      <c r="J58" s="489"/>
      <c r="K58" s="489"/>
      <c r="L58" s="489"/>
      <c r="M58" s="489"/>
    </row>
    <row r="59" ht="15.75" customHeight="1">
      <c r="A59" s="490"/>
      <c r="B59" s="490"/>
      <c r="C59" s="490"/>
      <c r="D59" s="490"/>
      <c r="E59" s="490"/>
      <c r="F59" s="490"/>
      <c r="G59" s="489"/>
      <c r="H59" s="489"/>
      <c r="I59" s="489"/>
      <c r="J59" s="489"/>
      <c r="K59" s="489"/>
      <c r="L59" s="489"/>
      <c r="M59" s="489"/>
    </row>
    <row r="60" ht="15.75" customHeight="1">
      <c r="A60" s="490"/>
      <c r="B60" s="490"/>
      <c r="C60" s="490"/>
      <c r="D60" s="490"/>
      <c r="E60" s="490"/>
      <c r="F60" s="490"/>
      <c r="G60" s="489"/>
      <c r="H60" s="489"/>
      <c r="I60" s="489"/>
      <c r="J60" s="489"/>
      <c r="K60" s="489"/>
      <c r="L60" s="489"/>
      <c r="M60" s="489"/>
    </row>
    <row r="61" ht="15.75" customHeight="1">
      <c r="A61" s="490"/>
      <c r="B61" s="490"/>
      <c r="C61" s="490"/>
      <c r="D61" s="490"/>
      <c r="E61" s="490"/>
      <c r="F61" s="490"/>
      <c r="G61" s="489"/>
      <c r="H61" s="489"/>
      <c r="I61" s="489"/>
      <c r="J61" s="489"/>
      <c r="K61" s="489"/>
      <c r="L61" s="489"/>
      <c r="M61" s="489"/>
    </row>
    <row r="62" ht="15.75" customHeight="1">
      <c r="A62" s="490"/>
      <c r="B62" s="490"/>
      <c r="C62" s="490"/>
      <c r="D62" s="490"/>
      <c r="E62" s="490"/>
      <c r="F62" s="490"/>
      <c r="G62" s="489"/>
      <c r="H62" s="489"/>
      <c r="I62" s="489"/>
      <c r="J62" s="489"/>
      <c r="K62" s="489"/>
      <c r="L62" s="489"/>
      <c r="M62" s="489"/>
    </row>
    <row r="63" ht="15.75" customHeight="1">
      <c r="A63" s="490"/>
      <c r="B63" s="490"/>
      <c r="C63" s="490"/>
      <c r="D63" s="490"/>
      <c r="E63" s="490"/>
      <c r="F63" s="490"/>
      <c r="G63" s="489"/>
      <c r="H63" s="489"/>
      <c r="I63" s="489"/>
      <c r="J63" s="489"/>
      <c r="K63" s="489"/>
      <c r="L63" s="489"/>
      <c r="M63" s="489"/>
    </row>
    <row r="64" ht="15.75" customHeight="1">
      <c r="A64" s="490"/>
      <c r="B64" s="490"/>
      <c r="C64" s="490"/>
      <c r="D64" s="490"/>
      <c r="E64" s="490"/>
      <c r="F64" s="490"/>
      <c r="G64" s="489"/>
      <c r="H64" s="489"/>
      <c r="I64" s="489"/>
      <c r="J64" s="489"/>
      <c r="K64" s="489"/>
      <c r="L64" s="489"/>
      <c r="M64" s="489"/>
    </row>
    <row r="65" ht="15.75" customHeight="1">
      <c r="A65" s="490"/>
      <c r="B65" s="490"/>
      <c r="C65" s="490"/>
      <c r="D65" s="490"/>
      <c r="E65" s="490"/>
      <c r="F65" s="490"/>
      <c r="G65" s="489"/>
      <c r="H65" s="489"/>
      <c r="I65" s="489"/>
      <c r="J65" s="489"/>
      <c r="K65" s="489"/>
      <c r="L65" s="489"/>
      <c r="M65" s="489"/>
    </row>
    <row r="66" ht="15.75" customHeight="1">
      <c r="A66" s="490"/>
      <c r="B66" s="490"/>
      <c r="C66" s="490"/>
      <c r="D66" s="490"/>
      <c r="E66" s="490"/>
      <c r="F66" s="490"/>
      <c r="G66" s="489"/>
      <c r="H66" s="489"/>
      <c r="I66" s="489"/>
      <c r="J66" s="489"/>
      <c r="K66" s="489"/>
      <c r="L66" s="489"/>
      <c r="M66" s="489"/>
    </row>
    <row r="67" ht="15.75" customHeight="1">
      <c r="A67" s="490"/>
      <c r="B67" s="490"/>
      <c r="C67" s="490"/>
      <c r="D67" s="490"/>
      <c r="E67" s="490"/>
      <c r="F67" s="490"/>
      <c r="G67" s="489"/>
      <c r="H67" s="489"/>
      <c r="I67" s="489"/>
      <c r="J67" s="489"/>
      <c r="K67" s="489"/>
      <c r="L67" s="489"/>
      <c r="M67" s="489"/>
    </row>
    <row r="68" ht="15.75" customHeight="1">
      <c r="A68" s="490"/>
      <c r="B68" s="490"/>
      <c r="C68" s="490"/>
      <c r="D68" s="490"/>
      <c r="E68" s="490"/>
      <c r="F68" s="490"/>
      <c r="G68" s="489"/>
      <c r="H68" s="489"/>
      <c r="I68" s="489"/>
      <c r="J68" s="489"/>
      <c r="K68" s="489"/>
      <c r="L68" s="489"/>
      <c r="M68" s="489"/>
    </row>
    <row r="69" ht="15.75" customHeight="1">
      <c r="A69" s="490"/>
      <c r="B69" s="490"/>
      <c r="C69" s="490"/>
      <c r="D69" s="490"/>
      <c r="E69" s="490"/>
      <c r="F69" s="490"/>
      <c r="G69" s="489"/>
      <c r="H69" s="489"/>
      <c r="I69" s="489"/>
      <c r="J69" s="489"/>
      <c r="K69" s="489"/>
      <c r="L69" s="489"/>
      <c r="M69" s="489"/>
    </row>
    <row r="70" ht="15.75" customHeight="1">
      <c r="A70" s="490"/>
      <c r="B70" s="490"/>
      <c r="C70" s="490"/>
      <c r="D70" s="490"/>
      <c r="E70" s="490"/>
      <c r="F70" s="490"/>
      <c r="G70" s="489"/>
      <c r="H70" s="489"/>
      <c r="I70" s="489"/>
      <c r="J70" s="489"/>
      <c r="K70" s="489"/>
      <c r="L70" s="489"/>
      <c r="M70" s="489"/>
    </row>
    <row r="71" ht="15.75" customHeight="1">
      <c r="A71" s="490"/>
      <c r="B71" s="490"/>
      <c r="C71" s="490"/>
      <c r="D71" s="490"/>
      <c r="E71" s="490"/>
      <c r="F71" s="490"/>
      <c r="G71" s="489"/>
      <c r="H71" s="489"/>
      <c r="I71" s="489"/>
      <c r="J71" s="489"/>
      <c r="K71" s="489"/>
      <c r="L71" s="489"/>
      <c r="M71" s="489"/>
    </row>
    <row r="72" ht="15.75" customHeight="1">
      <c r="A72" s="490"/>
      <c r="B72" s="490"/>
      <c r="C72" s="490"/>
      <c r="D72" s="490"/>
      <c r="E72" s="490"/>
      <c r="F72" s="490"/>
      <c r="G72" s="489"/>
      <c r="H72" s="489"/>
      <c r="I72" s="489"/>
      <c r="J72" s="489"/>
      <c r="K72" s="489"/>
      <c r="L72" s="489"/>
      <c r="M72" s="489"/>
    </row>
    <row r="73" ht="15.75" customHeight="1">
      <c r="A73" s="490"/>
      <c r="B73" s="490"/>
      <c r="C73" s="490"/>
      <c r="D73" s="490"/>
      <c r="E73" s="490"/>
      <c r="F73" s="490"/>
      <c r="G73" s="489"/>
      <c r="H73" s="489"/>
      <c r="I73" s="489"/>
      <c r="J73" s="489"/>
      <c r="K73" s="489"/>
      <c r="L73" s="489"/>
      <c r="M73" s="489"/>
    </row>
    <row r="74" ht="15.75" customHeight="1">
      <c r="A74" s="490"/>
      <c r="B74" s="490"/>
      <c r="C74" s="490"/>
      <c r="D74" s="490"/>
      <c r="E74" s="490"/>
      <c r="F74" s="490"/>
      <c r="G74" s="489"/>
      <c r="H74" s="489"/>
      <c r="I74" s="489"/>
      <c r="J74" s="489"/>
      <c r="K74" s="489"/>
      <c r="L74" s="489"/>
      <c r="M74" s="489"/>
    </row>
    <row r="75" ht="15.75" customHeight="1">
      <c r="A75" s="490"/>
      <c r="B75" s="490"/>
      <c r="C75" s="490"/>
      <c r="D75" s="490"/>
      <c r="E75" s="490"/>
      <c r="F75" s="490"/>
      <c r="G75" s="489"/>
      <c r="H75" s="489"/>
      <c r="I75" s="489"/>
      <c r="J75" s="489"/>
      <c r="K75" s="489"/>
      <c r="L75" s="489"/>
      <c r="M75" s="489"/>
    </row>
    <row r="76" ht="15.75" customHeight="1">
      <c r="A76" s="490"/>
      <c r="B76" s="490"/>
      <c r="C76" s="490"/>
      <c r="D76" s="490"/>
      <c r="E76" s="490"/>
      <c r="F76" s="490"/>
      <c r="G76" s="489"/>
      <c r="H76" s="489"/>
      <c r="I76" s="489"/>
      <c r="J76" s="489"/>
      <c r="K76" s="489"/>
      <c r="L76" s="489"/>
      <c r="M76" s="489"/>
    </row>
    <row r="77" ht="15.75" customHeight="1">
      <c r="A77" s="490"/>
      <c r="B77" s="490"/>
      <c r="C77" s="490"/>
      <c r="D77" s="490"/>
      <c r="E77" s="490"/>
      <c r="F77" s="490"/>
      <c r="G77" s="489"/>
      <c r="H77" s="489"/>
      <c r="I77" s="489"/>
      <c r="J77" s="489"/>
      <c r="K77" s="489"/>
      <c r="L77" s="489"/>
      <c r="M77" s="489"/>
    </row>
    <row r="78" ht="15.75" customHeight="1">
      <c r="A78" s="490"/>
      <c r="B78" s="490"/>
      <c r="C78" s="490"/>
      <c r="D78" s="490"/>
      <c r="E78" s="490"/>
      <c r="F78" s="490"/>
      <c r="G78" s="489"/>
      <c r="H78" s="489"/>
      <c r="I78" s="489"/>
      <c r="J78" s="489"/>
      <c r="K78" s="489"/>
      <c r="L78" s="489"/>
      <c r="M78" s="489"/>
    </row>
    <row r="79" ht="15.75" customHeight="1">
      <c r="A79" s="490"/>
      <c r="B79" s="490"/>
      <c r="C79" s="490"/>
      <c r="D79" s="490"/>
      <c r="E79" s="490"/>
      <c r="F79" s="490"/>
      <c r="G79" s="489"/>
      <c r="H79" s="489"/>
      <c r="I79" s="489"/>
      <c r="J79" s="489"/>
      <c r="K79" s="489"/>
      <c r="L79" s="489"/>
      <c r="M79" s="489"/>
    </row>
    <row r="80" ht="15.75" customHeight="1">
      <c r="A80" s="490"/>
      <c r="B80" s="490"/>
      <c r="C80" s="490"/>
      <c r="D80" s="490"/>
      <c r="E80" s="490"/>
      <c r="F80" s="490"/>
      <c r="G80" s="489"/>
      <c r="H80" s="489"/>
      <c r="I80" s="489"/>
      <c r="J80" s="489"/>
      <c r="K80" s="489"/>
      <c r="L80" s="489"/>
      <c r="M80" s="489"/>
    </row>
    <row r="81" ht="15.75" customHeight="1">
      <c r="A81" s="490"/>
      <c r="B81" s="490"/>
      <c r="C81" s="490"/>
      <c r="D81" s="490"/>
      <c r="E81" s="490"/>
      <c r="F81" s="490"/>
      <c r="G81" s="489"/>
      <c r="H81" s="489"/>
      <c r="I81" s="489"/>
      <c r="J81" s="489"/>
      <c r="K81" s="489"/>
      <c r="L81" s="489"/>
      <c r="M81" s="489"/>
    </row>
    <row r="82" ht="15.75" customHeight="1">
      <c r="A82" s="490"/>
      <c r="B82" s="490"/>
      <c r="C82" s="490"/>
      <c r="D82" s="490"/>
      <c r="E82" s="490"/>
      <c r="F82" s="490"/>
      <c r="G82" s="489"/>
      <c r="H82" s="489"/>
      <c r="I82" s="489"/>
      <c r="J82" s="489"/>
      <c r="K82" s="489"/>
      <c r="L82" s="489"/>
      <c r="M82" s="489"/>
    </row>
    <row r="83" ht="15.75" customHeight="1">
      <c r="A83" s="490"/>
      <c r="B83" s="490"/>
      <c r="C83" s="490"/>
      <c r="D83" s="490"/>
      <c r="E83" s="490"/>
      <c r="F83" s="490"/>
      <c r="G83" s="489"/>
      <c r="H83" s="489"/>
      <c r="I83" s="489"/>
      <c r="J83" s="489"/>
      <c r="K83" s="489"/>
      <c r="L83" s="489"/>
      <c r="M83" s="489"/>
    </row>
    <row r="84" ht="15.75" customHeight="1">
      <c r="A84" s="490"/>
      <c r="B84" s="490"/>
      <c r="C84" s="490"/>
      <c r="D84" s="490"/>
      <c r="E84" s="490"/>
      <c r="F84" s="490"/>
      <c r="G84" s="489"/>
      <c r="H84" s="489"/>
      <c r="I84" s="489"/>
      <c r="J84" s="489"/>
      <c r="K84" s="489"/>
      <c r="L84" s="489"/>
      <c r="M84" s="489"/>
    </row>
    <row r="85" ht="15.75" customHeight="1">
      <c r="A85" s="490"/>
      <c r="B85" s="490"/>
      <c r="C85" s="490"/>
      <c r="D85" s="490"/>
      <c r="E85" s="490"/>
      <c r="F85" s="490"/>
      <c r="G85" s="489"/>
      <c r="H85" s="489"/>
      <c r="I85" s="489"/>
      <c r="J85" s="489"/>
      <c r="K85" s="489"/>
      <c r="L85" s="489"/>
      <c r="M85" s="489"/>
    </row>
    <row r="86" ht="15.75" customHeight="1">
      <c r="A86" s="490"/>
      <c r="B86" s="490"/>
      <c r="C86" s="490"/>
      <c r="D86" s="490"/>
      <c r="E86" s="490"/>
      <c r="F86" s="490"/>
      <c r="G86" s="489"/>
      <c r="H86" s="489"/>
      <c r="I86" s="489"/>
      <c r="J86" s="489"/>
      <c r="K86" s="489"/>
      <c r="L86" s="489"/>
      <c r="M86" s="489"/>
    </row>
    <row r="87" ht="15.75" customHeight="1">
      <c r="A87" s="490"/>
      <c r="B87" s="490"/>
      <c r="C87" s="490"/>
      <c r="D87" s="490"/>
      <c r="E87" s="490"/>
      <c r="F87" s="490"/>
      <c r="G87" s="489"/>
      <c r="H87" s="489"/>
      <c r="I87" s="489"/>
      <c r="J87" s="489"/>
      <c r="K87" s="489"/>
      <c r="L87" s="489"/>
      <c r="M87" s="489"/>
    </row>
    <row r="88" ht="15.75" customHeight="1">
      <c r="A88" s="490"/>
      <c r="B88" s="490"/>
      <c r="C88" s="490"/>
      <c r="D88" s="490"/>
      <c r="E88" s="490"/>
      <c r="F88" s="490"/>
      <c r="G88" s="489"/>
      <c r="H88" s="489"/>
      <c r="I88" s="489"/>
      <c r="J88" s="489"/>
      <c r="K88" s="489"/>
      <c r="L88" s="489"/>
      <c r="M88" s="489"/>
    </row>
    <row r="89" ht="15.75" customHeight="1">
      <c r="A89" s="490"/>
      <c r="B89" s="490"/>
      <c r="C89" s="490"/>
      <c r="D89" s="490"/>
      <c r="E89" s="490"/>
      <c r="F89" s="490"/>
      <c r="G89" s="489"/>
      <c r="H89" s="489"/>
      <c r="I89" s="489"/>
      <c r="J89" s="489"/>
      <c r="K89" s="489"/>
      <c r="L89" s="489"/>
      <c r="M89" s="489"/>
    </row>
    <row r="90" ht="15.75" customHeight="1">
      <c r="A90" s="490"/>
      <c r="B90" s="490"/>
      <c r="C90" s="490"/>
      <c r="D90" s="490"/>
      <c r="E90" s="490"/>
      <c r="F90" s="490"/>
      <c r="G90" s="489"/>
      <c r="H90" s="489"/>
      <c r="I90" s="489"/>
      <c r="J90" s="489"/>
      <c r="K90" s="489"/>
      <c r="L90" s="489"/>
      <c r="M90" s="489"/>
    </row>
    <row r="91" ht="15.75" customHeight="1">
      <c r="A91" s="490"/>
      <c r="B91" s="490"/>
      <c r="C91" s="490"/>
      <c r="D91" s="490"/>
      <c r="E91" s="490"/>
      <c r="F91" s="490"/>
      <c r="G91" s="489"/>
      <c r="H91" s="489"/>
      <c r="I91" s="489"/>
      <c r="J91" s="489"/>
      <c r="K91" s="489"/>
      <c r="L91" s="489"/>
      <c r="M91" s="489"/>
    </row>
    <row r="92" ht="15.75" customHeight="1">
      <c r="A92" s="490"/>
      <c r="B92" s="490"/>
      <c r="C92" s="490"/>
      <c r="D92" s="490"/>
      <c r="E92" s="490"/>
      <c r="F92" s="490"/>
      <c r="G92" s="489"/>
      <c r="H92" s="489"/>
      <c r="I92" s="489"/>
      <c r="J92" s="489"/>
      <c r="K92" s="489"/>
      <c r="L92" s="489"/>
      <c r="M92" s="489"/>
    </row>
    <row r="93" ht="15.75" customHeight="1">
      <c r="A93" s="490"/>
      <c r="B93" s="490"/>
      <c r="C93" s="490"/>
      <c r="D93" s="490"/>
      <c r="E93" s="490"/>
      <c r="F93" s="490"/>
      <c r="G93" s="489"/>
      <c r="H93" s="489"/>
      <c r="I93" s="489"/>
      <c r="J93" s="489"/>
      <c r="K93" s="489"/>
      <c r="L93" s="489"/>
      <c r="M93" s="489"/>
    </row>
    <row r="94" ht="15.75" customHeight="1">
      <c r="A94" s="490"/>
      <c r="B94" s="490"/>
      <c r="C94" s="490"/>
      <c r="D94" s="490"/>
      <c r="E94" s="490"/>
      <c r="F94" s="490"/>
      <c r="G94" s="489"/>
      <c r="H94" s="489"/>
      <c r="I94" s="489"/>
      <c r="J94" s="489"/>
      <c r="K94" s="489"/>
      <c r="L94" s="489"/>
      <c r="M94" s="489"/>
    </row>
    <row r="95" ht="15.75" customHeight="1">
      <c r="A95" s="490"/>
      <c r="B95" s="490"/>
      <c r="C95" s="490"/>
      <c r="D95" s="490"/>
      <c r="E95" s="490"/>
      <c r="F95" s="490"/>
      <c r="G95" s="489"/>
      <c r="H95" s="489"/>
      <c r="I95" s="489"/>
      <c r="J95" s="489"/>
      <c r="K95" s="489"/>
      <c r="L95" s="489"/>
      <c r="M95" s="489"/>
    </row>
    <row r="96" ht="15.75" customHeight="1">
      <c r="A96" s="490"/>
      <c r="B96" s="490"/>
      <c r="C96" s="490"/>
      <c r="D96" s="490"/>
      <c r="E96" s="490"/>
      <c r="F96" s="490"/>
      <c r="G96" s="489"/>
      <c r="H96" s="489"/>
      <c r="I96" s="489"/>
      <c r="J96" s="489"/>
      <c r="K96" s="489"/>
      <c r="L96" s="489"/>
      <c r="M96" s="489"/>
    </row>
    <row r="97" ht="15.75" customHeight="1">
      <c r="A97" s="490"/>
      <c r="B97" s="490"/>
      <c r="C97" s="490"/>
      <c r="D97" s="490"/>
      <c r="E97" s="490"/>
      <c r="F97" s="490"/>
      <c r="G97" s="489"/>
      <c r="H97" s="489"/>
      <c r="I97" s="489"/>
      <c r="J97" s="489"/>
      <c r="K97" s="489"/>
      <c r="L97" s="489"/>
      <c r="M97" s="489"/>
    </row>
    <row r="98" ht="15.75" customHeight="1">
      <c r="A98" s="490"/>
      <c r="B98" s="490"/>
      <c r="C98" s="490"/>
      <c r="D98" s="490"/>
      <c r="E98" s="490"/>
      <c r="F98" s="490"/>
      <c r="G98" s="489"/>
      <c r="H98" s="489"/>
      <c r="I98" s="489"/>
      <c r="J98" s="489"/>
      <c r="K98" s="489"/>
      <c r="L98" s="489"/>
      <c r="M98" s="489"/>
    </row>
    <row r="99" ht="15.75" customHeight="1">
      <c r="A99" s="490"/>
      <c r="B99" s="490"/>
      <c r="C99" s="490"/>
      <c r="D99" s="490"/>
      <c r="E99" s="490"/>
      <c r="F99" s="490"/>
      <c r="G99" s="489"/>
      <c r="H99" s="489"/>
      <c r="I99" s="489"/>
      <c r="J99" s="489"/>
      <c r="K99" s="489"/>
      <c r="L99" s="489"/>
      <c r="M99" s="489"/>
    </row>
    <row r="100" ht="15.75" customHeight="1">
      <c r="A100" s="490"/>
      <c r="B100" s="490"/>
      <c r="C100" s="490"/>
      <c r="D100" s="490"/>
      <c r="E100" s="490"/>
      <c r="F100" s="490"/>
      <c r="G100" s="489"/>
      <c r="H100" s="489"/>
      <c r="I100" s="489"/>
      <c r="J100" s="489"/>
      <c r="K100" s="489"/>
      <c r="L100" s="489"/>
      <c r="M100" s="489"/>
    </row>
    <row r="101" ht="15.75" customHeight="1">
      <c r="A101" s="490"/>
      <c r="B101" s="490"/>
      <c r="C101" s="490"/>
      <c r="D101" s="490"/>
      <c r="E101" s="490"/>
      <c r="F101" s="490"/>
      <c r="G101" s="489"/>
      <c r="H101" s="489"/>
      <c r="I101" s="489"/>
      <c r="J101" s="489"/>
      <c r="K101" s="489"/>
      <c r="L101" s="489"/>
      <c r="M101" s="489"/>
    </row>
    <row r="102" ht="15.75" customHeight="1">
      <c r="A102" s="490"/>
      <c r="B102" s="490"/>
      <c r="C102" s="490"/>
      <c r="D102" s="490"/>
      <c r="E102" s="490"/>
      <c r="F102" s="490"/>
      <c r="G102" s="489"/>
      <c r="H102" s="489"/>
      <c r="I102" s="489"/>
      <c r="J102" s="489"/>
      <c r="K102" s="489"/>
      <c r="L102" s="489"/>
      <c r="M102" s="489"/>
    </row>
    <row r="103" ht="15.75" customHeight="1">
      <c r="A103" s="490"/>
      <c r="B103" s="490"/>
      <c r="C103" s="490"/>
      <c r="D103" s="490"/>
      <c r="E103" s="490"/>
      <c r="F103" s="490"/>
      <c r="G103" s="489"/>
      <c r="H103" s="489"/>
      <c r="I103" s="489"/>
      <c r="J103" s="489"/>
      <c r="K103" s="489"/>
      <c r="L103" s="489"/>
      <c r="M103" s="489"/>
    </row>
    <row r="104" ht="15.75" customHeight="1">
      <c r="A104" s="490"/>
      <c r="B104" s="490"/>
      <c r="C104" s="490"/>
      <c r="D104" s="490"/>
      <c r="E104" s="490"/>
      <c r="F104" s="490"/>
      <c r="G104" s="489"/>
      <c r="H104" s="489"/>
      <c r="I104" s="489"/>
      <c r="J104" s="489"/>
      <c r="K104" s="489"/>
      <c r="L104" s="489"/>
      <c r="M104" s="489"/>
    </row>
    <row r="105" ht="15.75" customHeight="1">
      <c r="A105" s="490"/>
      <c r="B105" s="490"/>
      <c r="C105" s="490"/>
      <c r="D105" s="490"/>
      <c r="E105" s="490"/>
      <c r="F105" s="490"/>
      <c r="G105" s="489"/>
      <c r="H105" s="489"/>
      <c r="I105" s="489"/>
      <c r="J105" s="489"/>
      <c r="K105" s="489"/>
      <c r="L105" s="489"/>
      <c r="M105" s="489"/>
    </row>
    <row r="106" ht="15.75" customHeight="1">
      <c r="A106" s="490"/>
      <c r="B106" s="490"/>
      <c r="C106" s="490"/>
      <c r="D106" s="490"/>
      <c r="E106" s="490"/>
      <c r="F106" s="490"/>
      <c r="G106" s="489"/>
      <c r="H106" s="489"/>
      <c r="I106" s="489"/>
      <c r="J106" s="489"/>
      <c r="K106" s="489"/>
      <c r="L106" s="489"/>
      <c r="M106" s="489"/>
    </row>
    <row r="107" ht="15.75" customHeight="1">
      <c r="A107" s="490"/>
      <c r="B107" s="490"/>
      <c r="C107" s="490"/>
      <c r="D107" s="490"/>
      <c r="E107" s="490"/>
      <c r="F107" s="490"/>
      <c r="G107" s="489"/>
      <c r="H107" s="489"/>
      <c r="I107" s="489"/>
      <c r="J107" s="489"/>
      <c r="K107" s="489"/>
      <c r="L107" s="489"/>
      <c r="M107" s="489"/>
    </row>
    <row r="108" ht="15.75" customHeight="1">
      <c r="A108" s="490"/>
      <c r="B108" s="490"/>
      <c r="C108" s="490"/>
      <c r="D108" s="490"/>
      <c r="E108" s="490"/>
      <c r="F108" s="490"/>
      <c r="G108" s="489"/>
      <c r="H108" s="489"/>
      <c r="I108" s="489"/>
      <c r="J108" s="489"/>
      <c r="K108" s="489"/>
      <c r="L108" s="489"/>
      <c r="M108" s="489"/>
    </row>
    <row r="109" ht="15.75" customHeight="1">
      <c r="A109" s="490"/>
      <c r="B109" s="490"/>
      <c r="C109" s="490"/>
      <c r="D109" s="490"/>
      <c r="E109" s="490"/>
      <c r="F109" s="490"/>
      <c r="G109" s="489"/>
      <c r="H109" s="489"/>
      <c r="I109" s="489"/>
      <c r="J109" s="489"/>
      <c r="K109" s="489"/>
      <c r="L109" s="489"/>
      <c r="M109" s="489"/>
    </row>
    <row r="110" ht="15.75" customHeight="1">
      <c r="A110" s="490"/>
      <c r="B110" s="490"/>
      <c r="C110" s="490"/>
      <c r="D110" s="490"/>
      <c r="E110" s="490"/>
      <c r="F110" s="490"/>
      <c r="G110" s="489"/>
      <c r="H110" s="489"/>
      <c r="I110" s="489"/>
      <c r="J110" s="489"/>
      <c r="K110" s="489"/>
      <c r="L110" s="489"/>
      <c r="M110" s="489"/>
    </row>
    <row r="111" ht="15.75" customHeight="1">
      <c r="A111" s="490"/>
      <c r="B111" s="490"/>
      <c r="C111" s="490"/>
      <c r="D111" s="490"/>
      <c r="E111" s="490"/>
      <c r="F111" s="490"/>
      <c r="G111" s="489"/>
      <c r="H111" s="489"/>
      <c r="I111" s="489"/>
      <c r="J111" s="489"/>
      <c r="K111" s="489"/>
      <c r="L111" s="489"/>
      <c r="M111" s="489"/>
    </row>
    <row r="112" ht="15.75" customHeight="1">
      <c r="A112" s="490"/>
      <c r="B112" s="490"/>
      <c r="C112" s="490"/>
      <c r="D112" s="490"/>
      <c r="E112" s="490"/>
      <c r="F112" s="490"/>
      <c r="G112" s="489"/>
      <c r="H112" s="489"/>
      <c r="I112" s="489"/>
      <c r="J112" s="489"/>
      <c r="K112" s="489"/>
      <c r="L112" s="489"/>
      <c r="M112" s="489"/>
    </row>
    <row r="113" ht="15.75" customHeight="1">
      <c r="A113" s="490"/>
      <c r="B113" s="490"/>
      <c r="C113" s="490"/>
      <c r="D113" s="490"/>
      <c r="E113" s="490"/>
      <c r="F113" s="490"/>
      <c r="G113" s="489"/>
      <c r="H113" s="489"/>
      <c r="I113" s="489"/>
      <c r="J113" s="489"/>
      <c r="K113" s="489"/>
      <c r="L113" s="489"/>
      <c r="M113" s="489"/>
    </row>
    <row r="114" ht="15.75" customHeight="1">
      <c r="A114" s="490"/>
      <c r="B114" s="490"/>
      <c r="C114" s="490"/>
      <c r="D114" s="490"/>
      <c r="E114" s="490"/>
      <c r="F114" s="490"/>
      <c r="G114" s="489"/>
      <c r="H114" s="489"/>
      <c r="I114" s="489"/>
      <c r="J114" s="489"/>
      <c r="K114" s="489"/>
      <c r="L114" s="489"/>
      <c r="M114" s="489"/>
    </row>
    <row r="115" ht="15.75" customHeight="1">
      <c r="A115" s="490"/>
      <c r="B115" s="490"/>
      <c r="C115" s="490"/>
      <c r="D115" s="490"/>
      <c r="E115" s="490"/>
      <c r="F115" s="490"/>
      <c r="G115" s="489"/>
      <c r="H115" s="489"/>
      <c r="I115" s="489"/>
      <c r="J115" s="489"/>
      <c r="K115" s="489"/>
      <c r="L115" s="489"/>
      <c r="M115" s="489"/>
    </row>
    <row r="116" ht="15.75" customHeight="1">
      <c r="A116" s="490"/>
      <c r="B116" s="490"/>
      <c r="C116" s="490"/>
      <c r="D116" s="490"/>
      <c r="E116" s="490"/>
      <c r="F116" s="490"/>
      <c r="G116" s="489"/>
      <c r="H116" s="489"/>
      <c r="I116" s="489"/>
      <c r="J116" s="489"/>
      <c r="K116" s="489"/>
      <c r="L116" s="489"/>
      <c r="M116" s="489"/>
    </row>
    <row r="117" ht="15.75" customHeight="1">
      <c r="A117" s="490"/>
      <c r="B117" s="490"/>
      <c r="C117" s="490"/>
      <c r="D117" s="490"/>
      <c r="E117" s="490"/>
      <c r="F117" s="490"/>
      <c r="G117" s="489"/>
      <c r="H117" s="489"/>
      <c r="I117" s="489"/>
      <c r="J117" s="489"/>
      <c r="K117" s="489"/>
      <c r="L117" s="489"/>
      <c r="M117" s="489"/>
    </row>
    <row r="118" ht="15.75" customHeight="1">
      <c r="A118" s="490"/>
      <c r="B118" s="490"/>
      <c r="C118" s="490"/>
      <c r="D118" s="490"/>
      <c r="E118" s="490"/>
      <c r="F118" s="490"/>
      <c r="G118" s="489"/>
      <c r="H118" s="489"/>
      <c r="I118" s="489"/>
      <c r="J118" s="489"/>
      <c r="K118" s="489"/>
      <c r="L118" s="489"/>
      <c r="M118" s="489"/>
    </row>
    <row r="119" ht="15.75" customHeight="1">
      <c r="A119" s="490"/>
      <c r="B119" s="490"/>
      <c r="C119" s="490"/>
      <c r="D119" s="490"/>
      <c r="E119" s="490"/>
      <c r="F119" s="490"/>
      <c r="G119" s="489"/>
      <c r="H119" s="489"/>
      <c r="I119" s="489"/>
      <c r="J119" s="489"/>
      <c r="K119" s="489"/>
      <c r="L119" s="489"/>
      <c r="M119" s="489"/>
    </row>
    <row r="120" ht="15.75" customHeight="1">
      <c r="A120" s="490"/>
      <c r="B120" s="490"/>
      <c r="C120" s="490"/>
      <c r="D120" s="490"/>
      <c r="E120" s="490"/>
      <c r="F120" s="490"/>
      <c r="G120" s="489"/>
      <c r="H120" s="489"/>
      <c r="I120" s="489"/>
      <c r="J120" s="489"/>
      <c r="K120" s="489"/>
      <c r="L120" s="489"/>
      <c r="M120" s="489"/>
    </row>
    <row r="121" ht="15.75" customHeight="1">
      <c r="A121" s="490"/>
      <c r="B121" s="490"/>
      <c r="C121" s="490"/>
      <c r="D121" s="490"/>
      <c r="E121" s="490"/>
      <c r="F121" s="490"/>
      <c r="G121" s="489"/>
      <c r="H121" s="489"/>
      <c r="I121" s="489"/>
      <c r="J121" s="489"/>
      <c r="K121" s="489"/>
      <c r="L121" s="489"/>
      <c r="M121" s="489"/>
    </row>
    <row r="122" ht="15.75" customHeight="1">
      <c r="A122" s="490"/>
      <c r="B122" s="490"/>
      <c r="C122" s="490"/>
      <c r="D122" s="490"/>
      <c r="E122" s="490"/>
      <c r="F122" s="490"/>
      <c r="G122" s="489"/>
      <c r="H122" s="489"/>
      <c r="I122" s="489"/>
      <c r="J122" s="489"/>
      <c r="K122" s="489"/>
      <c r="L122" s="489"/>
      <c r="M122" s="489"/>
    </row>
    <row r="123" ht="15.75" customHeight="1">
      <c r="A123" s="490"/>
      <c r="B123" s="490"/>
      <c r="C123" s="490"/>
      <c r="D123" s="490"/>
      <c r="E123" s="490"/>
      <c r="F123" s="490"/>
      <c r="G123" s="489"/>
      <c r="H123" s="489"/>
      <c r="I123" s="489"/>
      <c r="J123" s="489"/>
      <c r="K123" s="489"/>
      <c r="L123" s="489"/>
      <c r="M123" s="489"/>
    </row>
    <row r="124" ht="15.75" customHeight="1">
      <c r="A124" s="490"/>
      <c r="B124" s="490"/>
      <c r="C124" s="490"/>
      <c r="D124" s="490"/>
      <c r="E124" s="490"/>
      <c r="F124" s="490"/>
      <c r="G124" s="489"/>
      <c r="H124" s="489"/>
      <c r="I124" s="489"/>
      <c r="J124" s="489"/>
      <c r="K124" s="489"/>
      <c r="L124" s="489"/>
      <c r="M124" s="489"/>
    </row>
    <row r="125" ht="15.75" customHeight="1">
      <c r="A125" s="490"/>
      <c r="B125" s="490"/>
      <c r="C125" s="490"/>
      <c r="D125" s="490"/>
      <c r="E125" s="490"/>
      <c r="F125" s="490"/>
      <c r="G125" s="489"/>
      <c r="H125" s="489"/>
      <c r="I125" s="489"/>
      <c r="J125" s="489"/>
      <c r="K125" s="489"/>
      <c r="L125" s="489"/>
      <c r="M125" s="489"/>
    </row>
    <row r="126" ht="15.75" customHeight="1">
      <c r="A126" s="490"/>
      <c r="B126" s="490"/>
      <c r="C126" s="490"/>
      <c r="D126" s="490"/>
      <c r="E126" s="490"/>
      <c r="F126" s="490"/>
      <c r="G126" s="489"/>
      <c r="H126" s="489"/>
      <c r="I126" s="489"/>
      <c r="J126" s="489"/>
      <c r="K126" s="489"/>
      <c r="L126" s="489"/>
      <c r="M126" s="489"/>
    </row>
    <row r="127" ht="15.75" customHeight="1">
      <c r="A127" s="490"/>
      <c r="B127" s="490"/>
      <c r="C127" s="490"/>
      <c r="D127" s="490"/>
      <c r="E127" s="490"/>
      <c r="F127" s="490"/>
      <c r="G127" s="489"/>
      <c r="H127" s="489"/>
      <c r="I127" s="489"/>
      <c r="J127" s="489"/>
      <c r="K127" s="489"/>
      <c r="L127" s="489"/>
      <c r="M127" s="489"/>
    </row>
    <row r="128" ht="15.75" customHeight="1">
      <c r="A128" s="490"/>
      <c r="B128" s="490"/>
      <c r="C128" s="490"/>
      <c r="D128" s="490"/>
      <c r="E128" s="490"/>
      <c r="F128" s="490"/>
      <c r="G128" s="489"/>
      <c r="H128" s="489"/>
      <c r="I128" s="489"/>
      <c r="J128" s="489"/>
      <c r="K128" s="489"/>
      <c r="L128" s="489"/>
      <c r="M128" s="489"/>
    </row>
    <row r="129" ht="15.75" customHeight="1">
      <c r="A129" s="490"/>
      <c r="B129" s="490"/>
      <c r="C129" s="490"/>
      <c r="D129" s="490"/>
      <c r="E129" s="490"/>
      <c r="F129" s="490"/>
      <c r="G129" s="489"/>
      <c r="H129" s="489"/>
      <c r="I129" s="489"/>
      <c r="J129" s="489"/>
      <c r="K129" s="489"/>
      <c r="L129" s="489"/>
      <c r="M129" s="489"/>
    </row>
    <row r="130" ht="15.75" customHeight="1">
      <c r="A130" s="490"/>
      <c r="B130" s="490"/>
      <c r="C130" s="490"/>
      <c r="D130" s="490"/>
      <c r="E130" s="490"/>
      <c r="F130" s="490"/>
      <c r="G130" s="489"/>
      <c r="H130" s="489"/>
      <c r="I130" s="489"/>
      <c r="J130" s="489"/>
      <c r="K130" s="489"/>
      <c r="L130" s="489"/>
      <c r="M130" s="489"/>
    </row>
    <row r="131" ht="15.75" customHeight="1">
      <c r="A131" s="490"/>
      <c r="B131" s="490"/>
      <c r="C131" s="490"/>
      <c r="D131" s="490"/>
      <c r="E131" s="490"/>
      <c r="F131" s="490"/>
      <c r="G131" s="489"/>
      <c r="H131" s="489"/>
      <c r="I131" s="489"/>
      <c r="J131" s="489"/>
      <c r="K131" s="489"/>
      <c r="L131" s="489"/>
      <c r="M131" s="489"/>
    </row>
    <row r="132" ht="15.75" customHeight="1">
      <c r="A132" s="490"/>
      <c r="B132" s="490"/>
      <c r="C132" s="490"/>
      <c r="D132" s="490"/>
      <c r="E132" s="490"/>
      <c r="F132" s="490"/>
      <c r="G132" s="489"/>
      <c r="H132" s="489"/>
      <c r="I132" s="489"/>
      <c r="J132" s="489"/>
      <c r="K132" s="489"/>
      <c r="L132" s="489"/>
      <c r="M132" s="489"/>
    </row>
    <row r="133" ht="15.75" customHeight="1">
      <c r="A133" s="490"/>
      <c r="B133" s="490"/>
      <c r="C133" s="490"/>
      <c r="D133" s="490"/>
      <c r="E133" s="490"/>
      <c r="F133" s="490"/>
      <c r="G133" s="489"/>
      <c r="H133" s="489"/>
      <c r="I133" s="489"/>
      <c r="J133" s="489"/>
      <c r="K133" s="489"/>
      <c r="L133" s="489"/>
      <c r="M133" s="489"/>
    </row>
    <row r="134" ht="15.75" customHeight="1">
      <c r="A134" s="490"/>
      <c r="B134" s="490"/>
      <c r="C134" s="490"/>
      <c r="D134" s="490"/>
      <c r="E134" s="490"/>
      <c r="F134" s="490"/>
      <c r="G134" s="489"/>
      <c r="H134" s="489"/>
      <c r="I134" s="489"/>
      <c r="J134" s="489"/>
      <c r="K134" s="489"/>
      <c r="L134" s="489"/>
      <c r="M134" s="489"/>
    </row>
    <row r="135" ht="15.75" customHeight="1">
      <c r="A135" s="490"/>
      <c r="B135" s="490"/>
      <c r="C135" s="490"/>
      <c r="D135" s="490"/>
      <c r="E135" s="490"/>
      <c r="F135" s="490"/>
      <c r="G135" s="489"/>
      <c r="H135" s="489"/>
      <c r="I135" s="489"/>
      <c r="J135" s="489"/>
      <c r="K135" s="489"/>
      <c r="L135" s="489"/>
      <c r="M135" s="489"/>
    </row>
    <row r="136" ht="15.75" customHeight="1">
      <c r="A136" s="490"/>
      <c r="B136" s="490"/>
      <c r="C136" s="490"/>
      <c r="D136" s="490"/>
      <c r="E136" s="490"/>
      <c r="F136" s="490"/>
      <c r="G136" s="489"/>
      <c r="H136" s="489"/>
      <c r="I136" s="489"/>
      <c r="J136" s="489"/>
      <c r="K136" s="489"/>
      <c r="L136" s="489"/>
      <c r="M136" s="489"/>
    </row>
    <row r="137" ht="15.75" customHeight="1">
      <c r="A137" s="490"/>
      <c r="B137" s="490"/>
      <c r="C137" s="490"/>
      <c r="D137" s="490"/>
      <c r="E137" s="490"/>
      <c r="F137" s="490"/>
      <c r="G137" s="489"/>
      <c r="H137" s="489"/>
      <c r="I137" s="489"/>
      <c r="J137" s="489"/>
      <c r="K137" s="489"/>
      <c r="L137" s="489"/>
      <c r="M137" s="489"/>
    </row>
    <row r="138" ht="15.75" customHeight="1">
      <c r="A138" s="490"/>
      <c r="B138" s="490"/>
      <c r="C138" s="490"/>
      <c r="D138" s="490"/>
      <c r="E138" s="490"/>
      <c r="F138" s="490"/>
      <c r="G138" s="489"/>
      <c r="H138" s="489"/>
      <c r="I138" s="489"/>
      <c r="J138" s="489"/>
      <c r="K138" s="489"/>
      <c r="L138" s="489"/>
      <c r="M138" s="489"/>
    </row>
    <row r="139" ht="15.75" customHeight="1">
      <c r="A139" s="490"/>
      <c r="B139" s="490"/>
      <c r="C139" s="490"/>
      <c r="D139" s="490"/>
      <c r="E139" s="490"/>
      <c r="F139" s="490"/>
      <c r="G139" s="489"/>
      <c r="H139" s="489"/>
      <c r="I139" s="489"/>
      <c r="J139" s="489"/>
      <c r="K139" s="489"/>
      <c r="L139" s="489"/>
      <c r="M139" s="489"/>
    </row>
    <row r="140" ht="15.75" customHeight="1">
      <c r="A140" s="490"/>
      <c r="B140" s="490"/>
      <c r="C140" s="490"/>
      <c r="D140" s="490"/>
      <c r="E140" s="490"/>
      <c r="F140" s="490"/>
      <c r="G140" s="489"/>
      <c r="H140" s="489"/>
      <c r="I140" s="489"/>
      <c r="J140" s="489"/>
      <c r="K140" s="489"/>
      <c r="L140" s="489"/>
      <c r="M140" s="489"/>
    </row>
    <row r="141" ht="15.75" customHeight="1">
      <c r="A141" s="490"/>
      <c r="B141" s="490"/>
      <c r="C141" s="490"/>
      <c r="D141" s="490"/>
      <c r="E141" s="490"/>
      <c r="F141" s="490"/>
      <c r="G141" s="489"/>
      <c r="H141" s="489"/>
      <c r="I141" s="489"/>
      <c r="J141" s="489"/>
      <c r="K141" s="489"/>
      <c r="L141" s="489"/>
      <c r="M141" s="489"/>
    </row>
    <row r="142" ht="15.75" customHeight="1">
      <c r="A142" s="490"/>
      <c r="B142" s="490"/>
      <c r="C142" s="490"/>
      <c r="D142" s="490"/>
      <c r="E142" s="490"/>
      <c r="F142" s="490"/>
      <c r="G142" s="489"/>
      <c r="H142" s="489"/>
      <c r="I142" s="489"/>
      <c r="J142" s="489"/>
      <c r="K142" s="489"/>
      <c r="L142" s="489"/>
      <c r="M142" s="489"/>
    </row>
    <row r="143" ht="15.75" customHeight="1">
      <c r="A143" s="490"/>
      <c r="B143" s="490"/>
      <c r="C143" s="490"/>
      <c r="D143" s="490"/>
      <c r="E143" s="490"/>
      <c r="F143" s="490"/>
      <c r="G143" s="489"/>
      <c r="H143" s="489"/>
      <c r="I143" s="489"/>
      <c r="J143" s="489"/>
      <c r="K143" s="489"/>
      <c r="L143" s="489"/>
      <c r="M143" s="489"/>
    </row>
    <row r="144" ht="15.75" customHeight="1">
      <c r="A144" s="490"/>
      <c r="B144" s="490"/>
      <c r="C144" s="490"/>
      <c r="D144" s="490"/>
      <c r="E144" s="490"/>
      <c r="F144" s="490"/>
      <c r="G144" s="489"/>
      <c r="H144" s="489"/>
      <c r="I144" s="489"/>
      <c r="J144" s="489"/>
      <c r="K144" s="489"/>
      <c r="L144" s="489"/>
      <c r="M144" s="489"/>
    </row>
    <row r="145" ht="15.75" customHeight="1">
      <c r="A145" s="490"/>
      <c r="B145" s="490"/>
      <c r="C145" s="490"/>
      <c r="D145" s="490"/>
      <c r="E145" s="490"/>
      <c r="F145" s="490"/>
      <c r="G145" s="489"/>
      <c r="H145" s="489"/>
      <c r="I145" s="489"/>
      <c r="J145" s="489"/>
      <c r="K145" s="489"/>
      <c r="L145" s="489"/>
      <c r="M145" s="489"/>
    </row>
    <row r="146" ht="15.75" customHeight="1">
      <c r="A146" s="490"/>
      <c r="B146" s="490"/>
      <c r="C146" s="490"/>
      <c r="D146" s="490"/>
      <c r="E146" s="490"/>
      <c r="F146" s="490"/>
      <c r="G146" s="489"/>
      <c r="H146" s="489"/>
      <c r="I146" s="489"/>
      <c r="J146" s="489"/>
      <c r="K146" s="489"/>
      <c r="L146" s="489"/>
      <c r="M146" s="489"/>
    </row>
    <row r="147" ht="15.75" customHeight="1">
      <c r="A147" s="490"/>
      <c r="B147" s="490"/>
      <c r="C147" s="490"/>
      <c r="D147" s="490"/>
      <c r="E147" s="490"/>
      <c r="F147" s="490"/>
      <c r="G147" s="489"/>
      <c r="H147" s="489"/>
      <c r="I147" s="489"/>
      <c r="J147" s="489"/>
      <c r="K147" s="489"/>
      <c r="L147" s="489"/>
      <c r="M147" s="489"/>
    </row>
    <row r="148" ht="15.75" customHeight="1">
      <c r="A148" s="490"/>
      <c r="B148" s="490"/>
      <c r="C148" s="490"/>
      <c r="D148" s="490"/>
      <c r="E148" s="490"/>
      <c r="F148" s="490"/>
      <c r="G148" s="489"/>
      <c r="H148" s="489"/>
      <c r="I148" s="489"/>
      <c r="J148" s="489"/>
      <c r="K148" s="489"/>
      <c r="L148" s="489"/>
      <c r="M148" s="489"/>
    </row>
    <row r="149" ht="15.75" customHeight="1">
      <c r="A149" s="490"/>
      <c r="B149" s="490"/>
      <c r="C149" s="490"/>
      <c r="D149" s="490"/>
      <c r="E149" s="490"/>
      <c r="F149" s="490"/>
      <c r="G149" s="489"/>
      <c r="H149" s="489"/>
      <c r="I149" s="489"/>
      <c r="J149" s="489"/>
      <c r="K149" s="489"/>
      <c r="L149" s="489"/>
      <c r="M149" s="489"/>
    </row>
    <row r="150" ht="15.75" customHeight="1">
      <c r="A150" s="490"/>
      <c r="B150" s="490"/>
      <c r="C150" s="490"/>
      <c r="D150" s="490"/>
      <c r="E150" s="490"/>
      <c r="F150" s="490"/>
      <c r="G150" s="489"/>
      <c r="H150" s="489"/>
      <c r="I150" s="489"/>
      <c r="J150" s="489"/>
      <c r="K150" s="489"/>
      <c r="L150" s="489"/>
      <c r="M150" s="489"/>
    </row>
    <row r="151" ht="15.75" customHeight="1">
      <c r="A151" s="490"/>
      <c r="B151" s="490"/>
      <c r="C151" s="490"/>
      <c r="D151" s="490"/>
      <c r="E151" s="490"/>
      <c r="F151" s="490"/>
      <c r="G151" s="489"/>
      <c r="H151" s="489"/>
      <c r="I151" s="489"/>
      <c r="J151" s="489"/>
      <c r="K151" s="489"/>
      <c r="L151" s="489"/>
      <c r="M151" s="489"/>
    </row>
    <row r="152" ht="15.75" customHeight="1">
      <c r="A152" s="490"/>
      <c r="B152" s="490"/>
      <c r="C152" s="490"/>
      <c r="D152" s="490"/>
      <c r="E152" s="490"/>
      <c r="F152" s="490"/>
      <c r="G152" s="489"/>
      <c r="H152" s="489"/>
      <c r="I152" s="489"/>
      <c r="J152" s="489"/>
      <c r="K152" s="489"/>
      <c r="L152" s="489"/>
      <c r="M152" s="489"/>
    </row>
    <row r="153" ht="15.75" customHeight="1">
      <c r="A153" s="490"/>
      <c r="B153" s="490"/>
      <c r="C153" s="490"/>
      <c r="D153" s="490"/>
      <c r="E153" s="490"/>
      <c r="F153" s="490"/>
      <c r="G153" s="489"/>
      <c r="H153" s="489"/>
      <c r="I153" s="489"/>
      <c r="J153" s="489"/>
      <c r="K153" s="489"/>
      <c r="L153" s="489"/>
      <c r="M153" s="489"/>
    </row>
    <row r="154" ht="15.75" customHeight="1">
      <c r="A154" s="490"/>
      <c r="B154" s="490"/>
      <c r="C154" s="490"/>
      <c r="D154" s="490"/>
      <c r="E154" s="490"/>
      <c r="F154" s="490"/>
      <c r="G154" s="489"/>
      <c r="H154" s="489"/>
      <c r="I154" s="489"/>
      <c r="J154" s="489"/>
      <c r="K154" s="489"/>
      <c r="L154" s="489"/>
      <c r="M154" s="489"/>
    </row>
    <row r="155" ht="15.75" customHeight="1">
      <c r="A155" s="490"/>
      <c r="B155" s="490"/>
      <c r="C155" s="490"/>
      <c r="D155" s="490"/>
      <c r="E155" s="490"/>
      <c r="F155" s="490"/>
      <c r="G155" s="489"/>
      <c r="H155" s="489"/>
      <c r="I155" s="489"/>
      <c r="J155" s="489"/>
      <c r="K155" s="489"/>
      <c r="L155" s="489"/>
      <c r="M155" s="489"/>
    </row>
    <row r="156" ht="15.75" customHeight="1">
      <c r="A156" s="490"/>
      <c r="B156" s="490"/>
      <c r="C156" s="490"/>
      <c r="D156" s="490"/>
      <c r="E156" s="490"/>
      <c r="F156" s="490"/>
      <c r="G156" s="489"/>
      <c r="H156" s="489"/>
      <c r="I156" s="489"/>
      <c r="J156" s="489"/>
      <c r="K156" s="489"/>
      <c r="L156" s="489"/>
      <c r="M156" s="489"/>
    </row>
    <row r="157" ht="15.75" customHeight="1">
      <c r="A157" s="490"/>
      <c r="B157" s="490"/>
      <c r="C157" s="490"/>
      <c r="D157" s="490"/>
      <c r="E157" s="490"/>
      <c r="F157" s="490"/>
      <c r="G157" s="489"/>
      <c r="H157" s="489"/>
      <c r="I157" s="489"/>
      <c r="J157" s="489"/>
      <c r="K157" s="489"/>
      <c r="L157" s="489"/>
      <c r="M157" s="489"/>
    </row>
    <row r="158" ht="15.75" customHeight="1">
      <c r="A158" s="490"/>
      <c r="B158" s="490"/>
      <c r="C158" s="490"/>
      <c r="D158" s="490"/>
      <c r="E158" s="490"/>
      <c r="F158" s="490"/>
      <c r="G158" s="489"/>
      <c r="H158" s="489"/>
      <c r="I158" s="489"/>
      <c r="J158" s="489"/>
      <c r="K158" s="489"/>
      <c r="L158" s="489"/>
      <c r="M158" s="489"/>
    </row>
    <row r="159" ht="15.75" customHeight="1">
      <c r="A159" s="490"/>
      <c r="B159" s="490"/>
      <c r="C159" s="490"/>
      <c r="D159" s="490"/>
      <c r="E159" s="490"/>
      <c r="F159" s="490"/>
      <c r="G159" s="489"/>
      <c r="H159" s="489"/>
      <c r="I159" s="489"/>
      <c r="J159" s="489"/>
      <c r="K159" s="489"/>
      <c r="L159" s="489"/>
      <c r="M159" s="489"/>
    </row>
    <row r="160" ht="15.75" customHeight="1">
      <c r="A160" s="490"/>
      <c r="B160" s="490"/>
      <c r="C160" s="490"/>
      <c r="D160" s="490"/>
      <c r="E160" s="490"/>
      <c r="F160" s="490"/>
      <c r="G160" s="489"/>
      <c r="H160" s="489"/>
      <c r="I160" s="489"/>
      <c r="J160" s="489"/>
      <c r="K160" s="489"/>
      <c r="L160" s="489"/>
      <c r="M160" s="489"/>
    </row>
    <row r="161" ht="15.75" customHeight="1">
      <c r="A161" s="490"/>
      <c r="B161" s="490"/>
      <c r="C161" s="490"/>
      <c r="D161" s="490"/>
      <c r="E161" s="490"/>
      <c r="F161" s="490"/>
      <c r="G161" s="489"/>
      <c r="H161" s="489"/>
      <c r="I161" s="489"/>
      <c r="J161" s="489"/>
      <c r="K161" s="489"/>
      <c r="L161" s="489"/>
      <c r="M161" s="489"/>
    </row>
    <row r="162" ht="15.75" customHeight="1">
      <c r="A162" s="490"/>
      <c r="B162" s="490"/>
      <c r="C162" s="490"/>
      <c r="D162" s="490"/>
      <c r="E162" s="490"/>
      <c r="F162" s="490"/>
      <c r="G162" s="489"/>
      <c r="H162" s="489"/>
      <c r="I162" s="489"/>
      <c r="J162" s="489"/>
      <c r="K162" s="489"/>
      <c r="L162" s="489"/>
      <c r="M162" s="489"/>
    </row>
    <row r="163" ht="15.75" customHeight="1">
      <c r="A163" s="490"/>
      <c r="B163" s="490"/>
      <c r="C163" s="490"/>
      <c r="D163" s="490"/>
      <c r="E163" s="490"/>
      <c r="F163" s="490"/>
      <c r="G163" s="489"/>
      <c r="H163" s="489"/>
      <c r="I163" s="489"/>
      <c r="J163" s="489"/>
      <c r="K163" s="489"/>
      <c r="L163" s="489"/>
      <c r="M163" s="489"/>
    </row>
    <row r="164" ht="15.75" customHeight="1">
      <c r="A164" s="490"/>
      <c r="B164" s="490"/>
      <c r="C164" s="490"/>
      <c r="D164" s="490"/>
      <c r="E164" s="490"/>
      <c r="F164" s="490"/>
      <c r="G164" s="489"/>
      <c r="H164" s="489"/>
      <c r="I164" s="489"/>
      <c r="J164" s="489"/>
      <c r="K164" s="489"/>
      <c r="L164" s="489"/>
      <c r="M164" s="489"/>
    </row>
    <row r="165" ht="15.75" customHeight="1">
      <c r="A165" s="490"/>
      <c r="B165" s="490"/>
      <c r="C165" s="490"/>
      <c r="D165" s="490"/>
      <c r="E165" s="490"/>
      <c r="F165" s="490"/>
      <c r="G165" s="489"/>
      <c r="H165" s="489"/>
      <c r="I165" s="489"/>
      <c r="J165" s="489"/>
      <c r="K165" s="489"/>
      <c r="L165" s="489"/>
      <c r="M165" s="489"/>
    </row>
    <row r="166" ht="15.75" customHeight="1">
      <c r="A166" s="490"/>
      <c r="B166" s="490"/>
      <c r="C166" s="490"/>
      <c r="D166" s="490"/>
      <c r="E166" s="490"/>
      <c r="F166" s="490"/>
      <c r="G166" s="489"/>
      <c r="H166" s="489"/>
      <c r="I166" s="489"/>
      <c r="J166" s="489"/>
      <c r="K166" s="489"/>
      <c r="L166" s="489"/>
      <c r="M166" s="489"/>
    </row>
    <row r="167" ht="15.75" customHeight="1">
      <c r="A167" s="490"/>
      <c r="B167" s="490"/>
      <c r="C167" s="490"/>
      <c r="D167" s="490"/>
      <c r="E167" s="490"/>
      <c r="F167" s="490"/>
      <c r="G167" s="489"/>
      <c r="H167" s="489"/>
      <c r="I167" s="489"/>
      <c r="J167" s="489"/>
      <c r="K167" s="489"/>
      <c r="L167" s="489"/>
      <c r="M167" s="489"/>
    </row>
    <row r="168" ht="15.75" customHeight="1">
      <c r="A168" s="490"/>
      <c r="B168" s="490"/>
      <c r="C168" s="490"/>
      <c r="D168" s="490"/>
      <c r="E168" s="490"/>
      <c r="F168" s="490"/>
      <c r="G168" s="489"/>
      <c r="H168" s="489"/>
      <c r="I168" s="489"/>
      <c r="J168" s="489"/>
      <c r="K168" s="489"/>
      <c r="L168" s="489"/>
      <c r="M168" s="489"/>
    </row>
    <row r="169" ht="15.75" customHeight="1">
      <c r="A169" s="490"/>
      <c r="B169" s="490"/>
      <c r="C169" s="490"/>
      <c r="D169" s="490"/>
      <c r="E169" s="490"/>
      <c r="F169" s="490"/>
      <c r="G169" s="489"/>
      <c r="H169" s="489"/>
      <c r="I169" s="489"/>
      <c r="J169" s="489"/>
      <c r="K169" s="489"/>
      <c r="L169" s="489"/>
      <c r="M169" s="489"/>
    </row>
    <row r="170" ht="15.75" customHeight="1">
      <c r="A170" s="490"/>
      <c r="B170" s="490"/>
      <c r="C170" s="490"/>
      <c r="D170" s="490"/>
      <c r="E170" s="490"/>
      <c r="F170" s="490"/>
      <c r="G170" s="489"/>
      <c r="H170" s="489"/>
      <c r="I170" s="489"/>
      <c r="J170" s="489"/>
      <c r="K170" s="489"/>
      <c r="L170" s="489"/>
      <c r="M170" s="489"/>
    </row>
    <row r="171" ht="15.75" customHeight="1">
      <c r="A171" s="490"/>
      <c r="B171" s="490"/>
      <c r="C171" s="490"/>
      <c r="D171" s="490"/>
      <c r="E171" s="490"/>
      <c r="F171" s="490"/>
      <c r="G171" s="489"/>
      <c r="H171" s="489"/>
      <c r="I171" s="489"/>
      <c r="J171" s="489"/>
      <c r="K171" s="489"/>
      <c r="L171" s="489"/>
      <c r="M171" s="489"/>
    </row>
    <row r="172" ht="15.75" customHeight="1">
      <c r="A172" s="490"/>
      <c r="B172" s="490"/>
      <c r="C172" s="490"/>
      <c r="D172" s="490"/>
      <c r="E172" s="490"/>
      <c r="F172" s="490"/>
      <c r="G172" s="489"/>
      <c r="H172" s="489"/>
      <c r="I172" s="489"/>
      <c r="J172" s="489"/>
      <c r="K172" s="489"/>
      <c r="L172" s="489"/>
      <c r="M172" s="489"/>
    </row>
    <row r="173" ht="15.75" customHeight="1">
      <c r="A173" s="490"/>
      <c r="B173" s="490"/>
      <c r="C173" s="490"/>
      <c r="D173" s="490"/>
      <c r="E173" s="490"/>
      <c r="F173" s="490"/>
      <c r="G173" s="489"/>
      <c r="H173" s="489"/>
      <c r="I173" s="489"/>
      <c r="J173" s="489"/>
      <c r="K173" s="489"/>
      <c r="L173" s="489"/>
      <c r="M173" s="489"/>
    </row>
    <row r="174" ht="15.75" customHeight="1">
      <c r="A174" s="490"/>
      <c r="B174" s="490"/>
      <c r="C174" s="490"/>
      <c r="D174" s="490"/>
      <c r="E174" s="490"/>
      <c r="F174" s="490"/>
      <c r="G174" s="489"/>
      <c r="H174" s="489"/>
      <c r="I174" s="489"/>
      <c r="J174" s="489"/>
      <c r="K174" s="489"/>
      <c r="L174" s="489"/>
      <c r="M174" s="489"/>
    </row>
    <row r="175" ht="15.75" customHeight="1">
      <c r="A175" s="490"/>
      <c r="B175" s="490"/>
      <c r="C175" s="490"/>
      <c r="D175" s="490"/>
      <c r="E175" s="490"/>
      <c r="F175" s="490"/>
      <c r="G175" s="489"/>
      <c r="H175" s="489"/>
      <c r="I175" s="489"/>
      <c r="J175" s="489"/>
      <c r="K175" s="489"/>
      <c r="L175" s="489"/>
      <c r="M175" s="489"/>
    </row>
    <row r="176" ht="15.75" customHeight="1">
      <c r="A176" s="490"/>
      <c r="B176" s="490"/>
      <c r="C176" s="490"/>
      <c r="D176" s="490"/>
      <c r="E176" s="490"/>
      <c r="F176" s="490"/>
      <c r="G176" s="489"/>
      <c r="H176" s="489"/>
      <c r="I176" s="489"/>
      <c r="J176" s="489"/>
      <c r="K176" s="489"/>
      <c r="L176" s="489"/>
      <c r="M176" s="489"/>
    </row>
    <row r="177" ht="15.75" customHeight="1">
      <c r="A177" s="490"/>
      <c r="B177" s="490"/>
      <c r="C177" s="490"/>
      <c r="D177" s="490"/>
      <c r="E177" s="490"/>
      <c r="F177" s="490"/>
      <c r="G177" s="489"/>
      <c r="H177" s="489"/>
      <c r="I177" s="489"/>
      <c r="J177" s="489"/>
      <c r="K177" s="489"/>
      <c r="L177" s="489"/>
      <c r="M177" s="489"/>
    </row>
    <row r="178" ht="15.75" customHeight="1">
      <c r="A178" s="490"/>
      <c r="B178" s="490"/>
      <c r="C178" s="490"/>
      <c r="D178" s="490"/>
      <c r="E178" s="490"/>
      <c r="F178" s="490"/>
      <c r="G178" s="489"/>
      <c r="H178" s="489"/>
      <c r="I178" s="489"/>
      <c r="J178" s="489"/>
      <c r="K178" s="489"/>
      <c r="L178" s="489"/>
      <c r="M178" s="489"/>
    </row>
    <row r="179" ht="15.75" customHeight="1">
      <c r="A179" s="490"/>
      <c r="B179" s="490"/>
      <c r="C179" s="490"/>
      <c r="D179" s="490"/>
      <c r="E179" s="490"/>
      <c r="F179" s="490"/>
      <c r="G179" s="489"/>
      <c r="H179" s="489"/>
      <c r="I179" s="489"/>
      <c r="J179" s="489"/>
      <c r="K179" s="489"/>
      <c r="L179" s="489"/>
      <c r="M179" s="489"/>
    </row>
    <row r="180" ht="15.75" customHeight="1">
      <c r="A180" s="490"/>
      <c r="B180" s="490"/>
      <c r="C180" s="490"/>
      <c r="D180" s="490"/>
      <c r="E180" s="490"/>
      <c r="F180" s="490"/>
      <c r="G180" s="489"/>
      <c r="H180" s="489"/>
      <c r="I180" s="489"/>
      <c r="J180" s="489"/>
      <c r="K180" s="489"/>
      <c r="L180" s="489"/>
      <c r="M180" s="489"/>
    </row>
    <row r="181" ht="15.75" customHeight="1">
      <c r="A181" s="490"/>
      <c r="B181" s="490"/>
      <c r="C181" s="490"/>
      <c r="D181" s="490"/>
      <c r="E181" s="490"/>
      <c r="F181" s="490"/>
      <c r="G181" s="489"/>
      <c r="H181" s="489"/>
      <c r="I181" s="489"/>
      <c r="J181" s="489"/>
      <c r="K181" s="489"/>
      <c r="L181" s="489"/>
      <c r="M181" s="489"/>
    </row>
    <row r="182" ht="15.75" customHeight="1">
      <c r="A182" s="490"/>
      <c r="B182" s="490"/>
      <c r="C182" s="490"/>
      <c r="D182" s="490"/>
      <c r="E182" s="490"/>
      <c r="F182" s="490"/>
      <c r="G182" s="489"/>
      <c r="H182" s="489"/>
      <c r="I182" s="489"/>
      <c r="J182" s="489"/>
      <c r="K182" s="489"/>
      <c r="L182" s="489"/>
      <c r="M182" s="489"/>
    </row>
    <row r="183" ht="15.75" customHeight="1">
      <c r="A183" s="490"/>
      <c r="B183" s="490"/>
      <c r="C183" s="490"/>
      <c r="D183" s="490"/>
      <c r="E183" s="490"/>
      <c r="F183" s="490"/>
      <c r="G183" s="489"/>
      <c r="H183" s="489"/>
      <c r="I183" s="489"/>
      <c r="J183" s="489"/>
      <c r="K183" s="489"/>
      <c r="L183" s="489"/>
      <c r="M183" s="489"/>
    </row>
    <row r="184" ht="15.75" customHeight="1">
      <c r="A184" s="490"/>
      <c r="B184" s="490"/>
      <c r="C184" s="490"/>
      <c r="D184" s="490"/>
      <c r="E184" s="490"/>
      <c r="F184" s="490"/>
      <c r="G184" s="489"/>
      <c r="H184" s="489"/>
      <c r="I184" s="489"/>
      <c r="J184" s="489"/>
      <c r="K184" s="489"/>
      <c r="L184" s="489"/>
      <c r="M184" s="489"/>
    </row>
    <row r="185" ht="15.75" customHeight="1">
      <c r="A185" s="490"/>
      <c r="B185" s="490"/>
      <c r="C185" s="490"/>
      <c r="D185" s="490"/>
      <c r="E185" s="490"/>
      <c r="F185" s="490"/>
      <c r="G185" s="489"/>
      <c r="H185" s="489"/>
      <c r="I185" s="489"/>
      <c r="J185" s="489"/>
      <c r="K185" s="489"/>
      <c r="L185" s="489"/>
      <c r="M185" s="489"/>
    </row>
    <row r="186" ht="15.75" customHeight="1">
      <c r="A186" s="490"/>
      <c r="B186" s="490"/>
      <c r="C186" s="490"/>
      <c r="D186" s="490"/>
      <c r="E186" s="490"/>
      <c r="F186" s="490"/>
      <c r="G186" s="489"/>
      <c r="H186" s="489"/>
      <c r="I186" s="489"/>
      <c r="J186" s="489"/>
      <c r="K186" s="489"/>
      <c r="L186" s="489"/>
      <c r="M186" s="489"/>
    </row>
    <row r="187" ht="15.75" customHeight="1">
      <c r="A187" s="490"/>
      <c r="B187" s="490"/>
      <c r="C187" s="490"/>
      <c r="D187" s="490"/>
      <c r="E187" s="490"/>
      <c r="F187" s="490"/>
      <c r="G187" s="489"/>
      <c r="H187" s="489"/>
      <c r="I187" s="489"/>
      <c r="J187" s="489"/>
      <c r="K187" s="489"/>
      <c r="L187" s="489"/>
      <c r="M187" s="489"/>
    </row>
    <row r="188" ht="15.75" customHeight="1">
      <c r="A188" s="490"/>
      <c r="B188" s="490"/>
      <c r="C188" s="490"/>
      <c r="D188" s="490"/>
      <c r="E188" s="490"/>
      <c r="F188" s="490"/>
      <c r="G188" s="489"/>
      <c r="H188" s="489"/>
      <c r="I188" s="489"/>
      <c r="J188" s="489"/>
      <c r="K188" s="489"/>
      <c r="L188" s="489"/>
      <c r="M188" s="489"/>
    </row>
    <row r="189" ht="15.75" customHeight="1">
      <c r="A189" s="490"/>
      <c r="B189" s="490"/>
      <c r="C189" s="490"/>
      <c r="D189" s="490"/>
      <c r="E189" s="490"/>
      <c r="F189" s="490"/>
      <c r="G189" s="489"/>
      <c r="H189" s="489"/>
      <c r="I189" s="489"/>
      <c r="J189" s="489"/>
      <c r="K189" s="489"/>
      <c r="L189" s="489"/>
      <c r="M189" s="489"/>
    </row>
    <row r="190" ht="15.75" customHeight="1">
      <c r="A190" s="490"/>
      <c r="B190" s="490"/>
      <c r="C190" s="490"/>
      <c r="D190" s="490"/>
      <c r="E190" s="490"/>
      <c r="F190" s="490"/>
      <c r="G190" s="489"/>
      <c r="H190" s="489"/>
      <c r="I190" s="489"/>
      <c r="J190" s="489"/>
      <c r="K190" s="489"/>
      <c r="L190" s="489"/>
      <c r="M190" s="489"/>
    </row>
    <row r="191" ht="15.75" customHeight="1">
      <c r="A191" s="490"/>
      <c r="B191" s="490"/>
      <c r="C191" s="490"/>
      <c r="D191" s="490"/>
      <c r="E191" s="490"/>
      <c r="F191" s="490"/>
      <c r="G191" s="489"/>
      <c r="H191" s="489"/>
      <c r="I191" s="489"/>
      <c r="J191" s="489"/>
      <c r="K191" s="489"/>
      <c r="L191" s="489"/>
      <c r="M191" s="489"/>
    </row>
    <row r="192" ht="15.75" customHeight="1">
      <c r="A192" s="490"/>
      <c r="B192" s="490"/>
      <c r="C192" s="490"/>
      <c r="D192" s="490"/>
      <c r="E192" s="490"/>
      <c r="F192" s="490"/>
      <c r="G192" s="489"/>
      <c r="H192" s="489"/>
      <c r="I192" s="489"/>
      <c r="J192" s="489"/>
      <c r="K192" s="489"/>
      <c r="L192" s="489"/>
      <c r="M192" s="489"/>
    </row>
    <row r="193" ht="15.75" customHeight="1">
      <c r="A193" s="490"/>
      <c r="B193" s="490"/>
      <c r="C193" s="490"/>
      <c r="D193" s="490"/>
      <c r="E193" s="490"/>
      <c r="F193" s="490"/>
      <c r="G193" s="489"/>
      <c r="H193" s="489"/>
      <c r="I193" s="489"/>
      <c r="J193" s="489"/>
      <c r="K193" s="489"/>
      <c r="L193" s="489"/>
      <c r="M193" s="489"/>
    </row>
    <row r="194" ht="15.75" customHeight="1">
      <c r="A194" s="490"/>
      <c r="B194" s="490"/>
      <c r="C194" s="490"/>
      <c r="D194" s="490"/>
      <c r="E194" s="490"/>
      <c r="F194" s="490"/>
      <c r="G194" s="489"/>
      <c r="H194" s="489"/>
      <c r="I194" s="489"/>
      <c r="J194" s="489"/>
      <c r="K194" s="489"/>
      <c r="L194" s="489"/>
      <c r="M194" s="489"/>
    </row>
    <row r="195" ht="15.75" customHeight="1">
      <c r="A195" s="490"/>
      <c r="B195" s="490"/>
      <c r="C195" s="490"/>
      <c r="D195" s="490"/>
      <c r="E195" s="490"/>
      <c r="F195" s="490"/>
      <c r="G195" s="489"/>
      <c r="H195" s="489"/>
      <c r="I195" s="489"/>
      <c r="J195" s="489"/>
      <c r="K195" s="489"/>
      <c r="L195" s="489"/>
      <c r="M195" s="489"/>
    </row>
    <row r="196" ht="15.75" customHeight="1">
      <c r="A196" s="490"/>
      <c r="B196" s="490"/>
      <c r="C196" s="490"/>
      <c r="D196" s="490"/>
      <c r="E196" s="490"/>
      <c r="F196" s="490"/>
      <c r="G196" s="489"/>
      <c r="H196" s="489"/>
      <c r="I196" s="489"/>
      <c r="J196" s="489"/>
      <c r="K196" s="489"/>
      <c r="L196" s="489"/>
      <c r="M196" s="489"/>
    </row>
    <row r="197" ht="15.75" customHeight="1">
      <c r="A197" s="490"/>
      <c r="B197" s="490"/>
      <c r="C197" s="490"/>
      <c r="D197" s="490"/>
      <c r="E197" s="490"/>
      <c r="F197" s="490"/>
      <c r="G197" s="489"/>
      <c r="H197" s="489"/>
      <c r="I197" s="489"/>
      <c r="J197" s="489"/>
      <c r="K197" s="489"/>
      <c r="L197" s="489"/>
      <c r="M197" s="489"/>
    </row>
    <row r="198" ht="15.75" customHeight="1">
      <c r="A198" s="490"/>
      <c r="B198" s="490"/>
      <c r="C198" s="490"/>
      <c r="D198" s="490"/>
      <c r="E198" s="490"/>
      <c r="F198" s="490"/>
      <c r="G198" s="489"/>
      <c r="H198" s="489"/>
      <c r="I198" s="489"/>
      <c r="J198" s="489"/>
      <c r="K198" s="489"/>
      <c r="L198" s="489"/>
      <c r="M198" s="489"/>
    </row>
    <row r="199" ht="15.75" customHeight="1">
      <c r="A199" s="490"/>
      <c r="B199" s="490"/>
      <c r="C199" s="490"/>
      <c r="D199" s="490"/>
      <c r="E199" s="490"/>
      <c r="F199" s="490"/>
      <c r="G199" s="489"/>
      <c r="H199" s="489"/>
      <c r="I199" s="489"/>
      <c r="J199" s="489"/>
      <c r="K199" s="489"/>
      <c r="L199" s="489"/>
      <c r="M199" s="489"/>
    </row>
    <row r="200" ht="15.75" customHeight="1">
      <c r="A200" s="490"/>
      <c r="B200" s="490"/>
      <c r="C200" s="490"/>
      <c r="D200" s="490"/>
      <c r="E200" s="490"/>
      <c r="F200" s="490"/>
      <c r="G200" s="489"/>
      <c r="H200" s="489"/>
      <c r="I200" s="489"/>
      <c r="J200" s="489"/>
      <c r="K200" s="489"/>
      <c r="L200" s="489"/>
      <c r="M200" s="489"/>
    </row>
    <row r="201" ht="15.75" customHeight="1">
      <c r="A201" s="490"/>
      <c r="B201" s="490"/>
      <c r="C201" s="490"/>
      <c r="D201" s="490"/>
      <c r="E201" s="490"/>
      <c r="F201" s="490"/>
      <c r="G201" s="489"/>
      <c r="H201" s="489"/>
      <c r="I201" s="489"/>
      <c r="J201" s="489"/>
      <c r="K201" s="489"/>
      <c r="L201" s="489"/>
      <c r="M201" s="489"/>
    </row>
    <row r="202" ht="15.75" customHeight="1">
      <c r="A202" s="490"/>
      <c r="B202" s="490"/>
      <c r="C202" s="490"/>
      <c r="D202" s="490"/>
      <c r="E202" s="490"/>
      <c r="F202" s="490"/>
      <c r="G202" s="489"/>
      <c r="H202" s="489"/>
      <c r="I202" s="489"/>
      <c r="J202" s="489"/>
      <c r="K202" s="489"/>
      <c r="L202" s="489"/>
      <c r="M202" s="489"/>
    </row>
    <row r="203" ht="15.75" customHeight="1">
      <c r="A203" s="490"/>
      <c r="B203" s="490"/>
      <c r="C203" s="490"/>
      <c r="D203" s="490"/>
      <c r="E203" s="490"/>
      <c r="F203" s="490"/>
      <c r="G203" s="489"/>
      <c r="H203" s="489"/>
      <c r="I203" s="489"/>
      <c r="J203" s="489"/>
      <c r="K203" s="489"/>
      <c r="L203" s="489"/>
      <c r="M203" s="489"/>
    </row>
    <row r="204" ht="15.75" customHeight="1">
      <c r="A204" s="490"/>
      <c r="B204" s="490"/>
      <c r="C204" s="490"/>
      <c r="D204" s="490"/>
      <c r="E204" s="490"/>
      <c r="F204" s="490"/>
      <c r="G204" s="489"/>
      <c r="H204" s="489"/>
      <c r="I204" s="489"/>
      <c r="J204" s="489"/>
      <c r="K204" s="489"/>
      <c r="L204" s="489"/>
      <c r="M204" s="489"/>
    </row>
    <row r="205" ht="15.75" customHeight="1">
      <c r="A205" s="490"/>
      <c r="B205" s="490"/>
      <c r="C205" s="490"/>
      <c r="D205" s="490"/>
      <c r="E205" s="490"/>
      <c r="F205" s="490"/>
      <c r="G205" s="489"/>
      <c r="H205" s="489"/>
      <c r="I205" s="489"/>
      <c r="J205" s="489"/>
      <c r="K205" s="489"/>
      <c r="L205" s="489"/>
      <c r="M205" s="489"/>
    </row>
    <row r="206" ht="15.75" customHeight="1">
      <c r="A206" s="490"/>
      <c r="B206" s="490"/>
      <c r="C206" s="490"/>
      <c r="D206" s="490"/>
      <c r="E206" s="490"/>
      <c r="F206" s="490"/>
      <c r="G206" s="489"/>
      <c r="H206" s="489"/>
      <c r="I206" s="489"/>
      <c r="J206" s="489"/>
      <c r="K206" s="489"/>
      <c r="L206" s="489"/>
      <c r="M206" s="489"/>
    </row>
    <row r="207" ht="15.75" customHeight="1">
      <c r="A207" s="490"/>
      <c r="B207" s="490"/>
      <c r="C207" s="490"/>
      <c r="D207" s="490"/>
      <c r="E207" s="490"/>
      <c r="F207" s="490"/>
      <c r="G207" s="489"/>
      <c r="H207" s="489"/>
      <c r="I207" s="489"/>
      <c r="J207" s="489"/>
      <c r="K207" s="489"/>
      <c r="L207" s="489"/>
      <c r="M207" s="489"/>
    </row>
    <row r="208" ht="15.75" customHeight="1">
      <c r="A208" s="490"/>
      <c r="B208" s="490"/>
      <c r="C208" s="490"/>
      <c r="D208" s="490"/>
      <c r="E208" s="490"/>
      <c r="F208" s="490"/>
      <c r="G208" s="489"/>
      <c r="H208" s="489"/>
      <c r="I208" s="489"/>
      <c r="J208" s="489"/>
      <c r="K208" s="489"/>
      <c r="L208" s="489"/>
      <c r="M208" s="489"/>
    </row>
    <row r="209" ht="15.75" customHeight="1">
      <c r="A209" s="490"/>
      <c r="B209" s="490"/>
      <c r="C209" s="490"/>
      <c r="D209" s="490"/>
      <c r="E209" s="490"/>
      <c r="F209" s="490"/>
      <c r="G209" s="489"/>
      <c r="H209" s="489"/>
      <c r="I209" s="489"/>
      <c r="J209" s="489"/>
      <c r="K209" s="489"/>
      <c r="L209" s="489"/>
      <c r="M209" s="489"/>
    </row>
    <row r="210" ht="15.75" customHeight="1">
      <c r="A210" s="490"/>
      <c r="B210" s="490"/>
      <c r="C210" s="490"/>
      <c r="D210" s="490"/>
      <c r="E210" s="490"/>
      <c r="F210" s="490"/>
      <c r="G210" s="489"/>
      <c r="H210" s="489"/>
      <c r="I210" s="489"/>
      <c r="J210" s="489"/>
      <c r="K210" s="489"/>
      <c r="L210" s="489"/>
      <c r="M210" s="489"/>
    </row>
    <row r="211" ht="15.75" customHeight="1">
      <c r="A211" s="490"/>
      <c r="B211" s="490"/>
      <c r="C211" s="490"/>
      <c r="D211" s="490"/>
      <c r="E211" s="490"/>
      <c r="F211" s="490"/>
      <c r="G211" s="489"/>
      <c r="H211" s="489"/>
      <c r="I211" s="489"/>
      <c r="J211" s="489"/>
      <c r="K211" s="489"/>
      <c r="L211" s="489"/>
      <c r="M211" s="489"/>
    </row>
    <row r="212" ht="15.75" customHeight="1">
      <c r="A212" s="490"/>
      <c r="B212" s="490"/>
      <c r="C212" s="490"/>
      <c r="D212" s="490"/>
      <c r="E212" s="490"/>
      <c r="F212" s="490"/>
      <c r="G212" s="489"/>
      <c r="H212" s="489"/>
      <c r="I212" s="489"/>
      <c r="J212" s="489"/>
      <c r="K212" s="489"/>
      <c r="L212" s="489"/>
      <c r="M212" s="489"/>
    </row>
    <row r="213" ht="15.75" customHeight="1">
      <c r="A213" s="490"/>
      <c r="B213" s="490"/>
      <c r="C213" s="490"/>
      <c r="D213" s="490"/>
      <c r="E213" s="490"/>
      <c r="F213" s="490"/>
      <c r="G213" s="489"/>
      <c r="H213" s="489"/>
      <c r="I213" s="489"/>
      <c r="J213" s="489"/>
      <c r="K213" s="489"/>
      <c r="L213" s="489"/>
      <c r="M213" s="489"/>
    </row>
    <row r="214" ht="15.75" customHeight="1">
      <c r="A214" s="490"/>
      <c r="B214" s="490"/>
      <c r="C214" s="490"/>
      <c r="D214" s="490"/>
      <c r="E214" s="490"/>
      <c r="F214" s="490"/>
      <c r="G214" s="489"/>
      <c r="H214" s="489"/>
      <c r="I214" s="489"/>
      <c r="J214" s="489"/>
      <c r="K214" s="489"/>
      <c r="L214" s="489"/>
      <c r="M214" s="489"/>
    </row>
    <row r="215" ht="15.75" customHeight="1">
      <c r="A215" s="490"/>
      <c r="B215" s="490"/>
      <c r="C215" s="490"/>
      <c r="D215" s="490"/>
      <c r="E215" s="490"/>
      <c r="F215" s="490"/>
      <c r="G215" s="489"/>
      <c r="H215" s="489"/>
      <c r="I215" s="489"/>
      <c r="J215" s="489"/>
      <c r="K215" s="489"/>
      <c r="L215" s="489"/>
      <c r="M215" s="489"/>
    </row>
    <row r="216" ht="15.75" customHeight="1">
      <c r="A216" s="490"/>
      <c r="B216" s="490"/>
      <c r="C216" s="490"/>
      <c r="D216" s="490"/>
      <c r="E216" s="490"/>
      <c r="F216" s="490"/>
      <c r="G216" s="489"/>
      <c r="H216" s="489"/>
      <c r="I216" s="489"/>
      <c r="J216" s="489"/>
      <c r="K216" s="489"/>
      <c r="L216" s="489"/>
      <c r="M216" s="489"/>
    </row>
    <row r="217" ht="15.75" customHeight="1">
      <c r="A217" s="490"/>
      <c r="B217" s="490"/>
      <c r="C217" s="490"/>
      <c r="D217" s="490"/>
      <c r="E217" s="490"/>
      <c r="F217" s="490"/>
      <c r="G217" s="489"/>
      <c r="H217" s="489"/>
      <c r="I217" s="489"/>
      <c r="J217" s="489"/>
      <c r="K217" s="489"/>
      <c r="L217" s="489"/>
      <c r="M217" s="489"/>
    </row>
    <row r="218" ht="15.75" customHeight="1">
      <c r="A218" s="490"/>
      <c r="B218" s="490"/>
      <c r="C218" s="490"/>
      <c r="D218" s="490"/>
      <c r="E218" s="490"/>
      <c r="F218" s="490"/>
      <c r="G218" s="489"/>
      <c r="H218" s="489"/>
      <c r="I218" s="489"/>
      <c r="J218" s="489"/>
      <c r="K218" s="489"/>
      <c r="L218" s="489"/>
      <c r="M218" s="489"/>
    </row>
    <row r="219" ht="15.75" customHeight="1">
      <c r="A219" s="490"/>
      <c r="B219" s="490"/>
      <c r="C219" s="490"/>
      <c r="D219" s="490"/>
      <c r="E219" s="490"/>
      <c r="F219" s="490"/>
      <c r="G219" s="489"/>
      <c r="H219" s="489"/>
      <c r="I219" s="489"/>
      <c r="J219" s="489"/>
      <c r="K219" s="489"/>
      <c r="L219" s="489"/>
      <c r="M219" s="489"/>
    </row>
    <row r="220" ht="15.75" customHeight="1">
      <c r="A220" s="490"/>
      <c r="B220" s="490"/>
      <c r="C220" s="490"/>
      <c r="D220" s="490"/>
      <c r="E220" s="490"/>
      <c r="F220" s="490"/>
      <c r="G220" s="489"/>
      <c r="H220" s="489"/>
      <c r="I220" s="489"/>
      <c r="J220" s="489"/>
      <c r="K220" s="489"/>
      <c r="L220" s="489"/>
      <c r="M220" s="489"/>
    </row>
    <row r="221" ht="15.75" customHeight="1">
      <c r="A221" s="490"/>
      <c r="B221" s="490"/>
      <c r="C221" s="490"/>
      <c r="D221" s="490"/>
      <c r="E221" s="490"/>
      <c r="F221" s="490"/>
      <c r="G221" s="489"/>
      <c r="H221" s="489"/>
      <c r="I221" s="489"/>
      <c r="J221" s="489"/>
      <c r="K221" s="489"/>
      <c r="L221" s="489"/>
      <c r="M221" s="489"/>
    </row>
    <row r="222" ht="15.75" customHeight="1">
      <c r="A222" s="490"/>
      <c r="B222" s="490"/>
      <c r="C222" s="490"/>
      <c r="D222" s="490"/>
      <c r="E222" s="490"/>
      <c r="F222" s="490"/>
      <c r="G222" s="489"/>
      <c r="H222" s="489"/>
      <c r="I222" s="489"/>
      <c r="J222" s="489"/>
      <c r="K222" s="489"/>
      <c r="L222" s="489"/>
      <c r="M222" s="489"/>
    </row>
    <row r="223" ht="15.75" customHeight="1">
      <c r="A223" s="490"/>
      <c r="B223" s="490"/>
      <c r="C223" s="490"/>
      <c r="D223" s="490"/>
      <c r="E223" s="490"/>
      <c r="F223" s="490"/>
      <c r="G223" s="489"/>
      <c r="H223" s="489"/>
      <c r="I223" s="489"/>
      <c r="J223" s="489"/>
      <c r="K223" s="489"/>
      <c r="L223" s="489"/>
      <c r="M223" s="489"/>
    </row>
    <row r="224" ht="15.75" customHeight="1">
      <c r="A224" s="490"/>
      <c r="B224" s="490"/>
      <c r="C224" s="490"/>
      <c r="D224" s="490"/>
      <c r="E224" s="490"/>
      <c r="F224" s="490"/>
      <c r="G224" s="489"/>
      <c r="H224" s="489"/>
      <c r="I224" s="489"/>
      <c r="J224" s="489"/>
      <c r="K224" s="489"/>
      <c r="L224" s="489"/>
      <c r="M224" s="489"/>
    </row>
    <row r="225" ht="15.75" customHeight="1">
      <c r="A225" s="490"/>
      <c r="B225" s="490"/>
      <c r="C225" s="490"/>
      <c r="D225" s="490"/>
      <c r="E225" s="490"/>
      <c r="F225" s="490"/>
      <c r="G225" s="489"/>
      <c r="H225" s="489"/>
      <c r="I225" s="489"/>
      <c r="J225" s="489"/>
      <c r="K225" s="489"/>
      <c r="L225" s="489"/>
      <c r="M225" s="489"/>
    </row>
    <row r="226" ht="15.75" customHeight="1">
      <c r="A226" s="490"/>
      <c r="B226" s="490"/>
      <c r="C226" s="490"/>
      <c r="D226" s="490"/>
      <c r="E226" s="490"/>
      <c r="F226" s="490"/>
      <c r="G226" s="489"/>
      <c r="H226" s="489"/>
      <c r="I226" s="489"/>
      <c r="J226" s="489"/>
      <c r="K226" s="489"/>
      <c r="L226" s="489"/>
      <c r="M226" s="489"/>
    </row>
    <row r="227" ht="15.75" customHeight="1">
      <c r="A227" s="490"/>
      <c r="B227" s="490"/>
      <c r="C227" s="490"/>
      <c r="D227" s="490"/>
      <c r="E227" s="490"/>
      <c r="F227" s="490"/>
      <c r="G227" s="489"/>
      <c r="H227" s="489"/>
      <c r="I227" s="489"/>
      <c r="J227" s="489"/>
      <c r="K227" s="489"/>
      <c r="L227" s="489"/>
      <c r="M227" s="489"/>
    </row>
    <row r="228" ht="15.75" customHeight="1">
      <c r="A228" s="490"/>
      <c r="B228" s="490"/>
      <c r="C228" s="490"/>
      <c r="D228" s="490"/>
      <c r="E228" s="490"/>
      <c r="F228" s="490"/>
      <c r="G228" s="489"/>
      <c r="H228" s="489"/>
      <c r="I228" s="489"/>
      <c r="J228" s="489"/>
      <c r="K228" s="489"/>
      <c r="L228" s="489"/>
      <c r="M228" s="489"/>
    </row>
    <row r="229" ht="15.75" customHeight="1">
      <c r="A229" s="490"/>
      <c r="B229" s="490"/>
      <c r="C229" s="490"/>
      <c r="D229" s="490"/>
      <c r="E229" s="490"/>
      <c r="F229" s="490"/>
      <c r="G229" s="489"/>
      <c r="H229" s="489"/>
      <c r="I229" s="489"/>
      <c r="J229" s="489"/>
      <c r="K229" s="489"/>
      <c r="L229" s="489"/>
      <c r="M229" s="489"/>
    </row>
    <row r="230" ht="15.75" customHeight="1">
      <c r="A230" s="490"/>
      <c r="B230" s="490"/>
      <c r="C230" s="490"/>
      <c r="D230" s="490"/>
      <c r="E230" s="490"/>
      <c r="F230" s="490"/>
      <c r="G230" s="489"/>
      <c r="H230" s="489"/>
      <c r="I230" s="489"/>
      <c r="J230" s="489"/>
      <c r="K230" s="489"/>
      <c r="L230" s="489"/>
      <c r="M230" s="489"/>
    </row>
    <row r="231" ht="15.75" customHeight="1">
      <c r="A231" s="490"/>
      <c r="B231" s="490"/>
      <c r="C231" s="490"/>
      <c r="D231" s="490"/>
      <c r="E231" s="490"/>
      <c r="F231" s="490"/>
      <c r="G231" s="489"/>
      <c r="H231" s="489"/>
      <c r="I231" s="489"/>
      <c r="J231" s="489"/>
      <c r="K231" s="489"/>
      <c r="L231" s="489"/>
      <c r="M231" s="489"/>
    </row>
    <row r="232" ht="15.75" customHeight="1">
      <c r="A232" s="490"/>
      <c r="B232" s="490"/>
      <c r="C232" s="490"/>
      <c r="D232" s="490"/>
      <c r="E232" s="490"/>
      <c r="F232" s="490"/>
      <c r="G232" s="489"/>
      <c r="H232" s="489"/>
      <c r="I232" s="489"/>
      <c r="J232" s="489"/>
      <c r="K232" s="489"/>
      <c r="L232" s="489"/>
      <c r="M232" s="489"/>
    </row>
    <row r="233" ht="15.75" customHeight="1">
      <c r="A233" s="490"/>
      <c r="B233" s="490"/>
      <c r="C233" s="490"/>
      <c r="D233" s="490"/>
      <c r="E233" s="490"/>
      <c r="F233" s="490"/>
      <c r="G233" s="489"/>
      <c r="H233" s="489"/>
      <c r="I233" s="489"/>
      <c r="J233" s="489"/>
      <c r="K233" s="489"/>
      <c r="L233" s="489"/>
      <c r="M233" s="489"/>
    </row>
    <row r="234" ht="15.75" customHeight="1">
      <c r="A234" s="490"/>
      <c r="B234" s="490"/>
      <c r="C234" s="490"/>
      <c r="D234" s="490"/>
      <c r="E234" s="490"/>
      <c r="F234" s="490"/>
      <c r="G234" s="489"/>
      <c r="H234" s="489"/>
      <c r="I234" s="489"/>
      <c r="J234" s="489"/>
      <c r="K234" s="489"/>
      <c r="L234" s="489"/>
      <c r="M234" s="489"/>
    </row>
    <row r="235" ht="15.75" customHeight="1">
      <c r="A235" s="490"/>
      <c r="B235" s="490"/>
      <c r="C235" s="490"/>
      <c r="D235" s="490"/>
      <c r="E235" s="490"/>
      <c r="F235" s="490"/>
      <c r="G235" s="489"/>
      <c r="H235" s="489"/>
      <c r="I235" s="489"/>
      <c r="J235" s="489"/>
      <c r="K235" s="489"/>
      <c r="L235" s="489"/>
      <c r="M235" s="489"/>
    </row>
    <row r="236" ht="15.75" customHeight="1">
      <c r="A236" s="490"/>
      <c r="B236" s="490"/>
      <c r="C236" s="490"/>
      <c r="D236" s="490"/>
      <c r="E236" s="490"/>
      <c r="F236" s="490"/>
      <c r="G236" s="489"/>
      <c r="H236" s="489"/>
      <c r="I236" s="489"/>
      <c r="J236" s="489"/>
      <c r="K236" s="489"/>
      <c r="L236" s="489"/>
      <c r="M236" s="489"/>
    </row>
    <row r="237" ht="15.75" customHeight="1">
      <c r="A237" s="490"/>
      <c r="B237" s="490"/>
      <c r="C237" s="490"/>
      <c r="D237" s="490"/>
      <c r="E237" s="490"/>
      <c r="F237" s="490"/>
      <c r="G237" s="489"/>
      <c r="H237" s="489"/>
      <c r="I237" s="489"/>
      <c r="J237" s="489"/>
      <c r="K237" s="489"/>
      <c r="L237" s="489"/>
      <c r="M237" s="489"/>
    </row>
    <row r="238" ht="15.75" customHeight="1">
      <c r="A238" s="490"/>
      <c r="B238" s="490"/>
      <c r="C238" s="490"/>
      <c r="D238" s="490"/>
      <c r="E238" s="490"/>
      <c r="F238" s="490"/>
      <c r="G238" s="489"/>
      <c r="H238" s="489"/>
      <c r="I238" s="489"/>
      <c r="J238" s="489"/>
      <c r="K238" s="489"/>
      <c r="L238" s="489"/>
      <c r="M238" s="489"/>
    </row>
    <row r="239" ht="15.75" customHeight="1">
      <c r="A239" s="490"/>
      <c r="B239" s="490"/>
      <c r="C239" s="490"/>
      <c r="D239" s="490"/>
      <c r="E239" s="490"/>
      <c r="F239" s="490"/>
      <c r="G239" s="489"/>
      <c r="H239" s="489"/>
      <c r="I239" s="489"/>
      <c r="J239" s="489"/>
      <c r="K239" s="489"/>
      <c r="L239" s="489"/>
      <c r="M239" s="489"/>
    </row>
    <row r="240" ht="15.75" customHeight="1">
      <c r="A240" s="490"/>
      <c r="B240" s="490"/>
      <c r="C240" s="490"/>
      <c r="D240" s="490"/>
      <c r="E240" s="490"/>
      <c r="F240" s="490"/>
      <c r="G240" s="489"/>
      <c r="H240" s="489"/>
      <c r="I240" s="489"/>
      <c r="J240" s="489"/>
      <c r="K240" s="489"/>
      <c r="L240" s="489"/>
      <c r="M240" s="489"/>
    </row>
    <row r="241" ht="15.75" customHeight="1">
      <c r="A241" s="490"/>
      <c r="B241" s="490"/>
      <c r="C241" s="490"/>
      <c r="D241" s="490"/>
      <c r="E241" s="490"/>
      <c r="F241" s="490"/>
      <c r="G241" s="489"/>
      <c r="H241" s="489"/>
      <c r="I241" s="489"/>
      <c r="J241" s="489"/>
      <c r="K241" s="489"/>
      <c r="L241" s="489"/>
      <c r="M241" s="489"/>
    </row>
    <row r="242" ht="15.75" customHeight="1">
      <c r="A242" s="490"/>
      <c r="B242" s="490"/>
      <c r="C242" s="490"/>
      <c r="D242" s="490"/>
      <c r="E242" s="490"/>
      <c r="F242" s="490"/>
      <c r="G242" s="489"/>
      <c r="H242" s="489"/>
      <c r="I242" s="489"/>
      <c r="J242" s="489"/>
      <c r="K242" s="489"/>
      <c r="L242" s="489"/>
      <c r="M242" s="489"/>
    </row>
    <row r="243" ht="15.75" customHeight="1">
      <c r="A243" s="490"/>
      <c r="B243" s="490"/>
      <c r="C243" s="490"/>
      <c r="D243" s="490"/>
      <c r="E243" s="490"/>
      <c r="F243" s="490"/>
      <c r="G243" s="489"/>
      <c r="H243" s="489"/>
      <c r="I243" s="489"/>
      <c r="J243" s="489"/>
      <c r="K243" s="489"/>
      <c r="L243" s="489"/>
      <c r="M243" s="489"/>
    </row>
    <row r="244" ht="15.75" customHeight="1">
      <c r="A244" s="490"/>
      <c r="B244" s="490"/>
      <c r="C244" s="490"/>
      <c r="D244" s="490"/>
      <c r="E244" s="490"/>
      <c r="F244" s="490"/>
      <c r="G244" s="489"/>
      <c r="H244" s="489"/>
      <c r="I244" s="489"/>
      <c r="J244" s="489"/>
      <c r="K244" s="489"/>
      <c r="L244" s="489"/>
      <c r="M244" s="489"/>
    </row>
    <row r="245" ht="15.75" customHeight="1">
      <c r="A245" s="490"/>
      <c r="B245" s="490"/>
      <c r="C245" s="490"/>
      <c r="D245" s="490"/>
      <c r="E245" s="490"/>
      <c r="F245" s="490"/>
      <c r="G245" s="489"/>
      <c r="H245" s="489"/>
      <c r="I245" s="489"/>
      <c r="J245" s="489"/>
      <c r="K245" s="489"/>
      <c r="L245" s="489"/>
      <c r="M245" s="489"/>
    </row>
    <row r="246" ht="15.75" customHeight="1">
      <c r="A246" s="490"/>
      <c r="B246" s="490"/>
      <c r="C246" s="490"/>
      <c r="D246" s="490"/>
      <c r="E246" s="490"/>
      <c r="F246" s="490"/>
      <c r="G246" s="489"/>
      <c r="H246" s="489"/>
      <c r="I246" s="489"/>
      <c r="J246" s="489"/>
      <c r="K246" s="489"/>
      <c r="L246" s="489"/>
      <c r="M246" s="489"/>
    </row>
    <row r="247" ht="15.75" customHeight="1">
      <c r="A247" s="490"/>
      <c r="B247" s="490"/>
      <c r="C247" s="490"/>
      <c r="D247" s="490"/>
      <c r="E247" s="490"/>
      <c r="F247" s="490"/>
      <c r="G247" s="489"/>
      <c r="H247" s="489"/>
      <c r="I247" s="489"/>
      <c r="J247" s="489"/>
      <c r="K247" s="489"/>
      <c r="L247" s="489"/>
      <c r="M247" s="489"/>
    </row>
    <row r="248" ht="15.75" customHeight="1">
      <c r="A248" s="490"/>
      <c r="B248" s="490"/>
      <c r="C248" s="490"/>
      <c r="D248" s="490"/>
      <c r="E248" s="490"/>
      <c r="F248" s="490"/>
      <c r="G248" s="489"/>
      <c r="H248" s="489"/>
      <c r="I248" s="489"/>
      <c r="J248" s="489"/>
      <c r="K248" s="489"/>
      <c r="L248" s="489"/>
      <c r="M248" s="489"/>
    </row>
    <row r="249" ht="15.75" customHeight="1">
      <c r="A249" s="490"/>
      <c r="B249" s="490"/>
      <c r="C249" s="490"/>
      <c r="D249" s="490"/>
      <c r="E249" s="490"/>
      <c r="F249" s="490"/>
      <c r="G249" s="489"/>
      <c r="H249" s="489"/>
      <c r="I249" s="489"/>
      <c r="J249" s="489"/>
      <c r="K249" s="489"/>
      <c r="L249" s="489"/>
      <c r="M249" s="489"/>
    </row>
    <row r="250" ht="15.75" customHeight="1">
      <c r="A250" s="490"/>
      <c r="B250" s="490"/>
      <c r="C250" s="490"/>
      <c r="D250" s="490"/>
      <c r="E250" s="490"/>
      <c r="F250" s="490"/>
      <c r="G250" s="489"/>
      <c r="H250" s="489"/>
      <c r="I250" s="489"/>
      <c r="J250" s="489"/>
      <c r="K250" s="489"/>
      <c r="L250" s="489"/>
      <c r="M250" s="489"/>
    </row>
    <row r="251" ht="15.75" customHeight="1">
      <c r="A251" s="490"/>
      <c r="B251" s="490"/>
      <c r="C251" s="490"/>
      <c r="D251" s="490"/>
      <c r="E251" s="490"/>
      <c r="F251" s="490"/>
      <c r="G251" s="489"/>
      <c r="H251" s="489"/>
      <c r="I251" s="489"/>
      <c r="J251" s="489"/>
      <c r="K251" s="489"/>
      <c r="L251" s="489"/>
      <c r="M251" s="489"/>
    </row>
    <row r="252" ht="15.75" customHeight="1">
      <c r="A252" s="490"/>
      <c r="B252" s="490"/>
      <c r="C252" s="490"/>
      <c r="D252" s="490"/>
      <c r="E252" s="490"/>
      <c r="F252" s="490"/>
      <c r="G252" s="489"/>
      <c r="H252" s="489"/>
      <c r="I252" s="489"/>
      <c r="J252" s="489"/>
      <c r="K252" s="489"/>
      <c r="L252" s="489"/>
      <c r="M252" s="489"/>
    </row>
    <row r="253" ht="15.75" customHeight="1">
      <c r="A253" s="490"/>
      <c r="B253" s="490"/>
      <c r="C253" s="490"/>
      <c r="D253" s="490"/>
      <c r="E253" s="490"/>
      <c r="F253" s="490"/>
      <c r="G253" s="489"/>
      <c r="H253" s="489"/>
      <c r="I253" s="489"/>
      <c r="J253" s="489"/>
      <c r="K253" s="489"/>
      <c r="L253" s="489"/>
      <c r="M253" s="489"/>
    </row>
    <row r="254" ht="15.75" customHeight="1">
      <c r="A254" s="490"/>
      <c r="B254" s="490"/>
      <c r="C254" s="490"/>
      <c r="D254" s="490"/>
      <c r="E254" s="490"/>
      <c r="F254" s="490"/>
      <c r="G254" s="489"/>
      <c r="H254" s="489"/>
      <c r="I254" s="489"/>
      <c r="J254" s="489"/>
      <c r="K254" s="489"/>
      <c r="L254" s="489"/>
      <c r="M254" s="489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5.43"/>
    <col customWidth="1" min="2" max="2" width="42.71"/>
    <col customWidth="1" min="3" max="3" width="22.57"/>
    <col customWidth="1" min="4" max="4" width="20.71"/>
    <col customWidth="1" min="5" max="5" width="17.57"/>
    <col customWidth="1" min="6" max="6" width="21.29"/>
    <col customWidth="1" min="7" max="13" width="24.71"/>
  </cols>
  <sheetData>
    <row r="1">
      <c r="A1" s="1" t="s">
        <v>0</v>
      </c>
      <c r="B1" s="491"/>
      <c r="C1" s="3"/>
      <c r="D1" s="3"/>
      <c r="E1" s="3"/>
      <c r="F1" s="3"/>
      <c r="G1" s="85"/>
      <c r="H1" s="85"/>
      <c r="I1" s="85"/>
      <c r="J1" s="85"/>
      <c r="K1" s="86"/>
      <c r="L1" s="85"/>
      <c r="M1" s="85"/>
    </row>
    <row r="2">
      <c r="A2" s="6" t="s">
        <v>1</v>
      </c>
      <c r="B2" s="180"/>
      <c r="C2" s="3"/>
      <c r="D2" s="3"/>
      <c r="E2" s="3"/>
      <c r="F2" s="3"/>
      <c r="G2" s="87"/>
      <c r="H2" s="88"/>
      <c r="K2" s="86"/>
      <c r="L2" s="87"/>
      <c r="M2" s="87"/>
    </row>
    <row r="3">
      <c r="A3" s="1" t="s">
        <v>808</v>
      </c>
      <c r="B3" s="491"/>
      <c r="C3" s="3"/>
      <c r="D3" s="3"/>
      <c r="E3" s="3"/>
      <c r="F3" s="3"/>
      <c r="G3" s="87"/>
      <c r="K3" s="87"/>
      <c r="L3" s="87"/>
      <c r="M3" s="87"/>
    </row>
    <row r="4">
      <c r="A4" s="1" t="s">
        <v>3</v>
      </c>
      <c r="B4" s="491"/>
      <c r="C4" s="3"/>
      <c r="D4" s="3"/>
      <c r="E4" s="3"/>
      <c r="F4" s="3"/>
      <c r="G4" s="87"/>
      <c r="K4" s="87"/>
      <c r="L4" s="87"/>
      <c r="M4" s="87"/>
    </row>
    <row r="5">
      <c r="A5" s="1" t="s">
        <v>4</v>
      </c>
      <c r="B5" s="491"/>
      <c r="C5" s="3"/>
      <c r="D5" s="3"/>
      <c r="E5" s="3"/>
      <c r="F5" s="3"/>
      <c r="G5" s="87"/>
      <c r="H5" s="87"/>
      <c r="I5" s="87"/>
      <c r="J5" s="87"/>
      <c r="K5" s="87"/>
      <c r="L5" s="87"/>
      <c r="M5" s="87"/>
    </row>
    <row r="6">
      <c r="A6" s="492"/>
      <c r="B6" s="493"/>
      <c r="C6" s="238"/>
      <c r="D6" s="238"/>
      <c r="E6" s="238"/>
      <c r="F6" s="238"/>
      <c r="G6" s="87"/>
      <c r="H6" s="87"/>
      <c r="I6" s="87"/>
      <c r="J6" s="87"/>
      <c r="K6" s="87"/>
      <c r="L6" s="87"/>
      <c r="M6" s="87"/>
    </row>
    <row r="7">
      <c r="A7" s="184" t="s">
        <v>5</v>
      </c>
      <c r="B7" s="184" t="s">
        <v>6</v>
      </c>
      <c r="C7" s="185" t="s">
        <v>7</v>
      </c>
      <c r="D7" s="14"/>
      <c r="E7" s="94" t="s">
        <v>8</v>
      </c>
      <c r="F7" s="14"/>
      <c r="G7" s="95" t="s">
        <v>9</v>
      </c>
      <c r="H7" s="17"/>
      <c r="I7" s="17"/>
      <c r="J7" s="17"/>
      <c r="K7" s="17"/>
      <c r="L7" s="18"/>
      <c r="M7" s="96" t="s">
        <v>809</v>
      </c>
    </row>
    <row r="8">
      <c r="A8" s="20"/>
      <c r="B8" s="20"/>
      <c r="C8" s="21"/>
      <c r="D8" s="22"/>
      <c r="E8" s="21"/>
      <c r="F8" s="22"/>
      <c r="G8" s="95" t="s">
        <v>11</v>
      </c>
      <c r="H8" s="18"/>
      <c r="I8" s="95" t="s">
        <v>12</v>
      </c>
      <c r="J8" s="18"/>
      <c r="K8" s="95" t="s">
        <v>13</v>
      </c>
      <c r="L8" s="18"/>
      <c r="M8" s="20"/>
    </row>
    <row r="9">
      <c r="A9" s="20"/>
      <c r="B9" s="20"/>
      <c r="C9" s="186" t="s">
        <v>14</v>
      </c>
      <c r="D9" s="187" t="s">
        <v>15</v>
      </c>
      <c r="E9" s="94" t="s">
        <v>16</v>
      </c>
      <c r="F9" s="14"/>
      <c r="G9" s="100" t="s">
        <v>17</v>
      </c>
      <c r="H9" s="101" t="s">
        <v>18</v>
      </c>
      <c r="I9" s="100" t="s">
        <v>17</v>
      </c>
      <c r="J9" s="101" t="s">
        <v>18</v>
      </c>
      <c r="K9" s="100" t="s">
        <v>17</v>
      </c>
      <c r="L9" s="101" t="s">
        <v>18</v>
      </c>
      <c r="M9" s="20"/>
    </row>
    <row r="10" ht="57.75" customHeight="1">
      <c r="A10" s="28"/>
      <c r="B10" s="28"/>
      <c r="C10" s="28"/>
      <c r="D10" s="28"/>
      <c r="E10" s="104" t="s">
        <v>17</v>
      </c>
      <c r="F10" s="105" t="s">
        <v>18</v>
      </c>
      <c r="G10" s="28"/>
      <c r="H10" s="28"/>
      <c r="I10" s="28"/>
      <c r="J10" s="28"/>
      <c r="K10" s="28"/>
      <c r="L10" s="28"/>
      <c r="M10" s="28"/>
    </row>
    <row r="11">
      <c r="A11" s="494" t="s">
        <v>151</v>
      </c>
      <c r="B11" s="495"/>
      <c r="C11" s="191"/>
      <c r="D11" s="191"/>
      <c r="E11" s="41"/>
      <c r="F11" s="41"/>
      <c r="G11" s="41"/>
      <c r="H11" s="41"/>
      <c r="I11" s="41"/>
      <c r="J11" s="41"/>
      <c r="K11" s="41"/>
      <c r="L11" s="41"/>
      <c r="M11" s="41"/>
    </row>
    <row r="12" ht="51.0" customHeight="1">
      <c r="A12" s="494" t="s">
        <v>152</v>
      </c>
      <c r="B12" s="495"/>
      <c r="C12" s="191"/>
      <c r="D12" s="496">
        <f>SUM(D14:D33)</f>
        <v>6576.133</v>
      </c>
      <c r="E12" s="41"/>
      <c r="F12" s="496">
        <f>SUM(F14:F33)</f>
        <v>512.8</v>
      </c>
      <c r="G12" s="41"/>
      <c r="H12" s="41"/>
      <c r="I12" s="41"/>
      <c r="J12" s="41"/>
      <c r="K12" s="41"/>
      <c r="L12" s="41"/>
      <c r="M12" s="41"/>
    </row>
    <row r="13">
      <c r="A13" s="464"/>
      <c r="B13" s="495"/>
      <c r="C13" s="191"/>
      <c r="D13" s="191"/>
      <c r="E13" s="41"/>
      <c r="F13" s="41"/>
      <c r="G13" s="41"/>
      <c r="H13" s="41"/>
      <c r="I13" s="41"/>
      <c r="J13" s="41"/>
      <c r="K13" s="41"/>
      <c r="L13" s="41"/>
      <c r="M13" s="41"/>
    </row>
    <row r="14">
      <c r="A14" s="464" t="s">
        <v>810</v>
      </c>
      <c r="B14" s="495" t="s">
        <v>811</v>
      </c>
      <c r="C14" s="191">
        <v>1.0</v>
      </c>
      <c r="D14" s="497">
        <v>2000.0</v>
      </c>
      <c r="E14" s="41"/>
      <c r="F14" s="41"/>
      <c r="G14" s="41"/>
      <c r="H14" s="41"/>
      <c r="I14" s="41"/>
      <c r="J14" s="41"/>
      <c r="K14" s="41"/>
      <c r="L14" s="41"/>
      <c r="M14" s="41"/>
    </row>
    <row r="15">
      <c r="A15" s="464" t="s">
        <v>812</v>
      </c>
      <c r="B15" s="495" t="s">
        <v>811</v>
      </c>
      <c r="C15" s="191">
        <v>1.0</v>
      </c>
      <c r="D15" s="497">
        <v>100.0</v>
      </c>
      <c r="E15" s="41"/>
      <c r="F15" s="41"/>
      <c r="G15" s="41"/>
      <c r="H15" s="41"/>
      <c r="I15" s="41"/>
      <c r="J15" s="41"/>
      <c r="K15" s="41"/>
      <c r="L15" s="41"/>
      <c r="M15" s="41"/>
    </row>
    <row r="16" ht="30.0" customHeight="1">
      <c r="A16" s="464" t="s">
        <v>813</v>
      </c>
      <c r="B16" s="495" t="s">
        <v>811</v>
      </c>
      <c r="C16" s="191"/>
      <c r="D16" s="498"/>
      <c r="E16" s="41"/>
      <c r="F16" s="41"/>
      <c r="G16" s="41"/>
      <c r="H16" s="41"/>
      <c r="I16" s="41"/>
      <c r="J16" s="41"/>
      <c r="K16" s="41"/>
      <c r="L16" s="41"/>
      <c r="M16" s="41"/>
    </row>
    <row r="17" ht="22.5" customHeight="1">
      <c r="A17" s="464" t="s">
        <v>814</v>
      </c>
      <c r="B17" s="495" t="s">
        <v>811</v>
      </c>
      <c r="C17" s="191">
        <v>4.0</v>
      </c>
      <c r="D17" s="499">
        <v>40.0</v>
      </c>
      <c r="E17" s="41"/>
      <c r="F17" s="41"/>
      <c r="G17" s="41"/>
      <c r="H17" s="41"/>
      <c r="I17" s="41"/>
      <c r="J17" s="41"/>
      <c r="K17" s="41"/>
      <c r="L17" s="41"/>
      <c r="M17" s="41"/>
    </row>
    <row r="18" ht="33.75" customHeight="1">
      <c r="A18" s="500" t="s">
        <v>815</v>
      </c>
      <c r="B18" s="495" t="s">
        <v>811</v>
      </c>
      <c r="C18" s="191">
        <v>2.0</v>
      </c>
      <c r="D18" s="499">
        <v>20.0</v>
      </c>
      <c r="E18" s="41"/>
      <c r="F18" s="41"/>
      <c r="G18" s="41"/>
      <c r="H18" s="41"/>
      <c r="I18" s="41"/>
      <c r="J18" s="41"/>
      <c r="K18" s="41"/>
      <c r="L18" s="41"/>
      <c r="M18" s="41"/>
    </row>
    <row r="19" ht="33.75" customHeight="1">
      <c r="A19" s="500" t="s">
        <v>816</v>
      </c>
      <c r="B19" s="495" t="s">
        <v>817</v>
      </c>
      <c r="C19" s="191">
        <v>3.0</v>
      </c>
      <c r="D19" s="499">
        <v>9.9</v>
      </c>
      <c r="E19" s="41"/>
      <c r="F19" s="41"/>
      <c r="G19" s="41"/>
      <c r="H19" s="41"/>
      <c r="I19" s="41"/>
      <c r="J19" s="41"/>
      <c r="K19" s="41"/>
      <c r="L19" s="41"/>
      <c r="M19" s="41"/>
    </row>
    <row r="20" ht="27.75" customHeight="1">
      <c r="A20" s="464" t="s">
        <v>818</v>
      </c>
      <c r="B20" s="495" t="s">
        <v>811</v>
      </c>
      <c r="C20" s="191">
        <v>1.0</v>
      </c>
      <c r="D20" s="499">
        <v>3100.0</v>
      </c>
      <c r="E20" s="41"/>
      <c r="F20" s="41"/>
      <c r="G20" s="41"/>
      <c r="H20" s="41"/>
      <c r="I20" s="41"/>
      <c r="J20" s="41"/>
      <c r="K20" s="41"/>
      <c r="L20" s="41"/>
      <c r="M20" s="41"/>
    </row>
    <row r="21" ht="39.0" customHeight="1">
      <c r="A21" s="464" t="s">
        <v>819</v>
      </c>
      <c r="B21" s="495" t="s">
        <v>811</v>
      </c>
      <c r="C21" s="191">
        <v>1.0</v>
      </c>
      <c r="D21" s="499">
        <v>350.0</v>
      </c>
      <c r="E21" s="41"/>
      <c r="F21" s="41"/>
      <c r="G21" s="41"/>
      <c r="H21" s="41"/>
      <c r="I21" s="41"/>
      <c r="J21" s="41"/>
      <c r="K21" s="41"/>
      <c r="L21" s="41"/>
      <c r="M21" s="41"/>
    </row>
    <row r="22" ht="30.0" customHeight="1">
      <c r="A22" s="500" t="s">
        <v>820</v>
      </c>
      <c r="B22" s="495" t="s">
        <v>811</v>
      </c>
      <c r="C22" s="191">
        <v>1.0</v>
      </c>
      <c r="D22" s="499">
        <v>100.0</v>
      </c>
      <c r="E22" s="41"/>
      <c r="F22" s="41"/>
      <c r="G22" s="41"/>
      <c r="H22" s="41"/>
      <c r="I22" s="41"/>
      <c r="J22" s="41"/>
      <c r="K22" s="41"/>
      <c r="L22" s="41"/>
      <c r="M22" s="41"/>
    </row>
    <row r="23" ht="36.75" customHeight="1">
      <c r="A23" s="500" t="s">
        <v>821</v>
      </c>
      <c r="B23" s="495" t="s">
        <v>811</v>
      </c>
      <c r="C23" s="191">
        <v>1.0</v>
      </c>
      <c r="D23" s="499">
        <v>333.333</v>
      </c>
      <c r="E23" s="41"/>
      <c r="F23" s="41"/>
      <c r="G23" s="41"/>
      <c r="H23" s="41"/>
      <c r="I23" s="41"/>
      <c r="J23" s="41"/>
      <c r="K23" s="41"/>
      <c r="L23" s="41"/>
      <c r="M23" s="41"/>
    </row>
    <row r="24" ht="40.5" customHeight="1">
      <c r="A24" s="500" t="s">
        <v>822</v>
      </c>
      <c r="B24" s="495" t="s">
        <v>823</v>
      </c>
      <c r="C24" s="191">
        <v>330.0</v>
      </c>
      <c r="D24" s="499">
        <v>250.8</v>
      </c>
      <c r="E24" s="41"/>
      <c r="F24" s="41"/>
      <c r="G24" s="41"/>
      <c r="H24" s="41"/>
      <c r="I24" s="41"/>
      <c r="J24" s="41"/>
      <c r="K24" s="41"/>
      <c r="L24" s="41"/>
      <c r="M24" s="41"/>
    </row>
    <row r="25" ht="27.75" customHeight="1">
      <c r="A25" s="464" t="s">
        <v>824</v>
      </c>
      <c r="B25" s="495" t="s">
        <v>825</v>
      </c>
      <c r="C25" s="191">
        <v>66.0</v>
      </c>
      <c r="D25" s="499">
        <v>122.1</v>
      </c>
      <c r="E25" s="41"/>
      <c r="F25" s="41"/>
      <c r="G25" s="41"/>
      <c r="H25" s="41"/>
      <c r="I25" s="41"/>
      <c r="J25" s="41"/>
      <c r="K25" s="41"/>
      <c r="L25" s="41"/>
      <c r="M25" s="41"/>
    </row>
    <row r="26" ht="34.5" customHeight="1">
      <c r="A26" s="464" t="s">
        <v>826</v>
      </c>
      <c r="B26" s="495" t="s">
        <v>827</v>
      </c>
      <c r="C26" s="191"/>
      <c r="D26" s="499"/>
      <c r="E26" s="41"/>
      <c r="F26" s="41"/>
      <c r="G26" s="41"/>
      <c r="H26" s="41"/>
      <c r="I26" s="41"/>
      <c r="J26" s="41"/>
      <c r="K26" s="41"/>
      <c r="L26" s="41"/>
      <c r="M26" s="41"/>
    </row>
    <row r="27" ht="42.75" customHeight="1">
      <c r="A27" s="464" t="s">
        <v>828</v>
      </c>
      <c r="B27" s="495" t="s">
        <v>829</v>
      </c>
      <c r="C27" s="191">
        <f>1187*2</f>
        <v>2374</v>
      </c>
      <c r="D27" s="499">
        <v>150.0</v>
      </c>
      <c r="E27" s="41"/>
      <c r="F27" s="41"/>
      <c r="G27" s="41"/>
      <c r="H27" s="41"/>
      <c r="I27" s="41"/>
      <c r="J27" s="41"/>
      <c r="K27" s="41"/>
      <c r="L27" s="41"/>
      <c r="M27" s="41"/>
    </row>
    <row r="28" ht="36.0" customHeight="1">
      <c r="A28" s="464" t="s">
        <v>830</v>
      </c>
      <c r="B28" s="495" t="s">
        <v>811</v>
      </c>
      <c r="C28" s="191"/>
      <c r="D28" s="499"/>
      <c r="E28" s="501">
        <v>154.0</v>
      </c>
      <c r="F28" s="502">
        <v>153.84</v>
      </c>
      <c r="G28" s="41"/>
      <c r="H28" s="41"/>
      <c r="I28" s="41"/>
      <c r="J28" s="41"/>
      <c r="K28" s="41"/>
      <c r="L28" s="41"/>
      <c r="M28" s="41"/>
    </row>
    <row r="29" ht="39.75" customHeight="1">
      <c r="A29" s="464" t="s">
        <v>831</v>
      </c>
      <c r="B29" s="495" t="s">
        <v>811</v>
      </c>
      <c r="C29" s="191"/>
      <c r="D29" s="499"/>
      <c r="E29" s="501">
        <v>446.0</v>
      </c>
      <c r="F29" s="503">
        <v>38.46</v>
      </c>
      <c r="G29" s="41"/>
      <c r="H29" s="41"/>
      <c r="I29" s="41"/>
      <c r="J29" s="41"/>
      <c r="K29" s="41"/>
      <c r="L29" s="41"/>
      <c r="M29" s="41"/>
    </row>
    <row r="30" ht="27.75" customHeight="1">
      <c r="A30" s="464" t="s">
        <v>832</v>
      </c>
      <c r="B30" s="495" t="s">
        <v>811</v>
      </c>
      <c r="C30" s="191"/>
      <c r="D30" s="499"/>
      <c r="E30" s="501">
        <v>4.0</v>
      </c>
      <c r="F30" s="503">
        <v>38.46</v>
      </c>
      <c r="G30" s="41"/>
      <c r="H30" s="41"/>
      <c r="I30" s="41"/>
      <c r="J30" s="41"/>
      <c r="K30" s="41"/>
      <c r="L30" s="41"/>
      <c r="M30" s="41"/>
    </row>
    <row r="31" ht="37.5" customHeight="1">
      <c r="A31" s="504" t="s">
        <v>833</v>
      </c>
      <c r="B31" s="495" t="s">
        <v>834</v>
      </c>
      <c r="C31" s="191"/>
      <c r="D31" s="499"/>
      <c r="E31" s="501">
        <v>4.0</v>
      </c>
      <c r="F31" s="503">
        <v>61.54</v>
      </c>
      <c r="G31" s="41"/>
      <c r="H31" s="41"/>
      <c r="I31" s="41"/>
      <c r="J31" s="41"/>
      <c r="K31" s="41"/>
      <c r="L31" s="41"/>
      <c r="M31" s="41"/>
    </row>
    <row r="32" ht="36.75" customHeight="1">
      <c r="A32" s="464" t="s">
        <v>835</v>
      </c>
      <c r="B32" s="495" t="s">
        <v>811</v>
      </c>
      <c r="C32" s="191"/>
      <c r="D32" s="499"/>
      <c r="E32" s="501">
        <v>154.0</v>
      </c>
      <c r="F32" s="503">
        <v>153.84</v>
      </c>
      <c r="G32" s="41"/>
      <c r="H32" s="41"/>
      <c r="I32" s="41"/>
      <c r="J32" s="41"/>
      <c r="K32" s="41"/>
      <c r="L32" s="41"/>
      <c r="M32" s="41"/>
    </row>
    <row r="33" ht="37.5" customHeight="1">
      <c r="A33" s="504" t="s">
        <v>836</v>
      </c>
      <c r="B33" s="495"/>
      <c r="C33" s="191"/>
      <c r="D33" s="499"/>
      <c r="E33" s="505">
        <v>2.0</v>
      </c>
      <c r="F33" s="505">
        <v>66.66</v>
      </c>
      <c r="G33" s="41"/>
      <c r="H33" s="41"/>
      <c r="I33" s="41"/>
      <c r="J33" s="41"/>
      <c r="K33" s="41"/>
      <c r="L33" s="41"/>
      <c r="M33" s="41"/>
    </row>
    <row r="34" ht="30.0" customHeight="1">
      <c r="A34" s="506" t="s">
        <v>837</v>
      </c>
      <c r="B34" s="507" t="s">
        <v>823</v>
      </c>
      <c r="C34" s="191"/>
      <c r="D34" s="191"/>
      <c r="E34" s="41"/>
      <c r="F34" s="41"/>
      <c r="G34" s="41"/>
      <c r="H34" s="41"/>
      <c r="I34" s="508">
        <v>9.0</v>
      </c>
      <c r="J34" s="508">
        <v>90.0</v>
      </c>
      <c r="K34" s="508">
        <v>9.0</v>
      </c>
      <c r="L34" s="508">
        <v>90.0</v>
      </c>
      <c r="M34" s="509" t="s">
        <v>108</v>
      </c>
    </row>
    <row r="35" ht="30.0" customHeight="1">
      <c r="A35" s="506" t="s">
        <v>838</v>
      </c>
      <c r="B35" s="507" t="s">
        <v>825</v>
      </c>
      <c r="C35" s="191"/>
      <c r="D35" s="191"/>
      <c r="E35" s="41"/>
      <c r="F35" s="41"/>
      <c r="G35" s="41"/>
      <c r="H35" s="41"/>
      <c r="I35" s="508">
        <v>18.0</v>
      </c>
      <c r="J35" s="508">
        <v>40.0</v>
      </c>
      <c r="K35" s="508">
        <v>18.0</v>
      </c>
      <c r="L35" s="508">
        <v>40.0</v>
      </c>
      <c r="M35" s="20"/>
    </row>
    <row r="36" ht="30.0" customHeight="1">
      <c r="A36" s="506" t="s">
        <v>839</v>
      </c>
      <c r="B36" s="507" t="s">
        <v>88</v>
      </c>
      <c r="C36" s="191"/>
      <c r="D36" s="191"/>
      <c r="E36" s="41"/>
      <c r="F36" s="41"/>
      <c r="G36" s="41"/>
      <c r="H36" s="41"/>
      <c r="I36" s="508">
        <v>114.0</v>
      </c>
      <c r="J36" s="508">
        <v>114.28</v>
      </c>
      <c r="K36" s="508">
        <v>114.0</v>
      </c>
      <c r="L36" s="508">
        <v>114.28</v>
      </c>
      <c r="M36" s="20"/>
    </row>
    <row r="37" ht="30.0" customHeight="1">
      <c r="A37" s="506" t="s">
        <v>840</v>
      </c>
      <c r="B37" s="507" t="s">
        <v>825</v>
      </c>
      <c r="C37" s="191"/>
      <c r="D37" s="191"/>
      <c r="E37" s="41"/>
      <c r="F37" s="41"/>
      <c r="G37" s="41"/>
      <c r="H37" s="41"/>
      <c r="I37" s="508">
        <v>50.0</v>
      </c>
      <c r="J37" s="508">
        <v>100.0</v>
      </c>
      <c r="K37" s="508">
        <v>50.0</v>
      </c>
      <c r="L37" s="508">
        <v>100.0</v>
      </c>
      <c r="M37" s="20"/>
    </row>
    <row r="38" ht="30.0" customHeight="1">
      <c r="A38" s="506" t="s">
        <v>841</v>
      </c>
      <c r="B38" s="507" t="s">
        <v>825</v>
      </c>
      <c r="C38" s="191"/>
      <c r="D38" s="191"/>
      <c r="E38" s="41"/>
      <c r="F38" s="41"/>
      <c r="G38" s="41"/>
      <c r="H38" s="41"/>
      <c r="I38" s="508">
        <v>100.0</v>
      </c>
      <c r="J38" s="508">
        <v>100.0</v>
      </c>
      <c r="K38" s="508">
        <v>100.0</v>
      </c>
      <c r="L38" s="508">
        <v>100.0</v>
      </c>
      <c r="M38" s="20"/>
    </row>
    <row r="39" ht="30.0" customHeight="1">
      <c r="A39" s="506" t="s">
        <v>839</v>
      </c>
      <c r="B39" s="507" t="s">
        <v>88</v>
      </c>
      <c r="C39" s="191"/>
      <c r="D39" s="191"/>
      <c r="E39" s="41"/>
      <c r="F39" s="41"/>
      <c r="G39" s="41"/>
      <c r="H39" s="41"/>
      <c r="I39" s="508">
        <v>200.0</v>
      </c>
      <c r="J39" s="508">
        <v>50.0</v>
      </c>
      <c r="K39" s="508">
        <v>200.0</v>
      </c>
      <c r="L39" s="508">
        <v>50.0</v>
      </c>
      <c r="M39" s="20"/>
    </row>
    <row r="40" ht="30.0" customHeight="1">
      <c r="A40" s="506" t="s">
        <v>842</v>
      </c>
      <c r="B40" s="507" t="s">
        <v>823</v>
      </c>
      <c r="C40" s="191"/>
      <c r="D40" s="191"/>
      <c r="E40" s="41"/>
      <c r="F40" s="41"/>
      <c r="G40" s="41"/>
      <c r="H40" s="41"/>
      <c r="I40" s="508">
        <v>100.0</v>
      </c>
      <c r="J40" s="508">
        <v>70.0</v>
      </c>
      <c r="K40" s="508">
        <v>100.0</v>
      </c>
      <c r="L40" s="508">
        <v>70.0</v>
      </c>
      <c r="M40" s="20"/>
    </row>
    <row r="41" ht="30.0" customHeight="1">
      <c r="A41" s="506" t="s">
        <v>843</v>
      </c>
      <c r="B41" s="507" t="s">
        <v>88</v>
      </c>
      <c r="C41" s="191"/>
      <c r="D41" s="191"/>
      <c r="E41" s="41"/>
      <c r="F41" s="41"/>
      <c r="G41" s="41"/>
      <c r="H41" s="41"/>
      <c r="I41" s="508">
        <v>80.0</v>
      </c>
      <c r="J41" s="508">
        <v>8.0</v>
      </c>
      <c r="K41" s="508">
        <v>80.0</v>
      </c>
      <c r="L41" s="508">
        <v>8.0</v>
      </c>
      <c r="M41" s="20"/>
    </row>
    <row r="42" ht="30.0" customHeight="1">
      <c r="A42" s="506" t="s">
        <v>844</v>
      </c>
      <c r="B42" s="507" t="s">
        <v>823</v>
      </c>
      <c r="C42" s="191"/>
      <c r="D42" s="191"/>
      <c r="E42" s="41"/>
      <c r="F42" s="41"/>
      <c r="G42" s="41"/>
      <c r="H42" s="41"/>
      <c r="I42" s="508">
        <v>290.0</v>
      </c>
      <c r="J42" s="508">
        <v>320.75</v>
      </c>
      <c r="K42" s="508">
        <v>290.0</v>
      </c>
      <c r="L42" s="508">
        <v>320.75</v>
      </c>
      <c r="M42" s="20"/>
    </row>
    <row r="43" ht="30.0" customHeight="1">
      <c r="A43" s="506" t="s">
        <v>838</v>
      </c>
      <c r="B43" s="507" t="s">
        <v>825</v>
      </c>
      <c r="C43" s="191"/>
      <c r="D43" s="191"/>
      <c r="E43" s="41"/>
      <c r="F43" s="41"/>
      <c r="G43" s="41"/>
      <c r="H43" s="41"/>
      <c r="I43" s="508">
        <v>42.0</v>
      </c>
      <c r="J43" s="508">
        <v>75.0</v>
      </c>
      <c r="K43" s="508">
        <v>42.0</v>
      </c>
      <c r="L43" s="508">
        <v>75.0</v>
      </c>
      <c r="M43" s="20"/>
    </row>
    <row r="44" ht="30.0" customHeight="1">
      <c r="A44" s="506" t="s">
        <v>845</v>
      </c>
      <c r="B44" s="507" t="s">
        <v>827</v>
      </c>
      <c r="C44" s="191"/>
      <c r="D44" s="191"/>
      <c r="E44" s="41"/>
      <c r="F44" s="41"/>
      <c r="G44" s="41"/>
      <c r="H44" s="41"/>
      <c r="I44" s="508">
        <v>50.0</v>
      </c>
      <c r="J44" s="508">
        <v>25.0</v>
      </c>
      <c r="K44" s="508">
        <v>50.0</v>
      </c>
      <c r="L44" s="508">
        <v>25.0</v>
      </c>
      <c r="M44" s="28"/>
    </row>
    <row r="45" ht="58.5" customHeight="1">
      <c r="A45" s="458" t="s">
        <v>539</v>
      </c>
      <c r="B45" s="43"/>
      <c r="C45" s="191"/>
      <c r="D45" s="191"/>
      <c r="E45" s="41"/>
      <c r="F45" s="41"/>
      <c r="G45" s="41"/>
      <c r="H45" s="41"/>
      <c r="I45" s="41"/>
      <c r="J45" s="41"/>
      <c r="K45" s="41"/>
      <c r="L45" s="41"/>
      <c r="M45" s="41"/>
    </row>
    <row r="46" ht="48.0" customHeight="1">
      <c r="A46" s="458" t="s">
        <v>846</v>
      </c>
      <c r="B46" s="43"/>
      <c r="C46" s="191"/>
      <c r="D46" s="191"/>
      <c r="E46" s="41"/>
      <c r="F46" s="41"/>
      <c r="G46" s="41"/>
      <c r="H46" s="41"/>
      <c r="I46" s="41"/>
      <c r="J46" s="41"/>
      <c r="K46" s="41"/>
      <c r="L46" s="41"/>
      <c r="M46" s="41"/>
    </row>
    <row r="47" ht="43.5" customHeight="1">
      <c r="A47" s="365" t="s">
        <v>847</v>
      </c>
      <c r="B47" s="43" t="s">
        <v>848</v>
      </c>
      <c r="C47" s="191"/>
      <c r="D47" s="191"/>
      <c r="E47" s="52"/>
      <c r="F47" s="52"/>
      <c r="G47" s="41"/>
      <c r="H47" s="41"/>
      <c r="I47" s="41"/>
      <c r="J47" s="41"/>
      <c r="K47" s="41"/>
      <c r="L47" s="41"/>
      <c r="M47" s="41"/>
    </row>
    <row r="48" ht="36.0" customHeight="1">
      <c r="A48" s="484" t="s">
        <v>63</v>
      </c>
      <c r="B48" s="43"/>
      <c r="C48" s="191"/>
      <c r="D48" s="496">
        <f>D12</f>
        <v>6576.133</v>
      </c>
      <c r="E48" s="52"/>
      <c r="F48" s="496">
        <f>F12</f>
        <v>512.8</v>
      </c>
      <c r="G48" s="41"/>
      <c r="H48" s="405">
        <v>0.0</v>
      </c>
      <c r="I48" s="41"/>
      <c r="J48" s="52">
        <f>sum(J34:J44)</f>
        <v>993.03</v>
      </c>
      <c r="K48" s="41"/>
      <c r="L48" s="52">
        <f>sum(L34:L44)</f>
        <v>993.03</v>
      </c>
      <c r="M48" s="41"/>
    </row>
    <row r="49" ht="15.75" customHeight="1">
      <c r="A49" s="400"/>
      <c r="B49" s="270"/>
      <c r="C49" s="270"/>
      <c r="D49" s="510"/>
      <c r="E49" s="511"/>
      <c r="F49" s="511"/>
      <c r="G49" s="250"/>
      <c r="H49" s="250"/>
      <c r="I49" s="250"/>
      <c r="J49" s="250"/>
      <c r="K49" s="250"/>
      <c r="L49" s="250"/>
      <c r="M49" s="250"/>
    </row>
    <row r="50" ht="15.75" customHeight="1">
      <c r="A50" s="512"/>
      <c r="B50" s="512"/>
      <c r="C50" s="512"/>
      <c r="D50" s="512"/>
      <c r="E50" s="250"/>
      <c r="F50" s="250"/>
      <c r="G50" s="250"/>
      <c r="H50" s="250"/>
      <c r="I50" s="250"/>
      <c r="J50" s="250"/>
      <c r="K50" s="250"/>
      <c r="L50" s="250"/>
      <c r="M50" s="250"/>
    </row>
    <row r="51">
      <c r="A51" s="270" t="s">
        <v>64</v>
      </c>
      <c r="B51" s="277"/>
      <c r="C51" s="65" t="s">
        <v>65</v>
      </c>
      <c r="D51" s="170"/>
      <c r="G51" s="65" t="s">
        <v>66</v>
      </c>
      <c r="H51" s="171"/>
      <c r="I51" s="250"/>
      <c r="J51" s="250"/>
      <c r="K51" s="250"/>
      <c r="L51" s="250"/>
      <c r="M51" s="250"/>
    </row>
    <row r="52" ht="15.75" customHeight="1">
      <c r="A52" s="278"/>
      <c r="B52" s="277"/>
      <c r="C52" s="86"/>
      <c r="D52" s="170"/>
      <c r="G52" s="86"/>
      <c r="H52" s="171"/>
      <c r="I52" s="250"/>
      <c r="J52" s="250"/>
      <c r="K52" s="250"/>
      <c r="L52" s="250"/>
      <c r="M52" s="250"/>
    </row>
    <row r="53" ht="15.75" customHeight="1">
      <c r="A53" s="278"/>
      <c r="B53" s="277"/>
      <c r="C53" s="86"/>
      <c r="D53" s="170"/>
      <c r="G53" s="86"/>
      <c r="H53" s="171"/>
      <c r="I53" s="250"/>
      <c r="J53" s="250"/>
      <c r="K53" s="250"/>
      <c r="L53" s="250"/>
      <c r="M53" s="250"/>
    </row>
    <row r="54">
      <c r="A54" s="71" t="s">
        <v>67</v>
      </c>
      <c r="B54" s="277"/>
      <c r="C54" s="72" t="s">
        <v>69</v>
      </c>
      <c r="D54" s="174"/>
      <c r="G54" s="72" t="s">
        <v>70</v>
      </c>
      <c r="H54" s="171"/>
      <c r="I54" s="250"/>
      <c r="J54" s="250"/>
      <c r="K54" s="250"/>
      <c r="L54" s="250"/>
      <c r="M54" s="250"/>
    </row>
    <row r="55">
      <c r="A55" s="270" t="s">
        <v>68</v>
      </c>
      <c r="B55" s="277"/>
      <c r="C55" s="65" t="s">
        <v>71</v>
      </c>
      <c r="D55" s="87"/>
      <c r="G55" s="65" t="s">
        <v>72</v>
      </c>
      <c r="H55" s="171"/>
      <c r="I55" s="250"/>
      <c r="J55" s="250"/>
      <c r="K55" s="250"/>
      <c r="L55" s="250"/>
      <c r="M55" s="250"/>
    </row>
    <row r="56" ht="15.75" customHeight="1">
      <c r="A56" s="238"/>
      <c r="B56" s="513"/>
      <c r="C56" s="238"/>
      <c r="D56" s="238"/>
      <c r="E56" s="238"/>
      <c r="F56" s="238"/>
      <c r="G56" s="250"/>
      <c r="H56" s="250"/>
      <c r="I56" s="250"/>
      <c r="J56" s="250"/>
      <c r="K56" s="250"/>
      <c r="L56" s="250"/>
      <c r="M56" s="250"/>
    </row>
    <row r="57" ht="15.75" customHeight="1">
      <c r="A57" s="238"/>
      <c r="B57" s="513"/>
      <c r="C57" s="238"/>
      <c r="D57" s="238"/>
      <c r="E57" s="238"/>
      <c r="F57" s="238"/>
      <c r="G57" s="250"/>
      <c r="H57" s="250"/>
      <c r="I57" s="250"/>
      <c r="J57" s="250"/>
      <c r="K57" s="250"/>
      <c r="L57" s="250"/>
      <c r="M57" s="250"/>
    </row>
    <row r="58" ht="15.75" customHeight="1">
      <c r="A58" s="238"/>
      <c r="B58" s="513"/>
      <c r="C58" s="238"/>
      <c r="D58" s="238"/>
      <c r="E58" s="238"/>
      <c r="F58" s="238"/>
      <c r="G58" s="250"/>
      <c r="H58" s="250"/>
      <c r="I58" s="250"/>
      <c r="J58" s="250"/>
      <c r="K58" s="250"/>
      <c r="L58" s="250"/>
      <c r="M58" s="250"/>
    </row>
    <row r="59" ht="15.75" customHeight="1">
      <c r="A59" s="238"/>
      <c r="B59" s="513"/>
      <c r="C59" s="238"/>
      <c r="D59" s="238"/>
      <c r="E59" s="238"/>
      <c r="F59" s="238"/>
      <c r="G59" s="250"/>
      <c r="H59" s="250"/>
      <c r="I59" s="250"/>
      <c r="J59" s="250"/>
      <c r="K59" s="250"/>
      <c r="L59" s="250"/>
      <c r="M59" s="250"/>
    </row>
    <row r="60" ht="15.75" customHeight="1">
      <c r="A60" s="238"/>
      <c r="B60" s="513"/>
      <c r="C60" s="238"/>
      <c r="D60" s="238"/>
      <c r="E60" s="238"/>
      <c r="F60" s="238"/>
      <c r="G60" s="250"/>
      <c r="H60" s="250"/>
      <c r="I60" s="250"/>
      <c r="J60" s="250"/>
      <c r="K60" s="250"/>
      <c r="L60" s="250"/>
      <c r="M60" s="250"/>
    </row>
    <row r="61" ht="15.75" customHeight="1">
      <c r="A61" s="238"/>
      <c r="B61" s="513"/>
      <c r="C61" s="238"/>
      <c r="D61" s="238"/>
      <c r="E61" s="238"/>
      <c r="F61" s="238"/>
      <c r="G61" s="250"/>
      <c r="H61" s="250"/>
      <c r="I61" s="250"/>
      <c r="J61" s="250"/>
      <c r="K61" s="250"/>
      <c r="L61" s="250"/>
      <c r="M61" s="250"/>
    </row>
    <row r="62" ht="15.75" customHeight="1">
      <c r="A62" s="238"/>
      <c r="B62" s="513"/>
      <c r="C62" s="238"/>
      <c r="D62" s="238"/>
      <c r="E62" s="238"/>
      <c r="F62" s="238"/>
      <c r="G62" s="250"/>
      <c r="H62" s="250"/>
      <c r="I62" s="250"/>
      <c r="J62" s="250"/>
      <c r="K62" s="250"/>
      <c r="L62" s="250"/>
      <c r="M62" s="250"/>
    </row>
    <row r="63" ht="15.75" customHeight="1">
      <c r="A63" s="238"/>
      <c r="B63" s="513"/>
      <c r="C63" s="238"/>
      <c r="D63" s="238"/>
      <c r="E63" s="238"/>
      <c r="F63" s="238"/>
      <c r="G63" s="250"/>
      <c r="H63" s="250"/>
      <c r="I63" s="250"/>
      <c r="J63" s="250"/>
      <c r="K63" s="250"/>
      <c r="L63" s="250"/>
      <c r="M63" s="250"/>
    </row>
    <row r="64" ht="15.75" customHeight="1">
      <c r="A64" s="238"/>
      <c r="B64" s="513"/>
      <c r="C64" s="238"/>
      <c r="D64" s="238"/>
      <c r="E64" s="238"/>
      <c r="F64" s="238"/>
      <c r="G64" s="250"/>
      <c r="H64" s="250"/>
      <c r="I64" s="250"/>
      <c r="J64" s="250"/>
      <c r="K64" s="250"/>
      <c r="L64" s="250"/>
      <c r="M64" s="250"/>
    </row>
    <row r="65" ht="15.75" customHeight="1">
      <c r="A65" s="238"/>
      <c r="B65" s="513"/>
      <c r="C65" s="238"/>
      <c r="D65" s="238"/>
      <c r="E65" s="238"/>
      <c r="F65" s="238"/>
      <c r="G65" s="250"/>
      <c r="H65" s="250"/>
      <c r="I65" s="250"/>
      <c r="J65" s="250"/>
      <c r="K65" s="250"/>
      <c r="L65" s="250"/>
      <c r="M65" s="250"/>
    </row>
    <row r="66" ht="15.75" customHeight="1">
      <c r="A66" s="238"/>
      <c r="B66" s="513"/>
      <c r="C66" s="238"/>
      <c r="D66" s="238"/>
      <c r="E66" s="238"/>
      <c r="F66" s="238"/>
      <c r="G66" s="250"/>
      <c r="H66" s="250"/>
      <c r="I66" s="250"/>
      <c r="J66" s="250"/>
      <c r="K66" s="250"/>
      <c r="L66" s="250"/>
      <c r="M66" s="250"/>
    </row>
    <row r="67" ht="15.75" customHeight="1">
      <c r="A67" s="238"/>
      <c r="B67" s="513"/>
      <c r="C67" s="238"/>
      <c r="D67" s="238"/>
      <c r="E67" s="238"/>
      <c r="F67" s="238"/>
      <c r="G67" s="250"/>
      <c r="H67" s="250"/>
      <c r="I67" s="250"/>
      <c r="J67" s="250"/>
      <c r="K67" s="250"/>
      <c r="L67" s="250"/>
      <c r="M67" s="250"/>
    </row>
    <row r="68" ht="15.75" customHeight="1">
      <c r="A68" s="238"/>
      <c r="B68" s="513"/>
      <c r="C68" s="238"/>
      <c r="D68" s="238"/>
      <c r="E68" s="238"/>
      <c r="F68" s="238"/>
      <c r="G68" s="250"/>
      <c r="H68" s="250"/>
      <c r="I68" s="250"/>
      <c r="J68" s="250"/>
      <c r="K68" s="250"/>
      <c r="L68" s="250"/>
      <c r="M68" s="250"/>
    </row>
    <row r="69" ht="15.75" customHeight="1">
      <c r="A69" s="238"/>
      <c r="B69" s="513"/>
      <c r="C69" s="238"/>
      <c r="D69" s="238"/>
      <c r="E69" s="238"/>
      <c r="F69" s="238"/>
      <c r="G69" s="250"/>
      <c r="H69" s="250"/>
      <c r="I69" s="250"/>
      <c r="J69" s="250"/>
      <c r="K69" s="250"/>
      <c r="L69" s="250"/>
      <c r="M69" s="250"/>
    </row>
    <row r="70" ht="15.75" customHeight="1">
      <c r="A70" s="238"/>
      <c r="B70" s="513"/>
      <c r="C70" s="238"/>
      <c r="D70" s="238"/>
      <c r="E70" s="238"/>
      <c r="F70" s="238"/>
      <c r="G70" s="250"/>
      <c r="H70" s="250"/>
      <c r="I70" s="250"/>
      <c r="J70" s="250"/>
      <c r="K70" s="250"/>
      <c r="L70" s="250"/>
      <c r="M70" s="250"/>
    </row>
    <row r="71" ht="15.75" customHeight="1">
      <c r="A71" s="238"/>
      <c r="B71" s="513"/>
      <c r="C71" s="238"/>
      <c r="D71" s="238"/>
      <c r="E71" s="238"/>
      <c r="F71" s="238"/>
      <c r="G71" s="250"/>
      <c r="H71" s="250"/>
      <c r="I71" s="250"/>
      <c r="J71" s="250"/>
      <c r="K71" s="250"/>
      <c r="L71" s="250"/>
      <c r="M71" s="250"/>
    </row>
    <row r="72" ht="15.75" customHeight="1">
      <c r="A72" s="238"/>
      <c r="B72" s="513"/>
      <c r="C72" s="238"/>
      <c r="D72" s="238"/>
      <c r="E72" s="238"/>
      <c r="F72" s="238"/>
      <c r="G72" s="250"/>
      <c r="H72" s="250"/>
      <c r="I72" s="250"/>
      <c r="J72" s="250"/>
      <c r="K72" s="250"/>
      <c r="L72" s="250"/>
      <c r="M72" s="250"/>
    </row>
    <row r="73" ht="15.75" customHeight="1">
      <c r="A73" s="238"/>
      <c r="B73" s="513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</row>
    <row r="74" ht="15.75" customHeight="1">
      <c r="A74" s="238"/>
      <c r="B74" s="513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</row>
    <row r="75" ht="15.75" customHeight="1">
      <c r="A75" s="238"/>
      <c r="B75" s="513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</row>
    <row r="76" ht="15.75" customHeight="1">
      <c r="A76" s="238"/>
      <c r="B76" s="513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</row>
    <row r="77" ht="15.75" customHeight="1">
      <c r="A77" s="238"/>
      <c r="B77" s="513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</row>
    <row r="78" ht="15.75" customHeight="1">
      <c r="A78" s="238"/>
      <c r="B78" s="513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</row>
    <row r="79" ht="15.75" customHeight="1">
      <c r="A79" s="238"/>
      <c r="B79" s="513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</row>
    <row r="80" ht="15.75" customHeight="1">
      <c r="A80" s="238"/>
      <c r="B80" s="513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</row>
    <row r="81" ht="15.75" customHeight="1">
      <c r="A81" s="238"/>
      <c r="B81" s="513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</row>
    <row r="82" ht="15.75" customHeight="1">
      <c r="A82" s="238"/>
      <c r="B82" s="513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</row>
    <row r="83" ht="15.75" customHeight="1">
      <c r="A83" s="238"/>
      <c r="B83" s="513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</row>
    <row r="84" ht="15.75" customHeight="1">
      <c r="A84" s="238"/>
      <c r="B84" s="513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</row>
    <row r="85" ht="15.75" customHeight="1">
      <c r="A85" s="238"/>
      <c r="B85" s="513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</row>
    <row r="86" ht="15.75" customHeight="1">
      <c r="A86" s="238"/>
      <c r="B86" s="513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</row>
    <row r="87" ht="15.75" customHeight="1">
      <c r="A87" s="238"/>
      <c r="B87" s="513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</row>
    <row r="88" ht="15.75" customHeight="1">
      <c r="A88" s="238"/>
      <c r="B88" s="513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</row>
    <row r="89" ht="15.75" customHeight="1">
      <c r="A89" s="238"/>
      <c r="B89" s="513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</row>
    <row r="90" ht="15.75" customHeight="1">
      <c r="A90" s="238"/>
      <c r="B90" s="513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</row>
    <row r="91" ht="15.75" customHeight="1">
      <c r="A91" s="238"/>
      <c r="B91" s="513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</row>
    <row r="92" ht="15.75" customHeight="1">
      <c r="A92" s="238"/>
      <c r="B92" s="513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</row>
    <row r="93" ht="15.75" customHeight="1">
      <c r="A93" s="238"/>
      <c r="B93" s="513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</row>
    <row r="94" ht="15.75" customHeight="1">
      <c r="A94" s="238"/>
      <c r="B94" s="513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</row>
    <row r="95" ht="15.75" customHeight="1">
      <c r="A95" s="238"/>
      <c r="B95" s="513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</row>
    <row r="96" ht="15.75" customHeight="1">
      <c r="A96" s="238"/>
      <c r="B96" s="513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</row>
    <row r="97" ht="15.75" customHeight="1">
      <c r="A97" s="238"/>
      <c r="B97" s="513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</row>
    <row r="98" ht="15.75" customHeight="1">
      <c r="A98" s="238"/>
      <c r="B98" s="513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</row>
    <row r="99" ht="15.75" customHeight="1">
      <c r="A99" s="238"/>
      <c r="B99" s="513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</row>
    <row r="100" ht="15.75" customHeight="1">
      <c r="A100" s="238"/>
      <c r="B100" s="513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</row>
    <row r="101" ht="15.75" customHeight="1">
      <c r="A101" s="238"/>
      <c r="B101" s="513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</row>
    <row r="102" ht="15.75" customHeight="1">
      <c r="A102" s="238"/>
      <c r="B102" s="513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</row>
    <row r="103" ht="15.75" customHeight="1">
      <c r="A103" s="238"/>
      <c r="B103" s="513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</row>
    <row r="104" ht="15.75" customHeight="1">
      <c r="A104" s="238"/>
      <c r="B104" s="513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</row>
    <row r="105" ht="15.75" customHeight="1">
      <c r="A105" s="238"/>
      <c r="B105" s="513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</row>
    <row r="106" ht="15.75" customHeight="1">
      <c r="A106" s="238"/>
      <c r="B106" s="513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</row>
    <row r="107" ht="15.75" customHeight="1">
      <c r="A107" s="238"/>
      <c r="B107" s="513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</row>
    <row r="108" ht="15.75" customHeight="1">
      <c r="A108" s="238"/>
      <c r="B108" s="513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</row>
    <row r="109" ht="15.75" customHeight="1">
      <c r="A109" s="238"/>
      <c r="B109" s="513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</row>
    <row r="110" ht="15.75" customHeight="1">
      <c r="A110" s="238"/>
      <c r="B110" s="513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</row>
    <row r="111" ht="15.75" customHeight="1">
      <c r="A111" s="238"/>
      <c r="B111" s="513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</row>
    <row r="112" ht="15.75" customHeight="1">
      <c r="A112" s="238"/>
      <c r="B112" s="513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</row>
    <row r="113" ht="15.75" customHeight="1">
      <c r="A113" s="238"/>
      <c r="B113" s="513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</row>
    <row r="114" ht="15.75" customHeight="1">
      <c r="A114" s="238"/>
      <c r="B114" s="513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</row>
    <row r="115" ht="15.75" customHeight="1">
      <c r="A115" s="238"/>
      <c r="B115" s="513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</row>
    <row r="116" ht="15.75" customHeight="1">
      <c r="A116" s="238"/>
      <c r="B116" s="513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</row>
    <row r="117" ht="15.75" customHeight="1">
      <c r="A117" s="238"/>
      <c r="B117" s="513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</row>
    <row r="118" ht="15.75" customHeight="1">
      <c r="A118" s="238"/>
      <c r="B118" s="513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</row>
    <row r="119" ht="15.75" customHeight="1">
      <c r="A119" s="238"/>
      <c r="B119" s="513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</row>
    <row r="120" ht="15.75" customHeight="1">
      <c r="A120" s="238"/>
      <c r="B120" s="513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</row>
    <row r="121" ht="15.75" customHeight="1">
      <c r="A121" s="238"/>
      <c r="B121" s="513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</row>
    <row r="122" ht="15.75" customHeight="1">
      <c r="A122" s="238"/>
      <c r="B122" s="513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</row>
    <row r="123" ht="15.75" customHeight="1">
      <c r="A123" s="238"/>
      <c r="B123" s="513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</row>
    <row r="124" ht="15.75" customHeight="1">
      <c r="A124" s="238"/>
      <c r="B124" s="513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</row>
    <row r="125" ht="15.75" customHeight="1">
      <c r="A125" s="238"/>
      <c r="B125" s="513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</row>
    <row r="126" ht="15.75" customHeight="1">
      <c r="A126" s="238"/>
      <c r="B126" s="513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</row>
    <row r="127" ht="15.75" customHeight="1">
      <c r="A127" s="238"/>
      <c r="B127" s="513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</row>
    <row r="128" ht="15.75" customHeight="1">
      <c r="A128" s="238"/>
      <c r="B128" s="513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</row>
    <row r="129" ht="15.75" customHeight="1">
      <c r="A129" s="238"/>
      <c r="B129" s="513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</row>
    <row r="130" ht="15.75" customHeight="1">
      <c r="A130" s="238"/>
      <c r="B130" s="513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</row>
    <row r="131" ht="15.75" customHeight="1">
      <c r="A131" s="238"/>
      <c r="B131" s="513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</row>
    <row r="132" ht="15.75" customHeight="1">
      <c r="A132" s="238"/>
      <c r="B132" s="513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</row>
    <row r="133" ht="15.75" customHeight="1">
      <c r="A133" s="238"/>
      <c r="B133" s="513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</row>
    <row r="134" ht="15.75" customHeight="1">
      <c r="A134" s="238"/>
      <c r="B134" s="513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</row>
    <row r="135" ht="15.75" customHeight="1">
      <c r="A135" s="238"/>
      <c r="B135" s="513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</row>
    <row r="136" ht="15.75" customHeight="1">
      <c r="A136" s="238"/>
      <c r="B136" s="513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</row>
    <row r="137" ht="15.75" customHeight="1">
      <c r="A137" s="238"/>
      <c r="B137" s="513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</row>
    <row r="138" ht="15.75" customHeight="1">
      <c r="A138" s="238"/>
      <c r="B138" s="513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</row>
    <row r="139" ht="15.75" customHeight="1">
      <c r="A139" s="238"/>
      <c r="B139" s="513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</row>
    <row r="140" ht="15.75" customHeight="1">
      <c r="A140" s="238"/>
      <c r="B140" s="513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</row>
    <row r="141" ht="15.75" customHeight="1">
      <c r="A141" s="238"/>
      <c r="B141" s="513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</row>
    <row r="142" ht="15.75" customHeight="1">
      <c r="A142" s="238"/>
      <c r="B142" s="513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</row>
    <row r="143" ht="15.75" customHeight="1">
      <c r="A143" s="238"/>
      <c r="B143" s="513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</row>
    <row r="144" ht="15.75" customHeight="1">
      <c r="A144" s="238"/>
      <c r="B144" s="513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</row>
    <row r="145" ht="15.75" customHeight="1">
      <c r="A145" s="238"/>
      <c r="B145" s="513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</row>
    <row r="146" ht="15.75" customHeight="1">
      <c r="A146" s="238"/>
      <c r="B146" s="513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</row>
    <row r="147" ht="15.75" customHeight="1">
      <c r="A147" s="238"/>
      <c r="B147" s="513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</row>
    <row r="148" ht="15.75" customHeight="1">
      <c r="A148" s="238"/>
      <c r="B148" s="513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</row>
    <row r="149" ht="15.75" customHeight="1">
      <c r="A149" s="238"/>
      <c r="B149" s="513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</row>
    <row r="150" ht="15.75" customHeight="1">
      <c r="A150" s="238"/>
      <c r="B150" s="513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</row>
    <row r="151" ht="15.75" customHeight="1">
      <c r="A151" s="238"/>
      <c r="B151" s="513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</row>
    <row r="152" ht="15.75" customHeight="1">
      <c r="A152" s="238"/>
      <c r="B152" s="513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</row>
    <row r="153" ht="15.75" customHeight="1">
      <c r="A153" s="238"/>
      <c r="B153" s="513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</row>
    <row r="154" ht="15.75" customHeight="1">
      <c r="A154" s="238"/>
      <c r="B154" s="513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</row>
    <row r="155" ht="15.75" customHeight="1">
      <c r="A155" s="238"/>
      <c r="B155" s="513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</row>
    <row r="156" ht="15.75" customHeight="1">
      <c r="A156" s="238"/>
      <c r="B156" s="513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</row>
    <row r="157" ht="15.75" customHeight="1">
      <c r="A157" s="238"/>
      <c r="B157" s="513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</row>
    <row r="158" ht="15.75" customHeight="1">
      <c r="A158" s="238"/>
      <c r="B158" s="513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</row>
    <row r="159" ht="15.75" customHeight="1">
      <c r="A159" s="238"/>
      <c r="B159" s="513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</row>
    <row r="160" ht="15.75" customHeight="1">
      <c r="A160" s="238"/>
      <c r="B160" s="513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</row>
    <row r="161" ht="15.75" customHeight="1">
      <c r="A161" s="238"/>
      <c r="B161" s="513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</row>
    <row r="162" ht="15.75" customHeight="1">
      <c r="A162" s="238"/>
      <c r="B162" s="513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</row>
    <row r="163" ht="15.75" customHeight="1">
      <c r="A163" s="238"/>
      <c r="B163" s="513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</row>
    <row r="164" ht="15.75" customHeight="1">
      <c r="A164" s="238"/>
      <c r="B164" s="513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</row>
    <row r="165" ht="15.75" customHeight="1">
      <c r="A165" s="238"/>
      <c r="B165" s="513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</row>
    <row r="166" ht="15.75" customHeight="1">
      <c r="A166" s="238"/>
      <c r="B166" s="513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</row>
    <row r="167" ht="15.75" customHeight="1">
      <c r="A167" s="238"/>
      <c r="B167" s="513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</row>
    <row r="168" ht="15.75" customHeight="1">
      <c r="A168" s="238"/>
      <c r="B168" s="513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</row>
    <row r="169" ht="15.75" customHeight="1">
      <c r="A169" s="238"/>
      <c r="B169" s="513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</row>
    <row r="170" ht="15.75" customHeight="1">
      <c r="A170" s="238"/>
      <c r="B170" s="513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</row>
    <row r="171" ht="15.75" customHeight="1">
      <c r="A171" s="238"/>
      <c r="B171" s="513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</row>
    <row r="172" ht="15.75" customHeight="1">
      <c r="A172" s="238"/>
      <c r="B172" s="513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</row>
    <row r="173" ht="15.75" customHeight="1">
      <c r="A173" s="238"/>
      <c r="B173" s="513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</row>
    <row r="174" ht="15.75" customHeight="1">
      <c r="A174" s="238"/>
      <c r="B174" s="513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</row>
    <row r="175" ht="15.75" customHeight="1">
      <c r="A175" s="238"/>
      <c r="B175" s="513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</row>
    <row r="176" ht="15.75" customHeight="1">
      <c r="A176" s="238"/>
      <c r="B176" s="513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</row>
    <row r="177" ht="15.75" customHeight="1">
      <c r="A177" s="238"/>
      <c r="B177" s="513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</row>
    <row r="178" ht="15.75" customHeight="1">
      <c r="A178" s="238"/>
      <c r="B178" s="513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</row>
    <row r="179" ht="15.75" customHeight="1">
      <c r="A179" s="238"/>
      <c r="B179" s="513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</row>
    <row r="180" ht="15.75" customHeight="1">
      <c r="A180" s="238"/>
      <c r="B180" s="513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</row>
    <row r="181" ht="15.75" customHeight="1">
      <c r="A181" s="238"/>
      <c r="B181" s="513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</row>
    <row r="182" ht="15.75" customHeight="1">
      <c r="A182" s="238"/>
      <c r="B182" s="513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</row>
    <row r="183" ht="15.75" customHeight="1">
      <c r="A183" s="238"/>
      <c r="B183" s="513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</row>
    <row r="184" ht="15.75" customHeight="1">
      <c r="A184" s="238"/>
      <c r="B184" s="513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</row>
    <row r="185" ht="15.75" customHeight="1">
      <c r="A185" s="238"/>
      <c r="B185" s="513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</row>
    <row r="186" ht="15.75" customHeight="1">
      <c r="A186" s="238"/>
      <c r="B186" s="513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</row>
    <row r="187" ht="15.75" customHeight="1">
      <c r="A187" s="238"/>
      <c r="B187" s="513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</row>
    <row r="188" ht="15.75" customHeight="1">
      <c r="A188" s="238"/>
      <c r="B188" s="513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</row>
    <row r="189" ht="15.75" customHeight="1">
      <c r="A189" s="238"/>
      <c r="B189" s="513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</row>
    <row r="190" ht="15.75" customHeight="1">
      <c r="A190" s="238"/>
      <c r="B190" s="513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</row>
    <row r="191" ht="15.75" customHeight="1">
      <c r="A191" s="238"/>
      <c r="B191" s="513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</row>
    <row r="192" ht="15.75" customHeight="1">
      <c r="A192" s="238"/>
      <c r="B192" s="513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</row>
    <row r="193" ht="15.75" customHeight="1">
      <c r="A193" s="238"/>
      <c r="B193" s="513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</row>
    <row r="194" ht="15.75" customHeight="1">
      <c r="A194" s="238"/>
      <c r="B194" s="513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</row>
    <row r="195" ht="15.75" customHeight="1">
      <c r="A195" s="238"/>
      <c r="B195" s="513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</row>
    <row r="196" ht="15.75" customHeight="1">
      <c r="A196" s="238"/>
      <c r="B196" s="513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</row>
    <row r="197" ht="15.75" customHeight="1">
      <c r="A197" s="238"/>
      <c r="B197" s="513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</row>
    <row r="198" ht="15.75" customHeight="1">
      <c r="A198" s="238"/>
      <c r="B198" s="513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</row>
    <row r="199" ht="15.75" customHeight="1">
      <c r="A199" s="238"/>
      <c r="B199" s="513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</row>
    <row r="200" ht="15.75" customHeight="1">
      <c r="A200" s="238"/>
      <c r="B200" s="513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</row>
    <row r="201" ht="15.75" customHeight="1">
      <c r="A201" s="238"/>
      <c r="B201" s="513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</row>
    <row r="202" ht="15.75" customHeight="1">
      <c r="A202" s="238"/>
      <c r="B202" s="513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</row>
    <row r="203" ht="15.75" customHeight="1">
      <c r="A203" s="238"/>
      <c r="B203" s="513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</row>
    <row r="204" ht="15.75" customHeight="1">
      <c r="A204" s="238"/>
      <c r="B204" s="513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</row>
    <row r="205" ht="15.75" customHeight="1">
      <c r="A205" s="238"/>
      <c r="B205" s="513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</row>
    <row r="206" ht="15.75" customHeight="1">
      <c r="A206" s="238"/>
      <c r="B206" s="513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</row>
    <row r="207" ht="15.75" customHeight="1">
      <c r="A207" s="238"/>
      <c r="B207" s="513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</row>
    <row r="208" ht="15.75" customHeight="1">
      <c r="A208" s="238"/>
      <c r="B208" s="513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</row>
    <row r="209" ht="15.75" customHeight="1">
      <c r="A209" s="238"/>
      <c r="B209" s="513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</row>
    <row r="210" ht="15.75" customHeight="1">
      <c r="A210" s="238"/>
      <c r="B210" s="513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</row>
    <row r="211" ht="15.75" customHeight="1">
      <c r="A211" s="238"/>
      <c r="B211" s="513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</row>
    <row r="212" ht="15.75" customHeight="1">
      <c r="A212" s="238"/>
      <c r="B212" s="513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</row>
    <row r="213" ht="15.75" customHeight="1">
      <c r="A213" s="238"/>
      <c r="B213" s="513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</row>
    <row r="214" ht="15.75" customHeight="1">
      <c r="A214" s="238"/>
      <c r="B214" s="513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</row>
    <row r="215" ht="15.75" customHeight="1">
      <c r="A215" s="238"/>
      <c r="B215" s="513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</row>
    <row r="216" ht="15.75" customHeight="1">
      <c r="A216" s="238"/>
      <c r="B216" s="513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</row>
    <row r="217" ht="15.75" customHeight="1">
      <c r="A217" s="238"/>
      <c r="B217" s="513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</row>
    <row r="218" ht="15.75" customHeight="1">
      <c r="A218" s="238"/>
      <c r="B218" s="513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</row>
    <row r="219" ht="15.75" customHeight="1">
      <c r="A219" s="238"/>
      <c r="B219" s="513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</row>
    <row r="220" ht="15.75" customHeight="1">
      <c r="A220" s="238"/>
      <c r="B220" s="513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</row>
    <row r="221" ht="15.75" customHeight="1">
      <c r="A221" s="238"/>
      <c r="B221" s="513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</row>
    <row r="222" ht="15.75" customHeight="1">
      <c r="A222" s="238"/>
      <c r="B222" s="513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</row>
    <row r="223" ht="15.75" customHeight="1">
      <c r="A223" s="238"/>
      <c r="B223" s="513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</row>
    <row r="224" ht="15.75" customHeight="1">
      <c r="A224" s="238"/>
      <c r="B224" s="513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</row>
    <row r="225" ht="15.75" customHeight="1">
      <c r="A225" s="238"/>
      <c r="B225" s="513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</row>
    <row r="226" ht="15.75" customHeight="1">
      <c r="A226" s="238"/>
      <c r="B226" s="513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</row>
    <row r="227" ht="15.75" customHeight="1">
      <c r="A227" s="238"/>
      <c r="B227" s="513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</row>
    <row r="228" ht="15.75" customHeight="1">
      <c r="A228" s="238"/>
      <c r="B228" s="513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</row>
    <row r="229" ht="15.75" customHeight="1">
      <c r="A229" s="238"/>
      <c r="B229" s="513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</row>
    <row r="230" ht="15.75" customHeight="1">
      <c r="A230" s="238"/>
      <c r="B230" s="513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</row>
    <row r="231" ht="15.75" customHeight="1">
      <c r="A231" s="238"/>
      <c r="B231" s="513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</row>
    <row r="232" ht="15.75" customHeight="1">
      <c r="A232" s="238"/>
      <c r="B232" s="513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</row>
    <row r="233" ht="15.75" customHeight="1">
      <c r="A233" s="238"/>
      <c r="B233" s="513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</row>
    <row r="234" ht="15.75" customHeight="1">
      <c r="A234" s="238"/>
      <c r="B234" s="513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</row>
    <row r="235" ht="15.75" customHeight="1">
      <c r="A235" s="238"/>
      <c r="B235" s="513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</row>
    <row r="236" ht="15.75" customHeight="1">
      <c r="A236" s="238"/>
      <c r="B236" s="513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</row>
    <row r="237" ht="15.75" customHeight="1">
      <c r="A237" s="238"/>
      <c r="B237" s="513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</row>
    <row r="238" ht="15.75" customHeight="1">
      <c r="A238" s="238"/>
      <c r="B238" s="513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</row>
    <row r="239" ht="15.75" customHeight="1">
      <c r="A239" s="238"/>
      <c r="B239" s="513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</row>
    <row r="240" ht="15.75" customHeight="1">
      <c r="A240" s="238"/>
      <c r="B240" s="513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</row>
    <row r="241" ht="15.75" customHeight="1">
      <c r="A241" s="238"/>
      <c r="B241" s="513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</row>
    <row r="242" ht="15.75" customHeight="1">
      <c r="A242" s="238"/>
      <c r="B242" s="513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</row>
    <row r="243" ht="15.75" customHeight="1">
      <c r="A243" s="238"/>
      <c r="B243" s="513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</row>
    <row r="244" ht="15.75" customHeight="1">
      <c r="A244" s="238"/>
      <c r="B244" s="513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</row>
    <row r="245" ht="15.75" customHeight="1">
      <c r="A245" s="238"/>
      <c r="B245" s="513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</row>
    <row r="246" ht="15.75" customHeight="1">
      <c r="A246" s="238"/>
      <c r="B246" s="513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</row>
    <row r="247" ht="15.75" customHeight="1">
      <c r="A247" s="238"/>
      <c r="B247" s="513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</row>
    <row r="248" ht="15.75" customHeight="1">
      <c r="A248" s="238"/>
      <c r="B248" s="513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</row>
    <row r="249" ht="15.75" customHeight="1">
      <c r="A249" s="238"/>
      <c r="B249" s="513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</row>
    <row r="250" ht="15.75" customHeight="1">
      <c r="A250" s="238"/>
      <c r="B250" s="513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</row>
    <row r="251" ht="15.75" customHeight="1">
      <c r="A251" s="238"/>
      <c r="B251" s="513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</row>
    <row r="252" ht="15.75" customHeight="1">
      <c r="A252" s="238"/>
      <c r="B252" s="513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</row>
    <row r="253" ht="15.75" customHeight="1">
      <c r="A253" s="238"/>
      <c r="B253" s="513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</row>
    <row r="254" ht="15.75" customHeight="1">
      <c r="A254" s="238"/>
      <c r="B254" s="513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</row>
    <row r="255" ht="15.75" customHeight="1">
      <c r="A255" s="238"/>
      <c r="B255" s="513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34:M44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0.14"/>
    <col customWidth="1" min="2" max="2" width="48.71"/>
    <col customWidth="1" min="3" max="3" width="16.71"/>
    <col customWidth="1" min="4" max="4" width="18.29"/>
    <col customWidth="1" min="5" max="13" width="18.57"/>
  </cols>
  <sheetData>
    <row r="1">
      <c r="A1" s="1" t="s">
        <v>0</v>
      </c>
      <c r="B1" s="3"/>
      <c r="C1" s="3"/>
      <c r="D1" s="3"/>
      <c r="E1" s="3"/>
      <c r="F1" s="3"/>
      <c r="G1" s="85"/>
      <c r="H1" s="85"/>
      <c r="I1" s="85"/>
      <c r="J1" s="85"/>
      <c r="K1" s="86"/>
      <c r="L1" s="85"/>
      <c r="M1" s="85"/>
    </row>
    <row r="2">
      <c r="A2" s="6" t="s">
        <v>1</v>
      </c>
      <c r="B2" s="3"/>
      <c r="C2" s="3"/>
      <c r="D2" s="3"/>
      <c r="E2" s="3"/>
      <c r="F2" s="3"/>
      <c r="G2" s="87"/>
      <c r="H2" s="88"/>
      <c r="K2" s="86"/>
      <c r="L2" s="87"/>
      <c r="M2" s="87"/>
    </row>
    <row r="3">
      <c r="A3" s="283" t="s">
        <v>849</v>
      </c>
      <c r="B3" s="3"/>
      <c r="C3" s="3"/>
      <c r="D3" s="3"/>
      <c r="E3" s="3"/>
      <c r="F3" s="3"/>
      <c r="G3" s="87"/>
      <c r="K3" s="87"/>
      <c r="L3" s="87"/>
      <c r="M3" s="87"/>
    </row>
    <row r="4">
      <c r="A4" s="283" t="s">
        <v>3</v>
      </c>
      <c r="B4" s="3"/>
      <c r="C4" s="3"/>
      <c r="D4" s="3"/>
      <c r="E4" s="3"/>
      <c r="F4" s="3"/>
      <c r="G4" s="87"/>
      <c r="K4" s="87"/>
      <c r="L4" s="87"/>
      <c r="M4" s="87"/>
    </row>
    <row r="5">
      <c r="A5" s="283" t="s">
        <v>4</v>
      </c>
      <c r="B5" s="3"/>
      <c r="C5" s="3"/>
      <c r="D5" s="3"/>
      <c r="E5" s="3"/>
      <c r="F5" s="3"/>
      <c r="G5" s="87"/>
      <c r="H5" s="87"/>
      <c r="I5" s="87"/>
      <c r="J5" s="87"/>
      <c r="K5" s="87"/>
      <c r="L5" s="87"/>
      <c r="M5" s="87"/>
    </row>
    <row r="6">
      <c r="A6" s="326"/>
      <c r="B6" s="326"/>
      <c r="C6" s="326"/>
      <c r="D6" s="326"/>
      <c r="E6" s="326"/>
      <c r="F6" s="326"/>
      <c r="G6" s="87"/>
      <c r="H6" s="87"/>
      <c r="I6" s="87"/>
      <c r="J6" s="87"/>
      <c r="K6" s="87"/>
      <c r="L6" s="87"/>
      <c r="M6" s="87"/>
    </row>
    <row r="7" ht="28.5" customHeight="1">
      <c r="A7" s="184" t="s">
        <v>5</v>
      </c>
      <c r="B7" s="184" t="s">
        <v>6</v>
      </c>
      <c r="C7" s="185" t="s">
        <v>7</v>
      </c>
      <c r="D7" s="14"/>
      <c r="E7" s="338" t="s">
        <v>8</v>
      </c>
      <c r="F7" s="14"/>
      <c r="G7" s="95" t="s">
        <v>9</v>
      </c>
      <c r="H7" s="17"/>
      <c r="I7" s="17"/>
      <c r="J7" s="17"/>
      <c r="K7" s="17"/>
      <c r="L7" s="18"/>
      <c r="M7" s="96" t="s">
        <v>850</v>
      </c>
    </row>
    <row r="8" ht="21.0" customHeight="1">
      <c r="A8" s="20"/>
      <c r="B8" s="20"/>
      <c r="C8" s="21"/>
      <c r="D8" s="22"/>
      <c r="E8" s="21"/>
      <c r="F8" s="22"/>
      <c r="G8" s="95" t="s">
        <v>11</v>
      </c>
      <c r="H8" s="18"/>
      <c r="I8" s="95" t="s">
        <v>12</v>
      </c>
      <c r="J8" s="18"/>
      <c r="K8" s="95" t="s">
        <v>13</v>
      </c>
      <c r="L8" s="18"/>
      <c r="M8" s="20"/>
    </row>
    <row r="9" ht="21.0" customHeight="1">
      <c r="A9" s="20"/>
      <c r="B9" s="20"/>
      <c r="C9" s="186" t="s">
        <v>14</v>
      </c>
      <c r="D9" s="187" t="s">
        <v>15</v>
      </c>
      <c r="E9" s="94" t="s">
        <v>16</v>
      </c>
      <c r="F9" s="14"/>
      <c r="G9" s="100" t="s">
        <v>17</v>
      </c>
      <c r="H9" s="101" t="s">
        <v>18</v>
      </c>
      <c r="I9" s="100" t="s">
        <v>17</v>
      </c>
      <c r="J9" s="101" t="s">
        <v>18</v>
      </c>
      <c r="K9" s="100" t="s">
        <v>17</v>
      </c>
      <c r="L9" s="101" t="s">
        <v>18</v>
      </c>
      <c r="M9" s="20"/>
    </row>
    <row r="10" ht="63.0" customHeight="1">
      <c r="A10" s="28"/>
      <c r="B10" s="28"/>
      <c r="C10" s="28"/>
      <c r="D10" s="28"/>
      <c r="E10" s="104" t="s">
        <v>17</v>
      </c>
      <c r="F10" s="105" t="s">
        <v>18</v>
      </c>
      <c r="G10" s="28"/>
      <c r="H10" s="28"/>
      <c r="I10" s="28"/>
      <c r="J10" s="28"/>
      <c r="K10" s="28"/>
      <c r="L10" s="28"/>
      <c r="M10" s="28"/>
    </row>
    <row r="11" ht="33.75" customHeight="1">
      <c r="A11" s="514" t="s">
        <v>851</v>
      </c>
      <c r="B11" s="18"/>
      <c r="C11" s="57"/>
      <c r="D11" s="252"/>
      <c r="E11" s="57"/>
      <c r="F11" s="57"/>
      <c r="G11" s="57"/>
      <c r="H11" s="57"/>
      <c r="I11" s="57"/>
      <c r="J11" s="57"/>
      <c r="K11" s="57"/>
      <c r="L11" s="57"/>
      <c r="M11" s="57"/>
    </row>
    <row r="12" ht="42.75" customHeight="1">
      <c r="A12" s="52" t="s">
        <v>852</v>
      </c>
      <c r="B12" s="55"/>
      <c r="C12" s="57"/>
      <c r="D12" s="55"/>
      <c r="E12" s="57"/>
      <c r="F12" s="57"/>
      <c r="G12" s="57"/>
      <c r="H12" s="57"/>
      <c r="I12" s="57"/>
      <c r="J12" s="57"/>
      <c r="K12" s="57"/>
      <c r="L12" s="57"/>
      <c r="M12" s="57"/>
    </row>
    <row r="13" ht="24.75" customHeight="1">
      <c r="A13" s="41" t="s">
        <v>853</v>
      </c>
      <c r="B13" s="55" t="s">
        <v>854</v>
      </c>
      <c r="C13" s="515">
        <v>21.0</v>
      </c>
      <c r="D13" s="516">
        <v>280.0</v>
      </c>
      <c r="E13" s="517">
        <v>27.0</v>
      </c>
      <c r="F13" s="305">
        <v>170.0</v>
      </c>
      <c r="G13" s="57"/>
      <c r="H13" s="57"/>
      <c r="I13" s="57"/>
      <c r="J13" s="57"/>
      <c r="K13" s="57"/>
      <c r="L13" s="57"/>
      <c r="M13" s="57"/>
    </row>
    <row r="14" ht="30.0" customHeight="1">
      <c r="A14" s="41" t="s">
        <v>855</v>
      </c>
      <c r="B14" s="55" t="s">
        <v>854</v>
      </c>
      <c r="C14" s="515">
        <v>8.0</v>
      </c>
      <c r="D14" s="516">
        <v>34.0</v>
      </c>
      <c r="E14" s="517">
        <v>8.0</v>
      </c>
      <c r="F14" s="305">
        <v>72.0</v>
      </c>
      <c r="G14" s="57"/>
      <c r="H14" s="57"/>
      <c r="I14" s="57"/>
      <c r="J14" s="57"/>
      <c r="K14" s="57"/>
      <c r="L14" s="57"/>
      <c r="M14" s="57"/>
    </row>
    <row r="15">
      <c r="A15" s="41" t="s">
        <v>856</v>
      </c>
      <c r="B15" s="55" t="s">
        <v>854</v>
      </c>
      <c r="C15" s="515">
        <v>10.0</v>
      </c>
      <c r="D15" s="516">
        <v>30.0</v>
      </c>
      <c r="E15" s="517">
        <v>4.0</v>
      </c>
      <c r="F15" s="305">
        <v>72.0</v>
      </c>
      <c r="G15" s="57"/>
      <c r="H15" s="57"/>
      <c r="I15" s="57"/>
      <c r="J15" s="57"/>
      <c r="K15" s="57"/>
      <c r="L15" s="57"/>
      <c r="M15" s="57"/>
    </row>
    <row r="16" ht="31.5" customHeight="1">
      <c r="A16" s="41" t="s">
        <v>857</v>
      </c>
      <c r="B16" s="55" t="s">
        <v>858</v>
      </c>
      <c r="C16" s="57"/>
      <c r="D16" s="55"/>
      <c r="E16" s="517"/>
      <c r="F16" s="305">
        <v>0.0</v>
      </c>
      <c r="G16" s="57"/>
      <c r="H16" s="57"/>
      <c r="I16" s="57"/>
      <c r="J16" s="57"/>
      <c r="K16" s="57"/>
      <c r="L16" s="57"/>
      <c r="M16" s="57"/>
    </row>
    <row r="17">
      <c r="A17" s="41" t="s">
        <v>859</v>
      </c>
      <c r="B17" s="55" t="s">
        <v>860</v>
      </c>
      <c r="C17" s="57"/>
      <c r="D17" s="55"/>
      <c r="E17" s="517">
        <v>27.0</v>
      </c>
      <c r="F17" s="305">
        <v>39.0</v>
      </c>
      <c r="G17" s="57"/>
      <c r="H17" s="57"/>
      <c r="I17" s="57"/>
      <c r="J17" s="57"/>
      <c r="K17" s="57"/>
      <c r="L17" s="57"/>
      <c r="M17" s="57"/>
    </row>
    <row r="18">
      <c r="A18" s="41" t="s">
        <v>861</v>
      </c>
      <c r="B18" s="55" t="s">
        <v>862</v>
      </c>
      <c r="C18" s="57"/>
      <c r="D18" s="55"/>
      <c r="E18" s="518"/>
      <c r="F18" s="305">
        <v>0.0</v>
      </c>
      <c r="G18" s="57"/>
      <c r="H18" s="57"/>
      <c r="I18" s="57"/>
      <c r="J18" s="57"/>
      <c r="K18" s="57"/>
      <c r="L18" s="57"/>
      <c r="M18" s="57"/>
    </row>
    <row r="19">
      <c r="A19" s="41"/>
      <c r="B19" s="55"/>
      <c r="C19" s="57"/>
      <c r="D19" s="55"/>
      <c r="E19" s="305"/>
      <c r="F19" s="305"/>
      <c r="G19" s="57"/>
      <c r="H19" s="57"/>
      <c r="I19" s="57"/>
      <c r="J19" s="57"/>
      <c r="K19" s="57"/>
      <c r="L19" s="57"/>
      <c r="M19" s="57"/>
    </row>
    <row r="20" ht="48.75" customHeight="1">
      <c r="A20" s="52" t="s">
        <v>863</v>
      </c>
      <c r="B20" s="55"/>
      <c r="C20" s="57"/>
      <c r="D20" s="55"/>
      <c r="E20" s="518"/>
      <c r="F20" s="305"/>
      <c r="G20" s="57"/>
      <c r="H20" s="57"/>
      <c r="I20" s="57"/>
      <c r="J20" s="57"/>
      <c r="K20" s="57"/>
      <c r="L20" s="57"/>
      <c r="M20" s="57"/>
    </row>
    <row r="21" ht="33.75" customHeight="1">
      <c r="A21" s="41" t="s">
        <v>864</v>
      </c>
      <c r="B21" s="41" t="s">
        <v>865</v>
      </c>
      <c r="C21" s="40"/>
      <c r="D21" s="55"/>
      <c r="E21" s="517">
        <v>165.0</v>
      </c>
      <c r="F21" s="305">
        <v>116.0</v>
      </c>
      <c r="G21" s="57"/>
      <c r="H21" s="57"/>
      <c r="I21" s="57"/>
      <c r="J21" s="57"/>
      <c r="K21" s="57"/>
      <c r="L21" s="57"/>
      <c r="M21" s="57"/>
    </row>
    <row r="22" ht="31.5" customHeight="1">
      <c r="A22" s="41" t="s">
        <v>866</v>
      </c>
      <c r="B22" s="41" t="s">
        <v>865</v>
      </c>
      <c r="C22" s="40"/>
      <c r="D22" s="55"/>
      <c r="E22" s="517">
        <v>25.0</v>
      </c>
      <c r="F22" s="305">
        <v>109.0</v>
      </c>
      <c r="G22" s="57"/>
      <c r="H22" s="57"/>
      <c r="I22" s="57"/>
      <c r="J22" s="57"/>
      <c r="K22" s="57"/>
      <c r="L22" s="57"/>
      <c r="M22" s="57"/>
    </row>
    <row r="23" ht="30.0" customHeight="1">
      <c r="A23" s="41" t="s">
        <v>867</v>
      </c>
      <c r="B23" s="41" t="s">
        <v>865</v>
      </c>
      <c r="C23" s="40"/>
      <c r="D23" s="55"/>
      <c r="E23" s="517">
        <v>25.0</v>
      </c>
      <c r="F23" s="305">
        <v>109.0</v>
      </c>
      <c r="G23" s="57"/>
      <c r="H23" s="57"/>
      <c r="I23" s="57"/>
      <c r="J23" s="57"/>
      <c r="K23" s="57"/>
      <c r="L23" s="57"/>
      <c r="M23" s="57"/>
    </row>
    <row r="24" ht="34.5" customHeight="1">
      <c r="A24" s="41" t="s">
        <v>868</v>
      </c>
      <c r="B24" s="41" t="s">
        <v>869</v>
      </c>
      <c r="C24" s="40"/>
      <c r="D24" s="55"/>
      <c r="E24" s="517">
        <v>165.0</v>
      </c>
      <c r="F24" s="305">
        <v>54.0</v>
      </c>
      <c r="G24" s="57"/>
      <c r="H24" s="57"/>
      <c r="I24" s="57"/>
      <c r="J24" s="57"/>
      <c r="K24" s="57"/>
      <c r="L24" s="57"/>
      <c r="M24" s="57"/>
    </row>
    <row r="25" ht="27.75" customHeight="1">
      <c r="A25" s="41" t="s">
        <v>870</v>
      </c>
      <c r="B25" s="41" t="s">
        <v>871</v>
      </c>
      <c r="C25" s="40"/>
      <c r="D25" s="55"/>
      <c r="E25" s="519"/>
      <c r="F25" s="519"/>
      <c r="G25" s="57"/>
      <c r="H25" s="57"/>
      <c r="I25" s="57"/>
      <c r="J25" s="57"/>
      <c r="K25" s="57"/>
      <c r="L25" s="57"/>
      <c r="M25" s="57"/>
    </row>
    <row r="26" ht="39.0" customHeight="1">
      <c r="A26" s="59" t="s">
        <v>63</v>
      </c>
      <c r="B26" s="41"/>
      <c r="C26" s="520"/>
      <c r="D26" s="521">
        <f>SUM(D13:D25)</f>
        <v>344</v>
      </c>
      <c r="E26" s="34"/>
      <c r="F26" s="34">
        <f>SUM(F13:F25)</f>
        <v>741</v>
      </c>
      <c r="G26" s="57"/>
      <c r="H26" s="405">
        <v>0.0</v>
      </c>
      <c r="I26" s="54"/>
      <c r="J26" s="405">
        <v>0.0</v>
      </c>
      <c r="K26" s="54"/>
      <c r="L26" s="405">
        <v>0.0</v>
      </c>
      <c r="M26" s="57"/>
    </row>
    <row r="27" ht="33.0" customHeight="1">
      <c r="A27" s="522" t="s">
        <v>872</v>
      </c>
      <c r="B27" s="27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</row>
    <row r="28" ht="15.75" customHeight="1">
      <c r="A28" s="76"/>
      <c r="B28" s="324"/>
      <c r="C28" s="523"/>
      <c r="D28" s="78"/>
      <c r="E28" s="80"/>
      <c r="F28" s="80"/>
      <c r="G28" s="80"/>
      <c r="H28" s="80"/>
      <c r="I28" s="80"/>
      <c r="J28" s="80"/>
      <c r="K28" s="80"/>
      <c r="L28" s="80"/>
      <c r="M28" s="80"/>
    </row>
    <row r="29" ht="15.75" customHeight="1">
      <c r="A29" s="524"/>
      <c r="B29" s="78"/>
      <c r="C29" s="78"/>
      <c r="D29" s="78"/>
      <c r="E29" s="78"/>
      <c r="F29" s="78"/>
      <c r="G29" s="80"/>
      <c r="H29" s="80"/>
      <c r="I29" s="80"/>
      <c r="J29" s="80"/>
      <c r="K29" s="80"/>
      <c r="L29" s="80"/>
      <c r="M29" s="80"/>
    </row>
    <row r="30">
      <c r="A30" s="60" t="s">
        <v>64</v>
      </c>
      <c r="B30" s="65" t="s">
        <v>65</v>
      </c>
      <c r="C30" s="170"/>
      <c r="F30" s="65" t="s">
        <v>66</v>
      </c>
      <c r="G30" s="171"/>
      <c r="H30" s="171"/>
      <c r="I30" s="238"/>
      <c r="J30" s="238"/>
      <c r="K30" s="238"/>
      <c r="L30" s="238"/>
      <c r="M30" s="238"/>
    </row>
    <row r="31" ht="15.75" customHeight="1">
      <c r="A31" s="234"/>
      <c r="B31" s="86"/>
      <c r="C31" s="170"/>
      <c r="F31" s="86"/>
      <c r="G31" s="171"/>
      <c r="H31" s="171"/>
      <c r="I31" s="238"/>
      <c r="J31" s="238"/>
      <c r="K31" s="238"/>
      <c r="L31" s="238"/>
      <c r="M31" s="238"/>
    </row>
    <row r="32" ht="15.75" customHeight="1">
      <c r="A32" s="234"/>
      <c r="B32" s="86"/>
      <c r="C32" s="170"/>
      <c r="F32" s="86"/>
      <c r="G32" s="171"/>
      <c r="H32" s="171"/>
      <c r="I32" s="238"/>
      <c r="J32" s="238"/>
      <c r="K32" s="238"/>
      <c r="L32" s="238"/>
      <c r="M32" s="238"/>
    </row>
    <row r="33">
      <c r="A33" s="71" t="s">
        <v>67</v>
      </c>
      <c r="B33" s="72" t="s">
        <v>69</v>
      </c>
      <c r="C33" s="174"/>
      <c r="F33" s="72" t="s">
        <v>70</v>
      </c>
      <c r="G33" s="171"/>
      <c r="H33" s="171"/>
      <c r="I33" s="238"/>
      <c r="J33" s="238"/>
      <c r="K33" s="238"/>
      <c r="L33" s="238"/>
      <c r="M33" s="238"/>
    </row>
    <row r="34">
      <c r="A34" s="60" t="s">
        <v>68</v>
      </c>
      <c r="B34" s="65" t="s">
        <v>71</v>
      </c>
      <c r="C34" s="87"/>
      <c r="F34" s="65" t="s">
        <v>72</v>
      </c>
      <c r="G34" s="171"/>
      <c r="H34" s="171"/>
      <c r="I34" s="238"/>
      <c r="J34" s="238"/>
      <c r="K34" s="238"/>
      <c r="L34" s="238"/>
      <c r="M34" s="238"/>
    </row>
    <row r="35" ht="15.75" customHeight="1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</row>
    <row r="36" ht="15.75" customHeight="1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</row>
    <row r="37" ht="15.75" customHeight="1">
      <c r="A37" s="326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</row>
    <row r="38" ht="15.75" customHeight="1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</row>
    <row r="39" ht="15.75" customHeight="1">
      <c r="A39" s="326"/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</row>
    <row r="40" ht="15.75" customHeight="1">
      <c r="A40" s="326"/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</row>
    <row r="41" ht="15.75" customHeight="1">
      <c r="A41" s="326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</row>
    <row r="42" ht="15.7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</row>
    <row r="43" ht="15.7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</row>
    <row r="44" ht="15.7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</row>
    <row r="45" ht="15.7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</row>
    <row r="46" ht="15.7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</row>
    <row r="47" ht="15.7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</row>
    <row r="48" ht="15.7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</row>
    <row r="49" ht="15.7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</row>
    <row r="50" ht="15.7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</row>
    <row r="51" ht="15.7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</row>
    <row r="52" ht="15.7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</row>
    <row r="53" ht="15.7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</row>
    <row r="54" ht="15.7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</row>
    <row r="55" ht="15.7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</row>
    <row r="56" ht="15.7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</row>
    <row r="57" ht="15.7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</row>
    <row r="58" ht="15.7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</row>
    <row r="59" ht="15.7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</row>
    <row r="60" ht="15.7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</row>
    <row r="61" ht="15.7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</row>
    <row r="62" ht="15.7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</row>
    <row r="63" ht="15.7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</row>
    <row r="64" ht="15.7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</row>
    <row r="65" ht="15.7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</row>
    <row r="66" ht="15.7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</row>
    <row r="67" ht="15.7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</row>
    <row r="68" ht="15.7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</row>
    <row r="69" ht="15.7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</row>
    <row r="70" ht="15.7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</row>
    <row r="71" ht="15.7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</row>
    <row r="72" ht="15.7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</row>
    <row r="73" ht="15.7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</row>
    <row r="74" ht="15.7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</row>
    <row r="75" ht="15.7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</row>
    <row r="76" ht="15.7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</row>
    <row r="77" ht="15.7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</row>
    <row r="78" ht="15.7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</row>
    <row r="79" ht="15.7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</row>
    <row r="80" ht="15.7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</row>
    <row r="81" ht="15.7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</row>
    <row r="82" ht="15.7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</row>
    <row r="83" ht="15.7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</row>
    <row r="84" ht="15.7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</row>
    <row r="85" ht="15.7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</row>
    <row r="86" ht="15.7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</row>
    <row r="87" ht="15.7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</row>
    <row r="88" ht="15.7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</row>
    <row r="89" ht="15.7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</row>
    <row r="90" ht="15.7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</row>
    <row r="91" ht="15.7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</row>
    <row r="92" ht="15.7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</row>
    <row r="93" ht="15.7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</row>
    <row r="94" ht="15.7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</row>
    <row r="95" ht="15.7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</row>
    <row r="96" ht="15.7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</row>
    <row r="97" ht="15.7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</row>
    <row r="98" ht="15.7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</row>
    <row r="99" ht="15.7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</row>
    <row r="100" ht="15.7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</row>
    <row r="101" ht="15.7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</row>
    <row r="102" ht="15.7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</row>
    <row r="103" ht="15.7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</row>
    <row r="104" ht="15.7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</row>
    <row r="105" ht="15.7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</row>
    <row r="106" ht="15.7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</row>
    <row r="107" ht="15.7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</row>
    <row r="108" ht="15.7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</row>
    <row r="109" ht="15.7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</row>
    <row r="110" ht="15.7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</row>
    <row r="111" ht="15.7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</row>
    <row r="112" ht="15.7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</row>
    <row r="113" ht="15.7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</row>
    <row r="114" ht="15.7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</row>
    <row r="115" ht="15.7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</row>
    <row r="116" ht="15.7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</row>
    <row r="117" ht="15.7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</row>
    <row r="118" ht="15.7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</row>
    <row r="119" ht="15.7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</row>
    <row r="120" ht="15.7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</row>
    <row r="121" ht="15.7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</row>
    <row r="122" ht="15.7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</row>
    <row r="123" ht="15.7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</row>
    <row r="124" ht="15.7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</row>
    <row r="125" ht="15.7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</row>
    <row r="126" ht="15.7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</row>
    <row r="127" ht="15.7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</row>
    <row r="128" ht="15.7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</row>
    <row r="129" ht="15.7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</row>
    <row r="130" ht="15.7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</row>
    <row r="131" ht="15.7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</row>
    <row r="132" ht="15.7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</row>
    <row r="133" ht="15.7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</row>
    <row r="134" ht="15.7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</row>
    <row r="135" ht="15.7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</row>
    <row r="136" ht="15.7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</row>
    <row r="137" ht="15.7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</row>
    <row r="138" ht="15.7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</row>
    <row r="139" ht="15.7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</row>
    <row r="140" ht="15.7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</row>
    <row r="141" ht="15.7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</row>
    <row r="142" ht="15.7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</row>
    <row r="143" ht="15.7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</row>
    <row r="144" ht="15.7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</row>
    <row r="145" ht="15.7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</row>
    <row r="146" ht="15.7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</row>
    <row r="147" ht="15.7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</row>
    <row r="148" ht="15.7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</row>
    <row r="149" ht="15.7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</row>
    <row r="150" ht="15.7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</row>
    <row r="151" ht="15.7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</row>
    <row r="152" ht="15.7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</row>
    <row r="153" ht="15.7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</row>
    <row r="154" ht="15.7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</row>
    <row r="155" ht="15.7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</row>
    <row r="156" ht="15.7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</row>
    <row r="157" ht="15.7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</row>
    <row r="158" ht="15.7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</row>
    <row r="159" ht="15.7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</row>
    <row r="160" ht="15.7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</row>
    <row r="161" ht="15.7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</row>
    <row r="162" ht="15.7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</row>
    <row r="163" ht="15.7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</row>
    <row r="164" ht="15.7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</row>
    <row r="165" ht="15.7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</row>
    <row r="166" ht="15.7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</row>
    <row r="167" ht="15.7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</row>
    <row r="168" ht="15.7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</row>
    <row r="169" ht="15.7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</row>
    <row r="170" ht="15.7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</row>
    <row r="171" ht="15.7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</row>
    <row r="172" ht="15.7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</row>
    <row r="173" ht="15.7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</row>
    <row r="174" ht="15.7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</row>
    <row r="175" ht="15.7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</row>
    <row r="176" ht="15.7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</row>
    <row r="177" ht="15.7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</row>
    <row r="178" ht="15.7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</row>
    <row r="179" ht="15.7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</row>
    <row r="180" ht="15.7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</row>
    <row r="181" ht="15.7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</row>
    <row r="182" ht="15.7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</row>
    <row r="183" ht="15.7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</row>
    <row r="184" ht="15.7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</row>
    <row r="185" ht="15.7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</row>
    <row r="186" ht="15.7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</row>
    <row r="187" ht="15.7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</row>
    <row r="188" ht="15.7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</row>
    <row r="189" ht="15.7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</row>
    <row r="190" ht="15.7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</row>
    <row r="191" ht="15.7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</row>
    <row r="192" ht="15.7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</row>
    <row r="193" ht="15.7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</row>
    <row r="194" ht="15.7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</row>
    <row r="195" ht="15.7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</row>
    <row r="196" ht="15.7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</row>
    <row r="197" ht="15.7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</row>
    <row r="198" ht="15.7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</row>
    <row r="199" ht="15.7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</row>
    <row r="200" ht="15.7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</row>
    <row r="201" ht="15.7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</row>
    <row r="202" ht="15.7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</row>
    <row r="203" ht="15.7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</row>
    <row r="204" ht="15.7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</row>
    <row r="205" ht="15.7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</row>
    <row r="206" ht="15.7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</row>
    <row r="207" ht="15.7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</row>
    <row r="208" ht="15.7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</row>
    <row r="209" ht="15.7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</row>
    <row r="210" ht="15.7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</row>
    <row r="211" ht="15.7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</row>
    <row r="212" ht="15.7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</row>
    <row r="213" ht="15.7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</row>
    <row r="214" ht="15.7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</row>
    <row r="215" ht="15.7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</row>
    <row r="216" ht="15.7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</row>
    <row r="217" ht="15.7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</row>
    <row r="218" ht="15.7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</row>
    <row r="219" ht="15.7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</row>
    <row r="220" ht="15.7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</row>
    <row r="221" ht="15.7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</row>
    <row r="222" ht="15.7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</row>
    <row r="223" ht="15.7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</row>
    <row r="224" ht="15.7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</row>
    <row r="225" ht="15.7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</row>
    <row r="226" ht="15.7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</row>
    <row r="227" ht="15.7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</row>
    <row r="228" ht="15.7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</row>
    <row r="229" ht="15.7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</row>
    <row r="230" ht="15.7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</row>
    <row r="231" ht="15.7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</row>
    <row r="232" ht="15.7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</row>
    <row r="233" ht="15.7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</row>
    <row r="234" ht="15.7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0">
    <mergeCell ref="G8:H8"/>
    <mergeCell ref="I8:J8"/>
    <mergeCell ref="C7:D8"/>
    <mergeCell ref="C9:C10"/>
    <mergeCell ref="D9:D10"/>
    <mergeCell ref="A11:B11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3.29"/>
    <col customWidth="1" min="3" max="3" width="50.0"/>
    <col customWidth="1" min="4" max="4" width="33.71"/>
    <col customWidth="1" min="5" max="5" width="57.43"/>
  </cols>
  <sheetData>
    <row r="1">
      <c r="A1" s="177" t="s">
        <v>0</v>
      </c>
      <c r="B1" s="444"/>
      <c r="C1" s="444"/>
      <c r="D1" s="444"/>
      <c r="E1" s="444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</row>
    <row r="2">
      <c r="A2" s="6" t="s">
        <v>1</v>
      </c>
      <c r="B2" s="444"/>
      <c r="C2" s="444"/>
      <c r="D2" s="444"/>
      <c r="E2" s="444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  <c r="T2" s="525"/>
      <c r="U2" s="525"/>
      <c r="V2" s="525"/>
      <c r="W2" s="525"/>
      <c r="X2" s="525"/>
      <c r="Y2" s="525"/>
      <c r="Z2" s="525"/>
    </row>
    <row r="3">
      <c r="A3" s="336" t="s">
        <v>873</v>
      </c>
      <c r="B3" s="444"/>
      <c r="C3" s="444"/>
      <c r="D3" s="444"/>
      <c r="E3" s="444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</row>
    <row r="4">
      <c r="A4" s="336" t="s">
        <v>3</v>
      </c>
      <c r="B4" s="444"/>
      <c r="C4" s="444"/>
      <c r="D4" s="444"/>
      <c r="E4" s="444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</row>
    <row r="5">
      <c r="A5" s="336" t="s">
        <v>4</v>
      </c>
      <c r="B5" s="444"/>
      <c r="C5" s="444"/>
      <c r="D5" s="444"/>
      <c r="E5" s="444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</row>
    <row r="6">
      <c r="A6" s="69"/>
      <c r="B6" s="69"/>
      <c r="C6" s="69"/>
      <c r="D6" s="69"/>
      <c r="E6" s="69"/>
    </row>
    <row r="7">
      <c r="A7" s="526" t="s">
        <v>874</v>
      </c>
      <c r="B7" s="526" t="s">
        <v>875</v>
      </c>
      <c r="C7" s="526" t="s">
        <v>876</v>
      </c>
      <c r="D7" s="527" t="s">
        <v>877</v>
      </c>
      <c r="E7" s="528" t="s">
        <v>878</v>
      </c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24.0" customHeight="1">
      <c r="A8" s="529" t="s">
        <v>879</v>
      </c>
      <c r="B8" s="17"/>
      <c r="C8" s="17"/>
      <c r="D8" s="17"/>
      <c r="E8" s="18"/>
    </row>
    <row r="9" ht="53.25" customHeight="1">
      <c r="A9" s="530" t="s">
        <v>880</v>
      </c>
      <c r="B9" s="531" t="s">
        <v>881</v>
      </c>
      <c r="C9" s="532" t="s">
        <v>882</v>
      </c>
      <c r="D9" s="533">
        <v>16.13</v>
      </c>
      <c r="E9" s="534">
        <f>284726000/1000</f>
        <v>284726</v>
      </c>
    </row>
    <row r="10" ht="53.25" customHeight="1">
      <c r="A10" s="535" t="s">
        <v>883</v>
      </c>
      <c r="B10" s="536" t="s">
        <v>884</v>
      </c>
      <c r="C10" s="536" t="s">
        <v>885</v>
      </c>
      <c r="D10" s="537" t="s">
        <v>886</v>
      </c>
      <c r="E10" s="538">
        <f t="shared" ref="E10:E11" si="1">15000000/1000</f>
        <v>15000</v>
      </c>
    </row>
    <row r="11" ht="53.25" customHeight="1">
      <c r="A11" s="539" t="s">
        <v>108</v>
      </c>
      <c r="B11" s="536" t="s">
        <v>687</v>
      </c>
      <c r="C11" s="539" t="s">
        <v>887</v>
      </c>
      <c r="D11" s="537" t="s">
        <v>886</v>
      </c>
      <c r="E11" s="538">
        <f t="shared" si="1"/>
        <v>15000</v>
      </c>
      <c r="F11" s="540"/>
      <c r="G11" s="540"/>
      <c r="H11" s="540"/>
      <c r="I11" s="540"/>
      <c r="J11" s="540"/>
      <c r="K11" s="540"/>
      <c r="L11" s="540"/>
      <c r="M11" s="540"/>
      <c r="N11" s="540"/>
      <c r="O11" s="540"/>
      <c r="P11" s="540"/>
      <c r="Q11" s="540"/>
      <c r="R11" s="540"/>
      <c r="S11" s="540"/>
      <c r="T11" s="540"/>
      <c r="U11" s="540"/>
      <c r="V11" s="540"/>
      <c r="W11" s="540"/>
      <c r="X11" s="540"/>
      <c r="Y11" s="540"/>
      <c r="Z11" s="540"/>
    </row>
    <row r="12">
      <c r="A12" s="541"/>
      <c r="B12" s="542"/>
      <c r="C12" s="543"/>
      <c r="D12" s="544"/>
      <c r="E12" s="545"/>
    </row>
    <row r="13">
      <c r="A13" s="546" t="s">
        <v>13</v>
      </c>
      <c r="B13" s="17"/>
      <c r="C13" s="18"/>
      <c r="D13" s="547">
        <f>SUM(D8:D10)</f>
        <v>16.13</v>
      </c>
      <c r="E13" s="548">
        <f>SUM(E8:E11)</f>
        <v>314726</v>
      </c>
    </row>
    <row r="14" ht="25.5" customHeight="1">
      <c r="A14" s="549"/>
      <c r="B14" s="440"/>
      <c r="C14" s="440"/>
      <c r="D14" s="550"/>
      <c r="E14" s="69"/>
    </row>
    <row r="15" ht="24.0" customHeight="1">
      <c r="A15" s="60" t="s">
        <v>64</v>
      </c>
      <c r="C15" s="60" t="s">
        <v>65</v>
      </c>
      <c r="D15" s="235"/>
      <c r="E15" s="400" t="s">
        <v>66</v>
      </c>
      <c r="G15" s="60"/>
      <c r="H15" s="234"/>
      <c r="K15" s="60"/>
      <c r="L15" s="400"/>
      <c r="N15" s="250"/>
      <c r="R15" s="232"/>
    </row>
    <row r="16" ht="15.75" customHeight="1">
      <c r="A16" s="234"/>
      <c r="C16" s="234"/>
      <c r="D16" s="235"/>
      <c r="E16" s="270"/>
      <c r="G16" s="234"/>
      <c r="H16" s="234"/>
      <c r="K16" s="234"/>
      <c r="L16" s="270"/>
      <c r="N16" s="271"/>
      <c r="R16" s="270"/>
    </row>
    <row r="17" ht="15.75" customHeight="1">
      <c r="A17" s="234"/>
      <c r="C17" s="234"/>
      <c r="D17" s="235"/>
      <c r="E17" s="270"/>
      <c r="G17" s="234"/>
      <c r="H17" s="234"/>
      <c r="K17" s="234"/>
      <c r="L17" s="270"/>
      <c r="N17" s="271"/>
      <c r="R17" s="270"/>
    </row>
    <row r="18" ht="22.5" customHeight="1">
      <c r="A18" s="71" t="s">
        <v>67</v>
      </c>
      <c r="C18" s="71" t="s">
        <v>69</v>
      </c>
      <c r="D18" s="235"/>
      <c r="E18" s="71" t="s">
        <v>70</v>
      </c>
      <c r="G18" s="71"/>
      <c r="H18" s="234"/>
      <c r="K18" s="71"/>
      <c r="L18" s="71"/>
      <c r="N18" s="271"/>
      <c r="R18" s="71"/>
    </row>
    <row r="19" ht="25.5" customHeight="1">
      <c r="A19" s="60" t="s">
        <v>68</v>
      </c>
      <c r="C19" s="60" t="s">
        <v>71</v>
      </c>
      <c r="D19" s="60"/>
      <c r="E19" s="270" t="s">
        <v>72</v>
      </c>
      <c r="G19" s="60"/>
      <c r="H19" s="445"/>
      <c r="J19" s="247"/>
      <c r="K19" s="60"/>
      <c r="L19" s="270"/>
      <c r="N19" s="271"/>
      <c r="O19" s="247"/>
      <c r="P19" s="247"/>
      <c r="R19" s="270"/>
    </row>
    <row r="20" ht="15.75" customHeight="1">
      <c r="A20" s="69"/>
      <c r="B20" s="69"/>
      <c r="C20" s="69"/>
      <c r="D20" s="69"/>
      <c r="E20" s="69"/>
    </row>
    <row r="21" ht="15.75" customHeight="1">
      <c r="A21" s="69"/>
      <c r="B21" s="69"/>
      <c r="C21" s="69"/>
      <c r="D21" s="69"/>
      <c r="E21" s="69"/>
    </row>
    <row r="22" ht="15.75" customHeight="1">
      <c r="A22" s="69"/>
      <c r="B22" s="69"/>
      <c r="C22" s="69"/>
      <c r="D22" s="69"/>
      <c r="E22" s="69"/>
    </row>
    <row r="23" ht="15.75" customHeight="1">
      <c r="A23" s="69"/>
      <c r="B23" s="69"/>
      <c r="C23" s="69"/>
      <c r="D23" s="69"/>
      <c r="E23" s="69"/>
    </row>
    <row r="24" ht="15.75" customHeight="1">
      <c r="A24" s="69"/>
      <c r="B24" s="69"/>
      <c r="C24" s="69"/>
      <c r="D24" s="69"/>
      <c r="E24" s="69"/>
    </row>
    <row r="25" ht="15.75" customHeight="1">
      <c r="A25" s="69"/>
      <c r="B25" s="69"/>
      <c r="C25" s="69"/>
      <c r="D25" s="69"/>
      <c r="E25" s="69"/>
    </row>
    <row r="26" ht="15.75" customHeight="1">
      <c r="A26" s="69"/>
      <c r="B26" s="69"/>
      <c r="C26" s="69"/>
      <c r="D26" s="69"/>
      <c r="E26" s="69"/>
    </row>
    <row r="27" ht="15.75" customHeight="1">
      <c r="A27" s="69"/>
      <c r="B27" s="69"/>
      <c r="C27" s="69"/>
      <c r="D27" s="69"/>
      <c r="E27" s="69"/>
    </row>
    <row r="28" ht="15.75" customHeight="1">
      <c r="A28" s="69"/>
      <c r="B28" s="69"/>
      <c r="C28" s="69"/>
      <c r="D28" s="69"/>
      <c r="E28" s="69"/>
    </row>
    <row r="29" ht="15.75" customHeight="1">
      <c r="A29" s="69"/>
      <c r="B29" s="69"/>
      <c r="C29" s="69"/>
      <c r="D29" s="69"/>
      <c r="E29" s="69"/>
    </row>
    <row r="30" ht="15.75" customHeight="1">
      <c r="A30" s="69"/>
      <c r="B30" s="69"/>
      <c r="C30" s="69"/>
      <c r="D30" s="69"/>
      <c r="E30" s="69"/>
    </row>
    <row r="31" ht="15.75" customHeight="1">
      <c r="A31" s="69"/>
      <c r="B31" s="69"/>
      <c r="C31" s="69"/>
      <c r="D31" s="69"/>
      <c r="E31" s="69"/>
    </row>
    <row r="32" ht="15.75" customHeight="1">
      <c r="A32" s="69"/>
      <c r="B32" s="69"/>
      <c r="C32" s="69"/>
      <c r="D32" s="69"/>
      <c r="E32" s="69"/>
    </row>
    <row r="33" ht="15.75" customHeight="1">
      <c r="A33" s="69"/>
      <c r="B33" s="69"/>
      <c r="C33" s="69"/>
      <c r="D33" s="69"/>
      <c r="E33" s="69"/>
    </row>
    <row r="34" ht="15.75" customHeight="1">
      <c r="A34" s="69"/>
      <c r="B34" s="69"/>
      <c r="C34" s="69"/>
      <c r="D34" s="69"/>
      <c r="E34" s="69"/>
    </row>
    <row r="35" ht="15.75" customHeight="1">
      <c r="A35" s="69"/>
      <c r="B35" s="69"/>
      <c r="C35" s="69"/>
      <c r="D35" s="69"/>
      <c r="E35" s="69"/>
    </row>
    <row r="36" ht="15.75" customHeight="1">
      <c r="A36" s="69"/>
      <c r="B36" s="69"/>
      <c r="C36" s="69"/>
      <c r="D36" s="69"/>
      <c r="E36" s="69"/>
    </row>
    <row r="37" ht="15.75" customHeight="1">
      <c r="A37" s="69"/>
      <c r="B37" s="69"/>
      <c r="C37" s="69"/>
      <c r="D37" s="69"/>
      <c r="E37" s="69"/>
    </row>
    <row r="38" ht="15.75" customHeight="1">
      <c r="A38" s="69"/>
      <c r="B38" s="69"/>
      <c r="C38" s="69"/>
      <c r="D38" s="69"/>
      <c r="E38" s="69"/>
    </row>
    <row r="39" ht="15.75" customHeight="1">
      <c r="A39" s="69"/>
      <c r="B39" s="69"/>
      <c r="C39" s="69"/>
      <c r="D39" s="69"/>
      <c r="E39" s="69"/>
    </row>
    <row r="40" ht="15.75" customHeight="1">
      <c r="A40" s="69"/>
      <c r="B40" s="69"/>
      <c r="C40" s="69"/>
      <c r="D40" s="69"/>
      <c r="E40" s="69"/>
    </row>
    <row r="41" ht="15.75" customHeight="1">
      <c r="A41" s="69"/>
      <c r="B41" s="69"/>
      <c r="C41" s="69"/>
      <c r="D41" s="69"/>
      <c r="E41" s="69"/>
    </row>
    <row r="42" ht="15.75" customHeight="1">
      <c r="A42" s="69"/>
      <c r="B42" s="69"/>
      <c r="C42" s="69"/>
      <c r="D42" s="69"/>
      <c r="E42" s="69"/>
    </row>
    <row r="43" ht="15.75" customHeight="1">
      <c r="A43" s="69"/>
      <c r="B43" s="69"/>
      <c r="C43" s="69"/>
      <c r="D43" s="69"/>
      <c r="E43" s="69"/>
    </row>
    <row r="44" ht="15.75" customHeight="1">
      <c r="A44" s="69"/>
      <c r="B44" s="69"/>
      <c r="C44" s="69"/>
      <c r="D44" s="69"/>
      <c r="E44" s="69"/>
    </row>
    <row r="45" ht="15.75" customHeight="1">
      <c r="A45" s="69"/>
      <c r="B45" s="69"/>
      <c r="C45" s="69"/>
      <c r="D45" s="69"/>
      <c r="E45" s="69"/>
    </row>
    <row r="46" ht="15.75" customHeight="1">
      <c r="A46" s="69"/>
      <c r="B46" s="69"/>
      <c r="C46" s="69"/>
      <c r="D46" s="69"/>
      <c r="E46" s="69"/>
    </row>
    <row r="47" ht="15.75" customHeight="1">
      <c r="A47" s="69"/>
      <c r="B47" s="69"/>
      <c r="C47" s="69"/>
      <c r="D47" s="69"/>
      <c r="E47" s="69"/>
    </row>
    <row r="48" ht="15.75" customHeight="1">
      <c r="A48" s="69"/>
      <c r="B48" s="69"/>
      <c r="C48" s="69"/>
      <c r="D48" s="69"/>
      <c r="E48" s="69"/>
    </row>
    <row r="49" ht="15.75" customHeight="1">
      <c r="A49" s="69"/>
      <c r="B49" s="69"/>
      <c r="C49" s="69"/>
      <c r="D49" s="69"/>
      <c r="E49" s="69"/>
    </row>
    <row r="50" ht="15.75" customHeight="1">
      <c r="A50" s="69"/>
      <c r="B50" s="69"/>
      <c r="C50" s="69"/>
      <c r="D50" s="69"/>
      <c r="E50" s="69"/>
    </row>
    <row r="51" ht="15.75" customHeight="1">
      <c r="A51" s="69"/>
      <c r="B51" s="69"/>
      <c r="C51" s="69"/>
      <c r="D51" s="69"/>
      <c r="E51" s="69"/>
    </row>
    <row r="52" ht="15.75" customHeight="1">
      <c r="A52" s="69"/>
      <c r="B52" s="69"/>
      <c r="C52" s="69"/>
      <c r="D52" s="69"/>
      <c r="E52" s="69"/>
    </row>
    <row r="53" ht="15.75" customHeight="1">
      <c r="A53" s="69"/>
      <c r="B53" s="69"/>
      <c r="C53" s="69"/>
      <c r="D53" s="69"/>
      <c r="E53" s="69"/>
    </row>
    <row r="54" ht="15.75" customHeight="1">
      <c r="A54" s="69"/>
      <c r="B54" s="69"/>
      <c r="C54" s="69"/>
      <c r="D54" s="69"/>
      <c r="E54" s="69"/>
    </row>
    <row r="55" ht="15.75" customHeight="1">
      <c r="A55" s="69"/>
      <c r="B55" s="69"/>
      <c r="C55" s="69"/>
      <c r="D55" s="69"/>
      <c r="E55" s="69"/>
    </row>
    <row r="56" ht="15.75" customHeight="1">
      <c r="A56" s="69"/>
      <c r="B56" s="69"/>
      <c r="C56" s="69"/>
      <c r="D56" s="69"/>
      <c r="E56" s="69"/>
    </row>
    <row r="57" ht="15.75" customHeight="1">
      <c r="A57" s="69"/>
      <c r="B57" s="69"/>
      <c r="C57" s="69"/>
      <c r="D57" s="69"/>
      <c r="E57" s="69"/>
    </row>
    <row r="58" ht="15.75" customHeight="1">
      <c r="A58" s="69"/>
      <c r="B58" s="69"/>
      <c r="C58" s="69"/>
      <c r="D58" s="69"/>
      <c r="E58" s="69"/>
    </row>
    <row r="59" ht="15.75" customHeight="1">
      <c r="A59" s="69"/>
      <c r="B59" s="69"/>
      <c r="C59" s="69"/>
      <c r="D59" s="69"/>
      <c r="E59" s="69"/>
    </row>
    <row r="60" ht="15.75" customHeight="1">
      <c r="A60" s="69"/>
      <c r="B60" s="69"/>
      <c r="C60" s="69"/>
      <c r="D60" s="69"/>
      <c r="E60" s="69"/>
    </row>
    <row r="61" ht="15.75" customHeight="1">
      <c r="A61" s="69"/>
      <c r="B61" s="69"/>
      <c r="C61" s="69"/>
      <c r="D61" s="69"/>
      <c r="E61" s="69"/>
    </row>
    <row r="62" ht="15.75" customHeight="1">
      <c r="A62" s="69"/>
      <c r="B62" s="69"/>
      <c r="C62" s="69"/>
      <c r="D62" s="69"/>
      <c r="E62" s="69"/>
    </row>
    <row r="63" ht="15.75" customHeight="1">
      <c r="A63" s="69"/>
      <c r="B63" s="69"/>
      <c r="C63" s="69"/>
      <c r="D63" s="69"/>
      <c r="E63" s="69"/>
    </row>
    <row r="64" ht="15.75" customHeight="1">
      <c r="A64" s="69"/>
      <c r="B64" s="69"/>
      <c r="C64" s="69"/>
      <c r="D64" s="69"/>
      <c r="E64" s="69"/>
    </row>
    <row r="65" ht="15.75" customHeight="1">
      <c r="A65" s="69"/>
      <c r="B65" s="69"/>
      <c r="C65" s="69"/>
      <c r="D65" s="69"/>
      <c r="E65" s="69"/>
    </row>
    <row r="66" ht="15.75" customHeight="1">
      <c r="A66" s="69"/>
      <c r="B66" s="69"/>
      <c r="C66" s="69"/>
      <c r="D66" s="69"/>
      <c r="E66" s="69"/>
    </row>
    <row r="67" ht="15.75" customHeight="1">
      <c r="A67" s="69"/>
      <c r="B67" s="69"/>
      <c r="C67" s="69"/>
      <c r="D67" s="69"/>
      <c r="E67" s="69"/>
    </row>
    <row r="68" ht="15.75" customHeight="1">
      <c r="A68" s="69"/>
      <c r="B68" s="69"/>
      <c r="C68" s="69"/>
      <c r="D68" s="69"/>
      <c r="E68" s="69"/>
    </row>
    <row r="69" ht="15.75" customHeight="1">
      <c r="A69" s="69"/>
      <c r="B69" s="69"/>
      <c r="C69" s="69"/>
      <c r="D69" s="69"/>
      <c r="E69" s="69"/>
    </row>
    <row r="70" ht="15.75" customHeight="1">
      <c r="A70" s="69"/>
      <c r="B70" s="69"/>
      <c r="C70" s="69"/>
      <c r="D70" s="69"/>
      <c r="E70" s="69"/>
    </row>
    <row r="71" ht="15.75" customHeight="1">
      <c r="A71" s="69"/>
      <c r="B71" s="69"/>
      <c r="C71" s="69"/>
      <c r="D71" s="69"/>
      <c r="E71" s="69"/>
    </row>
    <row r="72" ht="15.75" customHeight="1">
      <c r="A72" s="69"/>
      <c r="B72" s="69"/>
      <c r="C72" s="69"/>
      <c r="D72" s="69"/>
      <c r="E72" s="69"/>
    </row>
    <row r="73" ht="15.75" customHeight="1">
      <c r="A73" s="69"/>
      <c r="B73" s="69"/>
      <c r="C73" s="69"/>
      <c r="D73" s="69"/>
      <c r="E73" s="69"/>
    </row>
    <row r="74" ht="15.75" customHeight="1">
      <c r="A74" s="69"/>
      <c r="B74" s="69"/>
      <c r="C74" s="69"/>
      <c r="D74" s="69"/>
      <c r="E74" s="69"/>
    </row>
    <row r="75" ht="15.75" customHeight="1">
      <c r="A75" s="69"/>
      <c r="B75" s="69"/>
      <c r="C75" s="69"/>
      <c r="D75" s="69"/>
      <c r="E75" s="69"/>
    </row>
    <row r="76" ht="15.75" customHeight="1">
      <c r="A76" s="69"/>
      <c r="B76" s="69"/>
      <c r="C76" s="69"/>
      <c r="D76" s="69"/>
      <c r="E76" s="69"/>
    </row>
    <row r="77" ht="15.75" customHeight="1">
      <c r="A77" s="69"/>
      <c r="B77" s="69"/>
      <c r="C77" s="69"/>
      <c r="D77" s="69"/>
      <c r="E77" s="69"/>
    </row>
    <row r="78" ht="15.75" customHeight="1">
      <c r="A78" s="69"/>
      <c r="B78" s="69"/>
      <c r="C78" s="69"/>
      <c r="D78" s="69"/>
      <c r="E78" s="69"/>
    </row>
    <row r="79" ht="15.75" customHeight="1">
      <c r="A79" s="69"/>
      <c r="B79" s="69"/>
      <c r="C79" s="69"/>
      <c r="D79" s="69"/>
      <c r="E79" s="69"/>
    </row>
    <row r="80" ht="15.75" customHeight="1">
      <c r="A80" s="69"/>
      <c r="B80" s="69"/>
      <c r="C80" s="69"/>
      <c r="D80" s="69"/>
      <c r="E80" s="69"/>
    </row>
    <row r="81" ht="15.75" customHeight="1">
      <c r="A81" s="69"/>
      <c r="B81" s="69"/>
      <c r="C81" s="69"/>
      <c r="D81" s="69"/>
      <c r="E81" s="69"/>
    </row>
    <row r="82" ht="15.75" customHeight="1">
      <c r="A82" s="69"/>
      <c r="B82" s="69"/>
      <c r="C82" s="69"/>
      <c r="D82" s="69"/>
      <c r="E82" s="69"/>
    </row>
    <row r="83" ht="15.75" customHeight="1">
      <c r="A83" s="69"/>
      <c r="B83" s="69"/>
      <c r="C83" s="69"/>
      <c r="D83" s="69"/>
      <c r="E83" s="69"/>
    </row>
    <row r="84" ht="15.75" customHeight="1">
      <c r="A84" s="69"/>
      <c r="B84" s="69"/>
      <c r="C84" s="69"/>
      <c r="D84" s="69"/>
      <c r="E84" s="69"/>
    </row>
    <row r="85" ht="15.75" customHeight="1">
      <c r="A85" s="69"/>
      <c r="B85" s="69"/>
      <c r="C85" s="69"/>
      <c r="D85" s="69"/>
      <c r="E85" s="69"/>
    </row>
    <row r="86" ht="15.75" customHeight="1">
      <c r="A86" s="69"/>
      <c r="B86" s="69"/>
      <c r="C86" s="69"/>
      <c r="D86" s="69"/>
      <c r="E86" s="69"/>
    </row>
    <row r="87" ht="15.75" customHeight="1">
      <c r="A87" s="69"/>
      <c r="B87" s="69"/>
      <c r="C87" s="69"/>
      <c r="D87" s="69"/>
      <c r="E87" s="69"/>
    </row>
    <row r="88" ht="15.75" customHeight="1">
      <c r="A88" s="69"/>
      <c r="B88" s="69"/>
      <c r="C88" s="69"/>
      <c r="D88" s="69"/>
      <c r="E88" s="69"/>
    </row>
    <row r="89" ht="15.75" customHeight="1">
      <c r="A89" s="69"/>
      <c r="B89" s="69"/>
      <c r="C89" s="69"/>
      <c r="D89" s="69"/>
      <c r="E89" s="69"/>
    </row>
    <row r="90" ht="15.75" customHeight="1">
      <c r="A90" s="69"/>
      <c r="B90" s="69"/>
      <c r="C90" s="69"/>
      <c r="D90" s="69"/>
      <c r="E90" s="69"/>
    </row>
    <row r="91" ht="15.75" customHeight="1">
      <c r="A91" s="69"/>
      <c r="B91" s="69"/>
      <c r="C91" s="69"/>
      <c r="D91" s="69"/>
      <c r="E91" s="69"/>
    </row>
    <row r="92" ht="15.75" customHeight="1">
      <c r="A92" s="69"/>
      <c r="B92" s="69"/>
      <c r="C92" s="69"/>
      <c r="D92" s="69"/>
      <c r="E92" s="69"/>
    </row>
    <row r="93" ht="15.75" customHeight="1">
      <c r="A93" s="69"/>
      <c r="B93" s="69"/>
      <c r="C93" s="69"/>
      <c r="D93" s="69"/>
      <c r="E93" s="69"/>
    </row>
    <row r="94" ht="15.75" customHeight="1">
      <c r="A94" s="69"/>
      <c r="B94" s="69"/>
      <c r="C94" s="69"/>
      <c r="D94" s="69"/>
      <c r="E94" s="69"/>
    </row>
    <row r="95" ht="15.75" customHeight="1">
      <c r="A95" s="69"/>
      <c r="B95" s="69"/>
      <c r="C95" s="69"/>
      <c r="D95" s="69"/>
      <c r="E95" s="69"/>
    </row>
    <row r="96" ht="15.75" customHeight="1">
      <c r="A96" s="69"/>
      <c r="B96" s="69"/>
      <c r="C96" s="69"/>
      <c r="D96" s="69"/>
      <c r="E96" s="69"/>
    </row>
    <row r="97" ht="15.75" customHeight="1">
      <c r="A97" s="69"/>
      <c r="B97" s="69"/>
      <c r="C97" s="69"/>
      <c r="D97" s="69"/>
      <c r="E97" s="69"/>
    </row>
    <row r="98" ht="15.75" customHeight="1">
      <c r="A98" s="69"/>
      <c r="B98" s="69"/>
      <c r="C98" s="69"/>
      <c r="D98" s="69"/>
      <c r="E98" s="69"/>
    </row>
    <row r="99" ht="15.75" customHeight="1">
      <c r="A99" s="69"/>
      <c r="B99" s="69"/>
      <c r="C99" s="69"/>
      <c r="D99" s="69"/>
      <c r="E99" s="69"/>
    </row>
    <row r="100" ht="15.75" customHeight="1">
      <c r="A100" s="69"/>
      <c r="B100" s="69"/>
      <c r="C100" s="69"/>
      <c r="D100" s="69"/>
      <c r="E100" s="69"/>
    </row>
    <row r="101" ht="15.75" customHeight="1">
      <c r="A101" s="69"/>
      <c r="B101" s="69"/>
      <c r="C101" s="69"/>
      <c r="D101" s="69"/>
      <c r="E101" s="69"/>
    </row>
    <row r="102" ht="15.75" customHeight="1">
      <c r="A102" s="69"/>
      <c r="B102" s="69"/>
      <c r="C102" s="69"/>
      <c r="D102" s="69"/>
      <c r="E102" s="69"/>
    </row>
    <row r="103" ht="15.75" customHeight="1">
      <c r="A103" s="69"/>
      <c r="B103" s="69"/>
      <c r="C103" s="69"/>
      <c r="D103" s="69"/>
      <c r="E103" s="69"/>
    </row>
    <row r="104" ht="15.75" customHeight="1">
      <c r="A104" s="69"/>
      <c r="B104" s="69"/>
      <c r="C104" s="69"/>
      <c r="D104" s="69"/>
      <c r="E104" s="69"/>
    </row>
    <row r="105" ht="15.75" customHeight="1">
      <c r="A105" s="69"/>
      <c r="B105" s="69"/>
      <c r="C105" s="69"/>
      <c r="D105" s="69"/>
      <c r="E105" s="69"/>
    </row>
    <row r="106" ht="15.75" customHeight="1">
      <c r="A106" s="69"/>
      <c r="B106" s="69"/>
      <c r="C106" s="69"/>
      <c r="D106" s="69"/>
      <c r="E106" s="69"/>
    </row>
    <row r="107" ht="15.75" customHeight="1">
      <c r="A107" s="69"/>
      <c r="B107" s="69"/>
      <c r="C107" s="69"/>
      <c r="D107" s="69"/>
      <c r="E107" s="69"/>
    </row>
    <row r="108" ht="15.75" customHeight="1">
      <c r="A108" s="69"/>
      <c r="B108" s="69"/>
      <c r="C108" s="69"/>
      <c r="D108" s="69"/>
      <c r="E108" s="69"/>
    </row>
    <row r="109" ht="15.75" customHeight="1">
      <c r="A109" s="69"/>
      <c r="B109" s="69"/>
      <c r="C109" s="69"/>
      <c r="D109" s="69"/>
      <c r="E109" s="69"/>
    </row>
    <row r="110" ht="15.75" customHeight="1">
      <c r="A110" s="69"/>
      <c r="B110" s="69"/>
      <c r="C110" s="69"/>
      <c r="D110" s="69"/>
      <c r="E110" s="69"/>
    </row>
    <row r="111" ht="15.75" customHeight="1">
      <c r="A111" s="69"/>
      <c r="B111" s="69"/>
      <c r="C111" s="69"/>
      <c r="D111" s="69"/>
      <c r="E111" s="69"/>
    </row>
    <row r="112" ht="15.75" customHeight="1">
      <c r="A112" s="69"/>
      <c r="B112" s="69"/>
      <c r="C112" s="69"/>
      <c r="D112" s="69"/>
      <c r="E112" s="69"/>
    </row>
    <row r="113" ht="15.75" customHeight="1">
      <c r="A113" s="69"/>
      <c r="B113" s="69"/>
      <c r="C113" s="69"/>
      <c r="D113" s="69"/>
      <c r="E113" s="69"/>
    </row>
    <row r="114" ht="15.75" customHeight="1">
      <c r="A114" s="69"/>
      <c r="B114" s="69"/>
      <c r="C114" s="69"/>
      <c r="D114" s="69"/>
      <c r="E114" s="69"/>
    </row>
    <row r="115" ht="15.75" customHeight="1">
      <c r="A115" s="69"/>
      <c r="B115" s="69"/>
      <c r="C115" s="69"/>
      <c r="D115" s="69"/>
      <c r="E115" s="69"/>
    </row>
    <row r="116" ht="15.75" customHeight="1">
      <c r="A116" s="69"/>
      <c r="B116" s="69"/>
      <c r="C116" s="69"/>
      <c r="D116" s="69"/>
      <c r="E116" s="69"/>
    </row>
    <row r="117" ht="15.75" customHeight="1">
      <c r="A117" s="69"/>
      <c r="B117" s="69"/>
      <c r="C117" s="69"/>
      <c r="D117" s="69"/>
      <c r="E117" s="69"/>
    </row>
    <row r="118" ht="15.75" customHeight="1">
      <c r="A118" s="69"/>
      <c r="B118" s="69"/>
      <c r="C118" s="69"/>
      <c r="D118" s="69"/>
      <c r="E118" s="69"/>
    </row>
    <row r="119" ht="15.75" customHeight="1">
      <c r="A119" s="69"/>
      <c r="B119" s="69"/>
      <c r="C119" s="69"/>
      <c r="D119" s="69"/>
      <c r="E119" s="69"/>
    </row>
    <row r="120" ht="15.75" customHeight="1">
      <c r="A120" s="69"/>
      <c r="B120" s="69"/>
      <c r="C120" s="69"/>
      <c r="D120" s="69"/>
      <c r="E120" s="69"/>
    </row>
    <row r="121" ht="15.75" customHeight="1">
      <c r="A121" s="69"/>
      <c r="B121" s="69"/>
      <c r="C121" s="69"/>
      <c r="D121" s="69"/>
      <c r="E121" s="69"/>
    </row>
    <row r="122" ht="15.75" customHeight="1">
      <c r="A122" s="69"/>
      <c r="B122" s="69"/>
      <c r="C122" s="69"/>
      <c r="D122" s="69"/>
      <c r="E122" s="69"/>
    </row>
    <row r="123" ht="15.75" customHeight="1">
      <c r="A123" s="69"/>
      <c r="B123" s="69"/>
      <c r="C123" s="69"/>
      <c r="D123" s="69"/>
      <c r="E123" s="69"/>
    </row>
    <row r="124" ht="15.75" customHeight="1">
      <c r="A124" s="69"/>
      <c r="B124" s="69"/>
      <c r="C124" s="69"/>
      <c r="D124" s="69"/>
      <c r="E124" s="69"/>
    </row>
    <row r="125" ht="15.75" customHeight="1">
      <c r="A125" s="69"/>
      <c r="B125" s="69"/>
      <c r="C125" s="69"/>
      <c r="D125" s="69"/>
      <c r="E125" s="69"/>
    </row>
    <row r="126" ht="15.75" customHeight="1">
      <c r="A126" s="69"/>
      <c r="B126" s="69"/>
      <c r="C126" s="69"/>
      <c r="D126" s="69"/>
      <c r="E126" s="69"/>
    </row>
    <row r="127" ht="15.75" customHeight="1">
      <c r="A127" s="69"/>
      <c r="B127" s="69"/>
      <c r="C127" s="69"/>
      <c r="D127" s="69"/>
      <c r="E127" s="69"/>
    </row>
    <row r="128" ht="15.75" customHeight="1">
      <c r="A128" s="69"/>
      <c r="B128" s="69"/>
      <c r="C128" s="69"/>
      <c r="D128" s="69"/>
      <c r="E128" s="69"/>
    </row>
    <row r="129" ht="15.75" customHeight="1">
      <c r="A129" s="69"/>
      <c r="B129" s="69"/>
      <c r="C129" s="69"/>
      <c r="D129" s="69"/>
      <c r="E129" s="69"/>
    </row>
    <row r="130" ht="15.75" customHeight="1">
      <c r="A130" s="69"/>
      <c r="B130" s="69"/>
      <c r="C130" s="69"/>
      <c r="D130" s="69"/>
      <c r="E130" s="69"/>
    </row>
    <row r="131" ht="15.75" customHeight="1">
      <c r="A131" s="69"/>
      <c r="B131" s="69"/>
      <c r="C131" s="69"/>
      <c r="D131" s="69"/>
      <c r="E131" s="69"/>
    </row>
    <row r="132" ht="15.75" customHeight="1">
      <c r="A132" s="69"/>
      <c r="B132" s="69"/>
      <c r="C132" s="69"/>
      <c r="D132" s="69"/>
      <c r="E132" s="69"/>
    </row>
    <row r="133" ht="15.75" customHeight="1">
      <c r="A133" s="69"/>
      <c r="B133" s="69"/>
      <c r="C133" s="69"/>
      <c r="D133" s="69"/>
      <c r="E133" s="69"/>
    </row>
    <row r="134" ht="15.75" customHeight="1">
      <c r="A134" s="69"/>
      <c r="B134" s="69"/>
      <c r="C134" s="69"/>
      <c r="D134" s="69"/>
      <c r="E134" s="69"/>
    </row>
    <row r="135" ht="15.75" customHeight="1">
      <c r="A135" s="69"/>
      <c r="B135" s="69"/>
      <c r="C135" s="69"/>
      <c r="D135" s="69"/>
      <c r="E135" s="69"/>
    </row>
    <row r="136" ht="15.75" customHeight="1">
      <c r="A136" s="69"/>
      <c r="B136" s="69"/>
      <c r="C136" s="69"/>
      <c r="D136" s="69"/>
      <c r="E136" s="69"/>
    </row>
    <row r="137" ht="15.75" customHeight="1">
      <c r="A137" s="69"/>
      <c r="B137" s="69"/>
      <c r="C137" s="69"/>
      <c r="D137" s="69"/>
      <c r="E137" s="69"/>
    </row>
    <row r="138" ht="15.75" customHeight="1">
      <c r="A138" s="69"/>
      <c r="B138" s="69"/>
      <c r="C138" s="69"/>
      <c r="D138" s="69"/>
      <c r="E138" s="69"/>
    </row>
    <row r="139" ht="15.75" customHeight="1">
      <c r="A139" s="69"/>
      <c r="B139" s="69"/>
      <c r="C139" s="69"/>
      <c r="D139" s="69"/>
      <c r="E139" s="69"/>
    </row>
    <row r="140" ht="15.75" customHeight="1">
      <c r="A140" s="69"/>
      <c r="B140" s="69"/>
      <c r="C140" s="69"/>
      <c r="D140" s="69"/>
      <c r="E140" s="69"/>
    </row>
    <row r="141" ht="15.75" customHeight="1">
      <c r="A141" s="69"/>
      <c r="B141" s="69"/>
      <c r="C141" s="69"/>
      <c r="D141" s="69"/>
      <c r="E141" s="69"/>
    </row>
    <row r="142" ht="15.75" customHeight="1">
      <c r="A142" s="69"/>
      <c r="B142" s="69"/>
      <c r="C142" s="69"/>
      <c r="D142" s="69"/>
      <c r="E142" s="69"/>
    </row>
    <row r="143" ht="15.75" customHeight="1">
      <c r="A143" s="69"/>
      <c r="B143" s="69"/>
      <c r="C143" s="69"/>
      <c r="D143" s="69"/>
      <c r="E143" s="69"/>
    </row>
    <row r="144" ht="15.75" customHeight="1">
      <c r="A144" s="69"/>
      <c r="B144" s="69"/>
      <c r="C144" s="69"/>
      <c r="D144" s="69"/>
      <c r="E144" s="69"/>
    </row>
    <row r="145" ht="15.75" customHeight="1">
      <c r="A145" s="69"/>
      <c r="B145" s="69"/>
      <c r="C145" s="69"/>
      <c r="D145" s="69"/>
      <c r="E145" s="69"/>
    </row>
    <row r="146" ht="15.75" customHeight="1">
      <c r="A146" s="69"/>
      <c r="B146" s="69"/>
      <c r="C146" s="69"/>
      <c r="D146" s="69"/>
      <c r="E146" s="69"/>
    </row>
    <row r="147" ht="15.75" customHeight="1">
      <c r="A147" s="69"/>
      <c r="B147" s="69"/>
      <c r="C147" s="69"/>
      <c r="D147" s="69"/>
      <c r="E147" s="69"/>
    </row>
    <row r="148" ht="15.75" customHeight="1">
      <c r="A148" s="69"/>
      <c r="B148" s="69"/>
      <c r="C148" s="69"/>
      <c r="D148" s="69"/>
      <c r="E148" s="69"/>
    </row>
    <row r="149" ht="15.75" customHeight="1">
      <c r="A149" s="69"/>
      <c r="B149" s="69"/>
      <c r="C149" s="69"/>
      <c r="D149" s="69"/>
      <c r="E149" s="69"/>
    </row>
    <row r="150" ht="15.75" customHeight="1">
      <c r="A150" s="69"/>
      <c r="B150" s="69"/>
      <c r="C150" s="69"/>
      <c r="D150" s="69"/>
      <c r="E150" s="69"/>
    </row>
    <row r="151" ht="15.75" customHeight="1">
      <c r="A151" s="69"/>
      <c r="B151" s="69"/>
      <c r="C151" s="69"/>
      <c r="D151" s="69"/>
      <c r="E151" s="69"/>
    </row>
    <row r="152" ht="15.75" customHeight="1">
      <c r="A152" s="69"/>
      <c r="B152" s="69"/>
      <c r="C152" s="69"/>
      <c r="D152" s="69"/>
      <c r="E152" s="69"/>
    </row>
    <row r="153" ht="15.75" customHeight="1">
      <c r="A153" s="69"/>
      <c r="B153" s="69"/>
      <c r="C153" s="69"/>
      <c r="D153" s="69"/>
      <c r="E153" s="69"/>
    </row>
    <row r="154" ht="15.75" customHeight="1">
      <c r="A154" s="69"/>
      <c r="B154" s="69"/>
      <c r="C154" s="69"/>
      <c r="D154" s="69"/>
      <c r="E154" s="69"/>
    </row>
    <row r="155" ht="15.75" customHeight="1">
      <c r="A155" s="69"/>
      <c r="B155" s="69"/>
      <c r="C155" s="69"/>
      <c r="D155" s="69"/>
      <c r="E155" s="69"/>
    </row>
    <row r="156" ht="15.75" customHeight="1">
      <c r="A156" s="69"/>
      <c r="B156" s="69"/>
      <c r="C156" s="69"/>
      <c r="D156" s="69"/>
      <c r="E156" s="69"/>
    </row>
    <row r="157" ht="15.75" customHeight="1">
      <c r="A157" s="69"/>
      <c r="B157" s="69"/>
      <c r="C157" s="69"/>
      <c r="D157" s="69"/>
      <c r="E157" s="69"/>
    </row>
    <row r="158" ht="15.75" customHeight="1">
      <c r="A158" s="69"/>
      <c r="B158" s="69"/>
      <c r="C158" s="69"/>
      <c r="D158" s="69"/>
      <c r="E158" s="69"/>
    </row>
    <row r="159" ht="15.75" customHeight="1">
      <c r="A159" s="69"/>
      <c r="B159" s="69"/>
      <c r="C159" s="69"/>
      <c r="D159" s="69"/>
      <c r="E159" s="69"/>
    </row>
    <row r="160" ht="15.75" customHeight="1">
      <c r="A160" s="69"/>
      <c r="B160" s="69"/>
      <c r="C160" s="69"/>
      <c r="D160" s="69"/>
      <c r="E160" s="69"/>
    </row>
    <row r="161" ht="15.75" customHeight="1">
      <c r="A161" s="69"/>
      <c r="B161" s="69"/>
      <c r="C161" s="69"/>
      <c r="D161" s="69"/>
      <c r="E161" s="69"/>
    </row>
    <row r="162" ht="15.75" customHeight="1">
      <c r="A162" s="69"/>
      <c r="B162" s="69"/>
      <c r="C162" s="69"/>
      <c r="D162" s="69"/>
      <c r="E162" s="69"/>
    </row>
    <row r="163" ht="15.75" customHeight="1">
      <c r="A163" s="69"/>
      <c r="B163" s="69"/>
      <c r="C163" s="69"/>
      <c r="D163" s="69"/>
      <c r="E163" s="69"/>
    </row>
    <row r="164" ht="15.75" customHeight="1">
      <c r="A164" s="69"/>
      <c r="B164" s="69"/>
      <c r="C164" s="69"/>
      <c r="D164" s="69"/>
      <c r="E164" s="69"/>
    </row>
    <row r="165" ht="15.75" customHeight="1">
      <c r="A165" s="69"/>
      <c r="B165" s="69"/>
      <c r="C165" s="69"/>
      <c r="D165" s="69"/>
      <c r="E165" s="69"/>
    </row>
    <row r="166" ht="15.75" customHeight="1">
      <c r="A166" s="69"/>
      <c r="B166" s="69"/>
      <c r="C166" s="69"/>
      <c r="D166" s="69"/>
      <c r="E166" s="69"/>
    </row>
    <row r="167" ht="15.75" customHeight="1">
      <c r="A167" s="69"/>
      <c r="B167" s="69"/>
      <c r="C167" s="69"/>
      <c r="D167" s="69"/>
      <c r="E167" s="69"/>
    </row>
    <row r="168" ht="15.75" customHeight="1">
      <c r="A168" s="69"/>
      <c r="B168" s="69"/>
      <c r="C168" s="69"/>
      <c r="D168" s="69"/>
      <c r="E168" s="69"/>
    </row>
    <row r="169" ht="15.75" customHeight="1">
      <c r="A169" s="69"/>
      <c r="B169" s="69"/>
      <c r="C169" s="69"/>
      <c r="D169" s="69"/>
      <c r="E169" s="69"/>
    </row>
    <row r="170" ht="15.75" customHeight="1">
      <c r="A170" s="69"/>
      <c r="B170" s="69"/>
      <c r="C170" s="69"/>
      <c r="D170" s="69"/>
      <c r="E170" s="69"/>
    </row>
    <row r="171" ht="15.75" customHeight="1">
      <c r="A171" s="69"/>
      <c r="B171" s="69"/>
      <c r="C171" s="69"/>
      <c r="D171" s="69"/>
      <c r="E171" s="69"/>
    </row>
    <row r="172" ht="15.75" customHeight="1">
      <c r="A172" s="69"/>
      <c r="B172" s="69"/>
      <c r="C172" s="69"/>
      <c r="D172" s="69"/>
      <c r="E172" s="69"/>
    </row>
    <row r="173" ht="15.75" customHeight="1">
      <c r="A173" s="69"/>
      <c r="B173" s="69"/>
      <c r="C173" s="69"/>
      <c r="D173" s="69"/>
      <c r="E173" s="69"/>
    </row>
    <row r="174" ht="15.75" customHeight="1">
      <c r="A174" s="69"/>
      <c r="B174" s="69"/>
      <c r="C174" s="69"/>
      <c r="D174" s="69"/>
      <c r="E174" s="69"/>
    </row>
    <row r="175" ht="15.75" customHeight="1">
      <c r="A175" s="69"/>
      <c r="B175" s="69"/>
      <c r="C175" s="69"/>
      <c r="D175" s="69"/>
      <c r="E175" s="69"/>
    </row>
    <row r="176" ht="15.75" customHeight="1">
      <c r="A176" s="69"/>
      <c r="B176" s="69"/>
      <c r="C176" s="69"/>
      <c r="D176" s="69"/>
      <c r="E176" s="69"/>
    </row>
    <row r="177" ht="15.75" customHeight="1">
      <c r="A177" s="69"/>
      <c r="B177" s="69"/>
      <c r="C177" s="69"/>
      <c r="D177" s="69"/>
      <c r="E177" s="69"/>
    </row>
    <row r="178" ht="15.75" customHeight="1">
      <c r="A178" s="69"/>
      <c r="B178" s="69"/>
      <c r="C178" s="69"/>
      <c r="D178" s="69"/>
      <c r="E178" s="69"/>
    </row>
    <row r="179" ht="15.75" customHeight="1">
      <c r="A179" s="69"/>
      <c r="B179" s="69"/>
      <c r="C179" s="69"/>
      <c r="D179" s="69"/>
      <c r="E179" s="69"/>
    </row>
    <row r="180" ht="15.75" customHeight="1">
      <c r="A180" s="69"/>
      <c r="B180" s="69"/>
      <c r="C180" s="69"/>
      <c r="D180" s="69"/>
      <c r="E180" s="69"/>
    </row>
    <row r="181" ht="15.75" customHeight="1">
      <c r="A181" s="69"/>
      <c r="B181" s="69"/>
      <c r="C181" s="69"/>
      <c r="D181" s="69"/>
      <c r="E181" s="69"/>
    </row>
    <row r="182" ht="15.75" customHeight="1">
      <c r="A182" s="69"/>
      <c r="B182" s="69"/>
      <c r="C182" s="69"/>
      <c r="D182" s="69"/>
      <c r="E182" s="69"/>
    </row>
    <row r="183" ht="15.75" customHeight="1">
      <c r="A183" s="69"/>
      <c r="B183" s="69"/>
      <c r="C183" s="69"/>
      <c r="D183" s="69"/>
      <c r="E183" s="69"/>
    </row>
    <row r="184" ht="15.75" customHeight="1">
      <c r="A184" s="69"/>
      <c r="B184" s="69"/>
      <c r="C184" s="69"/>
      <c r="D184" s="69"/>
      <c r="E184" s="69"/>
    </row>
    <row r="185" ht="15.75" customHeight="1">
      <c r="A185" s="69"/>
      <c r="B185" s="69"/>
      <c r="C185" s="69"/>
      <c r="D185" s="69"/>
      <c r="E185" s="69"/>
    </row>
    <row r="186" ht="15.75" customHeight="1">
      <c r="A186" s="69"/>
      <c r="B186" s="69"/>
      <c r="C186" s="69"/>
      <c r="D186" s="69"/>
      <c r="E186" s="69"/>
    </row>
    <row r="187" ht="15.75" customHeight="1">
      <c r="A187" s="69"/>
      <c r="B187" s="69"/>
      <c r="C187" s="69"/>
      <c r="D187" s="69"/>
      <c r="E187" s="69"/>
    </row>
    <row r="188" ht="15.75" customHeight="1">
      <c r="A188" s="69"/>
      <c r="B188" s="69"/>
      <c r="C188" s="69"/>
      <c r="D188" s="69"/>
      <c r="E188" s="69"/>
    </row>
    <row r="189" ht="15.75" customHeight="1">
      <c r="A189" s="69"/>
      <c r="B189" s="69"/>
      <c r="C189" s="69"/>
      <c r="D189" s="69"/>
      <c r="E189" s="69"/>
    </row>
    <row r="190" ht="15.75" customHeight="1">
      <c r="A190" s="69"/>
      <c r="B190" s="69"/>
      <c r="C190" s="69"/>
      <c r="D190" s="69"/>
      <c r="E190" s="69"/>
    </row>
    <row r="191" ht="15.75" customHeight="1">
      <c r="A191" s="69"/>
      <c r="B191" s="69"/>
      <c r="C191" s="69"/>
      <c r="D191" s="69"/>
      <c r="E191" s="69"/>
    </row>
    <row r="192" ht="15.75" customHeight="1">
      <c r="A192" s="69"/>
      <c r="B192" s="69"/>
      <c r="C192" s="69"/>
      <c r="D192" s="69"/>
      <c r="E192" s="69"/>
    </row>
    <row r="193" ht="15.75" customHeight="1">
      <c r="A193" s="69"/>
      <c r="B193" s="69"/>
      <c r="C193" s="69"/>
      <c r="D193" s="69"/>
      <c r="E193" s="69"/>
    </row>
    <row r="194" ht="15.75" customHeight="1">
      <c r="A194" s="69"/>
      <c r="B194" s="69"/>
      <c r="C194" s="69"/>
      <c r="D194" s="69"/>
      <c r="E194" s="69"/>
    </row>
    <row r="195" ht="15.75" customHeight="1">
      <c r="A195" s="69"/>
      <c r="B195" s="69"/>
      <c r="C195" s="69"/>
      <c r="D195" s="69"/>
      <c r="E195" s="69"/>
    </row>
    <row r="196" ht="15.75" customHeight="1">
      <c r="A196" s="69"/>
      <c r="B196" s="69"/>
      <c r="C196" s="69"/>
      <c r="D196" s="69"/>
      <c r="E196" s="69"/>
    </row>
    <row r="197" ht="15.75" customHeight="1">
      <c r="A197" s="69"/>
      <c r="B197" s="69"/>
      <c r="C197" s="69"/>
      <c r="D197" s="69"/>
      <c r="E197" s="69"/>
    </row>
    <row r="198" ht="15.75" customHeight="1">
      <c r="A198" s="69"/>
      <c r="B198" s="69"/>
      <c r="C198" s="69"/>
      <c r="D198" s="69"/>
      <c r="E198" s="69"/>
    </row>
    <row r="199" ht="15.75" customHeight="1">
      <c r="A199" s="69"/>
      <c r="B199" s="69"/>
      <c r="C199" s="69"/>
      <c r="D199" s="69"/>
      <c r="E199" s="69"/>
    </row>
    <row r="200" ht="15.75" customHeight="1">
      <c r="A200" s="69"/>
      <c r="B200" s="69"/>
      <c r="C200" s="69"/>
      <c r="D200" s="69"/>
      <c r="E200" s="69"/>
    </row>
    <row r="201" ht="15.75" customHeight="1">
      <c r="A201" s="69"/>
      <c r="B201" s="69"/>
      <c r="C201" s="69"/>
      <c r="D201" s="69"/>
      <c r="E201" s="69"/>
    </row>
    <row r="202" ht="15.75" customHeight="1">
      <c r="A202" s="69"/>
      <c r="B202" s="69"/>
      <c r="C202" s="69"/>
      <c r="D202" s="69"/>
      <c r="E202" s="69"/>
    </row>
    <row r="203" ht="15.75" customHeight="1">
      <c r="A203" s="69"/>
      <c r="B203" s="69"/>
      <c r="C203" s="69"/>
      <c r="D203" s="69"/>
      <c r="E203" s="69"/>
    </row>
    <row r="204" ht="15.75" customHeight="1">
      <c r="A204" s="69"/>
      <c r="B204" s="69"/>
      <c r="C204" s="69"/>
      <c r="D204" s="69"/>
      <c r="E204" s="69"/>
    </row>
    <row r="205" ht="15.75" customHeight="1">
      <c r="A205" s="69"/>
      <c r="B205" s="69"/>
      <c r="C205" s="69"/>
      <c r="D205" s="69"/>
      <c r="E205" s="69"/>
    </row>
    <row r="206" ht="15.75" customHeight="1">
      <c r="A206" s="69"/>
      <c r="B206" s="69"/>
      <c r="C206" s="69"/>
      <c r="D206" s="69"/>
      <c r="E206" s="69"/>
    </row>
    <row r="207" ht="15.75" customHeight="1">
      <c r="A207" s="69"/>
      <c r="B207" s="69"/>
      <c r="C207" s="69"/>
      <c r="D207" s="69"/>
      <c r="E207" s="69"/>
    </row>
    <row r="208" ht="15.75" customHeight="1">
      <c r="A208" s="69"/>
      <c r="B208" s="69"/>
      <c r="C208" s="69"/>
      <c r="D208" s="69"/>
      <c r="E208" s="69"/>
    </row>
    <row r="209" ht="15.75" customHeight="1">
      <c r="A209" s="69"/>
      <c r="B209" s="69"/>
      <c r="C209" s="69"/>
      <c r="D209" s="69"/>
      <c r="E209" s="69"/>
    </row>
    <row r="210" ht="15.75" customHeight="1">
      <c r="A210" s="69"/>
      <c r="B210" s="69"/>
      <c r="C210" s="69"/>
      <c r="D210" s="69"/>
      <c r="E210" s="69"/>
    </row>
    <row r="211" ht="15.75" customHeight="1">
      <c r="A211" s="69"/>
      <c r="B211" s="69"/>
      <c r="C211" s="69"/>
      <c r="D211" s="69"/>
      <c r="E211" s="69"/>
    </row>
    <row r="212" ht="15.75" customHeight="1">
      <c r="A212" s="69"/>
      <c r="B212" s="69"/>
      <c r="C212" s="69"/>
      <c r="D212" s="69"/>
      <c r="E212" s="69"/>
    </row>
    <row r="213" ht="15.75" customHeight="1">
      <c r="A213" s="69"/>
      <c r="B213" s="69"/>
      <c r="C213" s="69"/>
      <c r="D213" s="69"/>
      <c r="E213" s="69"/>
    </row>
    <row r="214" ht="15.75" customHeight="1">
      <c r="A214" s="69"/>
      <c r="B214" s="69"/>
      <c r="C214" s="69"/>
      <c r="D214" s="69"/>
      <c r="E214" s="69"/>
    </row>
    <row r="215" ht="15.75" customHeight="1">
      <c r="A215" s="69"/>
      <c r="B215" s="69"/>
      <c r="C215" s="69"/>
      <c r="D215" s="69"/>
      <c r="E215" s="69"/>
    </row>
    <row r="216" ht="15.75" customHeight="1">
      <c r="A216" s="69"/>
      <c r="B216" s="69"/>
      <c r="C216" s="69"/>
      <c r="D216" s="69"/>
      <c r="E216" s="69"/>
    </row>
    <row r="217" ht="15.75" customHeight="1">
      <c r="A217" s="69"/>
      <c r="B217" s="69"/>
      <c r="C217" s="69"/>
      <c r="D217" s="69"/>
      <c r="E217" s="69"/>
    </row>
    <row r="218" ht="15.75" customHeight="1">
      <c r="A218" s="69"/>
      <c r="B218" s="69"/>
      <c r="C218" s="69"/>
      <c r="D218" s="69"/>
      <c r="E218" s="69"/>
    </row>
    <row r="219" ht="15.75" customHeight="1">
      <c r="A219" s="69"/>
      <c r="B219" s="69"/>
      <c r="C219" s="69"/>
      <c r="D219" s="69"/>
      <c r="E219" s="69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">
    <mergeCell ref="A8:E8"/>
    <mergeCell ref="A13:C13"/>
    <mergeCell ref="A14:C14"/>
  </mergeCells>
  <printOptions/>
  <pageMargins bottom="0.75" footer="0.0" header="0.0" left="0.25" right="0.25" top="0.75"/>
  <pageSetup fitToHeight="0" paperSize="14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23.71"/>
    <col customWidth="1" min="3" max="3" width="26.29"/>
    <col customWidth="1" min="4" max="4" width="24.57"/>
    <col customWidth="1" min="5" max="5" width="21.57"/>
    <col customWidth="1" min="6" max="6" width="23.43"/>
    <col customWidth="1" min="7" max="7" width="27.57"/>
    <col customWidth="1" min="8" max="8" width="26.86"/>
    <col customWidth="1" min="9" max="12" width="12.57"/>
  </cols>
  <sheetData>
    <row r="1" ht="15.75" customHeight="1">
      <c r="A1" s="68"/>
      <c r="B1" s="68"/>
      <c r="C1" s="68"/>
      <c r="D1" s="171"/>
      <c r="E1" s="171"/>
      <c r="F1" s="171"/>
      <c r="G1" s="68"/>
      <c r="H1" s="68"/>
      <c r="I1" s="68"/>
      <c r="J1" s="68"/>
      <c r="K1" s="68"/>
      <c r="L1" s="68"/>
    </row>
    <row r="2" ht="25.5" customHeight="1">
      <c r="A2" s="551" t="s">
        <v>888</v>
      </c>
      <c r="D2" s="171"/>
      <c r="G2" s="552"/>
      <c r="H2" s="552"/>
      <c r="I2" s="552"/>
      <c r="J2" s="552"/>
      <c r="K2" s="552"/>
      <c r="L2" s="552"/>
    </row>
    <row r="3" ht="25.5" customHeight="1">
      <c r="A3" s="553" t="s">
        <v>889</v>
      </c>
      <c r="D3" s="171"/>
      <c r="G3" s="552"/>
      <c r="H3" s="552"/>
      <c r="I3" s="552"/>
      <c r="J3" s="552"/>
      <c r="K3" s="552"/>
      <c r="L3" s="552"/>
    </row>
    <row r="4" ht="25.5" customHeight="1">
      <c r="A4" s="553" t="s">
        <v>890</v>
      </c>
      <c r="D4" s="171"/>
      <c r="G4" s="552"/>
      <c r="H4" s="552"/>
      <c r="I4" s="552"/>
      <c r="J4" s="552"/>
      <c r="K4" s="552"/>
      <c r="L4" s="552"/>
    </row>
    <row r="5" ht="25.5" customHeight="1">
      <c r="A5" s="553" t="s">
        <v>891</v>
      </c>
      <c r="D5" s="171"/>
      <c r="G5" s="552"/>
      <c r="H5" s="552"/>
      <c r="I5" s="552"/>
      <c r="J5" s="552"/>
      <c r="K5" s="552"/>
      <c r="L5" s="552"/>
    </row>
    <row r="6" ht="15.75" customHeight="1">
      <c r="A6" s="552"/>
      <c r="B6" s="552"/>
      <c r="C6" s="552"/>
      <c r="D6" s="171"/>
      <c r="G6" s="552"/>
      <c r="H6" s="552"/>
      <c r="I6" s="552"/>
      <c r="J6" s="552"/>
      <c r="K6" s="552"/>
      <c r="L6" s="552"/>
    </row>
    <row r="7" ht="26.25" customHeight="1">
      <c r="A7" s="552"/>
      <c r="B7" s="552"/>
      <c r="C7" s="552"/>
      <c r="D7" s="554"/>
      <c r="G7" s="552"/>
      <c r="H7" s="552"/>
      <c r="I7" s="552"/>
      <c r="J7" s="552"/>
      <c r="K7" s="552"/>
      <c r="L7" s="552"/>
    </row>
    <row r="8" ht="27.0" customHeight="1">
      <c r="A8" s="363" t="s">
        <v>892</v>
      </c>
      <c r="B8" s="555" t="s">
        <v>648</v>
      </c>
      <c r="C8" s="556" t="s">
        <v>8</v>
      </c>
      <c r="D8" s="557" t="s">
        <v>9</v>
      </c>
      <c r="E8" s="17"/>
      <c r="F8" s="18"/>
      <c r="G8" s="558" t="s">
        <v>893</v>
      </c>
      <c r="H8" s="558" t="s">
        <v>894</v>
      </c>
      <c r="I8" s="236"/>
      <c r="J8" s="236"/>
      <c r="K8" s="236"/>
      <c r="L8" s="236"/>
    </row>
    <row r="9" ht="37.5" customHeight="1">
      <c r="A9" s="28"/>
      <c r="B9" s="28"/>
      <c r="C9" s="559"/>
      <c r="D9" s="560" t="s">
        <v>895</v>
      </c>
      <c r="E9" s="561" t="s">
        <v>896</v>
      </c>
      <c r="F9" s="560" t="s">
        <v>13</v>
      </c>
      <c r="G9" s="562"/>
      <c r="H9" s="562"/>
      <c r="I9" s="236"/>
      <c r="J9" s="236"/>
      <c r="K9" s="236"/>
      <c r="L9" s="236"/>
    </row>
    <row r="10" ht="26.25" customHeight="1">
      <c r="A10" s="58" t="s">
        <v>897</v>
      </c>
      <c r="B10" s="563">
        <f>RICE!D53</f>
        <v>140386.48</v>
      </c>
      <c r="C10" s="564">
        <f>RICE!F53</f>
        <v>253198.7942</v>
      </c>
      <c r="D10" s="565">
        <f>RICE!H53</f>
        <v>279999.1288</v>
      </c>
      <c r="E10" s="565">
        <f>RICE!J53</f>
        <v>113200.6489</v>
      </c>
      <c r="F10" s="565">
        <f t="shared" ref="F10:F23" si="1">D10+E10</f>
        <v>393199.7777</v>
      </c>
      <c r="G10" s="563"/>
      <c r="H10" s="563"/>
      <c r="I10" s="236"/>
      <c r="J10" s="236"/>
      <c r="K10" s="236"/>
      <c r="L10" s="236"/>
    </row>
    <row r="11" ht="26.25" customHeight="1">
      <c r="A11" s="58" t="s">
        <v>898</v>
      </c>
      <c r="B11" s="566">
        <f>CORN!D82</f>
        <v>79281.5</v>
      </c>
      <c r="C11" s="567">
        <f>CORN!H82</f>
        <v>185703.92</v>
      </c>
      <c r="D11" s="568">
        <f>CORN!J82</f>
        <v>187569.6667</v>
      </c>
      <c r="E11" s="568">
        <f>CORN!L82</f>
        <v>154954.4</v>
      </c>
      <c r="F11" s="565">
        <f t="shared" si="1"/>
        <v>342524.0667</v>
      </c>
      <c r="G11" s="563"/>
      <c r="H11" s="563"/>
      <c r="I11" s="236"/>
      <c r="J11" s="236"/>
      <c r="K11" s="236"/>
      <c r="L11" s="236"/>
    </row>
    <row r="12" ht="26.25" customHeight="1">
      <c r="A12" s="58" t="s">
        <v>899</v>
      </c>
      <c r="B12" s="566">
        <f>HVCDP!D801</f>
        <v>3100.09</v>
      </c>
      <c r="C12" s="567">
        <v>300.0</v>
      </c>
      <c r="D12" s="192">
        <f>HVCDP!H801</f>
        <v>1862.65455</v>
      </c>
      <c r="E12" s="569"/>
      <c r="F12" s="565">
        <f t="shared" si="1"/>
        <v>1862.65455</v>
      </c>
      <c r="G12" s="563"/>
      <c r="H12" s="563"/>
      <c r="I12" s="236"/>
      <c r="J12" s="236"/>
      <c r="K12" s="236"/>
      <c r="L12" s="236"/>
    </row>
    <row r="13" ht="26.25" customHeight="1">
      <c r="A13" s="58" t="s">
        <v>900</v>
      </c>
      <c r="B13" s="570">
        <v>155.0</v>
      </c>
      <c r="C13" s="567">
        <v>2792.0</v>
      </c>
      <c r="D13" s="435">
        <f>NUPAP!H50</f>
        <v>0</v>
      </c>
      <c r="E13" s="435"/>
      <c r="F13" s="565">
        <f t="shared" si="1"/>
        <v>0</v>
      </c>
      <c r="G13" s="563"/>
      <c r="H13" s="563"/>
      <c r="I13" s="236"/>
      <c r="J13" s="236"/>
      <c r="K13" s="236"/>
      <c r="L13" s="236"/>
    </row>
    <row r="14" ht="26.25" customHeight="1">
      <c r="A14" s="58" t="s">
        <v>901</v>
      </c>
      <c r="B14" s="570">
        <f>HALAL!D25</f>
        <v>200</v>
      </c>
      <c r="C14" s="567">
        <f>HALAL!F25</f>
        <v>125</v>
      </c>
      <c r="D14" s="435"/>
      <c r="E14" s="192"/>
      <c r="F14" s="565">
        <f t="shared" si="1"/>
        <v>0</v>
      </c>
      <c r="G14" s="563"/>
      <c r="H14" s="563"/>
      <c r="I14" s="236"/>
      <c r="J14" s="236"/>
      <c r="K14" s="236"/>
      <c r="L14" s="236"/>
    </row>
    <row r="15" ht="26.25" customHeight="1">
      <c r="A15" s="58" t="s">
        <v>902</v>
      </c>
      <c r="B15" s="566">
        <f>LIVESTOCK!D45</f>
        <v>10779.6</v>
      </c>
      <c r="C15" s="567">
        <v>2869.6</v>
      </c>
      <c r="D15" s="192">
        <f>LIVESTOCK!J45</f>
        <v>13885</v>
      </c>
      <c r="E15" s="192">
        <f>LIVESTOCK!L45</f>
        <v>0</v>
      </c>
      <c r="F15" s="565">
        <f t="shared" si="1"/>
        <v>13885</v>
      </c>
      <c r="G15" s="563"/>
      <c r="H15" s="563"/>
      <c r="I15" s="236"/>
      <c r="J15" s="236"/>
      <c r="K15" s="236"/>
      <c r="L15" s="236"/>
    </row>
    <row r="16" ht="26.25" customHeight="1">
      <c r="A16" s="571" t="s">
        <v>903</v>
      </c>
      <c r="B16" s="572"/>
      <c r="C16" s="573"/>
      <c r="D16" s="435"/>
      <c r="E16" s="192"/>
      <c r="F16" s="565">
        <f t="shared" si="1"/>
        <v>0</v>
      </c>
      <c r="G16" s="563"/>
      <c r="H16" s="563"/>
      <c r="I16" s="236"/>
      <c r="J16" s="236"/>
      <c r="K16" s="236"/>
      <c r="L16" s="236"/>
    </row>
    <row r="17" ht="26.25" customHeight="1">
      <c r="A17" s="574" t="s">
        <v>904</v>
      </c>
      <c r="B17" s="566">
        <f>FMR!E61</f>
        <v>85000</v>
      </c>
      <c r="C17" s="567">
        <f>FMR!E101</f>
        <v>549400</v>
      </c>
      <c r="D17" s="192">
        <f>FMR!E108</f>
        <v>155000</v>
      </c>
      <c r="E17" s="435">
        <f>FMR!E118</f>
        <v>192500</v>
      </c>
      <c r="F17" s="565">
        <f t="shared" si="1"/>
        <v>347500</v>
      </c>
      <c r="G17" s="563"/>
      <c r="H17" s="563"/>
      <c r="I17" s="236"/>
      <c r="J17" s="236"/>
      <c r="K17" s="236"/>
      <c r="L17" s="236"/>
    </row>
    <row r="18" ht="26.25" customHeight="1">
      <c r="A18" s="574" t="s">
        <v>905</v>
      </c>
      <c r="B18" s="566">
        <f>SAAD!D47</f>
        <v>2866</v>
      </c>
      <c r="C18" s="567">
        <v>3285.0</v>
      </c>
      <c r="D18" s="192">
        <f>SAAD!H47</f>
        <v>2107</v>
      </c>
      <c r="E18" s="192">
        <f>SAAD!J47</f>
        <v>0</v>
      </c>
      <c r="F18" s="565">
        <f t="shared" si="1"/>
        <v>2107</v>
      </c>
      <c r="G18" s="563"/>
      <c r="H18" s="563"/>
      <c r="I18" s="236"/>
      <c r="J18" s="236"/>
      <c r="K18" s="236"/>
      <c r="L18" s="236"/>
    </row>
    <row r="19" ht="43.5" customHeight="1">
      <c r="A19" s="343" t="s">
        <v>906</v>
      </c>
      <c r="B19" s="566">
        <f>MCRA!D48</f>
        <v>6576.133</v>
      </c>
      <c r="C19" s="567">
        <f>MCRA!F48</f>
        <v>512.8</v>
      </c>
      <c r="D19" s="192">
        <f>MCRA!H48</f>
        <v>0</v>
      </c>
      <c r="E19" s="192">
        <f>MCRA!J48</f>
        <v>993.03</v>
      </c>
      <c r="F19" s="565">
        <f t="shared" si="1"/>
        <v>993.03</v>
      </c>
      <c r="G19" s="563"/>
      <c r="H19" s="563"/>
      <c r="I19" s="236"/>
      <c r="J19" s="236"/>
      <c r="K19" s="236"/>
      <c r="L19" s="236"/>
    </row>
    <row r="20" ht="35.25" customHeight="1">
      <c r="A20" s="343" t="s">
        <v>907</v>
      </c>
      <c r="B20" s="566">
        <v>344.0</v>
      </c>
      <c r="C20" s="575">
        <v>741.0</v>
      </c>
      <c r="D20" s="192"/>
      <c r="E20" s="192"/>
      <c r="F20" s="565">
        <f t="shared" si="1"/>
        <v>0</v>
      </c>
      <c r="G20" s="563"/>
      <c r="H20" s="563"/>
      <c r="I20" s="236"/>
      <c r="J20" s="236"/>
      <c r="K20" s="236"/>
      <c r="L20" s="236"/>
    </row>
    <row r="21" ht="35.25" customHeight="1">
      <c r="A21" s="571" t="s">
        <v>908</v>
      </c>
      <c r="B21" s="576"/>
      <c r="C21" s="577"/>
      <c r="D21" s="578"/>
      <c r="E21" s="578"/>
      <c r="F21" s="565">
        <f t="shared" si="1"/>
        <v>0</v>
      </c>
      <c r="G21" s="563"/>
      <c r="H21" s="563"/>
      <c r="I21" s="171"/>
      <c r="J21" s="171"/>
      <c r="K21" s="171"/>
      <c r="L21" s="171"/>
    </row>
    <row r="22" ht="35.25" customHeight="1">
      <c r="A22" s="343" t="s">
        <v>909</v>
      </c>
      <c r="B22" s="538"/>
      <c r="C22" s="579">
        <f>PRDP!E13</f>
        <v>314726</v>
      </c>
      <c r="D22" s="580"/>
      <c r="E22" s="580"/>
      <c r="F22" s="565">
        <f t="shared" si="1"/>
        <v>0</v>
      </c>
      <c r="G22" s="563"/>
      <c r="H22" s="563"/>
      <c r="I22" s="236"/>
      <c r="J22" s="236"/>
      <c r="K22" s="236"/>
      <c r="L22" s="236"/>
    </row>
    <row r="23" ht="26.25" customHeight="1">
      <c r="A23" s="581" t="s">
        <v>13</v>
      </c>
      <c r="B23" s="582">
        <f t="shared" ref="B23:E23" si="2">SUM(B4:B22)</f>
        <v>328688.803</v>
      </c>
      <c r="C23" s="582">
        <f t="shared" si="2"/>
        <v>1313654.114</v>
      </c>
      <c r="D23" s="582">
        <f t="shared" si="2"/>
        <v>640423.45</v>
      </c>
      <c r="E23" s="582">
        <f t="shared" si="2"/>
        <v>461648.0789</v>
      </c>
      <c r="F23" s="583">
        <f t="shared" si="1"/>
        <v>1102071.529</v>
      </c>
      <c r="G23" s="584">
        <f>F23-C23</f>
        <v>-211582.5853</v>
      </c>
      <c r="H23" s="584"/>
      <c r="I23" s="236"/>
      <c r="J23" s="236"/>
      <c r="K23" s="236"/>
      <c r="L23" s="236"/>
    </row>
    <row r="24" ht="26.25" customHeight="1">
      <c r="A24" s="585"/>
      <c r="B24" s="585"/>
      <c r="C24" s="585"/>
      <c r="D24" s="586"/>
      <c r="E24" s="587"/>
      <c r="F24" s="171"/>
      <c r="G24" s="585"/>
      <c r="H24" s="585"/>
      <c r="I24" s="585"/>
      <c r="J24" s="585"/>
      <c r="K24" s="585"/>
      <c r="L24" s="585"/>
    </row>
    <row r="25" ht="27.0" customHeight="1">
      <c r="A25" s="60" t="s">
        <v>64</v>
      </c>
      <c r="D25" s="445"/>
      <c r="E25" s="234"/>
      <c r="F25" s="588"/>
      <c r="L25" s="585"/>
    </row>
    <row r="26" ht="14.25" customHeight="1">
      <c r="A26" s="234"/>
      <c r="D26" s="445"/>
      <c r="E26" s="234"/>
      <c r="F26" s="588"/>
      <c r="L26" s="585"/>
    </row>
    <row r="27" ht="30.75" customHeight="1">
      <c r="D27" s="445"/>
      <c r="E27" s="234"/>
      <c r="F27" s="588"/>
      <c r="L27" s="585"/>
    </row>
    <row r="28" ht="20.25" customHeight="1">
      <c r="A28" s="71" t="s">
        <v>67</v>
      </c>
      <c r="D28" s="445"/>
      <c r="E28" s="234"/>
      <c r="F28" s="588"/>
      <c r="L28" s="585"/>
    </row>
    <row r="29" ht="15.75" customHeight="1">
      <c r="A29" s="60" t="s">
        <v>68</v>
      </c>
      <c r="D29" s="247"/>
      <c r="E29" s="589"/>
      <c r="F29" s="171"/>
      <c r="L29" s="585"/>
    </row>
    <row r="30" ht="14.25" customHeight="1">
      <c r="A30" s="240"/>
      <c r="D30" s="171"/>
      <c r="E30" s="171"/>
      <c r="F30" s="171"/>
      <c r="G30" s="585"/>
      <c r="H30" s="585"/>
      <c r="I30" s="585"/>
      <c r="J30" s="585"/>
      <c r="K30" s="585"/>
      <c r="L30" s="585"/>
    </row>
    <row r="31" ht="14.25" customHeight="1">
      <c r="A31" s="585"/>
      <c r="C31" s="171"/>
      <c r="D31" s="171"/>
      <c r="E31" s="171"/>
      <c r="F31" s="171"/>
      <c r="G31" s="585"/>
      <c r="H31" s="585"/>
      <c r="I31" s="585"/>
      <c r="J31" s="585"/>
      <c r="K31" s="585"/>
      <c r="L31" s="585"/>
    </row>
    <row r="32" ht="14.25" customHeight="1">
      <c r="A32" s="585"/>
      <c r="B32" s="585"/>
      <c r="C32" s="585"/>
      <c r="D32" s="171"/>
      <c r="E32" s="171"/>
      <c r="F32" s="171"/>
      <c r="G32" s="585"/>
      <c r="H32" s="585"/>
      <c r="I32" s="585"/>
      <c r="J32" s="585"/>
      <c r="K32" s="585"/>
      <c r="L32" s="585"/>
    </row>
    <row r="33" ht="14.25" customHeight="1">
      <c r="A33" s="585"/>
      <c r="B33" s="585"/>
      <c r="C33" s="585"/>
      <c r="D33" s="171"/>
      <c r="E33" s="171"/>
      <c r="F33" s="171"/>
      <c r="G33" s="585"/>
      <c r="H33" s="585"/>
      <c r="I33" s="585"/>
      <c r="J33" s="585"/>
      <c r="K33" s="585"/>
      <c r="L33" s="585"/>
    </row>
    <row r="34" ht="14.25" customHeight="1">
      <c r="A34" s="585"/>
      <c r="B34" s="585"/>
      <c r="C34" s="585"/>
      <c r="D34" s="171"/>
      <c r="E34" s="171"/>
      <c r="F34" s="171"/>
      <c r="G34" s="585"/>
      <c r="H34" s="585"/>
      <c r="I34" s="585"/>
      <c r="J34" s="585"/>
      <c r="K34" s="585"/>
      <c r="L34" s="585"/>
    </row>
    <row r="35" ht="14.25" customHeight="1">
      <c r="A35" s="585"/>
      <c r="B35" s="585"/>
      <c r="C35" s="585"/>
      <c r="D35" s="171"/>
      <c r="E35" s="171"/>
      <c r="F35" s="171"/>
      <c r="G35" s="585"/>
      <c r="H35" s="585"/>
      <c r="I35" s="585"/>
      <c r="J35" s="585"/>
      <c r="K35" s="585"/>
      <c r="L35" s="585"/>
    </row>
    <row r="36" ht="14.25" customHeight="1">
      <c r="A36" s="585"/>
      <c r="B36" s="585"/>
      <c r="D36" s="171"/>
      <c r="E36" s="171"/>
      <c r="F36" s="171"/>
      <c r="G36" s="585"/>
      <c r="H36" s="585"/>
      <c r="I36" s="585"/>
      <c r="J36" s="585"/>
      <c r="K36" s="585"/>
      <c r="L36" s="585"/>
    </row>
    <row r="37" ht="14.25" customHeight="1">
      <c r="A37" s="585"/>
      <c r="B37" s="585"/>
      <c r="D37" s="171"/>
      <c r="E37" s="171"/>
      <c r="F37" s="171"/>
      <c r="G37" s="585"/>
      <c r="H37" s="585"/>
      <c r="I37" s="585"/>
      <c r="J37" s="585"/>
      <c r="K37" s="585"/>
      <c r="L37" s="585"/>
    </row>
    <row r="38" ht="14.25" customHeight="1">
      <c r="A38" s="585"/>
      <c r="B38" s="585"/>
      <c r="D38" s="171"/>
      <c r="E38" s="171"/>
      <c r="F38" s="171"/>
      <c r="G38" s="585"/>
      <c r="H38" s="585"/>
      <c r="I38" s="585"/>
      <c r="J38" s="585"/>
      <c r="K38" s="585"/>
      <c r="L38" s="585"/>
    </row>
    <row r="39" ht="14.25" customHeight="1">
      <c r="A39" s="585"/>
      <c r="B39" s="585"/>
      <c r="D39" s="171"/>
      <c r="E39" s="171"/>
      <c r="F39" s="171"/>
      <c r="G39" s="585"/>
      <c r="H39" s="585"/>
      <c r="I39" s="585"/>
      <c r="J39" s="585"/>
      <c r="K39" s="585"/>
      <c r="L39" s="585"/>
    </row>
    <row r="40" ht="14.25" customHeight="1">
      <c r="A40" s="585"/>
      <c r="B40" s="585"/>
      <c r="D40" s="171"/>
      <c r="E40" s="171"/>
      <c r="F40" s="171"/>
      <c r="G40" s="585"/>
      <c r="H40" s="585"/>
      <c r="I40" s="585"/>
      <c r="J40" s="585"/>
      <c r="K40" s="585"/>
      <c r="L40" s="585"/>
    </row>
    <row r="41" ht="14.25" customHeight="1">
      <c r="A41" s="585"/>
      <c r="B41" s="585"/>
      <c r="D41" s="171"/>
      <c r="E41" s="171"/>
      <c r="F41" s="171"/>
      <c r="G41" s="585"/>
      <c r="H41" s="585"/>
      <c r="I41" s="585"/>
      <c r="J41" s="585"/>
      <c r="K41" s="585"/>
      <c r="L41" s="585"/>
    </row>
    <row r="42" ht="14.25" customHeight="1">
      <c r="A42" s="585"/>
      <c r="B42" s="585"/>
      <c r="C42" s="585"/>
      <c r="D42" s="171"/>
      <c r="E42" s="171"/>
      <c r="F42" s="171"/>
      <c r="G42" s="585"/>
      <c r="H42" s="585"/>
      <c r="I42" s="585"/>
      <c r="J42" s="585"/>
      <c r="K42" s="585"/>
      <c r="L42" s="585"/>
    </row>
    <row r="43" ht="14.25" customHeight="1">
      <c r="A43" s="585"/>
      <c r="B43" s="585"/>
      <c r="C43" s="585"/>
      <c r="D43" s="171"/>
      <c r="E43" s="171"/>
      <c r="F43" s="171"/>
      <c r="G43" s="585"/>
      <c r="H43" s="585"/>
      <c r="I43" s="585"/>
      <c r="J43" s="585"/>
      <c r="K43" s="585"/>
      <c r="L43" s="585"/>
    </row>
    <row r="44" ht="14.25" customHeight="1">
      <c r="A44" s="585"/>
      <c r="B44" s="585"/>
      <c r="C44" s="585"/>
      <c r="D44" s="171"/>
      <c r="E44" s="171"/>
      <c r="F44" s="171"/>
      <c r="G44" s="585"/>
      <c r="H44" s="585"/>
      <c r="I44" s="585"/>
      <c r="J44" s="585"/>
      <c r="K44" s="585"/>
      <c r="L44" s="585"/>
    </row>
    <row r="45" ht="14.25" customHeight="1">
      <c r="A45" s="585"/>
      <c r="B45" s="585"/>
      <c r="C45" s="585"/>
      <c r="D45" s="171"/>
      <c r="E45" s="171"/>
      <c r="F45" s="171"/>
      <c r="G45" s="585"/>
      <c r="H45" s="585"/>
      <c r="I45" s="585"/>
      <c r="J45" s="585"/>
      <c r="K45" s="585"/>
      <c r="L45" s="585"/>
    </row>
    <row r="46" ht="14.25" customHeight="1">
      <c r="A46" s="585"/>
      <c r="B46" s="585"/>
      <c r="C46" s="585"/>
      <c r="D46" s="171"/>
      <c r="E46" s="171"/>
      <c r="F46" s="171"/>
      <c r="G46" s="585"/>
      <c r="H46" s="585"/>
      <c r="I46" s="585"/>
      <c r="J46" s="585"/>
      <c r="K46" s="585"/>
      <c r="L46" s="585"/>
    </row>
    <row r="47" ht="14.25" customHeight="1">
      <c r="A47" s="585"/>
      <c r="B47" s="585"/>
      <c r="C47" s="585"/>
      <c r="D47" s="171"/>
      <c r="E47" s="171"/>
      <c r="F47" s="171"/>
      <c r="G47" s="585"/>
      <c r="H47" s="585"/>
      <c r="I47" s="585"/>
      <c r="J47" s="585"/>
      <c r="K47" s="585"/>
      <c r="L47" s="585"/>
    </row>
    <row r="48" ht="14.25" customHeight="1">
      <c r="A48" s="585"/>
      <c r="B48" s="585"/>
      <c r="C48" s="585"/>
      <c r="D48" s="171"/>
      <c r="E48" s="171"/>
      <c r="F48" s="171"/>
      <c r="G48" s="585"/>
      <c r="H48" s="585"/>
      <c r="I48" s="585"/>
      <c r="J48" s="585"/>
      <c r="K48" s="585"/>
      <c r="L48" s="585"/>
    </row>
    <row r="49" ht="14.25" customHeight="1">
      <c r="A49" s="585"/>
      <c r="B49" s="585"/>
      <c r="C49" s="585"/>
      <c r="D49" s="171"/>
      <c r="E49" s="171"/>
      <c r="F49" s="171"/>
      <c r="G49" s="585"/>
      <c r="H49" s="585"/>
      <c r="I49" s="585"/>
      <c r="J49" s="585"/>
      <c r="K49" s="585"/>
      <c r="L49" s="585"/>
    </row>
    <row r="50" ht="14.25" customHeight="1">
      <c r="A50" s="585"/>
      <c r="B50" s="585"/>
      <c r="C50" s="585"/>
      <c r="D50" s="171"/>
      <c r="E50" s="171"/>
      <c r="F50" s="171"/>
      <c r="G50" s="585"/>
      <c r="H50" s="585"/>
      <c r="I50" s="585"/>
      <c r="J50" s="585"/>
      <c r="K50" s="585"/>
      <c r="L50" s="585"/>
    </row>
    <row r="51" ht="14.25" customHeight="1">
      <c r="A51" s="585"/>
      <c r="B51" s="585"/>
      <c r="C51" s="585"/>
      <c r="D51" s="171"/>
      <c r="E51" s="171"/>
      <c r="F51" s="171"/>
      <c r="G51" s="585"/>
      <c r="H51" s="585"/>
      <c r="I51" s="585"/>
      <c r="J51" s="585"/>
      <c r="K51" s="585"/>
      <c r="L51" s="585"/>
    </row>
    <row r="52" ht="14.25" customHeight="1">
      <c r="A52" s="585"/>
      <c r="B52" s="585"/>
      <c r="C52" s="585"/>
      <c r="D52" s="171"/>
      <c r="E52" s="171"/>
      <c r="F52" s="171"/>
      <c r="G52" s="585"/>
      <c r="H52" s="585"/>
      <c r="I52" s="585"/>
      <c r="J52" s="585"/>
      <c r="K52" s="585"/>
      <c r="L52" s="585"/>
    </row>
    <row r="53" ht="14.25" customHeight="1">
      <c r="A53" s="585"/>
      <c r="B53" s="585"/>
      <c r="C53" s="585"/>
      <c r="D53" s="171"/>
      <c r="E53" s="171"/>
      <c r="F53" s="171"/>
      <c r="G53" s="585"/>
      <c r="H53" s="585"/>
      <c r="I53" s="585"/>
      <c r="J53" s="585"/>
      <c r="K53" s="585"/>
      <c r="L53" s="585"/>
    </row>
    <row r="54" ht="14.25" customHeight="1">
      <c r="A54" s="585"/>
      <c r="B54" s="585"/>
      <c r="C54" s="585"/>
      <c r="D54" s="171"/>
      <c r="E54" s="171"/>
      <c r="F54" s="171"/>
      <c r="G54" s="585"/>
      <c r="H54" s="585"/>
      <c r="I54" s="585"/>
      <c r="J54" s="585"/>
      <c r="K54" s="585"/>
      <c r="L54" s="585"/>
    </row>
    <row r="55" ht="14.25" customHeight="1">
      <c r="A55" s="585"/>
      <c r="B55" s="585"/>
      <c r="C55" s="585"/>
      <c r="D55" s="171"/>
      <c r="E55" s="171"/>
      <c r="F55" s="171"/>
      <c r="G55" s="585"/>
      <c r="H55" s="585"/>
      <c r="I55" s="585"/>
      <c r="J55" s="585"/>
      <c r="K55" s="585"/>
      <c r="L55" s="585"/>
    </row>
    <row r="56" ht="14.25" customHeight="1">
      <c r="A56" s="585"/>
      <c r="B56" s="585"/>
      <c r="C56" s="585"/>
      <c r="D56" s="171"/>
      <c r="E56" s="171"/>
      <c r="F56" s="171"/>
      <c r="G56" s="585"/>
      <c r="H56" s="585"/>
      <c r="I56" s="585"/>
      <c r="J56" s="585"/>
      <c r="K56" s="585"/>
      <c r="L56" s="585"/>
    </row>
    <row r="57" ht="14.25" customHeight="1">
      <c r="A57" s="585"/>
      <c r="B57" s="585"/>
      <c r="C57" s="585"/>
      <c r="D57" s="171"/>
      <c r="E57" s="171"/>
      <c r="F57" s="171"/>
      <c r="G57" s="585"/>
      <c r="H57" s="585"/>
      <c r="I57" s="585"/>
      <c r="J57" s="585"/>
      <c r="K57" s="585"/>
      <c r="L57" s="585"/>
    </row>
    <row r="58" ht="14.25" customHeight="1">
      <c r="A58" s="585"/>
      <c r="B58" s="585"/>
      <c r="C58" s="585"/>
      <c r="D58" s="171"/>
      <c r="E58" s="171"/>
      <c r="F58" s="171"/>
      <c r="G58" s="585"/>
      <c r="H58" s="585"/>
      <c r="I58" s="585"/>
      <c r="J58" s="585"/>
      <c r="K58" s="585"/>
      <c r="L58" s="585"/>
    </row>
    <row r="59" ht="14.25" customHeight="1">
      <c r="A59" s="585"/>
      <c r="B59" s="585"/>
      <c r="C59" s="585"/>
      <c r="D59" s="171"/>
      <c r="E59" s="171"/>
      <c r="F59" s="171"/>
      <c r="G59" s="585"/>
      <c r="H59" s="585"/>
      <c r="I59" s="585"/>
      <c r="J59" s="585"/>
      <c r="K59" s="585"/>
      <c r="L59" s="585"/>
    </row>
    <row r="60" ht="14.25" customHeight="1">
      <c r="A60" s="585"/>
      <c r="B60" s="585"/>
      <c r="C60" s="585"/>
      <c r="D60" s="171"/>
      <c r="E60" s="171"/>
      <c r="F60" s="171"/>
      <c r="G60" s="585"/>
      <c r="H60" s="585"/>
      <c r="I60" s="585"/>
      <c r="J60" s="585"/>
      <c r="K60" s="585"/>
      <c r="L60" s="585"/>
    </row>
    <row r="61" ht="14.25" customHeight="1">
      <c r="A61" s="585"/>
      <c r="B61" s="585"/>
      <c r="C61" s="585"/>
      <c r="D61" s="171"/>
      <c r="E61" s="171"/>
      <c r="F61" s="171"/>
      <c r="G61" s="585"/>
      <c r="H61" s="585"/>
      <c r="I61" s="585"/>
      <c r="J61" s="585"/>
      <c r="K61" s="585"/>
      <c r="L61" s="585"/>
    </row>
    <row r="62" ht="14.25" customHeight="1">
      <c r="A62" s="585"/>
      <c r="B62" s="585"/>
      <c r="C62" s="585"/>
      <c r="D62" s="171"/>
      <c r="E62" s="171"/>
      <c r="F62" s="171"/>
      <c r="G62" s="585"/>
      <c r="H62" s="585"/>
      <c r="I62" s="585"/>
      <c r="J62" s="585"/>
      <c r="K62" s="585"/>
      <c r="L62" s="585"/>
    </row>
    <row r="63" ht="14.25" customHeight="1">
      <c r="A63" s="585"/>
      <c r="B63" s="585"/>
      <c r="C63" s="585"/>
      <c r="D63" s="171"/>
      <c r="E63" s="171"/>
      <c r="F63" s="171"/>
      <c r="G63" s="585"/>
      <c r="H63" s="585"/>
      <c r="I63" s="585"/>
      <c r="J63" s="585"/>
      <c r="K63" s="585"/>
      <c r="L63" s="585"/>
    </row>
    <row r="64" ht="14.25" customHeight="1">
      <c r="A64" s="585"/>
      <c r="B64" s="585"/>
      <c r="C64" s="585"/>
      <c r="D64" s="171"/>
      <c r="E64" s="171"/>
      <c r="F64" s="171"/>
      <c r="G64" s="585"/>
      <c r="H64" s="585"/>
      <c r="I64" s="585"/>
      <c r="J64" s="585"/>
      <c r="K64" s="585"/>
      <c r="L64" s="585"/>
    </row>
    <row r="65" ht="14.25" customHeight="1">
      <c r="A65" s="585"/>
      <c r="B65" s="585"/>
      <c r="C65" s="585"/>
      <c r="D65" s="171"/>
      <c r="E65" s="171"/>
      <c r="F65" s="171"/>
      <c r="G65" s="585"/>
      <c r="H65" s="585"/>
      <c r="I65" s="585"/>
      <c r="J65" s="585"/>
      <c r="K65" s="585"/>
      <c r="L65" s="585"/>
    </row>
    <row r="66" ht="14.25" customHeight="1">
      <c r="A66" s="585"/>
      <c r="B66" s="585"/>
      <c r="C66" s="585"/>
      <c r="D66" s="171"/>
      <c r="E66" s="171"/>
      <c r="F66" s="171"/>
      <c r="G66" s="585"/>
      <c r="H66" s="585"/>
      <c r="I66" s="585"/>
      <c r="J66" s="585"/>
      <c r="K66" s="585"/>
      <c r="L66" s="585"/>
    </row>
    <row r="67" ht="14.25" customHeight="1">
      <c r="A67" s="585"/>
      <c r="B67" s="585"/>
      <c r="C67" s="585"/>
      <c r="D67" s="171"/>
      <c r="E67" s="171"/>
      <c r="F67" s="171"/>
      <c r="G67" s="585"/>
      <c r="H67" s="585"/>
      <c r="I67" s="585"/>
      <c r="J67" s="585"/>
      <c r="K67" s="585"/>
      <c r="L67" s="585"/>
    </row>
    <row r="68" ht="14.25" customHeight="1">
      <c r="A68" s="585"/>
      <c r="B68" s="585"/>
      <c r="C68" s="585"/>
      <c r="D68" s="171"/>
      <c r="E68" s="171"/>
      <c r="F68" s="171"/>
      <c r="G68" s="585"/>
      <c r="H68" s="585"/>
      <c r="I68" s="585"/>
      <c r="J68" s="585"/>
      <c r="K68" s="585"/>
      <c r="L68" s="585"/>
    </row>
    <row r="69" ht="14.25" customHeight="1">
      <c r="A69" s="585"/>
      <c r="B69" s="585"/>
      <c r="C69" s="585"/>
      <c r="D69" s="171"/>
      <c r="E69" s="171"/>
      <c r="F69" s="171"/>
      <c r="G69" s="585"/>
      <c r="H69" s="585"/>
      <c r="I69" s="585"/>
      <c r="J69" s="585"/>
      <c r="K69" s="585"/>
      <c r="L69" s="585"/>
    </row>
    <row r="70" ht="14.25" customHeight="1">
      <c r="A70" s="585"/>
      <c r="B70" s="585"/>
      <c r="C70" s="585"/>
      <c r="D70" s="171"/>
      <c r="E70" s="171"/>
      <c r="F70" s="171"/>
      <c r="G70" s="585"/>
      <c r="H70" s="585"/>
      <c r="I70" s="585"/>
      <c r="J70" s="585"/>
      <c r="K70" s="585"/>
      <c r="L70" s="585"/>
    </row>
    <row r="71" ht="14.25" customHeight="1">
      <c r="A71" s="585"/>
      <c r="B71" s="585"/>
      <c r="C71" s="585"/>
      <c r="D71" s="171"/>
      <c r="E71" s="171"/>
      <c r="F71" s="171"/>
      <c r="G71" s="585"/>
      <c r="H71" s="585"/>
      <c r="I71" s="585"/>
      <c r="J71" s="585"/>
      <c r="K71" s="585"/>
      <c r="L71" s="585"/>
    </row>
    <row r="72" ht="14.25" customHeight="1">
      <c r="A72" s="585"/>
      <c r="B72" s="585"/>
      <c r="C72" s="585"/>
      <c r="D72" s="171"/>
      <c r="E72" s="171"/>
      <c r="F72" s="171"/>
      <c r="G72" s="585"/>
      <c r="H72" s="585"/>
      <c r="I72" s="585"/>
      <c r="J72" s="585"/>
      <c r="K72" s="585"/>
      <c r="L72" s="585"/>
    </row>
    <row r="73" ht="14.25" customHeight="1">
      <c r="A73" s="585"/>
      <c r="B73" s="585"/>
      <c r="C73" s="585"/>
      <c r="D73" s="171"/>
      <c r="E73" s="171"/>
      <c r="F73" s="171"/>
      <c r="G73" s="585"/>
      <c r="H73" s="585"/>
      <c r="I73" s="585"/>
      <c r="J73" s="585"/>
      <c r="K73" s="585"/>
      <c r="L73" s="585"/>
    </row>
    <row r="74" ht="14.25" customHeight="1">
      <c r="A74" s="585"/>
      <c r="B74" s="585"/>
      <c r="C74" s="585"/>
      <c r="D74" s="171"/>
      <c r="E74" s="171"/>
      <c r="F74" s="171"/>
      <c r="G74" s="585"/>
      <c r="H74" s="585"/>
      <c r="I74" s="585"/>
      <c r="J74" s="585"/>
      <c r="K74" s="585"/>
      <c r="L74" s="585"/>
    </row>
    <row r="75" ht="14.25" customHeight="1">
      <c r="A75" s="585"/>
      <c r="B75" s="585"/>
      <c r="C75" s="585"/>
      <c r="D75" s="171"/>
      <c r="E75" s="171"/>
      <c r="F75" s="171"/>
      <c r="G75" s="585"/>
      <c r="H75" s="585"/>
      <c r="I75" s="585"/>
      <c r="J75" s="585"/>
      <c r="K75" s="585"/>
      <c r="L75" s="585"/>
    </row>
    <row r="76" ht="14.25" customHeight="1">
      <c r="A76" s="585"/>
      <c r="B76" s="585"/>
      <c r="C76" s="585"/>
      <c r="D76" s="171"/>
      <c r="E76" s="171"/>
      <c r="F76" s="171"/>
      <c r="G76" s="585"/>
      <c r="H76" s="585"/>
      <c r="I76" s="585"/>
      <c r="J76" s="585"/>
      <c r="K76" s="585"/>
      <c r="L76" s="585"/>
    </row>
    <row r="77" ht="14.25" customHeight="1">
      <c r="A77" s="585"/>
      <c r="B77" s="585"/>
      <c r="C77" s="585"/>
      <c r="D77" s="171"/>
      <c r="E77" s="171"/>
      <c r="F77" s="171"/>
      <c r="G77" s="585"/>
      <c r="H77" s="585"/>
      <c r="I77" s="585"/>
      <c r="J77" s="585"/>
      <c r="K77" s="585"/>
      <c r="L77" s="585"/>
    </row>
    <row r="78" ht="14.25" customHeight="1">
      <c r="A78" s="585"/>
      <c r="B78" s="585"/>
      <c r="C78" s="585"/>
      <c r="D78" s="171"/>
      <c r="E78" s="171"/>
      <c r="F78" s="171"/>
      <c r="G78" s="585"/>
      <c r="H78" s="585"/>
      <c r="I78" s="585"/>
      <c r="J78" s="585"/>
      <c r="K78" s="585"/>
      <c r="L78" s="585"/>
    </row>
    <row r="79" ht="14.25" customHeight="1">
      <c r="A79" s="585"/>
      <c r="B79" s="585"/>
      <c r="C79" s="585"/>
      <c r="D79" s="171"/>
      <c r="E79" s="171"/>
      <c r="F79" s="171"/>
      <c r="G79" s="585"/>
      <c r="H79" s="585"/>
      <c r="I79" s="585"/>
      <c r="J79" s="585"/>
      <c r="K79" s="585"/>
      <c r="L79" s="585"/>
    </row>
    <row r="80" ht="14.25" customHeight="1">
      <c r="A80" s="585"/>
      <c r="B80" s="585"/>
      <c r="C80" s="585"/>
      <c r="D80" s="171"/>
      <c r="E80" s="171"/>
      <c r="F80" s="171"/>
      <c r="G80" s="585"/>
      <c r="H80" s="585"/>
      <c r="I80" s="585"/>
      <c r="J80" s="585"/>
      <c r="K80" s="585"/>
      <c r="L80" s="585"/>
    </row>
    <row r="81" ht="14.25" customHeight="1">
      <c r="A81" s="585"/>
      <c r="B81" s="585"/>
      <c r="C81" s="585"/>
      <c r="D81" s="171"/>
      <c r="E81" s="171"/>
      <c r="F81" s="171"/>
      <c r="G81" s="585"/>
      <c r="H81" s="585"/>
      <c r="I81" s="585"/>
      <c r="J81" s="585"/>
      <c r="K81" s="585"/>
      <c r="L81" s="585"/>
    </row>
    <row r="82" ht="14.25" customHeight="1">
      <c r="A82" s="585"/>
      <c r="B82" s="585"/>
      <c r="C82" s="585"/>
      <c r="D82" s="171"/>
      <c r="E82" s="171"/>
      <c r="F82" s="171"/>
      <c r="G82" s="585"/>
      <c r="H82" s="585"/>
      <c r="I82" s="585"/>
      <c r="J82" s="585"/>
      <c r="K82" s="585"/>
      <c r="L82" s="585"/>
    </row>
    <row r="83" ht="14.25" customHeight="1">
      <c r="A83" s="585"/>
      <c r="B83" s="585"/>
      <c r="C83" s="585"/>
      <c r="D83" s="171"/>
      <c r="E83" s="171"/>
      <c r="F83" s="171"/>
      <c r="G83" s="585"/>
      <c r="H83" s="585"/>
      <c r="I83" s="585"/>
      <c r="J83" s="585"/>
      <c r="K83" s="585"/>
      <c r="L83" s="585"/>
    </row>
    <row r="84" ht="14.25" customHeight="1">
      <c r="A84" s="585"/>
      <c r="B84" s="585"/>
      <c r="C84" s="585"/>
      <c r="D84" s="171"/>
      <c r="E84" s="171"/>
      <c r="F84" s="171"/>
      <c r="G84" s="585"/>
      <c r="H84" s="585"/>
      <c r="I84" s="585"/>
      <c r="J84" s="585"/>
      <c r="K84" s="585"/>
      <c r="L84" s="585"/>
    </row>
    <row r="85" ht="14.25" customHeight="1">
      <c r="A85" s="585"/>
      <c r="B85" s="585"/>
      <c r="C85" s="585"/>
      <c r="D85" s="171"/>
      <c r="E85" s="171"/>
      <c r="F85" s="171"/>
      <c r="G85" s="585"/>
      <c r="H85" s="585"/>
      <c r="I85" s="585"/>
      <c r="J85" s="585"/>
      <c r="K85" s="585"/>
      <c r="L85" s="585"/>
    </row>
    <row r="86" ht="14.25" customHeight="1">
      <c r="A86" s="585"/>
      <c r="B86" s="585"/>
      <c r="C86" s="585"/>
      <c r="D86" s="171"/>
      <c r="E86" s="171"/>
      <c r="F86" s="171"/>
      <c r="G86" s="585"/>
      <c r="H86" s="585"/>
      <c r="I86" s="585"/>
      <c r="J86" s="585"/>
      <c r="K86" s="585"/>
      <c r="L86" s="585"/>
    </row>
    <row r="87" ht="14.25" customHeight="1">
      <c r="A87" s="585"/>
      <c r="B87" s="585"/>
      <c r="C87" s="585"/>
      <c r="D87" s="171"/>
      <c r="E87" s="171"/>
      <c r="F87" s="171"/>
      <c r="G87" s="585"/>
      <c r="H87" s="585"/>
      <c r="I87" s="585"/>
      <c r="J87" s="585"/>
      <c r="K87" s="585"/>
      <c r="L87" s="585"/>
    </row>
    <row r="88" ht="14.25" customHeight="1">
      <c r="A88" s="585"/>
      <c r="B88" s="585"/>
      <c r="C88" s="585"/>
      <c r="D88" s="171"/>
      <c r="E88" s="171"/>
      <c r="F88" s="171"/>
      <c r="G88" s="585"/>
      <c r="H88" s="585"/>
      <c r="I88" s="585"/>
      <c r="J88" s="585"/>
      <c r="K88" s="585"/>
      <c r="L88" s="585"/>
    </row>
    <row r="89" ht="14.25" customHeight="1">
      <c r="A89" s="585"/>
      <c r="B89" s="585"/>
      <c r="C89" s="585"/>
      <c r="D89" s="171"/>
      <c r="E89" s="171"/>
      <c r="F89" s="171"/>
      <c r="G89" s="585"/>
      <c r="H89" s="585"/>
      <c r="I89" s="585"/>
      <c r="J89" s="585"/>
      <c r="K89" s="585"/>
      <c r="L89" s="585"/>
    </row>
    <row r="90" ht="14.25" customHeight="1">
      <c r="A90" s="585"/>
      <c r="B90" s="585"/>
      <c r="C90" s="585"/>
      <c r="D90" s="171"/>
      <c r="E90" s="171"/>
      <c r="F90" s="171"/>
      <c r="G90" s="585"/>
      <c r="H90" s="585"/>
      <c r="I90" s="585"/>
      <c r="J90" s="585"/>
      <c r="K90" s="585"/>
      <c r="L90" s="585"/>
    </row>
    <row r="91" ht="14.25" customHeight="1">
      <c r="A91" s="585"/>
      <c r="B91" s="585"/>
      <c r="C91" s="585"/>
      <c r="D91" s="171"/>
      <c r="E91" s="171"/>
      <c r="F91" s="171"/>
      <c r="G91" s="585"/>
      <c r="H91" s="585"/>
      <c r="I91" s="585"/>
      <c r="J91" s="585"/>
      <c r="K91" s="585"/>
      <c r="L91" s="585"/>
    </row>
    <row r="92" ht="14.25" customHeight="1">
      <c r="A92" s="585"/>
      <c r="B92" s="585"/>
      <c r="C92" s="585"/>
      <c r="D92" s="171"/>
      <c r="E92" s="171"/>
      <c r="F92" s="171"/>
      <c r="G92" s="585"/>
      <c r="H92" s="585"/>
      <c r="I92" s="585"/>
      <c r="J92" s="585"/>
      <c r="K92" s="585"/>
      <c r="L92" s="585"/>
    </row>
    <row r="93" ht="14.25" customHeight="1">
      <c r="A93" s="585"/>
      <c r="B93" s="585"/>
      <c r="C93" s="585"/>
      <c r="D93" s="171"/>
      <c r="E93" s="171"/>
      <c r="F93" s="171"/>
      <c r="G93" s="585"/>
      <c r="H93" s="585"/>
      <c r="I93" s="585"/>
      <c r="J93" s="585"/>
      <c r="K93" s="585"/>
      <c r="L93" s="585"/>
    </row>
    <row r="94" ht="14.25" customHeight="1">
      <c r="A94" s="585"/>
      <c r="B94" s="585"/>
      <c r="C94" s="585"/>
      <c r="D94" s="171"/>
      <c r="E94" s="171"/>
      <c r="F94" s="171"/>
      <c r="G94" s="585"/>
      <c r="H94" s="585"/>
      <c r="I94" s="585"/>
      <c r="J94" s="585"/>
      <c r="K94" s="585"/>
      <c r="L94" s="585"/>
    </row>
    <row r="95" ht="14.25" customHeight="1">
      <c r="A95" s="585"/>
      <c r="B95" s="585"/>
      <c r="C95" s="585"/>
      <c r="D95" s="171"/>
      <c r="E95" s="171"/>
      <c r="F95" s="171"/>
      <c r="G95" s="585"/>
      <c r="H95" s="585"/>
      <c r="I95" s="585"/>
      <c r="J95" s="585"/>
      <c r="K95" s="585"/>
      <c r="L95" s="585"/>
    </row>
    <row r="96" ht="14.25" customHeight="1">
      <c r="A96" s="585"/>
      <c r="B96" s="585"/>
      <c r="C96" s="585"/>
      <c r="D96" s="171"/>
      <c r="E96" s="171"/>
      <c r="F96" s="171"/>
      <c r="G96" s="585"/>
      <c r="H96" s="585"/>
      <c r="I96" s="585"/>
      <c r="J96" s="585"/>
      <c r="K96" s="585"/>
      <c r="L96" s="585"/>
    </row>
    <row r="97" ht="14.25" customHeight="1">
      <c r="A97" s="585"/>
      <c r="B97" s="585"/>
      <c r="C97" s="585"/>
      <c r="D97" s="171"/>
      <c r="E97" s="171"/>
      <c r="F97" s="171"/>
      <c r="G97" s="585"/>
      <c r="H97" s="585"/>
      <c r="I97" s="585"/>
      <c r="J97" s="585"/>
      <c r="K97" s="585"/>
      <c r="L97" s="585"/>
    </row>
    <row r="98" ht="14.25" customHeight="1">
      <c r="A98" s="585"/>
      <c r="B98" s="585"/>
      <c r="C98" s="585"/>
      <c r="D98" s="171"/>
      <c r="E98" s="171"/>
      <c r="F98" s="171"/>
      <c r="G98" s="585"/>
      <c r="H98" s="585"/>
      <c r="I98" s="585"/>
      <c r="J98" s="585"/>
      <c r="K98" s="585"/>
      <c r="L98" s="585"/>
    </row>
    <row r="99" ht="14.25" customHeight="1">
      <c r="A99" s="585"/>
      <c r="B99" s="585"/>
      <c r="C99" s="585"/>
      <c r="D99" s="171"/>
      <c r="E99" s="171"/>
      <c r="F99" s="171"/>
      <c r="G99" s="585"/>
      <c r="H99" s="585"/>
      <c r="I99" s="585"/>
      <c r="J99" s="585"/>
      <c r="K99" s="585"/>
      <c r="L99" s="585"/>
    </row>
    <row r="100" ht="14.25" customHeight="1">
      <c r="A100" s="585"/>
      <c r="B100" s="585"/>
      <c r="C100" s="585"/>
      <c r="D100" s="171"/>
      <c r="E100" s="171"/>
      <c r="F100" s="171"/>
      <c r="G100" s="585"/>
      <c r="H100" s="585"/>
      <c r="I100" s="585"/>
      <c r="J100" s="585"/>
      <c r="K100" s="585"/>
      <c r="L100" s="585"/>
    </row>
    <row r="101" ht="14.25" customHeight="1">
      <c r="A101" s="585"/>
      <c r="B101" s="585"/>
      <c r="C101" s="585"/>
      <c r="D101" s="171"/>
      <c r="E101" s="171"/>
      <c r="F101" s="171"/>
      <c r="G101" s="585"/>
      <c r="H101" s="585"/>
      <c r="I101" s="585"/>
      <c r="J101" s="585"/>
      <c r="K101" s="585"/>
      <c r="L101" s="585"/>
    </row>
    <row r="102" ht="14.25" customHeight="1">
      <c r="A102" s="585"/>
      <c r="B102" s="585"/>
      <c r="C102" s="585"/>
      <c r="D102" s="171"/>
      <c r="E102" s="171"/>
      <c r="F102" s="171"/>
      <c r="G102" s="585"/>
      <c r="H102" s="585"/>
      <c r="I102" s="585"/>
      <c r="J102" s="585"/>
      <c r="K102" s="585"/>
      <c r="L102" s="585"/>
    </row>
    <row r="103" ht="14.25" customHeight="1">
      <c r="A103" s="585"/>
      <c r="B103" s="585"/>
      <c r="C103" s="585"/>
      <c r="D103" s="171"/>
      <c r="E103" s="171"/>
      <c r="F103" s="171"/>
      <c r="G103" s="585"/>
      <c r="H103" s="585"/>
      <c r="I103" s="585"/>
      <c r="J103" s="585"/>
      <c r="K103" s="585"/>
      <c r="L103" s="585"/>
    </row>
    <row r="104" ht="14.25" customHeight="1">
      <c r="A104" s="585"/>
      <c r="B104" s="585"/>
      <c r="C104" s="585"/>
      <c r="D104" s="171"/>
      <c r="E104" s="171"/>
      <c r="F104" s="171"/>
      <c r="G104" s="585"/>
      <c r="H104" s="585"/>
      <c r="I104" s="585"/>
      <c r="J104" s="585"/>
      <c r="K104" s="585"/>
      <c r="L104" s="585"/>
    </row>
    <row r="105" ht="14.25" customHeight="1">
      <c r="A105" s="585"/>
      <c r="B105" s="585"/>
      <c r="C105" s="585"/>
      <c r="D105" s="171"/>
      <c r="E105" s="171"/>
      <c r="F105" s="171"/>
      <c r="G105" s="585"/>
      <c r="H105" s="585"/>
      <c r="I105" s="585"/>
      <c r="J105" s="585"/>
      <c r="K105" s="585"/>
      <c r="L105" s="585"/>
    </row>
    <row r="106" ht="14.25" customHeight="1">
      <c r="A106" s="585"/>
      <c r="B106" s="585"/>
      <c r="C106" s="585"/>
      <c r="D106" s="171"/>
      <c r="E106" s="171"/>
      <c r="F106" s="171"/>
      <c r="G106" s="585"/>
      <c r="H106" s="585"/>
      <c r="I106" s="585"/>
      <c r="J106" s="585"/>
      <c r="K106" s="585"/>
      <c r="L106" s="585"/>
    </row>
    <row r="107" ht="14.25" customHeight="1">
      <c r="A107" s="585"/>
      <c r="B107" s="585"/>
      <c r="C107" s="585"/>
      <c r="D107" s="171"/>
      <c r="E107" s="171"/>
      <c r="F107" s="171"/>
      <c r="G107" s="585"/>
      <c r="H107" s="585"/>
      <c r="I107" s="585"/>
      <c r="J107" s="585"/>
      <c r="K107" s="585"/>
      <c r="L107" s="585"/>
    </row>
    <row r="108" ht="14.25" customHeight="1">
      <c r="A108" s="585"/>
      <c r="B108" s="585"/>
      <c r="C108" s="585"/>
      <c r="D108" s="171"/>
      <c r="E108" s="171"/>
      <c r="F108" s="171"/>
      <c r="G108" s="585"/>
      <c r="H108" s="585"/>
      <c r="I108" s="585"/>
      <c r="J108" s="585"/>
      <c r="K108" s="585"/>
      <c r="L108" s="585"/>
    </row>
    <row r="109" ht="14.25" customHeight="1">
      <c r="A109" s="585"/>
      <c r="B109" s="585"/>
      <c r="C109" s="585"/>
      <c r="D109" s="171"/>
      <c r="E109" s="171"/>
      <c r="F109" s="171"/>
      <c r="G109" s="585"/>
      <c r="H109" s="585"/>
      <c r="I109" s="585"/>
      <c r="J109" s="585"/>
      <c r="K109" s="585"/>
      <c r="L109" s="585"/>
    </row>
    <row r="110" ht="14.25" customHeight="1">
      <c r="A110" s="585"/>
      <c r="B110" s="585"/>
      <c r="C110" s="585"/>
      <c r="D110" s="171"/>
      <c r="E110" s="171"/>
      <c r="F110" s="171"/>
      <c r="G110" s="585"/>
      <c r="H110" s="585"/>
      <c r="I110" s="585"/>
      <c r="J110" s="585"/>
      <c r="K110" s="585"/>
      <c r="L110" s="585"/>
    </row>
    <row r="111" ht="14.25" customHeight="1">
      <c r="A111" s="585"/>
      <c r="B111" s="585"/>
      <c r="C111" s="585"/>
      <c r="D111" s="171"/>
      <c r="E111" s="171"/>
      <c r="F111" s="171"/>
      <c r="G111" s="585"/>
      <c r="H111" s="585"/>
      <c r="I111" s="585"/>
      <c r="J111" s="585"/>
      <c r="K111" s="585"/>
      <c r="L111" s="585"/>
    </row>
    <row r="112" ht="14.25" customHeight="1">
      <c r="A112" s="585"/>
      <c r="B112" s="585"/>
      <c r="C112" s="585"/>
      <c r="D112" s="171"/>
      <c r="E112" s="171"/>
      <c r="F112" s="171"/>
      <c r="G112" s="585"/>
      <c r="H112" s="585"/>
      <c r="I112" s="585"/>
      <c r="J112" s="585"/>
      <c r="K112" s="585"/>
      <c r="L112" s="585"/>
    </row>
    <row r="113" ht="14.25" customHeight="1">
      <c r="A113" s="585"/>
      <c r="B113" s="585"/>
      <c r="C113" s="585"/>
      <c r="D113" s="171"/>
      <c r="E113" s="171"/>
      <c r="F113" s="171"/>
      <c r="G113" s="585"/>
      <c r="H113" s="585"/>
      <c r="I113" s="585"/>
      <c r="J113" s="585"/>
      <c r="K113" s="585"/>
      <c r="L113" s="585"/>
    </row>
    <row r="114" ht="14.25" customHeight="1">
      <c r="A114" s="585"/>
      <c r="B114" s="585"/>
      <c r="C114" s="585"/>
      <c r="D114" s="171"/>
      <c r="E114" s="171"/>
      <c r="F114" s="171"/>
      <c r="G114" s="585"/>
      <c r="H114" s="585"/>
      <c r="I114" s="585"/>
      <c r="J114" s="585"/>
      <c r="K114" s="585"/>
      <c r="L114" s="585"/>
    </row>
    <row r="115" ht="14.25" customHeight="1">
      <c r="A115" s="585"/>
      <c r="B115" s="585"/>
      <c r="C115" s="585"/>
      <c r="D115" s="171"/>
      <c r="E115" s="171"/>
      <c r="F115" s="171"/>
      <c r="G115" s="585"/>
      <c r="H115" s="585"/>
      <c r="I115" s="585"/>
      <c r="J115" s="585"/>
      <c r="K115" s="585"/>
      <c r="L115" s="585"/>
    </row>
    <row r="116" ht="14.25" customHeight="1">
      <c r="A116" s="585"/>
      <c r="B116" s="585"/>
      <c r="C116" s="585"/>
      <c r="D116" s="171"/>
      <c r="E116" s="171"/>
      <c r="F116" s="171"/>
      <c r="G116" s="585"/>
      <c r="H116" s="585"/>
      <c r="I116" s="585"/>
      <c r="J116" s="585"/>
      <c r="K116" s="585"/>
      <c r="L116" s="585"/>
    </row>
    <row r="117" ht="14.25" customHeight="1">
      <c r="A117" s="585"/>
      <c r="B117" s="585"/>
      <c r="C117" s="585"/>
      <c r="D117" s="171"/>
      <c r="E117" s="171"/>
      <c r="F117" s="171"/>
      <c r="G117" s="585"/>
      <c r="H117" s="585"/>
      <c r="I117" s="585"/>
      <c r="J117" s="585"/>
      <c r="K117" s="585"/>
      <c r="L117" s="585"/>
    </row>
    <row r="118" ht="14.25" customHeight="1">
      <c r="A118" s="585"/>
      <c r="B118" s="585"/>
      <c r="C118" s="585"/>
      <c r="D118" s="171"/>
      <c r="E118" s="171"/>
      <c r="F118" s="171"/>
      <c r="G118" s="585"/>
      <c r="H118" s="585"/>
      <c r="I118" s="585"/>
      <c r="J118" s="585"/>
      <c r="K118" s="585"/>
      <c r="L118" s="585"/>
    </row>
    <row r="119" ht="14.25" customHeight="1">
      <c r="A119" s="585"/>
      <c r="B119" s="585"/>
      <c r="C119" s="585"/>
      <c r="D119" s="171"/>
      <c r="E119" s="171"/>
      <c r="F119" s="171"/>
      <c r="G119" s="585"/>
      <c r="H119" s="585"/>
      <c r="I119" s="585"/>
      <c r="J119" s="585"/>
      <c r="K119" s="585"/>
      <c r="L119" s="585"/>
    </row>
    <row r="120" ht="14.25" customHeight="1">
      <c r="A120" s="585"/>
      <c r="B120" s="585"/>
      <c r="C120" s="585"/>
      <c r="D120" s="171"/>
      <c r="E120" s="171"/>
      <c r="F120" s="171"/>
      <c r="G120" s="585"/>
      <c r="H120" s="585"/>
      <c r="I120" s="585"/>
      <c r="J120" s="585"/>
      <c r="K120" s="585"/>
      <c r="L120" s="585"/>
    </row>
    <row r="121" ht="14.25" customHeight="1">
      <c r="A121" s="585"/>
      <c r="B121" s="585"/>
      <c r="C121" s="585"/>
      <c r="D121" s="171"/>
      <c r="E121" s="171"/>
      <c r="F121" s="171"/>
      <c r="G121" s="585"/>
      <c r="H121" s="585"/>
      <c r="I121" s="585"/>
      <c r="J121" s="585"/>
      <c r="K121" s="585"/>
      <c r="L121" s="585"/>
    </row>
    <row r="122" ht="14.25" customHeight="1">
      <c r="A122" s="585"/>
      <c r="B122" s="585"/>
      <c r="C122" s="585"/>
      <c r="D122" s="171"/>
      <c r="E122" s="171"/>
      <c r="F122" s="171"/>
      <c r="G122" s="585"/>
      <c r="H122" s="585"/>
      <c r="I122" s="585"/>
      <c r="J122" s="585"/>
      <c r="K122" s="585"/>
      <c r="L122" s="585"/>
    </row>
    <row r="123" ht="14.25" customHeight="1">
      <c r="A123" s="585"/>
      <c r="B123" s="585"/>
      <c r="C123" s="585"/>
      <c r="D123" s="171"/>
      <c r="E123" s="171"/>
      <c r="F123" s="171"/>
      <c r="G123" s="585"/>
      <c r="H123" s="585"/>
      <c r="I123" s="585"/>
      <c r="J123" s="585"/>
      <c r="K123" s="585"/>
      <c r="L123" s="585"/>
    </row>
    <row r="124" ht="14.25" customHeight="1">
      <c r="A124" s="585"/>
      <c r="B124" s="585"/>
      <c r="C124" s="585"/>
      <c r="D124" s="171"/>
      <c r="E124" s="171"/>
      <c r="F124" s="171"/>
      <c r="G124" s="585"/>
      <c r="H124" s="585"/>
      <c r="I124" s="585"/>
      <c r="J124" s="585"/>
      <c r="K124" s="585"/>
      <c r="L124" s="585"/>
    </row>
    <row r="125" ht="14.25" customHeight="1">
      <c r="A125" s="585"/>
      <c r="B125" s="585"/>
      <c r="C125" s="585"/>
      <c r="D125" s="171"/>
      <c r="E125" s="171"/>
      <c r="F125" s="171"/>
      <c r="G125" s="585"/>
      <c r="H125" s="585"/>
      <c r="I125" s="585"/>
      <c r="J125" s="585"/>
      <c r="K125" s="585"/>
      <c r="L125" s="585"/>
    </row>
    <row r="126" ht="14.25" customHeight="1">
      <c r="A126" s="585"/>
      <c r="B126" s="585"/>
      <c r="C126" s="585"/>
      <c r="D126" s="171"/>
      <c r="E126" s="171"/>
      <c r="F126" s="171"/>
      <c r="G126" s="585"/>
      <c r="H126" s="585"/>
      <c r="I126" s="585"/>
      <c r="J126" s="585"/>
      <c r="K126" s="585"/>
      <c r="L126" s="585"/>
    </row>
    <row r="127" ht="14.25" customHeight="1">
      <c r="A127" s="585"/>
      <c r="B127" s="585"/>
      <c r="C127" s="585"/>
      <c r="D127" s="171"/>
      <c r="E127" s="171"/>
      <c r="F127" s="171"/>
      <c r="G127" s="585"/>
      <c r="H127" s="585"/>
      <c r="I127" s="585"/>
      <c r="J127" s="585"/>
      <c r="K127" s="585"/>
      <c r="L127" s="585"/>
    </row>
    <row r="128" ht="14.25" customHeight="1">
      <c r="A128" s="585"/>
      <c r="B128" s="585"/>
      <c r="C128" s="585"/>
      <c r="D128" s="171"/>
      <c r="E128" s="171"/>
      <c r="F128" s="171"/>
      <c r="G128" s="585"/>
      <c r="H128" s="585"/>
      <c r="I128" s="585"/>
      <c r="J128" s="585"/>
      <c r="K128" s="585"/>
      <c r="L128" s="585"/>
    </row>
    <row r="129" ht="14.25" customHeight="1">
      <c r="A129" s="585"/>
      <c r="B129" s="585"/>
      <c r="C129" s="585"/>
      <c r="D129" s="171"/>
      <c r="E129" s="171"/>
      <c r="F129" s="171"/>
      <c r="G129" s="585"/>
      <c r="H129" s="585"/>
      <c r="I129" s="585"/>
      <c r="J129" s="585"/>
      <c r="K129" s="585"/>
      <c r="L129" s="585"/>
    </row>
    <row r="130" ht="14.25" customHeight="1">
      <c r="A130" s="585"/>
      <c r="B130" s="585"/>
      <c r="C130" s="585"/>
      <c r="D130" s="171"/>
      <c r="E130" s="171"/>
      <c r="F130" s="171"/>
      <c r="G130" s="585"/>
      <c r="H130" s="585"/>
      <c r="I130" s="585"/>
      <c r="J130" s="585"/>
      <c r="K130" s="585"/>
      <c r="L130" s="585"/>
    </row>
    <row r="131" ht="14.25" customHeight="1">
      <c r="A131" s="585"/>
      <c r="B131" s="585"/>
      <c r="C131" s="585"/>
      <c r="D131" s="171"/>
      <c r="E131" s="171"/>
      <c r="F131" s="171"/>
      <c r="G131" s="585"/>
      <c r="H131" s="585"/>
      <c r="I131" s="585"/>
      <c r="J131" s="585"/>
      <c r="K131" s="585"/>
      <c r="L131" s="585"/>
    </row>
    <row r="132" ht="14.25" customHeight="1">
      <c r="A132" s="585"/>
      <c r="B132" s="585"/>
      <c r="C132" s="585"/>
      <c r="D132" s="171"/>
      <c r="E132" s="171"/>
      <c r="F132" s="171"/>
      <c r="G132" s="585"/>
      <c r="H132" s="585"/>
      <c r="I132" s="585"/>
      <c r="J132" s="585"/>
      <c r="K132" s="585"/>
      <c r="L132" s="585"/>
    </row>
    <row r="133" ht="14.25" customHeight="1">
      <c r="A133" s="585"/>
      <c r="B133" s="585"/>
      <c r="C133" s="585"/>
      <c r="D133" s="171"/>
      <c r="E133" s="171"/>
      <c r="F133" s="171"/>
      <c r="G133" s="585"/>
      <c r="H133" s="585"/>
      <c r="I133" s="585"/>
      <c r="J133" s="585"/>
      <c r="K133" s="585"/>
      <c r="L133" s="585"/>
    </row>
    <row r="134" ht="14.25" customHeight="1">
      <c r="A134" s="585"/>
      <c r="B134" s="585"/>
      <c r="C134" s="585"/>
      <c r="D134" s="171"/>
      <c r="E134" s="171"/>
      <c r="F134" s="171"/>
      <c r="G134" s="585"/>
      <c r="H134" s="585"/>
      <c r="I134" s="585"/>
      <c r="J134" s="585"/>
      <c r="K134" s="585"/>
      <c r="L134" s="585"/>
    </row>
    <row r="135" ht="14.25" customHeight="1">
      <c r="A135" s="585"/>
      <c r="B135" s="585"/>
      <c r="C135" s="585"/>
      <c r="D135" s="171"/>
      <c r="E135" s="171"/>
      <c r="F135" s="171"/>
      <c r="G135" s="585"/>
      <c r="H135" s="585"/>
      <c r="I135" s="585"/>
      <c r="J135" s="585"/>
      <c r="K135" s="585"/>
      <c r="L135" s="585"/>
    </row>
    <row r="136" ht="14.25" customHeight="1">
      <c r="A136" s="585"/>
      <c r="B136" s="585"/>
      <c r="C136" s="585"/>
      <c r="D136" s="171"/>
      <c r="E136" s="171"/>
      <c r="F136" s="171"/>
      <c r="G136" s="585"/>
      <c r="H136" s="585"/>
      <c r="I136" s="585"/>
      <c r="J136" s="585"/>
      <c r="K136" s="585"/>
      <c r="L136" s="585"/>
    </row>
    <row r="137" ht="14.25" customHeight="1">
      <c r="A137" s="585"/>
      <c r="B137" s="585"/>
      <c r="C137" s="585"/>
      <c r="D137" s="171"/>
      <c r="E137" s="171"/>
      <c r="F137" s="171"/>
      <c r="G137" s="585"/>
      <c r="H137" s="585"/>
      <c r="I137" s="585"/>
      <c r="J137" s="585"/>
      <c r="K137" s="585"/>
      <c r="L137" s="585"/>
    </row>
    <row r="138" ht="14.25" customHeight="1">
      <c r="A138" s="585"/>
      <c r="B138" s="585"/>
      <c r="C138" s="585"/>
      <c r="D138" s="171"/>
      <c r="E138" s="171"/>
      <c r="F138" s="171"/>
      <c r="G138" s="585"/>
      <c r="H138" s="585"/>
      <c r="I138" s="585"/>
      <c r="J138" s="585"/>
      <c r="K138" s="585"/>
      <c r="L138" s="585"/>
    </row>
    <row r="139" ht="14.25" customHeight="1">
      <c r="A139" s="585"/>
      <c r="B139" s="585"/>
      <c r="C139" s="585"/>
      <c r="D139" s="171"/>
      <c r="E139" s="171"/>
      <c r="F139" s="171"/>
      <c r="G139" s="585"/>
      <c r="H139" s="585"/>
      <c r="I139" s="585"/>
      <c r="J139" s="585"/>
      <c r="K139" s="585"/>
      <c r="L139" s="585"/>
    </row>
    <row r="140" ht="14.25" customHeight="1">
      <c r="A140" s="585"/>
      <c r="B140" s="585"/>
      <c r="C140" s="585"/>
      <c r="D140" s="171"/>
      <c r="E140" s="171"/>
      <c r="F140" s="171"/>
      <c r="G140" s="585"/>
      <c r="H140" s="585"/>
      <c r="I140" s="585"/>
      <c r="J140" s="585"/>
      <c r="K140" s="585"/>
      <c r="L140" s="585"/>
    </row>
    <row r="141" ht="14.25" customHeight="1">
      <c r="A141" s="585"/>
      <c r="B141" s="585"/>
      <c r="C141" s="585"/>
      <c r="D141" s="171"/>
      <c r="E141" s="171"/>
      <c r="F141" s="171"/>
      <c r="G141" s="585"/>
      <c r="H141" s="585"/>
      <c r="I141" s="585"/>
      <c r="J141" s="585"/>
      <c r="K141" s="585"/>
      <c r="L141" s="585"/>
    </row>
    <row r="142" ht="14.25" customHeight="1">
      <c r="A142" s="585"/>
      <c r="B142" s="585"/>
      <c r="C142" s="585"/>
      <c r="D142" s="171"/>
      <c r="E142" s="171"/>
      <c r="F142" s="171"/>
      <c r="G142" s="585"/>
      <c r="H142" s="585"/>
      <c r="I142" s="585"/>
      <c r="J142" s="585"/>
      <c r="K142" s="585"/>
      <c r="L142" s="585"/>
    </row>
    <row r="143" ht="14.25" customHeight="1">
      <c r="A143" s="585"/>
      <c r="B143" s="585"/>
      <c r="C143" s="585"/>
      <c r="D143" s="171"/>
      <c r="E143" s="171"/>
      <c r="F143" s="171"/>
      <c r="G143" s="585"/>
      <c r="H143" s="585"/>
      <c r="I143" s="585"/>
      <c r="J143" s="585"/>
      <c r="K143" s="585"/>
      <c r="L143" s="585"/>
    </row>
    <row r="144" ht="14.25" customHeight="1">
      <c r="A144" s="585"/>
      <c r="B144" s="585"/>
      <c r="C144" s="585"/>
      <c r="D144" s="171"/>
      <c r="E144" s="171"/>
      <c r="F144" s="171"/>
      <c r="G144" s="585"/>
      <c r="H144" s="585"/>
      <c r="I144" s="585"/>
      <c r="J144" s="585"/>
      <c r="K144" s="585"/>
      <c r="L144" s="585"/>
    </row>
    <row r="145" ht="14.25" customHeight="1">
      <c r="A145" s="585"/>
      <c r="B145" s="585"/>
      <c r="C145" s="585"/>
      <c r="D145" s="171"/>
      <c r="E145" s="171"/>
      <c r="F145" s="171"/>
      <c r="G145" s="585"/>
      <c r="H145" s="585"/>
      <c r="I145" s="585"/>
      <c r="J145" s="585"/>
      <c r="K145" s="585"/>
      <c r="L145" s="585"/>
    </row>
    <row r="146" ht="14.25" customHeight="1">
      <c r="A146" s="585"/>
      <c r="B146" s="585"/>
      <c r="C146" s="585"/>
      <c r="D146" s="171"/>
      <c r="E146" s="171"/>
      <c r="F146" s="171"/>
      <c r="G146" s="585"/>
      <c r="H146" s="585"/>
      <c r="I146" s="585"/>
      <c r="J146" s="585"/>
      <c r="K146" s="585"/>
      <c r="L146" s="585"/>
    </row>
    <row r="147" ht="14.25" customHeight="1">
      <c r="A147" s="585"/>
      <c r="B147" s="585"/>
      <c r="C147" s="585"/>
      <c r="D147" s="171"/>
      <c r="E147" s="171"/>
      <c r="F147" s="171"/>
      <c r="G147" s="585"/>
      <c r="H147" s="585"/>
      <c r="I147" s="585"/>
      <c r="J147" s="585"/>
      <c r="K147" s="585"/>
      <c r="L147" s="585"/>
    </row>
    <row r="148" ht="14.25" customHeight="1">
      <c r="A148" s="585"/>
      <c r="B148" s="585"/>
      <c r="C148" s="585"/>
      <c r="D148" s="171"/>
      <c r="E148" s="171"/>
      <c r="F148" s="171"/>
      <c r="G148" s="585"/>
      <c r="H148" s="585"/>
      <c r="I148" s="585"/>
      <c r="J148" s="585"/>
      <c r="K148" s="585"/>
      <c r="L148" s="585"/>
    </row>
    <row r="149" ht="14.25" customHeight="1">
      <c r="A149" s="585"/>
      <c r="B149" s="585"/>
      <c r="C149" s="585"/>
      <c r="D149" s="171"/>
      <c r="E149" s="171"/>
      <c r="F149" s="171"/>
      <c r="G149" s="585"/>
      <c r="H149" s="585"/>
      <c r="I149" s="585"/>
      <c r="J149" s="585"/>
      <c r="K149" s="585"/>
      <c r="L149" s="585"/>
    </row>
    <row r="150" ht="14.25" customHeight="1">
      <c r="A150" s="585"/>
      <c r="B150" s="585"/>
      <c r="C150" s="585"/>
      <c r="D150" s="171"/>
      <c r="E150" s="171"/>
      <c r="F150" s="171"/>
      <c r="G150" s="585"/>
      <c r="H150" s="585"/>
      <c r="I150" s="585"/>
      <c r="J150" s="585"/>
      <c r="K150" s="585"/>
      <c r="L150" s="585"/>
    </row>
    <row r="151" ht="14.25" customHeight="1">
      <c r="A151" s="585"/>
      <c r="B151" s="585"/>
      <c r="C151" s="585"/>
      <c r="D151" s="171"/>
      <c r="E151" s="171"/>
      <c r="F151" s="171"/>
      <c r="G151" s="585"/>
      <c r="H151" s="585"/>
      <c r="I151" s="585"/>
      <c r="J151" s="585"/>
      <c r="K151" s="585"/>
      <c r="L151" s="585"/>
    </row>
    <row r="152" ht="14.25" customHeight="1">
      <c r="A152" s="585"/>
      <c r="B152" s="585"/>
      <c r="C152" s="585"/>
      <c r="D152" s="171"/>
      <c r="E152" s="171"/>
      <c r="F152" s="171"/>
      <c r="G152" s="585"/>
      <c r="H152" s="585"/>
      <c r="I152" s="585"/>
      <c r="J152" s="585"/>
      <c r="K152" s="585"/>
      <c r="L152" s="585"/>
    </row>
    <row r="153" ht="14.25" customHeight="1">
      <c r="A153" s="585"/>
      <c r="B153" s="585"/>
      <c r="C153" s="585"/>
      <c r="D153" s="171"/>
      <c r="E153" s="171"/>
      <c r="F153" s="171"/>
      <c r="G153" s="585"/>
      <c r="H153" s="585"/>
      <c r="I153" s="585"/>
      <c r="J153" s="585"/>
      <c r="K153" s="585"/>
      <c r="L153" s="585"/>
    </row>
    <row r="154" ht="14.25" customHeight="1">
      <c r="A154" s="585"/>
      <c r="B154" s="585"/>
      <c r="C154" s="585"/>
      <c r="D154" s="171"/>
      <c r="E154" s="171"/>
      <c r="F154" s="171"/>
      <c r="G154" s="585"/>
      <c r="H154" s="585"/>
      <c r="I154" s="585"/>
      <c r="J154" s="585"/>
      <c r="K154" s="585"/>
      <c r="L154" s="585"/>
    </row>
    <row r="155" ht="14.25" customHeight="1">
      <c r="A155" s="585"/>
      <c r="B155" s="585"/>
      <c r="C155" s="585"/>
      <c r="D155" s="171"/>
      <c r="E155" s="171"/>
      <c r="F155" s="171"/>
      <c r="G155" s="585"/>
      <c r="H155" s="585"/>
      <c r="I155" s="585"/>
      <c r="J155" s="585"/>
      <c r="K155" s="585"/>
      <c r="L155" s="585"/>
    </row>
    <row r="156" ht="14.25" customHeight="1">
      <c r="A156" s="585"/>
      <c r="B156" s="585"/>
      <c r="C156" s="585"/>
      <c r="D156" s="171"/>
      <c r="E156" s="171"/>
      <c r="F156" s="171"/>
      <c r="G156" s="585"/>
      <c r="H156" s="585"/>
      <c r="I156" s="585"/>
      <c r="J156" s="585"/>
      <c r="K156" s="585"/>
      <c r="L156" s="585"/>
    </row>
    <row r="157" ht="14.25" customHeight="1">
      <c r="A157" s="585"/>
      <c r="B157" s="585"/>
      <c r="C157" s="585"/>
      <c r="D157" s="171"/>
      <c r="E157" s="171"/>
      <c r="F157" s="171"/>
      <c r="G157" s="585"/>
      <c r="H157" s="585"/>
      <c r="I157" s="585"/>
      <c r="J157" s="585"/>
      <c r="K157" s="585"/>
      <c r="L157" s="585"/>
    </row>
    <row r="158" ht="14.25" customHeight="1">
      <c r="A158" s="585"/>
      <c r="B158" s="585"/>
      <c r="C158" s="585"/>
      <c r="D158" s="171"/>
      <c r="E158" s="171"/>
      <c r="F158" s="171"/>
      <c r="G158" s="585"/>
      <c r="H158" s="585"/>
      <c r="I158" s="585"/>
      <c r="J158" s="585"/>
      <c r="K158" s="585"/>
      <c r="L158" s="585"/>
    </row>
    <row r="159" ht="14.25" customHeight="1">
      <c r="A159" s="585"/>
      <c r="B159" s="585"/>
      <c r="C159" s="585"/>
      <c r="D159" s="171"/>
      <c r="E159" s="171"/>
      <c r="F159" s="171"/>
      <c r="G159" s="585"/>
      <c r="H159" s="585"/>
      <c r="I159" s="585"/>
      <c r="J159" s="585"/>
      <c r="K159" s="585"/>
      <c r="L159" s="585"/>
    </row>
    <row r="160" ht="14.25" customHeight="1">
      <c r="A160" s="585"/>
      <c r="B160" s="585"/>
      <c r="C160" s="585"/>
      <c r="D160" s="171"/>
      <c r="E160" s="171"/>
      <c r="F160" s="171"/>
      <c r="G160" s="585"/>
      <c r="H160" s="585"/>
      <c r="I160" s="585"/>
      <c r="J160" s="585"/>
      <c r="K160" s="585"/>
      <c r="L160" s="585"/>
    </row>
    <row r="161" ht="14.25" customHeight="1">
      <c r="A161" s="585"/>
      <c r="B161" s="585"/>
      <c r="C161" s="585"/>
      <c r="D161" s="171"/>
      <c r="E161" s="171"/>
      <c r="F161" s="171"/>
      <c r="G161" s="585"/>
      <c r="H161" s="585"/>
      <c r="I161" s="585"/>
      <c r="J161" s="585"/>
      <c r="K161" s="585"/>
      <c r="L161" s="585"/>
    </row>
    <row r="162" ht="14.25" customHeight="1">
      <c r="A162" s="585"/>
      <c r="B162" s="585"/>
      <c r="C162" s="585"/>
      <c r="D162" s="171"/>
      <c r="E162" s="171"/>
      <c r="F162" s="171"/>
      <c r="G162" s="585"/>
      <c r="H162" s="585"/>
      <c r="I162" s="585"/>
      <c r="J162" s="585"/>
      <c r="K162" s="585"/>
      <c r="L162" s="585"/>
    </row>
    <row r="163" ht="14.25" customHeight="1">
      <c r="A163" s="585"/>
      <c r="B163" s="585"/>
      <c r="C163" s="585"/>
      <c r="D163" s="171"/>
      <c r="E163" s="171"/>
      <c r="F163" s="171"/>
      <c r="G163" s="585"/>
      <c r="H163" s="585"/>
      <c r="I163" s="585"/>
      <c r="J163" s="585"/>
      <c r="K163" s="585"/>
      <c r="L163" s="585"/>
    </row>
    <row r="164" ht="14.25" customHeight="1">
      <c r="A164" s="585"/>
      <c r="B164" s="585"/>
      <c r="C164" s="585"/>
      <c r="D164" s="171"/>
      <c r="E164" s="171"/>
      <c r="F164" s="171"/>
      <c r="G164" s="585"/>
      <c r="H164" s="585"/>
      <c r="I164" s="585"/>
      <c r="J164" s="585"/>
      <c r="K164" s="585"/>
      <c r="L164" s="585"/>
    </row>
    <row r="165" ht="14.25" customHeight="1">
      <c r="A165" s="585"/>
      <c r="B165" s="585"/>
      <c r="C165" s="585"/>
      <c r="D165" s="171"/>
      <c r="E165" s="171"/>
      <c r="F165" s="171"/>
      <c r="G165" s="585"/>
      <c r="H165" s="585"/>
      <c r="I165" s="585"/>
      <c r="J165" s="585"/>
      <c r="K165" s="585"/>
      <c r="L165" s="585"/>
    </row>
    <row r="166" ht="14.25" customHeight="1">
      <c r="A166" s="585"/>
      <c r="B166" s="585"/>
      <c r="C166" s="585"/>
      <c r="D166" s="171"/>
      <c r="E166" s="171"/>
      <c r="F166" s="171"/>
      <c r="G166" s="585"/>
      <c r="H166" s="585"/>
      <c r="I166" s="585"/>
      <c r="J166" s="585"/>
      <c r="K166" s="585"/>
      <c r="L166" s="585"/>
    </row>
    <row r="167" ht="14.25" customHeight="1">
      <c r="A167" s="585"/>
      <c r="B167" s="585"/>
      <c r="C167" s="585"/>
      <c r="D167" s="171"/>
      <c r="E167" s="171"/>
      <c r="F167" s="171"/>
      <c r="G167" s="585"/>
      <c r="H167" s="585"/>
      <c r="I167" s="585"/>
      <c r="J167" s="585"/>
      <c r="K167" s="585"/>
      <c r="L167" s="585"/>
    </row>
    <row r="168" ht="14.25" customHeight="1">
      <c r="A168" s="585"/>
      <c r="B168" s="585"/>
      <c r="C168" s="585"/>
      <c r="D168" s="171"/>
      <c r="E168" s="171"/>
      <c r="F168" s="171"/>
      <c r="G168" s="585"/>
      <c r="H168" s="585"/>
      <c r="I168" s="585"/>
      <c r="J168" s="585"/>
      <c r="K168" s="585"/>
      <c r="L168" s="585"/>
    </row>
    <row r="169" ht="14.25" customHeight="1">
      <c r="A169" s="585"/>
      <c r="B169" s="585"/>
      <c r="C169" s="585"/>
      <c r="D169" s="171"/>
      <c r="E169" s="171"/>
      <c r="F169" s="171"/>
      <c r="G169" s="585"/>
      <c r="H169" s="585"/>
      <c r="I169" s="585"/>
      <c r="J169" s="585"/>
      <c r="K169" s="585"/>
      <c r="L169" s="585"/>
    </row>
    <row r="170" ht="14.25" customHeight="1">
      <c r="A170" s="585"/>
      <c r="B170" s="585"/>
      <c r="C170" s="585"/>
      <c r="D170" s="171"/>
      <c r="E170" s="171"/>
      <c r="F170" s="171"/>
      <c r="G170" s="585"/>
      <c r="H170" s="585"/>
      <c r="I170" s="585"/>
      <c r="J170" s="585"/>
      <c r="K170" s="585"/>
      <c r="L170" s="585"/>
    </row>
    <row r="171" ht="14.25" customHeight="1">
      <c r="A171" s="585"/>
      <c r="B171" s="585"/>
      <c r="C171" s="585"/>
      <c r="D171" s="171"/>
      <c r="E171" s="171"/>
      <c r="F171" s="171"/>
      <c r="G171" s="585"/>
      <c r="H171" s="585"/>
      <c r="I171" s="585"/>
      <c r="J171" s="585"/>
      <c r="K171" s="585"/>
      <c r="L171" s="585"/>
    </row>
    <row r="172" ht="14.25" customHeight="1">
      <c r="A172" s="585"/>
      <c r="B172" s="585"/>
      <c r="C172" s="585"/>
      <c r="D172" s="171"/>
      <c r="E172" s="171"/>
      <c r="F172" s="171"/>
      <c r="G172" s="585"/>
      <c r="H172" s="585"/>
      <c r="I172" s="585"/>
      <c r="J172" s="585"/>
      <c r="K172" s="585"/>
      <c r="L172" s="585"/>
    </row>
    <row r="173" ht="14.25" customHeight="1">
      <c r="A173" s="585"/>
      <c r="B173" s="585"/>
      <c r="C173" s="585"/>
      <c r="D173" s="171"/>
      <c r="E173" s="171"/>
      <c r="F173" s="171"/>
      <c r="G173" s="585"/>
      <c r="H173" s="585"/>
      <c r="I173" s="585"/>
      <c r="J173" s="585"/>
      <c r="K173" s="585"/>
      <c r="L173" s="585"/>
    </row>
    <row r="174" ht="14.25" customHeight="1">
      <c r="A174" s="585"/>
      <c r="B174" s="585"/>
      <c r="C174" s="585"/>
      <c r="D174" s="171"/>
      <c r="E174" s="171"/>
      <c r="F174" s="171"/>
      <c r="G174" s="585"/>
      <c r="H174" s="585"/>
      <c r="I174" s="585"/>
      <c r="J174" s="585"/>
      <c r="K174" s="585"/>
      <c r="L174" s="585"/>
    </row>
    <row r="175" ht="14.25" customHeight="1">
      <c r="A175" s="585"/>
      <c r="B175" s="585"/>
      <c r="C175" s="585"/>
      <c r="D175" s="171"/>
      <c r="E175" s="171"/>
      <c r="F175" s="171"/>
      <c r="G175" s="585"/>
      <c r="H175" s="585"/>
      <c r="I175" s="585"/>
      <c r="J175" s="585"/>
      <c r="K175" s="585"/>
      <c r="L175" s="585"/>
    </row>
    <row r="176" ht="14.25" customHeight="1">
      <c r="A176" s="585"/>
      <c r="B176" s="585"/>
      <c r="C176" s="585"/>
      <c r="D176" s="171"/>
      <c r="E176" s="171"/>
      <c r="F176" s="171"/>
      <c r="G176" s="585"/>
      <c r="H176" s="585"/>
      <c r="I176" s="585"/>
      <c r="J176" s="585"/>
      <c r="K176" s="585"/>
      <c r="L176" s="585"/>
    </row>
    <row r="177" ht="14.25" customHeight="1">
      <c r="A177" s="585"/>
      <c r="B177" s="585"/>
      <c r="C177" s="585"/>
      <c r="D177" s="171"/>
      <c r="E177" s="171"/>
      <c r="F177" s="171"/>
      <c r="G177" s="585"/>
      <c r="H177" s="585"/>
      <c r="I177" s="585"/>
      <c r="J177" s="585"/>
      <c r="K177" s="585"/>
      <c r="L177" s="585"/>
    </row>
    <row r="178" ht="14.25" customHeight="1">
      <c r="A178" s="585"/>
      <c r="B178" s="585"/>
      <c r="C178" s="585"/>
      <c r="D178" s="171"/>
      <c r="E178" s="171"/>
      <c r="F178" s="171"/>
      <c r="G178" s="585"/>
      <c r="H178" s="585"/>
      <c r="I178" s="585"/>
      <c r="J178" s="585"/>
      <c r="K178" s="585"/>
      <c r="L178" s="585"/>
    </row>
    <row r="179" ht="14.25" customHeight="1">
      <c r="A179" s="585"/>
      <c r="B179" s="585"/>
      <c r="C179" s="585"/>
      <c r="D179" s="171"/>
      <c r="E179" s="171"/>
      <c r="F179" s="171"/>
      <c r="G179" s="585"/>
      <c r="H179" s="585"/>
      <c r="I179" s="585"/>
      <c r="J179" s="585"/>
      <c r="K179" s="585"/>
      <c r="L179" s="585"/>
    </row>
    <row r="180" ht="14.25" customHeight="1">
      <c r="A180" s="585"/>
      <c r="B180" s="585"/>
      <c r="C180" s="585"/>
      <c r="D180" s="171"/>
      <c r="E180" s="171"/>
      <c r="F180" s="171"/>
      <c r="G180" s="585"/>
      <c r="H180" s="585"/>
      <c r="I180" s="585"/>
      <c r="J180" s="585"/>
      <c r="K180" s="585"/>
      <c r="L180" s="585"/>
    </row>
    <row r="181" ht="14.25" customHeight="1">
      <c r="A181" s="585"/>
      <c r="B181" s="585"/>
      <c r="C181" s="585"/>
      <c r="D181" s="171"/>
      <c r="E181" s="171"/>
      <c r="F181" s="171"/>
      <c r="G181" s="585"/>
      <c r="H181" s="585"/>
      <c r="I181" s="585"/>
      <c r="J181" s="585"/>
      <c r="K181" s="585"/>
      <c r="L181" s="585"/>
    </row>
    <row r="182" ht="14.25" customHeight="1">
      <c r="A182" s="585"/>
      <c r="B182" s="585"/>
      <c r="C182" s="585"/>
      <c r="D182" s="171"/>
      <c r="E182" s="171"/>
      <c r="F182" s="171"/>
      <c r="G182" s="585"/>
      <c r="H182" s="585"/>
      <c r="I182" s="585"/>
      <c r="J182" s="585"/>
      <c r="K182" s="585"/>
      <c r="L182" s="585"/>
    </row>
    <row r="183" ht="14.25" customHeight="1">
      <c r="A183" s="585"/>
      <c r="B183" s="585"/>
      <c r="C183" s="585"/>
      <c r="D183" s="171"/>
      <c r="E183" s="171"/>
      <c r="F183" s="171"/>
      <c r="G183" s="585"/>
      <c r="H183" s="585"/>
      <c r="I183" s="585"/>
      <c r="J183" s="585"/>
      <c r="K183" s="585"/>
      <c r="L183" s="585"/>
    </row>
    <row r="184" ht="14.25" customHeight="1">
      <c r="A184" s="585"/>
      <c r="B184" s="585"/>
      <c r="C184" s="585"/>
      <c r="D184" s="171"/>
      <c r="E184" s="171"/>
      <c r="F184" s="171"/>
      <c r="G184" s="585"/>
      <c r="H184" s="585"/>
      <c r="I184" s="585"/>
      <c r="J184" s="585"/>
      <c r="K184" s="585"/>
      <c r="L184" s="585"/>
    </row>
    <row r="185" ht="14.25" customHeight="1">
      <c r="A185" s="585"/>
      <c r="B185" s="585"/>
      <c r="C185" s="585"/>
      <c r="D185" s="171"/>
      <c r="E185" s="171"/>
      <c r="F185" s="171"/>
      <c r="G185" s="585"/>
      <c r="H185" s="585"/>
      <c r="I185" s="585"/>
      <c r="J185" s="585"/>
      <c r="K185" s="585"/>
      <c r="L185" s="585"/>
    </row>
    <row r="186" ht="14.25" customHeight="1">
      <c r="A186" s="585"/>
      <c r="B186" s="585"/>
      <c r="C186" s="585"/>
      <c r="D186" s="171"/>
      <c r="E186" s="171"/>
      <c r="F186" s="171"/>
      <c r="G186" s="585"/>
      <c r="H186" s="585"/>
      <c r="I186" s="585"/>
      <c r="J186" s="585"/>
      <c r="K186" s="585"/>
      <c r="L186" s="585"/>
    </row>
    <row r="187" ht="14.25" customHeight="1">
      <c r="A187" s="585"/>
      <c r="B187" s="585"/>
      <c r="C187" s="585"/>
      <c r="D187" s="171"/>
      <c r="E187" s="171"/>
      <c r="F187" s="171"/>
      <c r="G187" s="585"/>
      <c r="H187" s="585"/>
      <c r="I187" s="585"/>
      <c r="J187" s="585"/>
      <c r="K187" s="585"/>
      <c r="L187" s="585"/>
    </row>
    <row r="188" ht="14.25" customHeight="1">
      <c r="A188" s="585"/>
      <c r="B188" s="585"/>
      <c r="C188" s="585"/>
      <c r="D188" s="171"/>
      <c r="E188" s="171"/>
      <c r="F188" s="171"/>
      <c r="G188" s="585"/>
      <c r="H188" s="585"/>
      <c r="I188" s="585"/>
      <c r="J188" s="585"/>
      <c r="K188" s="585"/>
      <c r="L188" s="585"/>
    </row>
    <row r="189" ht="14.25" customHeight="1">
      <c r="A189" s="585"/>
      <c r="B189" s="585"/>
      <c r="C189" s="585"/>
      <c r="D189" s="171"/>
      <c r="E189" s="171"/>
      <c r="F189" s="171"/>
      <c r="G189" s="585"/>
      <c r="H189" s="585"/>
      <c r="I189" s="585"/>
      <c r="J189" s="585"/>
      <c r="K189" s="585"/>
      <c r="L189" s="585"/>
    </row>
    <row r="190" ht="14.25" customHeight="1">
      <c r="A190" s="585"/>
      <c r="B190" s="585"/>
      <c r="C190" s="585"/>
      <c r="D190" s="171"/>
      <c r="E190" s="171"/>
      <c r="F190" s="171"/>
      <c r="G190" s="585"/>
      <c r="H190" s="585"/>
      <c r="I190" s="585"/>
      <c r="J190" s="585"/>
      <c r="K190" s="585"/>
      <c r="L190" s="585"/>
    </row>
    <row r="191" ht="14.25" customHeight="1">
      <c r="A191" s="585"/>
      <c r="B191" s="585"/>
      <c r="C191" s="585"/>
      <c r="D191" s="171"/>
      <c r="E191" s="171"/>
      <c r="F191" s="171"/>
      <c r="G191" s="585"/>
      <c r="H191" s="585"/>
      <c r="I191" s="585"/>
      <c r="J191" s="585"/>
      <c r="K191" s="585"/>
      <c r="L191" s="585"/>
    </row>
    <row r="192" ht="14.25" customHeight="1">
      <c r="A192" s="585"/>
      <c r="B192" s="585"/>
      <c r="C192" s="585"/>
      <c r="D192" s="171"/>
      <c r="E192" s="171"/>
      <c r="F192" s="171"/>
      <c r="G192" s="585"/>
      <c r="H192" s="585"/>
      <c r="I192" s="585"/>
      <c r="J192" s="585"/>
      <c r="K192" s="585"/>
      <c r="L192" s="585"/>
    </row>
    <row r="193" ht="14.25" customHeight="1">
      <c r="A193" s="585"/>
      <c r="B193" s="585"/>
      <c r="C193" s="585"/>
      <c r="D193" s="171"/>
      <c r="E193" s="171"/>
      <c r="F193" s="171"/>
      <c r="G193" s="585"/>
      <c r="H193" s="585"/>
      <c r="I193" s="585"/>
      <c r="J193" s="585"/>
      <c r="K193" s="585"/>
      <c r="L193" s="585"/>
    </row>
    <row r="194" ht="14.25" customHeight="1">
      <c r="A194" s="585"/>
      <c r="B194" s="585"/>
      <c r="C194" s="585"/>
      <c r="D194" s="171"/>
      <c r="E194" s="171"/>
      <c r="F194" s="171"/>
      <c r="G194" s="585"/>
      <c r="H194" s="585"/>
      <c r="I194" s="585"/>
      <c r="J194" s="585"/>
      <c r="K194" s="585"/>
      <c r="L194" s="585"/>
    </row>
    <row r="195" ht="14.25" customHeight="1">
      <c r="A195" s="585"/>
      <c r="B195" s="585"/>
      <c r="C195" s="585"/>
      <c r="D195" s="171"/>
      <c r="E195" s="171"/>
      <c r="F195" s="171"/>
      <c r="G195" s="585"/>
      <c r="H195" s="585"/>
      <c r="I195" s="585"/>
      <c r="J195" s="585"/>
      <c r="K195" s="585"/>
      <c r="L195" s="585"/>
    </row>
    <row r="196" ht="14.25" customHeight="1">
      <c r="A196" s="585"/>
      <c r="B196" s="585"/>
      <c r="C196" s="585"/>
      <c r="D196" s="171"/>
      <c r="E196" s="171"/>
      <c r="F196" s="171"/>
      <c r="G196" s="585"/>
      <c r="H196" s="585"/>
      <c r="I196" s="585"/>
      <c r="J196" s="585"/>
      <c r="K196" s="585"/>
      <c r="L196" s="585"/>
    </row>
    <row r="197" ht="14.25" customHeight="1">
      <c r="A197" s="585"/>
      <c r="B197" s="585"/>
      <c r="C197" s="585"/>
      <c r="D197" s="171"/>
      <c r="E197" s="171"/>
      <c r="F197" s="171"/>
      <c r="G197" s="585"/>
      <c r="H197" s="585"/>
      <c r="I197" s="585"/>
      <c r="J197" s="585"/>
      <c r="K197" s="585"/>
      <c r="L197" s="585"/>
    </row>
    <row r="198" ht="14.25" customHeight="1">
      <c r="A198" s="585"/>
      <c r="B198" s="585"/>
      <c r="C198" s="585"/>
      <c r="D198" s="171"/>
      <c r="E198" s="171"/>
      <c r="F198" s="171"/>
      <c r="G198" s="585"/>
      <c r="H198" s="585"/>
      <c r="I198" s="585"/>
      <c r="J198" s="585"/>
      <c r="K198" s="585"/>
      <c r="L198" s="585"/>
    </row>
    <row r="199" ht="14.25" customHeight="1">
      <c r="A199" s="585"/>
      <c r="B199" s="585"/>
      <c r="C199" s="585"/>
      <c r="D199" s="171"/>
      <c r="E199" s="171"/>
      <c r="F199" s="171"/>
      <c r="G199" s="585"/>
      <c r="H199" s="585"/>
      <c r="I199" s="585"/>
      <c r="J199" s="585"/>
      <c r="K199" s="585"/>
      <c r="L199" s="585"/>
    </row>
    <row r="200" ht="14.25" customHeight="1">
      <c r="A200" s="585"/>
      <c r="B200" s="585"/>
      <c r="C200" s="585"/>
      <c r="D200" s="171"/>
      <c r="E200" s="171"/>
      <c r="F200" s="171"/>
      <c r="G200" s="585"/>
      <c r="H200" s="585"/>
      <c r="I200" s="585"/>
      <c r="J200" s="585"/>
      <c r="K200" s="585"/>
      <c r="L200" s="585"/>
    </row>
    <row r="201" ht="14.25" customHeight="1">
      <c r="A201" s="585"/>
      <c r="B201" s="585"/>
      <c r="C201" s="585"/>
      <c r="D201" s="171"/>
      <c r="E201" s="171"/>
      <c r="F201" s="171"/>
      <c r="G201" s="585"/>
      <c r="H201" s="585"/>
      <c r="I201" s="585"/>
      <c r="J201" s="585"/>
      <c r="K201" s="585"/>
      <c r="L201" s="585"/>
    </row>
    <row r="202" ht="14.25" customHeight="1">
      <c r="A202" s="585"/>
      <c r="B202" s="585"/>
      <c r="C202" s="585"/>
      <c r="D202" s="171"/>
      <c r="E202" s="171"/>
      <c r="F202" s="171"/>
      <c r="G202" s="585"/>
      <c r="H202" s="585"/>
      <c r="I202" s="585"/>
      <c r="J202" s="585"/>
      <c r="K202" s="585"/>
      <c r="L202" s="585"/>
    </row>
    <row r="203" ht="14.25" customHeight="1">
      <c r="A203" s="585"/>
      <c r="B203" s="585"/>
      <c r="C203" s="585"/>
      <c r="D203" s="171"/>
      <c r="E203" s="171"/>
      <c r="F203" s="171"/>
      <c r="G203" s="585"/>
      <c r="H203" s="585"/>
      <c r="I203" s="585"/>
      <c r="J203" s="585"/>
      <c r="K203" s="585"/>
      <c r="L203" s="585"/>
    </row>
    <row r="204" ht="14.25" customHeight="1">
      <c r="A204" s="585"/>
      <c r="B204" s="585"/>
      <c r="C204" s="585"/>
      <c r="D204" s="171"/>
      <c r="E204" s="171"/>
      <c r="F204" s="171"/>
      <c r="G204" s="585"/>
      <c r="H204" s="585"/>
      <c r="I204" s="585"/>
      <c r="J204" s="585"/>
      <c r="K204" s="585"/>
      <c r="L204" s="585"/>
    </row>
    <row r="205" ht="14.25" customHeight="1">
      <c r="A205" s="585"/>
      <c r="B205" s="585"/>
      <c r="C205" s="585"/>
      <c r="D205" s="171"/>
      <c r="E205" s="171"/>
      <c r="F205" s="171"/>
      <c r="G205" s="585"/>
      <c r="H205" s="585"/>
      <c r="I205" s="585"/>
      <c r="J205" s="585"/>
      <c r="K205" s="585"/>
      <c r="L205" s="585"/>
    </row>
    <row r="206" ht="14.25" customHeight="1">
      <c r="A206" s="585"/>
      <c r="B206" s="585"/>
      <c r="C206" s="585"/>
      <c r="D206" s="171"/>
      <c r="E206" s="171"/>
      <c r="F206" s="171"/>
      <c r="G206" s="585"/>
      <c r="H206" s="585"/>
      <c r="I206" s="585"/>
      <c r="J206" s="585"/>
      <c r="K206" s="585"/>
      <c r="L206" s="585"/>
    </row>
    <row r="207" ht="14.25" customHeight="1">
      <c r="A207" s="585"/>
      <c r="B207" s="585"/>
      <c r="C207" s="585"/>
      <c r="D207" s="171"/>
      <c r="E207" s="171"/>
      <c r="F207" s="171"/>
      <c r="G207" s="585"/>
      <c r="H207" s="585"/>
      <c r="I207" s="585"/>
      <c r="J207" s="585"/>
      <c r="K207" s="585"/>
      <c r="L207" s="585"/>
    </row>
    <row r="208" ht="14.25" customHeight="1">
      <c r="A208" s="585"/>
      <c r="B208" s="585"/>
      <c r="C208" s="585"/>
      <c r="D208" s="171"/>
      <c r="E208" s="171"/>
      <c r="F208" s="171"/>
      <c r="G208" s="585"/>
      <c r="H208" s="585"/>
      <c r="I208" s="585"/>
      <c r="J208" s="585"/>
      <c r="K208" s="585"/>
      <c r="L208" s="585"/>
    </row>
    <row r="209" ht="14.25" customHeight="1">
      <c r="A209" s="585"/>
      <c r="B209" s="585"/>
      <c r="C209" s="585"/>
      <c r="D209" s="171"/>
      <c r="E209" s="171"/>
      <c r="F209" s="171"/>
      <c r="G209" s="585"/>
      <c r="H209" s="585"/>
      <c r="I209" s="585"/>
      <c r="J209" s="585"/>
      <c r="K209" s="585"/>
      <c r="L209" s="585"/>
    </row>
    <row r="210" ht="14.25" customHeight="1">
      <c r="A210" s="585"/>
      <c r="B210" s="585"/>
      <c r="C210" s="585"/>
      <c r="D210" s="171"/>
      <c r="E210" s="171"/>
      <c r="F210" s="171"/>
      <c r="G210" s="585"/>
      <c r="H210" s="585"/>
      <c r="I210" s="585"/>
      <c r="J210" s="585"/>
      <c r="K210" s="585"/>
      <c r="L210" s="585"/>
    </row>
    <row r="211" ht="14.25" customHeight="1">
      <c r="A211" s="585"/>
      <c r="B211" s="585"/>
      <c r="C211" s="585"/>
      <c r="D211" s="171"/>
      <c r="E211" s="171"/>
      <c r="F211" s="171"/>
      <c r="G211" s="585"/>
      <c r="H211" s="585"/>
      <c r="I211" s="585"/>
      <c r="J211" s="585"/>
      <c r="K211" s="585"/>
      <c r="L211" s="585"/>
    </row>
    <row r="212" ht="14.25" customHeight="1">
      <c r="A212" s="585"/>
      <c r="B212" s="585"/>
      <c r="C212" s="585"/>
      <c r="D212" s="171"/>
      <c r="E212" s="171"/>
      <c r="F212" s="171"/>
      <c r="G212" s="585"/>
      <c r="H212" s="585"/>
      <c r="I212" s="585"/>
      <c r="J212" s="585"/>
      <c r="K212" s="585"/>
      <c r="L212" s="585"/>
    </row>
    <row r="213" ht="14.25" customHeight="1">
      <c r="A213" s="585"/>
      <c r="B213" s="585"/>
      <c r="C213" s="585"/>
      <c r="D213" s="171"/>
      <c r="E213" s="171"/>
      <c r="F213" s="171"/>
      <c r="G213" s="585"/>
      <c r="H213" s="585"/>
      <c r="I213" s="585"/>
      <c r="J213" s="585"/>
      <c r="K213" s="585"/>
      <c r="L213" s="585"/>
    </row>
    <row r="214" ht="14.25" customHeight="1">
      <c r="A214" s="585"/>
      <c r="B214" s="585"/>
      <c r="C214" s="585"/>
      <c r="D214" s="171"/>
      <c r="E214" s="171"/>
      <c r="F214" s="171"/>
      <c r="G214" s="585"/>
      <c r="H214" s="585"/>
      <c r="I214" s="585"/>
      <c r="J214" s="585"/>
      <c r="K214" s="585"/>
      <c r="L214" s="585"/>
    </row>
    <row r="215" ht="14.25" customHeight="1">
      <c r="A215" s="585"/>
      <c r="B215" s="585"/>
      <c r="C215" s="585"/>
      <c r="D215" s="171"/>
      <c r="E215" s="171"/>
      <c r="F215" s="171"/>
      <c r="G215" s="585"/>
      <c r="H215" s="585"/>
      <c r="I215" s="585"/>
      <c r="J215" s="585"/>
      <c r="K215" s="585"/>
      <c r="L215" s="585"/>
    </row>
    <row r="216" ht="14.25" customHeight="1">
      <c r="A216" s="585"/>
      <c r="B216" s="585"/>
      <c r="C216" s="585"/>
      <c r="D216" s="171"/>
      <c r="E216" s="171"/>
      <c r="F216" s="171"/>
      <c r="G216" s="585"/>
      <c r="H216" s="585"/>
      <c r="I216" s="585"/>
      <c r="J216" s="585"/>
      <c r="K216" s="585"/>
      <c r="L216" s="585"/>
    </row>
    <row r="217" ht="14.25" customHeight="1">
      <c r="A217" s="585"/>
      <c r="B217" s="585"/>
      <c r="C217" s="585"/>
      <c r="D217" s="171"/>
      <c r="E217" s="171"/>
      <c r="F217" s="171"/>
      <c r="G217" s="585"/>
      <c r="H217" s="585"/>
      <c r="I217" s="585"/>
      <c r="J217" s="585"/>
      <c r="K217" s="585"/>
      <c r="L217" s="585"/>
    </row>
    <row r="218" ht="14.25" customHeight="1">
      <c r="A218" s="585"/>
      <c r="B218" s="585"/>
      <c r="C218" s="585"/>
      <c r="D218" s="171"/>
      <c r="E218" s="171"/>
      <c r="F218" s="171"/>
      <c r="G218" s="585"/>
      <c r="H218" s="585"/>
      <c r="I218" s="585"/>
      <c r="J218" s="585"/>
      <c r="K218" s="585"/>
      <c r="L218" s="585"/>
    </row>
    <row r="219" ht="14.25" customHeight="1">
      <c r="A219" s="585"/>
      <c r="B219" s="585"/>
      <c r="C219" s="585"/>
      <c r="D219" s="171"/>
      <c r="E219" s="171"/>
      <c r="F219" s="171"/>
      <c r="G219" s="585"/>
      <c r="H219" s="585"/>
      <c r="I219" s="585"/>
      <c r="J219" s="585"/>
      <c r="K219" s="585"/>
      <c r="L219" s="585"/>
    </row>
    <row r="220" ht="14.25" customHeight="1">
      <c r="A220" s="585"/>
      <c r="B220" s="585"/>
      <c r="C220" s="585"/>
      <c r="D220" s="171"/>
      <c r="E220" s="171"/>
      <c r="F220" s="171"/>
      <c r="G220" s="585"/>
      <c r="H220" s="585"/>
      <c r="I220" s="585"/>
      <c r="J220" s="585"/>
      <c r="K220" s="585"/>
      <c r="L220" s="585"/>
    </row>
    <row r="221" ht="14.25" customHeight="1">
      <c r="A221" s="585"/>
      <c r="B221" s="585"/>
      <c r="C221" s="585"/>
      <c r="D221" s="171"/>
      <c r="E221" s="171"/>
      <c r="F221" s="171"/>
      <c r="G221" s="585"/>
      <c r="H221" s="585"/>
      <c r="I221" s="585"/>
      <c r="J221" s="585"/>
      <c r="K221" s="585"/>
      <c r="L221" s="585"/>
    </row>
    <row r="222" ht="14.25" customHeight="1">
      <c r="A222" s="585"/>
      <c r="B222" s="585"/>
      <c r="C222" s="585"/>
      <c r="D222" s="171"/>
      <c r="E222" s="171"/>
      <c r="F222" s="171"/>
      <c r="G222" s="585"/>
      <c r="H222" s="585"/>
      <c r="I222" s="585"/>
      <c r="J222" s="585"/>
      <c r="K222" s="585"/>
      <c r="L222" s="585"/>
    </row>
    <row r="223" ht="14.25" customHeight="1">
      <c r="A223" s="585"/>
      <c r="B223" s="585"/>
      <c r="C223" s="585"/>
      <c r="D223" s="171"/>
      <c r="E223" s="171"/>
      <c r="F223" s="171"/>
      <c r="G223" s="585"/>
      <c r="H223" s="585"/>
      <c r="I223" s="585"/>
      <c r="J223" s="585"/>
      <c r="K223" s="585"/>
      <c r="L223" s="585"/>
    </row>
    <row r="224" ht="15.75" customHeight="1">
      <c r="A224" s="68"/>
      <c r="B224" s="68"/>
      <c r="C224" s="68"/>
      <c r="D224" s="171"/>
      <c r="E224" s="171"/>
      <c r="F224" s="171"/>
      <c r="G224" s="68"/>
      <c r="H224" s="68"/>
      <c r="I224" s="68"/>
      <c r="J224" s="68"/>
      <c r="K224" s="68"/>
      <c r="L224" s="68"/>
    </row>
    <row r="225" ht="15.75" customHeight="1">
      <c r="A225" s="68"/>
      <c r="B225" s="68"/>
      <c r="C225" s="68"/>
      <c r="D225" s="171"/>
      <c r="E225" s="171"/>
      <c r="F225" s="171"/>
      <c r="G225" s="68"/>
      <c r="H225" s="68"/>
      <c r="I225" s="68"/>
      <c r="J225" s="68"/>
      <c r="K225" s="68"/>
      <c r="L225" s="68"/>
    </row>
    <row r="226" ht="15.75" customHeight="1">
      <c r="A226" s="68"/>
      <c r="B226" s="68"/>
      <c r="C226" s="68"/>
      <c r="D226" s="171"/>
      <c r="E226" s="171"/>
      <c r="F226" s="171"/>
      <c r="G226" s="68"/>
      <c r="H226" s="68"/>
      <c r="I226" s="68"/>
      <c r="J226" s="68"/>
      <c r="K226" s="68"/>
      <c r="L226" s="68"/>
    </row>
    <row r="227" ht="15.75" customHeight="1">
      <c r="A227" s="68"/>
      <c r="B227" s="68"/>
      <c r="C227" s="68"/>
      <c r="D227" s="171"/>
      <c r="E227" s="171"/>
      <c r="F227" s="171"/>
      <c r="G227" s="68"/>
      <c r="H227" s="68"/>
      <c r="I227" s="68"/>
      <c r="J227" s="68"/>
      <c r="K227" s="68"/>
      <c r="L227" s="68"/>
    </row>
    <row r="228" ht="15.75" customHeight="1">
      <c r="A228" s="68"/>
      <c r="B228" s="68"/>
      <c r="C228" s="68"/>
      <c r="D228" s="171"/>
      <c r="E228" s="171"/>
      <c r="F228" s="171"/>
      <c r="G228" s="68"/>
      <c r="H228" s="68"/>
      <c r="I228" s="68"/>
      <c r="J228" s="68"/>
      <c r="K228" s="68"/>
      <c r="L228" s="68"/>
    </row>
    <row r="229" ht="15.75" customHeight="1">
      <c r="A229" s="68"/>
      <c r="B229" s="68"/>
      <c r="C229" s="68"/>
      <c r="D229" s="171"/>
      <c r="E229" s="171"/>
      <c r="F229" s="171"/>
      <c r="G229" s="68"/>
      <c r="H229" s="68"/>
      <c r="I229" s="68"/>
      <c r="J229" s="68"/>
      <c r="K229" s="68"/>
      <c r="L229" s="68"/>
    </row>
    <row r="230" ht="15.75" customHeight="1">
      <c r="D230" s="588"/>
      <c r="E230" s="588"/>
      <c r="F230" s="588"/>
    </row>
    <row r="231" ht="15.75" customHeight="1">
      <c r="D231" s="588"/>
      <c r="E231" s="588"/>
      <c r="F231" s="588"/>
    </row>
    <row r="232" ht="15.75" customHeight="1">
      <c r="D232" s="588"/>
      <c r="E232" s="588"/>
      <c r="F232" s="588"/>
    </row>
    <row r="233" ht="15.75" customHeight="1">
      <c r="D233" s="588"/>
      <c r="E233" s="588"/>
      <c r="F233" s="588"/>
    </row>
    <row r="234" ht="15.75" customHeight="1">
      <c r="D234" s="588"/>
      <c r="E234" s="588"/>
      <c r="F234" s="588"/>
    </row>
    <row r="235" ht="15.75" customHeight="1">
      <c r="D235" s="588"/>
      <c r="E235" s="588"/>
      <c r="F235" s="588"/>
    </row>
    <row r="236" ht="15.75" customHeight="1">
      <c r="D236" s="588"/>
      <c r="E236" s="588"/>
      <c r="F236" s="588"/>
    </row>
    <row r="237" ht="15.75" customHeight="1">
      <c r="D237" s="588"/>
      <c r="E237" s="588"/>
      <c r="F237" s="588"/>
    </row>
    <row r="238" ht="15.75" customHeight="1">
      <c r="D238" s="588"/>
      <c r="E238" s="588"/>
      <c r="F238" s="588"/>
    </row>
    <row r="239" ht="15.75" customHeight="1">
      <c r="D239" s="588"/>
      <c r="E239" s="588"/>
      <c r="F239" s="588"/>
    </row>
    <row r="240" ht="15.75" customHeight="1">
      <c r="D240" s="588"/>
      <c r="E240" s="588"/>
      <c r="F240" s="588"/>
    </row>
    <row r="241" ht="15.75" customHeight="1">
      <c r="D241" s="588"/>
      <c r="E241" s="588"/>
      <c r="F241" s="588"/>
    </row>
    <row r="242" ht="15.75" customHeight="1">
      <c r="D242" s="588"/>
      <c r="E242" s="588"/>
      <c r="F242" s="588"/>
    </row>
    <row r="243" ht="15.75" customHeight="1">
      <c r="D243" s="588"/>
      <c r="E243" s="588"/>
      <c r="F243" s="588"/>
    </row>
    <row r="244" ht="15.75" customHeight="1">
      <c r="D244" s="588"/>
      <c r="E244" s="588"/>
      <c r="F244" s="588"/>
    </row>
    <row r="245" ht="15.75" customHeight="1">
      <c r="D245" s="588"/>
      <c r="E245" s="588"/>
      <c r="F245" s="588"/>
    </row>
    <row r="246" ht="15.75" customHeight="1">
      <c r="D246" s="588"/>
      <c r="E246" s="588"/>
      <c r="F246" s="588"/>
    </row>
    <row r="247" ht="15.75" customHeight="1">
      <c r="D247" s="588"/>
      <c r="E247" s="588"/>
      <c r="F247" s="588"/>
    </row>
    <row r="248" ht="15.75" customHeight="1">
      <c r="D248" s="588"/>
      <c r="E248" s="588"/>
      <c r="F248" s="588"/>
    </row>
    <row r="249" ht="15.75" customHeight="1">
      <c r="D249" s="588"/>
      <c r="E249" s="588"/>
      <c r="F249" s="588"/>
    </row>
    <row r="250" ht="15.75" customHeight="1">
      <c r="D250" s="588"/>
      <c r="E250" s="588"/>
      <c r="F250" s="588"/>
    </row>
    <row r="251" ht="15.75" customHeight="1">
      <c r="D251" s="588"/>
      <c r="E251" s="588"/>
      <c r="F251" s="588"/>
    </row>
    <row r="252" ht="15.75" customHeight="1">
      <c r="D252" s="588"/>
      <c r="E252" s="588"/>
      <c r="F252" s="588"/>
    </row>
    <row r="253" ht="15.75" customHeight="1">
      <c r="D253" s="588"/>
      <c r="E253" s="588"/>
      <c r="F253" s="588"/>
    </row>
    <row r="254" ht="15.75" customHeight="1">
      <c r="D254" s="588"/>
      <c r="E254" s="588"/>
      <c r="F254" s="588"/>
    </row>
    <row r="255" ht="15.75" customHeight="1">
      <c r="D255" s="588"/>
      <c r="E255" s="588"/>
      <c r="F255" s="588"/>
    </row>
    <row r="256" ht="15.75" customHeight="1">
      <c r="D256" s="588"/>
      <c r="E256" s="588"/>
      <c r="F256" s="588"/>
    </row>
    <row r="257" ht="15.75" customHeight="1">
      <c r="D257" s="588"/>
      <c r="E257" s="588"/>
      <c r="F257" s="588"/>
    </row>
    <row r="258" ht="15.75" customHeight="1">
      <c r="D258" s="588"/>
      <c r="E258" s="588"/>
      <c r="F258" s="588"/>
    </row>
    <row r="259" ht="15.75" customHeight="1">
      <c r="D259" s="588"/>
      <c r="E259" s="588"/>
      <c r="F259" s="588"/>
    </row>
    <row r="260" ht="15.75" customHeight="1">
      <c r="D260" s="588"/>
      <c r="E260" s="588"/>
      <c r="F260" s="588"/>
    </row>
    <row r="261" ht="15.75" customHeight="1">
      <c r="D261" s="588"/>
      <c r="E261" s="588"/>
      <c r="F261" s="588"/>
    </row>
    <row r="262" ht="15.75" customHeight="1">
      <c r="D262" s="588"/>
      <c r="E262" s="588"/>
      <c r="F262" s="588"/>
    </row>
    <row r="263" ht="15.75" customHeight="1">
      <c r="D263" s="588"/>
      <c r="E263" s="588"/>
      <c r="F263" s="588"/>
    </row>
    <row r="264" ht="15.75" customHeight="1">
      <c r="D264" s="588"/>
      <c r="E264" s="588"/>
      <c r="F264" s="588"/>
    </row>
    <row r="265" ht="15.75" customHeight="1">
      <c r="D265" s="588"/>
      <c r="E265" s="588"/>
      <c r="F265" s="588"/>
    </row>
    <row r="266" ht="15.75" customHeight="1">
      <c r="D266" s="588"/>
      <c r="E266" s="588"/>
      <c r="F266" s="588"/>
    </row>
    <row r="267" ht="15.75" customHeight="1">
      <c r="D267" s="588"/>
      <c r="E267" s="588"/>
      <c r="F267" s="588"/>
    </row>
    <row r="268" ht="15.75" customHeight="1">
      <c r="D268" s="588"/>
      <c r="E268" s="588"/>
      <c r="F268" s="588"/>
    </row>
    <row r="269" ht="15.75" customHeight="1">
      <c r="D269" s="588"/>
      <c r="E269" s="588"/>
      <c r="F269" s="588"/>
    </row>
    <row r="270" ht="15.75" customHeight="1">
      <c r="D270" s="588"/>
      <c r="E270" s="588"/>
      <c r="F270" s="588"/>
    </row>
    <row r="271" ht="15.75" customHeight="1">
      <c r="D271" s="588"/>
      <c r="E271" s="588"/>
      <c r="F271" s="588"/>
    </row>
    <row r="272" ht="15.75" customHeight="1">
      <c r="D272" s="588"/>
      <c r="E272" s="588"/>
      <c r="F272" s="588"/>
    </row>
    <row r="273" ht="15.75" customHeight="1">
      <c r="D273" s="588"/>
      <c r="E273" s="588"/>
      <c r="F273" s="588"/>
    </row>
    <row r="274" ht="15.75" customHeight="1">
      <c r="D274" s="588"/>
      <c r="E274" s="588"/>
      <c r="F274" s="588"/>
    </row>
    <row r="275" ht="15.75" customHeight="1">
      <c r="D275" s="588"/>
      <c r="E275" s="588"/>
      <c r="F275" s="588"/>
    </row>
    <row r="276" ht="15.75" customHeight="1">
      <c r="D276" s="588"/>
      <c r="E276" s="588"/>
      <c r="F276" s="588"/>
    </row>
    <row r="277" ht="15.75" customHeight="1">
      <c r="D277" s="588"/>
      <c r="E277" s="588"/>
      <c r="F277" s="588"/>
    </row>
    <row r="278" ht="15.75" customHeight="1">
      <c r="D278" s="588"/>
      <c r="E278" s="588"/>
      <c r="F278" s="588"/>
    </row>
    <row r="279" ht="15.75" customHeight="1">
      <c r="D279" s="588"/>
      <c r="E279" s="588"/>
      <c r="F279" s="588"/>
    </row>
    <row r="280" ht="15.75" customHeight="1">
      <c r="D280" s="588"/>
      <c r="E280" s="588"/>
      <c r="F280" s="588"/>
    </row>
    <row r="281" ht="15.75" customHeight="1">
      <c r="D281" s="588"/>
      <c r="E281" s="588"/>
      <c r="F281" s="588"/>
    </row>
    <row r="282" ht="15.75" customHeight="1">
      <c r="D282" s="588"/>
      <c r="E282" s="588"/>
      <c r="F282" s="588"/>
    </row>
    <row r="283" ht="15.75" customHeight="1">
      <c r="D283" s="588"/>
      <c r="E283" s="588"/>
      <c r="F283" s="588"/>
    </row>
    <row r="284" ht="15.75" customHeight="1">
      <c r="D284" s="588"/>
      <c r="E284" s="588"/>
      <c r="F284" s="588"/>
    </row>
    <row r="285" ht="15.75" customHeight="1">
      <c r="D285" s="588"/>
      <c r="E285" s="588"/>
      <c r="F285" s="588"/>
    </row>
    <row r="286" ht="15.75" customHeight="1">
      <c r="D286" s="588"/>
      <c r="E286" s="588"/>
      <c r="F286" s="588"/>
    </row>
    <row r="287" ht="15.75" customHeight="1">
      <c r="D287" s="588"/>
      <c r="E287" s="588"/>
      <c r="F287" s="588"/>
    </row>
    <row r="288" ht="15.75" customHeight="1">
      <c r="D288" s="588"/>
      <c r="E288" s="588"/>
      <c r="F288" s="588"/>
    </row>
    <row r="289" ht="15.75" customHeight="1">
      <c r="D289" s="588"/>
      <c r="E289" s="588"/>
      <c r="F289" s="588"/>
    </row>
    <row r="290" ht="15.75" customHeight="1">
      <c r="D290" s="588"/>
      <c r="E290" s="588"/>
      <c r="F290" s="588"/>
    </row>
    <row r="291" ht="15.75" customHeight="1">
      <c r="D291" s="588"/>
      <c r="E291" s="588"/>
      <c r="F291" s="588"/>
    </row>
    <row r="292" ht="15.75" customHeight="1">
      <c r="D292" s="588"/>
      <c r="E292" s="588"/>
      <c r="F292" s="588"/>
    </row>
    <row r="293" ht="15.75" customHeight="1">
      <c r="D293" s="588"/>
      <c r="E293" s="588"/>
      <c r="F293" s="588"/>
    </row>
    <row r="294" ht="15.75" customHeight="1">
      <c r="D294" s="588"/>
      <c r="E294" s="588"/>
      <c r="F294" s="588"/>
    </row>
    <row r="295" ht="15.75" customHeight="1">
      <c r="D295" s="588"/>
      <c r="E295" s="588"/>
      <c r="F295" s="588"/>
    </row>
    <row r="296" ht="15.75" customHeight="1">
      <c r="D296" s="588"/>
      <c r="E296" s="588"/>
      <c r="F296" s="588"/>
    </row>
    <row r="297" ht="15.75" customHeight="1">
      <c r="D297" s="588"/>
      <c r="E297" s="588"/>
      <c r="F297" s="588"/>
    </row>
    <row r="298" ht="15.75" customHeight="1">
      <c r="D298" s="588"/>
      <c r="E298" s="588"/>
      <c r="F298" s="588"/>
    </row>
    <row r="299" ht="15.75" customHeight="1">
      <c r="D299" s="588"/>
      <c r="E299" s="588"/>
      <c r="F299" s="588"/>
    </row>
    <row r="300" ht="15.75" customHeight="1">
      <c r="D300" s="588"/>
      <c r="E300" s="588"/>
      <c r="F300" s="588"/>
    </row>
    <row r="301" ht="15.75" customHeight="1">
      <c r="D301" s="588"/>
      <c r="E301" s="588"/>
      <c r="F301" s="588"/>
    </row>
    <row r="302" ht="15.75" customHeight="1">
      <c r="D302" s="588"/>
      <c r="E302" s="588"/>
      <c r="F302" s="588"/>
    </row>
    <row r="303" ht="15.75" customHeight="1">
      <c r="D303" s="588"/>
      <c r="E303" s="588"/>
      <c r="F303" s="588"/>
    </row>
    <row r="304" ht="15.75" customHeight="1">
      <c r="D304" s="588"/>
      <c r="E304" s="588"/>
      <c r="F304" s="588"/>
    </row>
    <row r="305" ht="15.75" customHeight="1">
      <c r="D305" s="588"/>
      <c r="E305" s="588"/>
      <c r="F305" s="588"/>
    </row>
    <row r="306" ht="15.75" customHeight="1">
      <c r="D306" s="588"/>
      <c r="E306" s="588"/>
      <c r="F306" s="588"/>
    </row>
    <row r="307" ht="15.75" customHeight="1">
      <c r="D307" s="588"/>
      <c r="E307" s="588"/>
      <c r="F307" s="588"/>
    </row>
    <row r="308" ht="15.75" customHeight="1">
      <c r="D308" s="588"/>
      <c r="E308" s="588"/>
      <c r="F308" s="588"/>
    </row>
    <row r="309" ht="15.75" customHeight="1">
      <c r="D309" s="588"/>
      <c r="E309" s="588"/>
      <c r="F309" s="588"/>
    </row>
    <row r="310" ht="15.75" customHeight="1">
      <c r="D310" s="588"/>
      <c r="E310" s="588"/>
      <c r="F310" s="588"/>
    </row>
    <row r="311" ht="15.75" customHeight="1">
      <c r="D311" s="588"/>
      <c r="E311" s="588"/>
      <c r="F311" s="588"/>
    </row>
    <row r="312" ht="15.75" customHeight="1">
      <c r="D312" s="588"/>
      <c r="E312" s="588"/>
      <c r="F312" s="588"/>
    </row>
    <row r="313" ht="15.75" customHeight="1">
      <c r="D313" s="588"/>
      <c r="E313" s="588"/>
      <c r="F313" s="588"/>
    </row>
    <row r="314" ht="15.75" customHeight="1">
      <c r="D314" s="588"/>
      <c r="E314" s="588"/>
      <c r="F314" s="588"/>
    </row>
    <row r="315" ht="15.75" customHeight="1">
      <c r="D315" s="588"/>
      <c r="E315" s="588"/>
      <c r="F315" s="588"/>
    </row>
    <row r="316" ht="15.75" customHeight="1">
      <c r="D316" s="588"/>
      <c r="E316" s="588"/>
      <c r="F316" s="588"/>
    </row>
    <row r="317" ht="15.75" customHeight="1">
      <c r="D317" s="588"/>
      <c r="E317" s="588"/>
      <c r="F317" s="588"/>
    </row>
    <row r="318" ht="15.75" customHeight="1">
      <c r="D318" s="588"/>
      <c r="E318" s="588"/>
      <c r="F318" s="588"/>
    </row>
    <row r="319" ht="15.75" customHeight="1">
      <c r="D319" s="588"/>
      <c r="E319" s="588"/>
      <c r="F319" s="588"/>
    </row>
    <row r="320" ht="15.75" customHeight="1">
      <c r="D320" s="588"/>
      <c r="E320" s="588"/>
      <c r="F320" s="588"/>
    </row>
    <row r="321" ht="15.75" customHeight="1">
      <c r="D321" s="588"/>
      <c r="E321" s="588"/>
      <c r="F321" s="588"/>
    </row>
    <row r="322" ht="15.75" customHeight="1">
      <c r="D322" s="588"/>
      <c r="E322" s="588"/>
      <c r="F322" s="588"/>
    </row>
    <row r="323" ht="15.75" customHeight="1">
      <c r="D323" s="588"/>
      <c r="E323" s="588"/>
      <c r="F323" s="588"/>
    </row>
    <row r="324" ht="15.75" customHeight="1">
      <c r="D324" s="588"/>
      <c r="E324" s="588"/>
      <c r="F324" s="588"/>
    </row>
    <row r="325" ht="15.75" customHeight="1">
      <c r="D325" s="588"/>
      <c r="E325" s="588"/>
      <c r="F325" s="588"/>
    </row>
    <row r="326" ht="15.75" customHeight="1">
      <c r="D326" s="588"/>
      <c r="E326" s="588"/>
      <c r="F326" s="588"/>
    </row>
    <row r="327" ht="15.75" customHeight="1">
      <c r="D327" s="588"/>
      <c r="E327" s="588"/>
      <c r="F327" s="588"/>
    </row>
    <row r="328" ht="15.75" customHeight="1">
      <c r="D328" s="588"/>
      <c r="E328" s="588"/>
      <c r="F328" s="588"/>
    </row>
    <row r="329" ht="15.75" customHeight="1">
      <c r="D329" s="588"/>
      <c r="E329" s="588"/>
      <c r="F329" s="588"/>
    </row>
    <row r="330" ht="15.75" customHeight="1">
      <c r="D330" s="588"/>
      <c r="E330" s="588"/>
      <c r="F330" s="588"/>
    </row>
    <row r="331" ht="15.75" customHeight="1">
      <c r="D331" s="588"/>
      <c r="E331" s="588"/>
      <c r="F331" s="588"/>
    </row>
    <row r="332" ht="15.75" customHeight="1">
      <c r="D332" s="588"/>
      <c r="E332" s="588"/>
      <c r="F332" s="588"/>
    </row>
    <row r="333" ht="15.75" customHeight="1">
      <c r="D333" s="588"/>
      <c r="E333" s="588"/>
      <c r="F333" s="588"/>
    </row>
    <row r="334" ht="15.75" customHeight="1">
      <c r="D334" s="588"/>
      <c r="E334" s="588"/>
      <c r="F334" s="588"/>
    </row>
    <row r="335" ht="15.75" customHeight="1">
      <c r="D335" s="588"/>
      <c r="E335" s="588"/>
      <c r="F335" s="588"/>
    </row>
    <row r="336" ht="15.75" customHeight="1">
      <c r="D336" s="588"/>
      <c r="E336" s="588"/>
      <c r="F336" s="588"/>
    </row>
    <row r="337" ht="15.75" customHeight="1">
      <c r="D337" s="588"/>
      <c r="E337" s="588"/>
      <c r="F337" s="588"/>
    </row>
    <row r="338" ht="15.75" customHeight="1">
      <c r="D338" s="588"/>
      <c r="E338" s="588"/>
      <c r="F338" s="588"/>
    </row>
    <row r="339" ht="15.75" customHeight="1">
      <c r="D339" s="588"/>
      <c r="E339" s="588"/>
      <c r="F339" s="588"/>
    </row>
    <row r="340" ht="15.75" customHeight="1">
      <c r="D340" s="588"/>
      <c r="E340" s="588"/>
      <c r="F340" s="588"/>
    </row>
    <row r="341" ht="15.75" customHeight="1">
      <c r="D341" s="588"/>
      <c r="E341" s="588"/>
      <c r="F341" s="588"/>
    </row>
    <row r="342" ht="15.75" customHeight="1">
      <c r="D342" s="588"/>
      <c r="E342" s="588"/>
      <c r="F342" s="588"/>
    </row>
    <row r="343" ht="15.75" customHeight="1">
      <c r="D343" s="588"/>
      <c r="E343" s="588"/>
      <c r="F343" s="588"/>
    </row>
    <row r="344" ht="15.75" customHeight="1">
      <c r="D344" s="588"/>
      <c r="E344" s="588"/>
      <c r="F344" s="588"/>
    </row>
    <row r="345" ht="15.75" customHeight="1">
      <c r="D345" s="588"/>
      <c r="E345" s="588"/>
      <c r="F345" s="588"/>
    </row>
    <row r="346" ht="15.75" customHeight="1">
      <c r="D346" s="588"/>
      <c r="E346" s="588"/>
      <c r="F346" s="588"/>
    </row>
    <row r="347" ht="15.75" customHeight="1">
      <c r="D347" s="588"/>
      <c r="E347" s="588"/>
      <c r="F347" s="588"/>
    </row>
    <row r="348" ht="15.75" customHeight="1">
      <c r="D348" s="588"/>
      <c r="E348" s="588"/>
      <c r="F348" s="588"/>
    </row>
    <row r="349" ht="15.75" customHeight="1">
      <c r="D349" s="588"/>
      <c r="E349" s="588"/>
      <c r="F349" s="588"/>
    </row>
    <row r="350" ht="15.75" customHeight="1">
      <c r="D350" s="588"/>
      <c r="E350" s="588"/>
      <c r="F350" s="588"/>
    </row>
    <row r="351" ht="15.75" customHeight="1">
      <c r="D351" s="588"/>
      <c r="E351" s="588"/>
      <c r="F351" s="588"/>
    </row>
    <row r="352" ht="15.75" customHeight="1">
      <c r="D352" s="588"/>
      <c r="E352" s="588"/>
      <c r="F352" s="588"/>
    </row>
    <row r="353" ht="15.75" customHeight="1">
      <c r="D353" s="588"/>
      <c r="E353" s="588"/>
      <c r="F353" s="588"/>
    </row>
    <row r="354" ht="15.75" customHeight="1">
      <c r="D354" s="588"/>
      <c r="E354" s="588"/>
      <c r="F354" s="588"/>
    </row>
    <row r="355" ht="15.75" customHeight="1">
      <c r="D355" s="588"/>
      <c r="E355" s="588"/>
      <c r="F355" s="588"/>
    </row>
    <row r="356" ht="15.75" customHeight="1">
      <c r="D356" s="588"/>
      <c r="E356" s="588"/>
      <c r="F356" s="588"/>
    </row>
    <row r="357" ht="15.75" customHeight="1">
      <c r="D357" s="588"/>
      <c r="E357" s="588"/>
      <c r="F357" s="588"/>
    </row>
    <row r="358" ht="15.75" customHeight="1">
      <c r="D358" s="588"/>
      <c r="E358" s="588"/>
      <c r="F358" s="588"/>
    </row>
    <row r="359" ht="15.75" customHeight="1">
      <c r="D359" s="588"/>
      <c r="E359" s="588"/>
      <c r="F359" s="588"/>
    </row>
    <row r="360" ht="15.75" customHeight="1">
      <c r="D360" s="588"/>
      <c r="E360" s="588"/>
      <c r="F360" s="588"/>
    </row>
    <row r="361" ht="15.75" customHeight="1">
      <c r="D361" s="588"/>
      <c r="E361" s="588"/>
      <c r="F361" s="588"/>
    </row>
    <row r="362" ht="15.75" customHeight="1">
      <c r="D362" s="588"/>
      <c r="E362" s="588"/>
      <c r="F362" s="588"/>
    </row>
    <row r="363" ht="15.75" customHeight="1">
      <c r="D363" s="588"/>
      <c r="E363" s="588"/>
      <c r="F363" s="588"/>
    </row>
    <row r="364" ht="15.75" customHeight="1">
      <c r="D364" s="588"/>
      <c r="E364" s="588"/>
      <c r="F364" s="588"/>
    </row>
    <row r="365" ht="15.75" customHeight="1">
      <c r="D365" s="588"/>
      <c r="E365" s="588"/>
      <c r="F365" s="588"/>
    </row>
    <row r="366" ht="15.75" customHeight="1">
      <c r="D366" s="588"/>
      <c r="E366" s="588"/>
      <c r="F366" s="588"/>
    </row>
    <row r="367" ht="15.75" customHeight="1">
      <c r="D367" s="588"/>
      <c r="E367" s="588"/>
      <c r="F367" s="588"/>
    </row>
    <row r="368" ht="15.75" customHeight="1">
      <c r="D368" s="588"/>
      <c r="E368" s="588"/>
      <c r="F368" s="588"/>
    </row>
    <row r="369" ht="15.75" customHeight="1">
      <c r="D369" s="588"/>
      <c r="E369" s="588"/>
      <c r="F369" s="588"/>
    </row>
    <row r="370" ht="15.75" customHeight="1">
      <c r="D370" s="588"/>
      <c r="E370" s="588"/>
      <c r="F370" s="588"/>
    </row>
    <row r="371" ht="15.75" customHeight="1">
      <c r="D371" s="588"/>
      <c r="E371" s="588"/>
      <c r="F371" s="588"/>
    </row>
    <row r="372" ht="15.75" customHeight="1">
      <c r="D372" s="588"/>
      <c r="E372" s="588"/>
      <c r="F372" s="588"/>
    </row>
    <row r="373" ht="15.75" customHeight="1">
      <c r="D373" s="588"/>
      <c r="E373" s="588"/>
      <c r="F373" s="588"/>
    </row>
    <row r="374" ht="15.75" customHeight="1">
      <c r="D374" s="588"/>
      <c r="E374" s="588"/>
      <c r="F374" s="588"/>
    </row>
    <row r="375" ht="15.75" customHeight="1">
      <c r="D375" s="588"/>
      <c r="E375" s="588"/>
      <c r="F375" s="588"/>
    </row>
    <row r="376" ht="15.75" customHeight="1">
      <c r="D376" s="588"/>
      <c r="E376" s="588"/>
      <c r="F376" s="588"/>
    </row>
    <row r="377" ht="15.75" customHeight="1">
      <c r="D377" s="588"/>
      <c r="E377" s="588"/>
      <c r="F377" s="588"/>
    </row>
    <row r="378" ht="15.75" customHeight="1">
      <c r="D378" s="588"/>
      <c r="E378" s="588"/>
      <c r="F378" s="588"/>
    </row>
    <row r="379" ht="15.75" customHeight="1">
      <c r="D379" s="588"/>
      <c r="E379" s="588"/>
      <c r="F379" s="588"/>
    </row>
    <row r="380" ht="15.75" customHeight="1">
      <c r="D380" s="588"/>
      <c r="E380" s="588"/>
      <c r="F380" s="588"/>
    </row>
    <row r="381" ht="15.75" customHeight="1">
      <c r="D381" s="588"/>
      <c r="E381" s="588"/>
      <c r="F381" s="588"/>
    </row>
    <row r="382" ht="15.75" customHeight="1">
      <c r="D382" s="588"/>
      <c r="E382" s="588"/>
      <c r="F382" s="588"/>
    </row>
    <row r="383" ht="15.75" customHeight="1">
      <c r="D383" s="588"/>
      <c r="E383" s="588"/>
      <c r="F383" s="588"/>
    </row>
    <row r="384" ht="15.75" customHeight="1">
      <c r="D384" s="588"/>
      <c r="E384" s="588"/>
      <c r="F384" s="588"/>
    </row>
    <row r="385" ht="15.75" customHeight="1">
      <c r="D385" s="588"/>
      <c r="E385" s="588"/>
      <c r="F385" s="588"/>
    </row>
    <row r="386" ht="15.75" customHeight="1">
      <c r="D386" s="588"/>
      <c r="E386" s="588"/>
      <c r="F386" s="588"/>
    </row>
    <row r="387" ht="15.75" customHeight="1">
      <c r="D387" s="588"/>
      <c r="E387" s="588"/>
      <c r="F387" s="588"/>
    </row>
    <row r="388" ht="15.75" customHeight="1">
      <c r="D388" s="588"/>
      <c r="E388" s="588"/>
      <c r="F388" s="588"/>
    </row>
    <row r="389" ht="15.75" customHeight="1">
      <c r="D389" s="588"/>
      <c r="E389" s="588"/>
      <c r="F389" s="588"/>
    </row>
    <row r="390" ht="15.75" customHeight="1">
      <c r="D390" s="588"/>
      <c r="E390" s="588"/>
      <c r="F390" s="588"/>
    </row>
    <row r="391" ht="15.75" customHeight="1">
      <c r="D391" s="588"/>
      <c r="E391" s="588"/>
      <c r="F391" s="588"/>
    </row>
    <row r="392" ht="15.75" customHeight="1">
      <c r="D392" s="588"/>
      <c r="E392" s="588"/>
      <c r="F392" s="588"/>
    </row>
    <row r="393" ht="15.75" customHeight="1">
      <c r="D393" s="588"/>
      <c r="E393" s="588"/>
      <c r="F393" s="588"/>
    </row>
    <row r="394" ht="15.75" customHeight="1">
      <c r="D394" s="588"/>
      <c r="E394" s="588"/>
      <c r="F394" s="588"/>
    </row>
    <row r="395" ht="15.75" customHeight="1">
      <c r="D395" s="588"/>
      <c r="E395" s="588"/>
      <c r="F395" s="588"/>
    </row>
    <row r="396" ht="15.75" customHeight="1">
      <c r="D396" s="588"/>
      <c r="E396" s="588"/>
      <c r="F396" s="588"/>
    </row>
    <row r="397" ht="15.75" customHeight="1">
      <c r="D397" s="588"/>
      <c r="E397" s="588"/>
      <c r="F397" s="588"/>
    </row>
    <row r="398" ht="15.75" customHeight="1">
      <c r="D398" s="588"/>
      <c r="E398" s="588"/>
      <c r="F398" s="588"/>
    </row>
    <row r="399" ht="15.75" customHeight="1">
      <c r="D399" s="588"/>
      <c r="E399" s="588"/>
      <c r="F399" s="588"/>
    </row>
    <row r="400" ht="15.75" customHeight="1">
      <c r="D400" s="588"/>
      <c r="E400" s="588"/>
      <c r="F400" s="588"/>
    </row>
    <row r="401" ht="15.75" customHeight="1">
      <c r="D401" s="588"/>
      <c r="E401" s="588"/>
      <c r="F401" s="588"/>
    </row>
    <row r="402" ht="15.75" customHeight="1">
      <c r="D402" s="588"/>
      <c r="E402" s="588"/>
      <c r="F402" s="588"/>
    </row>
    <row r="403" ht="15.75" customHeight="1">
      <c r="D403" s="588"/>
      <c r="E403" s="588"/>
      <c r="F403" s="588"/>
    </row>
    <row r="404" ht="15.75" customHeight="1">
      <c r="D404" s="588"/>
      <c r="E404" s="588"/>
      <c r="F404" s="588"/>
    </row>
    <row r="405" ht="15.75" customHeight="1">
      <c r="D405" s="588"/>
      <c r="E405" s="588"/>
      <c r="F405" s="588"/>
    </row>
    <row r="406" ht="15.75" customHeight="1">
      <c r="D406" s="588"/>
      <c r="E406" s="588"/>
      <c r="F406" s="588"/>
    </row>
    <row r="407" ht="15.75" customHeight="1">
      <c r="D407" s="588"/>
      <c r="E407" s="588"/>
      <c r="F407" s="588"/>
    </row>
    <row r="408" ht="15.75" customHeight="1">
      <c r="D408" s="588"/>
      <c r="E408" s="588"/>
      <c r="F408" s="588"/>
    </row>
    <row r="409" ht="15.75" customHeight="1">
      <c r="D409" s="588"/>
      <c r="E409" s="588"/>
      <c r="F409" s="588"/>
    </row>
    <row r="410" ht="15.75" customHeight="1">
      <c r="D410" s="588"/>
      <c r="E410" s="588"/>
      <c r="F410" s="588"/>
    </row>
    <row r="411" ht="15.75" customHeight="1">
      <c r="D411" s="588"/>
      <c r="E411" s="588"/>
      <c r="F411" s="588"/>
    </row>
    <row r="412" ht="15.75" customHeight="1">
      <c r="D412" s="588"/>
      <c r="E412" s="588"/>
      <c r="F412" s="588"/>
    </row>
    <row r="413" ht="15.75" customHeight="1">
      <c r="D413" s="588"/>
      <c r="E413" s="588"/>
      <c r="F413" s="588"/>
    </row>
    <row r="414" ht="15.75" customHeight="1">
      <c r="D414" s="588"/>
      <c r="E414" s="588"/>
      <c r="F414" s="588"/>
    </row>
    <row r="415" ht="15.75" customHeight="1">
      <c r="D415" s="588"/>
      <c r="E415" s="588"/>
      <c r="F415" s="588"/>
    </row>
    <row r="416" ht="15.75" customHeight="1">
      <c r="D416" s="588"/>
      <c r="E416" s="588"/>
      <c r="F416" s="588"/>
    </row>
    <row r="417" ht="15.75" customHeight="1">
      <c r="D417" s="588"/>
      <c r="E417" s="588"/>
      <c r="F417" s="588"/>
    </row>
    <row r="418" ht="15.75" customHeight="1">
      <c r="D418" s="588"/>
      <c r="E418" s="588"/>
      <c r="F418" s="588"/>
    </row>
    <row r="419" ht="15.75" customHeight="1">
      <c r="D419" s="588"/>
      <c r="E419" s="588"/>
      <c r="F419" s="588"/>
    </row>
    <row r="420" ht="15.75" customHeight="1">
      <c r="D420" s="588"/>
      <c r="E420" s="588"/>
      <c r="F420" s="588"/>
    </row>
    <row r="421" ht="15.75" customHeight="1">
      <c r="D421" s="588"/>
      <c r="E421" s="588"/>
      <c r="F421" s="588"/>
    </row>
    <row r="422" ht="15.75" customHeight="1">
      <c r="D422" s="588"/>
      <c r="E422" s="588"/>
      <c r="F422" s="588"/>
    </row>
    <row r="423" ht="15.75" customHeight="1">
      <c r="D423" s="588"/>
      <c r="E423" s="588"/>
      <c r="F423" s="588"/>
    </row>
    <row r="424" ht="15.75" customHeight="1">
      <c r="D424" s="588"/>
      <c r="E424" s="588"/>
      <c r="F424" s="588"/>
    </row>
    <row r="425" ht="15.75" customHeight="1">
      <c r="D425" s="588"/>
      <c r="E425" s="588"/>
      <c r="F425" s="588"/>
    </row>
    <row r="426" ht="15.75" customHeight="1">
      <c r="D426" s="588"/>
      <c r="E426" s="588"/>
      <c r="F426" s="588"/>
    </row>
    <row r="427" ht="15.75" customHeight="1">
      <c r="D427" s="588"/>
      <c r="E427" s="588"/>
      <c r="F427" s="588"/>
    </row>
    <row r="428" ht="15.75" customHeight="1">
      <c r="D428" s="588"/>
      <c r="E428" s="588"/>
      <c r="F428" s="588"/>
    </row>
    <row r="429" ht="15.75" customHeight="1">
      <c r="D429" s="588"/>
      <c r="E429" s="588"/>
      <c r="F429" s="588"/>
    </row>
    <row r="430" ht="15.75" customHeight="1">
      <c r="D430" s="588"/>
      <c r="E430" s="588"/>
      <c r="F430" s="588"/>
    </row>
    <row r="431" ht="15.75" customHeight="1">
      <c r="D431" s="588"/>
      <c r="E431" s="588"/>
      <c r="F431" s="588"/>
    </row>
    <row r="432" ht="15.75" customHeight="1">
      <c r="D432" s="588"/>
      <c r="E432" s="588"/>
      <c r="F432" s="588"/>
    </row>
    <row r="433" ht="15.75" customHeight="1">
      <c r="D433" s="588"/>
      <c r="E433" s="588"/>
      <c r="F433" s="588"/>
    </row>
    <row r="434" ht="15.75" customHeight="1">
      <c r="D434" s="588"/>
      <c r="E434" s="588"/>
      <c r="F434" s="588"/>
    </row>
    <row r="435" ht="15.75" customHeight="1">
      <c r="D435" s="588"/>
      <c r="E435" s="588"/>
      <c r="F435" s="588"/>
    </row>
    <row r="436" ht="15.75" customHeight="1">
      <c r="D436" s="588"/>
      <c r="E436" s="588"/>
      <c r="F436" s="588"/>
    </row>
    <row r="437" ht="15.75" customHeight="1">
      <c r="D437" s="588"/>
      <c r="E437" s="588"/>
      <c r="F437" s="588"/>
    </row>
    <row r="438" ht="15.75" customHeight="1">
      <c r="D438" s="588"/>
      <c r="E438" s="588"/>
      <c r="F438" s="588"/>
    </row>
    <row r="439" ht="15.75" customHeight="1">
      <c r="D439" s="588"/>
      <c r="E439" s="588"/>
      <c r="F439" s="588"/>
    </row>
    <row r="440" ht="15.75" customHeight="1">
      <c r="D440" s="588"/>
      <c r="E440" s="588"/>
      <c r="F440" s="588"/>
    </row>
    <row r="441" ht="15.75" customHeight="1">
      <c r="D441" s="588"/>
      <c r="E441" s="588"/>
      <c r="F441" s="588"/>
    </row>
    <row r="442" ht="15.75" customHeight="1">
      <c r="D442" s="588"/>
      <c r="E442" s="588"/>
      <c r="F442" s="588"/>
    </row>
    <row r="443" ht="15.75" customHeight="1">
      <c r="D443" s="588"/>
      <c r="E443" s="588"/>
      <c r="F443" s="588"/>
    </row>
    <row r="444" ht="15.75" customHeight="1">
      <c r="D444" s="588"/>
      <c r="E444" s="588"/>
      <c r="F444" s="588"/>
    </row>
    <row r="445" ht="15.75" customHeight="1">
      <c r="D445" s="588"/>
      <c r="E445" s="588"/>
      <c r="F445" s="588"/>
    </row>
    <row r="446" ht="15.75" customHeight="1">
      <c r="D446" s="588"/>
      <c r="E446" s="588"/>
      <c r="F446" s="588"/>
    </row>
    <row r="447" ht="15.75" customHeight="1">
      <c r="D447" s="588"/>
      <c r="E447" s="588"/>
      <c r="F447" s="588"/>
    </row>
    <row r="448" ht="15.75" customHeight="1">
      <c r="D448" s="588"/>
      <c r="E448" s="588"/>
      <c r="F448" s="588"/>
    </row>
    <row r="449" ht="15.75" customHeight="1">
      <c r="D449" s="588"/>
      <c r="E449" s="588"/>
      <c r="F449" s="588"/>
    </row>
    <row r="450" ht="15.75" customHeight="1">
      <c r="D450" s="588"/>
      <c r="E450" s="588"/>
      <c r="F450" s="588"/>
    </row>
    <row r="451" ht="15.75" customHeight="1">
      <c r="D451" s="588"/>
      <c r="E451" s="588"/>
      <c r="F451" s="588"/>
    </row>
    <row r="452" ht="15.75" customHeight="1">
      <c r="D452" s="588"/>
      <c r="E452" s="588"/>
      <c r="F452" s="588"/>
    </row>
    <row r="453" ht="15.75" customHeight="1">
      <c r="D453" s="588"/>
      <c r="E453" s="588"/>
      <c r="F453" s="588"/>
    </row>
    <row r="454" ht="15.75" customHeight="1">
      <c r="D454" s="588"/>
      <c r="E454" s="588"/>
      <c r="F454" s="588"/>
    </row>
    <row r="455" ht="15.75" customHeight="1">
      <c r="D455" s="588"/>
      <c r="E455" s="588"/>
      <c r="F455" s="588"/>
    </row>
    <row r="456" ht="15.75" customHeight="1">
      <c r="D456" s="588"/>
      <c r="E456" s="588"/>
      <c r="F456" s="588"/>
    </row>
    <row r="457" ht="15.75" customHeight="1">
      <c r="D457" s="588"/>
      <c r="E457" s="588"/>
      <c r="F457" s="588"/>
    </row>
    <row r="458" ht="15.75" customHeight="1">
      <c r="D458" s="588"/>
      <c r="E458" s="588"/>
      <c r="F458" s="588"/>
    </row>
    <row r="459" ht="15.75" customHeight="1">
      <c r="D459" s="588"/>
      <c r="E459" s="588"/>
      <c r="F459" s="588"/>
    </row>
    <row r="460" ht="15.75" customHeight="1">
      <c r="D460" s="588"/>
      <c r="E460" s="588"/>
      <c r="F460" s="588"/>
    </row>
    <row r="461" ht="15.75" customHeight="1">
      <c r="D461" s="588"/>
      <c r="E461" s="588"/>
      <c r="F461" s="588"/>
    </row>
    <row r="462" ht="15.75" customHeight="1">
      <c r="D462" s="588"/>
      <c r="E462" s="588"/>
      <c r="F462" s="588"/>
    </row>
    <row r="463" ht="15.75" customHeight="1">
      <c r="D463" s="588"/>
      <c r="E463" s="588"/>
      <c r="F463" s="588"/>
    </row>
    <row r="464" ht="15.75" customHeight="1">
      <c r="D464" s="588"/>
      <c r="E464" s="588"/>
      <c r="F464" s="588"/>
    </row>
    <row r="465" ht="15.75" customHeight="1">
      <c r="D465" s="588"/>
      <c r="E465" s="588"/>
      <c r="F465" s="588"/>
    </row>
    <row r="466" ht="15.75" customHeight="1">
      <c r="D466" s="588"/>
      <c r="E466" s="588"/>
      <c r="F466" s="588"/>
    </row>
    <row r="467" ht="15.75" customHeight="1">
      <c r="D467" s="588"/>
      <c r="E467" s="588"/>
      <c r="F467" s="588"/>
    </row>
    <row r="468" ht="15.75" customHeight="1">
      <c r="D468" s="588"/>
      <c r="E468" s="588"/>
      <c r="F468" s="588"/>
    </row>
    <row r="469" ht="15.75" customHeight="1">
      <c r="D469" s="588"/>
      <c r="E469" s="588"/>
      <c r="F469" s="588"/>
    </row>
    <row r="470" ht="15.75" customHeight="1">
      <c r="D470" s="588"/>
      <c r="E470" s="588"/>
      <c r="F470" s="588"/>
    </row>
    <row r="471" ht="15.75" customHeight="1">
      <c r="D471" s="588"/>
      <c r="E471" s="588"/>
      <c r="F471" s="588"/>
    </row>
    <row r="472" ht="15.75" customHeight="1">
      <c r="D472" s="588"/>
      <c r="E472" s="588"/>
      <c r="F472" s="588"/>
    </row>
    <row r="473" ht="15.75" customHeight="1">
      <c r="D473" s="588"/>
      <c r="E473" s="588"/>
      <c r="F473" s="588"/>
    </row>
    <row r="474" ht="15.75" customHeight="1">
      <c r="D474" s="588"/>
      <c r="E474" s="588"/>
      <c r="F474" s="588"/>
    </row>
    <row r="475" ht="15.75" customHeight="1">
      <c r="D475" s="588"/>
      <c r="E475" s="588"/>
      <c r="F475" s="588"/>
    </row>
    <row r="476" ht="15.75" customHeight="1">
      <c r="D476" s="588"/>
      <c r="E476" s="588"/>
      <c r="F476" s="588"/>
    </row>
    <row r="477" ht="15.75" customHeight="1">
      <c r="D477" s="588"/>
      <c r="E477" s="588"/>
      <c r="F477" s="588"/>
    </row>
    <row r="478" ht="15.75" customHeight="1">
      <c r="D478" s="588"/>
      <c r="E478" s="588"/>
      <c r="F478" s="588"/>
    </row>
    <row r="479" ht="15.75" customHeight="1">
      <c r="D479" s="588"/>
      <c r="E479" s="588"/>
      <c r="F479" s="588"/>
    </row>
    <row r="480" ht="15.75" customHeight="1">
      <c r="D480" s="588"/>
      <c r="E480" s="588"/>
      <c r="F480" s="588"/>
    </row>
    <row r="481" ht="15.75" customHeight="1">
      <c r="D481" s="588"/>
      <c r="E481" s="588"/>
      <c r="F481" s="588"/>
    </row>
    <row r="482" ht="15.75" customHeight="1">
      <c r="D482" s="588"/>
      <c r="E482" s="588"/>
      <c r="F482" s="588"/>
    </row>
    <row r="483" ht="15.75" customHeight="1">
      <c r="D483" s="588"/>
      <c r="E483" s="588"/>
      <c r="F483" s="588"/>
    </row>
    <row r="484" ht="15.75" customHeight="1">
      <c r="D484" s="588"/>
      <c r="E484" s="588"/>
      <c r="F484" s="588"/>
    </row>
    <row r="485" ht="15.75" customHeight="1">
      <c r="D485" s="588"/>
      <c r="E485" s="588"/>
      <c r="F485" s="588"/>
    </row>
    <row r="486" ht="15.75" customHeight="1">
      <c r="D486" s="588"/>
      <c r="E486" s="588"/>
      <c r="F486" s="588"/>
    </row>
    <row r="487" ht="15.75" customHeight="1">
      <c r="D487" s="588"/>
      <c r="E487" s="588"/>
      <c r="F487" s="588"/>
    </row>
    <row r="488" ht="15.75" customHeight="1">
      <c r="D488" s="588"/>
      <c r="E488" s="588"/>
      <c r="F488" s="588"/>
    </row>
    <row r="489" ht="15.75" customHeight="1">
      <c r="D489" s="588"/>
      <c r="E489" s="588"/>
      <c r="F489" s="588"/>
    </row>
    <row r="490" ht="15.75" customHeight="1">
      <c r="D490" s="588"/>
      <c r="E490" s="588"/>
      <c r="F490" s="588"/>
    </row>
    <row r="491" ht="15.75" customHeight="1">
      <c r="D491" s="588"/>
      <c r="E491" s="588"/>
      <c r="F491" s="588"/>
    </row>
    <row r="492" ht="15.75" customHeight="1">
      <c r="D492" s="588"/>
      <c r="E492" s="588"/>
      <c r="F492" s="588"/>
    </row>
    <row r="493" ht="15.75" customHeight="1">
      <c r="D493" s="588"/>
      <c r="E493" s="588"/>
      <c r="F493" s="588"/>
    </row>
    <row r="494" ht="15.75" customHeight="1">
      <c r="D494" s="588"/>
      <c r="E494" s="588"/>
      <c r="F494" s="588"/>
    </row>
    <row r="495" ht="15.75" customHeight="1">
      <c r="D495" s="588"/>
      <c r="E495" s="588"/>
      <c r="F495" s="588"/>
    </row>
    <row r="496" ht="15.75" customHeight="1">
      <c r="D496" s="588"/>
      <c r="E496" s="588"/>
      <c r="F496" s="588"/>
    </row>
    <row r="497" ht="15.75" customHeight="1">
      <c r="D497" s="588"/>
      <c r="E497" s="588"/>
      <c r="F497" s="588"/>
    </row>
    <row r="498" ht="15.75" customHeight="1">
      <c r="D498" s="588"/>
      <c r="E498" s="588"/>
      <c r="F498" s="588"/>
    </row>
    <row r="499" ht="15.75" customHeight="1">
      <c r="D499" s="588"/>
      <c r="E499" s="588"/>
      <c r="F499" s="588"/>
    </row>
    <row r="500" ht="15.75" customHeight="1">
      <c r="D500" s="588"/>
      <c r="E500" s="588"/>
      <c r="F500" s="588"/>
    </row>
    <row r="501" ht="15.75" customHeight="1">
      <c r="D501" s="588"/>
      <c r="E501" s="588"/>
      <c r="F501" s="588"/>
    </row>
    <row r="502" ht="15.75" customHeight="1">
      <c r="D502" s="588"/>
      <c r="E502" s="588"/>
      <c r="F502" s="588"/>
    </row>
    <row r="503" ht="15.75" customHeight="1">
      <c r="D503" s="588"/>
      <c r="E503" s="588"/>
      <c r="F503" s="588"/>
    </row>
    <row r="504" ht="15.75" customHeight="1">
      <c r="D504" s="588"/>
      <c r="E504" s="588"/>
      <c r="F504" s="588"/>
    </row>
    <row r="505" ht="15.75" customHeight="1">
      <c r="D505" s="588"/>
      <c r="E505" s="588"/>
      <c r="F505" s="588"/>
    </row>
    <row r="506" ht="15.75" customHeight="1">
      <c r="D506" s="588"/>
      <c r="E506" s="588"/>
      <c r="F506" s="588"/>
    </row>
    <row r="507" ht="15.75" customHeight="1">
      <c r="D507" s="588"/>
      <c r="E507" s="588"/>
      <c r="F507" s="588"/>
    </row>
    <row r="508" ht="15.75" customHeight="1">
      <c r="D508" s="588"/>
      <c r="E508" s="588"/>
      <c r="F508" s="588"/>
    </row>
    <row r="509" ht="15.75" customHeight="1">
      <c r="D509" s="588"/>
      <c r="E509" s="588"/>
      <c r="F509" s="588"/>
    </row>
    <row r="510" ht="15.75" customHeight="1">
      <c r="D510" s="588"/>
      <c r="E510" s="588"/>
      <c r="F510" s="588"/>
    </row>
    <row r="511" ht="15.75" customHeight="1">
      <c r="D511" s="588"/>
      <c r="E511" s="588"/>
      <c r="F511" s="588"/>
    </row>
    <row r="512" ht="15.75" customHeight="1">
      <c r="D512" s="588"/>
      <c r="E512" s="588"/>
      <c r="F512" s="588"/>
    </row>
    <row r="513" ht="15.75" customHeight="1">
      <c r="D513" s="588"/>
      <c r="E513" s="588"/>
      <c r="F513" s="588"/>
    </row>
    <row r="514" ht="15.75" customHeight="1">
      <c r="D514" s="588"/>
      <c r="E514" s="588"/>
      <c r="F514" s="588"/>
    </row>
    <row r="515" ht="15.75" customHeight="1">
      <c r="D515" s="588"/>
      <c r="E515" s="588"/>
      <c r="F515" s="588"/>
    </row>
    <row r="516" ht="15.75" customHeight="1">
      <c r="D516" s="588"/>
      <c r="E516" s="588"/>
      <c r="F516" s="588"/>
    </row>
    <row r="517" ht="15.75" customHeight="1">
      <c r="D517" s="588"/>
      <c r="E517" s="588"/>
      <c r="F517" s="588"/>
    </row>
    <row r="518" ht="15.75" customHeight="1">
      <c r="D518" s="588"/>
      <c r="E518" s="588"/>
      <c r="F518" s="588"/>
    </row>
    <row r="519" ht="15.75" customHeight="1">
      <c r="D519" s="588"/>
      <c r="E519" s="588"/>
      <c r="F519" s="588"/>
    </row>
    <row r="520" ht="15.75" customHeight="1">
      <c r="D520" s="588"/>
      <c r="E520" s="588"/>
      <c r="F520" s="588"/>
    </row>
    <row r="521" ht="15.75" customHeight="1">
      <c r="D521" s="588"/>
      <c r="E521" s="588"/>
      <c r="F521" s="588"/>
    </row>
    <row r="522" ht="15.75" customHeight="1">
      <c r="D522" s="588"/>
      <c r="E522" s="588"/>
      <c r="F522" s="588"/>
    </row>
    <row r="523" ht="15.75" customHeight="1">
      <c r="D523" s="588"/>
      <c r="E523" s="588"/>
      <c r="F523" s="588"/>
    </row>
    <row r="524" ht="15.75" customHeight="1">
      <c r="D524" s="588"/>
      <c r="E524" s="588"/>
      <c r="F524" s="588"/>
    </row>
    <row r="525" ht="15.75" customHeight="1">
      <c r="D525" s="588"/>
      <c r="E525" s="588"/>
      <c r="F525" s="588"/>
    </row>
    <row r="526" ht="15.75" customHeight="1">
      <c r="D526" s="588"/>
      <c r="E526" s="588"/>
      <c r="F526" s="588"/>
    </row>
    <row r="527" ht="15.75" customHeight="1">
      <c r="D527" s="588"/>
      <c r="E527" s="588"/>
      <c r="F527" s="588"/>
    </row>
    <row r="528" ht="15.75" customHeight="1">
      <c r="D528" s="588"/>
      <c r="E528" s="588"/>
      <c r="F528" s="588"/>
    </row>
    <row r="529" ht="15.75" customHeight="1">
      <c r="D529" s="588"/>
      <c r="E529" s="588"/>
      <c r="F529" s="588"/>
    </row>
    <row r="530" ht="15.75" customHeight="1">
      <c r="D530" s="588"/>
      <c r="E530" s="588"/>
      <c r="F530" s="588"/>
    </row>
    <row r="531" ht="15.75" customHeight="1">
      <c r="D531" s="588"/>
      <c r="E531" s="588"/>
      <c r="F531" s="588"/>
    </row>
    <row r="532" ht="15.75" customHeight="1">
      <c r="D532" s="588"/>
      <c r="E532" s="588"/>
      <c r="F532" s="588"/>
    </row>
    <row r="533" ht="15.75" customHeight="1">
      <c r="D533" s="588"/>
      <c r="E533" s="588"/>
      <c r="F533" s="588"/>
    </row>
    <row r="534" ht="15.75" customHeight="1">
      <c r="D534" s="588"/>
      <c r="E534" s="588"/>
      <c r="F534" s="588"/>
    </row>
    <row r="535" ht="15.75" customHeight="1">
      <c r="D535" s="588"/>
      <c r="E535" s="588"/>
      <c r="F535" s="588"/>
    </row>
    <row r="536" ht="15.75" customHeight="1">
      <c r="D536" s="588"/>
      <c r="E536" s="588"/>
      <c r="F536" s="588"/>
    </row>
    <row r="537" ht="15.75" customHeight="1">
      <c r="D537" s="588"/>
      <c r="E537" s="588"/>
      <c r="F537" s="588"/>
    </row>
    <row r="538" ht="15.75" customHeight="1">
      <c r="D538" s="588"/>
      <c r="E538" s="588"/>
      <c r="F538" s="588"/>
    </row>
    <row r="539" ht="15.75" customHeight="1">
      <c r="D539" s="588"/>
      <c r="E539" s="588"/>
      <c r="F539" s="588"/>
    </row>
    <row r="540" ht="15.75" customHeight="1">
      <c r="D540" s="588"/>
      <c r="E540" s="588"/>
      <c r="F540" s="588"/>
    </row>
    <row r="541" ht="15.75" customHeight="1">
      <c r="D541" s="588"/>
      <c r="E541" s="588"/>
      <c r="F541" s="588"/>
    </row>
    <row r="542" ht="15.75" customHeight="1">
      <c r="D542" s="588"/>
      <c r="E542" s="588"/>
      <c r="F542" s="588"/>
    </row>
    <row r="543" ht="15.75" customHeight="1">
      <c r="D543" s="588"/>
      <c r="E543" s="588"/>
      <c r="F543" s="588"/>
    </row>
    <row r="544" ht="15.75" customHeight="1">
      <c r="D544" s="588"/>
      <c r="E544" s="588"/>
      <c r="F544" s="588"/>
    </row>
    <row r="545" ht="15.75" customHeight="1">
      <c r="D545" s="588"/>
      <c r="E545" s="588"/>
      <c r="F545" s="588"/>
    </row>
    <row r="546" ht="15.75" customHeight="1">
      <c r="D546" s="588"/>
      <c r="E546" s="588"/>
      <c r="F546" s="588"/>
    </row>
    <row r="547" ht="15.75" customHeight="1">
      <c r="D547" s="588"/>
      <c r="E547" s="588"/>
      <c r="F547" s="588"/>
    </row>
    <row r="548" ht="15.75" customHeight="1">
      <c r="D548" s="588"/>
      <c r="E548" s="588"/>
      <c r="F548" s="588"/>
    </row>
    <row r="549" ht="15.75" customHeight="1">
      <c r="D549" s="588"/>
      <c r="E549" s="588"/>
      <c r="F549" s="588"/>
    </row>
    <row r="550" ht="15.75" customHeight="1">
      <c r="D550" s="588"/>
      <c r="E550" s="588"/>
      <c r="F550" s="588"/>
    </row>
    <row r="551" ht="15.75" customHeight="1">
      <c r="D551" s="588"/>
      <c r="E551" s="588"/>
      <c r="F551" s="588"/>
    </row>
    <row r="552" ht="15.75" customHeight="1">
      <c r="D552" s="588"/>
      <c r="E552" s="588"/>
      <c r="F552" s="588"/>
    </row>
    <row r="553" ht="15.75" customHeight="1">
      <c r="D553" s="588"/>
      <c r="E553" s="588"/>
      <c r="F553" s="588"/>
    </row>
    <row r="554" ht="15.75" customHeight="1">
      <c r="D554" s="588"/>
      <c r="E554" s="588"/>
      <c r="F554" s="588"/>
    </row>
    <row r="555" ht="15.75" customHeight="1">
      <c r="D555" s="588"/>
      <c r="E555" s="588"/>
      <c r="F555" s="588"/>
    </row>
    <row r="556" ht="15.75" customHeight="1">
      <c r="D556" s="588"/>
      <c r="E556" s="588"/>
      <c r="F556" s="588"/>
    </row>
    <row r="557" ht="15.75" customHeight="1">
      <c r="D557" s="588"/>
      <c r="E557" s="588"/>
      <c r="F557" s="588"/>
    </row>
    <row r="558" ht="15.75" customHeight="1">
      <c r="D558" s="588"/>
      <c r="E558" s="588"/>
      <c r="F558" s="588"/>
    </row>
    <row r="559" ht="15.75" customHeight="1">
      <c r="D559" s="588"/>
      <c r="E559" s="588"/>
      <c r="F559" s="588"/>
    </row>
    <row r="560" ht="15.75" customHeight="1">
      <c r="D560" s="588"/>
      <c r="E560" s="588"/>
      <c r="F560" s="588"/>
    </row>
    <row r="561" ht="15.75" customHeight="1">
      <c r="D561" s="588"/>
      <c r="E561" s="588"/>
      <c r="F561" s="588"/>
    </row>
    <row r="562" ht="15.75" customHeight="1">
      <c r="D562" s="588"/>
      <c r="E562" s="588"/>
      <c r="F562" s="588"/>
    </row>
    <row r="563" ht="15.75" customHeight="1">
      <c r="D563" s="588"/>
      <c r="E563" s="588"/>
      <c r="F563" s="588"/>
    </row>
    <row r="564" ht="15.75" customHeight="1">
      <c r="D564" s="588"/>
      <c r="E564" s="588"/>
      <c r="F564" s="588"/>
    </row>
    <row r="565" ht="15.75" customHeight="1">
      <c r="D565" s="588"/>
      <c r="E565" s="588"/>
      <c r="F565" s="588"/>
    </row>
    <row r="566" ht="15.75" customHeight="1">
      <c r="D566" s="588"/>
      <c r="E566" s="588"/>
      <c r="F566" s="588"/>
    </row>
    <row r="567" ht="15.75" customHeight="1">
      <c r="D567" s="588"/>
      <c r="E567" s="588"/>
      <c r="F567" s="588"/>
    </row>
    <row r="568" ht="15.75" customHeight="1">
      <c r="D568" s="588"/>
      <c r="E568" s="588"/>
      <c r="F568" s="588"/>
    </row>
    <row r="569" ht="15.75" customHeight="1">
      <c r="D569" s="588"/>
      <c r="E569" s="588"/>
      <c r="F569" s="588"/>
    </row>
    <row r="570" ht="15.75" customHeight="1">
      <c r="D570" s="588"/>
      <c r="E570" s="588"/>
      <c r="F570" s="588"/>
    </row>
    <row r="571" ht="15.75" customHeight="1">
      <c r="D571" s="588"/>
      <c r="E571" s="588"/>
      <c r="F571" s="588"/>
    </row>
    <row r="572" ht="15.75" customHeight="1">
      <c r="D572" s="588"/>
      <c r="E572" s="588"/>
      <c r="F572" s="588"/>
    </row>
    <row r="573" ht="15.75" customHeight="1">
      <c r="D573" s="588"/>
      <c r="E573" s="588"/>
      <c r="F573" s="588"/>
    </row>
    <row r="574" ht="15.75" customHeight="1">
      <c r="D574" s="588"/>
      <c r="E574" s="588"/>
      <c r="F574" s="588"/>
    </row>
    <row r="575" ht="15.75" customHeight="1">
      <c r="D575" s="588"/>
      <c r="E575" s="588"/>
      <c r="F575" s="588"/>
    </row>
    <row r="576" ht="15.75" customHeight="1">
      <c r="D576" s="588"/>
      <c r="E576" s="588"/>
      <c r="F576" s="588"/>
    </row>
    <row r="577" ht="15.75" customHeight="1">
      <c r="D577" s="588"/>
      <c r="E577" s="588"/>
      <c r="F577" s="588"/>
    </row>
    <row r="578" ht="15.75" customHeight="1">
      <c r="D578" s="588"/>
      <c r="E578" s="588"/>
      <c r="F578" s="588"/>
    </row>
    <row r="579" ht="15.75" customHeight="1">
      <c r="D579" s="588"/>
      <c r="E579" s="588"/>
      <c r="F579" s="588"/>
    </row>
    <row r="580" ht="15.75" customHeight="1">
      <c r="D580" s="588"/>
      <c r="E580" s="588"/>
      <c r="F580" s="588"/>
    </row>
    <row r="581" ht="15.75" customHeight="1">
      <c r="D581" s="588"/>
      <c r="E581" s="588"/>
      <c r="F581" s="588"/>
    </row>
    <row r="582" ht="15.75" customHeight="1">
      <c r="D582" s="588"/>
      <c r="E582" s="588"/>
      <c r="F582" s="588"/>
    </row>
    <row r="583" ht="15.75" customHeight="1">
      <c r="D583" s="588"/>
      <c r="E583" s="588"/>
      <c r="F583" s="588"/>
    </row>
    <row r="584" ht="15.75" customHeight="1">
      <c r="D584" s="588"/>
      <c r="E584" s="588"/>
      <c r="F584" s="588"/>
    </row>
    <row r="585" ht="15.75" customHeight="1">
      <c r="D585" s="588"/>
      <c r="E585" s="588"/>
      <c r="F585" s="588"/>
    </row>
    <row r="586" ht="15.75" customHeight="1">
      <c r="D586" s="588"/>
      <c r="E586" s="588"/>
      <c r="F586" s="588"/>
    </row>
    <row r="587" ht="15.75" customHeight="1">
      <c r="D587" s="588"/>
      <c r="E587" s="588"/>
      <c r="F587" s="588"/>
    </row>
    <row r="588" ht="15.75" customHeight="1">
      <c r="D588" s="588"/>
      <c r="E588" s="588"/>
      <c r="F588" s="588"/>
    </row>
    <row r="589" ht="15.75" customHeight="1">
      <c r="D589" s="588"/>
      <c r="E589" s="588"/>
      <c r="F589" s="588"/>
    </row>
    <row r="590" ht="15.75" customHeight="1">
      <c r="D590" s="588"/>
      <c r="E590" s="588"/>
      <c r="F590" s="588"/>
    </row>
    <row r="591" ht="15.75" customHeight="1">
      <c r="D591" s="588"/>
      <c r="E591" s="588"/>
      <c r="F591" s="588"/>
    </row>
    <row r="592" ht="15.75" customHeight="1">
      <c r="D592" s="588"/>
      <c r="E592" s="588"/>
      <c r="F592" s="588"/>
    </row>
    <row r="593" ht="15.75" customHeight="1">
      <c r="D593" s="588"/>
      <c r="E593" s="588"/>
      <c r="F593" s="588"/>
    </row>
    <row r="594" ht="15.75" customHeight="1">
      <c r="D594" s="588"/>
      <c r="E594" s="588"/>
      <c r="F594" s="588"/>
    </row>
    <row r="595" ht="15.75" customHeight="1">
      <c r="D595" s="588"/>
      <c r="E595" s="588"/>
      <c r="F595" s="588"/>
    </row>
    <row r="596" ht="15.75" customHeight="1">
      <c r="D596" s="588"/>
      <c r="E596" s="588"/>
      <c r="F596" s="588"/>
    </row>
    <row r="597" ht="15.75" customHeight="1">
      <c r="D597" s="588"/>
      <c r="E597" s="588"/>
      <c r="F597" s="588"/>
    </row>
    <row r="598" ht="15.75" customHeight="1">
      <c r="D598" s="588"/>
      <c r="E598" s="588"/>
      <c r="F598" s="588"/>
    </row>
    <row r="599" ht="15.75" customHeight="1">
      <c r="D599" s="588"/>
      <c r="E599" s="588"/>
      <c r="F599" s="588"/>
    </row>
    <row r="600" ht="15.75" customHeight="1">
      <c r="D600" s="588"/>
      <c r="E600" s="588"/>
      <c r="F600" s="588"/>
    </row>
    <row r="601" ht="15.75" customHeight="1">
      <c r="D601" s="588"/>
      <c r="E601" s="588"/>
      <c r="F601" s="588"/>
    </row>
    <row r="602" ht="15.75" customHeight="1">
      <c r="D602" s="588"/>
      <c r="E602" s="588"/>
      <c r="F602" s="588"/>
    </row>
    <row r="603" ht="15.75" customHeight="1">
      <c r="D603" s="588"/>
      <c r="E603" s="588"/>
      <c r="F603" s="588"/>
    </row>
    <row r="604" ht="15.75" customHeight="1">
      <c r="D604" s="588"/>
      <c r="E604" s="588"/>
      <c r="F604" s="588"/>
    </row>
    <row r="605" ht="15.75" customHeight="1">
      <c r="D605" s="588"/>
      <c r="E605" s="588"/>
      <c r="F605" s="588"/>
    </row>
    <row r="606" ht="15.75" customHeight="1">
      <c r="D606" s="588"/>
      <c r="E606" s="588"/>
      <c r="F606" s="588"/>
    </row>
    <row r="607" ht="15.75" customHeight="1">
      <c r="D607" s="588"/>
      <c r="E607" s="588"/>
      <c r="F607" s="588"/>
    </row>
    <row r="608" ht="15.75" customHeight="1">
      <c r="D608" s="588"/>
      <c r="E608" s="588"/>
      <c r="F608" s="588"/>
    </row>
    <row r="609" ht="15.75" customHeight="1">
      <c r="D609" s="588"/>
      <c r="E609" s="588"/>
      <c r="F609" s="588"/>
    </row>
    <row r="610" ht="15.75" customHeight="1">
      <c r="D610" s="588"/>
      <c r="E610" s="588"/>
      <c r="F610" s="588"/>
    </row>
    <row r="611" ht="15.75" customHeight="1">
      <c r="D611" s="588"/>
      <c r="E611" s="588"/>
      <c r="F611" s="588"/>
    </row>
    <row r="612" ht="15.75" customHeight="1">
      <c r="D612" s="588"/>
      <c r="E612" s="588"/>
      <c r="F612" s="588"/>
    </row>
    <row r="613" ht="15.75" customHeight="1">
      <c r="D613" s="588"/>
      <c r="E613" s="588"/>
      <c r="F613" s="588"/>
    </row>
    <row r="614" ht="15.75" customHeight="1">
      <c r="D614" s="588"/>
      <c r="E614" s="588"/>
      <c r="F614" s="588"/>
    </row>
    <row r="615" ht="15.75" customHeight="1">
      <c r="D615" s="588"/>
      <c r="E615" s="588"/>
      <c r="F615" s="588"/>
    </row>
    <row r="616" ht="15.75" customHeight="1">
      <c r="D616" s="588"/>
      <c r="E616" s="588"/>
      <c r="F616" s="588"/>
    </row>
    <row r="617" ht="15.75" customHeight="1">
      <c r="D617" s="588"/>
      <c r="E617" s="588"/>
      <c r="F617" s="588"/>
    </row>
    <row r="618" ht="15.75" customHeight="1">
      <c r="D618" s="588"/>
      <c r="E618" s="588"/>
      <c r="F618" s="588"/>
    </row>
    <row r="619" ht="15.75" customHeight="1">
      <c r="D619" s="588"/>
      <c r="E619" s="588"/>
      <c r="F619" s="588"/>
    </row>
    <row r="620" ht="15.75" customHeight="1">
      <c r="D620" s="588"/>
      <c r="E620" s="588"/>
      <c r="F620" s="588"/>
    </row>
    <row r="621" ht="15.75" customHeight="1">
      <c r="D621" s="588"/>
      <c r="E621" s="588"/>
      <c r="F621" s="588"/>
    </row>
    <row r="622" ht="15.75" customHeight="1">
      <c r="D622" s="588"/>
      <c r="E622" s="588"/>
      <c r="F622" s="588"/>
    </row>
    <row r="623" ht="15.75" customHeight="1">
      <c r="D623" s="588"/>
      <c r="E623" s="588"/>
      <c r="F623" s="588"/>
    </row>
    <row r="624" ht="15.75" customHeight="1">
      <c r="D624" s="588"/>
      <c r="E624" s="588"/>
      <c r="F624" s="588"/>
    </row>
    <row r="625" ht="15.75" customHeight="1">
      <c r="D625" s="588"/>
      <c r="E625" s="588"/>
      <c r="F625" s="588"/>
    </row>
    <row r="626" ht="15.75" customHeight="1">
      <c r="D626" s="588"/>
      <c r="E626" s="588"/>
      <c r="F626" s="588"/>
    </row>
    <row r="627" ht="15.75" customHeight="1">
      <c r="D627" s="588"/>
      <c r="E627" s="588"/>
      <c r="F627" s="588"/>
    </row>
    <row r="628" ht="15.75" customHeight="1">
      <c r="D628" s="588"/>
      <c r="E628" s="588"/>
      <c r="F628" s="588"/>
    </row>
    <row r="629" ht="15.75" customHeight="1">
      <c r="D629" s="588"/>
      <c r="E629" s="588"/>
      <c r="F629" s="588"/>
    </row>
    <row r="630" ht="15.75" customHeight="1">
      <c r="D630" s="588"/>
      <c r="E630" s="588"/>
      <c r="F630" s="588"/>
    </row>
    <row r="631" ht="15.75" customHeight="1">
      <c r="D631" s="588"/>
      <c r="E631" s="588"/>
      <c r="F631" s="588"/>
    </row>
    <row r="632" ht="15.75" customHeight="1">
      <c r="D632" s="588"/>
      <c r="E632" s="588"/>
      <c r="F632" s="588"/>
    </row>
    <row r="633" ht="15.75" customHeight="1">
      <c r="D633" s="588"/>
      <c r="E633" s="588"/>
      <c r="F633" s="588"/>
    </row>
    <row r="634" ht="15.75" customHeight="1">
      <c r="D634" s="588"/>
      <c r="E634" s="588"/>
      <c r="F634" s="588"/>
    </row>
    <row r="635" ht="15.75" customHeight="1">
      <c r="D635" s="588"/>
      <c r="E635" s="588"/>
      <c r="F635" s="588"/>
    </row>
    <row r="636" ht="15.75" customHeight="1">
      <c r="D636" s="588"/>
      <c r="E636" s="588"/>
      <c r="F636" s="588"/>
    </row>
    <row r="637" ht="15.75" customHeight="1">
      <c r="D637" s="588"/>
      <c r="E637" s="588"/>
      <c r="F637" s="588"/>
    </row>
    <row r="638" ht="15.75" customHeight="1">
      <c r="D638" s="588"/>
      <c r="E638" s="588"/>
      <c r="F638" s="588"/>
    </row>
    <row r="639" ht="15.75" customHeight="1">
      <c r="D639" s="588"/>
      <c r="E639" s="588"/>
      <c r="F639" s="588"/>
    </row>
    <row r="640" ht="15.75" customHeight="1">
      <c r="D640" s="588"/>
      <c r="E640" s="588"/>
      <c r="F640" s="588"/>
    </row>
    <row r="641" ht="15.75" customHeight="1">
      <c r="D641" s="588"/>
      <c r="E641" s="588"/>
      <c r="F641" s="588"/>
    </row>
    <row r="642" ht="15.75" customHeight="1">
      <c r="D642" s="588"/>
      <c r="E642" s="588"/>
      <c r="F642" s="588"/>
    </row>
    <row r="643" ht="15.75" customHeight="1">
      <c r="D643" s="588"/>
      <c r="E643" s="588"/>
      <c r="F643" s="588"/>
    </row>
    <row r="644" ht="15.75" customHeight="1">
      <c r="D644" s="588"/>
      <c r="E644" s="588"/>
      <c r="F644" s="588"/>
    </row>
    <row r="645" ht="15.75" customHeight="1">
      <c r="D645" s="588"/>
      <c r="E645" s="588"/>
      <c r="F645" s="588"/>
    </row>
    <row r="646" ht="15.75" customHeight="1">
      <c r="D646" s="588"/>
      <c r="E646" s="588"/>
      <c r="F646" s="588"/>
    </row>
    <row r="647" ht="15.75" customHeight="1">
      <c r="D647" s="588"/>
      <c r="E647" s="588"/>
      <c r="F647" s="588"/>
    </row>
    <row r="648" ht="15.75" customHeight="1">
      <c r="D648" s="588"/>
      <c r="E648" s="588"/>
      <c r="F648" s="588"/>
    </row>
    <row r="649" ht="15.75" customHeight="1">
      <c r="D649" s="588"/>
      <c r="E649" s="588"/>
      <c r="F649" s="588"/>
    </row>
    <row r="650" ht="15.75" customHeight="1">
      <c r="D650" s="588"/>
      <c r="E650" s="588"/>
      <c r="F650" s="588"/>
    </row>
    <row r="651" ht="15.75" customHeight="1">
      <c r="D651" s="588"/>
      <c r="E651" s="588"/>
      <c r="F651" s="588"/>
    </row>
    <row r="652" ht="15.75" customHeight="1">
      <c r="D652" s="588"/>
      <c r="E652" s="588"/>
      <c r="F652" s="588"/>
    </row>
    <row r="653" ht="15.75" customHeight="1">
      <c r="D653" s="588"/>
      <c r="E653" s="588"/>
      <c r="F653" s="588"/>
    </row>
    <row r="654" ht="15.75" customHeight="1">
      <c r="D654" s="588"/>
      <c r="E654" s="588"/>
      <c r="F654" s="588"/>
    </row>
    <row r="655" ht="15.75" customHeight="1">
      <c r="D655" s="588"/>
      <c r="E655" s="588"/>
      <c r="F655" s="588"/>
    </row>
    <row r="656" ht="15.75" customHeight="1">
      <c r="D656" s="588"/>
      <c r="E656" s="588"/>
      <c r="F656" s="588"/>
    </row>
    <row r="657" ht="15.75" customHeight="1">
      <c r="D657" s="588"/>
      <c r="E657" s="588"/>
      <c r="F657" s="588"/>
    </row>
    <row r="658" ht="15.75" customHeight="1">
      <c r="D658" s="588"/>
      <c r="E658" s="588"/>
      <c r="F658" s="588"/>
    </row>
    <row r="659" ht="15.75" customHeight="1">
      <c r="D659" s="588"/>
      <c r="E659" s="588"/>
      <c r="F659" s="588"/>
    </row>
    <row r="660" ht="15.75" customHeight="1">
      <c r="D660" s="588"/>
      <c r="E660" s="588"/>
      <c r="F660" s="588"/>
    </row>
    <row r="661" ht="15.75" customHeight="1">
      <c r="D661" s="588"/>
      <c r="E661" s="588"/>
      <c r="F661" s="588"/>
    </row>
    <row r="662" ht="15.75" customHeight="1">
      <c r="D662" s="588"/>
      <c r="E662" s="588"/>
      <c r="F662" s="588"/>
    </row>
    <row r="663" ht="15.75" customHeight="1">
      <c r="D663" s="588"/>
      <c r="E663" s="588"/>
      <c r="F663" s="588"/>
    </row>
    <row r="664" ht="15.75" customHeight="1">
      <c r="D664" s="588"/>
      <c r="E664" s="588"/>
      <c r="F664" s="588"/>
    </row>
    <row r="665" ht="15.75" customHeight="1">
      <c r="D665" s="588"/>
      <c r="E665" s="588"/>
      <c r="F665" s="588"/>
    </row>
    <row r="666" ht="15.75" customHeight="1">
      <c r="D666" s="588"/>
      <c r="E666" s="588"/>
      <c r="F666" s="588"/>
    </row>
    <row r="667" ht="15.75" customHeight="1">
      <c r="D667" s="588"/>
      <c r="E667" s="588"/>
      <c r="F667" s="588"/>
    </row>
    <row r="668" ht="15.75" customHeight="1">
      <c r="D668" s="588"/>
      <c r="E668" s="588"/>
      <c r="F668" s="588"/>
    </row>
    <row r="669" ht="15.75" customHeight="1">
      <c r="D669" s="588"/>
      <c r="E669" s="588"/>
      <c r="F669" s="588"/>
    </row>
    <row r="670" ht="15.75" customHeight="1">
      <c r="D670" s="588"/>
      <c r="E670" s="588"/>
      <c r="F670" s="588"/>
    </row>
    <row r="671" ht="15.75" customHeight="1">
      <c r="D671" s="588"/>
      <c r="E671" s="588"/>
      <c r="F671" s="588"/>
    </row>
    <row r="672" ht="15.75" customHeight="1">
      <c r="D672" s="588"/>
      <c r="E672" s="588"/>
      <c r="F672" s="588"/>
    </row>
    <row r="673" ht="15.75" customHeight="1">
      <c r="D673" s="588"/>
      <c r="E673" s="588"/>
      <c r="F673" s="588"/>
    </row>
    <row r="674" ht="15.75" customHeight="1">
      <c r="D674" s="588"/>
      <c r="E674" s="588"/>
      <c r="F674" s="588"/>
    </row>
    <row r="675" ht="15.75" customHeight="1">
      <c r="D675" s="588"/>
      <c r="E675" s="588"/>
      <c r="F675" s="588"/>
    </row>
    <row r="676" ht="15.75" customHeight="1">
      <c r="D676" s="588"/>
      <c r="E676" s="588"/>
      <c r="F676" s="588"/>
    </row>
    <row r="677" ht="15.75" customHeight="1">
      <c r="D677" s="588"/>
      <c r="E677" s="588"/>
      <c r="F677" s="588"/>
    </row>
    <row r="678" ht="15.75" customHeight="1">
      <c r="D678" s="588"/>
      <c r="E678" s="588"/>
      <c r="F678" s="588"/>
    </row>
    <row r="679" ht="15.75" customHeight="1">
      <c r="D679" s="588"/>
      <c r="E679" s="588"/>
      <c r="F679" s="588"/>
    </row>
    <row r="680" ht="15.75" customHeight="1">
      <c r="D680" s="588"/>
      <c r="E680" s="588"/>
      <c r="F680" s="588"/>
    </row>
    <row r="681" ht="15.75" customHeight="1">
      <c r="D681" s="588"/>
      <c r="E681" s="588"/>
      <c r="F681" s="588"/>
    </row>
    <row r="682" ht="15.75" customHeight="1">
      <c r="D682" s="588"/>
      <c r="E682" s="588"/>
      <c r="F682" s="588"/>
    </row>
    <row r="683" ht="15.75" customHeight="1">
      <c r="D683" s="588"/>
      <c r="E683" s="588"/>
      <c r="F683" s="588"/>
    </row>
    <row r="684" ht="15.75" customHeight="1">
      <c r="D684" s="588"/>
      <c r="E684" s="588"/>
      <c r="F684" s="588"/>
    </row>
    <row r="685" ht="15.75" customHeight="1">
      <c r="D685" s="588"/>
      <c r="E685" s="588"/>
      <c r="F685" s="588"/>
    </row>
    <row r="686" ht="15.75" customHeight="1">
      <c r="D686" s="588"/>
      <c r="E686" s="588"/>
      <c r="F686" s="588"/>
    </row>
    <row r="687" ht="15.75" customHeight="1">
      <c r="D687" s="588"/>
      <c r="E687" s="588"/>
      <c r="F687" s="588"/>
    </row>
    <row r="688" ht="15.75" customHeight="1">
      <c r="D688" s="588"/>
      <c r="E688" s="588"/>
      <c r="F688" s="588"/>
    </row>
    <row r="689" ht="15.75" customHeight="1">
      <c r="D689" s="588"/>
      <c r="E689" s="588"/>
      <c r="F689" s="588"/>
    </row>
    <row r="690" ht="15.75" customHeight="1">
      <c r="D690" s="588"/>
      <c r="E690" s="588"/>
      <c r="F690" s="588"/>
    </row>
    <row r="691" ht="15.75" customHeight="1">
      <c r="D691" s="588"/>
      <c r="E691" s="588"/>
      <c r="F691" s="588"/>
    </row>
    <row r="692" ht="15.75" customHeight="1">
      <c r="D692" s="588"/>
      <c r="E692" s="588"/>
      <c r="F692" s="588"/>
    </row>
    <row r="693" ht="15.75" customHeight="1">
      <c r="D693" s="588"/>
      <c r="E693" s="588"/>
      <c r="F693" s="588"/>
    </row>
    <row r="694" ht="15.75" customHeight="1">
      <c r="D694" s="588"/>
      <c r="E694" s="588"/>
      <c r="F694" s="588"/>
    </row>
    <row r="695" ht="15.75" customHeight="1">
      <c r="D695" s="588"/>
      <c r="E695" s="588"/>
      <c r="F695" s="588"/>
    </row>
    <row r="696" ht="15.75" customHeight="1">
      <c r="D696" s="588"/>
      <c r="E696" s="588"/>
      <c r="F696" s="588"/>
    </row>
    <row r="697" ht="15.75" customHeight="1">
      <c r="D697" s="588"/>
      <c r="E697" s="588"/>
      <c r="F697" s="588"/>
    </row>
    <row r="698" ht="15.75" customHeight="1">
      <c r="D698" s="588"/>
      <c r="E698" s="588"/>
      <c r="F698" s="588"/>
    </row>
    <row r="699" ht="15.75" customHeight="1">
      <c r="D699" s="588"/>
      <c r="E699" s="588"/>
      <c r="F699" s="588"/>
    </row>
    <row r="700" ht="15.75" customHeight="1">
      <c r="D700" s="588"/>
      <c r="E700" s="588"/>
      <c r="F700" s="588"/>
    </row>
    <row r="701" ht="15.75" customHeight="1">
      <c r="D701" s="588"/>
      <c r="E701" s="588"/>
      <c r="F701" s="588"/>
    </row>
    <row r="702" ht="15.75" customHeight="1">
      <c r="D702" s="588"/>
      <c r="E702" s="588"/>
      <c r="F702" s="588"/>
    </row>
    <row r="703" ht="15.75" customHeight="1">
      <c r="D703" s="588"/>
      <c r="E703" s="588"/>
      <c r="F703" s="588"/>
    </row>
    <row r="704" ht="15.75" customHeight="1">
      <c r="D704" s="588"/>
      <c r="E704" s="588"/>
      <c r="F704" s="588"/>
    </row>
    <row r="705" ht="15.75" customHeight="1">
      <c r="D705" s="588"/>
      <c r="E705" s="588"/>
      <c r="F705" s="588"/>
    </row>
    <row r="706" ht="15.75" customHeight="1">
      <c r="D706" s="588"/>
      <c r="E706" s="588"/>
      <c r="F706" s="588"/>
    </row>
    <row r="707" ht="15.75" customHeight="1">
      <c r="D707" s="588"/>
      <c r="E707" s="588"/>
      <c r="F707" s="588"/>
    </row>
    <row r="708" ht="15.75" customHeight="1">
      <c r="D708" s="588"/>
      <c r="E708" s="588"/>
      <c r="F708" s="588"/>
    </row>
    <row r="709" ht="15.75" customHeight="1">
      <c r="D709" s="588"/>
      <c r="E709" s="588"/>
      <c r="F709" s="588"/>
    </row>
    <row r="710" ht="15.75" customHeight="1">
      <c r="D710" s="588"/>
      <c r="E710" s="588"/>
      <c r="F710" s="588"/>
    </row>
    <row r="711" ht="15.75" customHeight="1">
      <c r="D711" s="588"/>
      <c r="E711" s="588"/>
      <c r="F711" s="588"/>
    </row>
    <row r="712" ht="15.75" customHeight="1">
      <c r="D712" s="588"/>
      <c r="E712" s="588"/>
      <c r="F712" s="588"/>
    </row>
    <row r="713" ht="15.75" customHeight="1">
      <c r="D713" s="588"/>
      <c r="E713" s="588"/>
      <c r="F713" s="588"/>
    </row>
    <row r="714" ht="15.75" customHeight="1">
      <c r="D714" s="588"/>
      <c r="E714" s="588"/>
      <c r="F714" s="588"/>
    </row>
    <row r="715" ht="15.75" customHeight="1">
      <c r="D715" s="588"/>
      <c r="E715" s="588"/>
      <c r="F715" s="588"/>
    </row>
    <row r="716" ht="15.75" customHeight="1">
      <c r="D716" s="588"/>
      <c r="E716" s="588"/>
      <c r="F716" s="588"/>
    </row>
    <row r="717" ht="15.75" customHeight="1">
      <c r="D717" s="588"/>
      <c r="E717" s="588"/>
      <c r="F717" s="588"/>
    </row>
    <row r="718" ht="15.75" customHeight="1">
      <c r="D718" s="588"/>
      <c r="E718" s="588"/>
      <c r="F718" s="588"/>
    </row>
    <row r="719" ht="15.75" customHeight="1">
      <c r="D719" s="588"/>
      <c r="E719" s="588"/>
      <c r="F719" s="588"/>
    </row>
    <row r="720" ht="15.75" customHeight="1">
      <c r="D720" s="588"/>
      <c r="E720" s="588"/>
      <c r="F720" s="588"/>
    </row>
    <row r="721" ht="15.75" customHeight="1">
      <c r="D721" s="588"/>
      <c r="E721" s="588"/>
      <c r="F721" s="588"/>
    </row>
    <row r="722" ht="15.75" customHeight="1">
      <c r="D722" s="588"/>
      <c r="E722" s="588"/>
      <c r="F722" s="588"/>
    </row>
    <row r="723" ht="15.75" customHeight="1">
      <c r="D723" s="588"/>
      <c r="E723" s="588"/>
      <c r="F723" s="588"/>
    </row>
    <row r="724" ht="15.75" customHeight="1">
      <c r="D724" s="588"/>
      <c r="E724" s="588"/>
      <c r="F724" s="588"/>
    </row>
    <row r="725" ht="15.75" customHeight="1">
      <c r="D725" s="588"/>
      <c r="E725" s="588"/>
      <c r="F725" s="588"/>
    </row>
    <row r="726" ht="15.75" customHeight="1">
      <c r="D726" s="588"/>
      <c r="E726" s="588"/>
      <c r="F726" s="588"/>
    </row>
    <row r="727" ht="15.75" customHeight="1">
      <c r="D727" s="588"/>
      <c r="E727" s="588"/>
      <c r="F727" s="588"/>
    </row>
    <row r="728" ht="15.75" customHeight="1">
      <c r="D728" s="588"/>
      <c r="E728" s="588"/>
      <c r="F728" s="588"/>
    </row>
    <row r="729" ht="15.75" customHeight="1">
      <c r="D729" s="588"/>
      <c r="E729" s="588"/>
      <c r="F729" s="588"/>
    </row>
    <row r="730" ht="15.75" customHeight="1">
      <c r="D730" s="588"/>
      <c r="E730" s="588"/>
      <c r="F730" s="588"/>
    </row>
    <row r="731" ht="15.75" customHeight="1">
      <c r="D731" s="588"/>
      <c r="E731" s="588"/>
      <c r="F731" s="588"/>
    </row>
    <row r="732" ht="15.75" customHeight="1">
      <c r="D732" s="588"/>
      <c r="E732" s="588"/>
      <c r="F732" s="588"/>
    </row>
    <row r="733" ht="15.75" customHeight="1">
      <c r="D733" s="588"/>
      <c r="E733" s="588"/>
      <c r="F733" s="588"/>
    </row>
    <row r="734" ht="15.75" customHeight="1">
      <c r="D734" s="588"/>
      <c r="E734" s="588"/>
      <c r="F734" s="588"/>
    </row>
    <row r="735" ht="15.75" customHeight="1">
      <c r="D735" s="588"/>
      <c r="E735" s="588"/>
      <c r="F735" s="588"/>
    </row>
    <row r="736" ht="15.75" customHeight="1">
      <c r="D736" s="588"/>
      <c r="E736" s="588"/>
      <c r="F736" s="588"/>
    </row>
    <row r="737" ht="15.75" customHeight="1">
      <c r="D737" s="588"/>
      <c r="E737" s="588"/>
      <c r="F737" s="588"/>
    </row>
    <row r="738" ht="15.75" customHeight="1">
      <c r="D738" s="588"/>
      <c r="E738" s="588"/>
      <c r="F738" s="588"/>
    </row>
    <row r="739" ht="15.75" customHeight="1">
      <c r="D739" s="588"/>
      <c r="E739" s="588"/>
      <c r="F739" s="588"/>
    </row>
    <row r="740" ht="15.75" customHeight="1">
      <c r="D740" s="588"/>
      <c r="E740" s="588"/>
      <c r="F740" s="588"/>
    </row>
    <row r="741" ht="15.75" customHeight="1">
      <c r="D741" s="588"/>
      <c r="E741" s="588"/>
      <c r="F741" s="588"/>
    </row>
    <row r="742" ht="15.75" customHeight="1">
      <c r="D742" s="588"/>
      <c r="E742" s="588"/>
      <c r="F742" s="588"/>
    </row>
    <row r="743" ht="15.75" customHeight="1">
      <c r="D743" s="588"/>
      <c r="E743" s="588"/>
      <c r="F743" s="588"/>
    </row>
    <row r="744" ht="15.75" customHeight="1">
      <c r="D744" s="588"/>
      <c r="E744" s="588"/>
      <c r="F744" s="588"/>
    </row>
    <row r="745" ht="15.75" customHeight="1">
      <c r="D745" s="588"/>
      <c r="E745" s="588"/>
      <c r="F745" s="588"/>
    </row>
    <row r="746" ht="15.75" customHeight="1">
      <c r="D746" s="588"/>
      <c r="E746" s="588"/>
      <c r="F746" s="588"/>
    </row>
    <row r="747" ht="15.75" customHeight="1">
      <c r="D747" s="588"/>
      <c r="E747" s="588"/>
      <c r="F747" s="588"/>
    </row>
    <row r="748" ht="15.75" customHeight="1">
      <c r="D748" s="588"/>
      <c r="E748" s="588"/>
      <c r="F748" s="588"/>
    </row>
    <row r="749" ht="15.75" customHeight="1">
      <c r="D749" s="588"/>
      <c r="E749" s="588"/>
      <c r="F749" s="588"/>
    </row>
    <row r="750" ht="15.75" customHeight="1">
      <c r="D750" s="588"/>
      <c r="E750" s="588"/>
      <c r="F750" s="588"/>
    </row>
    <row r="751" ht="15.75" customHeight="1">
      <c r="D751" s="588"/>
      <c r="E751" s="588"/>
      <c r="F751" s="588"/>
    </row>
    <row r="752" ht="15.75" customHeight="1">
      <c r="D752" s="588"/>
      <c r="E752" s="588"/>
      <c r="F752" s="588"/>
    </row>
    <row r="753" ht="15.75" customHeight="1">
      <c r="D753" s="588"/>
      <c r="E753" s="588"/>
      <c r="F753" s="588"/>
    </row>
    <row r="754" ht="15.75" customHeight="1">
      <c r="D754" s="588"/>
      <c r="E754" s="588"/>
      <c r="F754" s="588"/>
    </row>
    <row r="755" ht="15.75" customHeight="1">
      <c r="D755" s="588"/>
      <c r="E755" s="588"/>
      <c r="F755" s="588"/>
    </row>
    <row r="756" ht="15.75" customHeight="1">
      <c r="D756" s="588"/>
      <c r="E756" s="588"/>
      <c r="F756" s="588"/>
    </row>
    <row r="757" ht="15.75" customHeight="1">
      <c r="D757" s="588"/>
      <c r="E757" s="588"/>
      <c r="F757" s="588"/>
    </row>
    <row r="758" ht="15.75" customHeight="1">
      <c r="D758" s="588"/>
      <c r="E758" s="588"/>
      <c r="F758" s="588"/>
    </row>
    <row r="759" ht="15.75" customHeight="1">
      <c r="D759" s="588"/>
      <c r="E759" s="588"/>
      <c r="F759" s="588"/>
    </row>
    <row r="760" ht="15.75" customHeight="1">
      <c r="D760" s="588"/>
      <c r="E760" s="588"/>
      <c r="F760" s="588"/>
    </row>
    <row r="761" ht="15.75" customHeight="1">
      <c r="D761" s="588"/>
      <c r="E761" s="588"/>
      <c r="F761" s="588"/>
    </row>
    <row r="762" ht="15.75" customHeight="1">
      <c r="D762" s="588"/>
      <c r="E762" s="588"/>
      <c r="F762" s="588"/>
    </row>
    <row r="763" ht="15.75" customHeight="1">
      <c r="D763" s="588"/>
      <c r="E763" s="588"/>
      <c r="F763" s="588"/>
    </row>
    <row r="764" ht="15.75" customHeight="1">
      <c r="D764" s="588"/>
      <c r="E764" s="588"/>
      <c r="F764" s="588"/>
    </row>
    <row r="765" ht="15.75" customHeight="1">
      <c r="D765" s="588"/>
      <c r="E765" s="588"/>
      <c r="F765" s="588"/>
    </row>
    <row r="766" ht="15.75" customHeight="1">
      <c r="D766" s="588"/>
      <c r="E766" s="588"/>
      <c r="F766" s="588"/>
    </row>
    <row r="767" ht="15.75" customHeight="1">
      <c r="D767" s="588"/>
      <c r="E767" s="588"/>
      <c r="F767" s="588"/>
    </row>
    <row r="768" ht="15.75" customHeight="1">
      <c r="D768" s="588"/>
      <c r="E768" s="588"/>
      <c r="F768" s="588"/>
    </row>
    <row r="769" ht="15.75" customHeight="1">
      <c r="D769" s="588"/>
      <c r="E769" s="588"/>
      <c r="F769" s="588"/>
    </row>
    <row r="770" ht="15.75" customHeight="1">
      <c r="D770" s="588"/>
      <c r="E770" s="588"/>
      <c r="F770" s="588"/>
    </row>
    <row r="771" ht="15.75" customHeight="1">
      <c r="D771" s="588"/>
      <c r="E771" s="588"/>
      <c r="F771" s="588"/>
    </row>
    <row r="772" ht="15.75" customHeight="1">
      <c r="D772" s="588"/>
      <c r="E772" s="588"/>
      <c r="F772" s="588"/>
    </row>
    <row r="773" ht="15.75" customHeight="1">
      <c r="D773" s="588"/>
      <c r="E773" s="588"/>
      <c r="F773" s="588"/>
    </row>
    <row r="774" ht="15.75" customHeight="1">
      <c r="D774" s="588"/>
      <c r="E774" s="588"/>
      <c r="F774" s="588"/>
    </row>
    <row r="775" ht="15.75" customHeight="1">
      <c r="D775" s="588"/>
      <c r="E775" s="588"/>
      <c r="F775" s="588"/>
    </row>
    <row r="776" ht="15.75" customHeight="1">
      <c r="D776" s="588"/>
      <c r="E776" s="588"/>
      <c r="F776" s="588"/>
    </row>
    <row r="777" ht="15.75" customHeight="1">
      <c r="D777" s="588"/>
      <c r="E777" s="588"/>
      <c r="F777" s="588"/>
    </row>
    <row r="778" ht="15.75" customHeight="1">
      <c r="D778" s="588"/>
      <c r="E778" s="588"/>
      <c r="F778" s="588"/>
    </row>
    <row r="779" ht="15.75" customHeight="1">
      <c r="D779" s="588"/>
      <c r="E779" s="588"/>
      <c r="F779" s="588"/>
    </row>
    <row r="780" ht="15.75" customHeight="1">
      <c r="D780" s="588"/>
      <c r="E780" s="588"/>
      <c r="F780" s="588"/>
    </row>
    <row r="781" ht="15.75" customHeight="1">
      <c r="D781" s="588"/>
      <c r="E781" s="588"/>
      <c r="F781" s="588"/>
    </row>
    <row r="782" ht="15.75" customHeight="1">
      <c r="D782" s="588"/>
      <c r="E782" s="588"/>
      <c r="F782" s="588"/>
    </row>
    <row r="783" ht="15.75" customHeight="1">
      <c r="D783" s="588"/>
      <c r="E783" s="588"/>
      <c r="F783" s="588"/>
    </row>
    <row r="784" ht="15.75" customHeight="1">
      <c r="D784" s="588"/>
      <c r="E784" s="588"/>
      <c r="F784" s="588"/>
    </row>
    <row r="785" ht="15.75" customHeight="1">
      <c r="D785" s="588"/>
      <c r="E785" s="588"/>
      <c r="F785" s="588"/>
    </row>
    <row r="786" ht="15.75" customHeight="1">
      <c r="D786" s="588"/>
      <c r="E786" s="588"/>
      <c r="F786" s="588"/>
    </row>
    <row r="787" ht="15.75" customHeight="1">
      <c r="D787" s="588"/>
      <c r="E787" s="588"/>
      <c r="F787" s="588"/>
    </row>
    <row r="788" ht="15.75" customHeight="1">
      <c r="D788" s="588"/>
      <c r="E788" s="588"/>
      <c r="F788" s="588"/>
    </row>
    <row r="789" ht="15.75" customHeight="1">
      <c r="D789" s="588"/>
      <c r="E789" s="588"/>
      <c r="F789" s="588"/>
    </row>
    <row r="790" ht="15.75" customHeight="1">
      <c r="D790" s="588"/>
      <c r="E790" s="588"/>
      <c r="F790" s="588"/>
    </row>
    <row r="791" ht="15.75" customHeight="1">
      <c r="D791" s="588"/>
      <c r="E791" s="588"/>
      <c r="F791" s="588"/>
    </row>
    <row r="792" ht="15.75" customHeight="1">
      <c r="D792" s="588"/>
      <c r="E792" s="588"/>
      <c r="F792" s="588"/>
    </row>
    <row r="793" ht="15.75" customHeight="1">
      <c r="D793" s="588"/>
      <c r="E793" s="588"/>
      <c r="F793" s="588"/>
    </row>
    <row r="794" ht="15.75" customHeight="1">
      <c r="D794" s="588"/>
      <c r="E794" s="588"/>
      <c r="F794" s="588"/>
    </row>
    <row r="795" ht="15.75" customHeight="1">
      <c r="D795" s="588"/>
      <c r="E795" s="588"/>
      <c r="F795" s="588"/>
    </row>
    <row r="796" ht="15.75" customHeight="1">
      <c r="D796" s="588"/>
      <c r="E796" s="588"/>
      <c r="F796" s="588"/>
    </row>
    <row r="797" ht="15.75" customHeight="1">
      <c r="D797" s="588"/>
      <c r="E797" s="588"/>
      <c r="F797" s="588"/>
    </row>
    <row r="798" ht="15.75" customHeight="1">
      <c r="D798" s="588"/>
      <c r="E798" s="588"/>
      <c r="F798" s="588"/>
    </row>
    <row r="799" ht="15.75" customHeight="1">
      <c r="D799" s="588"/>
      <c r="E799" s="588"/>
      <c r="F799" s="588"/>
    </row>
    <row r="800" ht="15.75" customHeight="1">
      <c r="D800" s="588"/>
      <c r="E800" s="588"/>
      <c r="F800" s="588"/>
    </row>
    <row r="801" ht="15.75" customHeight="1">
      <c r="D801" s="588"/>
      <c r="E801" s="588"/>
      <c r="F801" s="588"/>
    </row>
    <row r="802" ht="15.75" customHeight="1">
      <c r="D802" s="588"/>
      <c r="E802" s="588"/>
      <c r="F802" s="588"/>
    </row>
    <row r="803" ht="15.75" customHeight="1">
      <c r="D803" s="588"/>
      <c r="E803" s="588"/>
      <c r="F803" s="588"/>
    </row>
    <row r="804" ht="15.75" customHeight="1">
      <c r="D804" s="588"/>
      <c r="E804" s="588"/>
      <c r="F804" s="588"/>
    </row>
    <row r="805" ht="15.75" customHeight="1">
      <c r="D805" s="588"/>
      <c r="E805" s="588"/>
      <c r="F805" s="588"/>
    </row>
    <row r="806" ht="15.75" customHeight="1">
      <c r="D806" s="588"/>
      <c r="E806" s="588"/>
      <c r="F806" s="588"/>
    </row>
    <row r="807" ht="15.75" customHeight="1">
      <c r="D807" s="588"/>
      <c r="E807" s="588"/>
      <c r="F807" s="588"/>
    </row>
    <row r="808" ht="15.75" customHeight="1">
      <c r="D808" s="588"/>
      <c r="E808" s="588"/>
      <c r="F808" s="588"/>
    </row>
    <row r="809" ht="15.75" customHeight="1">
      <c r="D809" s="588"/>
      <c r="E809" s="588"/>
      <c r="F809" s="588"/>
    </row>
    <row r="810" ht="15.75" customHeight="1">
      <c r="D810" s="588"/>
      <c r="E810" s="588"/>
      <c r="F810" s="588"/>
    </row>
    <row r="811" ht="15.75" customHeight="1">
      <c r="D811" s="588"/>
      <c r="E811" s="588"/>
      <c r="F811" s="588"/>
    </row>
    <row r="812" ht="15.75" customHeight="1">
      <c r="D812" s="588"/>
      <c r="E812" s="588"/>
      <c r="F812" s="588"/>
    </row>
    <row r="813" ht="15.75" customHeight="1">
      <c r="D813" s="588"/>
      <c r="E813" s="588"/>
      <c r="F813" s="588"/>
    </row>
    <row r="814" ht="15.75" customHeight="1">
      <c r="D814" s="588"/>
      <c r="E814" s="588"/>
      <c r="F814" s="588"/>
    </row>
    <row r="815" ht="15.75" customHeight="1">
      <c r="D815" s="588"/>
      <c r="E815" s="588"/>
      <c r="F815" s="588"/>
    </row>
    <row r="816" ht="15.75" customHeight="1">
      <c r="D816" s="588"/>
      <c r="E816" s="588"/>
      <c r="F816" s="588"/>
    </row>
    <row r="817" ht="15.75" customHeight="1">
      <c r="D817" s="588"/>
      <c r="E817" s="588"/>
      <c r="F817" s="588"/>
    </row>
    <row r="818" ht="15.75" customHeight="1">
      <c r="D818" s="588"/>
      <c r="E818" s="588"/>
      <c r="F818" s="588"/>
    </row>
    <row r="819" ht="15.75" customHeight="1">
      <c r="D819" s="588"/>
      <c r="E819" s="588"/>
      <c r="F819" s="588"/>
    </row>
    <row r="820" ht="15.75" customHeight="1">
      <c r="D820" s="588"/>
      <c r="E820" s="588"/>
      <c r="F820" s="588"/>
    </row>
    <row r="821" ht="15.75" customHeight="1">
      <c r="D821" s="588"/>
      <c r="E821" s="588"/>
      <c r="F821" s="588"/>
    </row>
    <row r="822" ht="15.75" customHeight="1">
      <c r="D822" s="588"/>
      <c r="E822" s="588"/>
      <c r="F822" s="588"/>
    </row>
    <row r="823" ht="15.75" customHeight="1">
      <c r="D823" s="588"/>
      <c r="E823" s="588"/>
      <c r="F823" s="588"/>
    </row>
    <row r="824" ht="15.75" customHeight="1">
      <c r="D824" s="588"/>
      <c r="E824" s="588"/>
      <c r="F824" s="588"/>
    </row>
    <row r="825" ht="15.75" customHeight="1">
      <c r="D825" s="588"/>
      <c r="E825" s="588"/>
      <c r="F825" s="588"/>
    </row>
    <row r="826" ht="15.75" customHeight="1">
      <c r="D826" s="588"/>
      <c r="E826" s="588"/>
      <c r="F826" s="588"/>
    </row>
    <row r="827" ht="15.75" customHeight="1">
      <c r="D827" s="588"/>
      <c r="E827" s="588"/>
      <c r="F827" s="588"/>
    </row>
    <row r="828" ht="15.75" customHeight="1">
      <c r="D828" s="588"/>
      <c r="E828" s="588"/>
      <c r="F828" s="588"/>
    </row>
    <row r="829" ht="15.75" customHeight="1">
      <c r="D829" s="588"/>
      <c r="E829" s="588"/>
      <c r="F829" s="588"/>
    </row>
    <row r="830" ht="15.75" customHeight="1">
      <c r="D830" s="588"/>
      <c r="E830" s="588"/>
      <c r="F830" s="588"/>
    </row>
    <row r="831" ht="15.75" customHeight="1">
      <c r="D831" s="588"/>
      <c r="E831" s="588"/>
      <c r="F831" s="588"/>
    </row>
    <row r="832" ht="15.75" customHeight="1">
      <c r="D832" s="588"/>
      <c r="E832" s="588"/>
      <c r="F832" s="588"/>
    </row>
    <row r="833" ht="15.75" customHeight="1">
      <c r="D833" s="588"/>
      <c r="E833" s="588"/>
      <c r="F833" s="588"/>
    </row>
    <row r="834" ht="15.75" customHeight="1">
      <c r="D834" s="588"/>
      <c r="E834" s="588"/>
      <c r="F834" s="588"/>
    </row>
    <row r="835" ht="15.75" customHeight="1">
      <c r="D835" s="588"/>
      <c r="E835" s="588"/>
      <c r="F835" s="588"/>
    </row>
    <row r="836" ht="15.75" customHeight="1">
      <c r="D836" s="588"/>
      <c r="E836" s="588"/>
      <c r="F836" s="588"/>
    </row>
    <row r="837" ht="15.75" customHeight="1">
      <c r="D837" s="588"/>
      <c r="E837" s="588"/>
      <c r="F837" s="588"/>
    </row>
    <row r="838" ht="15.75" customHeight="1">
      <c r="D838" s="588"/>
      <c r="E838" s="588"/>
      <c r="F838" s="588"/>
    </row>
    <row r="839" ht="15.75" customHeight="1">
      <c r="D839" s="588"/>
      <c r="E839" s="588"/>
      <c r="F839" s="588"/>
    </row>
    <row r="840" ht="15.75" customHeight="1">
      <c r="D840" s="588"/>
      <c r="E840" s="588"/>
      <c r="F840" s="588"/>
    </row>
    <row r="841" ht="15.75" customHeight="1">
      <c r="D841" s="588"/>
      <c r="E841" s="588"/>
      <c r="F841" s="588"/>
    </row>
    <row r="842" ht="15.75" customHeight="1">
      <c r="D842" s="588"/>
      <c r="E842" s="588"/>
      <c r="F842" s="588"/>
    </row>
    <row r="843" ht="15.75" customHeight="1">
      <c r="D843" s="588"/>
      <c r="E843" s="588"/>
      <c r="F843" s="588"/>
    </row>
    <row r="844" ht="15.75" customHeight="1">
      <c r="D844" s="588"/>
      <c r="E844" s="588"/>
      <c r="F844" s="588"/>
    </row>
    <row r="845" ht="15.75" customHeight="1">
      <c r="D845" s="588"/>
      <c r="E845" s="588"/>
      <c r="F845" s="588"/>
    </row>
    <row r="846" ht="15.75" customHeight="1">
      <c r="D846" s="588"/>
      <c r="E846" s="588"/>
      <c r="F846" s="588"/>
    </row>
    <row r="847" ht="15.75" customHeight="1">
      <c r="D847" s="588"/>
      <c r="E847" s="588"/>
      <c r="F847" s="588"/>
    </row>
    <row r="848" ht="15.75" customHeight="1">
      <c r="D848" s="588"/>
      <c r="E848" s="588"/>
      <c r="F848" s="588"/>
    </row>
    <row r="849" ht="15.75" customHeight="1">
      <c r="D849" s="588"/>
      <c r="E849" s="588"/>
      <c r="F849" s="588"/>
    </row>
    <row r="850" ht="15.75" customHeight="1">
      <c r="D850" s="588"/>
      <c r="E850" s="588"/>
      <c r="F850" s="588"/>
    </row>
    <row r="851" ht="15.75" customHeight="1">
      <c r="D851" s="588"/>
      <c r="E851" s="588"/>
      <c r="F851" s="588"/>
    </row>
    <row r="852" ht="15.75" customHeight="1">
      <c r="D852" s="588"/>
      <c r="E852" s="588"/>
      <c r="F852" s="588"/>
    </row>
    <row r="853" ht="15.75" customHeight="1">
      <c r="D853" s="588"/>
      <c r="E853" s="588"/>
      <c r="F853" s="588"/>
    </row>
    <row r="854" ht="15.75" customHeight="1">
      <c r="D854" s="588"/>
      <c r="E854" s="588"/>
      <c r="F854" s="588"/>
    </row>
    <row r="855" ht="15.75" customHeight="1">
      <c r="D855" s="588"/>
      <c r="E855" s="588"/>
      <c r="F855" s="588"/>
    </row>
    <row r="856" ht="15.75" customHeight="1">
      <c r="D856" s="588"/>
      <c r="E856" s="588"/>
      <c r="F856" s="588"/>
    </row>
    <row r="857" ht="15.75" customHeight="1">
      <c r="D857" s="588"/>
      <c r="E857" s="588"/>
      <c r="F857" s="588"/>
    </row>
    <row r="858" ht="15.75" customHeight="1">
      <c r="D858" s="588"/>
      <c r="E858" s="588"/>
      <c r="F858" s="588"/>
    </row>
    <row r="859" ht="15.75" customHeight="1">
      <c r="D859" s="588"/>
      <c r="E859" s="588"/>
      <c r="F859" s="588"/>
    </row>
    <row r="860" ht="15.75" customHeight="1">
      <c r="D860" s="588"/>
      <c r="E860" s="588"/>
      <c r="F860" s="588"/>
    </row>
    <row r="861" ht="15.75" customHeight="1">
      <c r="D861" s="588"/>
      <c r="E861" s="588"/>
      <c r="F861" s="588"/>
    </row>
    <row r="862" ht="15.75" customHeight="1">
      <c r="D862" s="588"/>
      <c r="E862" s="588"/>
      <c r="F862" s="588"/>
    </row>
    <row r="863" ht="15.75" customHeight="1">
      <c r="D863" s="588"/>
      <c r="E863" s="588"/>
      <c r="F863" s="588"/>
    </row>
    <row r="864" ht="15.75" customHeight="1">
      <c r="D864" s="588"/>
      <c r="E864" s="588"/>
      <c r="F864" s="588"/>
    </row>
    <row r="865" ht="15.75" customHeight="1">
      <c r="D865" s="588"/>
      <c r="E865" s="588"/>
      <c r="F865" s="588"/>
    </row>
    <row r="866" ht="15.75" customHeight="1">
      <c r="D866" s="588"/>
      <c r="E866" s="588"/>
      <c r="F866" s="588"/>
    </row>
    <row r="867" ht="15.75" customHeight="1">
      <c r="D867" s="588"/>
      <c r="E867" s="588"/>
      <c r="F867" s="588"/>
    </row>
    <row r="868" ht="15.75" customHeight="1">
      <c r="D868" s="588"/>
      <c r="E868" s="588"/>
      <c r="F868" s="588"/>
    </row>
    <row r="869" ht="15.75" customHeight="1">
      <c r="D869" s="588"/>
      <c r="E869" s="588"/>
      <c r="F869" s="588"/>
    </row>
    <row r="870" ht="15.75" customHeight="1">
      <c r="D870" s="588"/>
      <c r="E870" s="588"/>
      <c r="F870" s="588"/>
    </row>
    <row r="871" ht="15.75" customHeight="1">
      <c r="D871" s="588"/>
      <c r="E871" s="588"/>
      <c r="F871" s="588"/>
    </row>
    <row r="872" ht="15.75" customHeight="1">
      <c r="D872" s="588"/>
      <c r="E872" s="588"/>
      <c r="F872" s="588"/>
    </row>
    <row r="873" ht="15.75" customHeight="1">
      <c r="D873" s="588"/>
      <c r="E873" s="588"/>
      <c r="F873" s="588"/>
    </row>
    <row r="874" ht="15.75" customHeight="1">
      <c r="D874" s="588"/>
      <c r="E874" s="588"/>
      <c r="F874" s="588"/>
    </row>
    <row r="875" ht="15.75" customHeight="1">
      <c r="D875" s="588"/>
      <c r="E875" s="588"/>
      <c r="F875" s="588"/>
    </row>
    <row r="876" ht="15.75" customHeight="1">
      <c r="D876" s="588"/>
      <c r="E876" s="588"/>
      <c r="F876" s="588"/>
    </row>
    <row r="877" ht="15.75" customHeight="1">
      <c r="D877" s="588"/>
      <c r="E877" s="588"/>
      <c r="F877" s="588"/>
    </row>
    <row r="878" ht="15.75" customHeight="1">
      <c r="D878" s="588"/>
      <c r="E878" s="588"/>
      <c r="F878" s="588"/>
    </row>
    <row r="879" ht="15.75" customHeight="1">
      <c r="D879" s="588"/>
      <c r="E879" s="588"/>
      <c r="F879" s="588"/>
    </row>
    <row r="880" ht="15.75" customHeight="1">
      <c r="D880" s="588"/>
      <c r="E880" s="588"/>
      <c r="F880" s="588"/>
    </row>
    <row r="881" ht="15.75" customHeight="1">
      <c r="D881" s="588"/>
      <c r="E881" s="588"/>
      <c r="F881" s="588"/>
    </row>
    <row r="882" ht="15.75" customHeight="1">
      <c r="D882" s="588"/>
      <c r="E882" s="588"/>
      <c r="F882" s="588"/>
    </row>
    <row r="883" ht="15.75" customHeight="1">
      <c r="D883" s="588"/>
      <c r="E883" s="588"/>
      <c r="F883" s="588"/>
    </row>
    <row r="884" ht="15.75" customHeight="1">
      <c r="D884" s="588"/>
      <c r="E884" s="588"/>
      <c r="F884" s="588"/>
    </row>
    <row r="885" ht="15.75" customHeight="1">
      <c r="D885" s="588"/>
      <c r="E885" s="588"/>
      <c r="F885" s="588"/>
    </row>
    <row r="886" ht="15.75" customHeight="1">
      <c r="D886" s="588"/>
      <c r="E886" s="588"/>
      <c r="F886" s="588"/>
    </row>
    <row r="887" ht="15.75" customHeight="1">
      <c r="D887" s="588"/>
      <c r="E887" s="588"/>
      <c r="F887" s="588"/>
    </row>
    <row r="888" ht="15.75" customHeight="1">
      <c r="D888" s="588"/>
      <c r="E888" s="588"/>
      <c r="F888" s="588"/>
    </row>
    <row r="889" ht="15.75" customHeight="1">
      <c r="D889" s="588"/>
      <c r="E889" s="588"/>
      <c r="F889" s="588"/>
    </row>
    <row r="890" ht="15.75" customHeight="1">
      <c r="D890" s="588"/>
      <c r="E890" s="588"/>
      <c r="F890" s="588"/>
    </row>
    <row r="891" ht="15.75" customHeight="1">
      <c r="D891" s="588"/>
      <c r="E891" s="588"/>
      <c r="F891" s="588"/>
    </row>
    <row r="892" ht="15.75" customHeight="1">
      <c r="D892" s="588"/>
      <c r="E892" s="588"/>
      <c r="F892" s="588"/>
    </row>
    <row r="893" ht="15.75" customHeight="1">
      <c r="D893" s="588"/>
      <c r="E893" s="588"/>
      <c r="F893" s="588"/>
    </row>
    <row r="894" ht="15.75" customHeight="1">
      <c r="D894" s="588"/>
      <c r="E894" s="588"/>
      <c r="F894" s="588"/>
    </row>
    <row r="895" ht="15.75" customHeight="1">
      <c r="D895" s="588"/>
      <c r="E895" s="588"/>
      <c r="F895" s="588"/>
    </row>
    <row r="896" ht="15.75" customHeight="1">
      <c r="D896" s="588"/>
      <c r="E896" s="588"/>
      <c r="F896" s="588"/>
    </row>
    <row r="897" ht="15.75" customHeight="1">
      <c r="D897" s="588"/>
      <c r="E897" s="588"/>
      <c r="F897" s="588"/>
    </row>
    <row r="898" ht="15.75" customHeight="1">
      <c r="D898" s="588"/>
      <c r="E898" s="588"/>
      <c r="F898" s="588"/>
    </row>
    <row r="899" ht="15.75" customHeight="1">
      <c r="D899" s="588"/>
      <c r="E899" s="588"/>
      <c r="F899" s="588"/>
    </row>
    <row r="900" ht="15.75" customHeight="1">
      <c r="D900" s="588"/>
      <c r="E900" s="588"/>
      <c r="F900" s="588"/>
    </row>
    <row r="901" ht="15.75" customHeight="1">
      <c r="D901" s="588"/>
      <c r="E901" s="588"/>
      <c r="F901" s="588"/>
    </row>
    <row r="902" ht="15.75" customHeight="1">
      <c r="D902" s="588"/>
      <c r="E902" s="588"/>
      <c r="F902" s="588"/>
    </row>
    <row r="903" ht="15.75" customHeight="1">
      <c r="D903" s="588"/>
      <c r="E903" s="588"/>
      <c r="F903" s="588"/>
    </row>
    <row r="904" ht="15.75" customHeight="1">
      <c r="D904" s="588"/>
      <c r="E904" s="588"/>
      <c r="F904" s="588"/>
    </row>
    <row r="905" ht="15.75" customHeight="1">
      <c r="D905" s="588"/>
      <c r="E905" s="588"/>
      <c r="F905" s="588"/>
    </row>
    <row r="906" ht="15.75" customHeight="1">
      <c r="D906" s="588"/>
      <c r="E906" s="588"/>
      <c r="F906" s="588"/>
    </row>
    <row r="907" ht="15.75" customHeight="1">
      <c r="D907" s="588"/>
      <c r="E907" s="588"/>
      <c r="F907" s="588"/>
    </row>
    <row r="908" ht="15.75" customHeight="1">
      <c r="D908" s="588"/>
      <c r="E908" s="588"/>
      <c r="F908" s="588"/>
    </row>
    <row r="909" ht="15.75" customHeight="1">
      <c r="D909" s="588"/>
      <c r="E909" s="588"/>
      <c r="F909" s="588"/>
    </row>
    <row r="910" ht="15.75" customHeight="1">
      <c r="D910" s="588"/>
      <c r="E910" s="588"/>
      <c r="F910" s="588"/>
    </row>
    <row r="911" ht="15.75" customHeight="1">
      <c r="D911" s="588"/>
      <c r="E911" s="588"/>
      <c r="F911" s="588"/>
    </row>
    <row r="912" ht="15.75" customHeight="1">
      <c r="D912" s="588"/>
      <c r="E912" s="588"/>
      <c r="F912" s="588"/>
    </row>
    <row r="913" ht="15.75" customHeight="1">
      <c r="D913" s="588"/>
      <c r="E913" s="588"/>
      <c r="F913" s="588"/>
    </row>
    <row r="914" ht="15.75" customHeight="1">
      <c r="D914" s="588"/>
      <c r="E914" s="588"/>
      <c r="F914" s="588"/>
    </row>
    <row r="915" ht="15.75" customHeight="1">
      <c r="D915" s="588"/>
      <c r="E915" s="588"/>
      <c r="F915" s="588"/>
    </row>
    <row r="916" ht="15.75" customHeight="1">
      <c r="D916" s="588"/>
      <c r="E916" s="588"/>
      <c r="F916" s="588"/>
    </row>
    <row r="917" ht="15.75" customHeight="1">
      <c r="D917" s="588"/>
      <c r="E917" s="588"/>
      <c r="F917" s="588"/>
    </row>
    <row r="918" ht="15.75" customHeight="1">
      <c r="D918" s="588"/>
      <c r="E918" s="588"/>
      <c r="F918" s="588"/>
    </row>
    <row r="919" ht="15.75" customHeight="1">
      <c r="D919" s="588"/>
      <c r="E919" s="588"/>
      <c r="F919" s="588"/>
    </row>
    <row r="920" ht="15.75" customHeight="1">
      <c r="D920" s="588"/>
      <c r="E920" s="588"/>
      <c r="F920" s="588"/>
    </row>
    <row r="921" ht="15.75" customHeight="1">
      <c r="D921" s="588"/>
      <c r="E921" s="588"/>
      <c r="F921" s="588"/>
    </row>
    <row r="922" ht="15.75" customHeight="1">
      <c r="D922" s="588"/>
      <c r="E922" s="588"/>
      <c r="F922" s="588"/>
    </row>
    <row r="923" ht="15.75" customHeight="1">
      <c r="D923" s="588"/>
      <c r="E923" s="588"/>
      <c r="F923" s="588"/>
    </row>
    <row r="924" ht="15.75" customHeight="1">
      <c r="D924" s="588"/>
      <c r="E924" s="588"/>
      <c r="F924" s="588"/>
    </row>
    <row r="925" ht="15.75" customHeight="1">
      <c r="D925" s="588"/>
      <c r="E925" s="588"/>
      <c r="F925" s="588"/>
    </row>
    <row r="926" ht="15.75" customHeight="1">
      <c r="D926" s="588"/>
      <c r="E926" s="588"/>
      <c r="F926" s="588"/>
    </row>
    <row r="927" ht="15.75" customHeight="1">
      <c r="D927" s="588"/>
      <c r="E927" s="588"/>
      <c r="F927" s="588"/>
    </row>
    <row r="928" ht="15.75" customHeight="1">
      <c r="D928" s="588"/>
      <c r="E928" s="588"/>
      <c r="F928" s="588"/>
    </row>
    <row r="929" ht="15.75" customHeight="1">
      <c r="D929" s="588"/>
      <c r="E929" s="588"/>
      <c r="F929" s="588"/>
    </row>
    <row r="930" ht="15.75" customHeight="1">
      <c r="D930" s="588"/>
      <c r="E930" s="588"/>
      <c r="F930" s="588"/>
    </row>
    <row r="931" ht="15.75" customHeight="1">
      <c r="D931" s="588"/>
      <c r="E931" s="588"/>
      <c r="F931" s="588"/>
    </row>
    <row r="932" ht="15.75" customHeight="1">
      <c r="D932" s="588"/>
      <c r="E932" s="588"/>
      <c r="F932" s="588"/>
    </row>
    <row r="933" ht="15.75" customHeight="1">
      <c r="D933" s="588"/>
      <c r="E933" s="588"/>
      <c r="F933" s="588"/>
    </row>
    <row r="934" ht="15.75" customHeight="1">
      <c r="D934" s="588"/>
      <c r="E934" s="588"/>
      <c r="F934" s="588"/>
    </row>
    <row r="935" ht="15.75" customHeight="1">
      <c r="D935" s="588"/>
      <c r="E935" s="588"/>
      <c r="F935" s="588"/>
    </row>
    <row r="936" ht="15.75" customHeight="1">
      <c r="D936" s="588"/>
      <c r="E936" s="588"/>
      <c r="F936" s="588"/>
    </row>
    <row r="937" ht="15.75" customHeight="1">
      <c r="D937" s="588"/>
      <c r="E937" s="588"/>
      <c r="F937" s="588"/>
    </row>
    <row r="938" ht="15.75" customHeight="1">
      <c r="D938" s="588"/>
      <c r="E938" s="588"/>
      <c r="F938" s="588"/>
    </row>
    <row r="939" ht="15.75" customHeight="1">
      <c r="D939" s="588"/>
      <c r="E939" s="588"/>
      <c r="F939" s="588"/>
    </row>
    <row r="940" ht="15.75" customHeight="1">
      <c r="D940" s="588"/>
      <c r="E940" s="588"/>
      <c r="F940" s="588"/>
    </row>
    <row r="941" ht="15.75" customHeight="1">
      <c r="D941" s="588"/>
      <c r="E941" s="588"/>
      <c r="F941" s="588"/>
    </row>
    <row r="942" ht="15.75" customHeight="1">
      <c r="D942" s="588"/>
      <c r="E942" s="588"/>
      <c r="F942" s="588"/>
    </row>
    <row r="943" ht="15.75" customHeight="1">
      <c r="D943" s="588"/>
      <c r="E943" s="588"/>
      <c r="F943" s="588"/>
    </row>
    <row r="944" ht="15.75" customHeight="1">
      <c r="D944" s="588"/>
      <c r="E944" s="588"/>
      <c r="F944" s="588"/>
    </row>
    <row r="945" ht="15.75" customHeight="1">
      <c r="D945" s="588"/>
      <c r="E945" s="588"/>
      <c r="F945" s="588"/>
    </row>
    <row r="946" ht="15.75" customHeight="1">
      <c r="D946" s="588"/>
      <c r="E946" s="588"/>
      <c r="F946" s="588"/>
    </row>
    <row r="947" ht="15.75" customHeight="1">
      <c r="D947" s="588"/>
      <c r="E947" s="588"/>
      <c r="F947" s="588"/>
    </row>
    <row r="948" ht="15.75" customHeight="1">
      <c r="D948" s="588"/>
      <c r="E948" s="588"/>
      <c r="F948" s="588"/>
    </row>
    <row r="949" ht="15.75" customHeight="1">
      <c r="D949" s="588"/>
      <c r="E949" s="588"/>
      <c r="F949" s="588"/>
    </row>
    <row r="950" ht="15.75" customHeight="1">
      <c r="D950" s="588"/>
      <c r="E950" s="588"/>
      <c r="F950" s="588"/>
    </row>
    <row r="951" ht="15.75" customHeight="1">
      <c r="D951" s="588"/>
      <c r="E951" s="588"/>
      <c r="F951" s="588"/>
    </row>
    <row r="952" ht="15.75" customHeight="1">
      <c r="D952" s="588"/>
      <c r="E952" s="588"/>
      <c r="F952" s="588"/>
    </row>
    <row r="953" ht="15.75" customHeight="1">
      <c r="D953" s="588"/>
      <c r="E953" s="588"/>
      <c r="F953" s="588"/>
    </row>
    <row r="954" ht="15.75" customHeight="1">
      <c r="D954" s="588"/>
      <c r="E954" s="588"/>
      <c r="F954" s="588"/>
    </row>
    <row r="955" ht="15.75" customHeight="1">
      <c r="D955" s="588"/>
      <c r="E955" s="588"/>
      <c r="F955" s="588"/>
    </row>
    <row r="956" ht="15.75" customHeight="1">
      <c r="D956" s="588"/>
      <c r="E956" s="588"/>
      <c r="F956" s="588"/>
    </row>
    <row r="957" ht="15.75" customHeight="1">
      <c r="D957" s="588"/>
      <c r="E957" s="588"/>
      <c r="F957" s="588"/>
    </row>
    <row r="958" ht="15.75" customHeight="1">
      <c r="D958" s="588"/>
      <c r="E958" s="588"/>
      <c r="F958" s="588"/>
    </row>
    <row r="959" ht="15.75" customHeight="1">
      <c r="D959" s="588"/>
      <c r="E959" s="588"/>
      <c r="F959" s="588"/>
    </row>
    <row r="960" ht="15.75" customHeight="1">
      <c r="D960" s="588"/>
      <c r="E960" s="588"/>
      <c r="F960" s="588"/>
    </row>
    <row r="961" ht="15.75" customHeight="1">
      <c r="D961" s="588"/>
      <c r="E961" s="588"/>
      <c r="F961" s="588"/>
    </row>
    <row r="962" ht="15.75" customHeight="1">
      <c r="D962" s="588"/>
      <c r="E962" s="588"/>
      <c r="F962" s="588"/>
    </row>
    <row r="963" ht="15.75" customHeight="1">
      <c r="D963" s="588"/>
      <c r="E963" s="588"/>
      <c r="F963" s="588"/>
    </row>
    <row r="964" ht="15.75" customHeight="1">
      <c r="D964" s="588"/>
      <c r="E964" s="588"/>
      <c r="F964" s="588"/>
    </row>
    <row r="965" ht="15.75" customHeight="1">
      <c r="D965" s="588"/>
      <c r="E965" s="588"/>
      <c r="F965" s="588"/>
    </row>
    <row r="966" ht="15.75" customHeight="1">
      <c r="D966" s="588"/>
      <c r="E966" s="588"/>
      <c r="F966" s="588"/>
    </row>
    <row r="967" ht="15.75" customHeight="1">
      <c r="D967" s="588"/>
      <c r="E967" s="588"/>
      <c r="F967" s="588"/>
    </row>
    <row r="968" ht="15.75" customHeight="1">
      <c r="D968" s="588"/>
      <c r="E968" s="588"/>
      <c r="F968" s="588"/>
    </row>
    <row r="969" ht="15.75" customHeight="1">
      <c r="D969" s="588"/>
      <c r="E969" s="588"/>
      <c r="F969" s="588"/>
    </row>
    <row r="970" ht="15.75" customHeight="1">
      <c r="D970" s="588"/>
      <c r="E970" s="588"/>
      <c r="F970" s="588"/>
    </row>
    <row r="971" ht="15.75" customHeight="1">
      <c r="D971" s="588"/>
      <c r="E971" s="588"/>
      <c r="F971" s="588"/>
    </row>
    <row r="972" ht="15.75" customHeight="1">
      <c r="D972" s="588"/>
      <c r="E972" s="588"/>
      <c r="F972" s="588"/>
    </row>
    <row r="973" ht="15.75" customHeight="1">
      <c r="D973" s="588"/>
      <c r="E973" s="588"/>
      <c r="F973" s="588"/>
    </row>
    <row r="974" ht="15.75" customHeight="1">
      <c r="D974" s="588"/>
      <c r="E974" s="588"/>
      <c r="F974" s="588"/>
    </row>
    <row r="975" ht="15.75" customHeight="1">
      <c r="D975" s="588"/>
      <c r="E975" s="588"/>
      <c r="F975" s="588"/>
    </row>
    <row r="976" ht="15.75" customHeight="1">
      <c r="D976" s="588"/>
      <c r="E976" s="588"/>
      <c r="F976" s="588"/>
    </row>
    <row r="977" ht="15.75" customHeight="1">
      <c r="D977" s="588"/>
      <c r="E977" s="588"/>
      <c r="F977" s="588"/>
    </row>
    <row r="978" ht="15.75" customHeight="1">
      <c r="D978" s="588"/>
      <c r="E978" s="588"/>
      <c r="F978" s="588"/>
    </row>
    <row r="979" ht="15.75" customHeight="1">
      <c r="D979" s="588"/>
      <c r="E979" s="588"/>
      <c r="F979" s="588"/>
    </row>
    <row r="980" ht="15.75" customHeight="1">
      <c r="D980" s="588"/>
      <c r="E980" s="588"/>
      <c r="F980" s="588"/>
    </row>
    <row r="981" ht="15.75" customHeight="1">
      <c r="D981" s="588"/>
      <c r="E981" s="588"/>
      <c r="F981" s="588"/>
    </row>
    <row r="982" ht="15.75" customHeight="1">
      <c r="D982" s="588"/>
      <c r="E982" s="588"/>
      <c r="F982" s="588"/>
    </row>
    <row r="983" ht="15.75" customHeight="1">
      <c r="D983" s="588"/>
      <c r="E983" s="588"/>
      <c r="F983" s="588"/>
    </row>
    <row r="984" ht="15.75" customHeight="1">
      <c r="D984" s="588"/>
      <c r="E984" s="588"/>
      <c r="F984" s="588"/>
    </row>
    <row r="985" ht="15.75" customHeight="1">
      <c r="D985" s="588"/>
      <c r="E985" s="588"/>
      <c r="F985" s="588"/>
    </row>
    <row r="986" ht="15.75" customHeight="1">
      <c r="D986" s="588"/>
      <c r="E986" s="588"/>
      <c r="F986" s="588"/>
    </row>
    <row r="987" ht="15.75" customHeight="1">
      <c r="D987" s="588"/>
      <c r="E987" s="588"/>
      <c r="F987" s="588"/>
    </row>
    <row r="988" ht="15.75" customHeight="1">
      <c r="D988" s="588"/>
      <c r="E988" s="588"/>
      <c r="F988" s="588"/>
    </row>
    <row r="989" ht="15.75" customHeight="1">
      <c r="D989" s="588"/>
      <c r="E989" s="588"/>
      <c r="F989" s="588"/>
    </row>
    <row r="990" ht="15.75" customHeight="1">
      <c r="D990" s="588"/>
      <c r="E990" s="588"/>
      <c r="F990" s="588"/>
    </row>
    <row r="991" ht="15.75" customHeight="1">
      <c r="D991" s="588"/>
      <c r="E991" s="588"/>
      <c r="F991" s="588"/>
    </row>
    <row r="992" ht="15.75" customHeight="1">
      <c r="D992" s="588"/>
      <c r="E992" s="588"/>
      <c r="F992" s="588"/>
    </row>
    <row r="993" ht="15.75" customHeight="1">
      <c r="D993" s="588"/>
      <c r="E993" s="588"/>
      <c r="F993" s="588"/>
    </row>
    <row r="994" ht="15.75" customHeight="1">
      <c r="D994" s="588"/>
      <c r="E994" s="588"/>
      <c r="F994" s="588"/>
    </row>
    <row r="995" ht="15.75" customHeight="1">
      <c r="D995" s="588"/>
      <c r="E995" s="588"/>
      <c r="F995" s="588"/>
    </row>
    <row r="996" ht="15.75" customHeight="1">
      <c r="D996" s="588"/>
      <c r="E996" s="588"/>
      <c r="F996" s="588"/>
    </row>
    <row r="997" ht="15.75" customHeight="1">
      <c r="D997" s="588"/>
      <c r="E997" s="588"/>
      <c r="F997" s="588"/>
    </row>
    <row r="998" ht="15.75" customHeight="1">
      <c r="D998" s="588"/>
      <c r="E998" s="588"/>
      <c r="F998" s="588"/>
    </row>
    <row r="999" ht="15.75" customHeight="1"/>
  </sheetData>
  <mergeCells count="16">
    <mergeCell ref="A2:C2"/>
    <mergeCell ref="D2:F2"/>
    <mergeCell ref="A3:C3"/>
    <mergeCell ref="D3:F3"/>
    <mergeCell ref="A4:C4"/>
    <mergeCell ref="D4:F4"/>
    <mergeCell ref="A5:C5"/>
    <mergeCell ref="G8:G9"/>
    <mergeCell ref="H8:H9"/>
    <mergeCell ref="D5:F5"/>
    <mergeCell ref="D6:F6"/>
    <mergeCell ref="D7:F7"/>
    <mergeCell ref="A8:A9"/>
    <mergeCell ref="B8:B9"/>
    <mergeCell ref="C8:C9"/>
    <mergeCell ref="D8:F8"/>
  </mergeCells>
  <printOptions/>
  <pageMargins bottom="0.7480314960629921" footer="0.0" header="0.0" left="0.7086614173228347" right="0.7086614173228347" top="0.7480314960629921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