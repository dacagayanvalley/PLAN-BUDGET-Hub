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OAP" sheetId="6" r:id="rId9"/>
    <sheet state="visible" name="HALAL" sheetId="7" r:id="rId10"/>
    <sheet state="visible" name="FMR" sheetId="8" r:id="rId11"/>
    <sheet state="visible" name="PRDP" sheetId="9" r:id="rId12"/>
    <sheet state="visible" name="4Ks" sheetId="10" r:id="rId13"/>
    <sheet state="visible" name="MCRA" sheetId="11" r:id="rId14"/>
    <sheet state="visible" name="NSHP" sheetId="12" r:id="rId15"/>
    <sheet state="visible" name="2025-2027" sheetId="13" r:id="rId16"/>
  </sheets>
  <definedNames/>
  <calcPr/>
  <extLst>
    <ext uri="GoogleSheetsCustomDataVersion2">
      <go:sheetsCustomData xmlns:go="http://customooxmlschemas.google.com/" r:id="rId17" roundtripDataChecksum="8am1ZttU+Uu5dy9Dm/ZIlxw09gI63DMgpUq/GqvYPC0="/>
    </ext>
  </extLst>
</workbook>
</file>

<file path=xl/sharedStrings.xml><?xml version="1.0" encoding="utf-8"?>
<sst xmlns="http://schemas.openxmlformats.org/spreadsheetml/2006/main" count="3037" uniqueCount="1324">
  <si>
    <t>DEPARTMENT OF AGRICULTURE-REGIONAL FIELD OFFICE NO. 02</t>
  </si>
  <si>
    <t>CY 2025 &amp; FY 2026 PROGRAM ACCOMPLISHMENTS/STATUS AND FY 2027 PLAN AND BUDGET PROPOSAL</t>
  </si>
  <si>
    <t>RICE PROGRAM</t>
  </si>
  <si>
    <t>PROVINCE: ISABELA</t>
  </si>
  <si>
    <t>DISTRICT: I</t>
  </si>
  <si>
    <t>PROGRAM/SUBPROGRAM/
 INDICATORS</t>
  </si>
  <si>
    <t>UNIT OF MEASURE</t>
  </si>
  <si>
    <t xml:space="preserve">FY 2025 GAA </t>
  </si>
  <si>
    <t>FY 2026 GAA</t>
  </si>
  <si>
    <t>FY 2027 PROPOSAL</t>
  </si>
  <si>
    <r>
      <rPr>
        <rFont val="Arial"/>
        <b/>
        <color theme="1"/>
        <sz val="16.0"/>
      </rPr>
      <t xml:space="preserve">Remarks </t>
    </r>
    <r>
      <rPr>
        <rFont val="Arial"/>
        <b val="0"/>
        <color theme="1"/>
        <sz val="16.0"/>
      </rPr>
      <t>(Breakdown of Municipality Target for FY 2027 )</t>
    </r>
  </si>
  <si>
    <t>TIER 1</t>
  </si>
  <si>
    <t>TIER 2</t>
  </si>
  <si>
    <t>TOTAL</t>
  </si>
  <si>
    <t>ANNUAL PHYSICAL TARGET</t>
  </si>
  <si>
    <t xml:space="preserve">BUDGET (Actual Obligation in ₱ '000) </t>
  </si>
  <si>
    <t>ACCOMPLISHMENT</t>
  </si>
  <si>
    <t>PHYSICAL TARGET</t>
  </si>
  <si>
    <t>ANNUAL BUDGET
(₱ '000)</t>
  </si>
  <si>
    <t>I. Production Support Services (PSS)</t>
  </si>
  <si>
    <t>Fertilizer Assistance - Ameliorants (solid)</t>
  </si>
  <si>
    <t>kg</t>
  </si>
  <si>
    <t>Fertilizer Assistance - Bio Fertilizer (pack)</t>
  </si>
  <si>
    <t>Fertilizer Assistance - inorganic - hybrid area</t>
  </si>
  <si>
    <t>hectare</t>
  </si>
  <si>
    <t xml:space="preserve"> CABAGAN 
 DELFIN ALBANO (MAGSAYSAY) 
 DIVILACAN 
 CITY OF ILAGAN (Capital) 
 MACONACON 
 SAN PABLO 
 SANTA MARIA 
 SANTO TOMAS 
 TUMAUINI </t>
  </si>
  <si>
    <t>Fertilizer Assistance - inorganic - inbred area</t>
  </si>
  <si>
    <t>Seed assistance-Commercial Hybrid</t>
  </si>
  <si>
    <t>FDV/IMC for Inbred</t>
  </si>
  <si>
    <t>FDV/IMC for Hybrid</t>
  </si>
  <si>
    <t>Drone voucher</t>
  </si>
  <si>
    <t>Hermetic cocoon</t>
  </si>
  <si>
    <t>number</t>
  </si>
  <si>
    <t>II. Extension Support, Education and Training Services (ESETS)</t>
  </si>
  <si>
    <t>Rice Farm Cluster Establishment</t>
  </si>
  <si>
    <t>site</t>
  </si>
  <si>
    <t>Scale-up Palayamanan for Rice Based Farm</t>
  </si>
  <si>
    <t>III. AGRICULTURAL MACHINERY, EQUIPMENT, FACILITIES AND INFRASTRUCTURES PROGRAM (AMEFIP)</t>
  </si>
  <si>
    <t>III.1. AGRICULTURAL MACHINERY, EQUIPMENT, AND FACILITIES SUPPORT SERVICES (AMEFSS)</t>
  </si>
  <si>
    <t>A. Provision of Post harvest Machinery and Equipment</t>
  </si>
  <si>
    <t>Vaccum Pack Sealer</t>
  </si>
  <si>
    <t>Fork Lift</t>
  </si>
  <si>
    <t>Seed Processing center</t>
  </si>
  <si>
    <t>Rice Processing Center</t>
  </si>
  <si>
    <t>Recirculating Dryer</t>
  </si>
  <si>
    <t>Paddy Rice Hauler</t>
  </si>
  <si>
    <t>Packaging System</t>
  </si>
  <si>
    <t>Combine Harvester</t>
  </si>
  <si>
    <t>Hauling Truck</t>
  </si>
  <si>
    <t>Drying Pavement</t>
  </si>
  <si>
    <t>4wd Tractor</t>
  </si>
  <si>
    <t>Rice Straw Baler</t>
  </si>
  <si>
    <t>B. Provision of Farm Production -Related Machinery and Equiment</t>
  </si>
  <si>
    <t>Four-Wheel Drive Tractor with accessories</t>
  </si>
  <si>
    <t>distributed (no.)</t>
  </si>
  <si>
    <t>Palay seeder</t>
  </si>
  <si>
    <t>Hand Tractor</t>
  </si>
  <si>
    <t>C. Construction Post Harvest Facilities</t>
  </si>
  <si>
    <t>Construction-Multi-Purpose Drying Pavement (MPDP)</t>
  </si>
  <si>
    <t>Palayshed</t>
  </si>
  <si>
    <t>Construction of Warehouse</t>
  </si>
  <si>
    <t>III.2. IRRIGATION NETWORK SERVICES (INS)</t>
  </si>
  <si>
    <t>constructed(no)</t>
  </si>
  <si>
    <t>A. Construction of Small Scale Irrigation Project (SSIP)</t>
  </si>
  <si>
    <t>SSIP construction - Diversion Dam</t>
  </si>
  <si>
    <t>SSIP construction - Irrigation Canal</t>
  </si>
  <si>
    <t>SSIP construction - Solar-Powered Irrigation System</t>
  </si>
  <si>
    <t>SSIP construction - Solar Water Impounding System</t>
  </si>
  <si>
    <t>SSIP rehabilitation - Diversion Dam</t>
  </si>
  <si>
    <t>SSIP rehabilitation - Small Water Impounding Project</t>
  </si>
  <si>
    <t>SSIP rehabilitation - Solar-Powered Irrigation System</t>
  </si>
  <si>
    <t>GRAND TOTAL</t>
  </si>
  <si>
    <t>Prepared by:</t>
  </si>
  <si>
    <t xml:space="preserve"> 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</si>
  <si>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</si>
  <si>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</si>
  <si>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</si>
  <si>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</si>
  <si>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</si>
  <si>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</si>
  <si>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</si>
  <si>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CORN PROGRAM</t>
  </si>
  <si>
    <r>
      <rPr>
        <rFont val="Arial Narrow"/>
        <b/>
        <color theme="1"/>
        <sz val="16.0"/>
      </rPr>
      <t xml:space="preserve">Remarks </t>
    </r>
    <r>
      <rPr>
        <rFont val="Arial Narrow"/>
        <b val="0"/>
        <color theme="1"/>
        <sz val="16.0"/>
      </rPr>
      <t>(Breakdown of Municipality Target for FY 2027 )</t>
    </r>
  </si>
  <si>
    <t>I. PRODUCTION SUPPORT SERVICES</t>
  </si>
  <si>
    <t>1. Registered Seed (RS) Production</t>
  </si>
  <si>
    <t>Flint</t>
  </si>
  <si>
    <t>Glutinous</t>
  </si>
  <si>
    <t>2. Recommended Corn Production Technologies (RCPT)</t>
  </si>
  <si>
    <t>Hybrid Yellow</t>
  </si>
  <si>
    <t>kilograms</t>
  </si>
  <si>
    <t>Delfin Albano</t>
  </si>
  <si>
    <t>Inorganic Fertilizer</t>
  </si>
  <si>
    <t>Biofertilizer</t>
  </si>
  <si>
    <t>packs</t>
  </si>
  <si>
    <t>Agricultural Lime</t>
  </si>
  <si>
    <t>Plant Growth Enhancer</t>
  </si>
  <si>
    <t>Complete Foliar Fertilizer</t>
  </si>
  <si>
    <t>OPV Glutinous</t>
  </si>
  <si>
    <t>Sto. Tomas</t>
  </si>
  <si>
    <t>3. Corn Production Enhancement Project (CPEP)</t>
  </si>
  <si>
    <t>Hybrid (GM)</t>
  </si>
  <si>
    <t>Cabagan, City of Ilagan, Delfin Albano, San Pablo, Sta. Maria, Sto. Tomas, Tumauini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</si>
  <si>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</si>
  <si>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</si>
  <si>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</si>
  <si>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</si>
  <si>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</si>
  <si>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</si>
  <si>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</si>
  <si>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City of Ilagan, Delfin Albano, Tumauini</t>
  </si>
  <si>
    <t>Procurement of cassava seed pieces</t>
  </si>
  <si>
    <t>Procurement of Inorganic Fertilizer</t>
  </si>
  <si>
    <t>Solar Bubble Dryer</t>
  </si>
  <si>
    <t>5. Support to Sorghum</t>
  </si>
  <si>
    <t>Sorghum Seeds</t>
  </si>
  <si>
    <t>City of Ilagan, Delfin Albano, Tumauini, Jones, Cauayan City</t>
  </si>
  <si>
    <t>6. White Corn Production Enhancement Project (WCPEP)</t>
  </si>
  <si>
    <t>OPV White Flint</t>
  </si>
  <si>
    <t>OPV White Glutinous</t>
  </si>
  <si>
    <t>5. Support to Soybean</t>
  </si>
  <si>
    <t>Soybean Seeds</t>
  </si>
  <si>
    <t>Sta. Maria</t>
  </si>
  <si>
    <t>II. EXTENSION SUPPORT, EDUCATION &amp; TRAINING SERVICES</t>
  </si>
  <si>
    <t>Sorghum Techno Demo</t>
  </si>
  <si>
    <t>Soybean Model Farm</t>
  </si>
  <si>
    <t>Soybean Techno Demo</t>
  </si>
  <si>
    <t>Corn Derby</t>
  </si>
  <si>
    <t>City of Ilagan</t>
  </si>
  <si>
    <t>III. AGRICULTURAL MACHINERY, EQUIPMENT AND FACILITIES INFRASTRUCTURE PROGRAM</t>
  </si>
  <si>
    <t>1. AGRICULTURAL MACHINERY, EQUIPMENT AND FACILITIES SUPPORT SERVICES</t>
  </si>
  <si>
    <t>Four-wheel drive tractor for Corn (90-95HP)</t>
  </si>
  <si>
    <t>Tumauini</t>
  </si>
  <si>
    <t>Four-wheel drive tractor for Cassava (90-95HP)</t>
  </si>
  <si>
    <t>Forage Chopper</t>
  </si>
  <si>
    <t>Double-row Corn Planter</t>
  </si>
  <si>
    <t>Mechanical Four-row Planter</t>
  </si>
  <si>
    <t>Pneumatic Four-row Planter</t>
  </si>
  <si>
    <t>Two-Row Seeder</t>
  </si>
  <si>
    <t>Hand Tractor with Corn Planter</t>
  </si>
  <si>
    <t>Soybean Seeder (9-rows)</t>
  </si>
  <si>
    <t>Corn Combine Harvester</t>
  </si>
  <si>
    <t>Hauling Truck (cargo truck)</t>
  </si>
  <si>
    <t>Hauling Truck (heavy cargo truck)</t>
  </si>
  <si>
    <t>Corn Mill (village-type)</t>
  </si>
  <si>
    <t>Cassava Granulator</t>
  </si>
  <si>
    <t>Cassava Digger with Soil Remover</t>
  </si>
  <si>
    <t>Multi Crop Drying Pavement (MCDP) with Shed</t>
  </si>
  <si>
    <t>Warehouse</t>
  </si>
  <si>
    <t>Corn Complex (Phase 1)</t>
  </si>
  <si>
    <t>Corn Complex (Phase 2)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</si>
  <si>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</si>
  <si>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</si>
  <si>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</si>
  <si>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</si>
  <si>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</si>
  <si>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unit</t>
  </si>
  <si>
    <t>Sto. Tomas, Tumauini</t>
  </si>
  <si>
    <t>Mobile Solar Powered Irrigation System</t>
  </si>
  <si>
    <t>Solar Powered Irrigation System</t>
  </si>
  <si>
    <t>In coordination with:</t>
  </si>
  <si>
    <t xml:space="preserve">HIGH VALUE CROPS DEVELOPMENT PROGRAM 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</si>
  <si>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</si>
  <si>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OPERATIONS</t>
  </si>
  <si>
    <t>I. TECHNICAL AND SUPPORT SEVICES PROGRAM</t>
  </si>
  <si>
    <t>A. Production Support Services Sub-Program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</si>
  <si>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</si>
  <si>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</si>
  <si>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</si>
  <si>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</si>
  <si>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</si>
  <si>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</si>
  <si>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Seed Distribution</t>
  </si>
  <si>
    <t>Procured</t>
  </si>
  <si>
    <t>Produced</t>
  </si>
  <si>
    <t>Distributed</t>
  </si>
  <si>
    <t>Area Planted</t>
  </si>
  <si>
    <t>Mungbean</t>
  </si>
  <si>
    <t>kilogram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</si>
  <si>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</si>
  <si>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</si>
  <si>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</si>
  <si>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</si>
  <si>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</si>
  <si>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</si>
  <si>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</si>
  <si>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</si>
  <si>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</si>
  <si>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</si>
  <si>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</si>
  <si>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</si>
  <si>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</si>
  <si>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</si>
  <si>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</si>
  <si>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</si>
  <si>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</si>
  <si>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</si>
  <si>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</si>
  <si>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</si>
  <si>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</si>
  <si>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</si>
  <si>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</si>
  <si>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</si>
  <si>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</si>
  <si>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</si>
  <si>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</si>
  <si>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</si>
  <si>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</si>
  <si>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</si>
  <si>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</si>
  <si>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</si>
  <si>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</si>
  <si>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</si>
  <si>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</si>
  <si>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</si>
  <si>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</si>
  <si>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</si>
  <si>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</si>
  <si>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</si>
  <si>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</si>
  <si>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</si>
  <si>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</si>
  <si>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</si>
  <si>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</si>
  <si>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</si>
  <si>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</si>
  <si>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</si>
  <si>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</si>
  <si>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</si>
  <si>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</si>
  <si>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</si>
  <si>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</si>
  <si>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</si>
  <si>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</si>
  <si>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</si>
  <si>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</si>
  <si>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</si>
  <si>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</si>
  <si>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</si>
  <si>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</si>
  <si>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</si>
  <si>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</si>
  <si>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</si>
  <si>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</si>
  <si>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</si>
  <si>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</si>
  <si>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</si>
  <si>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</si>
  <si>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</si>
  <si>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</si>
  <si>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Fertilizers</t>
  </si>
  <si>
    <t>Inorganic fertilizer</t>
  </si>
  <si>
    <t>Organic fertilizer</t>
  </si>
  <si>
    <t>Foliar Fertilizer</t>
  </si>
  <si>
    <t>Liquid Fertilizer</t>
  </si>
  <si>
    <t>liter</t>
  </si>
  <si>
    <t>Other agri-chemical</t>
  </si>
  <si>
    <t>Pesticide</t>
  </si>
  <si>
    <t>Insecticide</t>
  </si>
  <si>
    <t>Fungicide</t>
  </si>
  <si>
    <t>Herbicide</t>
  </si>
  <si>
    <t>Pheromone Lure</t>
  </si>
  <si>
    <t>Rapid test Kit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</si>
  <si>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</si>
  <si>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</si>
  <si>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</si>
  <si>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</si>
  <si>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</si>
  <si>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</si>
  <si>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</si>
  <si>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</si>
  <si>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</si>
  <si>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</si>
  <si>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</si>
  <si>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</si>
  <si>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</si>
  <si>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</si>
  <si>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</si>
  <si>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</si>
  <si>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</si>
  <si>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</si>
  <si>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</si>
  <si>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</si>
  <si>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</si>
  <si>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</si>
  <si>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</si>
  <si>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</si>
  <si>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</si>
  <si>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</si>
  <si>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</si>
  <si>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</si>
  <si>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</si>
  <si>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</si>
  <si>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</si>
  <si>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</si>
  <si>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</si>
  <si>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</si>
  <si>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</si>
  <si>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</si>
  <si>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</si>
  <si>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</si>
  <si>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</si>
  <si>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</si>
  <si>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</si>
  <si>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</si>
  <si>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</si>
  <si>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</si>
  <si>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</si>
  <si>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</si>
  <si>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</si>
  <si>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Gulayan sa bayan</t>
  </si>
  <si>
    <t>All Municipalities except Ilagan City</t>
  </si>
  <si>
    <t>Support to Gulayan Projects</t>
  </si>
  <si>
    <t>School garden</t>
  </si>
  <si>
    <t>Urban agriculture garden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</si>
  <si>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</si>
  <si>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</si>
  <si>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</si>
  <si>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</si>
  <si>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</si>
  <si>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</si>
  <si>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</si>
  <si>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</si>
  <si>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</si>
  <si>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</si>
  <si>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</si>
  <si>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</si>
  <si>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</si>
  <si>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</si>
  <si>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</si>
  <si>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</si>
  <si>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</si>
  <si>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</si>
  <si>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</si>
  <si>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</si>
  <si>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</si>
  <si>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</si>
  <si>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</si>
  <si>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</si>
  <si>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</si>
  <si>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B. 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</si>
  <si>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</si>
  <si>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</si>
  <si>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</si>
  <si>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</si>
  <si>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</si>
  <si>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</si>
  <si>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</si>
  <si>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</si>
  <si>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</si>
  <si>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</si>
  <si>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</si>
  <si>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</si>
  <si>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</si>
  <si>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</si>
  <si>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</si>
  <si>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</si>
  <si>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</si>
  <si>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</si>
  <si>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</si>
  <si>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</si>
  <si>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</si>
  <si>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</si>
  <si>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</si>
  <si>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</si>
  <si>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</si>
  <si>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</si>
  <si>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Tress)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</si>
  <si>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</si>
  <si>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</si>
  <si>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</si>
  <si>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</si>
  <si>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</si>
  <si>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</si>
  <si>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</si>
  <si>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</si>
  <si>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</si>
  <si>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</si>
  <si>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</si>
  <si>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</si>
  <si>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</si>
  <si>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</si>
  <si>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</si>
  <si>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</si>
  <si>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</si>
  <si>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</si>
  <si>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</si>
  <si>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</si>
  <si>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</si>
  <si>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</si>
  <si>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</si>
  <si>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</si>
  <si>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</si>
  <si>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</si>
  <si>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</si>
  <si>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</si>
  <si>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</si>
  <si>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</si>
  <si>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</si>
  <si>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</si>
  <si>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</si>
  <si>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</si>
  <si>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</si>
  <si>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</si>
  <si>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</si>
  <si>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</si>
  <si>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</si>
  <si>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</si>
  <si>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</si>
  <si>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</si>
  <si>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</si>
  <si>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</si>
  <si>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</si>
  <si>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FACILITES AND INFRASTRUCTURE PROGRAM</t>
  </si>
  <si>
    <t>A. Agricultural Machinery, Equipment and Facilities Support Services Sub-Program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</si>
  <si>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</si>
  <si>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</si>
  <si>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</si>
  <si>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</si>
  <si>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</si>
  <si>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</si>
  <si>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</si>
  <si>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</si>
  <si>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</si>
  <si>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</si>
  <si>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</si>
  <si>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</si>
  <si>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</si>
  <si>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</si>
  <si>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</si>
  <si>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School Garden</t>
  </si>
  <si>
    <t>Gulayan sa Barangay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</si>
  <si>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</si>
  <si>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</si>
  <si>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</si>
  <si>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</si>
  <si>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</si>
  <si>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</si>
  <si>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</si>
  <si>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</si>
  <si>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</si>
  <si>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</si>
  <si>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</si>
  <si>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</si>
  <si>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</si>
  <si>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</si>
  <si>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</si>
  <si>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</si>
  <si>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</si>
  <si>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</si>
  <si>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</si>
  <si>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</si>
  <si>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</si>
  <si>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</si>
  <si>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</si>
  <si>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harvester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</si>
  <si>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</si>
  <si>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</si>
  <si>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</si>
  <si>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</si>
  <si>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</si>
  <si>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</si>
  <si>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</si>
  <si>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</si>
  <si>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</si>
  <si>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</si>
  <si>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</si>
  <si>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</si>
  <si>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Seed Sorter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</si>
  <si>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</si>
  <si>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</si>
  <si>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</si>
  <si>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</si>
  <si>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</si>
  <si>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</si>
  <si>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</si>
  <si>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</si>
  <si>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</si>
  <si>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</si>
  <si>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</si>
  <si>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Zero Emission Cooling Chamber (ZECC)</t>
  </si>
  <si>
    <t>Sweet Potato Noodle-Maker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</si>
  <si>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</si>
  <si>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</si>
  <si>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</si>
  <si>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</si>
  <si>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</si>
  <si>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</si>
  <si>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</si>
  <si>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</si>
  <si>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</si>
  <si>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</si>
  <si>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</si>
  <si>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</si>
  <si>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</si>
  <si>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</si>
  <si>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</si>
  <si>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</si>
  <si>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</si>
  <si>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</si>
  <si>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</si>
  <si>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</si>
  <si>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</si>
  <si>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</si>
  <si>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</si>
  <si>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</si>
  <si>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</si>
  <si>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</si>
  <si>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</si>
  <si>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</si>
  <si>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</si>
  <si>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</si>
  <si>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</si>
  <si>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</si>
  <si>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</si>
  <si>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</si>
  <si>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B. Irrigation Network Services Sub-Program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</si>
  <si>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</si>
  <si>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</si>
  <si>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</si>
  <si>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</si>
  <si>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</si>
  <si>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</si>
  <si>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</si>
  <si>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</si>
  <si>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</si>
  <si>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</si>
  <si>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</si>
  <si>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Fertigation System</t>
  </si>
  <si>
    <t>In coordination with</t>
  </si>
  <si>
    <t>NATIONAL URBAN AND PERI-URBAN AGRICULTURE PROGRAM</t>
  </si>
  <si>
    <t>FY 2025 GAA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</si>
  <si>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</si>
  <si>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 xml:space="preserve">ANNUAL BUDGET
(₱ '000) </t>
  </si>
  <si>
    <t>1. Seeds Procured for Distribution</t>
  </si>
  <si>
    <t>kilograms distributed</t>
  </si>
  <si>
    <t>2. Planting Materials for Distribution</t>
  </si>
  <si>
    <t>Fruit Bearing Tree (seedlings)</t>
  </si>
  <si>
    <t>Strawberry (cuttings)</t>
  </si>
  <si>
    <t>Calamansi Seedlings</t>
  </si>
  <si>
    <t>3. Soil Mix/Fertilizer:</t>
  </si>
  <si>
    <t>Organic Fertilizer - Solid</t>
  </si>
  <si>
    <t>Soilless Media/Potting Mix</t>
  </si>
  <si>
    <t>Liquid Fertilizer - Hydroponic Solution</t>
  </si>
  <si>
    <t>4. Other Farm Inputs</t>
  </si>
  <si>
    <t>Seedling Tray</t>
  </si>
  <si>
    <t>Plastic Crate</t>
  </si>
  <si>
    <t>Plastic Mulch</t>
  </si>
  <si>
    <t>rolls</t>
  </si>
  <si>
    <t>Set of Garden Tools</t>
  </si>
  <si>
    <t>Clay Pot</t>
  </si>
  <si>
    <t>Soft Pots</t>
  </si>
  <si>
    <t>Stackable pots</t>
  </si>
  <si>
    <t>Plastic Drum</t>
  </si>
  <si>
    <t>Garden Hose</t>
  </si>
  <si>
    <t>Wheel barrow</t>
  </si>
  <si>
    <t>Water Sprinkler</t>
  </si>
  <si>
    <t>Extension Support, Education and Training Services Sub-Program</t>
  </si>
  <si>
    <t>1. Agricultural Machinery, Equipment and Facilities Support Services Sub-Program</t>
  </si>
  <si>
    <t>A. Farm production-related machinery and equipment distributed</t>
  </si>
  <si>
    <t>Multi Cultivator</t>
  </si>
  <si>
    <t>Mini-tilling machine</t>
  </si>
  <si>
    <t>B. Other facilities and activities</t>
  </si>
  <si>
    <t>Mushroom House with Spawn</t>
  </si>
  <si>
    <t>Greenhouse with Hydroponics and Water System</t>
  </si>
  <si>
    <t>Rabbit Module with Housing</t>
  </si>
  <si>
    <t>Greenhouse with Drip Irrigation</t>
  </si>
  <si>
    <t>Poultry Housing</t>
  </si>
  <si>
    <t>C. Postharvest/processing equipment and machineries distributed/ constructed</t>
  </si>
  <si>
    <t>2. Irrigation Network Services (INS) Sub-program</t>
  </si>
  <si>
    <t>LIVESTOCK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</si>
  <si>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</si>
  <si>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PHYSICAL</t>
  </si>
  <si>
    <t>BUDGET (Actual Obligation)</t>
  </si>
  <si>
    <t>I. Production Support Services Sub-Program</t>
  </si>
  <si>
    <t>A. National Animal Genetic Resources Improvement Program</t>
  </si>
  <si>
    <t>1. Unified National Artificial Insemination Program</t>
  </si>
  <si>
    <t>Cattle</t>
  </si>
  <si>
    <t>Goat</t>
  </si>
  <si>
    <t>Planting Material distributed</t>
  </si>
  <si>
    <t>2. Philippine Native Animal Development</t>
  </si>
  <si>
    <t>Native Chicken Distribtuion</t>
  </si>
  <si>
    <t>Duck Distribution</t>
  </si>
  <si>
    <t>B. Development, Maintenance, and Rehabilitation/ Upgrading of Government Stock Farms, and Other Facilities</t>
  </si>
  <si>
    <t>Goat (Meat type)</t>
  </si>
  <si>
    <t>Goat (Dairy type)</t>
  </si>
  <si>
    <t>Sheep</t>
  </si>
  <si>
    <t>C. Support to Prevention and Control of Economically Important Diseases</t>
  </si>
  <si>
    <t>1. Drugs and Biologic Support</t>
  </si>
  <si>
    <t>2. Calibrated sentinelling and Repopulation</t>
  </si>
  <si>
    <t>Piglets Distributed</t>
  </si>
  <si>
    <t>No. of heads distributed</t>
  </si>
  <si>
    <t>Feeds Distributed</t>
  </si>
  <si>
    <t>Test Kit Distributed</t>
  </si>
  <si>
    <t>LEED</t>
  </si>
  <si>
    <t>Cattle Multiplier Farm</t>
  </si>
  <si>
    <t>1. Production Facilities Established</t>
  </si>
  <si>
    <t>1.1 Livestock Economic Enterprise Development (LEED)</t>
  </si>
  <si>
    <t>Chicken Multiplier Farm</t>
  </si>
  <si>
    <t>Honeybee Multiplier Farm</t>
  </si>
  <si>
    <t>Duck Multiplier Farm</t>
  </si>
  <si>
    <t>Sheep Multiplier Farm</t>
  </si>
  <si>
    <t>Rabbit Multiplier Farm</t>
  </si>
  <si>
    <t>Carabao Multiplier Farm</t>
  </si>
  <si>
    <t>mallig/san pablo/delfin albano</t>
  </si>
  <si>
    <t>Goat Multiplier Farm</t>
  </si>
  <si>
    <t>Silage Facility</t>
  </si>
  <si>
    <t>Solar Sets</t>
  </si>
  <si>
    <t>Number</t>
  </si>
  <si>
    <t>delfin albano/tumauini</t>
  </si>
  <si>
    <t>Animal Hauling trucks</t>
  </si>
  <si>
    <t>Cabagan</t>
  </si>
  <si>
    <t>Note: Kindly fill out 2027 Proposal (Tier 1 &amp;2) and indicate on the Column M the target municipalities for each Programs/Activities/Projects. Also, Please double check the amounts indicated in FY 2026 GAA.</t>
  </si>
  <si>
    <t>OAP PROGRAM</t>
  </si>
  <si>
    <t>CY 2023 GAA</t>
  </si>
  <si>
    <t>FY 2026 RECOMMENDED BUDGET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</si>
  <si>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</si>
  <si>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ANNUAL BUDGET 
 (₱ '000)</t>
  </si>
  <si>
    <t>BUDGET</t>
  </si>
  <si>
    <t>ANNUAL BUDGET 
(₱ '000)</t>
  </si>
  <si>
    <t>I. TECHNICAL AND SUPPORT SERVICES PROGRAM</t>
  </si>
  <si>
    <t>I.1. Production Support Services Sub-program</t>
  </si>
  <si>
    <t>A. On- station seeds production and distribution</t>
  </si>
  <si>
    <t>a.1. Vegetables</t>
  </si>
  <si>
    <t>Individual provided with vegetable seeds</t>
  </si>
  <si>
    <t>Group</t>
  </si>
  <si>
    <t>Assorted Open-pollinated varieties</t>
  </si>
  <si>
    <t>Provincewide</t>
  </si>
  <si>
    <t>a.2. Rice</t>
  </si>
  <si>
    <t>Individual provided with upland rice seeds</t>
  </si>
  <si>
    <t>Upland rice</t>
  </si>
  <si>
    <t>a.3. Corn</t>
  </si>
  <si>
    <t>Individual provided with OPV corn seeds</t>
  </si>
  <si>
    <t>OPV Corn</t>
  </si>
  <si>
    <t>Peanut Seeds</t>
  </si>
  <si>
    <t>Kg</t>
  </si>
  <si>
    <t>Assorted Vegetable Seedlings</t>
  </si>
  <si>
    <t>Pcs</t>
  </si>
  <si>
    <t>B. Farm supplies distributed</t>
  </si>
  <si>
    <t>Seedling Trays (100 holes)</t>
  </si>
  <si>
    <t>Pieces</t>
  </si>
  <si>
    <t>UV Plastic 6mil UV polyethylene plastic film for green house (7mX90mx.006 inch)</t>
  </si>
  <si>
    <t>Rolls</t>
  </si>
  <si>
    <t>C. Establishment of Organic Multi-Purpose Shed</t>
  </si>
  <si>
    <t>I.2. Extension Support, Education and Training Services Sub-Program</t>
  </si>
  <si>
    <t>II. AGRICULTURAL, MACHIENERIES, FACILITIES AND INFRASTRUCTURE PROGAM</t>
  </si>
  <si>
    <t>II.1. Agricultural and Fishery Machinery, Equipment and Facilities Support Services Sub-program</t>
  </si>
  <si>
    <t>A. Provision of Agricultural Equipment and Facilities</t>
  </si>
  <si>
    <t>a.2. Provision of Cultivator</t>
  </si>
  <si>
    <t>a.3. Multi-Span Greenhouse</t>
  </si>
  <si>
    <t>a.4. Organic Fertilizer Production Facility</t>
  </si>
  <si>
    <t>II.2.Irrigation Network Services (INS) Sub-program</t>
  </si>
  <si>
    <t>A. Small Scale Irrigation Projects (SSIP) Construction/Installation</t>
  </si>
  <si>
    <t>a.1. Solar Pump with drilling</t>
  </si>
  <si>
    <t>a.2. Provision of Dual Purpose Pump and Engine</t>
  </si>
  <si>
    <t>HALAL PROGRAM</t>
  </si>
  <si>
    <t>PROVINCE:ISABELA</t>
  </si>
  <si>
    <t>PROGRAM/SUBPROGRAM/
INDICATORS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</si>
  <si>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</si>
  <si>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</si>
  <si>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</si>
  <si>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</si>
  <si>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</si>
  <si>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</si>
  <si>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Product for certification</t>
  </si>
  <si>
    <t>3. Assistance on the Production of DA Assisted Halal Certified Products</t>
  </si>
  <si>
    <t>Products assisted</t>
  </si>
  <si>
    <t>B. Field Program Management Activities (FPMA)</t>
  </si>
  <si>
    <t>1. Halal Product Certification Assistance</t>
  </si>
  <si>
    <t xml:space="preserve">Hiring of </t>
  </si>
  <si>
    <t xml:space="preserve">  </t>
  </si>
  <si>
    <t>FARM-TO-MARKET ROAD DEVELOPMENT PROGRAM</t>
  </si>
  <si>
    <t>MUNICIPALITY</t>
  </si>
  <si>
    <t>LOCATION (BARANGAY)</t>
  </si>
  <si>
    <t xml:space="preserve">NAME OF PROJECTS </t>
  </si>
  <si>
    <t>ESTIMATED LENGTH (KM)</t>
  </si>
  <si>
    <t>ESTIMATED AMOUNT
(₱ '000)</t>
  </si>
  <si>
    <t>FY 2025 PROPOSAL (TIER I)</t>
  </si>
  <si>
    <t>CABAGAN</t>
  </si>
  <si>
    <t>Sitio Malasi, Brgy. San Antonio</t>
  </si>
  <si>
    <t>Concreting of Sitio Malasi-San Antonio FMR, Brgy. San Antonio, Cabagan, Isabela</t>
  </si>
  <si>
    <t>ILAGAN CITY</t>
  </si>
  <si>
    <t>Rang-Ayan(Bintacan)</t>
  </si>
  <si>
    <t>Concreting of Rang-Ayan FMR, Brgy. Rang-ayan ( Bintacan), Ilagan City, Isabela</t>
  </si>
  <si>
    <t>MACONACON</t>
  </si>
  <si>
    <t>Riena Mercedes</t>
  </si>
  <si>
    <t>Concreting of Kamanggaan-Mundura-Sitio Diaduan FMR , Brgy. Reina Mercedes, Maconacon, Isabela</t>
  </si>
  <si>
    <t>Malasin- Fely</t>
  </si>
  <si>
    <t>Concreting of Brgy. Malasin - Brgy. Fely FMR, Brgy. Malasin- Fely, Maconacon, Isabela</t>
  </si>
  <si>
    <t>DELFIN ALBANO</t>
  </si>
  <si>
    <t>San Antonio</t>
  </si>
  <si>
    <t>Concreting of Brgy. San Antonio FMR, Brgy. San Antonio, Delfin Albano, Isabela</t>
  </si>
  <si>
    <t>TUMAUINI</t>
  </si>
  <si>
    <t>Sto. Niño</t>
  </si>
  <si>
    <t>Concreting of Sto. Niño-Lalauanan FMR</t>
  </si>
  <si>
    <t>SUBTOTAL</t>
  </si>
  <si>
    <t>FY 2025 PROPOSAL (TIER II)</t>
  </si>
  <si>
    <t>Cabisera 25</t>
  </si>
  <si>
    <t>Concreting Of Cabisera 25 Fmr Phase I, Brgy.Cabisera 25, Ilagan City, Isabela</t>
  </si>
  <si>
    <t>Annafunan</t>
  </si>
  <si>
    <t>Concreting Of  Annafunan Fmr, Brgy. Annafunan, Tumauini, Isabela</t>
  </si>
  <si>
    <t>STA. MARIA</t>
  </si>
  <si>
    <t>San Isidro West</t>
  </si>
  <si>
    <t>Concreting Of San Isidro West Fmr, Brgy. San Isidro West, Sta. Maria, Isabela</t>
  </si>
  <si>
    <t>Anao</t>
  </si>
  <si>
    <t>Concreting Of Brgy Anao-Ngarag-Cubag Fmr, Brgy. Anao, Cabagan, Isabela</t>
  </si>
  <si>
    <t>FY 2025 NEP</t>
  </si>
  <si>
    <t>Concreting of Malasin-San Antonio FMR</t>
  </si>
  <si>
    <t>Concreting of Sitio Binag - Sitio Gassug, Brgy. San Antonio FMR Phase II</t>
  </si>
  <si>
    <t>Pilig Alto</t>
  </si>
  <si>
    <t>Concreting of Brgy. Pilig Alto FMR</t>
  </si>
  <si>
    <t>Cansan</t>
  </si>
  <si>
    <t>Concreting of Sitio Pelo, Brgy. Cansan FMR</t>
  </si>
  <si>
    <t>Tallag</t>
  </si>
  <si>
    <t>Concreting of Tallag Proper- Sitio Punta FMR</t>
  </si>
  <si>
    <t>STO. TOMAS</t>
  </si>
  <si>
    <t>Bubug</t>
  </si>
  <si>
    <t>Concreting of Bubug FMR,( Phase I)</t>
  </si>
  <si>
    <t>Concreting Sitio Matakayan- Malacab FMR Phase II</t>
  </si>
  <si>
    <t>Concreting of Brgy. Bubug FMR ( Phase II)</t>
  </si>
  <si>
    <t>Barumbong</t>
  </si>
  <si>
    <t>Concreting of Brgy. Barumbong FMR</t>
  </si>
  <si>
    <t>Bagabag-Biga Oriental</t>
  </si>
  <si>
    <t>Concreting of Brgy. Bagabag-Biga Oriental Phase 2 FMR</t>
  </si>
  <si>
    <t>Calanigan Norte</t>
  </si>
  <si>
    <t>Concreting of Brgy. Calanigan Norte FMR</t>
  </si>
  <si>
    <t>Concreting of Sitio Villa - Sitio Colunguan FMR</t>
  </si>
  <si>
    <t>SAN PABLO</t>
  </si>
  <si>
    <t>Simanu Norte</t>
  </si>
  <si>
    <t>Concreting of Brgy. Simanu Norte FMR Phase II</t>
  </si>
  <si>
    <t>Poblacion- Dalena</t>
  </si>
  <si>
    <t>Concreting of Rodeo Arena Poblacion-Sitio Antagan FMR</t>
  </si>
  <si>
    <t>Bayabo East</t>
  </si>
  <si>
    <t>Concreting of Bayabo East FMR</t>
  </si>
  <si>
    <t>Caligayan</t>
  </si>
  <si>
    <t>Concreting of Caligayan FMR</t>
  </si>
  <si>
    <t>Imelda</t>
  </si>
  <si>
    <t>Concreting of Villa Imelda FMR</t>
  </si>
  <si>
    <t>Gayong -Gayong Sur</t>
  </si>
  <si>
    <t>Concreting of Brgy. Gayong- Gayong Sur FMR</t>
  </si>
  <si>
    <t>Concreting of Brgy. Malasin- Brgy. Fely FMR</t>
  </si>
  <si>
    <t>Villa Paredes - San Nicolas</t>
  </si>
  <si>
    <t>Concreting of Brgy. Villa Paredes - San Nicolas  FMR</t>
  </si>
  <si>
    <t>San Isidro West - Divisoria</t>
  </si>
  <si>
    <t>Concreting of Brgy. San Isidro West - Brgy. Divisoria FMR</t>
  </si>
  <si>
    <t>Sitio Malasin, San Antonio</t>
  </si>
  <si>
    <t>Concreting of Malasin-San Antonio FMR, Brgy. Sitio Malasin, Brgy. San Antonio, Cabagan, Isabela</t>
  </si>
  <si>
    <t>Proper- Sitio Punta ,Tallag</t>
  </si>
  <si>
    <t>Concreting of Tallag Proper- Sitio Punta FMR, Brgy. Tallag, Cabagan, Isabela</t>
  </si>
  <si>
    <t>Concreting of Brgy. Pilig Alto FMR, Brgy. Pilig Alto, Cabagan, Isabela</t>
  </si>
  <si>
    <t>Sitio Pelo , Cansan</t>
  </si>
  <si>
    <t>Concreting of Sitio Pelo, Brgy. Cansan FMR, Brgy. Cansan, Cabagan, Isabela</t>
  </si>
  <si>
    <t>Cansan -Balasig</t>
  </si>
  <si>
    <t>Concreting of Brgy. Cansan- Brgy. Balasig FMR, Brgy. Cansan and Brgy. Balasig, Cabagan, Isabela</t>
  </si>
  <si>
    <t>Concreting of Bubug FMR, Brgy. Bubug, Sto. Tomas, Isabela ( Phase I)</t>
  </si>
  <si>
    <t>Concreting of Bubug FMR, Brgy. Bubug, Sto. Tomas, Isabela ( Phase II)</t>
  </si>
  <si>
    <t>Concreting of Barumbong FMR, Brgy. Barumbong, Sto. Tomas, Isabela</t>
  </si>
  <si>
    <t>Concreting of Brgy. Bagabag-Biga Oriental Phase II FMR, Brgy. Bagabag-Biga Oriental, Sto. Tomas, Isabela</t>
  </si>
  <si>
    <t>Concreting of Brgy. Calanigan Norte FMR, Brgy. Calanigan Norte, Sto. Tomas, Isabela</t>
  </si>
  <si>
    <t>Sitio Villa - Sitio Colunguan , Barumbong</t>
  </si>
  <si>
    <t>Concreting of Sitio Villa - Sitio Colunguan FMR, Brgy. Barumbong, Sto. Tomas, Isabela</t>
  </si>
  <si>
    <t>Concreting of Bayabo East FMR, Brgy. Bayabo East, Tumauini, Isabela</t>
  </si>
  <si>
    <t>Concreting of Caligayan FMR, Brgy. Caligayan, Tumauini, Isabela</t>
  </si>
  <si>
    <t>Ilagan City</t>
  </si>
  <si>
    <t>Concreting of Villa Imelda FMR, Brgy. Imelda, Ilagan City, Isabela</t>
  </si>
  <si>
    <t>Gayong- Gayong Sur</t>
  </si>
  <si>
    <t>Concreting of Brgy. Gayong- Gayong Sur FMR, Brgy. Gayong- Gayong Sur, Ilagan City, Isabela</t>
  </si>
  <si>
    <t>Aggasin-Salindingan</t>
  </si>
  <si>
    <t>Concreting of Brgy. Aggasian- Brgy.Salindingan FMR, Brgy. Aggasian- Brgy. Salindingan, Ilagan City, Isabela</t>
  </si>
  <si>
    <t>Villa Pareda - San Nicolas</t>
  </si>
  <si>
    <t>Concreting of Brgy. Villa Paredes - San Nicolas FMR, Brgy. Villa Paredes- Brgy. San Nicolas, Delfin Albano, Isabela</t>
  </si>
  <si>
    <t>San Pablo</t>
  </si>
  <si>
    <t>Rodeo Arena Poblacion-Sitio Antagan , Brgy. Poblacion &amp; Dalena</t>
  </si>
  <si>
    <t>Concreting of Rodeo Arena Poblacion-Sitio Antagan FMR, Brgy. Poblacion &amp; Dalena, San Pablo, Isabela</t>
  </si>
  <si>
    <t>Annanuman- Brgy. Dalena FMR Phase III, Brgy. Annanuman</t>
  </si>
  <si>
    <t>Concreting of Brgy. Annanuman- Brgy. Dalena FMR Phase III, Brgy. Annanuman, San Pablo, Isabela</t>
  </si>
  <si>
    <t>Maconacon</t>
  </si>
  <si>
    <t>Concreting of Brgy. Malasin- Brgy. Fely FMR, Brgy. Malasin- Fely, Maconacon, Isabela</t>
  </si>
  <si>
    <t>Concreting of Brgy. San Isidro West - Brgy. Divisoria FMR, Brgy. San Isidro West - Brgy. Divisoria, Sta. Maria, Isabela</t>
  </si>
  <si>
    <t>Calamagui North</t>
  </si>
  <si>
    <t>Concreting of Brgy. Calamagui North FMR Phase II, Brgy. Calamagui North, Sta. Maria, Isabela</t>
  </si>
  <si>
    <t>FY 2026 PROPOSAL (TIER I)</t>
  </si>
  <si>
    <t>Concreting Of Cabisera 25 FMR Phase I, Brgy.Cabisera 25, Ilagan City, Isabela</t>
  </si>
  <si>
    <t>Concreting Of Brgy Anao-Ngarag-Cubag FMR, Brgy. Anao, Cabagan, Isabela</t>
  </si>
  <si>
    <t>Rang-Ayan-Ballacong</t>
  </si>
  <si>
    <t>Concreting of Rang-Ayan FMR, Brgy. Rang-ayan ( Ballacong), Ilagan City, Isabela</t>
  </si>
  <si>
    <t>Sto. Niño-Lalauanan</t>
  </si>
  <si>
    <t>Concreting of Sto. Niño-Lalauanan FMR ,Tumuini, Isabela</t>
  </si>
  <si>
    <t>FY 2026 PROPOSAL (TIER II)</t>
  </si>
  <si>
    <t>Sitio Vidad, Brgy. Masipi East</t>
  </si>
  <si>
    <t>Concreting Of Vidad, Masipi East Fmr,Sitio Vidad, Brgy. Masipi East, Cabagan, Isabela</t>
  </si>
  <si>
    <t>Masipi West</t>
  </si>
  <si>
    <t>Concreting Of Masipi West Fmr Phase 1, Brgy. Masipi West,Cabagan, Isabela</t>
  </si>
  <si>
    <t>Concreting Of Masipi West Fmr Phase 2,Brgy. Masipi West,Cabagan, Isabela</t>
  </si>
  <si>
    <t>Concreting Of Tallag Swisa Fmr, Brgy. Tallag,Brgy. Masipi West,Cabagan, Isabela</t>
  </si>
  <si>
    <t>Cabiseria 14-16(Casilagan)</t>
  </si>
  <si>
    <t>Concreting Of Cabiseria 14-16(Casilagan) Fmr, Brgy.Cabiseria 14-16(Casilagan), Ilagan City, Isabela</t>
  </si>
  <si>
    <t>Ammugauan</t>
  </si>
  <si>
    <t>Concreting Of Ammugauan Fmr, Brgy. Ammugauan, Sto. Tomas, Isabela</t>
  </si>
  <si>
    <t>Concreting Of Bubug Fmr, Brgy. Bubug, Sto. Tomas, Isabela</t>
  </si>
  <si>
    <t>Concreting Of Bagabag-Biga Oriental Phase 2 Fmr, Brgy. Bagabag-Biga Oriental, Sto. Tomas, Isabela</t>
  </si>
  <si>
    <t>Bolinao-Culalabo</t>
  </si>
  <si>
    <t>Concreting Of Bulinao-Culalabo Fmr, Brgys.Bolinao-Culalabo, Sto. Tomas, Isabela</t>
  </si>
  <si>
    <t>Antagan</t>
  </si>
  <si>
    <t>Concreting Of Antagan Fmr, Brgy. Antagan, Sto. Tomas, Isabela</t>
  </si>
  <si>
    <t>San Rafael Abajo</t>
  </si>
  <si>
    <t>Concreting Of San Rafael Abajo Phase 2 Fmr, Brgy.San Rafael Abajo, Sto. Tomas, Isabela</t>
  </si>
  <si>
    <t>Arcon-Namnama</t>
  </si>
  <si>
    <t>Concreting Of Arcon-Namnama Phase 1 Fmr, Brgy.Arcon-Namnama, Tumauini, Isabela</t>
  </si>
  <si>
    <t>Concreting Of Arcon-Namnama Phase 2 Fmr,Brgy.Arcon-Namnama, Tumauini, Isabela</t>
  </si>
  <si>
    <t>Concreting Of Arcon-Namnama Phase 3 Fmr,Brgy.Arcon-Namnama, Tumauini, Isabela</t>
  </si>
  <si>
    <t>Lapogan-Santo Niño</t>
  </si>
  <si>
    <t>Concreting Of Lapogan-Santo Niño Fmr, Brgys. Lapogan-Santo Niño, Tumauini, Isabela</t>
  </si>
  <si>
    <t>San Felipe-Sto. Tomas-Cammunutan</t>
  </si>
  <si>
    <t>Concreting Of San Felipe-Sto. Tomas-Camunutan Fmr, Brgys.San Felipe-Sto. Tomas-Cammunutan, Ilagan City, Isabela</t>
  </si>
  <si>
    <t>Rodeo Arena Poblacion-Sitio Antagan</t>
  </si>
  <si>
    <t>Concreting Of Rodeo Arena Poblacion-Sitio Antagan Fmr, Brgys.Rodeo Arena Poblacion, San Pablo, Isabela</t>
  </si>
  <si>
    <t>Sitio Nagbarakalan-Mt. Hamut, Simanu Norte</t>
  </si>
  <si>
    <t>Concreting Of Sitio Nagbarakalan-Mt. Hamut, Simanu Norte Fmr Phase 2, Sitio Nagbarakalan-Mt. Hamut, Simanu Norte, Sitio Nagbarakalan-Mt. Hamut, Brgy. Simanu Norte, San Pablo, Isabela</t>
  </si>
  <si>
    <t>Road Opening/Concreting Of Sta. Filomena Irrigator's Association Fmr, Brgy. Bubug, Sto. Tomas, Isabela</t>
  </si>
  <si>
    <t>Concreting Of Annafunan Fmr, Brgy. Annafunan, Tumauini, Isabela</t>
  </si>
  <si>
    <t>Concreting Of Arcon-Namnama Fmr, Brgys.Arcon-Namnama, Tumauini, Isabela</t>
  </si>
  <si>
    <t>Concreting Of Bayabo East Fmr, Brgy. Bayabo East, Tumauini, Isabela</t>
  </si>
  <si>
    <t>Bayabo-Lalauanan</t>
  </si>
  <si>
    <t>Concreting Of Bayabo-Lalauanan Fmr, Brgys. Bayabo-Lalauanan,Tumauini, Isabela</t>
  </si>
  <si>
    <t>Cumabao-Dy Abra</t>
  </si>
  <si>
    <t>Concreting Of Cumabao-Dy Abra Fmr, Brgys.Cumabao-Dy Abra, Tumauini, Isabela</t>
  </si>
  <si>
    <t>Fermeldy</t>
  </si>
  <si>
    <t>Concreting Of Fermeldy Fmr, Brgy. Fermeldy, Tumauini, Isabela</t>
  </si>
  <si>
    <t>Lalauanan-Sto. Niño-Lapogan</t>
  </si>
  <si>
    <t>Concreting Of Lalauanan-Sto. Niño-Lapogan Fmr, Brgys.Lalauanan-Sto. Niño-Lapogan, Tumauini, Isabela</t>
  </si>
  <si>
    <t>Malamag West-Santa</t>
  </si>
  <si>
    <t>Concreting Of Malamag West-Santa Fmr, Brgys.Malamag West-Santa, Tumauini, Isabela</t>
  </si>
  <si>
    <t>Moldero-Fermeldy</t>
  </si>
  <si>
    <t>Concreting Of Moldero-Fermeldy Fmr, Brgys. Moldero-Fermeldy, Tumauini, Isabela</t>
  </si>
  <si>
    <t>Concreting Of Brgy. San Antonio Fmr, Brgy.Brgy. San Antonio , Delfin Albano, Isabela</t>
  </si>
  <si>
    <t>Carmencita To Aga</t>
  </si>
  <si>
    <t>Concreting Of Brgy. Carmencita-Aga Fmr, Brgys.Carmencita To Aga, Delfin Albano, Isabela</t>
  </si>
  <si>
    <t>Sta. Isabel</t>
  </si>
  <si>
    <t>Concreting Of Brgy. Sta. Isabel Norte Fmr, Brgy. Sta. Isabel, Ilagan City, Isabela</t>
  </si>
  <si>
    <t>Alibagu-.Namnama-Fugu</t>
  </si>
  <si>
    <t>Concreting Of Brgy. Alibagu-Brgy. Namnama-Brgy. Fugu Fmr, Brgys. Alibagu-.Namnama-Fugu, Ilagan City, Isabela</t>
  </si>
  <si>
    <t>Concreting Of Brgy. Cabisera 25 Fmr, Brgy.Cabisera 25, Ilagan City, Isabela</t>
  </si>
  <si>
    <t>Cabisera 2</t>
  </si>
  <si>
    <t>Concreting Of Brgy. Cabisera 2 Fmr, Brgy. Cabisera, Ilagan City, Isabela</t>
  </si>
  <si>
    <t>Cabisera 3</t>
  </si>
  <si>
    <t>Concreting Of Brgy. Cabisera 3 Fmr,Brgy. Cabisera 3, Ilagan City, Isabela</t>
  </si>
  <si>
    <t>Cabisera 7 To Brgy. Paliueg</t>
  </si>
  <si>
    <t>Concreting Of Brgy. Cabisera 7 To Brgy. Paliueg Fmr, Brgys. Cabisera 7 To Brgy. Paliueg ,Ilagan City, Isabela</t>
  </si>
  <si>
    <t>Cadu To Brgy. Ainguigan 1st</t>
  </si>
  <si>
    <t>Concreting Of Brgy. Cadu To Brgy. Ainguigan 1st Fmr, Brgys.Cadu To Brgy. Ainguigan 1st, Ilagan City, Isabela</t>
  </si>
  <si>
    <t>Gayong-Gayong Sur</t>
  </si>
  <si>
    <t>Concreting Of Brgy. Gayong-Gayong Sur Fmr, Brgys.Gayong-Gayong Sur, Ilagan City, Isabela</t>
  </si>
  <si>
    <t>Malasin</t>
  </si>
  <si>
    <t>Concreting Of Brgy. Malasin Fmr, Brgy. Malasin, Ilagan City, Isabela</t>
  </si>
  <si>
    <t>Siffu</t>
  </si>
  <si>
    <t>Concreting Of Brgy. Siffu Fmr, Brgy. Siffu, Ilagan City, Isabela</t>
  </si>
  <si>
    <t>Sta. Isabela Sur</t>
  </si>
  <si>
    <t>Concreting Of Brgy. Sta. Isabela Sur Fmr, Brgy. Sta. Isabela Sur, Ilagan City, Isabela</t>
  </si>
  <si>
    <t>Bigao</t>
  </si>
  <si>
    <t>Concreting Of Bigao Fmr, Brgy. Bigao, Ilagan City, Isabela</t>
  </si>
  <si>
    <t>Villa Imelda</t>
  </si>
  <si>
    <t>Concreting Of Villa Imelda Fmr, Brgy. Villa Imelda,Ilagan City, Isabela</t>
  </si>
  <si>
    <t>Concreting Of Brgy. Bubug Fmr, Brgy. Bubug, Sto. Tomas, Isabela</t>
  </si>
  <si>
    <t>Concreting Of Brgy. Barumbong Fmr, Brgy. Barumbong, Sto. Tomas, Isabela</t>
  </si>
  <si>
    <t>Concreting Of Brgy. Calanigan Norte Fmr,Brgy. Calanigan Norte, Sto. Tomas, Isabela</t>
  </si>
  <si>
    <t>Bagabag - Biga Oriental</t>
  </si>
  <si>
    <t>Concreting Of Brgy. Bagabag To Brgy. Biga Oriental Fmr, Brgy. Bagabag - Biga Oriental, Sto. Tomas, Isabela</t>
  </si>
  <si>
    <t>Biga Oriental</t>
  </si>
  <si>
    <t>Concreting Of Brgy. Biga Oriental Fmr,Brgy. Biga Oriental , Sto. Tomas, Isabela</t>
  </si>
  <si>
    <t>Concreting Of Sitio Cabaruan-Sitio Matakayan Fmr, Brgy. Barumbong, Sto. Tomas, Isabela</t>
  </si>
  <si>
    <t>Concreting Of Sitio Villa-Sitio Colunguan Fmr, Brgy. Barumbong, Sto. Tomas, Isabela</t>
  </si>
  <si>
    <t>Concreting Of Caligayan Fmr, Brgy. Caligayan, Tumauini, Isabela</t>
  </si>
  <si>
    <t>Concreting Of Tomasabel Swisa Fmr, Brgy. Tallag, Cabagan, Isabela</t>
  </si>
  <si>
    <t>Bayabo To Calaocan</t>
  </si>
  <si>
    <t>Concreting Of Brgy. Bayabo To Brgy. Calaocan Fmr, Brgys.Bayabo To Calaocan, Delfin Albano, Isabela</t>
  </si>
  <si>
    <t>Bayabo To Santor</t>
  </si>
  <si>
    <t>Concreting Of Brgy. Bayabo To Brgy. Santor Fmr, Brgys. Bayabo to Santor, Delfin Albano, Isabela</t>
  </si>
  <si>
    <t>Calinaoan Sur</t>
  </si>
  <si>
    <t>Concreting Of Brgy. Calinaoan Sur Farm-To-Market Road, Brgy.Calinaoan Sur, Delfin Albano, Isabela</t>
  </si>
  <si>
    <t>San Antonio To San Juan</t>
  </si>
  <si>
    <t>Concreting Of Brgy. San Antonio To Brgy. San Juan Fmr, Brgys. San Antonio To San Juan, Delfin Albano, Isabela</t>
  </si>
  <si>
    <t>Villa Paredes To San Nicolas</t>
  </si>
  <si>
    <t>Concreting Of Brgy. Villa Paredes To Brgy. San Nicolas Fmr, Brgys.Villa Paredes To San Nicolas, Delfin Albano, Isabela</t>
  </si>
  <si>
    <t>Villa Tj</t>
  </si>
  <si>
    <t>Concreting Of Villa Tj Fmr, Brgy. Villa Tj, Delfin Albano, Isabela</t>
  </si>
  <si>
    <t>Annafunan &amp; Sta. Catalina</t>
  </si>
  <si>
    <t>Concreting Of Annafutan To Sta. Catalina Fmr, Brgys. Annafunan &amp; Sta. Catalina, Tumauini, Isabela</t>
  </si>
  <si>
    <t>Antagan 1st</t>
  </si>
  <si>
    <t>Concreting Of Antagan 1st Fmr, Brgy. Antagan 1st, Tumauini, Isabela</t>
  </si>
  <si>
    <t>Arcon &amp; Namnama</t>
  </si>
  <si>
    <t>Concreting Of Arcon To Namnama Fmr, Brgys. Arcon &amp; Namnama, Tumauini, Isabela</t>
  </si>
  <si>
    <t>Bayabo East &amp; Lalauanan</t>
  </si>
  <si>
    <t>Concreting Of Bayabo East To Lalauanan Fmr, Brgys.Bayabo East &amp; Lalauanan, Tumauini, Isabela</t>
  </si>
  <si>
    <t>Cumabao</t>
  </si>
  <si>
    <t>Concreting Of Cumabao Fmr, Brgy. Cumabao, Tumauini, Isabela</t>
  </si>
  <si>
    <t>Fugu Abajo</t>
  </si>
  <si>
    <t>Concreting Of Fugu Abajo Fmr, Brgy. Fugu Abajo, Tumauini, Isabela</t>
  </si>
  <si>
    <t>Lanna</t>
  </si>
  <si>
    <t>Concreting Of Lanna Fmr, Brgy. Lanna, Tumauini, Isabela</t>
  </si>
  <si>
    <t>Lapogan &amp; Sto. Niño</t>
  </si>
  <si>
    <t>Concreting Of Lapogan To Sto. Niño Fmr, Brgys. Lapogan &amp; Sto. Niño, Tumauini, Isabela</t>
  </si>
  <si>
    <t>Malamag West &amp; Lanna</t>
  </si>
  <si>
    <t>Concreting Of Malamag West Fmr, Brgys.Malamag West &amp; Lanna, Tumauini, Isabela</t>
  </si>
  <si>
    <t>Moldero</t>
  </si>
  <si>
    <t>Concreting Of Moldero Fmr, Brgy. Moldero, Tumauini, Isabela</t>
  </si>
  <si>
    <t>San Vicente</t>
  </si>
  <si>
    <t>Concreting Of San Vicente Fmr, Brgy. San Vicente, Tumauini, Isabela</t>
  </si>
  <si>
    <t>Concreting Of Sto. Niño Fmr, Brgy. Sto. Niño, Tumauini, Isabela</t>
  </si>
  <si>
    <t>Namnama</t>
  </si>
  <si>
    <t>Concreting Of Namnama Fmr, Brgy. Namnama, Tumauini, Isabela</t>
  </si>
  <si>
    <t>Sta. Catalina</t>
  </si>
  <si>
    <t>Concreting Of Sta. Catalina Fmr, Brgy. Sta. Catalina, Tumauini, Isabela</t>
  </si>
  <si>
    <t>Concreting Of Brgy. Pilig Alto Farm-To-Market Road, Brgy. Pilig Alto, Cabagan, Isabela</t>
  </si>
  <si>
    <t>Concreting Of Brgy. Masipi West Farm-To-Market Road, Brgy. Masipi West, Cabagan, Isabela</t>
  </si>
  <si>
    <t>Concreting Of Brgy. Tallag Proper-Sitio Punta Farm-To-Market Road, Brgy. Tallag, Cabagan, Isabela</t>
  </si>
  <si>
    <t>Concreting Og Sitio Alibagu, Brgy. Tallag Farm-To-Market Road, Brgy. Tallag,Cabagan, Isabela</t>
  </si>
  <si>
    <t>Concreting Of Brgy. Cansan Farm-To-Market Road, Brgy. Cansan,Cabagan, Isabela</t>
  </si>
  <si>
    <t>Concreting Of Sitio Pelo, Brgy. Cansan Farm-To-Market Road,Brgy. Cansan,Cabagan, Isabela</t>
  </si>
  <si>
    <t>Casibarag Norte</t>
  </si>
  <si>
    <t>Concreting Of Brgy. Casibarag Norte Farm-To-Market Road, Brgy. Casibarag Norte, Cabagan, Isabela</t>
  </si>
  <si>
    <t>Limbauan</t>
  </si>
  <si>
    <t>Concreting Of Sitio Magamian-Cabannungan Farm-To-Market Road, Brgy.Limbauan, San Pablo, Isabela</t>
  </si>
  <si>
    <t>San Vicente &amp; Limbauan</t>
  </si>
  <si>
    <t>Concreting Of Brgy. San Vicente - Brgy. Limbauan Farm-To-Market Road, Brgy. San Vicente &amp; Limbauan</t>
  </si>
  <si>
    <t>Poblacion &amp; Dalena</t>
  </si>
  <si>
    <t>Concreting Of Rodeo Arena Poblacion-Sitio Antagan Farm-To-Market Road, Brgys. Poblacion &amp; Dalena, San Pablo, Isabela</t>
  </si>
  <si>
    <t>Malasin &amp; Fely</t>
  </si>
  <si>
    <t>Concreting Of Brgy. Malasn - Brgy. Fely Farm-To-Market Road, Brgys. Malasin &amp; Fely, Maconacon, Isabela</t>
  </si>
  <si>
    <t>Concreting Of Zone 7-Kabikawan Creek, Brgy. Malasin Farm-To-Market Road, Brgy. Malasin, Maconacon, Isabela</t>
  </si>
  <si>
    <t>Diana</t>
  </si>
  <si>
    <t>Concreting Of Brgy. Diana Farm-To-Market Road, Brgy. Diana, Maconacon, Isabela</t>
  </si>
  <si>
    <t>City Of Ilagan</t>
  </si>
  <si>
    <t>Sta. Isabel Sur</t>
  </si>
  <si>
    <t>Concreting Of Brgy. Sta. Isabel Sur Farm-To-Market Road, Brgy.Sta. Isabel Sur, City of Ilagan, Isabela</t>
  </si>
  <si>
    <t>Cabisera 7 To Paliueg</t>
  </si>
  <si>
    <t>Concreting Of Brgy. Cabisera 7 To Brgy. Paliueg Farm-To-Market Road,Brgys. Cabisera 7 To Brgy. Paliueg, City of Ilagan, Isabela</t>
  </si>
  <si>
    <t>Concreting Of Brgy. Malasin Farm-To-Market Road, Brgy. Malasin, City of Ilagan, Isabela</t>
  </si>
  <si>
    <t>Concreting Of Brgy. Siffu Farm-To-Market Road, Brgy. Siffu, City of Ilagan, Isabela</t>
  </si>
  <si>
    <t>Concreting Of Brgy. Bigao Farm-To-Market Road, Brgy. Bigao, City of Ilagan, Isabela</t>
  </si>
  <si>
    <t>Concreting Of Brgy. Gayong-Gayong Sur Farm-To-Market Road, Brgys.Gayong-Gayong Sur, City of Ilagan, Isabela</t>
  </si>
  <si>
    <t>Cadu-Allinguigan 1st</t>
  </si>
  <si>
    <t>Concreting Of Brgy. Cadu-Brgy. Allinguigan 1st Farm-To-Market Road, Brgys.Cadu-Allinguigan 1st, City of Ilagan, Isabela</t>
  </si>
  <si>
    <t>Concreting Of Brgy. Cabisera 2 Farm-To-Market Road, Brgy. Cabisera 2, City of Ilagan, Isabela</t>
  </si>
  <si>
    <t>Concreting Of Brgy. Cabisera 25 Farm-To-Market Road, Brgy. Cabisera 25, City of Ilagan, Isabela</t>
  </si>
  <si>
    <t>Sta. Isabel Norte</t>
  </si>
  <si>
    <t>Concreting Of Brgy. Sta. Isabel Norte Farm-To-Market Road,Brgy. Sta. Isabel Norte, City of Ilagan, Isabela</t>
  </si>
  <si>
    <t>Upgrading And Widening Of Bayabo East Fmr, Brgy.Bayabo East, Tumauini, Isabela</t>
  </si>
  <si>
    <t>Sta Maria</t>
  </si>
  <si>
    <t>Villabuena</t>
  </si>
  <si>
    <t>Concreting Of Sitio Guggutao, Brgy. Villabuena Fmr, Brgy. Villabuena , Sta. Maria, Isabela</t>
  </si>
  <si>
    <t>Concreting Of Sitio Alibagu, Brgy. Tallag Fmr,Brgy. Tallag, Cabagan, Isabela</t>
  </si>
  <si>
    <t>Ville Pereda</t>
  </si>
  <si>
    <t>Concreting Of Brgy. Villa Perede Fmr,Brgy. Villa Perede, Delfin Albano, Isabela</t>
  </si>
  <si>
    <t>San Isidro West And Divisoria</t>
  </si>
  <si>
    <t>Concretingof Brgy San Isidro West To Brgy Divisoria Fmr, Brgys. San Isidro West And Divisoria, Sta. Maria, Isabela</t>
  </si>
  <si>
    <t>Banig/Dy-Abra</t>
  </si>
  <si>
    <t>Concreting Of Banig/Dy-Abra Fmr, Brgy. Banig Dy-Abra, Tumauini, Isabela</t>
  </si>
  <si>
    <t>Concreting Of Brgy. San Vicente, Sitio Magamian Fmr, Brgy. San Vicente, San Pablo, Isabela</t>
  </si>
  <si>
    <t>Concreting Of Brgy. Pilig Alto Fmr. Brgy. Pilig Alto, Cabagan, Isabela</t>
  </si>
  <si>
    <t>Concreting Of Brgy. Simanu Norte Fmr, Brgy. Simanu Norte, San Pablo, Isabela</t>
  </si>
  <si>
    <t>Sta Rosario</t>
  </si>
  <si>
    <t>Concreting Of Brgy Sta Rosario Fmr,Brgy Sta Rosario, Delfin Albano, Isabela</t>
  </si>
  <si>
    <t>Santo Tomas</t>
  </si>
  <si>
    <t>Concreting Of Brgy. Ammugauan Fmr,Brgy. Ammugauan, Santo Tomas, Isabela</t>
  </si>
  <si>
    <t>Concreting of Brgy. Bubug, Santo Tomas-Quezon FMR, Brgy. Bubug, Santo Tomas, Isabela</t>
  </si>
  <si>
    <t>Concreting of Brgy. Ammugauan FMR, Brgy. Ammugauan, Santo Tomas, Isabela</t>
  </si>
  <si>
    <t>Balelleng and Malapagay</t>
  </si>
  <si>
    <t>Concreting of Balelleng-Malapagay FMR, Brgys. Balelleng and Brgys. Malapagay, Santo Tomas, Isabela</t>
  </si>
  <si>
    <t>Calinaoan Centro</t>
  </si>
  <si>
    <t>Concreting of Calinaoan Centro FMR, Brgy. Calinaoan Centro, Santo Tomas, Isabela</t>
  </si>
  <si>
    <t>Calinaoan Norte</t>
  </si>
  <si>
    <t>Concreting of Calinaoan Norte FMR, Brgy. Calinaoan Norte, Santo Tomas, Isabela</t>
  </si>
  <si>
    <t>Concreting of San Vicente-Cañiogan Alto FMR, Brgy. San Vicente, Santo Tomas, Isabela</t>
  </si>
  <si>
    <t>Alibagu-Namnama-Fugu</t>
  </si>
  <si>
    <t>Concreting of Brgy. Alibagu-Brgy Namnama-Brgy. Fugu FMR, Brgys. Alibagu-namnama-Fugu, Ilagan City, Isabela</t>
  </si>
  <si>
    <t>Fermeldy-Santa</t>
  </si>
  <si>
    <t>Concreting of Brgy. Fermeldy-Brgy. Santa FMR, Brgys. Fermeldy-Santa, Tumauini, Isabela</t>
  </si>
  <si>
    <t>Annanuman</t>
  </si>
  <si>
    <t>Concreting of Annanuman-Dalena FMR Phase III, Brgy. Annanuman, San Pablo, Isabela</t>
  </si>
  <si>
    <t>Maui-San Isidro-Andarayan</t>
  </si>
  <si>
    <t>Concreting of FMR at Brgy. Maui-San Isidro-Andarayan with Retaining Wall and Slope Protection,Delfin Albano, Isabela</t>
  </si>
  <si>
    <t>Sto. Rosario</t>
  </si>
  <si>
    <t>Repair/Rehabilitation of FMR at Brgy. Sto. Rosario with Retaining Wall and Slope Protection, Delfin Albano, Isabela</t>
  </si>
  <si>
    <t>Aggasian</t>
  </si>
  <si>
    <t>Concreting of Aggasian-Salindingan FMR, Ilagan City, Isabela</t>
  </si>
  <si>
    <t>Concreting of Villa Imelda-Sitio Coop FMR, Ilagan City, Isabela</t>
  </si>
  <si>
    <t>Mangcuram-Siffu-Bigao</t>
  </si>
  <si>
    <t>Concreting of Mangcuram-Siffu-Bigao FMR, Ilagan City, Isabela</t>
  </si>
  <si>
    <t>San Rodrigo-San Lorenzo</t>
  </si>
  <si>
    <t>Concreting of San Rodrigo-San Lorenzo FMR, Ilagan City, Isabela</t>
  </si>
  <si>
    <t>Batong Labang</t>
  </si>
  <si>
    <t>Concreting of Batong Labang-Sitio Pulang Lupa FMR, Ilagan City, Isabela</t>
  </si>
  <si>
    <t>Arusip-Siffu</t>
  </si>
  <si>
    <t>Concreting of Arusip-Siffu Road FMR, Ilagan City, Isabela</t>
  </si>
  <si>
    <t>Rang-Ayan</t>
  </si>
  <si>
    <t>Concreting of Rang-Ayan-Sitio Tapwakan FMR, Ilagan City, Isabela</t>
  </si>
  <si>
    <t>Cabisera 17/21</t>
  </si>
  <si>
    <t>Concreting of Cabisera 17/21 to Cabisera 23 Road FMR, Ilagan City, Isabela</t>
  </si>
  <si>
    <t>Concreting of Cabisera 3 FMR, City of Ilagan, Isabela</t>
  </si>
  <si>
    <t>Gayong-gayong Sur</t>
  </si>
  <si>
    <t>Concreting of Gayong-gayong Sur to Cabisera 3 FMR, City of Ilagan, Isabela</t>
  </si>
  <si>
    <t>Salindingan</t>
  </si>
  <si>
    <t>Concreting of Salindingan to Sitio Latu FMR, City of Ilagan, Isabela</t>
  </si>
  <si>
    <t>Concreting of Cabisera 17/21 to Sindon Maride Road FMR, City of Ilagan, Isabela</t>
  </si>
  <si>
    <t>Gayong-gayong Norte</t>
  </si>
  <si>
    <t>Concreting of Gayong-gayong Norte to Cabisera 3 Road FMR, City of Ilagan, Isabela</t>
  </si>
  <si>
    <t>Concreting of Namnama to Sitio Bating FMR, City of Ilagan, Isabela</t>
  </si>
  <si>
    <t>Concreting of Caligayan FMR, Tumauini, Isabela</t>
  </si>
  <si>
    <t>Tunggui to Moldero</t>
  </si>
  <si>
    <t>Concreting of Tunggui to Moldero FMR, Tumauini, Isabela</t>
  </si>
  <si>
    <t>San Mateo</t>
  </si>
  <si>
    <t>Concreting of San Mateo FMR, Tumauini, Isabela</t>
  </si>
  <si>
    <t>Ugad</t>
  </si>
  <si>
    <t>Concreting of Ugad FMR, Tumauini, Isabela</t>
  </si>
  <si>
    <t>Antagan 2nd and Antagan 1st</t>
  </si>
  <si>
    <t>Concreting of Antagan 2nd to Antagan 1st FMR, Tumauini, Isabela</t>
  </si>
  <si>
    <t>Camasi</t>
  </si>
  <si>
    <t>Concreting of Camasi FMR, Tumauini, Isabela</t>
  </si>
  <si>
    <t>Tunggui</t>
  </si>
  <si>
    <t>Concreting of Tunggui FMR, Tumauini, Isabela</t>
  </si>
  <si>
    <t>Garita</t>
  </si>
  <si>
    <t>Concreting of Garita FMR, Cabagan, Isabela</t>
  </si>
  <si>
    <t>Concreting of Sitio Baccay-Sitio Umayam, Brgy San Antonio FMR, Cabagan, Isabela</t>
  </si>
  <si>
    <t>Concreting of Masipi West FMR, Cabagan, Isabela</t>
  </si>
  <si>
    <t>Concreting of Brgy San Antonio FMR, Cabagan, Isabela</t>
  </si>
  <si>
    <t>Masipi East</t>
  </si>
  <si>
    <t>Concreting of Brgy Masipi East FMR, Cabagan, Isabela</t>
  </si>
  <si>
    <t>Concreting of Pilig Alto FMR, Cabagan, Isabela</t>
  </si>
  <si>
    <t>Concreting of Brgy Proper Tallag to Sitio Punta FMR, Cabagan, Isabela</t>
  </si>
  <si>
    <t>Concreting of Masipi West 3 FMR, Cabagan, Isabela</t>
  </si>
  <si>
    <t>Pilig Abajo</t>
  </si>
  <si>
    <t>Concreting of Pilig Abajo 1 FMR, Cabagan, Isabela</t>
  </si>
  <si>
    <t>Cansan to Balasig</t>
  </si>
  <si>
    <t>Concreting of Cansan to Balasig FMR, Cabagan, Isabela</t>
  </si>
  <si>
    <t>Tallag-San Antonio</t>
  </si>
  <si>
    <t>Concreting of Sitio Dacque, Tallag to Annaronan, San Antonio FMR, Cabagan, Isabela</t>
  </si>
  <si>
    <t>Concreting of Sitio Pelo Cansan FMR, Brgy Cansan, Cabagan, Isabela</t>
  </si>
  <si>
    <t>Concreting of Alugu, Brgy Casibarag Norte FMR, Cabagan, Isabela</t>
  </si>
  <si>
    <t>Balasig to Masipi West</t>
  </si>
  <si>
    <t>Concreting of Balasig to Masipi West FMR, Cabagan, Isabela</t>
  </si>
  <si>
    <t>Cubag</t>
  </si>
  <si>
    <t>Concreting of Cubag FMR, Cabagan, Isabela</t>
  </si>
  <si>
    <t>Sto Rosario</t>
  </si>
  <si>
    <t>Concreting of Brgy Sto Rosario FMR, Delfin Albano, Isabela</t>
  </si>
  <si>
    <t>Maui</t>
  </si>
  <si>
    <t>Concreting of Brgy Maui-Brgy Aneg, Delfin Albano, Isabela</t>
  </si>
  <si>
    <t>Sitio Limbo to Maui Road</t>
  </si>
  <si>
    <t>Concreting of Sitio limbo to Maui Road FMR, Delfin Albano, Isabela</t>
  </si>
  <si>
    <t xml:space="preserve">Brgy San Isidro West To Brgy Divisoria </t>
  </si>
  <si>
    <t>Brgy Capellan</t>
  </si>
  <si>
    <t>Concreting of Brgy Capellan FMR, Ilagan City, Isabela</t>
  </si>
  <si>
    <t>Carmencita</t>
  </si>
  <si>
    <t>Concreting of Sitio Villa TJ-Brgy Carmencita FMR, Delfin Albano, Isabela</t>
  </si>
  <si>
    <t>Capitol</t>
  </si>
  <si>
    <t>Concreting of Brgy Capitol FMR, Delfin Albano, Isabela</t>
  </si>
  <si>
    <t>Villa Pereda-San Macario</t>
  </si>
  <si>
    <t>Concreting of Brgy Villa Pereda-Brgy San Macario FMR, Delfin Albano, Isabela</t>
  </si>
  <si>
    <t>Concreting of Carmencita to National Greening Program (NGP) Road FMR, Delfin Albano, Isabela</t>
  </si>
  <si>
    <t>Bliss Village to Baligatan</t>
  </si>
  <si>
    <t>Concreting of Brgy Bliss Village to Brgy Baligatan FMR, Ilagan City, Isabela</t>
  </si>
  <si>
    <t>Paliueg</t>
  </si>
  <si>
    <t>Concreting of Brgy Paliueg FMR, Ilagan City, Isabela</t>
  </si>
  <si>
    <t>Sindun Bayabo</t>
  </si>
  <si>
    <t>Concreting of Brgy Sindun Bayabo FMR, Ilagan City, Isabela</t>
  </si>
  <si>
    <t>Capellan</t>
  </si>
  <si>
    <t>Sta Isabel Sur</t>
  </si>
  <si>
    <t>Concreting of Brgy Sta Isabel Sur FMR, Ilagan City, Isabela</t>
  </si>
  <si>
    <t>Sta Isabel Norte</t>
  </si>
  <si>
    <t>Concreting of Brgy Sta Isabel Norte FMR, Ilagan City, Isabela</t>
  </si>
  <si>
    <t>Cabisera 5</t>
  </si>
  <si>
    <t>Concreting of Brgy Cabisera 5 FMR, Ilagan City, Isabela</t>
  </si>
  <si>
    <t>Sta Victoria</t>
  </si>
  <si>
    <t>Concreting of Brgy Sta Victoria FMR, Ilagan City, Isabela</t>
  </si>
  <si>
    <t>Sindun Maride</t>
  </si>
  <si>
    <t>Concreting of Brgy Sindun Maride FMR, Ilagan City, Isabela</t>
  </si>
  <si>
    <t>Concreting of Brgy Rang-ayan FMR, Ilagan City, Isabela</t>
  </si>
  <si>
    <t>Carikkikan to Sta isabel Sur</t>
  </si>
  <si>
    <t>Concreting of Brgy Carikkikan-Sta Isabel Sur FMR, Ilagan City, Isabela</t>
  </si>
  <si>
    <t>Bagong Silang</t>
  </si>
  <si>
    <t>Concreting of Brgy bagong Silang FMR, Ilagan City, Isabela</t>
  </si>
  <si>
    <t>Arusip</t>
  </si>
  <si>
    <t>Concreting of Brgy Arusip FMR, Ilagan City, Isabela</t>
  </si>
  <si>
    <t>Alinguigan 1st-Cadu</t>
  </si>
  <si>
    <t>Concreting of Brgy Alinguigan 1st to Brgy Cadu FMR, Ilagan City, Isabela</t>
  </si>
  <si>
    <t>Concreting of Brgy San Pablo FMR, Ilagan City, Isabela</t>
  </si>
  <si>
    <t>San Juan</t>
  </si>
  <si>
    <t>Concreting of Brgy San Juan FMR, Ilagan City, Isabela</t>
  </si>
  <si>
    <t>Pasa</t>
  </si>
  <si>
    <t>Concreting of Brgy Pasa FMR, Ilagan City, Isabela</t>
  </si>
  <si>
    <t>Cabannungan 2nd</t>
  </si>
  <si>
    <t>Concreting of Purok 7 to Purok 1, Brgy. Cabannungan 2nd FMR, Ilagan City, Isabela</t>
  </si>
  <si>
    <t>Cabannungan 2nd to Arusip to Carikkikan Norte</t>
  </si>
  <si>
    <t>Concreting of Brgy Cabannungan 2nd to Brgy Arusip to Brgy Carikkikan Norte FMR, Ilagan City, Isabela</t>
  </si>
  <si>
    <t>Concreting of Brgy. Antagan to Brgy Poblacion FMR, San Pablo, Isabela</t>
  </si>
  <si>
    <t>Concreting of Brgy Simanu Norte FMR with Farm Bridge, San Pablo, Isabela</t>
  </si>
  <si>
    <t>Concreting of Brgy. San Antonio FMR, Cabagan, Isabela</t>
  </si>
  <si>
    <t>Cabisera 27</t>
  </si>
  <si>
    <t>Concreting of Brgy Cabisera 27 FMR, City of Ilagan, Isabela</t>
  </si>
  <si>
    <t>Concreting of Brgy Bubug FMR Phase I, Santo Tomas, Isabela</t>
  </si>
  <si>
    <t>Concreting of Brgy Bubug FMR Phase II, Santo Tomas, Isabela</t>
  </si>
  <si>
    <t>Calanigan</t>
  </si>
  <si>
    <t>Concreting of Brgy Calanigan Sur FMR, Santo Tomas, Isabela</t>
  </si>
  <si>
    <t>Concreting of Sitio Matakayan-Malacab Phase II FMR, Brgy Bubug, Santo Tomas, Isabela</t>
  </si>
  <si>
    <t>Concreting of Brgy Barumbong FMR, Santo Tomas, Isabela</t>
  </si>
  <si>
    <t>Concreting of Sitio Villa-Sitio Colunguan FMR, Santo Tomas, Isabela</t>
  </si>
  <si>
    <t>Bagabag</t>
  </si>
  <si>
    <t>Concreting of Brgy Bagabag-Biga Oriental FMR, Bagabag, Santo Tomas, Isabela</t>
  </si>
  <si>
    <t>Concreting of Brgy. Gayong-Gayong Sur FMR, Ilagan City, Isabela</t>
  </si>
  <si>
    <t>Concreting of Villa Imelda FMR, Ilagan City, Isabela</t>
  </si>
  <si>
    <t>Concreting of Brgy. Namnama FMR, Ilagan City, Isabela</t>
  </si>
  <si>
    <t>Concreting of Brgy Caligayan FMR, Tumauini, Isabela</t>
  </si>
  <si>
    <t>Concreting of Sitio Malasi-San Antonio FMR Phase II, Brgy. San Antonio, Cabagan, Isabela</t>
  </si>
  <si>
    <t>Aggub and Tallag</t>
  </si>
  <si>
    <t xml:space="preserve">Concreting of Brgy. Aggub to Brgy. Tallag FMR, Brgy. Aggub and Brgy. Tallag, Cabagan, Isabela   
               </t>
  </si>
  <si>
    <t xml:space="preserve">Concreting of Brgy. Pilig Abajo Phase I FMR, Brgy. Pilig Abajo, Cabagan, Isabela
</t>
  </si>
  <si>
    <t>Tallag and San Antonio</t>
  </si>
  <si>
    <t>Concreting of Sitio Dacque, Tallag to Sitio Annaronan, San Antonio Phase I FMR, Cabagan, Isabela</t>
  </si>
  <si>
    <t>Concreting of Brgy. Cubag FMR, Brgy. Cubag, Cabagan, Isabela</t>
  </si>
  <si>
    <t>Concreting of Brgy. Masipi East FMR, Brgy. Masipi East, Cabagan, Isabela</t>
  </si>
  <si>
    <t>Pilig-Alto</t>
  </si>
  <si>
    <t xml:space="preserve">Construction of Brgy. Pilig-Alto FMR, Brgy. Pilig-Alto, Cabagan, Isabela
</t>
  </si>
  <si>
    <t xml:space="preserve">Concreting of Sitio Alibagu- Brgy. Tallag FMR, Brgy. Tallag, Cabagan, Isabela
</t>
  </si>
  <si>
    <t>Concreting of Sitio Dacque, Tallag to Sitio Annaroanan, San Antonio FMR Phase II, Brgy. Tallag, Cabagan, Isabela</t>
  </si>
  <si>
    <t>Casibarag</t>
  </si>
  <si>
    <t>Concreting of Sitio Alugu, Brgy. Casibarag Norte FMR, Brgy. Casibarag, Cabagan, Isabela</t>
  </si>
  <si>
    <t>Masipi West 3</t>
  </si>
  <si>
    <t xml:space="preserve">Concreting of Brgy. Masipi West 3 FMR, Brgy. Masipi West 3, Cabagan, Isabela
</t>
  </si>
  <si>
    <t xml:space="preserve">Concreting of Brgy. Pilig Abajo FMR Phase II, Brgy. Pilig Abajo, Cabagan, Isabela
</t>
  </si>
  <si>
    <t xml:space="preserve">Concreting of Brgy. San Antonio FMR Phase 2, Brgy. San Antonio, Delfin Albano, Isabela
</t>
  </si>
  <si>
    <t>Concreting of Brgy. Capitol FMR, Brgy. Capitol, Delfin Albano, Isabela</t>
  </si>
  <si>
    <t>Villa Pereda and San Nicolas</t>
  </si>
  <si>
    <t xml:space="preserve">Concreting along Brgy. Villa Pereda to Brgy. San Nicolas FMR, Delfin Albano, Isabela
</t>
  </si>
  <si>
    <t>Mangcuram and Siffu 
and Bigao</t>
  </si>
  <si>
    <t>Concreting of Brgy. Mangcuram-Brgy. Siffu-Brgy. Bigao FMR, Brgy. Mangcuram, Brgy. Siffu 
and Brgy. Bigao, Ilagan City, Isabela</t>
  </si>
  <si>
    <t xml:space="preserve">Concreting of Brgy. Sta. Isabel Sur FMR, Brgy. Sta. Isabel Sur, Ilagan City, Isabela
</t>
  </si>
  <si>
    <t xml:space="preserve"> San Rodrigo and San Lorenzo</t>
  </si>
  <si>
    <t>Concreting of Brgy. San Rodrigo-Brgy. San Lorenzo FMR, Brgy. San Rodrigo and Brgy. San Lorenzo, Ilagan City, Isabela</t>
  </si>
  <si>
    <t xml:space="preserve">Concreting of Brgy. Siffu to Brgy.Cabannungan 2nd FMR, Brgy. Siffu, Ilagan City, Isabela
</t>
  </si>
  <si>
    <t>Gayung-gayong Norte and Cabeseria</t>
  </si>
  <si>
    <t>Construction of Brgy. Gayung-gayong Norte to Brgy. Cabeseria 3 FMR, Brgy. Gayung-gayong Norte and Brgy. Cabeseria, Ilagan City, Isabela</t>
  </si>
  <si>
    <t>Concreting of Brgy. Bigao FMR, Brgy. Bigao, Ilagan City, Isabela</t>
  </si>
  <si>
    <t>Concreting of Brgy. Capellan FMR, Brgy. Capellan, Ilagan City, Isabela</t>
  </si>
  <si>
    <t xml:space="preserve">Concreting of Brgy. Ammugauan FMR, Brgy. Ammugauan, Santo Tomas, Isabela
</t>
  </si>
  <si>
    <t xml:space="preserve">Concreting of Brgy. San Vicente FMR, Brgy. San Vicente, Santo Tomas, Isabela
</t>
  </si>
  <si>
    <t>Fermeldy and Santa</t>
  </si>
  <si>
    <t xml:space="preserve">Concreting of Brgy. Fermeldy-Brgy. Santa FMR, Brgy. Fermeldy and Brgy. Santa, Tumauini, Isabela
</t>
  </si>
  <si>
    <t xml:space="preserve">Concreting of Brgy. Tunggui FMR, Brgy. Tunggui, Tumauini, Isabela
</t>
  </si>
  <si>
    <t>FY 2027 PROPOSAL (TIER I)</t>
  </si>
  <si>
    <t>Concreting of Brgy. San Vicente - Brgy. Limbauan FMR, Brgy. San Vicente and Brgy. Limbauan, San Pablo, Isabela</t>
  </si>
  <si>
    <t xml:space="preserve"> San Antonio</t>
  </si>
  <si>
    <t>Concreting of Sitio Baccay-Sitio Umayam, Brgy San Antonio FMR, Brgy. San Antonio, Cabagan, Isabela</t>
  </si>
  <si>
    <t>Concreting of Brgy. Cumabao-Brgy. San Vicente FMR, Brgy. Cumabao, Tumauini, Isabela</t>
  </si>
  <si>
    <t>City of Ilagan,
 Isabela</t>
  </si>
  <si>
    <t>Concreting of Salindingan to Sitio Latu FMR, Brgy. Salindingan, City of Ilagan,
 Isabela</t>
  </si>
  <si>
    <t>Concreting of Brgy. Barumbong FMR, Brgy. Barumbong, Sto. Tomas, Isabela</t>
  </si>
  <si>
    <t>Naganacan</t>
  </si>
  <si>
    <t>Concreting of Brgy. Naganacan FMR Phase I, Brgy. Naganacan, Sta. Maria, Isabela</t>
  </si>
  <si>
    <t>FY 2027 PROPOSAL (TIER II)</t>
  </si>
  <si>
    <t>Lingaling</t>
  </si>
  <si>
    <t>Concreting of Lingaling FMR, Brgy. Lingaling, Santa Maria. Isabela</t>
  </si>
  <si>
    <t>Concreting Of Cabisera 17-21 To Sindon Maride Road FMR</t>
  </si>
  <si>
    <t>Concreting of Brgy. Simanu Norte FMR, Brgy. Simanu Norte, San Pablo, Isabela</t>
  </si>
  <si>
    <t>Antagan and Poblacion</t>
  </si>
  <si>
    <t>Concreting of Brgy. Cumabao-Brgy. San Vicente FMR, Cumabao, Tumauini, Isabela</t>
  </si>
  <si>
    <t>Concreting of Sitio Cabaruan to Sitio Matakayan, Brgy. Barumbong FMR, Brgy. Barumbong, 
Sto. Tomas, isabela</t>
  </si>
  <si>
    <t>Villa Pereda and San Macario</t>
  </si>
  <si>
    <t>Concreting of Sitio Villa TJ-Brgy. Carmencita Fmr, Delfin Albano, Isabela</t>
  </si>
  <si>
    <t>PHILIPPINE RURAL DEVELOPMENT PROJECT</t>
  </si>
  <si>
    <t>FY 2026 PIPELINED/PROPOSAL</t>
  </si>
  <si>
    <t>Construction of  Cabagan Warehouse with Solar Dryer</t>
  </si>
  <si>
    <t>1040 sq.m.</t>
  </si>
  <si>
    <t>KABUHAYAN AT KAUNLARAN NG KABABAYANG KATUTUBO (4Ks) PROGRAM</t>
  </si>
  <si>
    <t xml:space="preserve">PROVINCE: ISABELA 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</si>
  <si>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</si>
  <si>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PRODUCTION AND LIVELIHOOD COMPONENT</t>
  </si>
  <si>
    <t>1. Provision of Agricultural Inputs and Livestock</t>
  </si>
  <si>
    <t>1. Corn and Cassava Related Activity</t>
  </si>
  <si>
    <t xml:space="preserve"> GM Hybrid Corn Seeds</t>
  </si>
  <si>
    <t>no. of kg distributed</t>
  </si>
  <si>
    <t>b. Inorganic Fertilizer</t>
  </si>
  <si>
    <t>c. Cassava Seed Pieces</t>
  </si>
  <si>
    <t>no. of seedpieces distributed</t>
  </si>
  <si>
    <t>2. High Value Crops Related Activity</t>
  </si>
  <si>
    <t xml:space="preserve">  Upland Vegetables</t>
  </si>
  <si>
    <t xml:space="preserve">  Lowland Vegetables</t>
  </si>
  <si>
    <t xml:space="preserve">  Fruit Bearing Trees</t>
  </si>
  <si>
    <t>no. of pcs distributed</t>
  </si>
  <si>
    <t xml:space="preserve">  Organic Fertilizer</t>
  </si>
  <si>
    <t xml:space="preserve">  Ube Planting Materials</t>
  </si>
  <si>
    <t xml:space="preserve">  Ginger Planting Materials</t>
  </si>
  <si>
    <t xml:space="preserve">  Taro/Galyang Planting Materials</t>
  </si>
  <si>
    <t xml:space="preserve">  Banana Planting Materials</t>
  </si>
  <si>
    <t>3. Livestock Related Activity</t>
  </si>
  <si>
    <t>-</t>
  </si>
  <si>
    <t>a. Native Chicken</t>
  </si>
  <si>
    <t>no. of head distributed</t>
  </si>
  <si>
    <t>b. Duck</t>
  </si>
  <si>
    <t xml:space="preserve">c. Carabao </t>
  </si>
  <si>
    <t>d. Native/Upgraded Pig</t>
  </si>
  <si>
    <t>e. Goat</t>
  </si>
  <si>
    <t>4. Agricultural Machineries Tools and Equipments</t>
  </si>
  <si>
    <t>a. Hand Tractor with Implement</t>
  </si>
  <si>
    <t>No. of units</t>
  </si>
  <si>
    <t>b. Motorized Boat</t>
  </si>
  <si>
    <t>c. Micro Tiller</t>
  </si>
  <si>
    <t>d. Knapsack</t>
  </si>
  <si>
    <t>e. Grass Cutter</t>
  </si>
  <si>
    <t>f. Garden Hose</t>
  </si>
  <si>
    <t>g. Plastic Mulch</t>
  </si>
  <si>
    <t>h. Garden Tools</t>
  </si>
  <si>
    <t>i. Pump and Engine Set</t>
  </si>
  <si>
    <t>II. Provision of agricultural machineries</t>
  </si>
  <si>
    <t>A. Corn and Cassava Related Activity</t>
  </si>
  <si>
    <t xml:space="preserve"> Hand Tractor with planter</t>
  </si>
  <si>
    <t>no. of unit distributed</t>
  </si>
  <si>
    <t>b. Hand Tractor with Two-Row Planter</t>
  </si>
  <si>
    <t>c. Power Tiller/Cultivator</t>
  </si>
  <si>
    <t>2.2.2. Fishery Related Activity</t>
  </si>
  <si>
    <t>a. Fishing Boat with Fish Net</t>
  </si>
  <si>
    <t>II.2. PROVISION FOR AGRI-FISHERIES LIVELIHOOD PACKAGES</t>
  </si>
  <si>
    <t>III.Agri-fisheries production input &amp; production machinery</t>
  </si>
  <si>
    <t>High Value Crops, Rootcrops, and Native Pig, Chicken and Ducks Production SP</t>
  </si>
  <si>
    <t>no. of sub-project</t>
  </si>
  <si>
    <t>MAINSTREAMING CLIMATE RESILIENT AGRICULTURE (MCRA) TO THE REGIONAL PROGRAMS &amp; PROJECTS</t>
  </si>
  <si>
    <r>
      <rPr>
        <rFont val="Arial"/>
        <b/>
        <color theme="1"/>
        <sz val="16.0"/>
      </rPr>
      <t xml:space="preserve">Remarks </t>
    </r>
    <r>
      <rPr>
        <rFont val="Arial"/>
        <b val="0"/>
        <color theme="1"/>
        <sz val="16.0"/>
      </rPr>
      <t>(Breakdown of Municipality Target for FY 2027 )</t>
    </r>
  </si>
  <si>
    <t>TECHNICAL AND SUPPORT SEVICES PROGRAM</t>
  </si>
  <si>
    <t>A. Productivity-Enhancing/Processing Technologies</t>
  </si>
  <si>
    <t>Mushroom house, Fruiting Bags, and Equipment</t>
  </si>
  <si>
    <t>Impulse Plastic Bag Sealer</t>
  </si>
  <si>
    <t>Shading Net</t>
  </si>
  <si>
    <t>Seedling Rack</t>
  </si>
  <si>
    <t>Digital Weighing Scale</t>
  </si>
  <si>
    <t>Feed mixer</t>
  </si>
  <si>
    <t>Pelletizer</t>
  </si>
  <si>
    <t>Multifunction-tiller/cultivator  (long foong)</t>
  </si>
  <si>
    <t>Rotary tilling type hand tractor</t>
  </si>
  <si>
    <t>Ready to Lay Chicken</t>
  </si>
  <si>
    <t>heads</t>
  </si>
  <si>
    <t>Poultry Feeds</t>
  </si>
  <si>
    <t>bags</t>
  </si>
  <si>
    <t>Biologics</t>
  </si>
  <si>
    <t>boxes</t>
  </si>
  <si>
    <t>Fruiting bags</t>
  </si>
  <si>
    <t>pcs</t>
  </si>
  <si>
    <t>Assorted vegetables</t>
  </si>
  <si>
    <t>Provision Inorganic Fertilizer</t>
  </si>
  <si>
    <t>Provision of Organic Fertilizer</t>
  </si>
  <si>
    <t>Provision of Assorted vegetable seeds</t>
  </si>
  <si>
    <t>Provision of Free-Range Chicken</t>
  </si>
  <si>
    <t>Provision of MungBean</t>
  </si>
  <si>
    <t>Provision of Swine</t>
  </si>
  <si>
    <t>City of Ilagan
Cabagan</t>
  </si>
  <si>
    <t>Provision of Feeds</t>
  </si>
  <si>
    <t>Provision of Hauling Truck</t>
  </si>
  <si>
    <t xml:space="preserve">Provision of Assorted vegetable seeds </t>
  </si>
  <si>
    <t>B. Sustained AMIA CREATE</t>
  </si>
  <si>
    <t>- Sheep</t>
  </si>
  <si>
    <t>- Housing</t>
  </si>
  <si>
    <t>Unit</t>
  </si>
  <si>
    <t>- Sweet Corn</t>
  </si>
  <si>
    <t>- Plastic Drum</t>
  </si>
  <si>
    <t>Production and livelihood support</t>
  </si>
  <si>
    <t>1. Seedling tray</t>
  </si>
  <si>
    <t>lot</t>
  </si>
  <si>
    <t>2. Shading net</t>
  </si>
  <si>
    <t>3. Seedling rack</t>
  </si>
  <si>
    <t>4. Organic fertilizer</t>
  </si>
  <si>
    <t>5. Vegetable seeds</t>
  </si>
  <si>
    <t>6.  Four Wheel Drive tractor</t>
  </si>
  <si>
    <t>7. Goat (10:1) with housing</t>
  </si>
  <si>
    <t>8. Warehouse</t>
  </si>
  <si>
    <t>9. Rice combine harvester</t>
  </si>
  <si>
    <t>10. Multi-Purpose paddy hauler</t>
  </si>
  <si>
    <t>AGRICULTURAL MACHINERY, EQUIPMENT, FACILITES AND INFRASTRUCTURE PROGRAM</t>
  </si>
  <si>
    <t>Agricultural Machinery, Equipment and Facilities Support Services Sub-Program</t>
  </si>
  <si>
    <t>Farm production-related machinery and equipment distributed</t>
  </si>
  <si>
    <t>Irrigation Network Services (INS) Sub-program</t>
  </si>
  <si>
    <t>NATIONAL SOIL HEALTH PROGRAM</t>
  </si>
  <si>
    <t>DISTRICT: 1</t>
  </si>
  <si>
    <t>FY 2026 PROPOSAL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</si>
  <si>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</si>
  <si>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</si>
  <si>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</si>
  <si>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</si>
  <si>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</si>
  <si>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</si>
  <si>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</si>
  <si>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</si>
  <si>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</si>
  <si>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</si>
  <si>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</si>
  <si>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</si>
  <si>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</si>
  <si>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</si>
  <si>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</si>
  <si>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</si>
  <si>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</si>
  <si>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</si>
  <si>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</si>
  <si>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</si>
  <si>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</si>
  <si>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</si>
  <si>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CY 2025, FY 2026, AND FY 2027 BUDGET SUMMARY (₱ '000)</t>
  </si>
  <si>
    <t>REGION 02</t>
  </si>
  <si>
    <t>ISABELA PROVINCE</t>
  </si>
  <si>
    <t>DISTRICT I</t>
  </si>
  <si>
    <t>PROGRAM/PROJECT FUND SOURCE</t>
  </si>
  <si>
    <t>CY 2025 GAA</t>
  </si>
  <si>
    <t>Variance</t>
  </si>
  <si>
    <t>% Change 
(Increase/Decrease)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</si>
  <si>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</si>
  <si>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</si>
  <si>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</si>
  <si>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</si>
  <si>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</si>
  <si>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National Organic Agriculture Program</t>
  </si>
  <si>
    <t>HALAL Food Industry Development Program</t>
  </si>
  <si>
    <t>Locally Funded Projects</t>
  </si>
  <si>
    <t>Farm-to-Market Road (FMR) Development Program</t>
  </si>
  <si>
    <t>Kabuhayan at Kaunlaran ng Kababayang Katutubo (4Ks) Program</t>
  </si>
  <si>
    <t>Mainstreaming Climate Resilient Agriculture (MCRA) to the Regional Programs &amp; Projects</t>
  </si>
  <si>
    <t>National Soil Health Program</t>
  </si>
  <si>
    <t>Foreign Assisted Project</t>
  </si>
  <si>
    <t>Philippine Rural Development Projects*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</si>
</sst>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"/>
    <numFmt numFmtId="167" formatCode="_(* #,##0.0_);_(* \(#,##0.0\);_(* &quot;-&quot;??_);_(@_)"/>
    <numFmt numFmtId="168" formatCode="_-* #,##0.0_-;\-* #,##0.0_-;_-* &quot;-&quot;?_-;_-@"/>
    <numFmt numFmtId="169" formatCode="_-* #,##0.00_-;\-* #,##0.00_-;_-* &quot;-&quot;??_-;_-@"/>
    <numFmt numFmtId="170" formatCode="_-* #,##0.00_-;\-* #,##0.00_-;_-* &quot;-&quot;??.00_-;_-@"/>
    <numFmt numFmtId="171" formatCode="#,##0.000"/>
    <numFmt numFmtId="172" formatCode="_ * #,##0_ ;_ * \-#,##0_ ;_ * &quot;-&quot;??_ ;_ @_ "/>
    <numFmt numFmtId="173" formatCode="_ * #,##0.0000_ ;_ * \-#,##0.0000_ ;_ * &quot;-&quot;??_ ;_ @_ "/>
    <numFmt numFmtId="174" formatCode="_(* #,##0.00_);_(* \(#,##0.00\);_(* &quot;-&quot;??.00_);_(@_)"/>
    <numFmt numFmtId="175" formatCode="#,##0.00;(#,##0.00)"/>
  </numFmts>
  <fonts count="41">
    <font>
      <sz val="11.0"/>
      <color theme="1"/>
      <name val="Calibri"/>
      <scheme val="minor"/>
    </font>
    <font>
      <b/>
      <sz val="20.0"/>
      <color theme="1"/>
      <name val="Arial"/>
    </font>
    <font>
      <sz val="20.0"/>
      <color theme="1"/>
      <name val="Arial"/>
    </font>
    <font>
      <i/>
      <sz val="14.0"/>
      <color theme="1"/>
      <name val="Arial"/>
    </font>
    <font>
      <sz val="16.0"/>
      <color theme="1"/>
      <name val="Arial"/>
    </font>
    <font>
      <b/>
      <sz val="16.0"/>
      <color theme="1"/>
      <name val="Arial"/>
    </font>
    <font/>
    <font>
      <sz val="16.0"/>
      <color rgb="FF000000"/>
      <name val="Arial"/>
    </font>
    <font>
      <b/>
      <sz val="16.0"/>
      <color rgb="FF000000"/>
      <name val="Arial"/>
    </font>
    <font>
      <sz val="14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6.0"/>
      <color theme="1"/>
      <name val="Arial Narrow"/>
    </font>
    <font>
      <sz val="16.0"/>
      <color theme="1"/>
      <name val="Arial Narrow"/>
    </font>
    <font>
      <sz val="16.0"/>
      <color rgb="FF000000"/>
      <name val="Arial Narrow"/>
    </font>
    <font>
      <i/>
      <sz val="16.0"/>
      <color theme="1"/>
      <name val="Arial Narrow"/>
    </font>
    <font>
      <b/>
      <sz val="16.0"/>
      <color rgb="FF000000"/>
      <name val="Arial Narrow"/>
    </font>
    <font>
      <i/>
      <sz val="14.0"/>
      <color theme="1"/>
      <name val="Calibri"/>
    </font>
    <font>
      <b/>
      <sz val="17.0"/>
      <color theme="1"/>
      <name val="Arial"/>
    </font>
    <font>
      <sz val="17.0"/>
      <color theme="1"/>
      <name val="Arial"/>
    </font>
    <font>
      <i/>
      <sz val="16.0"/>
      <color rgb="FF000000"/>
      <name val="Arial"/>
    </font>
    <font>
      <b/>
      <i/>
      <sz val="16.0"/>
      <color rgb="FF0070C0"/>
      <name val="Arial"/>
    </font>
    <font>
      <i/>
      <sz val="16.0"/>
      <color theme="1"/>
      <name val="Arial"/>
    </font>
    <font>
      <sz val="17.0"/>
      <color rgb="FF000000"/>
      <name val="Arial"/>
    </font>
    <font>
      <b/>
      <sz val="17.0"/>
      <color rgb="FF000000"/>
      <name val="Arial"/>
    </font>
    <font>
      <sz val="16.0"/>
      <color theme="1"/>
      <name val="Calibri"/>
    </font>
    <font>
      <b/>
      <sz val="20.0"/>
      <color rgb="FF000000"/>
      <name val="Arial"/>
    </font>
    <font>
      <sz val="20.0"/>
      <color rgb="FF000000"/>
      <name val="Arial"/>
    </font>
    <font>
      <b/>
      <sz val="16.0"/>
      <color theme="1"/>
      <name val="Calibri"/>
    </font>
    <font>
      <b/>
      <sz val="16.0"/>
      <color rgb="FF1F1F1F"/>
      <name val="Arial"/>
    </font>
    <font>
      <sz val="16.0"/>
      <color rgb="FF1F1F1F"/>
      <name val="Arial"/>
    </font>
    <font>
      <i/>
      <sz val="16.0"/>
      <color theme="1"/>
      <name val="Calibri"/>
    </font>
    <font>
      <sz val="16.0"/>
      <color theme="1"/>
      <name val="Calibri"/>
      <scheme val="minor"/>
    </font>
    <font>
      <b/>
      <sz val="17.0"/>
      <color theme="1"/>
      <name val="Calibri"/>
    </font>
    <font>
      <b/>
      <sz val="11.0"/>
      <color theme="1"/>
      <name val="Calibri"/>
    </font>
    <font>
      <sz val="17.0"/>
      <color theme="1"/>
      <name val="Calibri"/>
    </font>
    <font>
      <b/>
      <sz val="18.0"/>
      <color theme="1"/>
      <name val="Calibri"/>
    </font>
    <font>
      <color theme="1"/>
      <name val="Calibri"/>
    </font>
    <font>
      <sz val="11.0"/>
      <color theme="1"/>
      <name val="Arial"/>
    </font>
    <font>
      <b/>
      <sz val="18.0"/>
      <color theme="1"/>
      <name val="Arial"/>
    </font>
    <font>
      <sz val="1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</border>
    <border>
      <right style="thin">
        <color rgb="FF000000"/>
      </right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hair">
        <color rgb="FF000000"/>
      </right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</border>
    <border>
      <left style="hair">
        <color rgb="FF000000"/>
      </left>
      <bottom style="hair">
        <color rgb="FF000000"/>
      </bottom>
    </border>
  </borders>
  <cellStyleXfs count="1">
    <xf borderId="0" fillId="0" fontId="0" numFmtId="0" applyAlignment="1" applyFont="1"/>
  </cellStyleXfs>
  <cellXfs count="7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164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2" fontId="2" numFmtId="4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3" numFmtId="0" xfId="0" applyAlignment="1" applyFont="1">
      <alignment shrinkToFit="0" vertical="center" wrapText="1"/>
    </xf>
    <xf borderId="0" fillId="2" fontId="1" numFmtId="0" xfId="0" applyAlignment="1" applyFont="1">
      <alignment shrinkToFit="0" wrapText="1"/>
    </xf>
    <xf borderId="0" fillId="2" fontId="2" numFmtId="0" xfId="0" applyFont="1"/>
    <xf borderId="0" fillId="2" fontId="1" numFmtId="0" xfId="0" applyAlignment="1" applyFont="1">
      <alignment readingOrder="0" shrinkToFit="0" wrapText="1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2" fontId="5" numFmtId="3" xfId="0" applyAlignment="1" applyBorder="1" applyFont="1" applyNumberFormat="1">
      <alignment horizontal="center" shrinkToFit="0" vertical="center" wrapText="1"/>
    </xf>
    <xf borderId="3" fillId="0" fontId="6" numFmtId="0" xfId="0" applyBorder="1" applyFont="1"/>
    <xf borderId="2" fillId="2" fontId="5" numFmtId="3" xfId="0" applyAlignment="1" applyBorder="1" applyFont="1" applyNumberFormat="1">
      <alignment horizontal="center" shrinkToFit="0" wrapText="1"/>
    </xf>
    <xf borderId="4" fillId="2" fontId="5" numFmtId="3" xfId="0" applyAlignment="1" applyBorder="1" applyFont="1" applyNumberForma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7" fillId="2" fontId="5" numFmtId="166" xfId="0" applyAlignment="1" applyBorder="1" applyFont="1" applyNumberFormat="1">
      <alignment horizontal="center" shrinkToFit="0" vertical="center" wrapText="1"/>
    </xf>
    <xf borderId="7" fillId="2" fontId="5" numFmtId="4" xfId="0" applyAlignment="1" applyBorder="1" applyFont="1" applyNumberForma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0" fillId="0" fontId="6" numFmtId="0" xfId="0" applyBorder="1" applyFont="1"/>
    <xf borderId="1" fillId="2" fontId="5" numFmtId="3" xfId="0" applyAlignment="1" applyBorder="1" applyFont="1" applyNumberFormat="1">
      <alignment horizontal="center" shrinkToFit="0" wrapText="1"/>
    </xf>
    <xf borderId="1" fillId="2" fontId="5" numFmtId="164" xfId="0" applyAlignment="1" applyBorder="1" applyFont="1" applyNumberFormat="1">
      <alignment horizontal="center" shrinkToFit="0" wrapText="1"/>
    </xf>
    <xf borderId="11" fillId="2" fontId="5" numFmtId="165" xfId="0" applyAlignment="1" applyBorder="1" applyFont="1" applyNumberFormat="1">
      <alignment shrinkToFit="0" vertical="center" wrapText="1"/>
    </xf>
    <xf borderId="11" fillId="2" fontId="4" numFmtId="165" xfId="0" applyAlignment="1" applyBorder="1" applyFont="1" applyNumberFormat="1">
      <alignment horizontal="center" shrinkToFit="0" vertical="center" wrapText="1"/>
    </xf>
    <xf borderId="11" fillId="2" fontId="5" numFmtId="164" xfId="0" applyAlignment="1" applyBorder="1" applyFont="1" applyNumberFormat="1">
      <alignment horizontal="right" shrinkToFit="0" vertical="center" wrapText="1"/>
    </xf>
    <xf borderId="11" fillId="2" fontId="4" numFmtId="165" xfId="0" applyAlignment="1" applyBorder="1" applyFont="1" applyNumberFormat="1">
      <alignment vertical="center"/>
    </xf>
    <xf borderId="11" fillId="2" fontId="5" numFmtId="4" xfId="0" applyAlignment="1" applyBorder="1" applyFont="1" applyNumberFormat="1">
      <alignment horizontal="right" shrinkToFit="0" vertical="center" wrapText="1"/>
    </xf>
    <xf borderId="11" fillId="2" fontId="4" numFmtId="0" xfId="0" applyBorder="1" applyFont="1"/>
    <xf borderId="11" fillId="2" fontId="5" numFmtId="4" xfId="0" applyAlignment="1" applyBorder="1" applyFont="1" applyNumberFormat="1">
      <alignment horizontal="right" readingOrder="0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11" fillId="2" fontId="4" numFmtId="164" xfId="0" applyAlignment="1" applyBorder="1" applyFont="1" applyNumberFormat="1">
      <alignment readingOrder="0" vertical="center"/>
    </xf>
    <xf borderId="11" fillId="2" fontId="4" numFmtId="4" xfId="0" applyAlignment="1" applyBorder="1" applyFont="1" applyNumberFormat="1">
      <alignment readingOrder="0" vertical="center"/>
    </xf>
    <xf borderId="11" fillId="2" fontId="4" numFmtId="4" xfId="0" applyAlignment="1" applyBorder="1" applyFont="1" applyNumberFormat="1">
      <alignment vertical="center"/>
    </xf>
    <xf borderId="11" fillId="2" fontId="4" numFmtId="0" xfId="0" applyAlignment="1" applyBorder="1" applyFont="1">
      <alignment vertical="center"/>
    </xf>
    <xf borderId="11" fillId="2" fontId="4" numFmtId="164" xfId="0" applyAlignment="1" applyBorder="1" applyFont="1" applyNumberFormat="1">
      <alignment horizontal="right" readingOrder="0" vertical="center"/>
    </xf>
    <xf borderId="11" fillId="2" fontId="7" numFmtId="4" xfId="0" applyAlignment="1" applyBorder="1" applyFont="1" applyNumberFormat="1">
      <alignment shrinkToFit="0" vertical="center" wrapText="1"/>
    </xf>
    <xf borderId="11" fillId="2" fontId="4" numFmtId="0" xfId="0" applyAlignment="1" applyBorder="1" applyFont="1">
      <alignment shrinkToFit="0" vertical="center" wrapText="1"/>
    </xf>
    <xf borderId="11" fillId="2" fontId="4" numFmtId="165" xfId="0" applyAlignment="1" applyBorder="1" applyFont="1" applyNumberFormat="1">
      <alignment readingOrder="0" vertical="center"/>
    </xf>
    <xf borderId="11" fillId="2" fontId="7" numFmtId="3" xfId="0" applyAlignment="1" applyBorder="1" applyFont="1" applyNumberFormat="1">
      <alignment shrinkToFit="0" vertical="center" wrapText="1"/>
    </xf>
    <xf borderId="11" fillId="2" fontId="7" numFmtId="3" xfId="0" applyAlignment="1" applyBorder="1" applyFont="1" applyNumberFormat="1">
      <alignment readingOrder="0" shrinkToFit="0" vertical="center" wrapText="1"/>
    </xf>
    <xf borderId="11" fillId="2" fontId="8" numFmtId="3" xfId="0" applyAlignment="1" applyBorder="1" applyFont="1" applyNumberFormat="1">
      <alignment readingOrder="0" shrinkToFit="0" vertical="center" wrapText="1"/>
    </xf>
    <xf borderId="11" fillId="2" fontId="8" numFmtId="4" xfId="0" applyAlignment="1" applyBorder="1" applyFont="1" applyNumberFormat="1">
      <alignment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1" fillId="2" fontId="4" numFmtId="0" xfId="0" applyAlignment="1" applyBorder="1" applyFont="1">
      <alignment shrinkToFit="0" vertical="bottom" wrapText="1"/>
    </xf>
    <xf borderId="11" fillId="2" fontId="4" numFmtId="0" xfId="0" applyAlignment="1" applyBorder="1" applyFont="1">
      <alignment horizontal="center"/>
    </xf>
    <xf borderId="11" fillId="2" fontId="4" numFmtId="0" xfId="0" applyAlignment="1" applyBorder="1" applyFont="1">
      <alignment shrinkToFit="0" wrapText="1"/>
    </xf>
    <xf borderId="11" fillId="2" fontId="5" numFmtId="0" xfId="0" applyAlignment="1" applyBorder="1" applyFont="1">
      <alignment vertical="center"/>
    </xf>
    <xf borderId="11" fillId="2" fontId="5" numFmtId="0" xfId="0" applyBorder="1" applyFont="1"/>
    <xf borderId="11" fillId="2" fontId="5" numFmtId="0" xfId="0" applyAlignment="1" applyBorder="1" applyFont="1">
      <alignment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shrinkToFit="0" wrapText="1"/>
    </xf>
    <xf borderId="11" fillId="2" fontId="4" numFmtId="0" xfId="0" applyAlignment="1" applyBorder="1" applyFont="1">
      <alignment readingOrder="0" vertical="center"/>
    </xf>
    <xf borderId="11" fillId="2" fontId="4" numFmtId="0" xfId="0" applyAlignment="1" applyBorder="1" applyFont="1">
      <alignment readingOrder="0"/>
    </xf>
    <xf borderId="0" fillId="2" fontId="4" numFmtId="0" xfId="0" applyFont="1"/>
    <xf borderId="11" fillId="2" fontId="4" numFmtId="4" xfId="0" applyBorder="1" applyFont="1" applyNumberFormat="1"/>
    <xf borderId="11" fillId="2" fontId="5" numFmtId="4" xfId="0" applyAlignment="1" applyBorder="1" applyFont="1" applyNumberFormat="1">
      <alignment vertical="center"/>
    </xf>
    <xf borderId="11" fillId="2" fontId="8" numFmtId="0" xfId="0" applyAlignment="1" applyBorder="1" applyFont="1">
      <alignment vertical="center"/>
    </xf>
    <xf borderId="11" fillId="2" fontId="4" numFmtId="3" xfId="0" applyAlignment="1" applyBorder="1" applyFont="1" applyNumberFormat="1">
      <alignment vertical="center"/>
    </xf>
    <xf borderId="11" fillId="2" fontId="5" numFmtId="4" xfId="0" applyAlignment="1" applyBorder="1" applyFont="1" applyNumberFormat="1">
      <alignment horizontal="right"/>
    </xf>
    <xf borderId="12" fillId="2" fontId="4" numFmtId="0" xfId="0" applyAlignment="1" applyBorder="1" applyFont="1">
      <alignment vertical="center"/>
    </xf>
    <xf borderId="12" fillId="2" fontId="4" numFmtId="165" xfId="0" applyAlignment="1" applyBorder="1" applyFont="1" applyNumberFormat="1">
      <alignment shrinkToFit="0" wrapText="1"/>
    </xf>
    <xf borderId="0" fillId="2" fontId="4" numFmtId="0" xfId="0" applyFont="1"/>
    <xf borderId="0" fillId="2" fontId="4" numFmtId="165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2" fontId="4" numFmtId="165" xfId="0" applyAlignment="1" applyFont="1" applyNumberFormat="1">
      <alignment readingOrder="0" vertical="bottom"/>
    </xf>
    <xf borderId="12" fillId="2" fontId="4" numFmtId="165" xfId="0" applyAlignment="1" applyBorder="1" applyFont="1" applyNumberFormat="1">
      <alignment vertical="top"/>
    </xf>
    <xf borderId="12" fillId="2" fontId="4" numFmtId="165" xfId="0" applyBorder="1" applyFont="1" applyNumberFormat="1"/>
    <xf borderId="12" fillId="2" fontId="4" numFmtId="165" xfId="0" applyAlignment="1" applyBorder="1" applyFont="1" applyNumberFormat="1">
      <alignment vertical="bottom"/>
    </xf>
    <xf borderId="0" fillId="2" fontId="4" numFmtId="165" xfId="0" applyFont="1" applyNumberFormat="1"/>
    <xf borderId="12" fillId="2" fontId="5" numFmtId="165" xfId="0" applyBorder="1" applyFont="1" applyNumberFormat="1"/>
    <xf borderId="0" fillId="2" fontId="5" numFmtId="165" xfId="0" applyAlignment="1" applyFont="1" applyNumberFormat="1">
      <alignment vertical="bottom"/>
    </xf>
    <xf borderId="12" fillId="2" fontId="5" numFmtId="165" xfId="0" applyAlignment="1" applyBorder="1" applyFont="1" applyNumberFormat="1">
      <alignment vertical="bottom"/>
    </xf>
    <xf borderId="12" fillId="2" fontId="9" numFmtId="166" xfId="0" applyAlignment="1" applyBorder="1" applyFont="1" applyNumberFormat="1">
      <alignment vertical="top"/>
    </xf>
    <xf borderId="12" fillId="2" fontId="10" numFmtId="166" xfId="0" applyBorder="1" applyFont="1" applyNumberFormat="1"/>
    <xf borderId="0" fillId="2" fontId="10" numFmtId="164" xfId="0" applyFont="1" applyNumberFormat="1"/>
    <xf borderId="0" fillId="2" fontId="10" numFmtId="0" xfId="0" applyFont="1"/>
    <xf borderId="0" fillId="2" fontId="9" numFmtId="0" xfId="0" applyAlignment="1" applyFont="1">
      <alignment vertical="center"/>
    </xf>
    <xf borderId="0" fillId="2" fontId="10" numFmtId="3" xfId="0" applyFont="1" applyNumberFormat="1"/>
    <xf borderId="0" fillId="2" fontId="4" numFmtId="3" xfId="0" applyAlignment="1" applyFont="1" applyNumberFormat="1">
      <alignment vertical="center"/>
    </xf>
    <xf borderId="0" fillId="2" fontId="4" numFmtId="4" xfId="0" applyAlignment="1" applyFont="1" applyNumberFormat="1">
      <alignment vertical="center"/>
    </xf>
    <xf borderId="0" fillId="2" fontId="11" numFmtId="0" xfId="0" applyFont="1"/>
    <xf borderId="0" fillId="2" fontId="12" numFmtId="0" xfId="0" applyAlignment="1" applyFont="1">
      <alignment vertical="bottom"/>
    </xf>
    <xf borderId="0" fillId="2" fontId="13" numFmtId="164" xfId="0" applyAlignment="1" applyFont="1" applyNumberFormat="1">
      <alignment vertical="bottom"/>
    </xf>
    <xf borderId="0" fillId="2" fontId="14" numFmtId="3" xfId="0" applyAlignment="1" applyFont="1" applyNumberFormat="1">
      <alignment vertical="center"/>
    </xf>
    <xf borderId="0" fillId="2" fontId="14" numFmtId="0" xfId="0" applyAlignment="1" applyFont="1">
      <alignment vertical="center"/>
    </xf>
    <xf borderId="0" fillId="2" fontId="13" numFmtId="0" xfId="0" applyAlignment="1" applyFont="1">
      <alignment vertical="center"/>
    </xf>
    <xf borderId="0" fillId="2" fontId="13" numFmtId="3" xfId="0" applyAlignment="1" applyFont="1" applyNumberFormat="1">
      <alignment vertical="bottom"/>
    </xf>
    <xf borderId="0" fillId="2" fontId="13" numFmtId="4" xfId="0" applyAlignment="1" applyFont="1" applyNumberFormat="1">
      <alignment vertical="bottom"/>
    </xf>
    <xf borderId="0" fillId="2" fontId="13" numFmtId="165" xfId="0" applyAlignment="1" applyFont="1" applyNumberFormat="1">
      <alignment vertical="bottom"/>
    </xf>
    <xf borderId="0" fillId="2" fontId="13" numFmtId="0" xfId="0" applyAlignment="1" applyFont="1">
      <alignment vertical="bottom"/>
    </xf>
    <xf borderId="0" fillId="2" fontId="15" numFmtId="4" xfId="0" applyAlignment="1" applyFont="1" applyNumberFormat="1">
      <alignment shrinkToFit="0" vertical="bottom" wrapText="1"/>
    </xf>
    <xf borderId="0" fillId="2" fontId="15" numFmtId="0" xfId="0" applyAlignment="1" applyFont="1">
      <alignment shrinkToFit="0" vertical="bottom" wrapText="1"/>
    </xf>
    <xf borderId="0" fillId="2" fontId="12" numFmtId="0" xfId="0" applyAlignment="1" applyFont="1">
      <alignment readingOrder="0" shrinkToFit="0" wrapText="1"/>
    </xf>
    <xf borderId="0" fillId="2" fontId="13" numFmtId="0" xfId="0" applyFont="1"/>
    <xf borderId="0" fillId="2" fontId="13" numFmtId="3" xfId="0" applyFont="1" applyNumberFormat="1"/>
    <xf borderId="0" fillId="2" fontId="13" numFmtId="4" xfId="0" applyFont="1" applyNumberFormat="1"/>
    <xf borderId="0" fillId="2" fontId="14" numFmtId="0" xfId="0" applyAlignment="1" applyFont="1">
      <alignment horizontal="center" vertical="center"/>
    </xf>
    <xf borderId="0" fillId="2" fontId="13" numFmtId="3" xfId="0" applyAlignment="1" applyFont="1" applyNumberFormat="1">
      <alignment vertical="center"/>
    </xf>
    <xf borderId="0" fillId="2" fontId="13" numFmtId="4" xfId="0" applyAlignment="1" applyFont="1" applyNumberFormat="1">
      <alignment vertical="center"/>
    </xf>
    <xf borderId="1" fillId="2" fontId="12" numFmtId="0" xfId="0" applyAlignment="1" applyBorder="1" applyFont="1">
      <alignment horizontal="center" shrinkToFit="0" vertical="center" wrapText="1"/>
    </xf>
    <xf borderId="2" fillId="2" fontId="12" numFmtId="3" xfId="0" applyAlignment="1" applyBorder="1" applyFont="1" applyNumberFormat="1">
      <alignment horizontal="center" shrinkToFit="0" vertical="center" wrapText="1"/>
    </xf>
    <xf borderId="2" fillId="2" fontId="12" numFmtId="3" xfId="0" applyAlignment="1" applyBorder="1" applyFont="1" applyNumberFormat="1">
      <alignment horizontal="center" shrinkToFit="0" wrapText="1"/>
    </xf>
    <xf borderId="4" fillId="2" fontId="12" numFmtId="3" xfId="0" applyAlignment="1" applyBorder="1" applyFont="1" applyNumberFormat="1">
      <alignment horizontal="center" shrinkToFit="0" vertical="center" wrapText="1"/>
    </xf>
    <xf borderId="7" fillId="2" fontId="12" numFmtId="166" xfId="0" applyAlignment="1" applyBorder="1" applyFont="1" applyNumberFormat="1">
      <alignment horizontal="center" shrinkToFit="0" vertical="center" wrapText="1"/>
    </xf>
    <xf borderId="7" fillId="2" fontId="12" numFmtId="4" xfId="0" applyAlignment="1" applyBorder="1" applyFont="1" applyNumberFormat="1">
      <alignment horizontal="center" shrinkToFit="0" vertical="center" wrapText="1"/>
    </xf>
    <xf borderId="1" fillId="2" fontId="12" numFmtId="3" xfId="0" applyAlignment="1" applyBorder="1" applyFont="1" applyNumberFormat="1">
      <alignment horizontal="center" shrinkToFit="0" vertical="center" wrapText="1"/>
    </xf>
    <xf borderId="1" fillId="2" fontId="12" numFmtId="4" xfId="0" applyAlignment="1" applyBorder="1" applyFont="1" applyNumberFormat="1">
      <alignment horizontal="center" shrinkToFit="0" vertical="center" wrapText="1"/>
    </xf>
    <xf borderId="1" fillId="2" fontId="12" numFmtId="164" xfId="0" applyAlignment="1" applyBorder="1" applyFont="1" applyNumberFormat="1">
      <alignment horizontal="center" shrinkToFit="0" vertical="center" wrapText="1"/>
    </xf>
    <xf borderId="1" fillId="2" fontId="12" numFmtId="3" xfId="0" applyAlignment="1" applyBorder="1" applyFont="1" applyNumberFormat="1">
      <alignment horizontal="center" shrinkToFit="0" wrapText="1"/>
    </xf>
    <xf borderId="1" fillId="2" fontId="12" numFmtId="164" xfId="0" applyAlignment="1" applyBorder="1" applyFont="1" applyNumberFormat="1">
      <alignment horizontal="center" shrinkToFit="0" wrapText="1"/>
    </xf>
    <xf borderId="11" fillId="2" fontId="16" numFmtId="0" xfId="0" applyAlignment="1" applyBorder="1" applyFont="1">
      <alignment shrinkToFit="0" vertical="center" wrapText="1"/>
    </xf>
    <xf borderId="11" fillId="2" fontId="16" numFmtId="0" xfId="0" applyAlignment="1" applyBorder="1" applyFont="1">
      <alignment horizontal="center" vertical="center"/>
    </xf>
    <xf borderId="11" fillId="2" fontId="16" numFmtId="3" xfId="0" applyAlignment="1" applyBorder="1" applyFont="1" applyNumberFormat="1">
      <alignment vertical="center"/>
    </xf>
    <xf borderId="11" fillId="2" fontId="16" numFmtId="164" xfId="0" applyAlignment="1" applyBorder="1" applyFont="1" applyNumberFormat="1">
      <alignment vertical="center"/>
    </xf>
    <xf borderId="11" fillId="2" fontId="12" numFmtId="164" xfId="0" applyAlignment="1" applyBorder="1" applyFont="1" applyNumberFormat="1">
      <alignment horizontal="right" vertical="center"/>
    </xf>
    <xf borderId="11" fillId="2" fontId="12" numFmtId="3" xfId="0" applyAlignment="1" applyBorder="1" applyFont="1" applyNumberFormat="1">
      <alignment horizontal="right" vertical="center"/>
    </xf>
    <xf borderId="11" fillId="2" fontId="12" numFmtId="4" xfId="0" applyAlignment="1" applyBorder="1" applyFont="1" applyNumberFormat="1">
      <alignment horizontal="right" vertical="center"/>
    </xf>
    <xf borderId="11" fillId="2" fontId="13" numFmtId="0" xfId="0" applyBorder="1" applyFont="1"/>
    <xf borderId="11" fillId="2" fontId="14" numFmtId="0" xfId="0" applyAlignment="1" applyBorder="1" applyFont="1">
      <alignment horizontal="center" vertical="center"/>
    </xf>
    <xf borderId="11" fillId="2" fontId="14" numFmtId="3" xfId="0" applyAlignment="1" applyBorder="1" applyFont="1" applyNumberFormat="1">
      <alignment vertical="center"/>
    </xf>
    <xf borderId="11" fillId="2" fontId="14" numFmtId="164" xfId="0" applyAlignment="1" applyBorder="1" applyFont="1" applyNumberFormat="1">
      <alignment vertical="center"/>
    </xf>
    <xf borderId="11" fillId="2" fontId="13" numFmtId="164" xfId="0" applyAlignment="1" applyBorder="1" applyFont="1" applyNumberFormat="1">
      <alignment vertical="center"/>
    </xf>
    <xf borderId="11" fillId="2" fontId="13" numFmtId="3" xfId="0" applyBorder="1" applyFont="1" applyNumberFormat="1"/>
    <xf borderId="11" fillId="2" fontId="13" numFmtId="4" xfId="0" applyBorder="1" applyFont="1" applyNumberFormat="1"/>
    <xf borderId="11" fillId="2" fontId="14" numFmtId="0" xfId="0" applyAlignment="1" applyBorder="1" applyFont="1">
      <alignment horizontal="left" shrinkToFit="0" vertical="center" wrapText="1"/>
    </xf>
    <xf borderId="11" fillId="2" fontId="14" numFmtId="0" xfId="0" applyAlignment="1" applyBorder="1" applyFont="1">
      <alignment horizontal="left" readingOrder="0" shrinkToFit="0" vertical="center" wrapText="1"/>
    </xf>
    <xf borderId="11" fillId="2" fontId="14" numFmtId="4" xfId="0" applyAlignment="1" applyBorder="1" applyFont="1" applyNumberFormat="1">
      <alignment vertical="center"/>
    </xf>
    <xf borderId="11" fillId="2" fontId="13" numFmtId="3" xfId="0" applyAlignment="1" applyBorder="1" applyFont="1" applyNumberFormat="1">
      <alignment horizontal="right" vertical="bottom"/>
    </xf>
    <xf borderId="11" fillId="2" fontId="13" numFmtId="164" xfId="0" applyAlignment="1" applyBorder="1" applyFont="1" applyNumberFormat="1">
      <alignment horizontal="right" vertical="bottom"/>
    </xf>
    <xf borderId="11" fillId="2" fontId="13" numFmtId="4" xfId="0" applyAlignment="1" applyBorder="1" applyFont="1" applyNumberFormat="1">
      <alignment horizontal="right" vertical="bottom"/>
    </xf>
    <xf borderId="11" fillId="2" fontId="13" numFmtId="0" xfId="0" applyAlignment="1" applyBorder="1" applyFont="1">
      <alignment readingOrder="0"/>
    </xf>
    <xf borderId="11" fillId="2" fontId="13" numFmtId="0" xfId="0" applyAlignment="1" applyBorder="1" applyFont="1">
      <alignment shrinkToFit="0" vertical="center" wrapText="1"/>
    </xf>
    <xf borderId="11" fillId="2" fontId="13" numFmtId="0" xfId="0" applyAlignment="1" applyBorder="1" applyFont="1">
      <alignment horizontal="center" vertical="center"/>
    </xf>
    <xf borderId="11" fillId="2" fontId="12" numFmtId="3" xfId="0" applyBorder="1" applyFont="1" applyNumberFormat="1"/>
    <xf borderId="11" fillId="2" fontId="12" numFmtId="4" xfId="0" applyBorder="1" applyFont="1" applyNumberFormat="1"/>
    <xf borderId="11" fillId="2" fontId="12" numFmtId="0" xfId="0" applyBorder="1" applyFont="1"/>
    <xf borderId="11" fillId="2" fontId="12" numFmtId="0" xfId="0" applyAlignment="1" applyBorder="1" applyFont="1">
      <alignment shrinkToFit="0" wrapText="1"/>
    </xf>
    <xf borderId="11" fillId="2" fontId="13" numFmtId="0" xfId="0" applyAlignment="1" applyBorder="1" applyFont="1">
      <alignment shrinkToFit="0" wrapText="1"/>
    </xf>
    <xf borderId="11" fillId="2" fontId="13" numFmtId="0" xfId="0" applyAlignment="1" applyBorder="1" applyFont="1">
      <alignment horizontal="center"/>
    </xf>
    <xf borderId="11" fillId="2" fontId="13" numFmtId="3" xfId="0" applyAlignment="1" applyBorder="1" applyFont="1" applyNumberFormat="1">
      <alignment horizontal="right"/>
    </xf>
    <xf borderId="11" fillId="2" fontId="13" numFmtId="4" xfId="0" applyAlignment="1" applyBorder="1" applyFont="1" applyNumberFormat="1">
      <alignment horizontal="right"/>
    </xf>
    <xf borderId="11" fillId="2" fontId="13" numFmtId="164" xfId="0" applyAlignment="1" applyBorder="1" applyFont="1" applyNumberFormat="1">
      <alignment horizontal="right" vertical="center"/>
    </xf>
    <xf borderId="11" fillId="2" fontId="13" numFmtId="3" xfId="0" applyAlignment="1" applyBorder="1" applyFont="1" applyNumberFormat="1">
      <alignment readingOrder="0"/>
    </xf>
    <xf borderId="11" fillId="2" fontId="13" numFmtId="4" xfId="0" applyAlignment="1" applyBorder="1" applyFont="1" applyNumberFormat="1">
      <alignment readingOrder="0"/>
    </xf>
    <xf borderId="1" fillId="2" fontId="13" numFmtId="0" xfId="0" applyAlignment="1" applyBorder="1" applyFont="1">
      <alignment readingOrder="0" shrinkToFit="0" vertical="center" wrapText="1"/>
    </xf>
    <xf borderId="11" fillId="2" fontId="13" numFmtId="0" xfId="0" applyAlignment="1" applyBorder="1" applyFont="1">
      <alignment readingOrder="0" shrinkToFit="0" vertical="center" wrapText="1"/>
    </xf>
    <xf borderId="11" fillId="2" fontId="13" numFmtId="0" xfId="0" applyAlignment="1" applyBorder="1" applyFont="1">
      <alignment readingOrder="0" shrinkToFit="0" wrapText="1"/>
    </xf>
    <xf borderId="11" fillId="2" fontId="13" numFmtId="166" xfId="0" applyAlignment="1" applyBorder="1" applyFont="1" applyNumberFormat="1">
      <alignment horizontal="right"/>
    </xf>
    <xf borderId="11" fillId="2" fontId="13" numFmtId="164" xfId="0" applyAlignment="1" applyBorder="1" applyFont="1" applyNumberFormat="1">
      <alignment horizontal="right"/>
    </xf>
    <xf borderId="13" fillId="2" fontId="13" numFmtId="0" xfId="0" applyAlignment="1" applyBorder="1" applyFont="1">
      <alignment shrinkToFit="0" vertical="center" wrapText="1"/>
    </xf>
    <xf borderId="13" fillId="2" fontId="13" numFmtId="0" xfId="0" applyAlignment="1" applyBorder="1" applyFont="1">
      <alignment horizontal="center" vertical="center"/>
    </xf>
    <xf borderId="11" fillId="2" fontId="13" numFmtId="164" xfId="0" applyAlignment="1" applyBorder="1" applyFont="1" applyNumberFormat="1">
      <alignment horizontal="right" readingOrder="0" vertical="bottom"/>
    </xf>
    <xf borderId="11" fillId="2" fontId="14" numFmtId="164" xfId="0" applyAlignment="1" applyBorder="1" applyFont="1" applyNumberFormat="1">
      <alignment readingOrder="0" vertical="center"/>
    </xf>
    <xf borderId="11" fillId="2" fontId="14" numFmtId="0" xfId="0" applyAlignment="1" applyBorder="1" applyFont="1">
      <alignment shrinkToFit="0" vertical="center" wrapText="1"/>
    </xf>
    <xf borderId="11" fillId="2" fontId="13" numFmtId="3" xfId="0" applyAlignment="1" applyBorder="1" applyFont="1" applyNumberFormat="1">
      <alignment horizontal="right" vertical="center"/>
    </xf>
    <xf borderId="11" fillId="2" fontId="14" numFmtId="0" xfId="0" applyAlignment="1" applyBorder="1" applyFont="1">
      <alignment readingOrder="0" shrinkToFit="0" vertical="center" wrapText="1"/>
    </xf>
    <xf borderId="11" fillId="2" fontId="13" numFmtId="3" xfId="0" applyAlignment="1" applyBorder="1" applyFont="1" applyNumberFormat="1">
      <alignment vertical="center"/>
    </xf>
    <xf borderId="11" fillId="2" fontId="13" numFmtId="165" xfId="0" applyAlignment="1" applyBorder="1" applyFont="1" applyNumberFormat="1">
      <alignment horizontal="right" vertical="center"/>
    </xf>
    <xf borderId="11" fillId="2" fontId="13" numFmtId="3" xfId="0" applyAlignment="1" applyBorder="1" applyFont="1" applyNumberFormat="1">
      <alignment horizontal="right" readingOrder="0" vertical="center"/>
    </xf>
    <xf borderId="11" fillId="2" fontId="13" numFmtId="4" xfId="0" applyAlignment="1" applyBorder="1" applyFont="1" applyNumberFormat="1">
      <alignment horizontal="right" readingOrder="0" vertical="center"/>
    </xf>
    <xf borderId="11" fillId="2" fontId="13" numFmtId="165" xfId="0" applyAlignment="1" applyBorder="1" applyFont="1" applyNumberFormat="1">
      <alignment vertical="center"/>
    </xf>
    <xf borderId="11" fillId="2" fontId="13" numFmtId="0" xfId="0" applyAlignment="1" applyBorder="1" applyFont="1">
      <alignment readingOrder="0" vertical="bottom"/>
    </xf>
    <xf borderId="11" fillId="2" fontId="13" numFmtId="4" xfId="0" applyAlignment="1" applyBorder="1" applyFont="1" applyNumberFormat="1">
      <alignment vertical="center"/>
    </xf>
    <xf borderId="11" fillId="2" fontId="13" numFmtId="0" xfId="0" applyAlignment="1" applyBorder="1" applyFont="1">
      <alignment vertical="center"/>
    </xf>
    <xf borderId="11" fillId="2" fontId="13" numFmtId="3" xfId="0" applyAlignment="1" applyBorder="1" applyFont="1" applyNumberFormat="1">
      <alignment readingOrder="0" vertical="bottom"/>
    </xf>
    <xf borderId="11" fillId="2" fontId="13" numFmtId="4" xfId="0" applyAlignment="1" applyBorder="1" applyFont="1" applyNumberFormat="1">
      <alignment readingOrder="0" vertical="bottom"/>
    </xf>
    <xf borderId="11" fillId="2" fontId="13" numFmtId="0" xfId="0" applyAlignment="1" applyBorder="1" applyFont="1">
      <alignment vertical="bottom"/>
    </xf>
    <xf borderId="11" fillId="2" fontId="13" numFmtId="3" xfId="0" applyAlignment="1" applyBorder="1" applyFont="1" applyNumberFormat="1">
      <alignment vertical="bottom"/>
    </xf>
    <xf borderId="11" fillId="2" fontId="13" numFmtId="4" xfId="0" applyAlignment="1" applyBorder="1" applyFont="1" applyNumberFormat="1">
      <alignment vertical="bottom"/>
    </xf>
    <xf borderId="11" fillId="2" fontId="13" numFmtId="165" xfId="0" applyAlignment="1" applyBorder="1" applyFont="1" applyNumberFormat="1">
      <alignment vertical="bottom"/>
    </xf>
    <xf borderId="11" fillId="2" fontId="13" numFmtId="4" xfId="0" applyAlignment="1" applyBorder="1" applyFont="1" applyNumberFormat="1">
      <alignment readingOrder="0" vertical="center"/>
    </xf>
    <xf borderId="11" fillId="2" fontId="13" numFmtId="3" xfId="0" applyAlignment="1" applyBorder="1" applyFont="1" applyNumberFormat="1">
      <alignment readingOrder="0" vertical="center"/>
    </xf>
    <xf borderId="11" fillId="2" fontId="13" numFmtId="0" xfId="0" applyAlignment="1" applyBorder="1" applyFont="1">
      <alignment readingOrder="0" vertical="center"/>
    </xf>
    <xf borderId="11" fillId="2" fontId="12" numFmtId="0" xfId="0" applyAlignment="1" applyBorder="1" applyFont="1">
      <alignment shrinkToFit="0" vertical="center" wrapText="1"/>
    </xf>
    <xf borderId="11" fillId="2" fontId="12" numFmtId="0" xfId="0" applyAlignment="1" applyBorder="1" applyFont="1">
      <alignment horizontal="center" vertical="center"/>
    </xf>
    <xf borderId="11" fillId="2" fontId="12" numFmtId="3" xfId="0" applyAlignment="1" applyBorder="1" applyFont="1" applyNumberFormat="1">
      <alignment vertical="center"/>
    </xf>
    <xf borderId="11" fillId="2" fontId="12" numFmtId="164" xfId="0" applyAlignment="1" applyBorder="1" applyFont="1" applyNumberFormat="1">
      <alignment vertical="center"/>
    </xf>
    <xf borderId="11" fillId="2" fontId="16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center" vertical="center"/>
    </xf>
    <xf borderId="12" fillId="2" fontId="13" numFmtId="165" xfId="0" applyAlignment="1" applyBorder="1" applyFont="1" applyNumberFormat="1">
      <alignment shrinkToFit="0" wrapText="1"/>
    </xf>
    <xf borderId="12" fillId="2" fontId="13" numFmtId="165" xfId="0" applyAlignment="1" applyBorder="1" applyFont="1" applyNumberFormat="1">
      <alignment vertical="top"/>
    </xf>
    <xf borderId="12" fillId="2" fontId="13" numFmtId="165" xfId="0" applyBorder="1" applyFont="1" applyNumberFormat="1"/>
    <xf borderId="12" fillId="2" fontId="13" numFmtId="165" xfId="0" applyAlignment="1" applyBorder="1" applyFont="1" applyNumberFormat="1">
      <alignment vertical="bottom"/>
    </xf>
    <xf borderId="0" fillId="2" fontId="13" numFmtId="165" xfId="0" applyFont="1" applyNumberFormat="1"/>
    <xf borderId="0" fillId="2" fontId="13" numFmtId="0" xfId="0" applyAlignment="1" applyFont="1">
      <alignment readingOrder="0" vertical="bottom"/>
    </xf>
    <xf borderId="12" fillId="2" fontId="12" numFmtId="165" xfId="0" applyBorder="1" applyFont="1" applyNumberFormat="1"/>
    <xf borderId="0" fillId="2" fontId="12" numFmtId="165" xfId="0" applyAlignment="1" applyFont="1" applyNumberFormat="1">
      <alignment vertical="bottom"/>
    </xf>
    <xf borderId="12" fillId="2" fontId="12" numFmtId="165" xfId="0" applyAlignment="1" applyBorder="1" applyFont="1" applyNumberFormat="1">
      <alignment vertical="bottom"/>
    </xf>
    <xf borderId="0" fillId="2" fontId="13" numFmtId="0" xfId="0" applyFont="1"/>
    <xf borderId="0" fillId="2" fontId="10" numFmtId="164" xfId="0" applyAlignment="1" applyFont="1" applyNumberFormat="1">
      <alignment vertical="bottom"/>
    </xf>
    <xf borderId="0" fillId="2" fontId="10" numFmtId="0" xfId="0" applyAlignment="1" applyFont="1">
      <alignment vertical="bottom"/>
    </xf>
    <xf borderId="0" fillId="2" fontId="10" numFmtId="4" xfId="0" applyAlignment="1" applyFont="1" applyNumberFormat="1">
      <alignment vertical="bottom"/>
    </xf>
    <xf borderId="0" fillId="2" fontId="10" numFmtId="165" xfId="0" applyAlignment="1" applyFont="1" applyNumberFormat="1">
      <alignment vertical="bottom"/>
    </xf>
    <xf borderId="0" fillId="2" fontId="17" numFmtId="4" xfId="0" applyAlignment="1" applyFont="1" applyNumberFormat="1">
      <alignment shrinkToFit="0" vertical="bottom" wrapText="1"/>
    </xf>
    <xf borderId="0" fillId="2" fontId="17" numFmtId="0" xfId="0" applyAlignment="1" applyFont="1">
      <alignment shrinkToFit="0" vertical="bottom" wrapText="1"/>
    </xf>
    <xf borderId="0" fillId="2" fontId="4" numFmtId="164" xfId="0" applyAlignment="1" applyFont="1" applyNumberFormat="1">
      <alignment vertical="center"/>
    </xf>
    <xf borderId="0" fillId="2" fontId="4" numFmtId="164" xfId="0" applyAlignment="1" applyFont="1" applyNumberFormat="1">
      <alignment horizontal="center" shrinkToFit="0" vertical="center" wrapText="1"/>
    </xf>
    <xf borderId="0" fillId="2" fontId="4" numFmtId="166" xfId="0" applyAlignment="1" applyFont="1" applyNumberFormat="1">
      <alignment vertical="center"/>
    </xf>
    <xf borderId="2" fillId="2" fontId="18" numFmtId="3" xfId="0" applyAlignment="1" applyBorder="1" applyFont="1" applyNumberFormat="1">
      <alignment horizontal="center" shrinkToFit="0" wrapText="1"/>
    </xf>
    <xf borderId="1" fillId="2" fontId="18" numFmtId="0" xfId="0" applyAlignment="1" applyBorder="1" applyFont="1">
      <alignment horizontal="center" shrinkToFit="0" vertical="center" wrapText="1"/>
    </xf>
    <xf borderId="1" fillId="2" fontId="18" numFmtId="4" xfId="0" applyAlignment="1" applyBorder="1" applyFont="1" applyNumberFormat="1">
      <alignment horizontal="center" shrinkToFit="0" vertical="center" wrapText="1"/>
    </xf>
    <xf borderId="1" fillId="2" fontId="18" numFmtId="164" xfId="0" applyAlignment="1" applyBorder="1" applyFont="1" applyNumberFormat="1">
      <alignment horizontal="center" shrinkToFit="0" vertical="center" wrapText="1"/>
    </xf>
    <xf borderId="1" fillId="2" fontId="18" numFmtId="3" xfId="0" applyAlignment="1" applyBorder="1" applyFont="1" applyNumberFormat="1">
      <alignment horizontal="center" shrinkToFit="0" wrapText="1"/>
    </xf>
    <xf borderId="1" fillId="2" fontId="18" numFmtId="164" xfId="0" applyAlignment="1" applyBorder="1" applyFont="1" applyNumberFormat="1">
      <alignment horizontal="center" shrinkToFit="0" wrapText="1"/>
    </xf>
    <xf borderId="11" fillId="2" fontId="8" numFmtId="164" xfId="0" applyAlignment="1" applyBorder="1" applyFont="1" applyNumberFormat="1">
      <alignment shrinkToFit="0" vertical="center" wrapText="1"/>
    </xf>
    <xf borderId="11" fillId="2" fontId="5" numFmtId="164" xfId="0" applyAlignment="1" applyBorder="1" applyFont="1" applyNumberFormat="1">
      <alignment horizontal="center" shrinkToFit="0" vertical="center" wrapText="1"/>
    </xf>
    <xf borderId="11" fillId="2" fontId="5" numFmtId="164" xfId="0" applyAlignment="1" applyBorder="1" applyFont="1" applyNumberFormat="1">
      <alignment vertical="center"/>
    </xf>
    <xf borderId="0" fillId="2" fontId="5" numFmtId="4" xfId="0" applyAlignment="1" applyFont="1" applyNumberFormat="1">
      <alignment vertical="center"/>
    </xf>
    <xf borderId="11" fillId="2" fontId="8" numFmtId="164" xfId="0" applyAlignment="1" applyBorder="1" applyFont="1" applyNumberFormat="1">
      <alignment horizontal="left" vertical="center"/>
    </xf>
    <xf borderId="11" fillId="2" fontId="4" numFmtId="164" xfId="0" applyAlignment="1" applyBorder="1" applyFont="1" applyNumberFormat="1">
      <alignment horizontal="center" shrinkToFit="0" vertical="center" wrapText="1"/>
    </xf>
    <xf borderId="11" fillId="2" fontId="8" numFmtId="164" xfId="0" applyAlignment="1" applyBorder="1" applyFont="1" applyNumberFormat="1">
      <alignment horizontal="left" shrinkToFit="0" vertical="center" wrapText="1"/>
    </xf>
    <xf borderId="11" fillId="2" fontId="4" numFmtId="166" xfId="0" applyAlignment="1" applyBorder="1" applyFont="1" applyNumberFormat="1">
      <alignment vertical="center"/>
    </xf>
    <xf borderId="11" fillId="2" fontId="4" numFmtId="164" xfId="0" applyAlignment="1" applyBorder="1" applyFont="1" applyNumberFormat="1">
      <alignment vertical="center"/>
    </xf>
    <xf borderId="11" fillId="2" fontId="4" numFmtId="167" xfId="0" applyAlignment="1" applyBorder="1" applyFont="1" applyNumberFormat="1">
      <alignment vertical="center"/>
    </xf>
    <xf borderId="11" fillId="2" fontId="7" numFmtId="164" xfId="0" applyAlignment="1" applyBorder="1" applyFont="1" applyNumberFormat="1">
      <alignment horizontal="left" shrinkToFit="0" vertical="center" wrapText="1"/>
    </xf>
    <xf borderId="11" fillId="2" fontId="19" numFmtId="166" xfId="0" applyAlignment="1" applyBorder="1" applyFont="1" applyNumberFormat="1">
      <alignment vertical="center"/>
    </xf>
    <xf borderId="11" fillId="2" fontId="7" numFmtId="4" xfId="0" applyAlignment="1" applyBorder="1" applyFont="1" applyNumberFormat="1">
      <alignment vertical="center"/>
    </xf>
    <xf borderId="11" fillId="2" fontId="7" numFmtId="0" xfId="0" applyAlignment="1" applyBorder="1" applyFont="1">
      <alignment vertical="center"/>
    </xf>
    <xf borderId="11" fillId="2" fontId="4" numFmtId="168" xfId="0" applyAlignment="1" applyBorder="1" applyFont="1" applyNumberFormat="1">
      <alignment vertical="center"/>
    </xf>
    <xf borderId="11" fillId="2" fontId="4" numFmtId="169" xfId="0" applyAlignment="1" applyBorder="1" applyFont="1" applyNumberFormat="1">
      <alignment vertical="center"/>
    </xf>
    <xf borderId="11" fillId="2" fontId="7" numFmtId="0" xfId="0" applyAlignment="1" applyBorder="1" applyFont="1">
      <alignment horizontal="left" shrinkToFit="0" vertical="center" wrapText="1"/>
    </xf>
    <xf borderId="11" fillId="2" fontId="4" numFmtId="164" xfId="0" applyAlignment="1" applyBorder="1" applyFont="1" applyNumberFormat="1">
      <alignment horizontal="left" shrinkToFit="0" vertical="center" wrapText="1"/>
    </xf>
    <xf borderId="11" fillId="2" fontId="8" numFmtId="0" xfId="0" applyAlignment="1" applyBorder="1" applyFont="1">
      <alignment horizontal="left" shrinkToFit="0" vertical="center" wrapText="1"/>
    </xf>
    <xf borderId="11" fillId="2" fontId="19" numFmtId="166" xfId="0" applyAlignment="1" applyBorder="1" applyFont="1" applyNumberFormat="1">
      <alignment horizontal="right" vertical="center"/>
    </xf>
    <xf borderId="11" fillId="2" fontId="19" numFmtId="4" xfId="0" applyAlignment="1" applyBorder="1" applyFont="1" applyNumberFormat="1">
      <alignment horizontal="right" vertical="center"/>
    </xf>
    <xf borderId="11" fillId="2" fontId="19" numFmtId="0" xfId="0" applyAlignment="1" applyBorder="1" applyFont="1">
      <alignment readingOrder="0" vertical="center"/>
    </xf>
    <xf borderId="11" fillId="2" fontId="7" numFmtId="164" xfId="0" applyAlignment="1" applyBorder="1" applyFont="1" applyNumberFormat="1">
      <alignment shrinkToFit="0" vertical="center" wrapText="1"/>
    </xf>
    <xf borderId="11" fillId="2" fontId="20" numFmtId="164" xfId="0" applyAlignment="1" applyBorder="1" applyFont="1" applyNumberFormat="1">
      <alignment horizontal="left" shrinkToFit="0" vertical="center" wrapText="1"/>
    </xf>
    <xf borderId="11" fillId="2" fontId="20" numFmtId="0" xfId="0" applyAlignment="1" applyBorder="1" applyFont="1">
      <alignment horizontal="left" shrinkToFit="0" vertical="center" wrapText="1"/>
    </xf>
    <xf borderId="11" fillId="2" fontId="5" numFmtId="164" xfId="0" applyAlignment="1" applyBorder="1" applyFont="1" applyNumberFormat="1">
      <alignment horizontal="left" shrinkToFit="0" vertical="center" wrapText="1"/>
    </xf>
    <xf borderId="11" fillId="2" fontId="21" numFmtId="164" xfId="0" applyAlignment="1" applyBorder="1" applyFont="1" applyNumberFormat="1">
      <alignment horizontal="left" shrinkToFit="0" vertical="center" wrapText="1"/>
    </xf>
    <xf borderId="11" fillId="2" fontId="22" numFmtId="164" xfId="0" applyAlignment="1" applyBorder="1" applyFont="1" applyNumberFormat="1">
      <alignment horizontal="left" shrinkToFit="0" vertical="center" wrapText="1"/>
    </xf>
    <xf borderId="11" fillId="2" fontId="19" numFmtId="164" xfId="0" applyAlignment="1" applyBorder="1" applyFont="1" applyNumberFormat="1">
      <alignment horizontal="left" shrinkToFit="0" vertical="center" wrapText="1"/>
    </xf>
    <xf borderId="11" fillId="2" fontId="7" numFmtId="164" xfId="0" applyAlignment="1" applyBorder="1" applyFont="1" applyNumberFormat="1">
      <alignment horizontal="left" readingOrder="0" shrinkToFit="0" vertical="center" wrapText="1"/>
    </xf>
    <xf borderId="11" fillId="2" fontId="23" numFmtId="164" xfId="0" applyAlignment="1" applyBorder="1" applyFont="1" applyNumberFormat="1">
      <alignment horizontal="left" shrinkToFit="0" vertical="center" wrapText="1"/>
    </xf>
    <xf borderId="11" fillId="2" fontId="24" numFmtId="164" xfId="0" applyAlignment="1" applyBorder="1" applyFont="1" applyNumberFormat="1">
      <alignment horizontal="left" shrinkToFit="0" vertical="center" wrapText="1"/>
    </xf>
    <xf borderId="11" fillId="2" fontId="8" numFmtId="164" xfId="0" applyAlignment="1" applyBorder="1" applyFont="1" applyNumberFormat="1">
      <alignment horizontal="center" shrinkToFit="0" vertical="center" wrapText="1"/>
    </xf>
    <xf borderId="12" fillId="2" fontId="7" numFmtId="0" xfId="0" applyAlignment="1" applyBorder="1" applyFont="1">
      <alignment vertical="center"/>
    </xf>
    <xf borderId="12" fillId="2" fontId="9" numFmtId="165" xfId="0" applyAlignment="1" applyBorder="1" applyFont="1" applyNumberFormat="1">
      <alignment shrinkToFit="0" wrapText="1"/>
    </xf>
    <xf borderId="12" fillId="2" fontId="9" numFmtId="0" xfId="0" applyAlignment="1" applyBorder="1" applyFont="1">
      <alignment shrinkToFit="0" wrapText="1"/>
    </xf>
    <xf borderId="12" fillId="2" fontId="9" numFmtId="165" xfId="0" applyBorder="1" applyFont="1" applyNumberFormat="1"/>
    <xf borderId="12" fillId="2" fontId="10" numFmtId="0" xfId="0" applyBorder="1" applyFont="1"/>
    <xf borderId="12" fillId="2" fontId="9" numFmtId="165" xfId="0" applyAlignment="1" applyBorder="1" applyFont="1" applyNumberFormat="1">
      <alignment vertical="top"/>
    </xf>
    <xf borderId="12" fillId="2" fontId="10" numFmtId="165" xfId="0" applyBorder="1" applyFont="1" applyNumberFormat="1"/>
    <xf borderId="12" fillId="2" fontId="10" numFmtId="165" xfId="0" applyAlignment="1" applyBorder="1" applyFont="1" applyNumberFormat="1">
      <alignment vertical="bottom"/>
    </xf>
    <xf borderId="0" fillId="2" fontId="10" numFmtId="4" xfId="0" applyFont="1" applyNumberFormat="1"/>
    <xf borderId="0" fillId="2" fontId="10" numFmtId="165" xfId="0" applyFont="1" applyNumberFormat="1"/>
    <xf borderId="12" fillId="2" fontId="9" numFmtId="165" xfId="0" applyAlignment="1" applyBorder="1" applyFont="1" applyNumberFormat="1">
      <alignment vertical="bottom"/>
    </xf>
    <xf borderId="0" fillId="2" fontId="7" numFmtId="0" xfId="0" applyAlignment="1" applyFont="1">
      <alignment vertical="center"/>
    </xf>
    <xf borderId="0" fillId="2" fontId="9" numFmtId="4" xfId="0" applyAlignment="1" applyFont="1" applyNumberFormat="1">
      <alignment vertical="center"/>
    </xf>
    <xf borderId="12" fillId="2" fontId="4" numFmtId="164" xfId="0" applyAlignment="1" applyBorder="1" applyFont="1" applyNumberFormat="1">
      <alignment vertical="center"/>
    </xf>
    <xf borderId="12" fillId="2" fontId="4" numFmtId="166" xfId="0" applyAlignment="1" applyBorder="1" applyFont="1" applyNumberFormat="1">
      <alignment vertical="center"/>
    </xf>
    <xf borderId="12" fillId="2" fontId="4" numFmtId="169" xfId="0" applyAlignment="1" applyBorder="1" applyFont="1" applyNumberFormat="1">
      <alignment vertical="center"/>
    </xf>
    <xf borderId="14" fillId="2" fontId="4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2" fontId="18" numFmtId="169" xfId="0" applyAlignment="1" applyBorder="1" applyFont="1" applyNumberFormat="1">
      <alignment horizontal="center" shrinkToFit="0" vertical="center" wrapText="1"/>
    </xf>
    <xf borderId="11" fillId="2" fontId="5" numFmtId="164" xfId="0" applyAlignment="1" applyBorder="1" applyFont="1" applyNumberFormat="1">
      <alignment shrinkToFit="0" vertical="center" wrapText="1"/>
    </xf>
    <xf borderId="11" fillId="2" fontId="5" numFmtId="166" xfId="0" applyAlignment="1" applyBorder="1" applyFont="1" applyNumberFormat="1">
      <alignment vertical="center"/>
    </xf>
    <xf borderId="11" fillId="2" fontId="5" numFmtId="169" xfId="0" applyAlignment="1" applyBorder="1" applyFont="1" applyNumberFormat="1">
      <alignment vertical="center"/>
    </xf>
    <xf borderId="11" fillId="2" fontId="10" numFmtId="166" xfId="0" applyBorder="1" applyFont="1" applyNumberFormat="1"/>
    <xf borderId="11" fillId="2" fontId="19" numFmtId="0" xfId="0" applyAlignment="1" applyBorder="1" applyFont="1">
      <alignment horizontal="right" shrinkToFit="0" vertical="center" wrapText="1"/>
    </xf>
    <xf borderId="11" fillId="2" fontId="19" numFmtId="169" xfId="0" applyAlignment="1" applyBorder="1" applyFont="1" applyNumberFormat="1">
      <alignment horizontal="right" shrinkToFit="0" vertical="center" wrapText="1"/>
    </xf>
    <xf borderId="11" fillId="2" fontId="19" numFmtId="170" xfId="0" applyAlignment="1" applyBorder="1" applyFont="1" applyNumberFormat="1">
      <alignment horizontal="right"/>
    </xf>
    <xf borderId="11" fillId="2" fontId="4" numFmtId="170" xfId="0" applyAlignment="1" applyBorder="1" applyFont="1" applyNumberFormat="1">
      <alignment horizontal="right"/>
    </xf>
    <xf borderId="11" fillId="2" fontId="19" numFmtId="0" xfId="0" applyAlignment="1" applyBorder="1" applyFont="1">
      <alignment shrinkToFit="0" vertical="center" wrapText="1"/>
    </xf>
    <xf borderId="11" fillId="2" fontId="19" numFmtId="166" xfId="0" applyAlignment="1" applyBorder="1" applyFont="1" applyNumberFormat="1">
      <alignment horizontal="right"/>
    </xf>
    <xf borderId="11" fillId="2" fontId="19" numFmtId="0" xfId="0" applyAlignment="1" applyBorder="1" applyFont="1">
      <alignment readingOrder="0" shrinkToFit="0" vertical="center" wrapText="1"/>
    </xf>
    <xf borderId="11" fillId="2" fontId="19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right" shrinkToFit="0" vertical="center" wrapText="1"/>
    </xf>
    <xf borderId="11" fillId="2" fontId="4" numFmtId="169" xfId="0" applyAlignment="1" applyBorder="1" applyFont="1" applyNumberFormat="1">
      <alignment horizontal="right" shrinkToFit="0" vertical="center" wrapText="1"/>
    </xf>
    <xf borderId="11" fillId="2" fontId="25" numFmtId="0" xfId="0" applyAlignment="1" applyBorder="1" applyFont="1">
      <alignment shrinkToFit="0" vertical="center" wrapText="1"/>
    </xf>
    <xf borderId="11" fillId="2" fontId="25" numFmtId="169" xfId="0" applyAlignment="1" applyBorder="1" applyFont="1" applyNumberFormat="1">
      <alignment shrinkToFit="0" vertical="center" wrapText="1"/>
    </xf>
    <xf borderId="0" fillId="2" fontId="5" numFmtId="0" xfId="0" applyAlignment="1" applyFont="1">
      <alignment vertical="center"/>
    </xf>
    <xf borderId="11" fillId="2" fontId="19" numFmtId="169" xfId="0" applyAlignment="1" applyBorder="1" applyFont="1" applyNumberFormat="1">
      <alignment vertical="center"/>
    </xf>
    <xf borderId="11" fillId="2" fontId="5" numFmtId="169" xfId="0" applyAlignment="1" applyBorder="1" applyFont="1" applyNumberFormat="1">
      <alignment horizontal="right" shrinkToFit="0" vertical="center" wrapText="1"/>
    </xf>
    <xf borderId="0" fillId="2" fontId="9" numFmtId="165" xfId="0" applyAlignment="1" applyFont="1" applyNumberFormat="1">
      <alignment shrinkToFit="0" wrapText="1"/>
    </xf>
    <xf borderId="0" fillId="2" fontId="9" numFmtId="0" xfId="0" applyAlignment="1" applyFont="1">
      <alignment shrinkToFit="0" wrapText="1"/>
    </xf>
    <xf borderId="0" fillId="2" fontId="9" numFmtId="165" xfId="0" applyFont="1" applyNumberFormat="1"/>
    <xf borderId="0" fillId="2" fontId="4" numFmtId="169" xfId="0" applyAlignment="1" applyFont="1" applyNumberFormat="1">
      <alignment vertical="center"/>
    </xf>
    <xf borderId="0" fillId="2" fontId="9" numFmtId="165" xfId="0" applyAlignment="1" applyFont="1" applyNumberFormat="1">
      <alignment vertical="top"/>
    </xf>
    <xf borderId="0" fillId="2" fontId="5" numFmtId="165" xfId="0" applyFont="1" applyNumberFormat="1"/>
    <xf borderId="0" fillId="2" fontId="9" numFmtId="165" xfId="0" applyAlignment="1" applyFont="1" applyNumberFormat="1">
      <alignment vertical="bottom"/>
    </xf>
    <xf borderId="0" fillId="2" fontId="25" numFmtId="0" xfId="0" applyFont="1"/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vertical="center"/>
    </xf>
    <xf borderId="0" fillId="0" fontId="10" numFmtId="4" xfId="0" applyAlignment="1" applyFont="1" applyNumberFormat="1">
      <alignment vertical="bottom"/>
    </xf>
    <xf borderId="0" fillId="0" fontId="10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3" fontId="17" numFmtId="0" xfId="0" applyAlignment="1" applyFill="1" applyFont="1">
      <alignment shrinkToFit="0" vertical="bottom" wrapText="1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0" fontId="27" numFmtId="169" xfId="0" applyAlignment="1" applyFont="1" applyNumberFormat="1">
      <alignment vertical="center"/>
    </xf>
    <xf borderId="0" fillId="0" fontId="27" numFmtId="0" xfId="0" applyAlignment="1" applyFont="1">
      <alignment vertical="center"/>
    </xf>
    <xf borderId="0" fillId="0" fontId="10" numFmtId="0" xfId="0" applyFont="1"/>
    <xf borderId="0" fillId="0" fontId="7" numFmtId="0" xfId="0" applyAlignment="1" applyFont="1">
      <alignment vertical="center"/>
    </xf>
    <xf borderId="0" fillId="0" fontId="7" numFmtId="169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4" fontId="24" numFmtId="0" xfId="0" applyAlignment="1" applyBorder="1" applyFill="1" applyFont="1">
      <alignment horizontal="center" readingOrder="0" vertical="center"/>
    </xf>
    <xf borderId="1" fillId="4" fontId="8" numFmtId="0" xfId="0" applyAlignment="1" applyBorder="1" applyFont="1">
      <alignment horizontal="center" shrinkToFit="0" vertical="center" wrapText="1"/>
    </xf>
    <xf borderId="2" fillId="4" fontId="5" numFmtId="1" xfId="0" applyAlignment="1" applyBorder="1" applyFont="1" applyNumberFormat="1">
      <alignment horizontal="center" shrinkToFit="0" vertical="center" wrapText="1"/>
    </xf>
    <xf borderId="2" fillId="5" fontId="18" numFmtId="3" xfId="0" applyAlignment="1" applyBorder="1" applyFill="1" applyFont="1" applyNumberFormat="1">
      <alignment horizontal="center" shrinkToFit="0" wrapText="1"/>
    </xf>
    <xf borderId="4" fillId="6" fontId="5" numFmtId="3" xfId="0" applyAlignment="1" applyBorder="1" applyFill="1" applyFont="1" applyNumberFormat="1">
      <alignment horizontal="center" shrinkToFit="0" vertical="center" wrapText="1"/>
    </xf>
    <xf borderId="1" fillId="7" fontId="18" numFmtId="0" xfId="0" applyAlignment="1" applyBorder="1" applyFill="1" applyFont="1">
      <alignment horizontal="center" shrinkToFit="0" vertical="center" wrapText="1"/>
    </xf>
    <xf borderId="8" fillId="4" fontId="5" numFmtId="4" xfId="0" applyAlignment="1" applyBorder="1" applyFont="1" applyNumberFormat="1">
      <alignment horizontal="center" shrinkToFit="0" vertical="bottom" wrapText="1"/>
    </xf>
    <xf borderId="1" fillId="6" fontId="5" numFmtId="3" xfId="0" applyAlignment="1" applyBorder="1" applyFont="1" applyNumberFormat="1">
      <alignment horizontal="center" shrinkToFit="0" vertical="center" wrapText="1"/>
    </xf>
    <xf borderId="1" fillId="6" fontId="18" numFmtId="164" xfId="0" applyAlignment="1" applyBorder="1" applyFont="1" applyNumberFormat="1">
      <alignment horizontal="center" shrinkToFit="0" vertical="center" wrapText="1"/>
    </xf>
    <xf borderId="10" fillId="4" fontId="5" numFmtId="4" xfId="0" applyAlignment="1" applyBorder="1" applyFont="1" applyNumberFormat="1">
      <alignment horizontal="center" shrinkToFit="0" vertical="center" wrapText="1"/>
    </xf>
    <xf borderId="1" fillId="5" fontId="18" numFmtId="3" xfId="0" applyAlignment="1" applyBorder="1" applyFont="1" applyNumberFormat="1">
      <alignment horizontal="center" shrinkToFit="0" wrapText="1"/>
    </xf>
    <xf borderId="1" fillId="5" fontId="18" numFmtId="164" xfId="0" applyAlignment="1" applyBorder="1" applyFont="1" applyNumberFormat="1">
      <alignment horizontal="center" shrinkToFit="0" wrapText="1"/>
    </xf>
    <xf borderId="11" fillId="0" fontId="8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11" fillId="0" fontId="8" numFmtId="169" xfId="0" applyAlignment="1" applyBorder="1" applyFont="1" applyNumberFormat="1">
      <alignment vertical="center"/>
    </xf>
    <xf borderId="0" fillId="0" fontId="25" numFmtId="0" xfId="0" applyFont="1"/>
    <xf borderId="11" fillId="0" fontId="8" numFmtId="0" xfId="0" applyAlignment="1" applyBorder="1" applyFont="1">
      <alignment shrinkToFit="0" vertical="center" wrapText="1"/>
    </xf>
    <xf borderId="11" fillId="0" fontId="25" numFmtId="0" xfId="0" applyBorder="1" applyFont="1"/>
    <xf borderId="11" fillId="0" fontId="7" numFmtId="169" xfId="0" applyAlignment="1" applyBorder="1" applyFont="1" applyNumberFormat="1">
      <alignment vertical="center"/>
    </xf>
    <xf borderId="11" fillId="0" fontId="7" numFmtId="0" xfId="0" applyAlignment="1" applyBorder="1" applyFont="1">
      <alignment horizontal="center" vertical="center"/>
    </xf>
    <xf borderId="11" fillId="0" fontId="7" numFmtId="169" xfId="0" applyAlignment="1" applyBorder="1" applyFont="1" applyNumberFormat="1">
      <alignment horizontal="right" vertical="center"/>
    </xf>
    <xf borderId="11" fillId="0" fontId="23" numFmtId="0" xfId="0" applyAlignment="1" applyBorder="1" applyFont="1">
      <alignment horizontal="right" vertical="center"/>
    </xf>
    <xf borderId="11" fillId="0" fontId="25" numFmtId="0" xfId="0" applyAlignment="1" applyBorder="1" applyFont="1">
      <alignment readingOrder="0"/>
    </xf>
    <xf borderId="11" fillId="0" fontId="24" numFmtId="0" xfId="0" applyAlignment="1" applyBorder="1" applyFont="1">
      <alignment readingOrder="0" vertical="center"/>
    </xf>
    <xf borderId="11" fillId="0" fontId="24" numFmtId="0" xfId="0" applyAlignment="1" applyBorder="1" applyFont="1">
      <alignment vertical="center"/>
    </xf>
    <xf borderId="11" fillId="0" fontId="7" numFmtId="0" xfId="0" applyAlignment="1" applyBorder="1" applyFont="1">
      <alignment horizontal="right" vertical="center"/>
    </xf>
    <xf borderId="11" fillId="0" fontId="7" numFmtId="0" xfId="0" applyAlignment="1" applyBorder="1" applyFont="1">
      <alignment readingOrder="0" vertical="center"/>
    </xf>
    <xf borderId="11" fillId="0" fontId="28" numFmtId="0" xfId="0" applyBorder="1" applyFont="1"/>
    <xf borderId="11" fillId="2" fontId="29" numFmtId="0" xfId="0" applyAlignment="1" applyBorder="1" applyFont="1">
      <alignment shrinkToFit="0" vertical="center" wrapText="1"/>
    </xf>
    <xf borderId="11" fillId="2" fontId="30" numFmtId="0" xfId="0" applyAlignment="1" applyBorder="1" applyFont="1">
      <alignment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23" numFmtId="169" xfId="0" applyAlignment="1" applyBorder="1" applyFont="1" applyNumberFormat="1">
      <alignment horizontal="right" vertical="center"/>
    </xf>
    <xf borderId="11" fillId="0" fontId="23" numFmtId="169" xfId="0" applyAlignment="1" applyBorder="1" applyFont="1" applyNumberFormat="1">
      <alignment vertical="center"/>
    </xf>
    <xf borderId="11" fillId="0" fontId="23" numFmtId="0" xfId="0" applyAlignment="1" applyBorder="1" applyFont="1">
      <alignment vertical="center"/>
    </xf>
    <xf borderId="11" fillId="0" fontId="8" numFmtId="0" xfId="0" applyAlignment="1" applyBorder="1" applyFont="1">
      <alignment horizontal="center" vertical="center"/>
    </xf>
    <xf borderId="11" fillId="2" fontId="8" numFmtId="169" xfId="0" applyAlignment="1" applyBorder="1" applyFont="1" applyNumberFormat="1">
      <alignment vertical="center"/>
    </xf>
    <xf borderId="11" fillId="0" fontId="10" numFmtId="0" xfId="0" applyBorder="1" applyFont="1"/>
    <xf borderId="11" fillId="0" fontId="5" numFmtId="4" xfId="0" applyAlignment="1" applyBorder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10" numFmtId="165" xfId="0" applyFont="1" applyNumberFormat="1"/>
    <xf borderId="1" fillId="0" fontId="10" numFmtId="0" xfId="0" applyBorder="1" applyFont="1"/>
    <xf borderId="0" fillId="0" fontId="10" numFmtId="164" xfId="0" applyFont="1" applyNumberFormat="1"/>
    <xf borderId="12" fillId="4" fontId="4" numFmtId="0" xfId="0" applyAlignment="1" applyBorder="1" applyFont="1">
      <alignment vertical="center"/>
    </xf>
    <xf borderId="12" fillId="4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10" numFmtId="3" xfId="0" applyFont="1" applyNumberFormat="1"/>
    <xf borderId="0" fillId="0" fontId="4" numFmtId="0" xfId="0" applyAlignment="1" applyFont="1">
      <alignment horizontal="center" shrinkToFit="0" vertical="center" wrapText="1"/>
    </xf>
    <xf borderId="15" fillId="0" fontId="7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vertical="bottom"/>
    </xf>
    <xf borderId="0" fillId="0" fontId="4" numFmtId="4" xfId="0" applyAlignment="1" applyFont="1" applyNumberFormat="1">
      <alignment vertical="center"/>
    </xf>
    <xf borderId="0" fillId="0" fontId="25" numFmtId="4" xfId="0" applyAlignment="1" applyFont="1" applyNumberFormat="1">
      <alignment vertical="bottom"/>
    </xf>
    <xf borderId="0" fillId="3" fontId="31" numFmtId="2" xfId="0" applyAlignment="1" applyFont="1" applyNumberFormat="1">
      <alignment shrinkToFit="0" vertical="bottom" wrapText="1"/>
    </xf>
    <xf borderId="0" fillId="0" fontId="25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32" numFmtId="2" xfId="0" applyFont="1" applyNumberFormat="1"/>
    <xf borderId="0" fillId="0" fontId="25" numFmtId="2" xfId="0" applyFont="1" applyNumberFormat="1"/>
    <xf borderId="0" fillId="0" fontId="4" numFmtId="2" xfId="0" applyAlignment="1" applyFont="1" applyNumberFormat="1">
      <alignment vertical="center"/>
    </xf>
    <xf borderId="1" fillId="8" fontId="8" numFmtId="0" xfId="0" applyAlignment="1" applyBorder="1" applyFill="1" applyFont="1">
      <alignment horizontal="center" shrinkToFit="0" vertical="center" wrapText="1"/>
    </xf>
    <xf borderId="4" fillId="8" fontId="8" numFmtId="3" xfId="0" applyAlignment="1" applyBorder="1" applyFont="1" applyNumberFormat="1">
      <alignment horizontal="center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2" fillId="5" fontId="18" numFmtId="3" xfId="0" applyAlignment="1" applyBorder="1" applyFont="1" applyNumberFormat="1">
      <alignment horizontal="center" shrinkToFit="0" vertical="center" wrapText="1"/>
    </xf>
    <xf borderId="5" fillId="8" fontId="8" numFmtId="3" xfId="0" applyAlignment="1" applyBorder="1" applyFont="1" applyNumberFormat="1">
      <alignment horizontal="center" shrinkToFit="0" vertical="center" wrapText="1"/>
    </xf>
    <xf borderId="6" fillId="8" fontId="8" numFmtId="3" xfId="0" applyAlignment="1" applyBorder="1" applyFont="1" applyNumberForma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1" fillId="8" fontId="5" numFmtId="0" xfId="0" applyAlignment="1" applyBorder="1" applyFont="1">
      <alignment horizontal="center" shrinkToFit="0" vertical="center" wrapText="1"/>
    </xf>
    <xf borderId="18" fillId="0" fontId="6" numFmtId="0" xfId="0" applyBorder="1" applyFont="1"/>
    <xf borderId="1" fillId="8" fontId="8" numFmtId="3" xfId="0" applyAlignment="1" applyBorder="1" applyFont="1" applyNumberFormat="1">
      <alignment horizontal="center" shrinkToFit="0" vertical="center" wrapText="1"/>
    </xf>
    <xf borderId="1" fillId="8" fontId="8" numFmtId="16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19" fillId="0" fontId="6" numFmtId="0" xfId="0" applyBorder="1" applyFont="1"/>
    <xf borderId="20" fillId="0" fontId="6" numFmtId="0" xfId="0" applyBorder="1" applyFont="1"/>
    <xf borderId="1" fillId="6" fontId="5" numFmtId="2" xfId="0" applyAlignment="1" applyBorder="1" applyFont="1" applyNumberFormat="1">
      <alignment horizontal="center" shrinkToFit="0" vertical="center" wrapText="1"/>
    </xf>
    <xf borderId="11" fillId="3" fontId="5" numFmtId="165" xfId="0" applyAlignment="1" applyBorder="1" applyFont="1" applyNumberFormat="1">
      <alignment horizontal="center" shrinkToFit="0" vertical="center" wrapText="1"/>
    </xf>
    <xf borderId="11" fillId="3" fontId="5" numFmtId="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vertical="center"/>
    </xf>
    <xf borderId="11" fillId="0" fontId="5" numFmtId="164" xfId="0" applyAlignment="1" applyBorder="1" applyFont="1" applyNumberFormat="1">
      <alignment vertical="center"/>
    </xf>
    <xf borderId="11" fillId="0" fontId="5" numFmtId="165" xfId="0" applyAlignment="1" applyBorder="1" applyFont="1" applyNumberFormat="1">
      <alignment vertical="center"/>
    </xf>
    <xf borderId="0" fillId="0" fontId="18" numFmtId="4" xfId="0" applyFont="1" applyNumberFormat="1"/>
    <xf borderId="11" fillId="0" fontId="33" numFmtId="4" xfId="0" applyBorder="1" applyFont="1" applyNumberFormat="1"/>
    <xf borderId="11" fillId="0" fontId="8" numFmtId="0" xfId="0" applyAlignment="1" applyBorder="1" applyFont="1">
      <alignment horizontal="left" vertical="center"/>
    </xf>
    <xf borderId="11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vertical="center"/>
    </xf>
    <xf borderId="11" fillId="0" fontId="4" numFmtId="164" xfId="0" applyAlignment="1" applyBorder="1" applyFont="1" applyNumberFormat="1">
      <alignment vertical="center"/>
    </xf>
    <xf borderId="11" fillId="0" fontId="25" numFmtId="2" xfId="0" applyBorder="1" applyFont="1" applyNumberFormat="1"/>
    <xf borderId="11" fillId="0" fontId="4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right" shrinkToFit="0" vertical="center" wrapText="1"/>
    </xf>
    <xf borderId="11" fillId="0" fontId="4" numFmtId="165" xfId="0" applyAlignment="1" applyBorder="1" applyFont="1" applyNumberFormat="1">
      <alignment vertical="center"/>
    </xf>
    <xf borderId="11" fillId="0" fontId="4" numFmtId="4" xfId="0" applyAlignment="1" applyBorder="1" applyFont="1" applyNumberFormat="1">
      <alignment vertical="center"/>
    </xf>
    <xf borderId="11" fillId="0" fontId="4" numFmtId="4" xfId="0" applyAlignment="1" applyBorder="1" applyFont="1" applyNumberFormat="1">
      <alignment horizontal="right" shrinkToFit="0" vertical="center" wrapText="1"/>
    </xf>
    <xf borderId="11" fillId="0" fontId="25" numFmtId="2" xfId="0" applyAlignment="1" applyBorder="1" applyFont="1" applyNumberFormat="1">
      <alignment readingOrder="0"/>
    </xf>
    <xf borderId="11" fillId="0" fontId="4" numFmtId="0" xfId="0" applyAlignment="1" applyBorder="1" applyFont="1">
      <alignment readingOrder="0"/>
    </xf>
    <xf borderId="11" fillId="0" fontId="34" numFmtId="0" xfId="0" applyBorder="1" applyFont="1"/>
    <xf borderId="11" fillId="0" fontId="28" numFmtId="2" xfId="0" applyBorder="1" applyFont="1" applyNumberFormat="1"/>
    <xf borderId="11" fillId="0" fontId="5" numFmtId="0" xfId="0" applyBorder="1" applyFont="1"/>
    <xf borderId="11" fillId="0" fontId="4" numFmtId="0" xfId="0" applyBorder="1" applyFont="1"/>
    <xf borderId="11" fillId="0" fontId="35" numFmtId="0" xfId="0" applyAlignment="1" applyBorder="1" applyFont="1">
      <alignment readingOrder="0"/>
    </xf>
    <xf borderId="11" fillId="0" fontId="4" numFmtId="3" xfId="0" applyAlignment="1" applyBorder="1" applyFont="1" applyNumberFormat="1">
      <alignment vertical="center"/>
    </xf>
    <xf borderId="11" fillId="0" fontId="35" numFmtId="2" xfId="0" applyAlignment="1" applyBorder="1" applyFont="1" applyNumberFormat="1">
      <alignment readingOrder="0"/>
    </xf>
    <xf borderId="11" fillId="0" fontId="24" numFmtId="0" xfId="0" applyAlignment="1" applyBorder="1" applyFont="1">
      <alignment horizontal="left" readingOrder="0" vertical="center"/>
    </xf>
    <xf borderId="11" fillId="0" fontId="19" numFmtId="0" xfId="0" applyAlignment="1" applyBorder="1" applyFont="1">
      <alignment horizontal="center" readingOrder="0" shrinkToFit="0" vertical="center" wrapText="1"/>
    </xf>
    <xf borderId="11" fillId="0" fontId="35" numFmtId="3" xfId="0" applyAlignment="1" applyBorder="1" applyFont="1" applyNumberFormat="1">
      <alignment readingOrder="0"/>
    </xf>
    <xf borderId="11" fillId="0" fontId="7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left" vertical="center"/>
    </xf>
    <xf borderId="11" fillId="0" fontId="7" numFmtId="0" xfId="0" applyAlignment="1" applyBorder="1" applyFont="1">
      <alignment horizontal="left" shrinkToFit="0" vertical="center" wrapText="1"/>
    </xf>
    <xf borderId="11" fillId="0" fontId="7" numFmtId="4" xfId="0" applyAlignment="1" applyBorder="1" applyFont="1" applyNumberFormat="1">
      <alignment horizontal="right" vertical="center"/>
    </xf>
    <xf borderId="11" fillId="4" fontId="4" numFmtId="0" xfId="0" applyAlignment="1" applyBorder="1" applyFont="1">
      <alignment shrinkToFit="0" vertical="center" wrapText="1"/>
    </xf>
    <xf borderId="11" fillId="4" fontId="4" numFmtId="0" xfId="0" applyAlignment="1" applyBorder="1" applyFont="1">
      <alignment vertical="center"/>
    </xf>
    <xf borderId="11" fillId="4" fontId="4" numFmtId="4" xfId="0" applyAlignment="1" applyBorder="1" applyFont="1" applyNumberFormat="1">
      <alignment vertical="center"/>
    </xf>
    <xf borderId="11" fillId="0" fontId="5" numFmtId="0" xfId="0" applyAlignment="1" applyBorder="1" applyFont="1">
      <alignment horizontal="center" shrinkToFit="0" vertical="center" wrapText="1"/>
    </xf>
    <xf borderId="11" fillId="0" fontId="36" numFmtId="4" xfId="0" applyAlignment="1" applyBorder="1" applyFont="1" applyNumberFormat="1">
      <alignment vertical="center"/>
    </xf>
    <xf borderId="11" fillId="0" fontId="5" numFmtId="4" xfId="0" applyBorder="1" applyFont="1" applyNumberFormat="1"/>
    <xf borderId="0" fillId="0" fontId="4" numFmtId="0" xfId="0" applyAlignment="1" applyFont="1">
      <alignment shrinkToFit="0" vertical="center" wrapText="1"/>
    </xf>
    <xf borderId="12" fillId="4" fontId="4" numFmtId="0" xfId="0" applyAlignment="1" applyBorder="1" applyFont="1">
      <alignment shrinkToFit="0" vertical="center" wrapText="1"/>
    </xf>
    <xf borderId="12" fillId="2" fontId="4" numFmtId="165" xfId="0" applyAlignment="1" applyBorder="1" applyFont="1" applyNumberFormat="1">
      <alignment shrinkToFit="0" vertical="center" wrapText="1"/>
    </xf>
    <xf borderId="12" fillId="2" fontId="4" numFmtId="0" xfId="0" applyAlignment="1" applyBorder="1" applyFont="1">
      <alignment shrinkToFit="0" vertical="center" wrapText="1"/>
    </xf>
    <xf borderId="0" fillId="0" fontId="25" numFmtId="0" xfId="0" applyAlignment="1" applyFont="1">
      <alignment vertical="center"/>
    </xf>
    <xf borderId="12" fillId="2" fontId="4" numFmtId="165" xfId="0" applyAlignment="1" applyBorder="1" applyFont="1" applyNumberFormat="1">
      <alignment vertical="center"/>
    </xf>
    <xf borderId="12" fillId="2" fontId="25" numFmtId="0" xfId="0" applyAlignment="1" applyBorder="1" applyFont="1">
      <alignment vertical="center"/>
    </xf>
    <xf borderId="0" fillId="0" fontId="25" numFmtId="165" xfId="0" applyAlignment="1" applyFont="1" applyNumberFormat="1">
      <alignment vertical="center"/>
    </xf>
    <xf borderId="0" fillId="0" fontId="25" numFmtId="4" xfId="0" applyAlignment="1" applyFont="1" applyNumberFormat="1">
      <alignment vertical="center"/>
    </xf>
    <xf borderId="12" fillId="2" fontId="25" numFmtId="165" xfId="0" applyAlignment="1" applyBorder="1" applyFont="1" applyNumberFormat="1">
      <alignment vertical="center"/>
    </xf>
    <xf borderId="12" fillId="2" fontId="25" numFmtId="166" xfId="0" applyAlignment="1" applyBorder="1" applyFont="1" applyNumberFormat="1">
      <alignment vertical="center"/>
    </xf>
    <xf borderId="0" fillId="0" fontId="25" numFmtId="2" xfId="0" applyAlignment="1" applyFont="1" applyNumberFormat="1">
      <alignment vertical="bottom"/>
    </xf>
    <xf borderId="12" fillId="2" fontId="5" numFmtId="165" xfId="0" applyAlignment="1" applyBorder="1" applyFont="1" applyNumberFormat="1">
      <alignment vertical="center"/>
    </xf>
    <xf borderId="0" fillId="0" fontId="25" numFmtId="166" xfId="0" applyAlignment="1" applyFont="1" applyNumberFormat="1">
      <alignment vertical="center"/>
    </xf>
    <xf borderId="0" fillId="0" fontId="25" numFmtId="164" xfId="0" applyAlignment="1" applyFont="1" applyNumberFormat="1">
      <alignment vertical="center"/>
    </xf>
    <xf borderId="0" fillId="0" fontId="4" numFmtId="165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4" numFmtId="3" xfId="0" applyAlignment="1" applyFont="1" applyNumberFormat="1">
      <alignment vertical="center"/>
    </xf>
    <xf borderId="0" fillId="0" fontId="32" numFmtId="0" xfId="0" applyFont="1"/>
    <xf borderId="0" fillId="0" fontId="1" numFmtId="164" xfId="0" applyFont="1" applyNumberFormat="1"/>
    <xf borderId="0" fillId="0" fontId="4" numFmtId="169" xfId="0" applyAlignment="1" applyFont="1" applyNumberFormat="1">
      <alignment shrinkToFit="0" vertical="center" wrapText="1"/>
    </xf>
    <xf borderId="0" fillId="0" fontId="10" numFmtId="169" xfId="0" applyAlignment="1" applyFont="1" applyNumberFormat="1">
      <alignment vertical="bottom"/>
    </xf>
    <xf borderId="0" fillId="0" fontId="1" numFmtId="0" xfId="0" applyAlignment="1" applyFont="1">
      <alignment shrinkToFit="0" vertical="center" wrapText="1"/>
    </xf>
    <xf borderId="1" fillId="8" fontId="18" numFmtId="169" xfId="0" applyAlignment="1" applyBorder="1" applyFont="1" applyNumberFormat="1">
      <alignment horizontal="center" shrinkToFit="0" vertical="center" wrapText="1"/>
    </xf>
    <xf borderId="11" fillId="0" fontId="5" numFmtId="169" xfId="0" applyAlignment="1" applyBorder="1" applyFont="1" applyNumberFormat="1">
      <alignment horizontal="right" shrinkToFit="0" vertical="center" wrapText="1"/>
    </xf>
    <xf borderId="11" fillId="0" fontId="4" numFmtId="169" xfId="0" applyAlignment="1" applyBorder="1" applyFont="1" applyNumberFormat="1">
      <alignment horizontal="right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11" fillId="0" fontId="4" numFmtId="169" xfId="0" applyAlignment="1" applyBorder="1" applyFont="1" applyNumberFormat="1">
      <alignment shrinkToFit="0" vertical="center" wrapText="1"/>
    </xf>
    <xf borderId="12" fillId="2" fontId="4" numFmtId="169" xfId="0" applyAlignment="1" applyBorder="1" applyFont="1" applyNumberFormat="1">
      <alignment shrinkToFit="0" vertical="center" wrapText="1"/>
    </xf>
    <xf borderId="0" fillId="0" fontId="4" numFmtId="169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171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10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1" fillId="8" fontId="18" numFmtId="0" xfId="0" applyAlignment="1" applyBorder="1" applyFont="1">
      <alignment horizontal="center" readingOrder="0" shrinkToFit="0" vertical="center" wrapText="1"/>
    </xf>
    <xf borderId="11" fillId="8" fontId="5" numFmtId="0" xfId="0" applyAlignment="1" applyBorder="1" applyFont="1">
      <alignment horizontal="center" shrinkToFit="0" vertical="center" wrapText="1"/>
    </xf>
    <xf borderId="11" fillId="8" fontId="5" numFmtId="171" xfId="0" applyAlignment="1" applyBorder="1" applyFont="1" applyNumberFormat="1">
      <alignment horizontal="center" shrinkToFit="0" vertical="center" wrapText="1"/>
    </xf>
    <xf borderId="11" fillId="8" fontId="5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11" fillId="0" fontId="4" numFmtId="171" xfId="0" applyAlignment="1" applyBorder="1" applyFont="1" applyNumberFormat="1">
      <alignment horizontal="right" shrinkToFit="0" vertical="center" wrapText="1"/>
    </xf>
    <xf borderId="11" fillId="0" fontId="4" numFmtId="164" xfId="0" applyAlignment="1" applyBorder="1" applyFont="1" applyNumberFormat="1">
      <alignment horizontal="righ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1" fillId="0" fontId="5" numFmtId="171" xfId="0" applyAlignment="1" applyBorder="1" applyFont="1" applyNumberFormat="1">
      <alignment horizontal="right" shrinkToFit="0" vertical="center" wrapText="1"/>
    </xf>
    <xf borderId="11" fillId="0" fontId="5" numFmtId="164" xfId="0" applyAlignment="1" applyBorder="1" applyFont="1" applyNumberFormat="1">
      <alignment horizontal="right" shrinkToFit="0" vertical="center" wrapText="1"/>
    </xf>
    <xf borderId="4" fillId="0" fontId="4" numFmtId="0" xfId="0" applyAlignment="1" applyBorder="1" applyFont="1">
      <alignment shrinkToFit="0" vertical="center" wrapText="1"/>
    </xf>
    <xf borderId="11" fillId="0" fontId="4" numFmtId="171" xfId="0" applyAlignment="1" applyBorder="1" applyFont="1" applyNumberFormat="1">
      <alignment shrinkToFit="0" vertical="center" wrapText="1"/>
    </xf>
    <xf borderId="11" fillId="0" fontId="4" numFmtId="164" xfId="0" applyAlignment="1" applyBorder="1" applyFont="1" applyNumberFormat="1">
      <alignment shrinkToFit="0" vertical="center" wrapText="1"/>
    </xf>
    <xf borderId="11" fillId="0" fontId="5" numFmtId="171" xfId="0" applyAlignment="1" applyBorder="1" applyFont="1" applyNumberFormat="1">
      <alignment shrinkToFit="0" vertical="center" wrapText="1"/>
    </xf>
    <xf borderId="11" fillId="0" fontId="5" numFmtId="4" xfId="0" applyAlignment="1" applyBorder="1" applyFont="1" applyNumberFormat="1">
      <alignment shrinkToFit="0" vertical="center" wrapText="1"/>
    </xf>
    <xf borderId="4" fillId="8" fontId="5" numFmtId="0" xfId="0" applyAlignment="1" applyBorder="1" applyFont="1">
      <alignment shrinkToFit="0" vertical="center" wrapText="1"/>
    </xf>
    <xf borderId="11" fillId="2" fontId="7" numFmtId="0" xfId="0" applyAlignment="1" applyBorder="1" applyFont="1">
      <alignment shrinkToFit="0" vertical="center" wrapText="1"/>
    </xf>
    <xf borderId="11" fillId="2" fontId="7" numFmtId="164" xfId="0" applyAlignment="1" applyBorder="1" applyFont="1" applyNumberFormat="1">
      <alignment horizontal="right" shrinkToFit="0" vertical="center" wrapText="1"/>
    </xf>
    <xf borderId="11" fillId="2" fontId="7" numFmtId="4" xfId="0" applyAlignment="1" applyBorder="1" applyFont="1" applyNumberFormat="1">
      <alignment horizontal="right" shrinkToFit="0" vertical="center" wrapText="1"/>
    </xf>
    <xf borderId="0" fillId="0" fontId="4" numFmtId="0" xfId="0" applyFont="1"/>
    <xf borderId="11" fillId="2" fontId="7" numFmtId="171" xfId="0" applyAlignment="1" applyBorder="1" applyFont="1" applyNumberFormat="1">
      <alignment horizontal="right" shrinkToFit="0" vertical="center" wrapText="1"/>
    </xf>
    <xf borderId="11" fillId="2" fontId="7" numFmtId="164" xfId="0" applyAlignment="1" applyBorder="1" applyFont="1" applyNumberFormat="1">
      <alignment horizontal="center" shrinkToFit="0" vertical="center" wrapText="1"/>
    </xf>
    <xf borderId="11" fillId="2" fontId="7" numFmtId="0" xfId="0" applyAlignment="1" applyBorder="1" applyFont="1">
      <alignment horizontal="center" shrinkToFit="0" wrapText="1"/>
    </xf>
    <xf borderId="11" fillId="2" fontId="7" numFmtId="0" xfId="0" applyAlignment="1" applyBorder="1" applyFont="1">
      <alignment shrinkToFit="0" wrapText="1"/>
    </xf>
    <xf borderId="11" fillId="2" fontId="7" numFmtId="4" xfId="0" applyAlignment="1" applyBorder="1" applyFont="1" applyNumberFormat="1">
      <alignment horizontal="right" shrinkToFit="0" wrapText="1"/>
    </xf>
    <xf borderId="11" fillId="0" fontId="7" numFmtId="0" xfId="0" applyAlignment="1" applyBorder="1" applyFont="1">
      <alignment horizontal="center" shrinkToFit="0" wrapText="1"/>
    </xf>
    <xf borderId="11" fillId="0" fontId="7" numFmtId="0" xfId="0" applyAlignment="1" applyBorder="1" applyFont="1">
      <alignment horizontal="left" shrinkToFit="0" wrapText="1"/>
    </xf>
    <xf borderId="11" fillId="0" fontId="7" numFmtId="4" xfId="0" applyAlignment="1" applyBorder="1" applyFont="1" applyNumberFormat="1">
      <alignment horizontal="right" shrinkToFit="0" wrapText="1"/>
    </xf>
    <xf borderId="11" fillId="0" fontId="8" numFmtId="4" xfId="0" applyAlignment="1" applyBorder="1" applyFont="1" applyNumberFormat="1">
      <alignment horizontal="right" shrinkToFit="0" vertical="center" wrapText="1"/>
    </xf>
    <xf borderId="4" fillId="3" fontId="5" numFmtId="165" xfId="0" applyAlignment="1" applyBorder="1" applyFont="1" applyNumberFormat="1">
      <alignment shrinkToFit="0" wrapText="1"/>
    </xf>
    <xf borderId="0" fillId="0" fontId="4" numFmtId="165" xfId="0" applyFont="1" applyNumberFormat="1"/>
    <xf borderId="11" fillId="2" fontId="4" numFmtId="165" xfId="0" applyBorder="1" applyFont="1" applyNumberFormat="1"/>
    <xf borderId="11" fillId="2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wrapText="1"/>
    </xf>
    <xf borderId="0" fillId="8" fontId="4" numFmtId="165" xfId="0" applyFont="1" applyNumberFormat="1"/>
    <xf borderId="0" fillId="8" fontId="4" numFmtId="0" xfId="0" applyFont="1"/>
    <xf borderId="0" fillId="8" fontId="37" numFmtId="0" xfId="0" applyFont="1"/>
    <xf borderId="11" fillId="2" fontId="4" numFmtId="0" xfId="0" applyAlignment="1" applyBorder="1" applyFont="1">
      <alignment horizontal="center" readingOrder="0" shrinkToFit="0" vertical="center" wrapText="1"/>
    </xf>
    <xf borderId="11" fillId="4" fontId="4" numFmtId="0" xfId="0" applyAlignment="1" applyBorder="1" applyFont="1">
      <alignment readingOrder="0" shrinkToFit="0" vertical="center" wrapText="1"/>
    </xf>
    <xf borderId="11" fillId="0" fontId="4" numFmtId="171" xfId="0" applyAlignment="1" applyBorder="1" applyFont="1" applyNumberFormat="1">
      <alignment horizontal="right" readingOrder="0" shrinkToFit="0" vertical="center" wrapText="1"/>
    </xf>
    <xf borderId="11" fillId="2" fontId="7" numFmtId="4" xfId="0" applyAlignment="1" applyBorder="1" applyFont="1" applyNumberFormat="1">
      <alignment horizontal="right" readingOrder="0" shrinkToFit="0" vertical="center" wrapText="1"/>
    </xf>
    <xf borderId="0" fillId="0" fontId="4" numFmtId="165" xfId="0" applyAlignment="1" applyFont="1" applyNumberFormat="1">
      <alignment vertical="center"/>
    </xf>
    <xf borderId="11" fillId="0" fontId="5" numFmtId="171" xfId="0" applyAlignment="1" applyBorder="1" applyFont="1" applyNumberFormat="1">
      <alignment horizontal="right" shrinkToFit="0" wrapText="1"/>
    </xf>
    <xf borderId="4" fillId="6" fontId="5" numFmtId="0" xfId="0" applyAlignment="1" applyBorder="1" applyFont="1">
      <alignment shrinkToFit="0" wrapText="1"/>
    </xf>
    <xf borderId="0" fillId="0" fontId="10" numFmtId="0" xfId="0" applyFont="1"/>
    <xf borderId="11" fillId="0" fontId="4" numFmtId="171" xfId="0" applyAlignment="1" applyBorder="1" applyFont="1" applyNumberFormat="1">
      <alignment horizontal="center" shrinkToFit="0" vertical="center" wrapText="1"/>
    </xf>
    <xf borderId="11" fillId="0" fontId="4" numFmtId="164" xfId="0" applyAlignment="1" applyBorder="1" applyFont="1" applyNumberFormat="1">
      <alignment horizontal="center" readingOrder="0" shrinkToFit="0" vertical="center" wrapText="1"/>
    </xf>
    <xf borderId="11" fillId="0" fontId="4" numFmtId="3" xfId="0" applyAlignment="1" applyBorder="1" applyFont="1" applyNumberFormat="1">
      <alignment horizontal="center" shrinkToFit="0" vertical="center" wrapText="1"/>
    </xf>
    <xf borderId="11" fillId="0" fontId="4" numFmtId="164" xfId="0" applyAlignment="1" applyBorder="1" applyFont="1" applyNumberFormat="1">
      <alignment horizontal="center" shrinkToFit="0" vertical="center" wrapText="1"/>
    </xf>
    <xf borderId="11" fillId="0" fontId="10" numFmtId="0" xfId="0" applyAlignment="1" applyBorder="1" applyFont="1">
      <alignment horizontal="center" vertical="center"/>
    </xf>
    <xf borderId="11" fillId="0" fontId="10" numFmtId="171" xfId="0" applyBorder="1" applyFont="1" applyNumberFormat="1"/>
    <xf borderId="11" fillId="0" fontId="5" numFmtId="4" xfId="0" applyAlignment="1" applyBorder="1" applyFont="1" applyNumberFormat="1">
      <alignment horizontal="right" shrinkToFit="0" wrapText="1"/>
    </xf>
    <xf borderId="4" fillId="6" fontId="5" numFmtId="0" xfId="0" applyAlignment="1" applyBorder="1" applyFont="1">
      <alignment shrinkToFit="0" wrapText="1"/>
    </xf>
    <xf borderId="11" fillId="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 vertical="center"/>
    </xf>
    <xf borderId="11" fillId="0" fontId="4" numFmtId="171" xfId="0" applyAlignment="1" applyBorder="1" applyFont="1" applyNumberFormat="1">
      <alignment horizontal="center" vertical="bottom"/>
    </xf>
    <xf borderId="11" fillId="0" fontId="4" numFmtId="164" xfId="0" applyAlignment="1" applyBorder="1" applyFont="1" applyNumberFormat="1">
      <alignment readingOrder="0" vertical="bottom"/>
    </xf>
    <xf borderId="11" fillId="0" fontId="4" numFmtId="0" xfId="0" applyAlignment="1" applyBorder="1" applyFont="1">
      <alignment vertical="bottom"/>
    </xf>
    <xf borderId="11" fillId="0" fontId="4" numFmtId="171" xfId="0" applyAlignment="1" applyBorder="1" applyFont="1" applyNumberFormat="1">
      <alignment vertical="bottom"/>
    </xf>
    <xf borderId="11" fillId="0" fontId="4" numFmtId="3" xfId="0" applyAlignment="1" applyBorder="1" applyFont="1" applyNumberFormat="1">
      <alignment horizontal="center" vertical="bottom"/>
    </xf>
    <xf borderId="11" fillId="0" fontId="4" numFmtId="3" xfId="0" applyAlignment="1" applyBorder="1" applyFont="1" applyNumberForma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171" xfId="0" applyAlignment="1" applyFont="1" applyNumberFormat="1">
      <alignment horizontal="right" shrinkToFit="0" wrapText="1"/>
    </xf>
    <xf borderId="0" fillId="0" fontId="5" numFmtId="4" xfId="0" applyAlignment="1" applyFont="1" applyNumberFormat="1">
      <alignment horizontal="right" shrinkToFit="0" wrapText="1"/>
    </xf>
    <xf borderId="0" fillId="0" fontId="4" numFmtId="164" xfId="0" applyAlignment="1" applyFont="1" applyNumberFormat="1">
      <alignment readingOrder="0" vertical="center"/>
    </xf>
    <xf borderId="12" fillId="2" fontId="9" numFmtId="165" xfId="0" applyAlignment="1" applyBorder="1" applyFont="1" applyNumberFormat="1">
      <alignment horizontal="center" vertical="center"/>
    </xf>
    <xf borderId="12" fillId="2" fontId="10" numFmtId="165" xfId="0" applyAlignment="1" applyBorder="1" applyFont="1" applyNumberFormat="1">
      <alignment horizontal="center" vertical="center"/>
    </xf>
    <xf borderId="0" fillId="0" fontId="10" numFmtId="166" xfId="0" applyFont="1" applyNumberFormat="1"/>
    <xf borderId="12" fillId="2" fontId="5" numFmtId="165" xfId="0" applyAlignment="1" applyBorder="1" applyFont="1" applyNumberFormat="1">
      <alignment horizontal="center" vertical="center"/>
    </xf>
    <xf borderId="12" fillId="2" fontId="10" numFmtId="164" xfId="0" applyBorder="1" applyFont="1" applyNumberFormat="1"/>
    <xf borderId="0" fillId="0" fontId="4" numFmtId="166" xfId="0" applyFont="1" applyNumberFormat="1"/>
    <xf borderId="0" fillId="0" fontId="11" numFmtId="0" xfId="0" applyAlignment="1" applyFont="1">
      <alignment horizontal="center" vertical="center"/>
    </xf>
    <xf borderId="0" fillId="0" fontId="2" numFmtId="172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38" numFmtId="0" xfId="0" applyFont="1"/>
    <xf borderId="0" fillId="0" fontId="38" numFmtId="171" xfId="0" applyFont="1" applyNumberFormat="1"/>
    <xf borderId="0" fillId="0" fontId="38" numFmtId="4" xfId="0" applyFont="1" applyNumberFormat="1"/>
    <xf borderId="11" fillId="8" fontId="5" numFmtId="4" xfId="0" applyAlignment="1" applyBorder="1" applyFont="1" applyNumberFormat="1">
      <alignment horizontal="center" shrinkToFit="0" vertical="center" wrapText="1"/>
    </xf>
    <xf borderId="12" fillId="8" fontId="38" numFmtId="0" xfId="0" applyAlignment="1" applyBorder="1" applyFont="1">
      <alignment vertical="center"/>
    </xf>
    <xf borderId="0" fillId="8" fontId="38" numFmtId="0" xfId="0" applyAlignment="1" applyFont="1">
      <alignment vertical="center"/>
    </xf>
    <xf borderId="4" fillId="8" fontId="5" numFmtId="0" xfId="0" applyAlignment="1" applyBorder="1" applyFont="1">
      <alignment readingOrder="0" shrinkToFit="0" wrapText="1"/>
    </xf>
    <xf borderId="0" fillId="0" fontId="38" numFmtId="0" xfId="0" applyAlignment="1" applyFont="1">
      <alignment vertical="center"/>
    </xf>
    <xf borderId="11" fillId="2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readingOrder="0" shrinkToFit="0" vertical="center" wrapText="1"/>
    </xf>
    <xf borderId="11" fillId="2" fontId="38" numFmtId="0" xfId="0" applyAlignment="1" applyBorder="1" applyFont="1">
      <alignment vertical="center"/>
    </xf>
    <xf borderId="11" fillId="2" fontId="38" numFmtId="171" xfId="0" applyAlignment="1" applyBorder="1" applyFont="1" applyNumberFormat="1">
      <alignment vertical="center"/>
    </xf>
    <xf borderId="11" fillId="2" fontId="38" numFmtId="4" xfId="0" applyAlignment="1" applyBorder="1" applyFont="1" applyNumberFormat="1">
      <alignment vertical="center"/>
    </xf>
    <xf borderId="11" fillId="2" fontId="5" numFmtId="171" xfId="0" applyAlignment="1" applyBorder="1" applyFont="1" applyNumberFormat="1">
      <alignment horizontal="right" shrinkToFit="0" vertical="center" wrapText="1"/>
    </xf>
    <xf borderId="12" fillId="2" fontId="22" numFmtId="165" xfId="0" applyBorder="1" applyFont="1" applyNumberFormat="1"/>
    <xf borderId="12" fillId="2" fontId="38" numFmtId="0" xfId="0" applyBorder="1" applyFont="1"/>
    <xf borderId="12" fillId="2" fontId="38" numFmtId="165" xfId="0" applyBorder="1" applyFont="1" applyNumberFormat="1"/>
    <xf borderId="12" fillId="2" fontId="9" numFmtId="0" xfId="0" applyBorder="1" applyFont="1"/>
    <xf borderId="12" fillId="2" fontId="38" numFmtId="166" xfId="0" applyBorder="1" applyFont="1" applyNumberFormat="1"/>
    <xf borderId="12" fillId="2" fontId="38" numFmtId="164" xfId="0" applyBorder="1" applyFont="1" applyNumberFormat="1"/>
    <xf borderId="0" fillId="0" fontId="38" numFmtId="3" xfId="0" applyFont="1" applyNumberFormat="1"/>
    <xf borderId="0" fillId="0" fontId="38" numFmtId="164" xfId="0" applyFont="1" applyNumberFormat="1"/>
    <xf borderId="0" fillId="0" fontId="38" numFmtId="166" xfId="0" applyFont="1" applyNumberFormat="1"/>
    <xf borderId="0" fillId="0" fontId="38" numFmtId="165" xfId="0" applyFont="1" applyNumberFormat="1"/>
    <xf borderId="0" fillId="0" fontId="2" numFmtId="1" xfId="0" applyAlignment="1" applyFont="1" applyNumberFormat="1">
      <alignment vertical="center"/>
    </xf>
    <xf borderId="0" fillId="0" fontId="10" numFmtId="1" xfId="0" applyAlignment="1" applyFont="1" applyNumberFormat="1">
      <alignment vertical="bottom"/>
    </xf>
    <xf borderId="0" fillId="0" fontId="1" numFmtId="164" xfId="0" applyAlignment="1" applyFont="1" applyNumberForma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4" numFmtId="1" xfId="0" applyAlignment="1" applyFont="1" applyNumberFormat="1">
      <alignment vertical="center"/>
    </xf>
    <xf borderId="4" fillId="8" fontId="5" numFmtId="1" xfId="0" applyAlignment="1" applyBorder="1" applyFont="1" applyNumberFormat="1">
      <alignment horizontal="center" shrinkToFit="0" vertical="center" wrapText="1"/>
    </xf>
    <xf borderId="1" fillId="8" fontId="5" numFmtId="1" xfId="0" applyAlignment="1" applyBorder="1" applyFont="1" applyNumberFormat="1">
      <alignment horizontal="center" shrinkToFit="0" vertical="center" wrapText="1"/>
    </xf>
    <xf borderId="11" fillId="4" fontId="5" numFmtId="0" xfId="0" applyAlignment="1" applyBorder="1" applyFont="1">
      <alignment shrinkToFit="0" vertical="center" wrapText="1"/>
    </xf>
    <xf borderId="11" fillId="4" fontId="4" numFmtId="0" xfId="0" applyAlignment="1" applyBorder="1" applyFont="1">
      <alignment horizontal="center" vertical="center"/>
    </xf>
    <xf borderId="11" fillId="4" fontId="4" numFmtId="1" xfId="0" applyAlignment="1" applyBorder="1" applyFont="1" applyNumberFormat="1">
      <alignment vertical="center"/>
    </xf>
    <xf borderId="11" fillId="4" fontId="5" numFmtId="4" xfId="0" applyAlignment="1" applyBorder="1" applyFont="1" applyNumberFormat="1">
      <alignment vertical="center"/>
    </xf>
    <xf borderId="11" fillId="0" fontId="4" numFmtId="1" xfId="0" applyAlignment="1" applyBorder="1" applyFont="1" applyNumberFormat="1">
      <alignment vertical="center"/>
    </xf>
    <xf borderId="11" fillId="0" fontId="5" numFmtId="4" xfId="0" applyAlignment="1" applyBorder="1" applyFont="1" applyNumberFormat="1">
      <alignment horizontal="right" shrinkToFit="0" vertical="center" wrapText="1"/>
    </xf>
    <xf borderId="11" fillId="0" fontId="5" numFmtId="1" xfId="0" applyAlignment="1" applyBorder="1" applyFont="1" applyNumberFormat="1">
      <alignment horizontal="right" shrinkToFit="0" vertical="center" wrapText="1"/>
    </xf>
    <xf borderId="11" fillId="0" fontId="4" numFmtId="169" xfId="0" applyAlignment="1" applyBorder="1" applyFont="1" applyNumberFormat="1">
      <alignment vertical="center"/>
    </xf>
    <xf borderId="11" fillId="0" fontId="4" numFmtId="4" xfId="0" applyAlignment="1" applyBorder="1" applyFont="1" applyNumberFormat="1">
      <alignment readingOrder="0" vertical="center"/>
    </xf>
    <xf borderId="11" fillId="0" fontId="4" numFmtId="4" xfId="0" applyAlignment="1" applyBorder="1" applyFont="1" applyNumberFormat="1">
      <alignment shrinkToFit="0" vertical="center" wrapText="1"/>
    </xf>
    <xf borderId="11" fillId="0" fontId="4" numFmtId="173" xfId="0" applyAlignment="1" applyBorder="1" applyFont="1" applyNumberFormat="1">
      <alignment vertical="center"/>
    </xf>
    <xf borderId="11" fillId="0" fontId="4" numFmtId="1" xfId="0" applyAlignment="1" applyBorder="1" applyFont="1" applyNumberFormat="1">
      <alignment horizontal="right" shrinkToFit="0" vertical="center" wrapText="1"/>
    </xf>
    <xf borderId="11" fillId="0" fontId="4" numFmtId="172" xfId="0" applyAlignment="1" applyBorder="1" applyFont="1" applyNumberFormat="1">
      <alignment vertical="center"/>
    </xf>
    <xf borderId="11" fillId="0" fontId="4" numFmtId="1" xfId="0" applyAlignment="1" applyBorder="1" applyFont="1" applyNumberFormat="1">
      <alignment shrinkToFit="0" vertical="center" wrapText="1"/>
    </xf>
    <xf borderId="11" fillId="0" fontId="5" numFmtId="1" xfId="0" applyAlignment="1" applyBorder="1" applyFont="1" applyNumberFormat="1">
      <alignment vertical="center"/>
    </xf>
    <xf borderId="11" fillId="0" fontId="4" numFmtId="1" xfId="0" applyAlignment="1" applyBorder="1" applyFont="1" applyNumberFormat="1">
      <alignment horizontal="right" vertical="center"/>
    </xf>
    <xf borderId="11" fillId="0" fontId="5" numFmtId="0" xfId="0" applyAlignment="1" applyBorder="1" applyFont="1">
      <alignment shrinkToFit="0" wrapText="1"/>
    </xf>
    <xf borderId="11" fillId="0" fontId="4" numFmtId="1" xfId="0" applyBorder="1" applyFont="1" applyNumberFormat="1"/>
    <xf borderId="11" fillId="0" fontId="4" numFmtId="4" xfId="0" applyBorder="1" applyFont="1" applyNumberFormat="1"/>
    <xf borderId="11" fillId="0" fontId="4" numFmtId="0" xfId="0" applyAlignment="1" applyBorder="1" applyFont="1">
      <alignment shrinkToFit="0" wrapText="1"/>
    </xf>
    <xf borderId="11" fillId="0" fontId="4" numFmtId="0" xfId="0" applyAlignment="1" applyBorder="1" applyFont="1">
      <alignment horizontal="center" shrinkToFit="0" wrapText="1"/>
    </xf>
    <xf borderId="11" fillId="0" fontId="4" numFmtId="4" xfId="0" applyAlignment="1" applyBorder="1" applyFont="1" applyNumberFormat="1">
      <alignment readingOrder="0"/>
    </xf>
    <xf borderId="11" fillId="2" fontId="4" numFmtId="1" xfId="0" applyBorder="1" applyFont="1" applyNumberFormat="1"/>
    <xf borderId="11" fillId="0" fontId="5" numFmtId="1" xfId="0" applyAlignment="1" applyBorder="1" applyFont="1" applyNumberFormat="1">
      <alignment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0" fillId="0" fontId="4" numFmtId="4" xfId="0" applyFont="1" applyNumberFormat="1"/>
    <xf borderId="2" fillId="8" fontId="8" numFmtId="3" xfId="0" applyAlignment="1" applyBorder="1" applyFont="1" applyNumberFormat="1">
      <alignment horizontal="center" shrinkToFit="0" vertical="center" wrapText="1"/>
    </xf>
    <xf borderId="2" fillId="5" fontId="5" numFmtId="3" xfId="0" applyAlignment="1" applyBorder="1" applyFont="1" applyNumberFormat="1">
      <alignment horizontal="center" shrinkToFit="0" wrapText="1"/>
    </xf>
    <xf borderId="1" fillId="7" fontId="5" numFmtId="0" xfId="0" applyAlignment="1" applyBorder="1" applyFont="1">
      <alignment horizontal="center" shrinkToFit="0" vertical="center" wrapText="1"/>
    </xf>
    <xf borderId="1" fillId="6" fontId="5" numFmtId="164" xfId="0" applyAlignment="1" applyBorder="1" applyFont="1" applyNumberFormat="1">
      <alignment horizontal="center" shrinkToFit="0" vertical="center" wrapText="1"/>
    </xf>
    <xf borderId="1" fillId="5" fontId="5" numFmtId="3" xfId="0" applyAlignment="1" applyBorder="1" applyFont="1" applyNumberFormat="1">
      <alignment horizontal="center" shrinkToFit="0" wrapText="1"/>
    </xf>
    <xf borderId="1" fillId="5" fontId="5" numFmtId="164" xfId="0" applyAlignment="1" applyBorder="1" applyFont="1" applyNumberFormat="1">
      <alignment horizontal="center" shrinkToFit="0" wrapText="1"/>
    </xf>
    <xf borderId="11" fillId="0" fontId="4" numFmtId="4" xfId="0" applyAlignment="1" applyBorder="1" applyFont="1" applyNumberFormat="1">
      <alignment horizontal="right"/>
    </xf>
    <xf borderId="11" fillId="0" fontId="5" numFmtId="4" xfId="0" applyAlignment="1" applyBorder="1" applyFont="1" applyNumberFormat="1">
      <alignment horizontal="right"/>
    </xf>
    <xf borderId="9" fillId="2" fontId="4" numFmtId="164" xfId="0" applyAlignment="1" applyBorder="1" applyFont="1" applyNumberFormat="1">
      <alignment horizontal="left" readingOrder="0"/>
    </xf>
    <xf borderId="11" fillId="2" fontId="4" numFmtId="0" xfId="0" applyAlignment="1" applyBorder="1" applyFont="1">
      <alignment horizontal="center" readingOrder="0" vertical="center"/>
    </xf>
    <xf quotePrefix="1" borderId="11" fillId="2" fontId="4" numFmtId="0" xfId="0" applyAlignment="1" applyBorder="1" applyFont="1">
      <alignment vertical="center"/>
    </xf>
    <xf borderId="11" fillId="2" fontId="7" numFmtId="0" xfId="0" applyAlignment="1" applyBorder="1" applyFont="1">
      <alignment horizontal="left" vertical="center"/>
    </xf>
    <xf borderId="11" fillId="2" fontId="7" numFmtId="0" xfId="0" applyAlignment="1" applyBorder="1" applyFont="1">
      <alignment horizontal="center" vertical="center"/>
    </xf>
    <xf borderId="11" fillId="0" fontId="4" numFmtId="2" xfId="0" applyAlignment="1" applyBorder="1" applyFont="1" applyNumberFormat="1">
      <alignment vertical="center"/>
    </xf>
    <xf borderId="11" fillId="0" fontId="4" numFmtId="2" xfId="0" applyBorder="1" applyFont="1" applyNumberFormat="1"/>
    <xf borderId="11" fillId="2" fontId="5" numFmtId="0" xfId="0" applyAlignment="1" applyBorder="1" applyFont="1">
      <alignment horizontal="center" vertical="center"/>
    </xf>
    <xf borderId="11" fillId="2" fontId="5" numFmtId="174" xfId="0" applyAlignment="1" applyBorder="1" applyFont="1" applyNumberFormat="1">
      <alignment horizontal="right" vertical="center"/>
    </xf>
    <xf borderId="11" fillId="2" fontId="5" numFmtId="4" xfId="0" applyAlignment="1" applyBorder="1" applyFont="1" applyNumberFormat="1">
      <alignment horizontal="right" vertical="center"/>
    </xf>
    <xf borderId="11" fillId="2" fontId="5" numFmtId="4" xfId="0" applyAlignment="1" applyBorder="1" applyFont="1" applyNumberFormat="1">
      <alignment horizontal="right"/>
    </xf>
    <xf borderId="12" fillId="2" fontId="4" numFmtId="166" xfId="0" applyAlignment="1" applyBorder="1" applyFont="1" applyNumberFormat="1">
      <alignment vertical="top"/>
    </xf>
    <xf borderId="12" fillId="2" fontId="4" numFmtId="166" xfId="0" applyBorder="1" applyFont="1" applyNumberFormat="1"/>
    <xf borderId="0" fillId="0" fontId="4" numFmtId="164" xfId="0" applyFont="1" applyNumberFormat="1"/>
    <xf borderId="0" fillId="0" fontId="7" numFmtId="4" xfId="0" applyAlignment="1" applyFont="1" applyNumberFormat="1">
      <alignment vertical="center"/>
    </xf>
    <xf borderId="0" fillId="0" fontId="2" numFmtId="3" xfId="0" applyAlignment="1" applyFont="1" applyNumberFormat="1">
      <alignment horizontal="right" vertical="center"/>
    </xf>
    <xf borderId="0" fillId="0" fontId="10" numFmtId="3" xfId="0" applyAlignment="1" applyFont="1" applyNumberFormat="1">
      <alignment vertical="bottom"/>
    </xf>
    <xf borderId="0" fillId="0" fontId="26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0" fillId="0" fontId="27" numFmtId="164" xfId="0" applyAlignment="1" applyFont="1" applyNumberFormat="1">
      <alignment vertical="center"/>
    </xf>
    <xf borderId="0" fillId="0" fontId="27" numFmtId="3" xfId="0" applyAlignment="1" applyFont="1" applyNumberFormat="1">
      <alignment horizontal="right" vertical="center"/>
    </xf>
    <xf borderId="0" fillId="0" fontId="27" numFmtId="4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7" numFmtId="3" xfId="0" applyAlignment="1" applyFont="1" applyNumberFormat="1">
      <alignment horizontal="right" vertical="center"/>
    </xf>
    <xf borderId="2" fillId="3" fontId="5" numFmtId="3" xfId="0" applyAlignment="1" applyBorder="1" applyFont="1" applyNumberFormat="1">
      <alignment horizontal="center" shrinkToFit="0" vertical="bottom" wrapText="1"/>
    </xf>
    <xf borderId="4" fillId="8" fontId="5" numFmtId="3" xfId="0" applyAlignment="1" applyBorder="1" applyFont="1" applyNumberFormat="1">
      <alignment horizontal="center" shrinkToFit="0" vertical="center" wrapText="1"/>
    </xf>
    <xf borderId="21" fillId="3" fontId="18" numFmtId="0" xfId="0" applyAlignment="1" applyBorder="1" applyFont="1">
      <alignment horizontal="center" shrinkToFit="0" vertical="center" wrapText="1"/>
    </xf>
    <xf borderId="22" fillId="0" fontId="6" numFmtId="0" xfId="0" applyBorder="1" applyFont="1"/>
    <xf borderId="8" fillId="3" fontId="5" numFmtId="4" xfId="0" applyAlignment="1" applyBorder="1" applyFont="1" applyNumberFormat="1">
      <alignment horizontal="center" shrinkToFit="0" vertical="bottom" wrapText="1"/>
    </xf>
    <xf borderId="1" fillId="8" fontId="5" numFmtId="3" xfId="0" applyAlignment="1" applyBorder="1" applyFont="1" applyNumberFormat="1">
      <alignment horizontal="center" shrinkToFit="0" vertical="center" wrapText="1"/>
    </xf>
    <xf borderId="1" fillId="8" fontId="5" numFmtId="4" xfId="0" applyAlignment="1" applyBorder="1" applyFont="1" applyNumberFormat="1">
      <alignment horizontal="center" shrinkToFit="0" vertical="center" wrapText="1"/>
    </xf>
    <xf borderId="1" fillId="8" fontId="5" numFmtId="164" xfId="0" applyAlignment="1" applyBorder="1" applyFont="1" applyNumberFormat="1">
      <alignment horizontal="center" shrinkToFit="0" vertical="center" wrapText="1"/>
    </xf>
    <xf borderId="23" fillId="0" fontId="6" numFmtId="0" xfId="0" applyBorder="1" applyFont="1"/>
    <xf borderId="10" fillId="3" fontId="5" numFmtId="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shrinkToFit="0" wrapText="1"/>
    </xf>
    <xf borderId="11" fillId="0" fontId="4" numFmtId="4" xfId="0" applyAlignment="1" applyBorder="1" applyFont="1" applyNumberFormat="1">
      <alignment shrinkToFit="0" wrapText="1"/>
    </xf>
    <xf borderId="11" fillId="0" fontId="4" numFmtId="3" xfId="0" applyAlignment="1" applyBorder="1" applyFont="1" applyNumberFormat="1">
      <alignment horizontal="right" shrinkToFit="0" wrapText="1"/>
    </xf>
    <xf borderId="11" fillId="0" fontId="4" numFmtId="3" xfId="0" applyAlignment="1" applyBorder="1" applyFont="1" applyNumberFormat="1">
      <alignment shrinkToFit="0" wrapText="1"/>
    </xf>
    <xf borderId="11" fillId="0" fontId="4" numFmtId="164" xfId="0" applyAlignment="1" applyBorder="1" applyFont="1" applyNumberFormat="1">
      <alignment shrinkToFit="0" wrapText="1"/>
    </xf>
    <xf borderId="11" fillId="0" fontId="4" numFmtId="169" xfId="0" applyAlignment="1" applyBorder="1" applyFont="1" applyNumberFormat="1">
      <alignment shrinkToFit="0" wrapText="1"/>
    </xf>
    <xf borderId="11" fillId="0" fontId="4" numFmtId="4" xfId="0" applyAlignment="1" applyBorder="1" applyFont="1" applyNumberFormat="1">
      <alignment horizontal="right" shrinkToFit="0" wrapText="1"/>
    </xf>
    <xf borderId="11" fillId="0" fontId="7" numFmtId="169" xfId="0" applyAlignment="1" applyBorder="1" applyFont="1" applyNumberFormat="1">
      <alignment horizontal="center" shrinkToFit="0" wrapText="1"/>
    </xf>
    <xf borderId="11" fillId="0" fontId="7" numFmtId="3" xfId="0" applyAlignment="1" applyBorder="1" applyFont="1" applyNumberFormat="1">
      <alignment horizontal="right" shrinkToFit="0" wrapText="1"/>
    </xf>
    <xf borderId="11" fillId="0" fontId="4" numFmtId="2" xfId="0" applyAlignment="1" applyBorder="1" applyFont="1" applyNumberFormat="1">
      <alignment shrinkToFit="0" wrapText="1"/>
    </xf>
    <xf borderId="11" fillId="0" fontId="5" numFmtId="0" xfId="0" applyAlignment="1" applyBorder="1" applyFont="1">
      <alignment horizontal="center" shrinkToFit="0" wrapText="1"/>
    </xf>
    <xf borderId="11" fillId="0" fontId="5" numFmtId="169" xfId="0" applyAlignment="1" applyBorder="1" applyFont="1" applyNumberFormat="1">
      <alignment horizontal="center" shrinkToFit="0" wrapText="1"/>
    </xf>
    <xf borderId="11" fillId="0" fontId="5" numFmtId="3" xfId="0" applyAlignment="1" applyBorder="1" applyFont="1" applyNumberFormat="1">
      <alignment horizontal="right" shrinkToFit="0" wrapText="1"/>
    </xf>
    <xf borderId="11" fillId="0" fontId="5" numFmtId="4" xfId="0" applyAlignment="1" applyBorder="1" applyFont="1" applyNumberFormat="1">
      <alignment horizontal="center" shrinkToFit="0" wrapText="1"/>
    </xf>
    <xf borderId="11" fillId="0" fontId="5" numFmtId="3" xfId="0" applyAlignment="1" applyBorder="1" applyFont="1" applyNumberFormat="1">
      <alignment horizontal="center" shrinkToFit="0" wrapText="1"/>
    </xf>
    <xf borderId="0" fillId="0" fontId="38" numFmtId="3" xfId="0" applyAlignment="1" applyFont="1" applyNumberFormat="1">
      <alignment horizontal="right"/>
    </xf>
    <xf borderId="0" fillId="0" fontId="1" numFmtId="4" xfId="0" applyAlignment="1" applyFont="1" applyNumberFormat="1">
      <alignment horizontal="center" vertical="center"/>
    </xf>
    <xf borderId="0" fillId="0" fontId="10" numFmtId="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1" fillId="2" fontId="5" numFmtId="0" xfId="0" applyAlignment="1" applyBorder="1" applyFont="1">
      <alignment horizontal="left" shrinkToFit="0" vertical="center" wrapText="1"/>
    </xf>
    <xf borderId="1" fillId="2" fontId="18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4" fillId="2" fontId="18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center" shrinkToFit="0" vertical="center" wrapText="1"/>
    </xf>
    <xf borderId="1" fillId="3" fontId="39" numFmtId="0" xfId="0" applyAlignment="1" applyBorder="1" applyFont="1">
      <alignment horizontal="center" shrinkToFit="0" vertical="center" wrapText="1"/>
    </xf>
    <xf borderId="11" fillId="2" fontId="18" numFmtId="0" xfId="0" applyAlignment="1" applyBorder="1" applyFont="1">
      <alignment horizontal="center" shrinkToFit="0" vertical="center" wrapText="1"/>
    </xf>
    <xf borderId="11" fillId="0" fontId="4" numFmtId="169" xfId="0" applyAlignment="1" applyBorder="1" applyFont="1" applyNumberFormat="1">
      <alignment horizontal="right" vertical="center"/>
    </xf>
    <xf borderId="11" fillId="0" fontId="4" numFmtId="175" xfId="0" applyAlignment="1" applyBorder="1" applyFont="1" applyNumberFormat="1">
      <alignment vertical="center"/>
    </xf>
    <xf borderId="11" fillId="0" fontId="4" numFmtId="169" xfId="0" applyAlignment="1" applyBorder="1" applyFont="1" applyNumberFormat="1">
      <alignment horizontal="left" vertical="center"/>
    </xf>
    <xf borderId="11" fillId="0" fontId="10" numFmtId="169" xfId="0" applyAlignment="1" applyBorder="1" applyFont="1" applyNumberFormat="1">
      <alignment vertical="center"/>
    </xf>
    <xf borderId="11" fillId="0" fontId="4" numFmtId="169" xfId="0" applyAlignment="1" applyBorder="1" applyFont="1" applyNumberFormat="1">
      <alignment horizontal="left" shrinkToFit="0" vertical="center" wrapText="1"/>
    </xf>
    <xf borderId="4" fillId="0" fontId="5" numFmtId="169" xfId="0" applyAlignment="1" applyBorder="1" applyFont="1" applyNumberFormat="1">
      <alignment horizontal="left" vertical="center"/>
    </xf>
    <xf borderId="6" fillId="0" fontId="5" numFmtId="169" xfId="0" applyAlignment="1" applyBorder="1" applyFont="1" applyNumberFormat="1">
      <alignment horizontal="left" vertical="center"/>
    </xf>
    <xf borderId="11" fillId="0" fontId="10" numFmtId="0" xfId="0" applyAlignment="1" applyBorder="1" applyFont="1">
      <alignment vertical="center"/>
    </xf>
    <xf borderId="11" fillId="0" fontId="4" numFmtId="169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vertical="center" wrapText="1"/>
    </xf>
    <xf borderId="11" fillId="0" fontId="19" numFmtId="169" xfId="0" applyAlignment="1" applyBorder="1" applyFont="1" applyNumberFormat="1">
      <alignment horizontal="right" vertical="center"/>
    </xf>
    <xf borderId="11" fillId="0" fontId="39" numFmtId="169" xfId="0" applyAlignment="1" applyBorder="1" applyFont="1" applyNumberFormat="1">
      <alignment horizontal="left" vertical="center"/>
    </xf>
    <xf borderId="11" fillId="0" fontId="4" numFmtId="0" xfId="0" applyAlignment="1" applyBorder="1" applyFont="1">
      <alignment vertical="center"/>
    </xf>
    <xf borderId="11" fillId="0" fontId="40" numFmtId="169" xfId="0" applyAlignment="1" applyBorder="1" applyFont="1" applyNumberFormat="1">
      <alignment horizontal="left" shrinkToFit="0" vertical="center" wrapText="1"/>
    </xf>
    <xf borderId="11" fillId="0" fontId="5" numFmtId="169" xfId="0" applyAlignment="1" applyBorder="1" applyFont="1" applyNumberFormat="1">
      <alignment horizontal="left" vertical="center"/>
    </xf>
    <xf borderId="11" fillId="0" fontId="5" numFmtId="169" xfId="0" applyAlignment="1" applyBorder="1" applyFont="1" applyNumberFormat="1">
      <alignment horizontal="right" vertical="center"/>
    </xf>
    <xf borderId="0" fillId="0" fontId="10" numFmtId="169" xfId="0" applyAlignment="1" applyFont="1" applyNumberFormat="1">
      <alignment horizontal="left" vertical="center"/>
    </xf>
    <xf borderId="0" fillId="0" fontId="10" numFmtId="0" xfId="0" applyAlignment="1" applyFont="1">
      <alignment vertical="center"/>
    </xf>
    <xf borderId="12" fillId="2" fontId="40" numFmtId="165" xfId="0" applyAlignment="1" applyBorder="1" applyFont="1" applyNumberFormat="1">
      <alignment horizontal="left" shrinkToFit="0" vertical="center" wrapText="1"/>
    </xf>
    <xf borderId="0" fillId="0" fontId="10" numFmtId="165" xfId="0" applyAlignment="1" applyFont="1" applyNumberFormat="1">
      <alignment vertical="center"/>
    </xf>
    <xf borderId="12" fillId="2" fontId="40" numFmtId="165" xfId="0" applyAlignment="1" applyBorder="1" applyFont="1" applyNumberFormat="1">
      <alignment vertical="center"/>
    </xf>
    <xf borderId="0" fillId="2" fontId="10" numFmtId="165" xfId="0" applyAlignment="1" applyFont="1" applyNumberFormat="1">
      <alignment vertical="center"/>
    </xf>
    <xf borderId="0" fillId="0" fontId="10" numFmtId="0" xfId="0" applyAlignment="1" applyFont="1">
      <alignment vertical="bottom"/>
    </xf>
    <xf borderId="12" fillId="2" fontId="10" numFmtId="165" xfId="0" applyAlignment="1" applyBorder="1" applyFont="1" applyNumberFormat="1">
      <alignment horizontal="left" vertical="center"/>
    </xf>
    <xf borderId="12" fillId="2" fontId="10" numFmtId="165" xfId="0" applyAlignment="1" applyBorder="1" applyFont="1" applyNumberFormat="1">
      <alignment vertical="center"/>
    </xf>
    <xf borderId="12" fillId="2" fontId="39" numFmtId="165" xfId="0" applyAlignment="1" applyBorder="1" applyFont="1" applyNumberFormat="1">
      <alignment horizontal="left" vertical="center"/>
    </xf>
    <xf borderId="12" fillId="2" fontId="39" numFmtId="165" xfId="0" applyAlignment="1" applyBorder="1" applyFont="1" applyNumberFormat="1">
      <alignment vertical="center"/>
    </xf>
    <xf borderId="12" fillId="2" fontId="40" numFmtId="165" xfId="0" applyAlignment="1" applyBorder="1" applyFont="1" applyNumberFormat="1">
      <alignment horizontal="left" vertical="center"/>
    </xf>
    <xf borderId="12" fillId="2" fontId="5" numFmtId="165" xfId="0" applyAlignment="1" applyBorder="1" applyFont="1" applyNumberFormat="1">
      <alignment horizontal="left" vertical="center"/>
    </xf>
    <xf borderId="12" fillId="2" fontId="9" numFmtId="165" xfId="0" applyAlignment="1" applyBorder="1" applyFont="1" applyNumberFormat="1">
      <alignment horizontal="left" vertical="center"/>
    </xf>
    <xf borderId="12" fillId="2" fontId="9" numFmtId="165" xfId="0" applyAlignment="1" applyBorder="1" applyFont="1" applyNumberFormat="1">
      <alignment vertical="center"/>
    </xf>
    <xf borderId="12" fillId="2" fontId="10" numFmtId="166" xfId="0" applyAlignment="1" applyBorder="1" applyFont="1" applyNumberFormat="1">
      <alignment horizontal="left" vertical="center"/>
    </xf>
    <xf borderId="0" fillId="0" fontId="10" numFmtId="164" xfId="0" applyAlignment="1" applyFont="1" applyNumberFormat="1">
      <alignment vertical="center"/>
    </xf>
    <xf borderId="12" fillId="2" fontId="10" numFmtId="166" xfId="0" applyAlignment="1" applyBorder="1" applyFont="1" applyNumberFormat="1">
      <alignment vertical="top"/>
    </xf>
    <xf borderId="12" fillId="2" fontId="10" numFmtId="166" xfId="0" applyAlignment="1" applyBorder="1" applyFont="1" applyNumberFormat="1">
      <alignment vertical="bottom"/>
    </xf>
    <xf borderId="0" fillId="0" fontId="4" numFmtId="0" xfId="0" applyAlignment="1" applyFont="1">
      <alignment horizontal="left" vertical="center"/>
    </xf>
    <xf borderId="0" fillId="2" fontId="17" numFmtId="0" xfId="0" applyAlignment="1" applyFont="1">
      <alignment shrinkToFit="0" vertical="center" wrapText="1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87.14"/>
    <col customWidth="1" min="2" max="2" width="24.14"/>
    <col customWidth="1" min="3" max="3" width="19.0"/>
    <col customWidth="1" min="4" max="4" width="20.29"/>
    <col customWidth="1" min="5" max="5" width="26.43"/>
    <col customWidth="1" min="6" max="6" width="26.14"/>
    <col customWidth="1" min="7" max="12" width="25.0"/>
    <col customWidth="1" min="13" max="13" width="31.57"/>
  </cols>
  <sheetData>
    <row r="1" ht="24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5"/>
      <c r="L1" s="4"/>
      <c r="M1" s="4"/>
    </row>
    <row r="2" ht="23.25" customHeight="1">
      <c r="A2" s="1" t="s">
        <v>1</v>
      </c>
      <c r="B2" s="3"/>
      <c r="C2" s="3"/>
      <c r="D2" s="3"/>
      <c r="E2" s="3"/>
      <c r="F2" s="3"/>
      <c r="G2" s="3"/>
      <c r="H2" s="6"/>
      <c r="K2" s="5"/>
      <c r="L2" s="3"/>
      <c r="M2" s="3"/>
    </row>
    <row r="3" ht="24.75" customHeight="1">
      <c r="A3" s="7" t="s">
        <v>2</v>
      </c>
      <c r="B3" s="8"/>
      <c r="C3" s="8"/>
      <c r="D3" s="8"/>
      <c r="E3" s="8"/>
      <c r="F3" s="8"/>
      <c r="G3" s="8"/>
      <c r="K3" s="8"/>
      <c r="L3" s="8"/>
      <c r="M3" s="8"/>
    </row>
    <row r="4" ht="28.5" customHeight="1">
      <c r="A4" s="9" t="s">
        <v>3</v>
      </c>
      <c r="B4" s="8"/>
      <c r="C4" s="8"/>
      <c r="D4" s="8"/>
      <c r="E4" s="8"/>
      <c r="F4" s="8"/>
      <c r="G4" s="8"/>
      <c r="K4" s="8"/>
      <c r="L4" s="8"/>
      <c r="M4" s="8"/>
    </row>
    <row r="5" ht="27.0" customHeight="1">
      <c r="A5" s="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15.75" customHeight="1">
      <c r="A6" s="10"/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21.75" customHeight="1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4"/>
      <c r="G7" s="16" t="s">
        <v>9</v>
      </c>
      <c r="H7" s="17"/>
      <c r="I7" s="17"/>
      <c r="J7" s="17"/>
      <c r="K7" s="17"/>
      <c r="L7" s="18"/>
      <c r="M7" s="12" t="s">
        <v>10</v>
      </c>
    </row>
    <row r="8">
      <c r="A8" s="19"/>
      <c r="B8" s="19"/>
      <c r="C8" s="20"/>
      <c r="D8" s="21"/>
      <c r="E8" s="20"/>
      <c r="F8" s="21"/>
      <c r="G8" s="16" t="s">
        <v>11</v>
      </c>
      <c r="H8" s="18"/>
      <c r="I8" s="16" t="s">
        <v>12</v>
      </c>
      <c r="J8" s="18"/>
      <c r="K8" s="16" t="s">
        <v>13</v>
      </c>
      <c r="L8" s="18"/>
      <c r="M8" s="19"/>
    </row>
    <row r="9" ht="20.25" customHeight="1">
      <c r="A9" s="19"/>
      <c r="B9" s="19"/>
      <c r="C9" s="22" t="s">
        <v>14</v>
      </c>
      <c r="D9" s="23" t="s">
        <v>15</v>
      </c>
      <c r="E9" s="15" t="s">
        <v>16</v>
      </c>
      <c r="F9" s="14"/>
      <c r="G9" s="24" t="s">
        <v>17</v>
      </c>
      <c r="H9" s="25" t="s">
        <v>18</v>
      </c>
      <c r="I9" s="24" t="s">
        <v>17</v>
      </c>
      <c r="J9" s="25" t="s">
        <v>18</v>
      </c>
      <c r="K9" s="24" t="s">
        <v>17</v>
      </c>
      <c r="L9" s="25" t="s">
        <v>18</v>
      </c>
      <c r="M9" s="19"/>
    </row>
    <row r="10" ht="73.5" customHeight="1">
      <c r="A10" s="26"/>
      <c r="B10" s="26"/>
      <c r="C10" s="26"/>
      <c r="D10" s="26"/>
      <c r="E10" s="27" t="s">
        <v>17</v>
      </c>
      <c r="F10" s="28" t="s">
        <v>18</v>
      </c>
      <c r="G10" s="26"/>
      <c r="H10" s="26"/>
      <c r="I10" s="26"/>
      <c r="J10" s="26"/>
      <c r="K10" s="26"/>
      <c r="L10" s="26"/>
      <c r="M10" s="26"/>
    </row>
    <row r="11" ht="27.0" customHeight="1">
      <c r="A11" s="29"/>
      <c r="B11" s="30"/>
      <c r="C11" s="31"/>
      <c r="D11" s="31">
        <f>D12+D22</f>
        <v>151856.8</v>
      </c>
      <c r="E11" s="32"/>
      <c r="F11" s="33">
        <f>F12+F21</f>
        <v>328111.1734</v>
      </c>
      <c r="G11" s="34"/>
      <c r="H11" s="33">
        <f>H12+H21</f>
        <v>348197.4972</v>
      </c>
      <c r="I11" s="34"/>
      <c r="J11" s="33">
        <f>J12+J21</f>
        <v>146692.6328</v>
      </c>
      <c r="K11" s="34"/>
      <c r="L11" s="33">
        <f>L12+L21</f>
        <v>494890.13</v>
      </c>
      <c r="M11" s="34"/>
    </row>
    <row r="12" ht="27.0" customHeight="1">
      <c r="A12" s="29" t="s">
        <v>19</v>
      </c>
      <c r="B12" s="30"/>
      <c r="C12" s="33"/>
      <c r="D12" s="35">
        <v>151856.8</v>
      </c>
      <c r="E12" s="33"/>
      <c r="F12" s="33">
        <f>SUM(F14:F20)</f>
        <v>328111.1734</v>
      </c>
      <c r="G12" s="34"/>
      <c r="H12" s="33">
        <f>SUM(H14:H20)</f>
        <v>348197.4972</v>
      </c>
      <c r="I12" s="34"/>
      <c r="J12" s="33">
        <f>SUM(J14:J20)</f>
        <v>146692.6328</v>
      </c>
      <c r="K12" s="34"/>
      <c r="L12" s="33">
        <f>SUM(L14:L20)</f>
        <v>494890.13</v>
      </c>
      <c r="M12" s="34"/>
    </row>
    <row r="13" ht="27.0" customHeight="1">
      <c r="A13" s="32" t="s">
        <v>20</v>
      </c>
      <c r="B13" s="36" t="s">
        <v>21</v>
      </c>
      <c r="C13" s="37">
        <v>17908.0</v>
      </c>
      <c r="D13" s="38">
        <v>16475.36</v>
      </c>
      <c r="E13" s="32"/>
      <c r="F13" s="39">
        <f t="shared" ref="F13:F14" si="1">E13*1</f>
        <v>0</v>
      </c>
      <c r="G13" s="34"/>
      <c r="H13" s="34"/>
      <c r="I13" s="34"/>
      <c r="J13" s="34"/>
      <c r="K13" s="34"/>
      <c r="L13" s="34"/>
      <c r="M13" s="34"/>
    </row>
    <row r="14" ht="27.0" customHeight="1">
      <c r="A14" s="40" t="s">
        <v>22</v>
      </c>
      <c r="B14" s="36" t="s">
        <v>21</v>
      </c>
      <c r="C14" s="41">
        <v>14080.0</v>
      </c>
      <c r="D14" s="38">
        <v>14080.0</v>
      </c>
      <c r="E14" s="32"/>
      <c r="F14" s="39">
        <f t="shared" si="1"/>
        <v>0</v>
      </c>
      <c r="G14" s="34"/>
      <c r="H14" s="42"/>
      <c r="I14" s="34"/>
      <c r="J14" s="34"/>
      <c r="K14" s="34"/>
      <c r="L14" s="34"/>
      <c r="M14" s="34"/>
    </row>
    <row r="15" ht="112.5" customHeight="1">
      <c r="A15" s="43" t="s">
        <v>23</v>
      </c>
      <c r="B15" s="36" t="s">
        <v>24</v>
      </c>
      <c r="C15" s="44">
        <v>16402.0</v>
      </c>
      <c r="D15" s="38">
        <v>55766.8</v>
      </c>
      <c r="E15" s="32">
        <v>34939.788704815</v>
      </c>
      <c r="F15" s="42">
        <v>118795.281596371</v>
      </c>
      <c r="G15" s="45">
        <v>36349.0</v>
      </c>
      <c r="H15" s="42">
        <v>72698.84172</v>
      </c>
      <c r="I15" s="46">
        <v>337.2</v>
      </c>
      <c r="J15" s="42">
        <v>6674.394679999999</v>
      </c>
      <c r="K15" s="47">
        <f t="shared" ref="K15:L15" si="2">G15+I15</f>
        <v>36686.2</v>
      </c>
      <c r="L15" s="48">
        <f t="shared" si="2"/>
        <v>79373.2364</v>
      </c>
      <c r="M15" s="49" t="s">
        <v>25</v>
      </c>
    </row>
    <row r="16" ht="54.0" customHeight="1">
      <c r="A16" s="43" t="s">
        <v>26</v>
      </c>
      <c r="B16" s="36" t="s">
        <v>24</v>
      </c>
      <c r="C16" s="32"/>
      <c r="D16" s="39"/>
      <c r="E16" s="32">
        <v>10181.4553629983</v>
      </c>
      <c r="F16" s="42">
        <v>34616.9482341944</v>
      </c>
      <c r="G16" s="46">
        <v>10526.35</v>
      </c>
      <c r="H16" s="42">
        <v>21052.709420000003</v>
      </c>
      <c r="I16" s="45"/>
      <c r="J16" s="42"/>
      <c r="K16" s="47">
        <f t="shared" ref="K16:L16" si="3">G16+I16</f>
        <v>10526.35</v>
      </c>
      <c r="L16" s="48">
        <f t="shared" si="3"/>
        <v>21052.70942</v>
      </c>
      <c r="M16" s="19"/>
    </row>
    <row r="17" ht="23.25" customHeight="1">
      <c r="A17" s="40" t="s">
        <v>27</v>
      </c>
      <c r="B17" s="36" t="s">
        <v>24</v>
      </c>
      <c r="C17" s="44">
        <v>16402.0</v>
      </c>
      <c r="D17" s="38">
        <v>82010.0</v>
      </c>
      <c r="E17" s="32">
        <v>34939.788704815</v>
      </c>
      <c r="F17" s="42">
        <v>174698.943524075</v>
      </c>
      <c r="G17" s="45">
        <v>36349.0</v>
      </c>
      <c r="H17" s="42">
        <v>254445.94603</v>
      </c>
      <c r="I17" s="45">
        <v>3337.2</v>
      </c>
      <c r="J17" s="42">
        <f>24528400.45/1000</f>
        <v>24528.40045</v>
      </c>
      <c r="K17" s="47">
        <f t="shared" ref="K17:L17" si="4">G17+I17</f>
        <v>39686.2</v>
      </c>
      <c r="L17" s="48">
        <f t="shared" si="4"/>
        <v>278974.3465</v>
      </c>
      <c r="M17" s="19"/>
    </row>
    <row r="18" ht="25.5" customHeight="1">
      <c r="A18" s="50" t="s">
        <v>28</v>
      </c>
      <c r="B18" s="51"/>
      <c r="C18" s="40"/>
      <c r="D18" s="40"/>
      <c r="E18" s="40"/>
      <c r="F18" s="39"/>
      <c r="G18" s="34"/>
      <c r="H18" s="34"/>
      <c r="I18" s="45">
        <v>10526.35</v>
      </c>
      <c r="J18" s="42">
        <f>24210615.83/1000</f>
        <v>24210.61583</v>
      </c>
      <c r="K18" s="47">
        <f t="shared" ref="K18:L18" si="5">G18+I18</f>
        <v>10526.35</v>
      </c>
      <c r="L18" s="48">
        <f t="shared" si="5"/>
        <v>24210.61583</v>
      </c>
      <c r="M18" s="19"/>
    </row>
    <row r="19" ht="24.75" customHeight="1">
      <c r="A19" s="50" t="s">
        <v>29</v>
      </c>
      <c r="B19" s="51"/>
      <c r="C19" s="40"/>
      <c r="D19" s="40"/>
      <c r="E19" s="40"/>
      <c r="F19" s="39"/>
      <c r="G19" s="34"/>
      <c r="H19" s="34"/>
      <c r="I19" s="46">
        <v>39686.62</v>
      </c>
      <c r="J19" s="42">
        <f>91279221.86/1000</f>
        <v>91279.22186</v>
      </c>
      <c r="K19" s="47">
        <f t="shared" ref="K19:L19" si="6">G19+I19</f>
        <v>39686.62</v>
      </c>
      <c r="L19" s="48">
        <f t="shared" si="6"/>
        <v>91279.22186</v>
      </c>
      <c r="M19" s="26"/>
    </row>
    <row r="20" ht="25.5" customHeight="1">
      <c r="A20" s="52" t="s">
        <v>30</v>
      </c>
      <c r="B20" s="51" t="s">
        <v>24</v>
      </c>
      <c r="C20" s="40"/>
      <c r="D20" s="40"/>
      <c r="E20" s="40"/>
      <c r="F20" s="39"/>
      <c r="G20" s="34"/>
      <c r="H20" s="34"/>
      <c r="I20" s="34"/>
      <c r="J20" s="34"/>
      <c r="K20" s="34"/>
      <c r="L20" s="34"/>
      <c r="M20" s="34"/>
    </row>
    <row r="21" ht="25.5" customHeight="1">
      <c r="A21" s="52" t="s">
        <v>31</v>
      </c>
      <c r="B21" s="51" t="s">
        <v>32</v>
      </c>
      <c r="C21" s="40"/>
      <c r="D21" s="40"/>
      <c r="E21" s="53"/>
      <c r="F21" s="31">
        <f>SUM(F22:F23)</f>
        <v>0</v>
      </c>
      <c r="G21" s="54"/>
      <c r="H21" s="34"/>
      <c r="I21" s="34"/>
      <c r="J21" s="34"/>
      <c r="K21" s="34"/>
      <c r="L21" s="34"/>
      <c r="M21" s="34"/>
    </row>
    <row r="22">
      <c r="A22" s="55" t="s">
        <v>33</v>
      </c>
      <c r="B22" s="56"/>
      <c r="C22" s="53"/>
      <c r="D22" s="53"/>
      <c r="E22" s="40"/>
      <c r="F22" s="39"/>
      <c r="G22" s="34"/>
      <c r="H22" s="54"/>
      <c r="I22" s="54"/>
      <c r="J22" s="54"/>
      <c r="K22" s="54"/>
      <c r="L22" s="54"/>
      <c r="M22" s="54"/>
    </row>
    <row r="23" ht="24.75" customHeight="1">
      <c r="A23" s="52" t="s">
        <v>34</v>
      </c>
      <c r="B23" s="57" t="s">
        <v>35</v>
      </c>
      <c r="C23" s="40"/>
      <c r="D23" s="58">
        <v>0.0</v>
      </c>
      <c r="E23" s="40"/>
      <c r="F23" s="39"/>
      <c r="G23" s="34"/>
      <c r="H23" s="34"/>
      <c r="I23" s="34"/>
      <c r="J23" s="34"/>
      <c r="K23" s="47">
        <f t="shared" ref="K23:L23" si="7">G23+I23</f>
        <v>0</v>
      </c>
      <c r="L23" s="48">
        <f t="shared" si="7"/>
        <v>0</v>
      </c>
      <c r="M23" s="34"/>
    </row>
    <row r="24" ht="27.0" customHeight="1">
      <c r="A24" s="52" t="s">
        <v>36</v>
      </c>
      <c r="B24" s="57" t="s">
        <v>35</v>
      </c>
      <c r="C24" s="40"/>
      <c r="D24" s="58">
        <v>0.0</v>
      </c>
      <c r="E24" s="33"/>
      <c r="F24" s="33"/>
      <c r="G24" s="59">
        <v>13.0</v>
      </c>
      <c r="H24" s="59">
        <v>6500.0</v>
      </c>
      <c r="I24" s="34"/>
      <c r="J24" s="34"/>
      <c r="K24" s="47">
        <f t="shared" ref="K24:L24" si="8">G24+I24</f>
        <v>13</v>
      </c>
      <c r="L24" s="48">
        <f t="shared" si="8"/>
        <v>6500</v>
      </c>
      <c r="M24" s="34"/>
    </row>
    <row r="25" ht="49.5" customHeight="1">
      <c r="A25" s="55" t="s">
        <v>37</v>
      </c>
      <c r="B25" s="36"/>
      <c r="C25" s="33"/>
      <c r="D25" s="33"/>
      <c r="E25" s="40"/>
      <c r="F25" s="35">
        <v>1600.0</v>
      </c>
      <c r="G25" s="34"/>
      <c r="H25" s="34"/>
      <c r="I25" s="34"/>
      <c r="J25" s="34"/>
      <c r="K25" s="34"/>
      <c r="L25" s="34"/>
      <c r="M25" s="34"/>
    </row>
    <row r="26" ht="57.0" customHeight="1">
      <c r="A26" s="55" t="s">
        <v>38</v>
      </c>
      <c r="B26" s="36"/>
      <c r="C26" s="33"/>
      <c r="D26" s="33"/>
      <c r="E26" s="40"/>
      <c r="F26" s="38">
        <v>0.0</v>
      </c>
      <c r="G26" s="34"/>
      <c r="H26" s="34"/>
      <c r="I26" s="34"/>
      <c r="J26" s="34"/>
      <c r="K26" s="34"/>
      <c r="L26" s="34"/>
      <c r="M26" s="34"/>
    </row>
    <row r="27" ht="34.5" customHeight="1">
      <c r="A27" s="55" t="s">
        <v>39</v>
      </c>
      <c r="B27" s="36"/>
      <c r="C27" s="40"/>
      <c r="D27" s="40"/>
      <c r="E27" s="60"/>
      <c r="F27" s="60"/>
      <c r="G27" s="60"/>
      <c r="H27" s="34"/>
      <c r="I27" s="34"/>
      <c r="J27" s="34"/>
      <c r="K27" s="34"/>
      <c r="L27" s="34"/>
      <c r="M27" s="34"/>
    </row>
    <row r="28" ht="28.5" customHeight="1">
      <c r="A28" s="40" t="s">
        <v>40</v>
      </c>
      <c r="B28" s="36" t="s">
        <v>32</v>
      </c>
      <c r="C28" s="40"/>
      <c r="D28" s="40"/>
      <c r="E28" s="40"/>
      <c r="F28" s="39"/>
      <c r="G28" s="34"/>
      <c r="H28" s="34"/>
      <c r="I28" s="34"/>
      <c r="J28" s="34"/>
      <c r="K28" s="34"/>
      <c r="L28" s="34"/>
      <c r="M28" s="34"/>
    </row>
    <row r="29" ht="28.5" customHeight="1">
      <c r="A29" s="40" t="s">
        <v>41</v>
      </c>
      <c r="B29" s="36" t="s">
        <v>32</v>
      </c>
      <c r="C29" s="40"/>
      <c r="D29" s="40"/>
      <c r="E29" s="40"/>
      <c r="F29" s="39"/>
      <c r="G29" s="34"/>
      <c r="H29" s="34"/>
      <c r="I29" s="34"/>
      <c r="J29" s="34"/>
      <c r="K29" s="34"/>
      <c r="L29" s="34"/>
      <c r="M29" s="34"/>
    </row>
    <row r="30" ht="28.5" customHeight="1">
      <c r="A30" s="40" t="s">
        <v>42</v>
      </c>
      <c r="B30" s="36" t="s">
        <v>32</v>
      </c>
      <c r="C30" s="40"/>
      <c r="D30" s="40"/>
      <c r="E30" s="40"/>
      <c r="F30" s="39"/>
      <c r="G30" s="34"/>
      <c r="H30" s="34"/>
      <c r="I30" s="34"/>
      <c r="J30" s="34"/>
      <c r="K30" s="34"/>
      <c r="L30" s="34"/>
      <c r="M30" s="34"/>
    </row>
    <row r="31" ht="28.5" customHeight="1">
      <c r="A31" s="40" t="s">
        <v>43</v>
      </c>
      <c r="B31" s="36" t="s">
        <v>32</v>
      </c>
      <c r="C31" s="40"/>
      <c r="D31" s="40"/>
      <c r="E31" s="40"/>
      <c r="F31" s="39"/>
      <c r="G31" s="34"/>
      <c r="H31" s="34"/>
      <c r="I31" s="34"/>
      <c r="J31" s="34"/>
      <c r="K31" s="34"/>
      <c r="L31" s="34"/>
      <c r="M31" s="34"/>
    </row>
    <row r="32" ht="28.5" customHeight="1">
      <c r="A32" s="40" t="s">
        <v>44</v>
      </c>
      <c r="B32" s="36" t="s">
        <v>32</v>
      </c>
      <c r="C32" s="40"/>
      <c r="D32" s="40"/>
      <c r="E32" s="40"/>
      <c r="F32" s="39"/>
      <c r="G32" s="34"/>
      <c r="H32" s="34"/>
      <c r="I32" s="34"/>
      <c r="J32" s="34"/>
      <c r="K32" s="34"/>
      <c r="L32" s="34"/>
      <c r="M32" s="34"/>
    </row>
    <row r="33" ht="28.5" customHeight="1">
      <c r="A33" s="40" t="s">
        <v>45</v>
      </c>
      <c r="B33" s="36" t="s">
        <v>32</v>
      </c>
      <c r="C33" s="40"/>
      <c r="D33" s="40"/>
      <c r="E33" s="40"/>
      <c r="F33" s="39"/>
      <c r="G33" s="34"/>
      <c r="H33" s="34"/>
      <c r="I33" s="34"/>
      <c r="J33" s="34"/>
      <c r="K33" s="34"/>
      <c r="L33" s="34"/>
      <c r="M33" s="34"/>
    </row>
    <row r="34" ht="28.5" customHeight="1">
      <c r="A34" s="40" t="s">
        <v>46</v>
      </c>
      <c r="B34" s="36" t="s">
        <v>32</v>
      </c>
      <c r="C34" s="40"/>
      <c r="D34" s="40"/>
      <c r="E34" s="40"/>
      <c r="F34" s="39"/>
      <c r="G34" s="34"/>
      <c r="H34" s="34"/>
      <c r="I34" s="34"/>
      <c r="J34" s="34"/>
      <c r="K34" s="34"/>
      <c r="L34" s="34"/>
      <c r="M34" s="34"/>
    </row>
    <row r="35" ht="28.5" customHeight="1">
      <c r="A35" s="40" t="s">
        <v>47</v>
      </c>
      <c r="B35" s="36" t="s">
        <v>32</v>
      </c>
      <c r="C35" s="40"/>
      <c r="D35" s="40"/>
      <c r="E35" s="40"/>
      <c r="F35" s="39"/>
      <c r="G35" s="34"/>
      <c r="H35" s="34"/>
      <c r="I35" s="34"/>
      <c r="J35" s="34"/>
      <c r="K35" s="34"/>
      <c r="L35" s="34"/>
      <c r="M35" s="34"/>
    </row>
    <row r="36" ht="28.5" customHeight="1">
      <c r="A36" s="40" t="s">
        <v>48</v>
      </c>
      <c r="B36" s="36" t="s">
        <v>32</v>
      </c>
      <c r="C36" s="40"/>
      <c r="D36" s="40"/>
      <c r="E36" s="40"/>
      <c r="F36" s="39"/>
      <c r="G36" s="34"/>
      <c r="H36" s="34"/>
      <c r="I36" s="34"/>
      <c r="J36" s="34"/>
      <c r="K36" s="34"/>
      <c r="L36" s="34"/>
      <c r="M36" s="34"/>
    </row>
    <row r="37" ht="28.5" customHeight="1">
      <c r="A37" s="40" t="s">
        <v>49</v>
      </c>
      <c r="B37" s="36" t="s">
        <v>32</v>
      </c>
      <c r="C37" s="40"/>
      <c r="D37" s="40"/>
      <c r="E37" s="40"/>
      <c r="F37" s="39"/>
      <c r="G37" s="34"/>
      <c r="H37" s="34"/>
      <c r="I37" s="34"/>
      <c r="J37" s="34"/>
      <c r="K37" s="34"/>
      <c r="L37" s="34"/>
      <c r="M37" s="34"/>
    </row>
    <row r="38" ht="28.5" customHeight="1">
      <c r="A38" s="40" t="s">
        <v>50</v>
      </c>
      <c r="B38" s="36" t="s">
        <v>32</v>
      </c>
      <c r="C38" s="40"/>
      <c r="D38" s="40"/>
      <c r="E38" s="40"/>
      <c r="F38" s="39"/>
      <c r="G38" s="34"/>
      <c r="H38" s="34"/>
      <c r="I38" s="34"/>
      <c r="J38" s="34"/>
      <c r="K38" s="34"/>
      <c r="L38" s="34"/>
      <c r="M38" s="34"/>
    </row>
    <row r="39" ht="48.0" customHeight="1">
      <c r="A39" s="43" t="s">
        <v>51</v>
      </c>
      <c r="B39" s="36" t="s">
        <v>32</v>
      </c>
      <c r="C39" s="40"/>
      <c r="D39" s="40"/>
      <c r="E39" s="40"/>
      <c r="F39" s="39"/>
      <c r="G39" s="34"/>
      <c r="H39" s="34"/>
      <c r="I39" s="34"/>
      <c r="J39" s="34"/>
      <c r="K39" s="34"/>
      <c r="L39" s="34"/>
      <c r="M39" s="34"/>
    </row>
    <row r="40" ht="48.0" customHeight="1">
      <c r="A40" s="55" t="s">
        <v>52</v>
      </c>
      <c r="B40" s="36"/>
      <c r="C40" s="40"/>
      <c r="D40" s="40"/>
      <c r="E40" s="40"/>
      <c r="F40" s="39"/>
      <c r="G40" s="34"/>
      <c r="H40" s="34"/>
      <c r="I40" s="34"/>
      <c r="J40" s="34"/>
      <c r="K40" s="34"/>
      <c r="L40" s="34"/>
      <c r="M40" s="34"/>
    </row>
    <row r="41">
      <c r="A41" s="40" t="s">
        <v>53</v>
      </c>
      <c r="B41" s="36" t="s">
        <v>54</v>
      </c>
      <c r="C41" s="40"/>
      <c r="D41" s="40"/>
      <c r="E41" s="40"/>
      <c r="F41" s="39"/>
      <c r="G41" s="34"/>
      <c r="H41" s="34"/>
      <c r="I41" s="34"/>
      <c r="J41" s="34"/>
      <c r="K41" s="34"/>
      <c r="L41" s="34"/>
      <c r="M41" s="34"/>
    </row>
    <row r="42" ht="27.0" customHeight="1">
      <c r="A42" s="40" t="s">
        <v>55</v>
      </c>
      <c r="B42" s="36" t="s">
        <v>54</v>
      </c>
      <c r="C42" s="40"/>
      <c r="D42" s="40"/>
      <c r="E42" s="40"/>
      <c r="F42" s="39"/>
      <c r="G42" s="34"/>
      <c r="H42" s="34"/>
      <c r="I42" s="34"/>
      <c r="J42" s="34"/>
      <c r="K42" s="34"/>
      <c r="L42" s="34"/>
      <c r="M42" s="34"/>
    </row>
    <row r="43" ht="28.5" customHeight="1">
      <c r="A43" s="34" t="s">
        <v>56</v>
      </c>
      <c r="B43" s="57" t="s">
        <v>32</v>
      </c>
      <c r="C43" s="34"/>
      <c r="D43" s="34"/>
      <c r="E43" s="34"/>
      <c r="F43" s="61"/>
      <c r="G43" s="34"/>
      <c r="H43" s="34"/>
      <c r="I43" s="34"/>
      <c r="J43" s="34"/>
      <c r="K43" s="34"/>
      <c r="L43" s="34"/>
      <c r="M43" s="34"/>
    </row>
    <row r="44" ht="27.0" customHeight="1">
      <c r="A44" s="53" t="s">
        <v>57</v>
      </c>
      <c r="B44" s="36"/>
      <c r="C44" s="40"/>
      <c r="D44" s="40"/>
      <c r="E44" s="40"/>
      <c r="F44" s="39"/>
      <c r="G44" s="34"/>
      <c r="H44" s="34"/>
      <c r="I44" s="34"/>
      <c r="J44" s="34"/>
      <c r="K44" s="34"/>
      <c r="L44" s="34"/>
      <c r="M44" s="34"/>
    </row>
    <row r="45" ht="27.75" customHeight="1">
      <c r="A45" s="40" t="s">
        <v>44</v>
      </c>
      <c r="B45" s="36" t="s">
        <v>54</v>
      </c>
      <c r="C45" s="40"/>
      <c r="D45" s="40"/>
      <c r="E45" s="40"/>
      <c r="F45" s="39"/>
      <c r="G45" s="34"/>
      <c r="H45" s="34"/>
      <c r="I45" s="34"/>
      <c r="J45" s="34"/>
      <c r="K45" s="34"/>
      <c r="L45" s="34"/>
      <c r="M45" s="34"/>
    </row>
    <row r="46" ht="24.75" customHeight="1">
      <c r="A46" s="40" t="s">
        <v>58</v>
      </c>
      <c r="B46" s="36" t="s">
        <v>54</v>
      </c>
      <c r="C46" s="40"/>
      <c r="D46" s="40"/>
      <c r="E46" s="40"/>
      <c r="F46" s="39"/>
      <c r="G46" s="34"/>
      <c r="H46" s="34"/>
      <c r="I46" s="34"/>
      <c r="J46" s="34"/>
      <c r="K46" s="34"/>
      <c r="L46" s="34"/>
      <c r="M46" s="34"/>
    </row>
    <row r="47">
      <c r="A47" s="40" t="s">
        <v>59</v>
      </c>
      <c r="B47" s="36" t="s">
        <v>54</v>
      </c>
      <c r="C47" s="40"/>
      <c r="D47" s="58">
        <v>0.0</v>
      </c>
      <c r="E47" s="40"/>
      <c r="F47" s="39"/>
      <c r="G47" s="34"/>
      <c r="H47" s="34"/>
      <c r="I47" s="34"/>
      <c r="J47" s="34"/>
      <c r="K47" s="34"/>
      <c r="L47" s="34"/>
      <c r="M47" s="34"/>
    </row>
    <row r="48">
      <c r="A48" s="40" t="s">
        <v>60</v>
      </c>
      <c r="B48" s="36" t="s">
        <v>54</v>
      </c>
      <c r="C48" s="40"/>
      <c r="D48" s="40"/>
      <c r="E48" s="40"/>
      <c r="F48" s="39"/>
      <c r="G48" s="34"/>
      <c r="H48" s="34"/>
      <c r="I48" s="34"/>
      <c r="J48" s="34"/>
      <c r="K48" s="34"/>
      <c r="L48" s="34"/>
      <c r="M48" s="34"/>
    </row>
    <row r="49" ht="31.5" customHeight="1">
      <c r="A49" s="55" t="s">
        <v>61</v>
      </c>
      <c r="B49" s="36" t="s">
        <v>62</v>
      </c>
      <c r="C49" s="33"/>
      <c r="D49" s="33"/>
      <c r="E49" s="62"/>
      <c r="F49" s="62">
        <f>SUM(F54:F59)</f>
        <v>1600</v>
      </c>
      <c r="G49" s="34"/>
      <c r="H49" s="34"/>
      <c r="I49" s="34"/>
      <c r="J49" s="34"/>
      <c r="K49" s="34"/>
      <c r="L49" s="34"/>
      <c r="M49" s="34"/>
    </row>
    <row r="50" ht="23.25" customHeight="1">
      <c r="A50" s="63" t="s">
        <v>63</v>
      </c>
      <c r="B50" s="36"/>
      <c r="C50" s="40"/>
      <c r="D50" s="40"/>
      <c r="E50" s="40"/>
      <c r="F50" s="39"/>
      <c r="G50" s="34"/>
      <c r="H50" s="34"/>
      <c r="I50" s="34"/>
      <c r="J50" s="34"/>
      <c r="K50" s="34"/>
      <c r="L50" s="34"/>
      <c r="M50" s="34"/>
    </row>
    <row r="51" ht="26.25" customHeight="1">
      <c r="A51" s="43" t="s">
        <v>64</v>
      </c>
      <c r="B51" s="36" t="s">
        <v>32</v>
      </c>
      <c r="C51" s="40"/>
      <c r="D51" s="40"/>
      <c r="E51" s="40"/>
      <c r="F51" s="39"/>
      <c r="G51" s="34"/>
      <c r="H51" s="34"/>
      <c r="I51" s="34"/>
      <c r="J51" s="34"/>
      <c r="K51" s="34"/>
      <c r="L51" s="34"/>
      <c r="M51" s="34"/>
    </row>
    <row r="52" ht="26.25" customHeight="1">
      <c r="A52" s="43" t="s">
        <v>65</v>
      </c>
      <c r="B52" s="36" t="s">
        <v>32</v>
      </c>
      <c r="C52" s="40"/>
      <c r="D52" s="40"/>
      <c r="E52" s="40"/>
      <c r="F52" s="39"/>
      <c r="G52" s="34"/>
      <c r="H52" s="34"/>
      <c r="I52" s="34"/>
      <c r="J52" s="34"/>
      <c r="K52" s="34"/>
      <c r="L52" s="34"/>
      <c r="M52" s="34"/>
    </row>
    <row r="53" ht="26.25" customHeight="1">
      <c r="A53" s="43" t="s">
        <v>66</v>
      </c>
      <c r="B53" s="36" t="s">
        <v>32</v>
      </c>
      <c r="C53" s="40"/>
      <c r="D53" s="40"/>
      <c r="E53" s="40"/>
      <c r="F53" s="39"/>
      <c r="G53" s="34"/>
      <c r="H53" s="34"/>
      <c r="I53" s="34"/>
      <c r="J53" s="34"/>
      <c r="K53" s="34"/>
      <c r="L53" s="34"/>
      <c r="M53" s="34"/>
    </row>
    <row r="54" ht="26.25" customHeight="1">
      <c r="A54" s="43" t="s">
        <v>67</v>
      </c>
      <c r="B54" s="36" t="s">
        <v>32</v>
      </c>
      <c r="C54" s="40"/>
      <c r="D54" s="40"/>
      <c r="E54" s="40"/>
      <c r="F54" s="39"/>
      <c r="G54" s="34"/>
      <c r="H54" s="34"/>
      <c r="I54" s="34"/>
      <c r="J54" s="34"/>
      <c r="K54" s="34"/>
      <c r="L54" s="34"/>
      <c r="M54" s="34"/>
    </row>
    <row r="55" ht="26.25" customHeight="1">
      <c r="A55" s="43" t="s">
        <v>68</v>
      </c>
      <c r="B55" s="36" t="s">
        <v>32</v>
      </c>
      <c r="C55" s="40"/>
      <c r="D55" s="40"/>
      <c r="E55" s="40"/>
      <c r="F55" s="39"/>
      <c r="G55" s="34"/>
      <c r="H55" s="34"/>
      <c r="I55" s="34"/>
      <c r="J55" s="34"/>
      <c r="K55" s="34"/>
      <c r="L55" s="34"/>
      <c r="M55" s="34"/>
    </row>
    <row r="56" ht="26.25" customHeight="1">
      <c r="A56" s="43" t="s">
        <v>69</v>
      </c>
      <c r="B56" s="36" t="s">
        <v>32</v>
      </c>
      <c r="C56" s="40"/>
      <c r="D56" s="40"/>
      <c r="E56" s="40"/>
      <c r="F56" s="39"/>
      <c r="G56" s="34"/>
      <c r="H56" s="34"/>
      <c r="I56" s="34"/>
      <c r="J56" s="34"/>
      <c r="K56" s="34"/>
      <c r="L56" s="34"/>
      <c r="M56" s="34"/>
    </row>
    <row r="57" ht="26.25" customHeight="1">
      <c r="A57" s="40" t="s">
        <v>70</v>
      </c>
      <c r="B57" s="36" t="s">
        <v>32</v>
      </c>
      <c r="C57" s="40"/>
      <c r="D57" s="40"/>
      <c r="E57" s="64">
        <v>1.0</v>
      </c>
      <c r="F57" s="39">
        <v>1600.0</v>
      </c>
      <c r="G57" s="34"/>
      <c r="H57" s="34"/>
      <c r="I57" s="34"/>
      <c r="J57" s="34"/>
      <c r="K57" s="34"/>
      <c r="L57" s="34"/>
      <c r="M57" s="34"/>
    </row>
    <row r="58" ht="15.75" customHeight="1">
      <c r="A58" s="40"/>
      <c r="B58" s="36"/>
      <c r="C58" s="40"/>
      <c r="D58" s="38"/>
      <c r="E58" s="40"/>
      <c r="F58" s="39"/>
      <c r="G58" s="34"/>
      <c r="H58" s="34"/>
      <c r="I58" s="34"/>
      <c r="J58" s="34"/>
      <c r="K58" s="34"/>
      <c r="L58" s="34"/>
      <c r="M58" s="34"/>
    </row>
    <row r="59" ht="15.75" customHeight="1">
      <c r="A59" s="40"/>
      <c r="B59" s="36"/>
      <c r="C59" s="40"/>
      <c r="D59" s="40"/>
      <c r="E59" s="40"/>
      <c r="F59" s="39"/>
      <c r="G59" s="34"/>
      <c r="H59" s="34"/>
      <c r="I59" s="34"/>
      <c r="J59" s="34"/>
      <c r="K59" s="34"/>
      <c r="L59" s="34"/>
      <c r="M59" s="34"/>
    </row>
    <row r="60" ht="20.25" customHeight="1">
      <c r="A60" s="56" t="s">
        <v>71</v>
      </c>
      <c r="B60" s="36"/>
      <c r="C60" s="33"/>
      <c r="D60" s="33">
        <f>sum(D12,D22,D26,D49)</f>
        <v>151856.8</v>
      </c>
      <c r="E60" s="40"/>
      <c r="F60" s="33">
        <f>sum(F12,F22,F26,F49)</f>
        <v>329711.1734</v>
      </c>
      <c r="G60" s="34"/>
      <c r="H60" s="33">
        <f>sum(H12,H22,H26,H49)</f>
        <v>348197.4972</v>
      </c>
      <c r="I60" s="61"/>
      <c r="J60" s="33">
        <f>sum(J12,J22,J26,J49)</f>
        <v>146692.6328</v>
      </c>
      <c r="K60" s="61"/>
      <c r="L60" s="65">
        <f>H60+J60</f>
        <v>494890.13</v>
      </c>
      <c r="M60" s="34"/>
    </row>
    <row r="61" ht="22.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</row>
    <row r="62" ht="22.5" customHeight="1">
      <c r="A62" s="67" t="s">
        <v>72</v>
      </c>
      <c r="B62" s="68"/>
      <c r="C62" s="69"/>
      <c r="D62" s="70"/>
      <c r="E62" s="71" t="s">
        <v>73</v>
      </c>
      <c r="F62" s="70"/>
      <c r="G62" s="70"/>
      <c r="H62" s="70"/>
      <c r="I62" s="70"/>
      <c r="J62" s="70"/>
      <c r="K62" s="70"/>
      <c r="L62" s="72" t="s">
        <v>74</v>
      </c>
      <c r="M62" s="70"/>
    </row>
    <row r="63" ht="15.75" customHeight="1">
      <c r="A63" s="73"/>
      <c r="B63" s="68"/>
      <c r="C63" s="69"/>
      <c r="D63" s="70"/>
      <c r="E63" s="69"/>
      <c r="F63" s="70"/>
      <c r="G63" s="70"/>
      <c r="H63" s="70"/>
      <c r="I63" s="70"/>
      <c r="J63" s="70"/>
      <c r="K63" s="70"/>
      <c r="L63" s="74"/>
      <c r="M63" s="70"/>
    </row>
    <row r="64" ht="12.75" customHeight="1">
      <c r="A64" s="73"/>
      <c r="B64" s="75"/>
      <c r="C64" s="69"/>
      <c r="D64" s="70"/>
      <c r="E64" s="69"/>
      <c r="F64" s="70"/>
      <c r="G64" s="70"/>
      <c r="H64" s="70"/>
      <c r="I64" s="70"/>
      <c r="J64" s="70"/>
      <c r="K64" s="70"/>
      <c r="L64" s="74"/>
      <c r="M64" s="70"/>
    </row>
    <row r="65" ht="23.25" customHeight="1">
      <c r="A65" s="69"/>
      <c r="B65" s="75"/>
      <c r="C65" s="69"/>
      <c r="D65" s="70"/>
      <c r="E65" s="69"/>
      <c r="F65" s="68"/>
      <c r="G65" s="68"/>
      <c r="H65" s="68"/>
      <c r="I65" s="70"/>
      <c r="J65" s="68"/>
      <c r="K65" s="68"/>
      <c r="L65" s="74"/>
      <c r="M65" s="68"/>
    </row>
    <row r="66" ht="15.75" customHeight="1">
      <c r="A66" s="73"/>
      <c r="B66" s="75"/>
      <c r="C66" s="69"/>
      <c r="D66" s="70"/>
      <c r="E66" s="69"/>
      <c r="F66" s="68"/>
      <c r="G66" s="68"/>
      <c r="H66" s="68"/>
      <c r="I66" s="70"/>
      <c r="J66" s="68"/>
      <c r="K66" s="68"/>
      <c r="L66" s="74"/>
      <c r="M66" s="68"/>
    </row>
    <row r="67" ht="21.75" customHeight="1">
      <c r="A67" s="76" t="s">
        <v>75</v>
      </c>
      <c r="B67" s="68"/>
      <c r="C67" s="69"/>
      <c r="D67" s="70"/>
      <c r="E67" s="77" t="s">
        <v>76</v>
      </c>
      <c r="F67" s="68"/>
      <c r="G67" s="68"/>
      <c r="H67" s="68"/>
      <c r="I67" s="70"/>
      <c r="J67" s="68"/>
      <c r="K67" s="68"/>
      <c r="L67" s="78" t="s">
        <v>77</v>
      </c>
      <c r="M67" s="68"/>
    </row>
    <row r="68" ht="18.0" customHeight="1">
      <c r="A68" s="73" t="s">
        <v>78</v>
      </c>
      <c r="B68" s="68"/>
      <c r="C68" s="69"/>
      <c r="D68" s="69"/>
      <c r="E68" s="69" t="s">
        <v>79</v>
      </c>
      <c r="F68" s="68"/>
      <c r="G68" s="68"/>
      <c r="H68" s="68"/>
      <c r="I68" s="70"/>
      <c r="J68" s="68"/>
      <c r="K68" s="68"/>
      <c r="L68" s="74" t="s">
        <v>80</v>
      </c>
      <c r="M68" s="68"/>
    </row>
    <row r="69" ht="14.25" customHeight="1">
      <c r="A69" s="79"/>
      <c r="B69" s="80"/>
      <c r="C69" s="81"/>
      <c r="D69" s="81"/>
      <c r="E69" s="82"/>
      <c r="F69" s="82"/>
      <c r="G69" s="83"/>
      <c r="H69" s="83"/>
      <c r="I69" s="83"/>
      <c r="J69" s="83"/>
      <c r="K69" s="83"/>
      <c r="L69" s="83"/>
      <c r="M69" s="83"/>
    </row>
    <row r="70" ht="15.75" customHeight="1">
      <c r="A70" s="84"/>
      <c r="B70" s="81"/>
      <c r="C70" s="85"/>
      <c r="D70" s="86"/>
      <c r="E70" s="10"/>
      <c r="F70" s="10"/>
      <c r="G70" s="10"/>
      <c r="H70" s="10"/>
      <c r="I70" s="10"/>
      <c r="J70" s="10"/>
      <c r="K70" s="10"/>
      <c r="L70" s="10"/>
      <c r="M70" s="10"/>
    </row>
    <row r="71" ht="15.75" customHeight="1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ht="15.75" customHeight="1">
      <c r="A72" s="10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ht="15.75" customHeight="1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ht="15.75" customHeight="1">
      <c r="A74" s="10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ht="15.75" customHeight="1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ht="15.75" customHeight="1">
      <c r="A76" s="10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ht="15.75" customHeight="1">
      <c r="A77" s="10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ht="15.75" customHeight="1">
      <c r="A78" s="10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ht="15.75" customHeight="1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ht="15.75" customHeight="1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ht="15.75" customHeight="1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ht="15.75" customHeight="1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ht="15.75" customHeight="1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ht="15.75" customHeight="1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ht="15.75" customHeight="1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ht="15.75" customHeight="1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ht="15.75" customHeight="1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ht="15.75" customHeight="1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ht="15.75" customHeight="1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ht="15.75" customHeight="1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ht="15.75" customHeight="1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ht="15.75" customHeight="1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ht="15.75" customHeight="1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ht="15.75" customHeight="1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ht="15.75" customHeight="1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ht="15.75" customHeight="1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ht="15.75" customHeight="1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ht="15.75" customHeight="1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ht="15.75" customHeight="1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ht="15.75" customHeight="1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ht="15.75" customHeight="1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ht="15.75" customHeight="1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ht="15.75" customHeight="1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ht="15.75" customHeight="1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ht="15.75" customHeight="1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ht="15.75" customHeight="1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ht="15.75" customHeight="1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ht="15.75" customHeight="1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ht="15.75" customHeight="1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ht="15.75" customHeight="1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ht="15.75" customHeight="1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ht="15.75" customHeight="1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ht="15.75" customHeight="1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ht="15.75" customHeight="1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ht="15.75" customHeight="1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ht="15.75" customHeight="1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ht="15.75" customHeight="1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ht="15.75" customHeight="1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ht="15.75" customHeight="1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ht="15.75" customHeight="1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ht="15.75" customHeight="1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ht="15.75" customHeight="1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ht="15.75" customHeight="1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ht="15.75" customHeight="1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ht="15.75" customHeight="1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ht="15.75" customHeight="1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ht="15.75" customHeight="1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ht="15.75" customHeight="1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ht="15.75" customHeight="1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ht="15.75" customHeight="1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ht="15.75" customHeight="1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ht="15.75" customHeight="1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ht="15.75" customHeight="1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ht="15.75" customHeight="1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ht="15.75" customHeight="1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ht="15.75" customHeight="1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ht="15.75" customHeight="1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ht="15.75" customHeight="1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 ht="15.75" customHeight="1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 ht="15.75" customHeight="1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ht="15.75" customHeight="1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ht="15.75" customHeight="1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ht="15.75" customHeight="1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ht="15.75" customHeight="1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 ht="15.75" customHeight="1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ht="15.75" customHeight="1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ht="15.75" customHeight="1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ht="15.75" customHeight="1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ht="15.75" customHeight="1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ht="15.75" customHeight="1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ht="15.75" customHeight="1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ht="15.75" customHeight="1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ht="15.75" customHeight="1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ht="15.75" customHeight="1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ht="15.75" customHeight="1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ht="15.75" customHeight="1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ht="15.75" customHeight="1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ht="15.75" customHeight="1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ht="15.75" customHeight="1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ht="15.75" customHeight="1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ht="15.75" customHeight="1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ht="15.75" customHeight="1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 ht="15.75" customHeight="1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 ht="15.75" customHeight="1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 ht="15.75" customHeight="1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ht="15.75" customHeight="1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ht="15.75" customHeight="1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ht="15.75" customHeight="1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ht="15.75" customHeight="1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ht="15.75" customHeight="1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ht="15.75" customHeight="1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ht="15.75" customHeight="1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ht="15.75" customHeight="1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ht="15.75" customHeight="1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ht="15.75" customHeight="1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ht="15.75" customHeight="1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ht="15.75" customHeight="1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ht="15.75" customHeight="1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ht="15.75" customHeight="1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 ht="15.75" customHeight="1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 ht="15.75" customHeight="1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ht="15.75" customHeight="1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ht="15.75" customHeight="1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 ht="15.75" customHeight="1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ht="15.75" customHeight="1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ht="15.75" customHeight="1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ht="15.75" customHeight="1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ht="15.75" customHeight="1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ht="15.75" customHeight="1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ht="15.75" customHeight="1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ht="15.75" customHeight="1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ht="15.75" customHeight="1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ht="15.75" customHeight="1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ht="15.75" customHeight="1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ht="15.75" customHeight="1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ht="15.75" customHeight="1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ht="15.75" customHeight="1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ht="15.75" customHeight="1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ht="15.75" customHeight="1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ht="15.75" customHeight="1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ht="15.75" customHeight="1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ht="15.75" customHeight="1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 ht="15.75" customHeight="1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 ht="15.75" customHeight="1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 ht="15.75" customHeight="1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ht="15.75" customHeight="1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ht="15.75" customHeight="1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ht="15.75" customHeight="1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 ht="15.75" customHeight="1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ht="15.75" customHeight="1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 ht="15.75" customHeight="1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ht="15.75" customHeight="1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 ht="15.75" customHeight="1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ht="15.75" customHeight="1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 ht="15.75" customHeight="1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 ht="15.75" customHeight="1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ht="15.75" customHeight="1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ht="15.75" customHeight="1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 ht="15.75" customHeight="1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ht="15.75" customHeight="1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ht="15.75" customHeight="1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ht="15.75" customHeight="1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ht="15.75" customHeight="1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ht="15.75" customHeight="1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ht="15.75" customHeight="1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ht="15.75" customHeight="1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ht="15.75" customHeight="1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ht="15.75" customHeight="1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ht="15.75" customHeight="1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ht="15.75" customHeight="1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ht="15.75" customHeight="1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ht="15.75" customHeight="1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ht="15.75" customHeight="1">
      <c r="A233" s="10"/>
      <c r="B233" s="1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ht="15.75" customHeight="1">
      <c r="A234" s="10"/>
      <c r="B234" s="1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ht="15.75" customHeight="1">
      <c r="A235" s="10"/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ht="15.75" customHeight="1">
      <c r="A236" s="10"/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ht="15.75" customHeight="1">
      <c r="A237" s="10"/>
      <c r="B237" s="1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ht="15.75" customHeight="1">
      <c r="A238" s="10"/>
      <c r="B238" s="1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ht="15.75" customHeight="1">
      <c r="A239" s="10"/>
      <c r="B239" s="1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ht="15.75" customHeight="1">
      <c r="A240" s="10"/>
      <c r="B240" s="1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ht="15.75" customHeight="1">
      <c r="A241" s="10"/>
      <c r="B241" s="1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ht="15.75" customHeight="1">
      <c r="A242" s="10"/>
      <c r="B242" s="1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ht="15.75" customHeight="1">
      <c r="A243" s="10"/>
      <c r="B243" s="1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ht="15.75" customHeight="1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ht="15.75" customHeight="1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ht="15.75" customHeight="1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ht="15.75" customHeight="1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ht="15.75" customHeight="1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ht="15.75" customHeight="1">
      <c r="A249" s="10"/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ht="15.75" customHeight="1">
      <c r="A250" s="10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 ht="15.75" customHeight="1">
      <c r="A251" s="10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 ht="15.75" customHeight="1">
      <c r="A252" s="10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ht="15.75" customHeight="1">
      <c r="A253" s="10"/>
      <c r="B253" s="1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ht="15.75" customHeight="1">
      <c r="A254" s="10"/>
      <c r="B254" s="1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ht="15.75" customHeight="1">
      <c r="A255" s="10"/>
      <c r="B255" s="1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ht="15.75" customHeight="1">
      <c r="A256" s="10"/>
      <c r="B256" s="1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ht="15.75" customHeight="1">
      <c r="A257" s="10"/>
      <c r="B257" s="1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ht="15.75" customHeight="1">
      <c r="A258" s="10"/>
      <c r="B258" s="1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ht="15.75" customHeight="1">
      <c r="A259" s="10"/>
      <c r="B259" s="1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ht="15.75" customHeight="1">
      <c r="A260" s="10"/>
      <c r="B260" s="1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ht="15.75" customHeight="1">
      <c r="A261" s="10"/>
      <c r="B261" s="1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ht="15.75" customHeight="1">
      <c r="A262" s="10"/>
      <c r="B262" s="1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ht="15.75" customHeight="1">
      <c r="A263" s="10"/>
      <c r="B263" s="1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ht="15.75" customHeight="1">
      <c r="A264" s="10"/>
      <c r="B264" s="1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ht="12.75" customHeight="1">
      <c r="A265" s="10"/>
      <c r="B265" s="1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ht="12.75" customHeight="1">
      <c r="A266" s="10"/>
      <c r="B266" s="1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ht="12.75" customHeight="1">
      <c r="A267" s="10"/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ht="12.75" customHeight="1">
      <c r="A268" s="10"/>
      <c r="B268" s="1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ht="14.2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</row>
    <row r="270" ht="14.2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</row>
    <row r="271" ht="14.2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</row>
    <row r="272" ht="14.2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</row>
    <row r="273" ht="14.2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</row>
    <row r="274" ht="14.2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</row>
    <row r="275" ht="14.2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</row>
    <row r="276" ht="14.2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</row>
    <row r="277" ht="14.2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</row>
    <row r="278" ht="14.2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</row>
    <row r="279" ht="14.2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</row>
    <row r="280" ht="14.2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</row>
    <row r="281" ht="14.2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</row>
    <row r="282" ht="14.2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</row>
    <row r="283" ht="14.2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</row>
    <row r="284" ht="14.2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</row>
    <row r="285" ht="14.2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</row>
    <row r="286" ht="14.2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</row>
    <row r="287" ht="14.2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</row>
    <row r="288" ht="14.2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</row>
    <row r="289" ht="14.2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</row>
    <row r="290" ht="14.2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</row>
    <row r="291" ht="14.2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</row>
    <row r="292" ht="14.2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</row>
    <row r="293" ht="14.2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</row>
    <row r="294" ht="14.2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</row>
    <row r="295" ht="14.2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</row>
    <row r="296" ht="14.2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</row>
    <row r="297" ht="14.2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</row>
    <row r="298" ht="14.2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</row>
    <row r="299" ht="14.2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</row>
    <row r="300" ht="14.2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</row>
    <row r="301" ht="14.2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</row>
    <row r="302" ht="14.2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</row>
    <row r="303" ht="14.2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</row>
    <row r="304" ht="14.2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</row>
    <row r="305" ht="14.2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</row>
    <row r="306" ht="14.2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</row>
    <row r="307" ht="14.2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</row>
    <row r="308" ht="14.2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</row>
    <row r="309" ht="14.2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</row>
    <row r="310" ht="14.2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</row>
    <row r="311" ht="14.2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</row>
    <row r="312" ht="14.2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</row>
    <row r="313" ht="14.2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</row>
    <row r="314" ht="14.2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</row>
    <row r="315" ht="14.2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</row>
    <row r="316" ht="14.2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</row>
    <row r="317" ht="14.2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</row>
    <row r="318" ht="14.2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</row>
    <row r="319" ht="14.2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</row>
    <row r="320" ht="14.2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</row>
    <row r="321" ht="14.2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</row>
    <row r="322" ht="14.2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</row>
    <row r="323" ht="14.2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</row>
    <row r="324" ht="14.2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</row>
    <row r="325" ht="14.2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</row>
    <row r="326" ht="14.2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</row>
    <row r="327" ht="14.2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</row>
    <row r="328" ht="14.2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</row>
    <row r="329" ht="14.2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</row>
    <row r="330" ht="14.2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</row>
    <row r="331" ht="14.2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</row>
    <row r="332" ht="14.2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</row>
    <row r="333" ht="14.2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</row>
    <row r="334" ht="14.2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</row>
    <row r="335" ht="14.2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</row>
    <row r="336" ht="14.2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</row>
    <row r="337" ht="14.2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</row>
    <row r="338" ht="14.2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</row>
    <row r="339" ht="14.2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</row>
    <row r="340" ht="14.2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</row>
    <row r="341" ht="14.2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</row>
    <row r="342" ht="14.2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</row>
    <row r="343" ht="14.2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</row>
    <row r="344" ht="14.2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</row>
    <row r="345" ht="14.2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</row>
    <row r="346" ht="14.2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</row>
    <row r="347" ht="14.2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</row>
    <row r="348" ht="14.2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</row>
    <row r="349" ht="14.2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</row>
    <row r="350" ht="14.2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</row>
    <row r="351" ht="14.2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</row>
    <row r="352" ht="14.2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</row>
    <row r="353" ht="14.2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</row>
    <row r="354" ht="14.2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</row>
    <row r="355" ht="14.2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</row>
    <row r="356" ht="14.2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</row>
    <row r="357" ht="14.2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</row>
    <row r="358" ht="14.2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</row>
    <row r="359" ht="14.2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</row>
    <row r="360" ht="14.2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</row>
    <row r="361" ht="14.2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</row>
    <row r="362" ht="14.2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</row>
    <row r="363" ht="14.2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</row>
    <row r="364" ht="14.2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</row>
    <row r="365" ht="14.2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</row>
    <row r="366" ht="14.2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</row>
    <row r="367" ht="14.2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</row>
    <row r="368" ht="14.2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</row>
    <row r="369" ht="14.2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</row>
    <row r="370" ht="14.2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</row>
    <row r="371" ht="14.2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</row>
    <row r="372" ht="14.2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</row>
    <row r="373" ht="14.2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</row>
    <row r="374" ht="14.2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</row>
    <row r="375" ht="14.2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</row>
    <row r="376" ht="14.2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</row>
    <row r="377" ht="14.2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</row>
    <row r="378" ht="14.2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</row>
    <row r="379" ht="14.2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</row>
    <row r="380" ht="14.2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</row>
    <row r="381" ht="14.2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</row>
    <row r="382" ht="14.2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</row>
    <row r="383" ht="14.2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</row>
    <row r="384" ht="14.2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</row>
    <row r="385" ht="14.2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</row>
    <row r="386" ht="14.2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</row>
    <row r="387" ht="14.2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</row>
    <row r="388" ht="14.2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</row>
    <row r="389" ht="14.2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</row>
    <row r="390" ht="14.2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</row>
    <row r="391" ht="14.2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</row>
    <row r="392" ht="14.2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</row>
    <row r="393" ht="14.2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</row>
    <row r="394" ht="14.2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</row>
    <row r="395" ht="14.2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</row>
    <row r="396" ht="14.2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</row>
    <row r="397" ht="14.2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</row>
    <row r="398" ht="14.2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</row>
    <row r="399" ht="14.2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</row>
    <row r="400" ht="14.2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</row>
    <row r="401" ht="14.2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</row>
    <row r="402" ht="14.2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</row>
    <row r="403" ht="14.2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</row>
    <row r="404" ht="14.2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</row>
    <row r="405" ht="14.2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</row>
    <row r="406" ht="14.2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</row>
    <row r="407" ht="14.2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</row>
    <row r="408" ht="14.2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</row>
    <row r="409" ht="14.2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</row>
    <row r="410" ht="14.2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</row>
    <row r="411" ht="14.2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</row>
    <row r="412" ht="14.2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</row>
    <row r="413" ht="14.2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</row>
    <row r="414" ht="14.2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</row>
    <row r="415" ht="14.2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</row>
    <row r="416" ht="14.2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</row>
    <row r="417" ht="14.2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</row>
    <row r="418" ht="14.2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</row>
    <row r="419" ht="14.2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</row>
    <row r="420" ht="14.2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</row>
    <row r="421" ht="14.2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</row>
    <row r="422" ht="14.2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</row>
    <row r="423" ht="14.2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</row>
    <row r="424" ht="14.2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</row>
    <row r="425" ht="14.2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</row>
    <row r="426" ht="14.2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</row>
    <row r="427" ht="14.2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</row>
    <row r="428" ht="14.2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</row>
    <row r="429" ht="14.2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</row>
    <row r="430" ht="14.2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</row>
    <row r="431" ht="14.2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</row>
    <row r="432" ht="14.2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</row>
    <row r="433" ht="14.2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</row>
    <row r="434" ht="14.2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</row>
    <row r="435" ht="14.2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</row>
    <row r="436" ht="14.2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</row>
    <row r="437" ht="14.2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</row>
    <row r="438" ht="14.2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</row>
    <row r="439" ht="14.2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</row>
    <row r="440" ht="14.2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</row>
    <row r="441" ht="14.2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</row>
    <row r="442" ht="14.2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</row>
    <row r="443" ht="14.2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</row>
    <row r="444" ht="14.2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</row>
    <row r="445" ht="14.2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</row>
    <row r="446" ht="14.2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</row>
    <row r="447" ht="14.2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</row>
    <row r="448" ht="14.2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</row>
    <row r="449" ht="14.2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</row>
    <row r="450" ht="14.2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</row>
    <row r="451" ht="14.2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</row>
    <row r="452" ht="14.2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</row>
    <row r="453" ht="14.2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</row>
    <row r="454" ht="14.2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</row>
    <row r="455" ht="14.2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</row>
    <row r="456" ht="14.2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</row>
    <row r="457" ht="14.2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</row>
    <row r="458" ht="14.2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</row>
    <row r="459" ht="14.2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</row>
    <row r="460" ht="14.2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</row>
    <row r="461" ht="14.2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</row>
    <row r="462" ht="14.2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</row>
    <row r="463" ht="14.2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</row>
    <row r="464" ht="14.2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</row>
    <row r="465" ht="14.2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</row>
    <row r="466" ht="14.2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</row>
    <row r="467" ht="14.2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</row>
    <row r="468" ht="14.2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</row>
    <row r="469" ht="14.2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</row>
    <row r="470" ht="14.2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</row>
    <row r="471" ht="14.2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</row>
    <row r="472" ht="14.2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</row>
    <row r="473" ht="14.2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</row>
    <row r="474" ht="14.2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</row>
    <row r="475" ht="14.2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</row>
    <row r="476" ht="14.2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</row>
    <row r="477" ht="14.2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</row>
    <row r="478" ht="14.2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</row>
    <row r="479" ht="14.2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</row>
    <row r="480" ht="14.2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</row>
    <row r="481" ht="14.2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</row>
    <row r="482" ht="14.2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</row>
    <row r="483" ht="14.2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</row>
    <row r="484" ht="14.2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</row>
    <row r="485" ht="14.2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</row>
    <row r="486" ht="14.2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</row>
    <row r="487" ht="14.2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</row>
    <row r="488" ht="14.2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</row>
    <row r="489" ht="14.2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</row>
    <row r="490" ht="14.2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</row>
    <row r="491" ht="14.2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</row>
    <row r="492" ht="14.2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</row>
    <row r="493" ht="14.2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</row>
    <row r="494" ht="14.2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</row>
    <row r="495" ht="14.2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</row>
    <row r="496" ht="14.2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</row>
    <row r="497" ht="14.2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</row>
    <row r="498" ht="14.2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</row>
    <row r="499" ht="14.2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</row>
    <row r="500" ht="14.2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</row>
    <row r="501" ht="14.2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</row>
    <row r="502" ht="14.2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</row>
    <row r="503" ht="14.2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</row>
    <row r="504" ht="14.2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</row>
    <row r="505" ht="14.2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</row>
    <row r="506" ht="14.2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</row>
    <row r="507" ht="14.2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</row>
    <row r="508" ht="14.2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</row>
    <row r="509" ht="14.2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</row>
    <row r="510" ht="14.2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</row>
    <row r="511" ht="14.2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</row>
    <row r="512" ht="14.2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</row>
    <row r="513" ht="14.2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</row>
    <row r="514" ht="14.2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</row>
    <row r="515" ht="14.2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</row>
    <row r="516" ht="14.2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</row>
    <row r="517" ht="14.2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</row>
    <row r="518" ht="14.2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</row>
    <row r="519" ht="14.2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</row>
    <row r="520" ht="14.2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</row>
    <row r="521" ht="14.2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</row>
    <row r="522" ht="14.2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</row>
    <row r="523" ht="14.2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</row>
    <row r="524" ht="14.2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</row>
    <row r="525" ht="14.2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</row>
    <row r="526" ht="14.2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</row>
    <row r="527" ht="14.2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</row>
    <row r="528" ht="14.2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</row>
    <row r="529" ht="14.2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</row>
    <row r="530" ht="14.2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</row>
    <row r="531" ht="14.2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</row>
    <row r="532" ht="14.2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</row>
    <row r="533" ht="14.2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</row>
    <row r="534" ht="14.2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</row>
    <row r="535" ht="14.2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</row>
    <row r="536" ht="14.2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</row>
    <row r="537" ht="14.2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</row>
    <row r="538" ht="14.2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</row>
    <row r="539" ht="14.2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</row>
    <row r="540" ht="14.2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</row>
    <row r="541" ht="14.2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</row>
    <row r="542" ht="14.2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</row>
    <row r="543" ht="14.2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</row>
    <row r="544" ht="14.2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</row>
    <row r="545" ht="14.2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</row>
    <row r="546" ht="14.2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</row>
    <row r="547" ht="14.2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</row>
    <row r="548" ht="14.2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</row>
    <row r="549" ht="14.2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</row>
    <row r="550" ht="14.2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</row>
    <row r="551" ht="14.2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</row>
    <row r="552" ht="14.2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</row>
    <row r="553" ht="14.2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</row>
    <row r="554" ht="14.2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</row>
    <row r="555" ht="14.2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</row>
    <row r="556" ht="14.2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</row>
    <row r="557" ht="14.2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</row>
    <row r="558" ht="14.2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</row>
    <row r="559" ht="14.2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</row>
    <row r="560" ht="14.2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</row>
    <row r="561" ht="14.2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</row>
    <row r="562" ht="14.2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</row>
    <row r="563" ht="14.2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</row>
    <row r="564" ht="14.2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</row>
    <row r="565" ht="14.2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</row>
    <row r="566" ht="14.2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</row>
    <row r="567" ht="14.2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</row>
    <row r="568" ht="14.2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</row>
    <row r="569" ht="14.2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</row>
    <row r="570" ht="14.2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</row>
    <row r="571" ht="14.2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</row>
    <row r="572" ht="14.2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</row>
    <row r="573" ht="14.2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</row>
    <row r="574" ht="14.2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</row>
    <row r="575" ht="14.2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</row>
    <row r="576" ht="14.2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</row>
    <row r="577" ht="14.2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</row>
    <row r="578" ht="14.2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</row>
    <row r="579" ht="14.2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</row>
    <row r="580" ht="14.2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</row>
    <row r="581" ht="14.2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</row>
    <row r="582" ht="14.2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</row>
    <row r="583" ht="14.2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</row>
    <row r="584" ht="14.2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</row>
    <row r="585" ht="14.2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</row>
    <row r="586" ht="14.2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</row>
    <row r="587" ht="14.2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</row>
    <row r="588" ht="14.2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</row>
    <row r="589" ht="14.2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</row>
    <row r="590" ht="14.2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</row>
    <row r="591" ht="14.2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</row>
    <row r="592" ht="14.2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</row>
    <row r="593" ht="14.2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</row>
    <row r="594" ht="14.2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</row>
    <row r="595" ht="14.2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</row>
    <row r="596" ht="14.2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</row>
    <row r="597" ht="14.2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</row>
    <row r="598" ht="14.2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</row>
    <row r="599" ht="14.2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</row>
    <row r="600" ht="14.2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</row>
    <row r="601" ht="14.2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</row>
    <row r="602" ht="14.2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</row>
    <row r="603" ht="14.2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</row>
    <row r="604" ht="14.2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</row>
    <row r="605" ht="14.2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</row>
    <row r="606" ht="14.2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</row>
    <row r="607" ht="14.2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</row>
    <row r="608" ht="14.2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</row>
    <row r="609" ht="14.2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</row>
    <row r="610" ht="14.2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</row>
    <row r="611" ht="14.2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</row>
    <row r="612" ht="14.2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</row>
    <row r="613" ht="14.2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</row>
    <row r="614" ht="14.2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</row>
    <row r="615" ht="14.2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</row>
    <row r="616" ht="14.2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</row>
    <row r="617" ht="14.2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</row>
    <row r="618" ht="14.2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</row>
    <row r="619" ht="14.2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</row>
    <row r="620" ht="14.2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</row>
    <row r="621" ht="14.2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</row>
    <row r="622" ht="14.2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</row>
    <row r="623" ht="14.2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</row>
    <row r="624" ht="14.2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</row>
    <row r="625" ht="14.2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</row>
    <row r="626" ht="14.2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</row>
    <row r="627" ht="14.2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</row>
    <row r="628" ht="14.2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</row>
    <row r="629" ht="14.2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</row>
    <row r="630" ht="14.2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</row>
    <row r="631" ht="14.2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</row>
    <row r="632" ht="14.2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</row>
    <row r="633" ht="14.2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</row>
    <row r="634" ht="14.2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</row>
    <row r="635" ht="14.2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</row>
    <row r="636" ht="14.2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</row>
    <row r="637" ht="14.2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</row>
    <row r="638" ht="14.2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</row>
    <row r="639" ht="14.2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</row>
    <row r="640" ht="14.2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</row>
    <row r="641" ht="14.2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</row>
    <row r="642" ht="14.2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</row>
    <row r="643" ht="14.2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</row>
    <row r="644" ht="14.2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</row>
    <row r="645" ht="14.2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</row>
    <row r="646" ht="14.2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</row>
    <row r="647" ht="14.2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</row>
    <row r="648" ht="14.2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</row>
    <row r="649" ht="14.2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</row>
    <row r="650" ht="14.2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</row>
    <row r="651" ht="14.2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</row>
    <row r="652" ht="14.2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</row>
    <row r="653" ht="14.2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</row>
    <row r="654" ht="14.2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</row>
    <row r="655" ht="14.2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</row>
    <row r="656" ht="14.2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</row>
    <row r="657" ht="14.2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</row>
    <row r="658" ht="14.2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</row>
    <row r="659" ht="14.2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</row>
    <row r="660" ht="14.2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</row>
    <row r="661" ht="14.2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</row>
    <row r="662" ht="14.2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</row>
    <row r="663" ht="14.2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</row>
    <row r="664" ht="14.2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</row>
    <row r="665" ht="14.2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</row>
    <row r="666" ht="14.2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</row>
    <row r="667" ht="14.2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</row>
    <row r="668" ht="14.2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</row>
    <row r="669" ht="14.2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</row>
    <row r="670" ht="14.2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</row>
    <row r="671" ht="14.2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</row>
    <row r="672" ht="14.2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</row>
    <row r="673" ht="14.2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</row>
    <row r="674" ht="14.2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</row>
    <row r="675" ht="14.2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</row>
    <row r="676" ht="14.2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</row>
    <row r="677" ht="14.2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</row>
    <row r="678" ht="14.2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</row>
    <row r="679" ht="14.2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</row>
    <row r="680" ht="14.2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</row>
    <row r="681" ht="14.2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</row>
    <row r="682" ht="14.2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</row>
    <row r="683" ht="14.2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</row>
    <row r="684" ht="14.2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</row>
    <row r="685" ht="14.2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</row>
    <row r="686" ht="14.2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</row>
    <row r="687" ht="14.2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</row>
    <row r="688" ht="14.2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</row>
    <row r="689" ht="14.2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</row>
    <row r="690" ht="14.2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</row>
    <row r="691" ht="14.2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</row>
    <row r="692" ht="14.2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</row>
    <row r="693" ht="14.2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</row>
    <row r="694" ht="14.2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</row>
    <row r="695" ht="14.2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</row>
    <row r="696" ht="14.2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</row>
    <row r="697" ht="14.2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</row>
    <row r="698" ht="14.2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</row>
    <row r="699" ht="14.2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</row>
    <row r="700" ht="14.2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</row>
    <row r="701" ht="14.2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</row>
    <row r="702" ht="14.2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</row>
    <row r="703" ht="14.2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</row>
    <row r="704" ht="14.2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</row>
    <row r="705" ht="14.2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</row>
    <row r="706" ht="14.2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</row>
    <row r="707" ht="14.2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</row>
    <row r="708" ht="14.2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</row>
    <row r="709" ht="14.2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</row>
    <row r="710" ht="14.2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</row>
    <row r="711" ht="14.2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</row>
    <row r="712" ht="14.2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</row>
    <row r="713" ht="14.2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</row>
    <row r="714" ht="14.2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</row>
    <row r="715" ht="14.2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</row>
    <row r="716" ht="14.2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</row>
    <row r="717" ht="14.2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</row>
    <row r="718" ht="14.2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</row>
    <row r="719" ht="14.2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</row>
    <row r="720" ht="14.2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</row>
    <row r="721" ht="14.2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</row>
    <row r="722" ht="14.2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</row>
    <row r="723" ht="14.2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</row>
    <row r="724" ht="14.2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</row>
    <row r="725" ht="14.2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</row>
    <row r="726" ht="14.2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</row>
    <row r="727" ht="14.2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</row>
    <row r="728" ht="14.2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</row>
    <row r="729" ht="14.2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</row>
    <row r="730" ht="14.2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</row>
    <row r="731" ht="14.2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</row>
    <row r="732" ht="14.2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</row>
    <row r="733" ht="14.2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</row>
    <row r="734" ht="14.2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</row>
    <row r="735" ht="14.2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</row>
    <row r="736" ht="14.2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</row>
    <row r="737" ht="14.2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</row>
    <row r="738" ht="14.2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</row>
    <row r="739" ht="14.2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</row>
    <row r="740" ht="14.2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</row>
    <row r="741" ht="14.2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</row>
    <row r="742" ht="14.2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</row>
    <row r="743" ht="14.2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</row>
    <row r="744" ht="14.2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</row>
    <row r="745" ht="14.2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</row>
    <row r="746" ht="14.2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</row>
    <row r="747" ht="14.2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</row>
    <row r="748" ht="14.2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</row>
    <row r="749" ht="14.2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</row>
    <row r="750" ht="14.2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</row>
    <row r="751" ht="14.2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</row>
    <row r="752" ht="14.2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</row>
    <row r="753" ht="14.2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</row>
    <row r="754" ht="14.2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</row>
    <row r="755" ht="14.2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</row>
    <row r="756" ht="14.2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</row>
    <row r="757" ht="14.2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</row>
    <row r="758" ht="14.2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</row>
    <row r="759" ht="14.2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</row>
    <row r="760" ht="14.2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</row>
    <row r="761" ht="14.2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</row>
    <row r="762" ht="14.2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</row>
    <row r="763" ht="14.2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</row>
    <row r="764" ht="14.2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</row>
    <row r="765" ht="14.2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</row>
    <row r="766" ht="14.2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</row>
    <row r="767" ht="14.2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</row>
    <row r="768" ht="14.2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</row>
    <row r="769" ht="14.2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</row>
    <row r="770" ht="14.2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</row>
    <row r="771" ht="14.2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</row>
    <row r="772" ht="14.2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</row>
    <row r="773" ht="14.2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</row>
    <row r="774" ht="14.2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</row>
    <row r="775" ht="14.2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</row>
    <row r="776" ht="14.2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</row>
    <row r="777" ht="14.2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</row>
    <row r="778" ht="14.2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</row>
    <row r="779" ht="14.2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</row>
    <row r="780" ht="14.2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</row>
    <row r="781" ht="14.2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</row>
    <row r="782" ht="14.2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</row>
    <row r="783" ht="14.2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</row>
    <row r="784" ht="14.2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</row>
    <row r="785" ht="14.2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</row>
    <row r="786" ht="14.2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</row>
    <row r="787" ht="14.2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</row>
    <row r="788" ht="14.2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</row>
    <row r="789" ht="14.2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</row>
    <row r="790" ht="14.2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</row>
    <row r="791" ht="14.2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</row>
    <row r="792" ht="14.2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</row>
    <row r="793" ht="14.2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</row>
    <row r="794" ht="14.2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</row>
    <row r="795" ht="14.2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</row>
    <row r="796" ht="14.2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</row>
    <row r="797" ht="14.2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</row>
    <row r="798" ht="14.2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</row>
    <row r="799" ht="14.2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</row>
    <row r="800" ht="14.2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</row>
    <row r="801" ht="14.2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</row>
    <row r="802" ht="14.2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</row>
    <row r="803" ht="14.2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</row>
    <row r="804" ht="14.2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</row>
    <row r="805" ht="14.2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</row>
    <row r="806" ht="14.2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</row>
    <row r="807" ht="14.2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</row>
    <row r="808" ht="14.2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</row>
    <row r="809" ht="14.2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</row>
    <row r="810" ht="14.2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</row>
    <row r="811" ht="14.2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</row>
    <row r="812" ht="14.2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</row>
    <row r="813" ht="14.2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</row>
    <row r="814" ht="14.2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</row>
    <row r="815" ht="14.2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</row>
    <row r="816" ht="14.2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</row>
    <row r="817" ht="14.2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</row>
    <row r="818" ht="14.2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</row>
    <row r="819" ht="14.2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</row>
    <row r="820" ht="14.2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</row>
    <row r="821" ht="14.2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</row>
    <row r="822" ht="14.2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</row>
    <row r="823" ht="14.2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</row>
    <row r="824" ht="14.2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</row>
    <row r="825" ht="14.2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</row>
    <row r="826" ht="14.2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</row>
    <row r="827" ht="14.2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</row>
    <row r="828" ht="14.2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</row>
    <row r="829" ht="14.2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</row>
    <row r="830" ht="14.2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</row>
    <row r="831" ht="14.2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</row>
    <row r="832" ht="14.2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</row>
    <row r="833" ht="14.2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</row>
    <row r="834" ht="14.2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</row>
    <row r="835" ht="14.2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</row>
    <row r="836" ht="14.2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</row>
    <row r="837" ht="14.2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</row>
    <row r="838" ht="14.2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</row>
    <row r="839" ht="14.2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</row>
    <row r="840" ht="14.2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</row>
    <row r="841" ht="14.2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</row>
    <row r="842" ht="14.2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</row>
    <row r="843" ht="14.2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</row>
    <row r="844" ht="14.2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</row>
    <row r="845" ht="14.2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</row>
    <row r="846" ht="14.2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</row>
    <row r="847" ht="14.2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</row>
    <row r="848" ht="14.2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</row>
    <row r="849" ht="14.2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</row>
    <row r="850" ht="14.2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</row>
    <row r="851" ht="14.2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</row>
    <row r="852" ht="14.2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</row>
    <row r="853" ht="14.2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</row>
    <row r="854" ht="14.2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</row>
    <row r="855" ht="14.2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</row>
    <row r="856" ht="14.2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</row>
    <row r="857" ht="14.2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</row>
    <row r="858" ht="14.2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</row>
    <row r="859" ht="14.2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</row>
    <row r="860" ht="14.2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</row>
    <row r="861" ht="14.2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</row>
    <row r="862" ht="14.2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</row>
    <row r="863" ht="14.2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</row>
    <row r="864" ht="14.2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</row>
    <row r="865" ht="14.2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</row>
    <row r="866" ht="14.2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</row>
    <row r="867" ht="14.2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</row>
    <row r="868" ht="14.2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</row>
    <row r="869" ht="14.2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</row>
    <row r="870" ht="14.2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</row>
    <row r="871" ht="14.2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</row>
    <row r="872" ht="14.2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</row>
    <row r="873" ht="14.2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</row>
    <row r="874" ht="14.2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</row>
    <row r="875" ht="14.2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</row>
    <row r="876" ht="14.2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</row>
    <row r="877" ht="14.2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</row>
    <row r="878" ht="14.2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</row>
    <row r="879" ht="14.2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</row>
    <row r="880" ht="14.2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</row>
    <row r="881" ht="14.2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</row>
    <row r="882" ht="14.2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</row>
    <row r="883" ht="14.2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</row>
    <row r="884" ht="14.2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</row>
    <row r="885" ht="14.2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</row>
    <row r="886" ht="14.2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</row>
    <row r="887" ht="14.2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</row>
    <row r="888" ht="14.2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</row>
    <row r="889" ht="14.2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</row>
    <row r="890" ht="14.2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</row>
    <row r="891" ht="14.2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</row>
    <row r="892" ht="14.2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</row>
    <row r="893" ht="14.2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</row>
    <row r="894" ht="14.2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</row>
    <row r="895" ht="14.2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</row>
    <row r="896" ht="14.2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</row>
    <row r="897" ht="14.2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</row>
    <row r="898" ht="14.2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</row>
    <row r="899" ht="14.2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</row>
    <row r="900" ht="14.2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</row>
    <row r="901" ht="14.2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</row>
    <row r="902" ht="14.2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</row>
    <row r="903" ht="14.2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</row>
    <row r="904" ht="14.2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</row>
    <row r="905" ht="14.2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</row>
    <row r="906" ht="14.2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</row>
    <row r="907" ht="14.2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</row>
    <row r="908" ht="14.2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</row>
    <row r="909" ht="14.2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</row>
    <row r="910" ht="14.2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</row>
    <row r="911" ht="14.2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</row>
    <row r="912" ht="14.2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</row>
    <row r="913" ht="14.2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</row>
    <row r="914" ht="14.2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</row>
    <row r="915" ht="14.2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</row>
    <row r="916" ht="14.2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</row>
    <row r="917" ht="14.2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</row>
    <row r="918" ht="14.2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</row>
    <row r="919" ht="14.2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</row>
    <row r="920" ht="14.2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</row>
    <row r="921" ht="14.2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</row>
    <row r="922" ht="14.2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</row>
    <row r="923" ht="14.2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</row>
    <row r="924" ht="14.2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</row>
    <row r="925" ht="14.2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</row>
    <row r="926" ht="14.2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</row>
    <row r="927" ht="14.2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</row>
    <row r="928" ht="14.2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</row>
    <row r="929" ht="14.2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</row>
    <row r="930" ht="14.2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</row>
    <row r="931" ht="14.2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</row>
    <row r="932" ht="14.2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</row>
    <row r="933" ht="14.2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</row>
    <row r="934" ht="14.2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</row>
    <row r="935" ht="14.2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</row>
    <row r="936" ht="14.2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</row>
    <row r="937" ht="14.2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</row>
    <row r="938" ht="14.2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</row>
    <row r="939" ht="14.2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</row>
    <row r="940" ht="14.2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</row>
    <row r="941" ht="14.2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</row>
    <row r="942" ht="14.2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</row>
    <row r="943" ht="14.2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</row>
    <row r="944" ht="14.2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</row>
    <row r="945" ht="14.2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</row>
    <row r="946" ht="14.2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</row>
    <row r="947" ht="14.2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</row>
    <row r="948" ht="14.2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</row>
    <row r="949" ht="14.2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</row>
    <row r="950" ht="14.2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</row>
    <row r="951" ht="14.2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</row>
    <row r="952" ht="14.2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</row>
    <row r="953" ht="14.2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</row>
    <row r="954" ht="14.2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</row>
    <row r="955" ht="14.2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</row>
    <row r="956" ht="14.2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</row>
    <row r="957" ht="14.2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</row>
    <row r="958" ht="14.2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</row>
    <row r="959" ht="14.2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</row>
    <row r="960" ht="14.2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</row>
    <row r="961" ht="14.2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</row>
    <row r="962" ht="14.2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</row>
    <row r="963" ht="14.2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</row>
    <row r="964" ht="14.2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</row>
    <row r="965" ht="14.2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</row>
    <row r="966" ht="14.2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</row>
    <row r="967" ht="14.2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</row>
    <row r="968" ht="14.2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</row>
    <row r="969" ht="14.2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</row>
    <row r="970" ht="14.2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</row>
    <row r="971" ht="14.2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</row>
    <row r="972" ht="14.2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</row>
    <row r="973" ht="14.2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</row>
    <row r="974" ht="14.2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</row>
    <row r="975" ht="14.2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</row>
    <row r="976" ht="14.2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</row>
    <row r="977" ht="14.2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</row>
    <row r="978" ht="14.2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</row>
    <row r="979" ht="14.2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</row>
    <row r="980" ht="14.2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</row>
    <row r="981" ht="14.2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</row>
    <row r="982" ht="14.2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</row>
    <row r="983" ht="14.2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</row>
    <row r="984" ht="14.2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</row>
    <row r="985" ht="14.2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</row>
    <row r="986" ht="14.2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</row>
    <row r="987" ht="14.2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</row>
    <row r="988" ht="14.2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</row>
    <row r="989" ht="14.2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</row>
    <row r="990" ht="14.2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</row>
    <row r="991" ht="14.2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</row>
    <row r="992" ht="14.2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</row>
    <row r="993" ht="14.2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</row>
    <row r="994" ht="14.2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</row>
    <row r="995" ht="14.2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</row>
    <row r="996" ht="14.2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</row>
    <row r="997" ht="14.2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</row>
    <row r="998" ht="14.2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</row>
    <row r="999" ht="14.2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</row>
    <row r="1000" ht="14.2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</row>
    <row r="1001" ht="14.2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</row>
    <row r="1002" ht="14.2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5:M19"/>
    <mergeCell ref="H2:J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25" footer="0.0" header="0.0" left="0.25" right="0.25" top="0.2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63.29"/>
    <col customWidth="1" min="2" max="2" width="18.43"/>
    <col customWidth="1" hidden="1" min="3" max="3" width="18.57"/>
    <col customWidth="1" min="4" max="4" width="23.29"/>
    <col customWidth="1" min="5" max="6" width="19.29"/>
    <col customWidth="1" min="7" max="7" width="15.86"/>
    <col customWidth="1" min="8" max="8" width="25.0"/>
    <col customWidth="1" min="9" max="9" width="15.86"/>
    <col customWidth="1" min="10" max="10" width="25.0"/>
    <col customWidth="1" min="11" max="11" width="18.71"/>
    <col customWidth="1" min="12" max="13" width="25.0"/>
  </cols>
  <sheetData>
    <row r="1" ht="24.0" customHeight="1">
      <c r="A1" s="88" t="s">
        <v>0</v>
      </c>
      <c r="B1" s="89"/>
      <c r="C1" s="90"/>
      <c r="D1" s="91"/>
      <c r="E1" s="92"/>
      <c r="F1" s="92"/>
      <c r="G1" s="93"/>
      <c r="H1" s="94"/>
      <c r="I1" s="94"/>
      <c r="J1" s="94"/>
      <c r="K1" s="95"/>
      <c r="L1" s="94"/>
      <c r="M1" s="94"/>
    </row>
    <row r="2" ht="31.5" customHeight="1">
      <c r="A2" s="88" t="s">
        <v>1</v>
      </c>
      <c r="B2" s="96"/>
      <c r="C2" s="93"/>
      <c r="D2" s="96"/>
      <c r="E2" s="96"/>
      <c r="F2" s="96"/>
      <c r="G2" s="93"/>
      <c r="H2" s="97"/>
      <c r="I2" s="98"/>
      <c r="L2" s="96"/>
      <c r="M2" s="96"/>
    </row>
    <row r="3" ht="27.0" customHeight="1">
      <c r="A3" s="99" t="s">
        <v>81</v>
      </c>
      <c r="B3" s="100"/>
      <c r="C3" s="90"/>
      <c r="D3" s="91"/>
      <c r="E3" s="92"/>
      <c r="F3" s="92"/>
      <c r="G3" s="101"/>
      <c r="H3" s="97"/>
      <c r="L3" s="100"/>
      <c r="M3" s="100"/>
    </row>
    <row r="4" ht="28.5" customHeight="1">
      <c r="A4" s="99" t="s">
        <v>3</v>
      </c>
      <c r="B4" s="100"/>
      <c r="C4" s="90"/>
      <c r="D4" s="91"/>
      <c r="E4" s="92"/>
      <c r="F4" s="92"/>
      <c r="G4" s="101"/>
      <c r="H4" s="97"/>
      <c r="L4" s="100"/>
      <c r="M4" s="100"/>
    </row>
    <row r="5">
      <c r="A5" s="99" t="s">
        <v>4</v>
      </c>
      <c r="B5" s="100"/>
      <c r="C5" s="90"/>
      <c r="D5" s="91"/>
      <c r="E5" s="92"/>
      <c r="F5" s="92"/>
      <c r="G5" s="101"/>
      <c r="H5" s="102"/>
      <c r="I5" s="100"/>
      <c r="J5" s="100"/>
      <c r="K5" s="100"/>
      <c r="L5" s="100"/>
      <c r="M5" s="100"/>
    </row>
    <row r="6" ht="14.25" customHeight="1">
      <c r="A6" s="91"/>
      <c r="B6" s="103"/>
      <c r="C6" s="90"/>
      <c r="D6" s="91"/>
      <c r="E6" s="92"/>
      <c r="F6" s="92"/>
      <c r="G6" s="104"/>
      <c r="H6" s="105"/>
      <c r="I6" s="92"/>
      <c r="J6" s="92"/>
      <c r="K6" s="92"/>
      <c r="L6" s="92"/>
      <c r="M6" s="92"/>
    </row>
    <row r="7" ht="21.75" customHeight="1">
      <c r="A7" s="106" t="s">
        <v>5</v>
      </c>
      <c r="B7" s="106" t="s">
        <v>6</v>
      </c>
      <c r="C7" s="107" t="s">
        <v>7</v>
      </c>
      <c r="D7" s="14"/>
      <c r="E7" s="108" t="s">
        <v>8</v>
      </c>
      <c r="F7" s="14"/>
      <c r="G7" s="109" t="s">
        <v>9</v>
      </c>
      <c r="H7" s="17"/>
      <c r="I7" s="17"/>
      <c r="J7" s="17"/>
      <c r="K7" s="17"/>
      <c r="L7" s="18"/>
      <c r="M7" s="106" t="s">
        <v>82</v>
      </c>
    </row>
    <row r="8" ht="28.5" customHeight="1">
      <c r="A8" s="19"/>
      <c r="B8" s="19"/>
      <c r="C8" s="20"/>
      <c r="D8" s="21"/>
      <c r="E8" s="20"/>
      <c r="F8" s="21"/>
      <c r="G8" s="109" t="s">
        <v>11</v>
      </c>
      <c r="H8" s="18"/>
      <c r="I8" s="109" t="s">
        <v>12</v>
      </c>
      <c r="J8" s="18"/>
      <c r="K8" s="109" t="s">
        <v>13</v>
      </c>
      <c r="L8" s="18"/>
      <c r="M8" s="19"/>
    </row>
    <row r="9" ht="20.25" customHeight="1">
      <c r="A9" s="19"/>
      <c r="B9" s="19"/>
      <c r="C9" s="110" t="s">
        <v>14</v>
      </c>
      <c r="D9" s="111" t="s">
        <v>15</v>
      </c>
      <c r="E9" s="108" t="s">
        <v>16</v>
      </c>
      <c r="F9" s="14"/>
      <c r="G9" s="112" t="s">
        <v>17</v>
      </c>
      <c r="H9" s="113" t="s">
        <v>18</v>
      </c>
      <c r="I9" s="112" t="s">
        <v>17</v>
      </c>
      <c r="J9" s="114" t="s">
        <v>18</v>
      </c>
      <c r="K9" s="112" t="s">
        <v>17</v>
      </c>
      <c r="L9" s="114" t="s">
        <v>18</v>
      </c>
      <c r="M9" s="19"/>
    </row>
    <row r="10" ht="73.5" customHeight="1">
      <c r="A10" s="26"/>
      <c r="B10" s="26"/>
      <c r="C10" s="26"/>
      <c r="D10" s="26"/>
      <c r="E10" s="115" t="s">
        <v>17</v>
      </c>
      <c r="F10" s="116" t="s">
        <v>18</v>
      </c>
      <c r="G10" s="26"/>
      <c r="H10" s="26"/>
      <c r="I10" s="26"/>
      <c r="J10" s="26"/>
      <c r="K10" s="26"/>
      <c r="L10" s="26"/>
      <c r="M10" s="26"/>
    </row>
    <row r="11" ht="25.5" customHeight="1">
      <c r="A11" s="117" t="s">
        <v>83</v>
      </c>
      <c r="B11" s="118"/>
      <c r="C11" s="119"/>
      <c r="D11" s="120">
        <f>SUM(D12:D43)</f>
        <v>106677.4705</v>
      </c>
      <c r="E11" s="121"/>
      <c r="F11" s="121">
        <f>SUM(F12:F47)</f>
        <v>101270.92</v>
      </c>
      <c r="G11" s="122"/>
      <c r="H11" s="123">
        <f>SUM(H12:H47)</f>
        <v>36572.6</v>
      </c>
      <c r="I11" s="121"/>
      <c r="J11" s="121">
        <f>SUM(J12:J47)</f>
        <v>230317.2</v>
      </c>
      <c r="K11" s="121"/>
      <c r="L11" s="121">
        <f>SUM(L12:L47)</f>
        <v>266889.8</v>
      </c>
      <c r="M11" s="124"/>
    </row>
    <row r="12" ht="28.5" customHeight="1">
      <c r="A12" s="117" t="s">
        <v>84</v>
      </c>
      <c r="B12" s="125"/>
      <c r="C12" s="126"/>
      <c r="D12" s="127"/>
      <c r="E12" s="128"/>
      <c r="F12" s="128"/>
      <c r="G12" s="129"/>
      <c r="H12" s="130"/>
      <c r="I12" s="124"/>
      <c r="J12" s="124"/>
      <c r="K12" s="124"/>
      <c r="L12" s="124"/>
      <c r="M12" s="124"/>
    </row>
    <row r="13" ht="30.0" customHeight="1">
      <c r="A13" s="131" t="s">
        <v>85</v>
      </c>
      <c r="B13" s="125"/>
      <c r="C13" s="126">
        <v>4000.0</v>
      </c>
      <c r="D13" s="127">
        <f t="shared" ref="D13:D14" si="1">C13*0.05</f>
        <v>200</v>
      </c>
      <c r="E13" s="128"/>
      <c r="F13" s="128"/>
      <c r="G13" s="129"/>
      <c r="H13" s="130"/>
      <c r="I13" s="124"/>
      <c r="J13" s="124"/>
      <c r="K13" s="124"/>
      <c r="L13" s="124"/>
      <c r="M13" s="124"/>
    </row>
    <row r="14" ht="31.5" customHeight="1">
      <c r="A14" s="131" t="s">
        <v>86</v>
      </c>
      <c r="B14" s="125"/>
      <c r="C14" s="126">
        <v>3800.0</v>
      </c>
      <c r="D14" s="127">
        <f t="shared" si="1"/>
        <v>190</v>
      </c>
      <c r="E14" s="128"/>
      <c r="F14" s="128"/>
      <c r="G14" s="129"/>
      <c r="H14" s="130"/>
      <c r="I14" s="124"/>
      <c r="J14" s="124"/>
      <c r="K14" s="124"/>
      <c r="L14" s="124"/>
      <c r="M14" s="124"/>
    </row>
    <row r="15" ht="43.5" customHeight="1">
      <c r="A15" s="117" t="s">
        <v>87</v>
      </c>
      <c r="B15" s="125"/>
      <c r="C15" s="126"/>
      <c r="D15" s="127"/>
      <c r="E15" s="128"/>
      <c r="F15" s="128"/>
      <c r="G15" s="129"/>
      <c r="H15" s="130"/>
      <c r="I15" s="124"/>
      <c r="J15" s="124"/>
      <c r="K15" s="124"/>
      <c r="L15" s="124"/>
      <c r="M15" s="124"/>
    </row>
    <row r="16" ht="34.5" customHeight="1">
      <c r="A16" s="132" t="s">
        <v>88</v>
      </c>
      <c r="B16" s="125" t="s">
        <v>89</v>
      </c>
      <c r="C16" s="126">
        <v>6300.0</v>
      </c>
      <c r="D16" s="127">
        <f>350*2*6000/1000</f>
        <v>4200</v>
      </c>
      <c r="E16" s="133">
        <v>5400.0</v>
      </c>
      <c r="F16" s="133">
        <v>3900.0</v>
      </c>
      <c r="G16" s="129"/>
      <c r="H16" s="130"/>
      <c r="I16" s="134">
        <f>300*27</f>
        <v>8100</v>
      </c>
      <c r="J16" s="135">
        <f>300*19.5</f>
        <v>5850</v>
      </c>
      <c r="K16" s="134">
        <f t="shared" ref="K16:L16" si="2">SUM(G16,I16)</f>
        <v>8100</v>
      </c>
      <c r="L16" s="136">
        <f t="shared" si="2"/>
        <v>5850</v>
      </c>
      <c r="M16" s="137" t="s">
        <v>90</v>
      </c>
    </row>
    <row r="17" ht="31.5" customHeight="1">
      <c r="A17" s="131" t="s">
        <v>91</v>
      </c>
      <c r="B17" s="125" t="s">
        <v>89</v>
      </c>
      <c r="C17" s="126">
        <f>((350*4)+(200*6)+(150*7)+(200*1))*50</f>
        <v>192500</v>
      </c>
      <c r="D17" s="127">
        <f>5298500/1000</f>
        <v>5298.5</v>
      </c>
      <c r="E17" s="127">
        <v>110000.0</v>
      </c>
      <c r="F17" s="127">
        <v>4400.0</v>
      </c>
      <c r="G17" s="129"/>
      <c r="H17" s="130"/>
      <c r="I17" s="134">
        <f>300*11*50</f>
        <v>165000</v>
      </c>
      <c r="J17" s="135">
        <f>300*11*2</f>
        <v>6600</v>
      </c>
      <c r="K17" s="134">
        <f t="shared" ref="K17:L17" si="3">SUM(G17,I17)</f>
        <v>165000</v>
      </c>
      <c r="L17" s="136">
        <f t="shared" si="3"/>
        <v>6600</v>
      </c>
      <c r="M17" s="137" t="s">
        <v>90</v>
      </c>
    </row>
    <row r="18" ht="30.0" customHeight="1">
      <c r="A18" s="131" t="s">
        <v>92</v>
      </c>
      <c r="B18" s="125" t="s">
        <v>93</v>
      </c>
      <c r="C18" s="126">
        <v>1650.0</v>
      </c>
      <c r="D18" s="127">
        <f>903000/1000</f>
        <v>903</v>
      </c>
      <c r="E18" s="127">
        <v>1200.0</v>
      </c>
      <c r="F18" s="127">
        <v>240.0</v>
      </c>
      <c r="G18" s="129"/>
      <c r="H18" s="130"/>
      <c r="I18" s="134">
        <f>300*6</f>
        <v>1800</v>
      </c>
      <c r="J18" s="135">
        <f>300*6*0.2</f>
        <v>360</v>
      </c>
      <c r="K18" s="134">
        <f t="shared" ref="K18:L18" si="4">SUM(G18,I18)</f>
        <v>1800</v>
      </c>
      <c r="L18" s="136">
        <f t="shared" si="4"/>
        <v>360</v>
      </c>
      <c r="M18" s="137" t="s">
        <v>90</v>
      </c>
    </row>
    <row r="19" ht="31.5" customHeight="1">
      <c r="A19" s="131" t="s">
        <v>94</v>
      </c>
      <c r="B19" s="125" t="s">
        <v>89</v>
      </c>
      <c r="C19" s="126">
        <f>3500*50</f>
        <v>175000</v>
      </c>
      <c r="D19" s="127">
        <f>1519000/1000</f>
        <v>1519</v>
      </c>
      <c r="E19" s="127">
        <v>100000.0</v>
      </c>
      <c r="F19" s="127">
        <v>1200.0</v>
      </c>
      <c r="G19" s="129"/>
      <c r="H19" s="130"/>
      <c r="I19" s="134">
        <f>300*10*50</f>
        <v>150000</v>
      </c>
      <c r="J19" s="135">
        <f>300*10*0.6</f>
        <v>1800</v>
      </c>
      <c r="K19" s="134">
        <f t="shared" ref="K19:L19" si="5">SUM(G19,I19)</f>
        <v>150000</v>
      </c>
      <c r="L19" s="136">
        <f t="shared" si="5"/>
        <v>1800</v>
      </c>
      <c r="M19" s="137" t="s">
        <v>90</v>
      </c>
    </row>
    <row r="20" ht="31.5" customHeight="1">
      <c r="A20" s="138" t="s">
        <v>95</v>
      </c>
      <c r="B20" s="139" t="s">
        <v>93</v>
      </c>
      <c r="C20" s="126"/>
      <c r="D20" s="127"/>
      <c r="E20" s="127">
        <v>200.0</v>
      </c>
      <c r="F20" s="127">
        <v>160.0</v>
      </c>
      <c r="G20" s="140"/>
      <c r="H20" s="141"/>
      <c r="I20" s="142"/>
      <c r="J20" s="142"/>
      <c r="K20" s="142"/>
      <c r="L20" s="142"/>
      <c r="M20" s="142"/>
    </row>
    <row r="21" ht="30.0" customHeight="1">
      <c r="A21" s="138" t="s">
        <v>96</v>
      </c>
      <c r="B21" s="139" t="s">
        <v>89</v>
      </c>
      <c r="C21" s="126"/>
      <c r="D21" s="127"/>
      <c r="E21" s="127">
        <v>600.0</v>
      </c>
      <c r="F21" s="127">
        <v>360.0</v>
      </c>
      <c r="G21" s="129"/>
      <c r="H21" s="130"/>
      <c r="I21" s="124"/>
      <c r="J21" s="124"/>
      <c r="K21" s="124"/>
      <c r="L21" s="124"/>
      <c r="M21" s="124"/>
    </row>
    <row r="22" ht="40.5" customHeight="1">
      <c r="A22" s="143" t="s">
        <v>87</v>
      </c>
      <c r="B22" s="124"/>
      <c r="C22" s="126"/>
      <c r="D22" s="127"/>
      <c r="E22" s="127"/>
      <c r="F22" s="127"/>
      <c r="G22" s="129"/>
      <c r="H22" s="130"/>
      <c r="I22" s="124"/>
      <c r="J22" s="124"/>
      <c r="K22" s="124"/>
      <c r="L22" s="124"/>
      <c r="M22" s="124"/>
    </row>
    <row r="23" ht="27.0" customHeight="1">
      <c r="A23" s="144" t="s">
        <v>97</v>
      </c>
      <c r="B23" s="145" t="s">
        <v>89</v>
      </c>
      <c r="C23" s="126"/>
      <c r="D23" s="127"/>
      <c r="E23" s="127"/>
      <c r="F23" s="127"/>
      <c r="G23" s="146">
        <f>200*25</f>
        <v>5000</v>
      </c>
      <c r="H23" s="147">
        <f>(G23/2000)*150</f>
        <v>375</v>
      </c>
      <c r="I23" s="124"/>
      <c r="J23" s="124"/>
      <c r="K23" s="134">
        <f t="shared" ref="K23:L23" si="6">SUM(G23,I23)</f>
        <v>5000</v>
      </c>
      <c r="L23" s="136">
        <f t="shared" si="6"/>
        <v>375</v>
      </c>
      <c r="M23" s="137" t="s">
        <v>98</v>
      </c>
    </row>
    <row r="24" ht="27.0" customHeight="1">
      <c r="A24" s="144" t="s">
        <v>91</v>
      </c>
      <c r="B24" s="145" t="s">
        <v>89</v>
      </c>
      <c r="C24" s="126"/>
      <c r="D24" s="127"/>
      <c r="E24" s="127"/>
      <c r="F24" s="127"/>
      <c r="G24" s="146">
        <f>200*11*50</f>
        <v>110000</v>
      </c>
      <c r="H24" s="133">
        <f>200*11*2</f>
        <v>4400</v>
      </c>
      <c r="I24" s="124"/>
      <c r="J24" s="124"/>
      <c r="K24" s="134">
        <f t="shared" ref="K24:L24" si="7">SUM(G24,I24)</f>
        <v>110000</v>
      </c>
      <c r="L24" s="136">
        <f t="shared" si="7"/>
        <v>4400</v>
      </c>
      <c r="M24" s="137" t="s">
        <v>98</v>
      </c>
    </row>
    <row r="25" ht="27.0" customHeight="1">
      <c r="A25" s="144" t="s">
        <v>92</v>
      </c>
      <c r="B25" s="145" t="s">
        <v>93</v>
      </c>
      <c r="C25" s="126"/>
      <c r="D25" s="127"/>
      <c r="E25" s="127"/>
      <c r="F25" s="127"/>
      <c r="G25" s="146">
        <f>200*6</f>
        <v>1200</v>
      </c>
      <c r="H25" s="147">
        <f>200*6*0.2</f>
        <v>240</v>
      </c>
      <c r="I25" s="124"/>
      <c r="J25" s="124"/>
      <c r="K25" s="134">
        <f t="shared" ref="K25:L25" si="8">SUM(G25,I25)</f>
        <v>1200</v>
      </c>
      <c r="L25" s="136">
        <f t="shared" si="8"/>
        <v>240</v>
      </c>
      <c r="M25" s="137" t="s">
        <v>98</v>
      </c>
    </row>
    <row r="26" ht="27.0" customHeight="1">
      <c r="A26" s="144" t="s">
        <v>94</v>
      </c>
      <c r="B26" s="145" t="s">
        <v>89</v>
      </c>
      <c r="C26" s="126"/>
      <c r="D26" s="127"/>
      <c r="E26" s="127"/>
      <c r="F26" s="127"/>
      <c r="G26" s="146">
        <f>200*10*50</f>
        <v>100000</v>
      </c>
      <c r="H26" s="147">
        <f>200*10*0.6</f>
        <v>1200</v>
      </c>
      <c r="I26" s="124"/>
      <c r="J26" s="124"/>
      <c r="K26" s="134">
        <f t="shared" ref="K26:L26" si="9">SUM(G26,I26)</f>
        <v>100000</v>
      </c>
      <c r="L26" s="136">
        <f t="shared" si="9"/>
        <v>1200</v>
      </c>
      <c r="M26" s="137" t="s">
        <v>98</v>
      </c>
    </row>
    <row r="27" ht="27.0" customHeight="1">
      <c r="A27" s="117" t="s">
        <v>99</v>
      </c>
      <c r="B27" s="125"/>
      <c r="C27" s="126"/>
      <c r="D27" s="127"/>
      <c r="E27" s="127"/>
      <c r="F27" s="127"/>
      <c r="G27" s="129"/>
      <c r="H27" s="130"/>
      <c r="I27" s="124"/>
      <c r="J27" s="124"/>
      <c r="K27" s="124"/>
      <c r="L27" s="124"/>
      <c r="M27" s="124"/>
    </row>
    <row r="28" ht="25.5" customHeight="1">
      <c r="A28" s="138" t="s">
        <v>100</v>
      </c>
      <c r="B28" s="139" t="s">
        <v>89</v>
      </c>
      <c r="C28" s="126">
        <f>11864*9</f>
        <v>106776</v>
      </c>
      <c r="D28" s="127">
        <f>69539000/1000</f>
        <v>69539</v>
      </c>
      <c r="E28" s="148">
        <v>57420.0</v>
      </c>
      <c r="F28" s="148">
        <v>41470.0</v>
      </c>
      <c r="G28" s="149">
        <f>662*18</f>
        <v>11916</v>
      </c>
      <c r="H28" s="150">
        <f>662*19.5</f>
        <v>12909</v>
      </c>
      <c r="I28" s="150">
        <f>8275*18</f>
        <v>148950</v>
      </c>
      <c r="J28" s="150">
        <f>8275*13</f>
        <v>107575</v>
      </c>
      <c r="K28" s="134">
        <f t="shared" ref="K28:L28" si="10">SUM(G28,I28)</f>
        <v>160866</v>
      </c>
      <c r="L28" s="136">
        <f t="shared" si="10"/>
        <v>120484</v>
      </c>
      <c r="M28" s="151" t="s">
        <v>101</v>
      </c>
    </row>
    <row r="29" ht="22.5" customHeight="1">
      <c r="A29" s="138" t="s">
        <v>102</v>
      </c>
      <c r="B29" s="139" t="s">
        <v>89</v>
      </c>
      <c r="C29" s="126">
        <f>11864*50</f>
        <v>593200</v>
      </c>
      <c r="D29" s="127">
        <f>(5932*1.35)+(5932*1.411)</f>
        <v>16378.252</v>
      </c>
      <c r="E29" s="148">
        <v>319000.0</v>
      </c>
      <c r="F29" s="148">
        <v>12760.0</v>
      </c>
      <c r="G29" s="149">
        <f>662*50</f>
        <v>33100</v>
      </c>
      <c r="H29" s="150">
        <f>662*2</f>
        <v>1324</v>
      </c>
      <c r="I29" s="150">
        <f>8275*50</f>
        <v>413750</v>
      </c>
      <c r="J29" s="150">
        <f>8275*2</f>
        <v>16550</v>
      </c>
      <c r="K29" s="134">
        <f t="shared" ref="K29:L29" si="11">SUM(G29,I29)</f>
        <v>446850</v>
      </c>
      <c r="L29" s="136">
        <f t="shared" si="11"/>
        <v>17874</v>
      </c>
      <c r="M29" s="19"/>
    </row>
    <row r="30" ht="25.5" customHeight="1">
      <c r="A30" s="138" t="s">
        <v>103</v>
      </c>
      <c r="B30" s="139" t="s">
        <v>89</v>
      </c>
      <c r="C30" s="126"/>
      <c r="D30" s="127"/>
      <c r="E30" s="127">
        <v>38322.0</v>
      </c>
      <c r="F30" s="127">
        <v>21290.0</v>
      </c>
      <c r="G30" s="149">
        <f>441*18</f>
        <v>7938</v>
      </c>
      <c r="H30" s="150">
        <f>441*10</f>
        <v>4410</v>
      </c>
      <c r="I30" s="150">
        <f>5517*18</f>
        <v>99306</v>
      </c>
      <c r="J30" s="150">
        <f>5517*10</f>
        <v>55170</v>
      </c>
      <c r="K30" s="134">
        <f t="shared" ref="K30:L30" si="12">SUM(G30,I30)</f>
        <v>107244</v>
      </c>
      <c r="L30" s="136">
        <f t="shared" si="12"/>
        <v>59580</v>
      </c>
      <c r="M30" s="19"/>
    </row>
    <row r="31" ht="33.0" customHeight="1">
      <c r="A31" s="138" t="s">
        <v>104</v>
      </c>
      <c r="B31" s="139" t="s">
        <v>89</v>
      </c>
      <c r="C31" s="126"/>
      <c r="D31" s="127"/>
      <c r="E31" s="127">
        <v>212900.0</v>
      </c>
      <c r="F31" s="127">
        <v>8516.0</v>
      </c>
      <c r="G31" s="149">
        <f>441*150</f>
        <v>66150</v>
      </c>
      <c r="H31" s="150">
        <f>441*6</f>
        <v>2646</v>
      </c>
      <c r="I31" s="150">
        <f>5517*150</f>
        <v>827550</v>
      </c>
      <c r="J31" s="150">
        <f>5517*6</f>
        <v>33102</v>
      </c>
      <c r="K31" s="134">
        <f t="shared" ref="K31:L31" si="13">SUM(G31,I31)</f>
        <v>893700</v>
      </c>
      <c r="L31" s="136">
        <f t="shared" si="13"/>
        <v>35748</v>
      </c>
      <c r="M31" s="19"/>
    </row>
    <row r="32" ht="33.0" customHeight="1">
      <c r="A32" s="152" t="s">
        <v>105</v>
      </c>
      <c r="B32" s="139" t="s">
        <v>89</v>
      </c>
      <c r="C32" s="126"/>
      <c r="D32" s="127"/>
      <c r="E32" s="127"/>
      <c r="F32" s="127"/>
      <c r="G32" s="149">
        <f>441*50</f>
        <v>22050</v>
      </c>
      <c r="H32" s="150">
        <f>441*0.6</f>
        <v>264.6</v>
      </c>
      <c r="I32" s="150">
        <f>5517*50</f>
        <v>275850</v>
      </c>
      <c r="J32" s="150">
        <f>5517*0.6</f>
        <v>3310.2</v>
      </c>
      <c r="K32" s="134">
        <f t="shared" ref="K32:L32" si="14">SUM(G32,I32)</f>
        <v>297900</v>
      </c>
      <c r="L32" s="136">
        <f t="shared" si="14"/>
        <v>3574.8</v>
      </c>
      <c r="M32" s="26"/>
    </row>
    <row r="33" ht="27.75" customHeight="1">
      <c r="A33" s="117" t="s">
        <v>106</v>
      </c>
      <c r="B33" s="125"/>
      <c r="C33" s="126"/>
      <c r="D33" s="127"/>
      <c r="E33" s="127"/>
      <c r="F33" s="127"/>
      <c r="G33" s="129"/>
      <c r="H33" s="130"/>
      <c r="I33" s="124"/>
      <c r="J33" s="124"/>
      <c r="K33" s="124"/>
      <c r="L33" s="137"/>
      <c r="M33" s="124"/>
    </row>
    <row r="34" ht="44.25" customHeight="1">
      <c r="A34" s="131" t="s">
        <v>107</v>
      </c>
      <c r="B34" s="125" t="s">
        <v>108</v>
      </c>
      <c r="C34" s="126">
        <v>155000.0</v>
      </c>
      <c r="D34" s="127">
        <f>C34*1/1000</f>
        <v>155</v>
      </c>
      <c r="E34" s="127">
        <v>845000.0</v>
      </c>
      <c r="F34" s="127">
        <v>1300.0</v>
      </c>
      <c r="G34" s="127">
        <v>845000.0</v>
      </c>
      <c r="H34" s="127">
        <f>(G34/65000)*100</f>
        <v>1300</v>
      </c>
      <c r="I34" s="124"/>
      <c r="J34" s="124"/>
      <c r="K34" s="134">
        <f t="shared" ref="K34:L34" si="15">SUM(G34,I34)</f>
        <v>845000</v>
      </c>
      <c r="L34" s="136">
        <f t="shared" si="15"/>
        <v>1300</v>
      </c>
      <c r="M34" s="153" t="s">
        <v>109</v>
      </c>
    </row>
    <row r="35" ht="31.5" customHeight="1">
      <c r="A35" s="131" t="s">
        <v>110</v>
      </c>
      <c r="B35" s="125" t="s">
        <v>108</v>
      </c>
      <c r="C35" s="126">
        <v>2430000.0</v>
      </c>
      <c r="D35" s="127">
        <f>C35*1.5/1000</f>
        <v>3645</v>
      </c>
      <c r="E35" s="127"/>
      <c r="F35" s="127"/>
      <c r="G35" s="127"/>
      <c r="H35" s="127"/>
      <c r="I35" s="124"/>
      <c r="J35" s="124"/>
      <c r="K35" s="124"/>
      <c r="L35" s="124"/>
      <c r="M35" s="124"/>
    </row>
    <row r="36" ht="36.0" customHeight="1">
      <c r="A36" s="131" t="s">
        <v>111</v>
      </c>
      <c r="B36" s="125" t="s">
        <v>89</v>
      </c>
      <c r="C36" s="126">
        <v>25900.0</v>
      </c>
      <c r="D36" s="127">
        <f>(258.5*1.35)+(258.5*1.411)</f>
        <v>713.7185</v>
      </c>
      <c r="E36" s="127">
        <v>6500.0</v>
      </c>
      <c r="F36" s="127">
        <v>260.0</v>
      </c>
      <c r="G36" s="154">
        <f>(G34/13000)*100</f>
        <v>6500</v>
      </c>
      <c r="H36" s="155">
        <f>55*4</f>
        <v>220</v>
      </c>
      <c r="I36" s="124"/>
      <c r="J36" s="124"/>
      <c r="K36" s="134">
        <f t="shared" ref="K36:L36" si="16">SUM(G36,I36)</f>
        <v>6500</v>
      </c>
      <c r="L36" s="136">
        <f t="shared" si="16"/>
        <v>220</v>
      </c>
      <c r="M36" s="153" t="s">
        <v>109</v>
      </c>
    </row>
    <row r="37" ht="28.5" customHeight="1">
      <c r="A37" s="156" t="s">
        <v>112</v>
      </c>
      <c r="B37" s="157" t="s">
        <v>32</v>
      </c>
      <c r="C37" s="126"/>
      <c r="D37" s="127"/>
      <c r="E37" s="127">
        <v>5.0</v>
      </c>
      <c r="F37" s="127">
        <v>1250.0</v>
      </c>
      <c r="G37" s="129"/>
      <c r="H37" s="130"/>
      <c r="I37" s="124"/>
      <c r="J37" s="124"/>
      <c r="K37" s="124"/>
      <c r="L37" s="124"/>
      <c r="M37" s="124"/>
    </row>
    <row r="38" ht="31.5" customHeight="1">
      <c r="A38" s="117" t="s">
        <v>113</v>
      </c>
      <c r="B38" s="125"/>
      <c r="C38" s="126"/>
      <c r="D38" s="127"/>
      <c r="E38" s="127"/>
      <c r="F38" s="127"/>
      <c r="G38" s="129"/>
      <c r="H38" s="130"/>
      <c r="I38" s="124"/>
      <c r="J38" s="124"/>
      <c r="K38" s="124"/>
      <c r="L38" s="124"/>
      <c r="M38" s="124"/>
    </row>
    <row r="39" ht="66.75" customHeight="1">
      <c r="A39" s="131" t="s">
        <v>114</v>
      </c>
      <c r="B39" s="125" t="s">
        <v>89</v>
      </c>
      <c r="C39" s="126">
        <v>20000.0</v>
      </c>
      <c r="D39" s="127">
        <f>C39*58.75/1000</f>
        <v>1175</v>
      </c>
      <c r="E39" s="127">
        <v>600.0</v>
      </c>
      <c r="F39" s="127">
        <v>360.0</v>
      </c>
      <c r="G39" s="158">
        <v>1200.0</v>
      </c>
      <c r="H39" s="135">
        <f>(G39/10)*6</f>
        <v>720</v>
      </c>
      <c r="I39" s="124"/>
      <c r="J39" s="124"/>
      <c r="K39" s="134">
        <f t="shared" ref="K39:L39" si="17">SUM(G39,I39)</f>
        <v>1200</v>
      </c>
      <c r="L39" s="136">
        <f t="shared" si="17"/>
        <v>720</v>
      </c>
      <c r="M39" s="153" t="s">
        <v>115</v>
      </c>
    </row>
    <row r="40" ht="63.0" customHeight="1">
      <c r="A40" s="131" t="s">
        <v>91</v>
      </c>
      <c r="B40" s="125" t="s">
        <v>89</v>
      </c>
      <c r="C40" s="126">
        <v>100000.0</v>
      </c>
      <c r="D40" s="127">
        <f>(1000*1.35)+(1000*1.411)</f>
        <v>2761</v>
      </c>
      <c r="E40" s="127">
        <v>6000.0</v>
      </c>
      <c r="F40" s="127">
        <v>240.0</v>
      </c>
      <c r="G40" s="135">
        <f>(G39/10)*100</f>
        <v>12000</v>
      </c>
      <c r="H40" s="135">
        <f>(G40/100)*4</f>
        <v>480</v>
      </c>
      <c r="I40" s="124"/>
      <c r="J40" s="124"/>
      <c r="K40" s="134">
        <f t="shared" ref="K40:L40" si="18">SUM(G40,I40)</f>
        <v>12000</v>
      </c>
      <c r="L40" s="136">
        <f t="shared" si="18"/>
        <v>480</v>
      </c>
      <c r="M40" s="153" t="s">
        <v>115</v>
      </c>
    </row>
    <row r="41" ht="52.5" customHeight="1">
      <c r="A41" s="117" t="s">
        <v>116</v>
      </c>
      <c r="B41" s="125"/>
      <c r="C41" s="126"/>
      <c r="D41" s="127"/>
      <c r="E41" s="127"/>
      <c r="F41" s="127"/>
      <c r="G41" s="129"/>
      <c r="H41" s="130"/>
      <c r="I41" s="124"/>
      <c r="J41" s="124"/>
      <c r="K41" s="124"/>
      <c r="L41" s="124"/>
      <c r="M41" s="124"/>
    </row>
    <row r="42" ht="33.0" customHeight="1">
      <c r="A42" s="131" t="s">
        <v>117</v>
      </c>
      <c r="B42" s="125" t="s">
        <v>89</v>
      </c>
      <c r="C42" s="126"/>
      <c r="D42" s="127"/>
      <c r="E42" s="127">
        <v>4000.0</v>
      </c>
      <c r="F42" s="127">
        <v>300.0</v>
      </c>
      <c r="G42" s="129"/>
      <c r="H42" s="130"/>
      <c r="I42" s="124"/>
      <c r="J42" s="124"/>
      <c r="K42" s="124"/>
      <c r="L42" s="124"/>
      <c r="M42" s="124"/>
    </row>
    <row r="43" ht="107.25" customHeight="1">
      <c r="A43" s="131" t="s">
        <v>118</v>
      </c>
      <c r="B43" s="125" t="s">
        <v>89</v>
      </c>
      <c r="C43" s="126"/>
      <c r="D43" s="127"/>
      <c r="E43" s="127">
        <v>5800.0</v>
      </c>
      <c r="F43" s="127">
        <v>435.0</v>
      </c>
      <c r="G43" s="155">
        <v>60000.0</v>
      </c>
      <c r="H43" s="135">
        <f>(150/2000)*G43</f>
        <v>4500</v>
      </c>
      <c r="I43" s="124"/>
      <c r="J43" s="124"/>
      <c r="K43" s="134">
        <f t="shared" ref="K43:L43" si="19">SUM(G43,I43)</f>
        <v>60000</v>
      </c>
      <c r="L43" s="136">
        <f t="shared" si="19"/>
        <v>4500</v>
      </c>
      <c r="M43" s="153" t="s">
        <v>101</v>
      </c>
    </row>
    <row r="44" ht="111.0" customHeight="1">
      <c r="A44" s="131" t="s">
        <v>91</v>
      </c>
      <c r="B44" s="125" t="s">
        <v>89</v>
      </c>
      <c r="C44" s="119"/>
      <c r="D44" s="120"/>
      <c r="E44" s="127">
        <v>49000.0</v>
      </c>
      <c r="F44" s="127">
        <v>1960.0</v>
      </c>
      <c r="G44" s="155">
        <v>5000.0</v>
      </c>
      <c r="H44" s="135">
        <f>(G44/20)*4</f>
        <v>1000</v>
      </c>
      <c r="I44" s="124"/>
      <c r="J44" s="124"/>
      <c r="K44" s="134">
        <f t="shared" ref="K44:L44" si="20">SUM(G44,I44)</f>
        <v>5000</v>
      </c>
      <c r="L44" s="136">
        <f t="shared" si="20"/>
        <v>1000</v>
      </c>
      <c r="M44" s="153" t="s">
        <v>101</v>
      </c>
    </row>
    <row r="45" ht="33.0" customHeight="1">
      <c r="A45" s="117" t="s">
        <v>119</v>
      </c>
      <c r="B45" s="125"/>
      <c r="C45" s="119"/>
      <c r="D45" s="120"/>
      <c r="E45" s="120"/>
      <c r="F45" s="120"/>
      <c r="G45" s="129"/>
      <c r="H45" s="130"/>
      <c r="I45" s="124"/>
      <c r="J45" s="124"/>
      <c r="K45" s="124"/>
      <c r="L45" s="137"/>
      <c r="M45" s="124"/>
    </row>
    <row r="46" ht="34.5" customHeight="1">
      <c r="A46" s="131" t="s">
        <v>120</v>
      </c>
      <c r="B46" s="125" t="s">
        <v>89</v>
      </c>
      <c r="C46" s="126">
        <v>1000.0</v>
      </c>
      <c r="D46" s="127">
        <f>C46*50/1000</f>
        <v>50</v>
      </c>
      <c r="E46" s="127">
        <v>3575.0</v>
      </c>
      <c r="F46" s="127">
        <v>297.92</v>
      </c>
      <c r="G46" s="159">
        <v>2400.0</v>
      </c>
      <c r="H46" s="127">
        <f>(100/1200)*G46</f>
        <v>200</v>
      </c>
      <c r="I46" s="124"/>
      <c r="J46" s="124"/>
      <c r="K46" s="134">
        <f t="shared" ref="K46:L46" si="21">SUM(G46,I46)</f>
        <v>2400</v>
      </c>
      <c r="L46" s="136">
        <f t="shared" si="21"/>
        <v>200</v>
      </c>
      <c r="M46" s="137" t="s">
        <v>121</v>
      </c>
    </row>
    <row r="47" ht="31.5" customHeight="1">
      <c r="A47" s="131" t="s">
        <v>91</v>
      </c>
      <c r="B47" s="125" t="s">
        <v>89</v>
      </c>
      <c r="C47" s="126">
        <v>2500.0</v>
      </c>
      <c r="D47" s="127">
        <f>(25*1.35)+(25*1.411)</f>
        <v>69.025</v>
      </c>
      <c r="E47" s="127">
        <v>14300.0</v>
      </c>
      <c r="F47" s="127">
        <v>572.0</v>
      </c>
      <c r="G47" s="135">
        <f>(G46/25)*100</f>
        <v>9600</v>
      </c>
      <c r="H47" s="135">
        <f>(G47/100)*4</f>
        <v>384</v>
      </c>
      <c r="I47" s="124"/>
      <c r="J47" s="124"/>
      <c r="K47" s="134">
        <f t="shared" ref="K47:L47" si="22">SUM(G47,I47)</f>
        <v>9600</v>
      </c>
      <c r="L47" s="136">
        <f t="shared" si="22"/>
        <v>384</v>
      </c>
      <c r="M47" s="137" t="s">
        <v>121</v>
      </c>
    </row>
    <row r="48" ht="14.25" customHeight="1">
      <c r="A48" s="117"/>
      <c r="B48" s="125"/>
      <c r="C48" s="119"/>
      <c r="D48" s="120"/>
      <c r="E48" s="128"/>
      <c r="F48" s="128"/>
      <c r="G48" s="129"/>
      <c r="H48" s="130"/>
      <c r="I48" s="124"/>
      <c r="J48" s="124"/>
      <c r="K48" s="124"/>
      <c r="L48" s="137"/>
      <c r="M48" s="124"/>
    </row>
    <row r="49" ht="51.0" customHeight="1">
      <c r="A49" s="117" t="s">
        <v>122</v>
      </c>
      <c r="B49" s="125"/>
      <c r="C49" s="119"/>
      <c r="D49" s="120">
        <f>SUM(D50:D51)</f>
        <v>160</v>
      </c>
      <c r="E49" s="121"/>
      <c r="F49" s="121">
        <f>SUM(F50:F51)</f>
        <v>400</v>
      </c>
      <c r="G49" s="122"/>
      <c r="H49" s="123">
        <f>SUM(H50:H51)</f>
        <v>0</v>
      </c>
      <c r="I49" s="121"/>
      <c r="J49" s="121">
        <f>SUM(J50:J51)</f>
        <v>0</v>
      </c>
      <c r="K49" s="121"/>
      <c r="L49" s="121">
        <f>SUM(L50:L51)</f>
        <v>0</v>
      </c>
      <c r="M49" s="124"/>
    </row>
    <row r="50" ht="33.0" customHeight="1">
      <c r="A50" s="160" t="s">
        <v>123</v>
      </c>
      <c r="B50" s="125" t="s">
        <v>35</v>
      </c>
      <c r="C50" s="126">
        <v>4.0</v>
      </c>
      <c r="D50" s="127">
        <v>160.0</v>
      </c>
      <c r="E50" s="128"/>
      <c r="F50" s="128"/>
      <c r="G50" s="129"/>
      <c r="H50" s="130"/>
      <c r="I50" s="124"/>
      <c r="J50" s="124"/>
      <c r="K50" s="124"/>
      <c r="L50" s="124"/>
      <c r="M50" s="124"/>
    </row>
    <row r="51" ht="34.5" customHeight="1">
      <c r="A51" s="160" t="s">
        <v>124</v>
      </c>
      <c r="B51" s="125" t="s">
        <v>35</v>
      </c>
      <c r="C51" s="126"/>
      <c r="D51" s="127"/>
      <c r="E51" s="161">
        <v>1.0</v>
      </c>
      <c r="F51" s="148">
        <v>400.0</v>
      </c>
      <c r="G51" s="129"/>
      <c r="H51" s="130"/>
      <c r="I51" s="124"/>
      <c r="J51" s="124"/>
      <c r="K51" s="124"/>
      <c r="L51" s="124"/>
      <c r="M51" s="137"/>
    </row>
    <row r="52" ht="33.0" customHeight="1">
      <c r="A52" s="160" t="s">
        <v>125</v>
      </c>
      <c r="B52" s="125" t="s">
        <v>35</v>
      </c>
      <c r="C52" s="126"/>
      <c r="D52" s="127"/>
      <c r="E52" s="128"/>
      <c r="F52" s="128"/>
      <c r="G52" s="129"/>
      <c r="H52" s="130"/>
      <c r="I52" s="124"/>
      <c r="J52" s="124"/>
      <c r="K52" s="124"/>
      <c r="L52" s="124"/>
      <c r="M52" s="124"/>
    </row>
    <row r="53" ht="23.25" customHeight="1">
      <c r="A53" s="162" t="s">
        <v>126</v>
      </c>
      <c r="B53" s="125"/>
      <c r="C53" s="126"/>
      <c r="D53" s="127"/>
      <c r="E53" s="128"/>
      <c r="F53" s="128"/>
      <c r="G53" s="149">
        <v>1.0</v>
      </c>
      <c r="H53" s="150">
        <v>1000.0</v>
      </c>
      <c r="I53" s="124"/>
      <c r="J53" s="124"/>
      <c r="K53" s="134">
        <f t="shared" ref="K53:L53" si="23">SUM(G53,I53)</f>
        <v>1</v>
      </c>
      <c r="L53" s="136">
        <f t="shared" si="23"/>
        <v>1000</v>
      </c>
      <c r="M53" s="137" t="s">
        <v>127</v>
      </c>
    </row>
    <row r="54" ht="23.25" customHeight="1">
      <c r="A54" s="117"/>
      <c r="B54" s="125"/>
      <c r="C54" s="119"/>
      <c r="D54" s="120"/>
      <c r="E54" s="128"/>
      <c r="F54" s="128"/>
      <c r="G54" s="129"/>
      <c r="H54" s="130"/>
      <c r="I54" s="124"/>
      <c r="J54" s="124"/>
      <c r="K54" s="124"/>
      <c r="L54" s="124"/>
      <c r="M54" s="124"/>
    </row>
    <row r="55" ht="61.5" customHeight="1">
      <c r="A55" s="117" t="s">
        <v>128</v>
      </c>
      <c r="B55" s="125"/>
      <c r="C55" s="119"/>
      <c r="D55" s="120">
        <f>D56+D82</f>
        <v>26816.86</v>
      </c>
      <c r="E55" s="121"/>
      <c r="F55" s="121">
        <f>F56+F82</f>
        <v>20000</v>
      </c>
      <c r="G55" s="122"/>
      <c r="H55" s="123">
        <f>H56+H82</f>
        <v>259600</v>
      </c>
      <c r="I55" s="121"/>
      <c r="J55" s="121">
        <f>J56+J82</f>
        <v>0</v>
      </c>
      <c r="K55" s="121"/>
      <c r="L55" s="121">
        <f>L56+L82</f>
        <v>259600</v>
      </c>
      <c r="M55" s="124"/>
    </row>
    <row r="56" ht="45.0" customHeight="1">
      <c r="A56" s="117" t="s">
        <v>129</v>
      </c>
      <c r="B56" s="118"/>
      <c r="C56" s="119"/>
      <c r="D56" s="120">
        <f>SUM(D57:D80)</f>
        <v>19262</v>
      </c>
      <c r="E56" s="121"/>
      <c r="F56" s="121">
        <f>SUM(F57:F80)</f>
        <v>16000</v>
      </c>
      <c r="G56" s="122"/>
      <c r="H56" s="123">
        <f>SUM(H57:H80)</f>
        <v>256100</v>
      </c>
      <c r="I56" s="121"/>
      <c r="J56" s="121">
        <f>SUM(J57:J80)</f>
        <v>0</v>
      </c>
      <c r="K56" s="121"/>
      <c r="L56" s="121">
        <f>SUM(L57:L80)</f>
        <v>256100</v>
      </c>
      <c r="M56" s="124"/>
    </row>
    <row r="57" ht="31.5" customHeight="1">
      <c r="A57" s="138" t="s">
        <v>130</v>
      </c>
      <c r="B57" s="139" t="s">
        <v>32</v>
      </c>
      <c r="C57" s="163">
        <v>3.0</v>
      </c>
      <c r="D57" s="128">
        <f>(2*3022)+4995</f>
        <v>11039</v>
      </c>
      <c r="E57" s="164">
        <v>3.0</v>
      </c>
      <c r="F57" s="148">
        <v>9300.0</v>
      </c>
      <c r="G57" s="165">
        <v>1.0</v>
      </c>
      <c r="H57" s="166">
        <v>3100.0</v>
      </c>
      <c r="I57" s="124"/>
      <c r="J57" s="124"/>
      <c r="K57" s="134">
        <f t="shared" ref="K57:L57" si="24">SUM(G57,I57)</f>
        <v>1</v>
      </c>
      <c r="L57" s="136">
        <f t="shared" si="24"/>
        <v>3100</v>
      </c>
      <c r="M57" s="137" t="s">
        <v>131</v>
      </c>
    </row>
    <row r="58" ht="20.25" customHeight="1">
      <c r="A58" s="138" t="s">
        <v>132</v>
      </c>
      <c r="B58" s="139" t="s">
        <v>32</v>
      </c>
      <c r="C58" s="163"/>
      <c r="D58" s="128"/>
      <c r="E58" s="167"/>
      <c r="F58" s="128"/>
      <c r="G58" s="129"/>
      <c r="H58" s="130"/>
      <c r="I58" s="124"/>
      <c r="J58" s="124"/>
      <c r="K58" s="124"/>
      <c r="L58" s="124"/>
      <c r="M58" s="124"/>
    </row>
    <row r="59" ht="21.0" customHeight="1">
      <c r="A59" s="138" t="s">
        <v>133</v>
      </c>
      <c r="B59" s="139" t="s">
        <v>32</v>
      </c>
      <c r="C59" s="163"/>
      <c r="D59" s="128"/>
      <c r="E59" s="167"/>
      <c r="F59" s="128"/>
      <c r="G59" s="129"/>
      <c r="H59" s="130"/>
      <c r="I59" s="124"/>
      <c r="J59" s="124"/>
      <c r="K59" s="124"/>
      <c r="L59" s="124"/>
      <c r="M59" s="124"/>
    </row>
    <row r="60" ht="23.25" customHeight="1">
      <c r="A60" s="138" t="s">
        <v>134</v>
      </c>
      <c r="B60" s="139" t="s">
        <v>32</v>
      </c>
      <c r="C60" s="163"/>
      <c r="D60" s="128"/>
      <c r="E60" s="167"/>
      <c r="F60" s="128"/>
      <c r="G60" s="129"/>
      <c r="H60" s="130"/>
      <c r="I60" s="124"/>
      <c r="J60" s="124"/>
      <c r="K60" s="124"/>
      <c r="L60" s="124"/>
      <c r="M60" s="124"/>
    </row>
    <row r="61" ht="33.0" customHeight="1">
      <c r="A61" s="138" t="s">
        <v>135</v>
      </c>
      <c r="B61" s="139" t="s">
        <v>32</v>
      </c>
      <c r="C61" s="163">
        <v>1.0</v>
      </c>
      <c r="D61" s="128">
        <v>199.5</v>
      </c>
      <c r="E61" s="167"/>
      <c r="F61" s="128"/>
      <c r="G61" s="149">
        <v>1.0</v>
      </c>
      <c r="H61" s="150">
        <v>200.0</v>
      </c>
      <c r="I61" s="124"/>
      <c r="J61" s="124"/>
      <c r="K61" s="134">
        <f t="shared" ref="K61:L61" si="25">SUM(G61,I61)</f>
        <v>1</v>
      </c>
      <c r="L61" s="136">
        <f t="shared" si="25"/>
        <v>200</v>
      </c>
      <c r="M61" s="168" t="s">
        <v>90</v>
      </c>
    </row>
    <row r="62" ht="27.75" customHeight="1">
      <c r="A62" s="138" t="s">
        <v>136</v>
      </c>
      <c r="B62" s="139" t="s">
        <v>32</v>
      </c>
      <c r="C62" s="163">
        <v>1.0</v>
      </c>
      <c r="D62" s="128">
        <v>1799.5</v>
      </c>
      <c r="E62" s="167"/>
      <c r="F62" s="128"/>
      <c r="G62" s="163"/>
      <c r="H62" s="169"/>
      <c r="I62" s="170"/>
      <c r="J62" s="170"/>
      <c r="K62" s="170"/>
      <c r="L62" s="170"/>
      <c r="M62" s="170"/>
    </row>
    <row r="63" ht="27.75" customHeight="1">
      <c r="A63" s="138" t="s">
        <v>137</v>
      </c>
      <c r="B63" s="139" t="s">
        <v>32</v>
      </c>
      <c r="C63" s="163">
        <v>8.0</v>
      </c>
      <c r="D63" s="128">
        <f>C63*255</f>
        <v>2040</v>
      </c>
      <c r="E63" s="167"/>
      <c r="F63" s="128"/>
      <c r="G63" s="171">
        <v>3.0</v>
      </c>
      <c r="H63" s="172">
        <v>900.0</v>
      </c>
      <c r="I63" s="173"/>
      <c r="J63" s="173"/>
      <c r="K63" s="134">
        <f t="shared" ref="K63:L63" si="26">SUM(G63,I63)</f>
        <v>3</v>
      </c>
      <c r="L63" s="136">
        <f t="shared" si="26"/>
        <v>900</v>
      </c>
      <c r="M63" s="168" t="s">
        <v>90</v>
      </c>
    </row>
    <row r="64" ht="25.5" customHeight="1">
      <c r="A64" s="138" t="s">
        <v>138</v>
      </c>
      <c r="B64" s="139" t="s">
        <v>32</v>
      </c>
      <c r="C64" s="163"/>
      <c r="D64" s="128"/>
      <c r="E64" s="167"/>
      <c r="F64" s="128"/>
      <c r="G64" s="174"/>
      <c r="H64" s="175"/>
      <c r="I64" s="173"/>
      <c r="J64" s="173"/>
      <c r="K64" s="173"/>
      <c r="L64" s="176"/>
      <c r="M64" s="173"/>
    </row>
    <row r="65" ht="26.25" customHeight="1">
      <c r="A65" s="138" t="s">
        <v>139</v>
      </c>
      <c r="B65" s="139" t="s">
        <v>32</v>
      </c>
      <c r="C65" s="163"/>
      <c r="D65" s="128"/>
      <c r="E65" s="167"/>
      <c r="F65" s="128"/>
      <c r="G65" s="174"/>
      <c r="H65" s="175"/>
      <c r="I65" s="173"/>
      <c r="J65" s="173"/>
      <c r="K65" s="173"/>
      <c r="L65" s="176"/>
      <c r="M65" s="173"/>
    </row>
    <row r="66" ht="22.5" customHeight="1">
      <c r="A66" s="138" t="s">
        <v>140</v>
      </c>
      <c r="B66" s="139" t="s">
        <v>32</v>
      </c>
      <c r="C66" s="163">
        <v>2.0</v>
      </c>
      <c r="D66" s="128">
        <f>C66*2092</f>
        <v>4184</v>
      </c>
      <c r="E66" s="167">
        <v>1.0</v>
      </c>
      <c r="F66" s="128">
        <v>2100.0</v>
      </c>
      <c r="G66" s="163">
        <v>1.0</v>
      </c>
      <c r="H66" s="169">
        <v>2100.0</v>
      </c>
      <c r="I66" s="173"/>
      <c r="J66" s="124"/>
      <c r="K66" s="134">
        <f t="shared" ref="K66:L66" si="27">SUM(G66,I66)</f>
        <v>1</v>
      </c>
      <c r="L66" s="136">
        <f t="shared" si="27"/>
        <v>2100</v>
      </c>
      <c r="M66" s="168" t="s">
        <v>90</v>
      </c>
    </row>
    <row r="67" ht="27.0" customHeight="1">
      <c r="A67" s="138" t="s">
        <v>141</v>
      </c>
      <c r="B67" s="139" t="s">
        <v>32</v>
      </c>
      <c r="C67" s="163"/>
      <c r="D67" s="128"/>
      <c r="E67" s="167">
        <v>2.0</v>
      </c>
      <c r="F67" s="128">
        <v>4600.0</v>
      </c>
      <c r="G67" s="163"/>
      <c r="H67" s="177"/>
      <c r="I67" s="173"/>
      <c r="J67" s="124"/>
      <c r="K67" s="124"/>
      <c r="L67" s="176"/>
      <c r="M67" s="137"/>
    </row>
    <row r="68" ht="25.5" customHeight="1">
      <c r="A68" s="138" t="s">
        <v>142</v>
      </c>
      <c r="B68" s="139" t="s">
        <v>32</v>
      </c>
      <c r="C68" s="163"/>
      <c r="D68" s="128"/>
      <c r="E68" s="128"/>
      <c r="F68" s="128"/>
      <c r="G68" s="146">
        <v>1.0</v>
      </c>
      <c r="H68" s="147">
        <v>8000.0</v>
      </c>
      <c r="I68" s="173"/>
      <c r="J68" s="124"/>
      <c r="K68" s="134">
        <f t="shared" ref="K68:L68" si="28">SUM(G68,I68)</f>
        <v>1</v>
      </c>
      <c r="L68" s="136">
        <f t="shared" si="28"/>
        <v>8000</v>
      </c>
      <c r="M68" s="137" t="s">
        <v>127</v>
      </c>
    </row>
    <row r="69" ht="27.0" customHeight="1">
      <c r="A69" s="138" t="s">
        <v>143</v>
      </c>
      <c r="B69" s="139" t="s">
        <v>32</v>
      </c>
      <c r="C69" s="163"/>
      <c r="D69" s="128"/>
      <c r="E69" s="128"/>
      <c r="F69" s="128"/>
      <c r="G69" s="129"/>
      <c r="H69" s="130"/>
      <c r="I69" s="173"/>
      <c r="J69" s="124"/>
      <c r="K69" s="124"/>
      <c r="L69" s="176"/>
      <c r="M69" s="124"/>
    </row>
    <row r="70" ht="30.0" customHeight="1">
      <c r="A70" s="138" t="s">
        <v>44</v>
      </c>
      <c r="B70" s="139" t="s">
        <v>32</v>
      </c>
      <c r="C70" s="163"/>
      <c r="D70" s="128"/>
      <c r="E70" s="128"/>
      <c r="F70" s="128"/>
      <c r="G70" s="163"/>
      <c r="H70" s="169"/>
      <c r="I70" s="170"/>
      <c r="J70" s="170"/>
      <c r="K70" s="170"/>
      <c r="L70" s="170"/>
      <c r="M70" s="170"/>
    </row>
    <row r="71" ht="28.5" customHeight="1">
      <c r="A71" s="138" t="s">
        <v>112</v>
      </c>
      <c r="B71" s="139" t="s">
        <v>32</v>
      </c>
      <c r="C71" s="163"/>
      <c r="D71" s="128"/>
      <c r="E71" s="128"/>
      <c r="F71" s="128"/>
      <c r="G71" s="163"/>
      <c r="H71" s="169"/>
      <c r="I71" s="170"/>
      <c r="J71" s="170"/>
      <c r="K71" s="170"/>
      <c r="L71" s="170"/>
      <c r="M71" s="170"/>
    </row>
    <row r="72" ht="37.5" customHeight="1">
      <c r="A72" s="138" t="s">
        <v>144</v>
      </c>
      <c r="B72" s="139" t="s">
        <v>32</v>
      </c>
      <c r="C72" s="163"/>
      <c r="D72" s="128"/>
      <c r="E72" s="128"/>
      <c r="F72" s="128"/>
      <c r="G72" s="163"/>
      <c r="H72" s="169"/>
      <c r="I72" s="170"/>
      <c r="J72" s="170"/>
      <c r="K72" s="170"/>
      <c r="L72" s="170"/>
      <c r="M72" s="170"/>
    </row>
    <row r="73" ht="24.0" customHeight="1">
      <c r="A73" s="138" t="s">
        <v>145</v>
      </c>
      <c r="B73" s="139" t="s">
        <v>32</v>
      </c>
      <c r="C73" s="163"/>
      <c r="D73" s="128"/>
      <c r="E73" s="128"/>
      <c r="F73" s="128"/>
      <c r="G73" s="163"/>
      <c r="H73" s="169"/>
      <c r="I73" s="170"/>
      <c r="J73" s="170"/>
      <c r="K73" s="170"/>
      <c r="L73" s="170"/>
      <c r="M73" s="170"/>
    </row>
    <row r="74" ht="30.0" customHeight="1">
      <c r="A74" s="138" t="s">
        <v>146</v>
      </c>
      <c r="B74" s="139" t="s">
        <v>32</v>
      </c>
      <c r="C74" s="163"/>
      <c r="D74" s="128"/>
      <c r="E74" s="128"/>
      <c r="F74" s="128"/>
      <c r="G74" s="178">
        <v>1.0</v>
      </c>
      <c r="H74" s="177">
        <v>1000.0</v>
      </c>
      <c r="I74" s="170"/>
      <c r="J74" s="170"/>
      <c r="K74" s="134">
        <f t="shared" ref="K74:L74" si="29">SUM(G74,I74)</f>
        <v>1</v>
      </c>
      <c r="L74" s="136">
        <f t="shared" si="29"/>
        <v>1000</v>
      </c>
      <c r="M74" s="179" t="s">
        <v>98</v>
      </c>
    </row>
    <row r="75" ht="36.0" customHeight="1">
      <c r="A75" s="138" t="s">
        <v>147</v>
      </c>
      <c r="B75" s="139" t="s">
        <v>32</v>
      </c>
      <c r="C75" s="163"/>
      <c r="D75" s="128"/>
      <c r="E75" s="128"/>
      <c r="F75" s="128"/>
      <c r="G75" s="163"/>
      <c r="H75" s="169"/>
      <c r="I75" s="170"/>
      <c r="J75" s="170"/>
      <c r="K75" s="170"/>
      <c r="L75" s="170"/>
      <c r="M75" s="170"/>
    </row>
    <row r="76" ht="37.5" customHeight="1">
      <c r="A76" s="138" t="s">
        <v>148</v>
      </c>
      <c r="B76" s="139" t="s">
        <v>32</v>
      </c>
      <c r="C76" s="163"/>
      <c r="D76" s="128"/>
      <c r="E76" s="128"/>
      <c r="F76" s="128"/>
      <c r="G76" s="178">
        <v>1.0</v>
      </c>
      <c r="H76" s="177">
        <v>90000.0</v>
      </c>
      <c r="I76" s="170"/>
      <c r="J76" s="170"/>
      <c r="K76" s="134">
        <f t="shared" ref="K76:L76" si="30">SUM(G76,I76)</f>
        <v>1</v>
      </c>
      <c r="L76" s="136">
        <f t="shared" si="30"/>
        <v>90000</v>
      </c>
      <c r="M76" s="179" t="s">
        <v>131</v>
      </c>
    </row>
    <row r="77" ht="34.5" customHeight="1">
      <c r="A77" s="138" t="s">
        <v>149</v>
      </c>
      <c r="B77" s="139"/>
      <c r="C77" s="163"/>
      <c r="D77" s="128"/>
      <c r="E77" s="128"/>
      <c r="F77" s="128"/>
      <c r="G77" s="178">
        <v>1.0</v>
      </c>
      <c r="H77" s="177">
        <v>150800.0</v>
      </c>
      <c r="I77" s="170"/>
      <c r="J77" s="170"/>
      <c r="K77" s="134">
        <f t="shared" ref="K77:L77" si="31">SUM(G77,I77)</f>
        <v>1</v>
      </c>
      <c r="L77" s="136">
        <f t="shared" si="31"/>
        <v>150800</v>
      </c>
      <c r="M77" s="179" t="s">
        <v>127</v>
      </c>
    </row>
    <row r="78" ht="31.5" customHeight="1">
      <c r="A78" s="138" t="s">
        <v>150</v>
      </c>
      <c r="B78" s="139" t="s">
        <v>32</v>
      </c>
      <c r="C78" s="163"/>
      <c r="D78" s="128"/>
      <c r="E78" s="128"/>
      <c r="F78" s="128"/>
      <c r="G78" s="163"/>
      <c r="H78" s="169"/>
      <c r="I78" s="170"/>
      <c r="J78" s="170"/>
      <c r="K78" s="170"/>
      <c r="L78" s="170"/>
      <c r="M78" s="170"/>
    </row>
    <row r="79" ht="40.5" customHeight="1">
      <c r="A79" s="138" t="s">
        <v>151</v>
      </c>
      <c r="B79" s="139" t="s">
        <v>32</v>
      </c>
      <c r="C79" s="163"/>
      <c r="D79" s="128"/>
      <c r="E79" s="128"/>
      <c r="F79" s="128"/>
      <c r="G79" s="163"/>
      <c r="H79" s="169"/>
      <c r="I79" s="170"/>
      <c r="J79" s="170"/>
      <c r="K79" s="170"/>
      <c r="L79" s="170"/>
      <c r="M79" s="170"/>
    </row>
    <row r="80" ht="37.5" customHeight="1">
      <c r="A80" s="138" t="s">
        <v>152</v>
      </c>
      <c r="B80" s="139" t="s">
        <v>32</v>
      </c>
      <c r="C80" s="163"/>
      <c r="D80" s="128"/>
      <c r="E80" s="128"/>
      <c r="F80" s="128"/>
      <c r="G80" s="163"/>
      <c r="H80" s="169"/>
      <c r="I80" s="170"/>
      <c r="J80" s="170"/>
      <c r="K80" s="170"/>
      <c r="L80" s="170"/>
      <c r="M80" s="170"/>
    </row>
    <row r="81" ht="24.0" customHeight="1">
      <c r="A81" s="180"/>
      <c r="B81" s="181"/>
      <c r="C81" s="182"/>
      <c r="D81" s="183"/>
      <c r="E81" s="128"/>
      <c r="F81" s="128"/>
      <c r="G81" s="163"/>
      <c r="H81" s="169"/>
      <c r="I81" s="170"/>
      <c r="J81" s="170"/>
      <c r="K81" s="170"/>
      <c r="L81" s="170"/>
      <c r="M81" s="170"/>
    </row>
    <row r="82" ht="34.5" customHeight="1">
      <c r="A82" s="180" t="s">
        <v>153</v>
      </c>
      <c r="B82" s="181"/>
      <c r="C82" s="182"/>
      <c r="D82" s="183">
        <f>SUM(D83:D85)</f>
        <v>7554.86</v>
      </c>
      <c r="E82" s="121"/>
      <c r="F82" s="121">
        <f>SUM(F83:F85)</f>
        <v>4000</v>
      </c>
      <c r="G82" s="122"/>
      <c r="H82" s="123">
        <f>SUM(H83:H85)</f>
        <v>3500</v>
      </c>
      <c r="I82" s="121"/>
      <c r="J82" s="121">
        <f>SUM(J83:J85)</f>
        <v>0</v>
      </c>
      <c r="K82" s="121"/>
      <c r="L82" s="121">
        <f>SUM(L83:L85)</f>
        <v>3500</v>
      </c>
      <c r="M82" s="170"/>
    </row>
    <row r="83" ht="46.5" customHeight="1">
      <c r="A83" s="138" t="s">
        <v>154</v>
      </c>
      <c r="B83" s="139" t="s">
        <v>155</v>
      </c>
      <c r="C83" s="163">
        <v>60.0</v>
      </c>
      <c r="D83" s="128">
        <f>C83*100</f>
        <v>6000</v>
      </c>
      <c r="E83" s="128">
        <v>40.0</v>
      </c>
      <c r="F83" s="128">
        <v>4000.0</v>
      </c>
      <c r="G83" s="178">
        <v>20.0</v>
      </c>
      <c r="H83" s="169">
        <f>G83*125</f>
        <v>2500</v>
      </c>
      <c r="I83" s="170"/>
      <c r="J83" s="170"/>
      <c r="K83" s="134">
        <f t="shared" ref="K83:L83" si="32">SUM(G83,I83)</f>
        <v>20</v>
      </c>
      <c r="L83" s="136">
        <f t="shared" si="32"/>
        <v>2500</v>
      </c>
      <c r="M83" s="152" t="s">
        <v>156</v>
      </c>
    </row>
    <row r="84" ht="30.0" customHeight="1">
      <c r="A84" s="138" t="s">
        <v>157</v>
      </c>
      <c r="B84" s="139" t="s">
        <v>155</v>
      </c>
      <c r="C84" s="146">
        <v>1.0</v>
      </c>
      <c r="D84" s="155">
        <v>1554.86</v>
      </c>
      <c r="E84" s="128"/>
      <c r="F84" s="128"/>
      <c r="G84" s="178">
        <v>1.0</v>
      </c>
      <c r="H84" s="177">
        <v>1000.0</v>
      </c>
      <c r="I84" s="170"/>
      <c r="J84" s="170"/>
      <c r="K84" s="134">
        <f t="shared" ref="K84:L84" si="33">SUM(G84,I84)</f>
        <v>1</v>
      </c>
      <c r="L84" s="136">
        <f t="shared" si="33"/>
        <v>1000</v>
      </c>
      <c r="M84" s="179" t="s">
        <v>131</v>
      </c>
    </row>
    <row r="85" ht="30.0" customHeight="1">
      <c r="A85" s="138" t="s">
        <v>158</v>
      </c>
      <c r="B85" s="139" t="s">
        <v>155</v>
      </c>
      <c r="C85" s="163"/>
      <c r="D85" s="128"/>
      <c r="E85" s="128"/>
      <c r="F85" s="128"/>
      <c r="G85" s="163"/>
      <c r="H85" s="169"/>
      <c r="I85" s="170"/>
      <c r="J85" s="170"/>
      <c r="K85" s="170"/>
      <c r="L85" s="170"/>
      <c r="M85" s="170"/>
    </row>
    <row r="86" ht="27.0" customHeight="1">
      <c r="A86" s="170"/>
      <c r="B86" s="139"/>
      <c r="C86" s="163"/>
      <c r="D86" s="128"/>
      <c r="E86" s="128"/>
      <c r="F86" s="128"/>
      <c r="G86" s="163"/>
      <c r="H86" s="169"/>
      <c r="I86" s="170"/>
      <c r="J86" s="170"/>
      <c r="K86" s="170"/>
      <c r="L86" s="170"/>
      <c r="M86" s="170"/>
    </row>
    <row r="87">
      <c r="A87" s="184" t="s">
        <v>71</v>
      </c>
      <c r="B87" s="125"/>
      <c r="C87" s="119"/>
      <c r="D87" s="123">
        <f>sum(D11,D49,D56,D82)</f>
        <v>133654.3305</v>
      </c>
      <c r="E87" s="121">
        <f>SUM(E11,E56,E49,E82)</f>
        <v>0</v>
      </c>
      <c r="F87" s="123">
        <f>sum(F11,F49,F56,F82)</f>
        <v>121670.92</v>
      </c>
      <c r="G87" s="122"/>
      <c r="H87" s="123">
        <f>sum(H11,H49,H56,H82)</f>
        <v>296172.6</v>
      </c>
      <c r="I87" s="121"/>
      <c r="J87" s="123">
        <f>sum(J11,J49,J56,J82)</f>
        <v>230317.2</v>
      </c>
      <c r="K87" s="121"/>
      <c r="L87" s="121">
        <f>H87+J87</f>
        <v>526489.8</v>
      </c>
      <c r="M87" s="170"/>
    </row>
    <row r="88" ht="16.5" customHeight="1">
      <c r="A88" s="92"/>
      <c r="B88" s="185"/>
      <c r="C88" s="90"/>
      <c r="D88" s="91"/>
      <c r="E88" s="92"/>
      <c r="F88" s="92"/>
      <c r="G88" s="104"/>
      <c r="H88" s="105"/>
      <c r="I88" s="92"/>
      <c r="J88" s="92"/>
      <c r="K88" s="92"/>
      <c r="L88" s="92"/>
      <c r="M88" s="92"/>
    </row>
    <row r="89" ht="22.5" customHeight="1">
      <c r="A89" s="186" t="s">
        <v>72</v>
      </c>
      <c r="B89" s="100"/>
      <c r="C89" s="95"/>
      <c r="D89" s="96"/>
      <c r="E89" s="95" t="s">
        <v>159</v>
      </c>
      <c r="F89" s="96"/>
      <c r="G89" s="93"/>
      <c r="H89" s="94"/>
      <c r="I89" s="96"/>
      <c r="J89" s="96"/>
      <c r="K89" s="96"/>
      <c r="L89" s="187" t="s">
        <v>74</v>
      </c>
      <c r="M89" s="96"/>
    </row>
    <row r="90" ht="15.75" customHeight="1">
      <c r="A90" s="188"/>
      <c r="B90" s="100"/>
      <c r="C90" s="95"/>
      <c r="D90" s="96"/>
      <c r="E90" s="95"/>
      <c r="F90" s="96"/>
      <c r="G90" s="93"/>
      <c r="H90" s="94"/>
      <c r="I90" s="96"/>
      <c r="J90" s="96"/>
      <c r="K90" s="96"/>
      <c r="L90" s="189"/>
      <c r="M90" s="96"/>
    </row>
    <row r="91" ht="12.75" customHeight="1">
      <c r="A91" s="188"/>
      <c r="B91" s="190"/>
      <c r="C91" s="95"/>
      <c r="D91" s="96"/>
      <c r="E91" s="95"/>
      <c r="F91" s="96"/>
      <c r="G91" s="93"/>
      <c r="H91" s="94"/>
      <c r="I91" s="96"/>
      <c r="J91" s="96"/>
      <c r="K91" s="96"/>
      <c r="L91" s="189"/>
      <c r="M91" s="96"/>
    </row>
    <row r="92" ht="23.25" customHeight="1">
      <c r="A92" s="95"/>
      <c r="B92" s="190"/>
      <c r="C92" s="95"/>
      <c r="D92" s="191"/>
      <c r="E92" s="95"/>
      <c r="F92" s="100"/>
      <c r="G92" s="101"/>
      <c r="H92" s="102"/>
      <c r="I92" s="96"/>
      <c r="J92" s="100"/>
      <c r="K92" s="100"/>
      <c r="L92" s="189"/>
      <c r="M92" s="100"/>
    </row>
    <row r="93" ht="15.75" customHeight="1">
      <c r="A93" s="188"/>
      <c r="B93" s="190"/>
      <c r="C93" s="95"/>
      <c r="D93" s="96"/>
      <c r="E93" s="95"/>
      <c r="F93" s="100"/>
      <c r="G93" s="101"/>
      <c r="H93" s="102"/>
      <c r="I93" s="96"/>
      <c r="J93" s="100"/>
      <c r="K93" s="100"/>
      <c r="L93" s="189"/>
      <c r="M93" s="100"/>
    </row>
    <row r="94" ht="21.75" customHeight="1">
      <c r="A94" s="192" t="s">
        <v>75</v>
      </c>
      <c r="B94" s="100"/>
      <c r="C94" s="95"/>
      <c r="D94" s="96"/>
      <c r="E94" s="193" t="s">
        <v>76</v>
      </c>
      <c r="F94" s="100"/>
      <c r="G94" s="101"/>
      <c r="H94" s="102"/>
      <c r="I94" s="96"/>
      <c r="J94" s="100"/>
      <c r="K94" s="100"/>
      <c r="L94" s="194" t="s">
        <v>77</v>
      </c>
      <c r="M94" s="100"/>
    </row>
    <row r="95" ht="18.0" customHeight="1">
      <c r="A95" s="188" t="s">
        <v>78</v>
      </c>
      <c r="B95" s="100"/>
      <c r="C95" s="95"/>
      <c r="D95" s="95"/>
      <c r="E95" s="95" t="s">
        <v>79</v>
      </c>
      <c r="F95" s="100"/>
      <c r="G95" s="101"/>
      <c r="H95" s="102"/>
      <c r="I95" s="96"/>
      <c r="J95" s="100"/>
      <c r="K95" s="100"/>
      <c r="L95" s="189" t="s">
        <v>80</v>
      </c>
      <c r="M95" s="100"/>
    </row>
    <row r="96" ht="16.5" customHeight="1">
      <c r="A96" s="91"/>
      <c r="B96" s="185"/>
      <c r="C96" s="90"/>
      <c r="D96" s="91"/>
      <c r="E96" s="92"/>
      <c r="F96" s="92"/>
      <c r="G96" s="104"/>
      <c r="H96" s="105"/>
      <c r="I96" s="92"/>
      <c r="J96" s="92"/>
      <c r="K96" s="92"/>
      <c r="L96" s="92"/>
      <c r="M96" s="92"/>
    </row>
    <row r="97" ht="16.5" customHeight="1">
      <c r="A97" s="91"/>
      <c r="B97" s="185"/>
      <c r="C97" s="90"/>
      <c r="D97" s="91"/>
      <c r="E97" s="92"/>
      <c r="F97" s="92"/>
      <c r="G97" s="104"/>
      <c r="H97" s="105"/>
      <c r="I97" s="92"/>
      <c r="J97" s="92"/>
      <c r="K97" s="92"/>
      <c r="L97" s="92"/>
      <c r="M97" s="92"/>
    </row>
    <row r="98" ht="16.5" customHeight="1">
      <c r="A98" s="91"/>
      <c r="B98" s="185"/>
      <c r="C98" s="90"/>
      <c r="D98" s="91"/>
      <c r="E98" s="92"/>
      <c r="F98" s="92"/>
      <c r="G98" s="104"/>
      <c r="H98" s="105"/>
      <c r="I98" s="92"/>
      <c r="J98" s="92"/>
      <c r="K98" s="92"/>
      <c r="L98" s="92"/>
      <c r="M98" s="92"/>
    </row>
    <row r="99" ht="16.5" customHeight="1">
      <c r="A99" s="91"/>
      <c r="B99" s="185"/>
      <c r="C99" s="90"/>
      <c r="D99" s="91"/>
      <c r="E99" s="92"/>
      <c r="F99" s="92"/>
      <c r="G99" s="104"/>
      <c r="H99" s="105"/>
      <c r="I99" s="92"/>
      <c r="J99" s="92"/>
      <c r="K99" s="92"/>
      <c r="L99" s="92"/>
      <c r="M99" s="92"/>
    </row>
    <row r="100" ht="16.5" customHeight="1">
      <c r="A100" s="91"/>
      <c r="B100" s="185"/>
      <c r="C100" s="90"/>
      <c r="D100" s="91"/>
      <c r="E100" s="92"/>
      <c r="F100" s="92"/>
      <c r="G100" s="104"/>
      <c r="H100" s="105"/>
      <c r="I100" s="92"/>
      <c r="J100" s="92"/>
      <c r="K100" s="92"/>
      <c r="L100" s="92"/>
      <c r="M100" s="92"/>
    </row>
    <row r="101" ht="16.5" customHeight="1">
      <c r="A101" s="91"/>
      <c r="B101" s="185"/>
      <c r="C101" s="90"/>
      <c r="D101" s="91"/>
      <c r="E101" s="92"/>
      <c r="F101" s="92"/>
      <c r="G101" s="104"/>
      <c r="H101" s="105"/>
      <c r="I101" s="92"/>
      <c r="J101" s="92"/>
      <c r="K101" s="92"/>
      <c r="L101" s="92"/>
      <c r="M101" s="92"/>
    </row>
    <row r="102" ht="16.5" customHeight="1">
      <c r="A102" s="91"/>
      <c r="B102" s="185"/>
      <c r="C102" s="90"/>
      <c r="D102" s="91"/>
      <c r="E102" s="92"/>
      <c r="F102" s="92"/>
      <c r="G102" s="104"/>
      <c r="H102" s="105"/>
      <c r="I102" s="92"/>
      <c r="J102" s="92"/>
      <c r="K102" s="92"/>
      <c r="L102" s="92"/>
      <c r="M102" s="92"/>
    </row>
    <row r="103" ht="16.5" customHeight="1">
      <c r="A103" s="91"/>
      <c r="B103" s="185"/>
      <c r="C103" s="90"/>
      <c r="D103" s="91"/>
      <c r="E103" s="92"/>
      <c r="F103" s="92"/>
      <c r="G103" s="104"/>
      <c r="H103" s="105"/>
      <c r="I103" s="92"/>
      <c r="J103" s="92"/>
      <c r="K103" s="92"/>
      <c r="L103" s="92"/>
      <c r="M103" s="92"/>
    </row>
    <row r="104" ht="16.5" customHeight="1">
      <c r="A104" s="91"/>
      <c r="B104" s="185"/>
      <c r="C104" s="90"/>
      <c r="D104" s="91"/>
      <c r="E104" s="92"/>
      <c r="F104" s="92"/>
      <c r="G104" s="104"/>
      <c r="H104" s="105"/>
      <c r="I104" s="92"/>
      <c r="J104" s="92"/>
      <c r="K104" s="92"/>
      <c r="L104" s="92"/>
      <c r="M104" s="92"/>
    </row>
    <row r="105" ht="16.5" customHeight="1">
      <c r="A105" s="91"/>
      <c r="B105" s="185"/>
      <c r="C105" s="90"/>
      <c r="D105" s="91"/>
      <c r="E105" s="92"/>
      <c r="F105" s="92"/>
      <c r="G105" s="104"/>
      <c r="H105" s="105"/>
      <c r="I105" s="92"/>
      <c r="J105" s="92"/>
      <c r="K105" s="92"/>
      <c r="L105" s="92"/>
      <c r="M105" s="92"/>
    </row>
    <row r="106" ht="16.5" customHeight="1">
      <c r="A106" s="91"/>
      <c r="B106" s="185"/>
      <c r="C106" s="90"/>
      <c r="D106" s="91"/>
      <c r="E106" s="92"/>
      <c r="F106" s="92"/>
      <c r="G106" s="104"/>
      <c r="H106" s="105"/>
      <c r="I106" s="92"/>
      <c r="J106" s="92"/>
      <c r="K106" s="92"/>
      <c r="L106" s="92"/>
      <c r="M106" s="92"/>
    </row>
    <row r="107" ht="16.5" customHeight="1">
      <c r="A107" s="91"/>
      <c r="B107" s="185"/>
      <c r="C107" s="90"/>
      <c r="D107" s="91"/>
      <c r="E107" s="92"/>
      <c r="F107" s="92"/>
      <c r="G107" s="104"/>
      <c r="H107" s="105"/>
      <c r="I107" s="92"/>
      <c r="J107" s="92"/>
      <c r="K107" s="92"/>
      <c r="L107" s="92"/>
      <c r="M107" s="92"/>
    </row>
    <row r="108" ht="16.5" customHeight="1">
      <c r="A108" s="91"/>
      <c r="B108" s="185"/>
      <c r="C108" s="90"/>
      <c r="D108" s="91"/>
      <c r="E108" s="92"/>
      <c r="F108" s="92"/>
      <c r="G108" s="104"/>
      <c r="H108" s="105"/>
      <c r="I108" s="92"/>
      <c r="J108" s="92"/>
      <c r="K108" s="92"/>
      <c r="L108" s="92"/>
      <c r="M108" s="92"/>
    </row>
    <row r="109" ht="16.5" customHeight="1">
      <c r="A109" s="91"/>
      <c r="B109" s="185"/>
      <c r="C109" s="90"/>
      <c r="D109" s="91"/>
      <c r="E109" s="92"/>
      <c r="F109" s="92"/>
      <c r="G109" s="104"/>
      <c r="H109" s="105"/>
      <c r="I109" s="92"/>
      <c r="J109" s="92"/>
      <c r="K109" s="92"/>
      <c r="L109" s="92"/>
      <c r="M109" s="92"/>
    </row>
    <row r="110" ht="16.5" customHeight="1">
      <c r="A110" s="91"/>
      <c r="B110" s="185"/>
      <c r="C110" s="90"/>
      <c r="D110" s="91"/>
      <c r="E110" s="92"/>
      <c r="F110" s="92"/>
      <c r="G110" s="104"/>
      <c r="H110" s="105"/>
      <c r="I110" s="92"/>
      <c r="J110" s="92"/>
      <c r="K110" s="92"/>
      <c r="L110" s="92"/>
      <c r="M110" s="92"/>
    </row>
    <row r="111" ht="16.5" customHeight="1">
      <c r="A111" s="91"/>
      <c r="B111" s="185"/>
      <c r="C111" s="90"/>
      <c r="D111" s="91"/>
      <c r="E111" s="92"/>
      <c r="F111" s="92"/>
      <c r="G111" s="104"/>
      <c r="H111" s="105"/>
      <c r="I111" s="92"/>
      <c r="J111" s="92"/>
      <c r="K111" s="92"/>
      <c r="L111" s="92"/>
      <c r="M111" s="92"/>
    </row>
    <row r="112" ht="16.5" customHeight="1">
      <c r="A112" s="91"/>
      <c r="B112" s="185"/>
      <c r="C112" s="90"/>
      <c r="D112" s="91"/>
      <c r="E112" s="92"/>
      <c r="F112" s="92"/>
      <c r="G112" s="104"/>
      <c r="H112" s="105"/>
      <c r="I112" s="92"/>
      <c r="J112" s="92"/>
      <c r="K112" s="92"/>
      <c r="L112" s="92"/>
      <c r="M112" s="92"/>
    </row>
    <row r="113" ht="16.5" customHeight="1">
      <c r="A113" s="91"/>
      <c r="B113" s="185"/>
      <c r="C113" s="90"/>
      <c r="D113" s="91"/>
      <c r="E113" s="92"/>
      <c r="F113" s="92"/>
      <c r="G113" s="104"/>
      <c r="H113" s="105"/>
      <c r="I113" s="92"/>
      <c r="J113" s="92"/>
      <c r="K113" s="92"/>
      <c r="L113" s="92"/>
      <c r="M113" s="92"/>
    </row>
    <row r="114" ht="16.5" customHeight="1">
      <c r="A114" s="91"/>
      <c r="B114" s="185"/>
      <c r="C114" s="90"/>
      <c r="D114" s="91"/>
      <c r="E114" s="92"/>
      <c r="F114" s="92"/>
      <c r="G114" s="104"/>
      <c r="H114" s="105"/>
      <c r="I114" s="92"/>
      <c r="J114" s="92"/>
      <c r="K114" s="92"/>
      <c r="L114" s="92"/>
      <c r="M114" s="92"/>
    </row>
    <row r="115" ht="16.5" customHeight="1">
      <c r="A115" s="91"/>
      <c r="B115" s="185"/>
      <c r="C115" s="90"/>
      <c r="D115" s="91"/>
      <c r="E115" s="92"/>
      <c r="F115" s="92"/>
      <c r="G115" s="104"/>
      <c r="H115" s="105"/>
      <c r="I115" s="92"/>
      <c r="J115" s="92"/>
      <c r="K115" s="92"/>
      <c r="L115" s="92"/>
      <c r="M115" s="92"/>
    </row>
    <row r="116" ht="16.5" customHeight="1">
      <c r="A116" s="91"/>
      <c r="B116" s="185"/>
      <c r="C116" s="90"/>
      <c r="D116" s="91"/>
      <c r="E116" s="92"/>
      <c r="F116" s="92"/>
      <c r="G116" s="104"/>
      <c r="H116" s="105"/>
      <c r="I116" s="92"/>
      <c r="J116" s="92"/>
      <c r="K116" s="92"/>
      <c r="L116" s="92"/>
      <c r="M116" s="92"/>
    </row>
    <row r="117" ht="16.5" customHeight="1">
      <c r="A117" s="91"/>
      <c r="B117" s="185"/>
      <c r="C117" s="90"/>
      <c r="D117" s="91"/>
      <c r="E117" s="92"/>
      <c r="F117" s="92"/>
      <c r="G117" s="104"/>
      <c r="H117" s="105"/>
      <c r="I117" s="92"/>
      <c r="J117" s="92"/>
      <c r="K117" s="92"/>
      <c r="L117" s="92"/>
      <c r="M117" s="92"/>
    </row>
    <row r="118" ht="16.5" customHeight="1">
      <c r="A118" s="91"/>
      <c r="B118" s="185"/>
      <c r="C118" s="90"/>
      <c r="D118" s="91"/>
      <c r="E118" s="92"/>
      <c r="F118" s="92"/>
      <c r="G118" s="104"/>
      <c r="H118" s="105"/>
      <c r="I118" s="92"/>
      <c r="J118" s="92"/>
      <c r="K118" s="92"/>
      <c r="L118" s="92"/>
      <c r="M118" s="92"/>
    </row>
    <row r="119" ht="16.5" customHeight="1">
      <c r="A119" s="91"/>
      <c r="B119" s="185"/>
      <c r="C119" s="90"/>
      <c r="D119" s="91"/>
      <c r="E119" s="92"/>
      <c r="F119" s="92"/>
      <c r="G119" s="104"/>
      <c r="H119" s="105"/>
      <c r="I119" s="92"/>
      <c r="J119" s="92"/>
      <c r="K119" s="92"/>
      <c r="L119" s="92"/>
      <c r="M119" s="92"/>
    </row>
    <row r="120" ht="16.5" customHeight="1">
      <c r="A120" s="91"/>
      <c r="B120" s="185"/>
      <c r="C120" s="90"/>
      <c r="D120" s="91"/>
      <c r="E120" s="92"/>
      <c r="F120" s="92"/>
      <c r="G120" s="104"/>
      <c r="H120" s="105"/>
      <c r="I120" s="92"/>
      <c r="J120" s="92"/>
      <c r="K120" s="92"/>
      <c r="L120" s="92"/>
      <c r="M120" s="92"/>
    </row>
    <row r="121" ht="16.5" customHeight="1">
      <c r="A121" s="91"/>
      <c r="B121" s="185"/>
      <c r="C121" s="90"/>
      <c r="D121" s="91"/>
      <c r="E121" s="92"/>
      <c r="F121" s="92"/>
      <c r="G121" s="104"/>
      <c r="H121" s="105"/>
      <c r="I121" s="92"/>
      <c r="J121" s="92"/>
      <c r="K121" s="92"/>
      <c r="L121" s="92"/>
      <c r="M121" s="92"/>
    </row>
    <row r="122" ht="16.5" customHeight="1">
      <c r="A122" s="91"/>
      <c r="B122" s="185"/>
      <c r="C122" s="90"/>
      <c r="D122" s="91"/>
      <c r="E122" s="92"/>
      <c r="F122" s="92"/>
      <c r="G122" s="104"/>
      <c r="H122" s="105"/>
      <c r="I122" s="92"/>
      <c r="J122" s="92"/>
      <c r="K122" s="92"/>
      <c r="L122" s="92"/>
      <c r="M122" s="92"/>
    </row>
    <row r="123" ht="16.5" customHeight="1">
      <c r="A123" s="91"/>
      <c r="B123" s="185"/>
      <c r="C123" s="90"/>
      <c r="D123" s="91"/>
      <c r="E123" s="92"/>
      <c r="F123" s="92"/>
      <c r="G123" s="104"/>
      <c r="H123" s="105"/>
      <c r="I123" s="92"/>
      <c r="J123" s="92"/>
      <c r="K123" s="92"/>
      <c r="L123" s="92"/>
      <c r="M123" s="92"/>
    </row>
    <row r="124" ht="16.5" customHeight="1">
      <c r="A124" s="91"/>
      <c r="B124" s="185"/>
      <c r="C124" s="90"/>
      <c r="D124" s="91"/>
      <c r="E124" s="92"/>
      <c r="F124" s="92"/>
      <c r="G124" s="104"/>
      <c r="H124" s="105"/>
      <c r="I124" s="92"/>
      <c r="J124" s="92"/>
      <c r="K124" s="92"/>
      <c r="L124" s="92"/>
      <c r="M124" s="92"/>
    </row>
    <row r="125" ht="16.5" customHeight="1">
      <c r="A125" s="91"/>
      <c r="B125" s="185"/>
      <c r="C125" s="90"/>
      <c r="D125" s="91"/>
      <c r="E125" s="92"/>
      <c r="F125" s="92"/>
      <c r="G125" s="104"/>
      <c r="H125" s="105"/>
      <c r="I125" s="92"/>
      <c r="J125" s="92"/>
      <c r="K125" s="92"/>
      <c r="L125" s="92"/>
      <c r="M125" s="92"/>
    </row>
    <row r="126" ht="16.5" customHeight="1">
      <c r="A126" s="91"/>
      <c r="B126" s="185"/>
      <c r="C126" s="90"/>
      <c r="D126" s="91"/>
      <c r="E126" s="92"/>
      <c r="F126" s="92"/>
      <c r="G126" s="104"/>
      <c r="H126" s="105"/>
      <c r="I126" s="92"/>
      <c r="J126" s="92"/>
      <c r="K126" s="92"/>
      <c r="L126" s="92"/>
      <c r="M126" s="92"/>
    </row>
    <row r="127" ht="16.5" customHeight="1">
      <c r="A127" s="91"/>
      <c r="B127" s="185"/>
      <c r="C127" s="90"/>
      <c r="D127" s="91"/>
      <c r="E127" s="92"/>
      <c r="F127" s="92"/>
      <c r="G127" s="104"/>
      <c r="H127" s="105"/>
      <c r="I127" s="92"/>
      <c r="J127" s="92"/>
      <c r="K127" s="92"/>
      <c r="L127" s="92"/>
      <c r="M127" s="92"/>
    </row>
    <row r="128" ht="16.5" customHeight="1">
      <c r="A128" s="91"/>
      <c r="B128" s="185"/>
      <c r="C128" s="90"/>
      <c r="D128" s="91"/>
      <c r="E128" s="92"/>
      <c r="F128" s="92"/>
      <c r="G128" s="104"/>
      <c r="H128" s="105"/>
      <c r="I128" s="92"/>
      <c r="J128" s="92"/>
      <c r="K128" s="92"/>
      <c r="L128" s="92"/>
      <c r="M128" s="92"/>
    </row>
    <row r="129" ht="16.5" customHeight="1">
      <c r="A129" s="91"/>
      <c r="B129" s="185"/>
      <c r="C129" s="90"/>
      <c r="D129" s="91"/>
      <c r="E129" s="92"/>
      <c r="F129" s="92"/>
      <c r="G129" s="104"/>
      <c r="H129" s="105"/>
      <c r="I129" s="92"/>
      <c r="J129" s="92"/>
      <c r="K129" s="92"/>
      <c r="L129" s="92"/>
      <c r="M129" s="92"/>
    </row>
    <row r="130" ht="16.5" customHeight="1">
      <c r="A130" s="91"/>
      <c r="B130" s="185"/>
      <c r="C130" s="90"/>
      <c r="D130" s="91"/>
      <c r="E130" s="92"/>
      <c r="F130" s="92"/>
      <c r="G130" s="104"/>
      <c r="H130" s="105"/>
      <c r="I130" s="92"/>
      <c r="J130" s="92"/>
      <c r="K130" s="92"/>
      <c r="L130" s="92"/>
      <c r="M130" s="92"/>
    </row>
    <row r="131" ht="16.5" customHeight="1">
      <c r="A131" s="91"/>
      <c r="B131" s="185"/>
      <c r="C131" s="90"/>
      <c r="D131" s="91"/>
      <c r="E131" s="92"/>
      <c r="F131" s="92"/>
      <c r="G131" s="104"/>
      <c r="H131" s="105"/>
      <c r="I131" s="92"/>
      <c r="J131" s="92"/>
      <c r="K131" s="92"/>
      <c r="L131" s="92"/>
      <c r="M131" s="92"/>
    </row>
    <row r="132" ht="16.5" customHeight="1">
      <c r="A132" s="91"/>
      <c r="B132" s="185"/>
      <c r="C132" s="90"/>
      <c r="D132" s="91"/>
      <c r="E132" s="92"/>
      <c r="F132" s="92"/>
      <c r="G132" s="104"/>
      <c r="H132" s="105"/>
      <c r="I132" s="92"/>
      <c r="J132" s="92"/>
      <c r="K132" s="92"/>
      <c r="L132" s="92"/>
      <c r="M132" s="92"/>
    </row>
    <row r="133" ht="16.5" customHeight="1">
      <c r="A133" s="91"/>
      <c r="B133" s="185"/>
      <c r="C133" s="90"/>
      <c r="D133" s="91"/>
      <c r="E133" s="92"/>
      <c r="F133" s="92"/>
      <c r="G133" s="104"/>
      <c r="H133" s="105"/>
      <c r="I133" s="92"/>
      <c r="J133" s="92"/>
      <c r="K133" s="92"/>
      <c r="L133" s="92"/>
      <c r="M133" s="92"/>
    </row>
    <row r="134" ht="16.5" customHeight="1">
      <c r="A134" s="91"/>
      <c r="B134" s="185"/>
      <c r="C134" s="90"/>
      <c r="D134" s="91"/>
      <c r="E134" s="92"/>
      <c r="F134" s="92"/>
      <c r="G134" s="104"/>
      <c r="H134" s="105"/>
      <c r="I134" s="92"/>
      <c r="J134" s="92"/>
      <c r="K134" s="92"/>
      <c r="L134" s="92"/>
      <c r="M134" s="92"/>
    </row>
    <row r="135" ht="16.5" customHeight="1">
      <c r="A135" s="91"/>
      <c r="B135" s="185"/>
      <c r="C135" s="90"/>
      <c r="D135" s="91"/>
      <c r="E135" s="92"/>
      <c r="F135" s="92"/>
      <c r="G135" s="104"/>
      <c r="H135" s="105"/>
      <c r="I135" s="92"/>
      <c r="J135" s="92"/>
      <c r="K135" s="92"/>
      <c r="L135" s="92"/>
      <c r="M135" s="92"/>
    </row>
    <row r="136" ht="16.5" customHeight="1">
      <c r="A136" s="91"/>
      <c r="B136" s="185"/>
      <c r="C136" s="90"/>
      <c r="D136" s="91"/>
      <c r="E136" s="92"/>
      <c r="F136" s="92"/>
      <c r="G136" s="104"/>
      <c r="H136" s="105"/>
      <c r="I136" s="92"/>
      <c r="J136" s="92"/>
      <c r="K136" s="92"/>
      <c r="L136" s="92"/>
      <c r="M136" s="92"/>
    </row>
    <row r="137" ht="16.5" customHeight="1">
      <c r="A137" s="91"/>
      <c r="B137" s="185"/>
      <c r="C137" s="90"/>
      <c r="D137" s="91"/>
      <c r="E137" s="92"/>
      <c r="F137" s="92"/>
      <c r="G137" s="104"/>
      <c r="H137" s="105"/>
      <c r="I137" s="92"/>
      <c r="J137" s="92"/>
      <c r="K137" s="92"/>
      <c r="L137" s="92"/>
      <c r="M137" s="92"/>
    </row>
    <row r="138" ht="16.5" customHeight="1">
      <c r="A138" s="91"/>
      <c r="B138" s="185"/>
      <c r="C138" s="90"/>
      <c r="D138" s="91"/>
      <c r="E138" s="92"/>
      <c r="F138" s="92"/>
      <c r="G138" s="104"/>
      <c r="H138" s="105"/>
      <c r="I138" s="92"/>
      <c r="J138" s="92"/>
      <c r="K138" s="92"/>
      <c r="L138" s="92"/>
      <c r="M138" s="92"/>
    </row>
    <row r="139" ht="16.5" customHeight="1">
      <c r="A139" s="91"/>
      <c r="B139" s="185"/>
      <c r="C139" s="90"/>
      <c r="D139" s="91"/>
      <c r="E139" s="92"/>
      <c r="F139" s="92"/>
      <c r="G139" s="104"/>
      <c r="H139" s="105"/>
      <c r="I139" s="92"/>
      <c r="J139" s="92"/>
      <c r="K139" s="92"/>
      <c r="L139" s="92"/>
      <c r="M139" s="92"/>
    </row>
    <row r="140" ht="16.5" customHeight="1">
      <c r="A140" s="91"/>
      <c r="B140" s="185"/>
      <c r="C140" s="90"/>
      <c r="D140" s="91"/>
      <c r="E140" s="92"/>
      <c r="F140" s="92"/>
      <c r="G140" s="104"/>
      <c r="H140" s="105"/>
      <c r="I140" s="92"/>
      <c r="J140" s="92"/>
      <c r="K140" s="92"/>
      <c r="L140" s="92"/>
      <c r="M140" s="92"/>
    </row>
    <row r="141" ht="16.5" customHeight="1">
      <c r="A141" s="91"/>
      <c r="B141" s="185"/>
      <c r="C141" s="90"/>
      <c r="D141" s="91"/>
      <c r="E141" s="92"/>
      <c r="F141" s="92"/>
      <c r="G141" s="104"/>
      <c r="H141" s="105"/>
      <c r="I141" s="92"/>
      <c r="J141" s="92"/>
      <c r="K141" s="92"/>
      <c r="L141" s="92"/>
      <c r="M141" s="92"/>
    </row>
    <row r="142" ht="16.5" customHeight="1">
      <c r="A142" s="91"/>
      <c r="B142" s="185"/>
      <c r="C142" s="90"/>
      <c r="D142" s="91"/>
      <c r="E142" s="92"/>
      <c r="F142" s="92"/>
      <c r="G142" s="104"/>
      <c r="H142" s="105"/>
      <c r="I142" s="92"/>
      <c r="J142" s="92"/>
      <c r="K142" s="92"/>
      <c r="L142" s="92"/>
      <c r="M142" s="92"/>
    </row>
    <row r="143" ht="16.5" customHeight="1">
      <c r="A143" s="91"/>
      <c r="B143" s="185"/>
      <c r="C143" s="90"/>
      <c r="D143" s="91"/>
      <c r="E143" s="92"/>
      <c r="F143" s="92"/>
      <c r="G143" s="104"/>
      <c r="H143" s="105"/>
      <c r="I143" s="92"/>
      <c r="J143" s="92"/>
      <c r="K143" s="92"/>
      <c r="L143" s="92"/>
      <c r="M143" s="92"/>
    </row>
    <row r="144" ht="16.5" customHeight="1">
      <c r="A144" s="91"/>
      <c r="B144" s="185"/>
      <c r="C144" s="90"/>
      <c r="D144" s="91"/>
      <c r="E144" s="92"/>
      <c r="F144" s="92"/>
      <c r="G144" s="104"/>
      <c r="H144" s="105"/>
      <c r="I144" s="92"/>
      <c r="J144" s="92"/>
      <c r="K144" s="92"/>
      <c r="L144" s="92"/>
      <c r="M144" s="92"/>
    </row>
    <row r="145" ht="16.5" customHeight="1">
      <c r="A145" s="91"/>
      <c r="B145" s="185"/>
      <c r="C145" s="90"/>
      <c r="D145" s="91"/>
      <c r="E145" s="92"/>
      <c r="F145" s="92"/>
      <c r="G145" s="104"/>
      <c r="H145" s="105"/>
      <c r="I145" s="92"/>
      <c r="J145" s="92"/>
      <c r="K145" s="92"/>
      <c r="L145" s="92"/>
      <c r="M145" s="92"/>
    </row>
    <row r="146" ht="16.5" customHeight="1">
      <c r="A146" s="91"/>
      <c r="B146" s="185"/>
      <c r="C146" s="90"/>
      <c r="D146" s="91"/>
      <c r="E146" s="92"/>
      <c r="F146" s="92"/>
      <c r="G146" s="104"/>
      <c r="H146" s="105"/>
      <c r="I146" s="92"/>
      <c r="J146" s="92"/>
      <c r="K146" s="92"/>
      <c r="L146" s="92"/>
      <c r="M146" s="92"/>
    </row>
    <row r="147" ht="16.5" customHeight="1">
      <c r="A147" s="91"/>
      <c r="B147" s="185"/>
      <c r="C147" s="90"/>
      <c r="D147" s="91"/>
      <c r="E147" s="92"/>
      <c r="F147" s="92"/>
      <c r="G147" s="104"/>
      <c r="H147" s="105"/>
      <c r="I147" s="92"/>
      <c r="J147" s="92"/>
      <c r="K147" s="92"/>
      <c r="L147" s="92"/>
      <c r="M147" s="92"/>
    </row>
    <row r="148" ht="16.5" customHeight="1">
      <c r="A148" s="91"/>
      <c r="B148" s="185"/>
      <c r="C148" s="90"/>
      <c r="D148" s="91"/>
      <c r="E148" s="92"/>
      <c r="F148" s="92"/>
      <c r="G148" s="104"/>
      <c r="H148" s="105"/>
      <c r="I148" s="92"/>
      <c r="J148" s="92"/>
      <c r="K148" s="92"/>
      <c r="L148" s="92"/>
      <c r="M148" s="92"/>
    </row>
    <row r="149" ht="16.5" customHeight="1">
      <c r="A149" s="91"/>
      <c r="B149" s="185"/>
      <c r="C149" s="90"/>
      <c r="D149" s="91"/>
      <c r="E149" s="92"/>
      <c r="F149" s="92"/>
      <c r="G149" s="104"/>
      <c r="H149" s="105"/>
      <c r="I149" s="92"/>
      <c r="J149" s="92"/>
      <c r="K149" s="92"/>
      <c r="L149" s="92"/>
      <c r="M149" s="92"/>
    </row>
    <row r="150" ht="16.5" customHeight="1">
      <c r="A150" s="91"/>
      <c r="B150" s="185"/>
      <c r="C150" s="90"/>
      <c r="D150" s="91"/>
      <c r="E150" s="92"/>
      <c r="F150" s="92"/>
      <c r="G150" s="104"/>
      <c r="H150" s="105"/>
      <c r="I150" s="92"/>
      <c r="J150" s="92"/>
      <c r="K150" s="92"/>
      <c r="L150" s="92"/>
      <c r="M150" s="92"/>
    </row>
    <row r="151" ht="16.5" customHeight="1">
      <c r="A151" s="91"/>
      <c r="B151" s="185"/>
      <c r="C151" s="90"/>
      <c r="D151" s="91"/>
      <c r="E151" s="92"/>
      <c r="F151" s="92"/>
      <c r="G151" s="104"/>
      <c r="H151" s="105"/>
      <c r="I151" s="92"/>
      <c r="J151" s="92"/>
      <c r="K151" s="92"/>
      <c r="L151" s="92"/>
      <c r="M151" s="92"/>
    </row>
    <row r="152" ht="16.5" customHeight="1">
      <c r="A152" s="91"/>
      <c r="B152" s="185"/>
      <c r="C152" s="90"/>
      <c r="D152" s="91"/>
      <c r="E152" s="92"/>
      <c r="F152" s="92"/>
      <c r="G152" s="104"/>
      <c r="H152" s="105"/>
      <c r="I152" s="92"/>
      <c r="J152" s="92"/>
      <c r="K152" s="92"/>
      <c r="L152" s="92"/>
      <c r="M152" s="92"/>
    </row>
    <row r="153" ht="16.5" customHeight="1">
      <c r="A153" s="91"/>
      <c r="B153" s="185"/>
      <c r="C153" s="90"/>
      <c r="D153" s="91"/>
      <c r="E153" s="92"/>
      <c r="F153" s="92"/>
      <c r="G153" s="104"/>
      <c r="H153" s="105"/>
      <c r="I153" s="92"/>
      <c r="J153" s="92"/>
      <c r="K153" s="92"/>
      <c r="L153" s="92"/>
      <c r="M153" s="92"/>
    </row>
    <row r="154" ht="16.5" customHeight="1">
      <c r="A154" s="91"/>
      <c r="B154" s="185"/>
      <c r="C154" s="90"/>
      <c r="D154" s="91"/>
      <c r="E154" s="92"/>
      <c r="F154" s="92"/>
      <c r="G154" s="104"/>
      <c r="H154" s="105"/>
      <c r="I154" s="92"/>
      <c r="J154" s="92"/>
      <c r="K154" s="92"/>
      <c r="L154" s="92"/>
      <c r="M154" s="92"/>
    </row>
    <row r="155" ht="16.5" customHeight="1">
      <c r="A155" s="91"/>
      <c r="B155" s="185"/>
      <c r="C155" s="90"/>
      <c r="D155" s="91"/>
      <c r="E155" s="92"/>
      <c r="F155" s="92"/>
      <c r="G155" s="104"/>
      <c r="H155" s="105"/>
      <c r="I155" s="92"/>
      <c r="J155" s="92"/>
      <c r="K155" s="92"/>
      <c r="L155" s="92"/>
      <c r="M155" s="92"/>
    </row>
    <row r="156" ht="16.5" customHeight="1">
      <c r="A156" s="91"/>
      <c r="B156" s="185"/>
      <c r="C156" s="90"/>
      <c r="D156" s="91"/>
      <c r="E156" s="92"/>
      <c r="F156" s="92"/>
      <c r="G156" s="104"/>
      <c r="H156" s="105"/>
      <c r="I156" s="92"/>
      <c r="J156" s="92"/>
      <c r="K156" s="92"/>
      <c r="L156" s="92"/>
      <c r="M156" s="92"/>
    </row>
    <row r="157" ht="16.5" customHeight="1">
      <c r="A157" s="91"/>
      <c r="B157" s="185"/>
      <c r="C157" s="90"/>
      <c r="D157" s="91"/>
      <c r="E157" s="92"/>
      <c r="F157" s="92"/>
      <c r="G157" s="104"/>
      <c r="H157" s="105"/>
      <c r="I157" s="92"/>
      <c r="J157" s="92"/>
      <c r="K157" s="92"/>
      <c r="L157" s="92"/>
      <c r="M157" s="92"/>
    </row>
    <row r="158" ht="16.5" customHeight="1">
      <c r="A158" s="91"/>
      <c r="B158" s="185"/>
      <c r="C158" s="90"/>
      <c r="D158" s="91"/>
      <c r="E158" s="92"/>
      <c r="F158" s="92"/>
      <c r="G158" s="104"/>
      <c r="H158" s="105"/>
      <c r="I158" s="92"/>
      <c r="J158" s="92"/>
      <c r="K158" s="92"/>
      <c r="L158" s="92"/>
      <c r="M158" s="92"/>
    </row>
    <row r="159" ht="16.5" customHeight="1">
      <c r="A159" s="91"/>
      <c r="B159" s="185"/>
      <c r="C159" s="90"/>
      <c r="D159" s="91"/>
      <c r="E159" s="92"/>
      <c r="F159" s="92"/>
      <c r="G159" s="104"/>
      <c r="H159" s="105"/>
      <c r="I159" s="92"/>
      <c r="J159" s="92"/>
      <c r="K159" s="92"/>
      <c r="L159" s="92"/>
      <c r="M159" s="92"/>
    </row>
    <row r="160" ht="16.5" customHeight="1">
      <c r="A160" s="91"/>
      <c r="B160" s="185"/>
      <c r="C160" s="90"/>
      <c r="D160" s="91"/>
      <c r="E160" s="92"/>
      <c r="F160" s="92"/>
      <c r="G160" s="104"/>
      <c r="H160" s="105"/>
      <c r="I160" s="92"/>
      <c r="J160" s="92"/>
      <c r="K160" s="92"/>
      <c r="L160" s="92"/>
      <c r="M160" s="92"/>
    </row>
    <row r="161" ht="16.5" customHeight="1">
      <c r="A161" s="91"/>
      <c r="B161" s="185"/>
      <c r="C161" s="90"/>
      <c r="D161" s="91"/>
      <c r="E161" s="92"/>
      <c r="F161" s="92"/>
      <c r="G161" s="104"/>
      <c r="H161" s="105"/>
      <c r="I161" s="92"/>
      <c r="J161" s="92"/>
      <c r="K161" s="92"/>
      <c r="L161" s="92"/>
      <c r="M161" s="92"/>
    </row>
    <row r="162" ht="16.5" customHeight="1">
      <c r="A162" s="91"/>
      <c r="B162" s="185"/>
      <c r="C162" s="90"/>
      <c r="D162" s="91"/>
      <c r="E162" s="92"/>
      <c r="F162" s="92"/>
      <c r="G162" s="104"/>
      <c r="H162" s="105"/>
      <c r="I162" s="92"/>
      <c r="J162" s="92"/>
      <c r="K162" s="92"/>
      <c r="L162" s="92"/>
      <c r="M162" s="92"/>
    </row>
    <row r="163" ht="16.5" customHeight="1">
      <c r="A163" s="91"/>
      <c r="B163" s="185"/>
      <c r="C163" s="90"/>
      <c r="D163" s="91"/>
      <c r="E163" s="92"/>
      <c r="F163" s="92"/>
      <c r="G163" s="104"/>
      <c r="H163" s="105"/>
      <c r="I163" s="92"/>
      <c r="J163" s="92"/>
      <c r="K163" s="92"/>
      <c r="L163" s="92"/>
      <c r="M163" s="92"/>
    </row>
    <row r="164" ht="16.5" customHeight="1">
      <c r="A164" s="91"/>
      <c r="B164" s="185"/>
      <c r="C164" s="90"/>
      <c r="D164" s="91"/>
      <c r="E164" s="92"/>
      <c r="F164" s="92"/>
      <c r="G164" s="104"/>
      <c r="H164" s="105"/>
      <c r="I164" s="92"/>
      <c r="J164" s="92"/>
      <c r="K164" s="92"/>
      <c r="L164" s="92"/>
      <c r="M164" s="92"/>
    </row>
    <row r="165" ht="16.5" customHeight="1">
      <c r="A165" s="91"/>
      <c r="B165" s="185"/>
      <c r="C165" s="90"/>
      <c r="D165" s="91"/>
      <c r="E165" s="92"/>
      <c r="F165" s="92"/>
      <c r="G165" s="104"/>
      <c r="H165" s="105"/>
      <c r="I165" s="92"/>
      <c r="J165" s="92"/>
      <c r="K165" s="92"/>
      <c r="L165" s="92"/>
      <c r="M165" s="92"/>
    </row>
    <row r="166" ht="16.5" customHeight="1">
      <c r="A166" s="91"/>
      <c r="B166" s="185"/>
      <c r="C166" s="90"/>
      <c r="D166" s="91"/>
      <c r="E166" s="92"/>
      <c r="F166" s="92"/>
      <c r="G166" s="104"/>
      <c r="H166" s="105"/>
      <c r="I166" s="92"/>
      <c r="J166" s="92"/>
      <c r="K166" s="92"/>
      <c r="L166" s="92"/>
      <c r="M166" s="92"/>
    </row>
    <row r="167" ht="16.5" customHeight="1">
      <c r="A167" s="91"/>
      <c r="B167" s="185"/>
      <c r="C167" s="90"/>
      <c r="D167" s="91"/>
      <c r="E167" s="92"/>
      <c r="F167" s="92"/>
      <c r="G167" s="104"/>
      <c r="H167" s="105"/>
      <c r="I167" s="92"/>
      <c r="J167" s="92"/>
      <c r="K167" s="92"/>
      <c r="L167" s="92"/>
      <c r="M167" s="92"/>
    </row>
    <row r="168" ht="16.5" customHeight="1">
      <c r="A168" s="91"/>
      <c r="B168" s="185"/>
      <c r="C168" s="90"/>
      <c r="D168" s="91"/>
      <c r="E168" s="92"/>
      <c r="F168" s="92"/>
      <c r="G168" s="104"/>
      <c r="H168" s="105"/>
      <c r="I168" s="92"/>
      <c r="J168" s="92"/>
      <c r="K168" s="92"/>
      <c r="L168" s="92"/>
      <c r="M168" s="92"/>
    </row>
    <row r="169" ht="16.5" customHeight="1">
      <c r="A169" s="91"/>
      <c r="B169" s="185"/>
      <c r="C169" s="90"/>
      <c r="D169" s="91"/>
      <c r="E169" s="92"/>
      <c r="F169" s="92"/>
      <c r="G169" s="104"/>
      <c r="H169" s="105"/>
      <c r="I169" s="92"/>
      <c r="J169" s="92"/>
      <c r="K169" s="92"/>
      <c r="L169" s="92"/>
      <c r="M169" s="92"/>
    </row>
    <row r="170" ht="16.5" customHeight="1">
      <c r="A170" s="91"/>
      <c r="B170" s="185"/>
      <c r="C170" s="90"/>
      <c r="D170" s="91"/>
      <c r="E170" s="92"/>
      <c r="F170" s="92"/>
      <c r="G170" s="104"/>
      <c r="H170" s="105"/>
      <c r="I170" s="92"/>
      <c r="J170" s="92"/>
      <c r="K170" s="92"/>
      <c r="L170" s="92"/>
      <c r="M170" s="92"/>
    </row>
    <row r="171" ht="16.5" customHeight="1">
      <c r="A171" s="91"/>
      <c r="B171" s="185"/>
      <c r="C171" s="90"/>
      <c r="D171" s="91"/>
      <c r="E171" s="92"/>
      <c r="F171" s="92"/>
      <c r="G171" s="104"/>
      <c r="H171" s="105"/>
      <c r="I171" s="92"/>
      <c r="J171" s="92"/>
      <c r="K171" s="92"/>
      <c r="L171" s="92"/>
      <c r="M171" s="92"/>
    </row>
    <row r="172" ht="16.5" customHeight="1">
      <c r="A172" s="91"/>
      <c r="B172" s="185"/>
      <c r="C172" s="90"/>
      <c r="D172" s="91"/>
      <c r="E172" s="92"/>
      <c r="F172" s="92"/>
      <c r="G172" s="104"/>
      <c r="H172" s="105"/>
      <c r="I172" s="92"/>
      <c r="J172" s="92"/>
      <c r="K172" s="92"/>
      <c r="L172" s="92"/>
      <c r="M172" s="92"/>
    </row>
    <row r="173" ht="16.5" customHeight="1">
      <c r="A173" s="91"/>
      <c r="B173" s="185"/>
      <c r="C173" s="90"/>
      <c r="D173" s="91"/>
      <c r="E173" s="92"/>
      <c r="F173" s="92"/>
      <c r="G173" s="104"/>
      <c r="H173" s="105"/>
      <c r="I173" s="92"/>
      <c r="J173" s="92"/>
      <c r="K173" s="92"/>
      <c r="L173" s="92"/>
      <c r="M173" s="92"/>
    </row>
    <row r="174" ht="16.5" customHeight="1">
      <c r="A174" s="91"/>
      <c r="B174" s="185"/>
      <c r="C174" s="90"/>
      <c r="D174" s="91"/>
      <c r="E174" s="92"/>
      <c r="F174" s="92"/>
      <c r="G174" s="104"/>
      <c r="H174" s="105"/>
      <c r="I174" s="92"/>
      <c r="J174" s="92"/>
      <c r="K174" s="92"/>
      <c r="L174" s="92"/>
      <c r="M174" s="92"/>
    </row>
    <row r="175" ht="16.5" customHeight="1">
      <c r="A175" s="91"/>
      <c r="B175" s="185"/>
      <c r="C175" s="90"/>
      <c r="D175" s="91"/>
      <c r="E175" s="92"/>
      <c r="F175" s="92"/>
      <c r="G175" s="104"/>
      <c r="H175" s="105"/>
      <c r="I175" s="92"/>
      <c r="J175" s="92"/>
      <c r="K175" s="92"/>
      <c r="L175" s="92"/>
      <c r="M175" s="92"/>
    </row>
    <row r="176" ht="16.5" customHeight="1">
      <c r="A176" s="91"/>
      <c r="B176" s="185"/>
      <c r="C176" s="90"/>
      <c r="D176" s="91"/>
      <c r="E176" s="92"/>
      <c r="F176" s="92"/>
      <c r="G176" s="104"/>
      <c r="H176" s="105"/>
      <c r="I176" s="92"/>
      <c r="J176" s="92"/>
      <c r="K176" s="92"/>
      <c r="L176" s="92"/>
      <c r="M176" s="92"/>
    </row>
    <row r="177" ht="16.5" customHeight="1">
      <c r="A177" s="91"/>
      <c r="B177" s="185"/>
      <c r="C177" s="90"/>
      <c r="D177" s="91"/>
      <c r="E177" s="92"/>
      <c r="F177" s="92"/>
      <c r="G177" s="104"/>
      <c r="H177" s="105"/>
      <c r="I177" s="92"/>
      <c r="J177" s="92"/>
      <c r="K177" s="92"/>
      <c r="L177" s="92"/>
      <c r="M177" s="92"/>
    </row>
    <row r="178" ht="16.5" customHeight="1">
      <c r="A178" s="91"/>
      <c r="B178" s="185"/>
      <c r="C178" s="90"/>
      <c r="D178" s="91"/>
      <c r="E178" s="92"/>
      <c r="F178" s="92"/>
      <c r="G178" s="104"/>
      <c r="H178" s="105"/>
      <c r="I178" s="92"/>
      <c r="J178" s="92"/>
      <c r="K178" s="92"/>
      <c r="L178" s="92"/>
      <c r="M178" s="92"/>
    </row>
    <row r="179" ht="16.5" customHeight="1">
      <c r="A179" s="91"/>
      <c r="B179" s="185"/>
      <c r="C179" s="90"/>
      <c r="D179" s="91"/>
      <c r="E179" s="92"/>
      <c r="F179" s="92"/>
      <c r="G179" s="104"/>
      <c r="H179" s="105"/>
      <c r="I179" s="92"/>
      <c r="J179" s="92"/>
      <c r="K179" s="92"/>
      <c r="L179" s="92"/>
      <c r="M179" s="92"/>
    </row>
    <row r="180" ht="16.5" customHeight="1">
      <c r="A180" s="91"/>
      <c r="B180" s="185"/>
      <c r="C180" s="90"/>
      <c r="D180" s="91"/>
      <c r="E180" s="92"/>
      <c r="F180" s="92"/>
      <c r="G180" s="104"/>
      <c r="H180" s="105"/>
      <c r="I180" s="92"/>
      <c r="J180" s="92"/>
      <c r="K180" s="92"/>
      <c r="L180" s="92"/>
      <c r="M180" s="92"/>
    </row>
    <row r="181" ht="16.5" customHeight="1">
      <c r="A181" s="91"/>
      <c r="B181" s="185"/>
      <c r="C181" s="90"/>
      <c r="D181" s="91"/>
      <c r="E181" s="92"/>
      <c r="F181" s="92"/>
      <c r="G181" s="104"/>
      <c r="H181" s="105"/>
      <c r="I181" s="92"/>
      <c r="J181" s="92"/>
      <c r="K181" s="92"/>
      <c r="L181" s="92"/>
      <c r="M181" s="92"/>
    </row>
    <row r="182" ht="16.5" customHeight="1">
      <c r="A182" s="91"/>
      <c r="B182" s="185"/>
      <c r="C182" s="90"/>
      <c r="D182" s="91"/>
      <c r="E182" s="92"/>
      <c r="F182" s="92"/>
      <c r="G182" s="104"/>
      <c r="H182" s="105"/>
      <c r="I182" s="92"/>
      <c r="J182" s="92"/>
      <c r="K182" s="92"/>
      <c r="L182" s="92"/>
      <c r="M182" s="92"/>
    </row>
    <row r="183" ht="16.5" customHeight="1">
      <c r="A183" s="91"/>
      <c r="B183" s="185"/>
      <c r="C183" s="90"/>
      <c r="D183" s="91"/>
      <c r="E183" s="92"/>
      <c r="F183" s="92"/>
      <c r="G183" s="104"/>
      <c r="H183" s="105"/>
      <c r="I183" s="92"/>
      <c r="J183" s="92"/>
      <c r="K183" s="92"/>
      <c r="L183" s="92"/>
      <c r="M183" s="92"/>
    </row>
    <row r="184" ht="16.5" customHeight="1">
      <c r="A184" s="91"/>
      <c r="B184" s="185"/>
      <c r="C184" s="90"/>
      <c r="D184" s="91"/>
      <c r="E184" s="92"/>
      <c r="F184" s="92"/>
      <c r="G184" s="104"/>
      <c r="H184" s="105"/>
      <c r="I184" s="92"/>
      <c r="J184" s="92"/>
      <c r="K184" s="92"/>
      <c r="L184" s="92"/>
      <c r="M184" s="92"/>
    </row>
    <row r="185" ht="16.5" customHeight="1">
      <c r="A185" s="91"/>
      <c r="B185" s="185"/>
      <c r="C185" s="90"/>
      <c r="D185" s="91"/>
      <c r="E185" s="92"/>
      <c r="F185" s="92"/>
      <c r="G185" s="104"/>
      <c r="H185" s="105"/>
      <c r="I185" s="92"/>
      <c r="J185" s="92"/>
      <c r="K185" s="92"/>
      <c r="L185" s="92"/>
      <c r="M185" s="92"/>
    </row>
    <row r="186" ht="16.5" customHeight="1">
      <c r="A186" s="91"/>
      <c r="B186" s="185"/>
      <c r="C186" s="90"/>
      <c r="D186" s="91"/>
      <c r="E186" s="92"/>
      <c r="F186" s="92"/>
      <c r="G186" s="104"/>
      <c r="H186" s="105"/>
      <c r="I186" s="92"/>
      <c r="J186" s="92"/>
      <c r="K186" s="92"/>
      <c r="L186" s="92"/>
      <c r="M186" s="92"/>
    </row>
    <row r="187" ht="16.5" customHeight="1">
      <c r="A187" s="91"/>
      <c r="B187" s="185"/>
      <c r="C187" s="90"/>
      <c r="D187" s="91"/>
      <c r="E187" s="92"/>
      <c r="F187" s="92"/>
      <c r="G187" s="104"/>
      <c r="H187" s="105"/>
      <c r="I187" s="92"/>
      <c r="J187" s="92"/>
      <c r="K187" s="92"/>
      <c r="L187" s="92"/>
      <c r="M187" s="92"/>
    </row>
    <row r="188" ht="16.5" customHeight="1">
      <c r="A188" s="91"/>
      <c r="B188" s="185"/>
      <c r="C188" s="90"/>
      <c r="D188" s="91"/>
      <c r="E188" s="92"/>
      <c r="F188" s="92"/>
      <c r="G188" s="104"/>
      <c r="H188" s="105"/>
      <c r="I188" s="92"/>
      <c r="J188" s="92"/>
      <c r="K188" s="92"/>
      <c r="L188" s="92"/>
      <c r="M188" s="92"/>
    </row>
    <row r="189" ht="16.5" customHeight="1">
      <c r="A189" s="91"/>
      <c r="B189" s="185"/>
      <c r="C189" s="90"/>
      <c r="D189" s="91"/>
      <c r="E189" s="92"/>
      <c r="F189" s="92"/>
      <c r="G189" s="104"/>
      <c r="H189" s="105"/>
      <c r="I189" s="92"/>
      <c r="J189" s="92"/>
      <c r="K189" s="92"/>
      <c r="L189" s="92"/>
      <c r="M189" s="92"/>
    </row>
    <row r="190" ht="16.5" customHeight="1">
      <c r="A190" s="91"/>
      <c r="B190" s="185"/>
      <c r="C190" s="90"/>
      <c r="D190" s="91"/>
      <c r="E190" s="92"/>
      <c r="F190" s="92"/>
      <c r="G190" s="104"/>
      <c r="H190" s="105"/>
      <c r="I190" s="92"/>
      <c r="J190" s="92"/>
      <c r="K190" s="92"/>
      <c r="L190" s="92"/>
      <c r="M190" s="92"/>
    </row>
    <row r="191" ht="16.5" customHeight="1">
      <c r="A191" s="91"/>
      <c r="B191" s="185"/>
      <c r="C191" s="90"/>
      <c r="D191" s="91"/>
      <c r="E191" s="92"/>
      <c r="F191" s="92"/>
      <c r="G191" s="104"/>
      <c r="H191" s="105"/>
      <c r="I191" s="92"/>
      <c r="J191" s="92"/>
      <c r="K191" s="92"/>
      <c r="L191" s="92"/>
      <c r="M191" s="92"/>
    </row>
    <row r="192" ht="16.5" customHeight="1">
      <c r="A192" s="91"/>
      <c r="B192" s="185"/>
      <c r="C192" s="90"/>
      <c r="D192" s="91"/>
      <c r="E192" s="92"/>
      <c r="F192" s="92"/>
      <c r="G192" s="104"/>
      <c r="H192" s="105"/>
      <c r="I192" s="92"/>
      <c r="J192" s="92"/>
      <c r="K192" s="92"/>
      <c r="L192" s="92"/>
      <c r="M192" s="92"/>
    </row>
    <row r="193" ht="16.5" customHeight="1">
      <c r="A193" s="91"/>
      <c r="B193" s="185"/>
      <c r="C193" s="90"/>
      <c r="D193" s="91"/>
      <c r="E193" s="92"/>
      <c r="F193" s="92"/>
      <c r="G193" s="104"/>
      <c r="H193" s="105"/>
      <c r="I193" s="92"/>
      <c r="J193" s="92"/>
      <c r="K193" s="92"/>
      <c r="L193" s="92"/>
      <c r="M193" s="92"/>
    </row>
    <row r="194" ht="16.5" customHeight="1">
      <c r="A194" s="91"/>
      <c r="B194" s="185"/>
      <c r="C194" s="90"/>
      <c r="D194" s="91"/>
      <c r="E194" s="92"/>
      <c r="F194" s="92"/>
      <c r="G194" s="104"/>
      <c r="H194" s="105"/>
      <c r="I194" s="92"/>
      <c r="J194" s="92"/>
      <c r="K194" s="92"/>
      <c r="L194" s="92"/>
      <c r="M194" s="92"/>
    </row>
    <row r="195" ht="16.5" customHeight="1">
      <c r="A195" s="91"/>
      <c r="B195" s="185"/>
      <c r="C195" s="90"/>
      <c r="D195" s="91"/>
      <c r="E195" s="92"/>
      <c r="F195" s="92"/>
      <c r="G195" s="104"/>
      <c r="H195" s="105"/>
      <c r="I195" s="92"/>
      <c r="J195" s="92"/>
      <c r="K195" s="92"/>
      <c r="L195" s="92"/>
      <c r="M195" s="92"/>
    </row>
    <row r="196" ht="16.5" customHeight="1">
      <c r="A196" s="91"/>
      <c r="B196" s="185"/>
      <c r="C196" s="90"/>
      <c r="D196" s="91"/>
      <c r="E196" s="92"/>
      <c r="F196" s="92"/>
      <c r="G196" s="104"/>
      <c r="H196" s="105"/>
      <c r="I196" s="92"/>
      <c r="J196" s="92"/>
      <c r="K196" s="92"/>
      <c r="L196" s="92"/>
      <c r="M196" s="92"/>
    </row>
    <row r="197" ht="16.5" customHeight="1">
      <c r="A197" s="91"/>
      <c r="B197" s="185"/>
      <c r="C197" s="90"/>
      <c r="D197" s="91"/>
      <c r="E197" s="92"/>
      <c r="F197" s="92"/>
      <c r="G197" s="104"/>
      <c r="H197" s="105"/>
      <c r="I197" s="92"/>
      <c r="J197" s="92"/>
      <c r="K197" s="92"/>
      <c r="L197" s="92"/>
      <c r="M197" s="92"/>
    </row>
    <row r="198" ht="16.5" customHeight="1">
      <c r="A198" s="91"/>
      <c r="B198" s="185"/>
      <c r="C198" s="90"/>
      <c r="D198" s="91"/>
      <c r="E198" s="92"/>
      <c r="F198" s="92"/>
      <c r="G198" s="104"/>
      <c r="H198" s="105"/>
      <c r="I198" s="92"/>
      <c r="J198" s="92"/>
      <c r="K198" s="92"/>
      <c r="L198" s="92"/>
      <c r="M198" s="92"/>
    </row>
    <row r="199" ht="16.5" customHeight="1">
      <c r="A199" s="91"/>
      <c r="B199" s="185"/>
      <c r="C199" s="90"/>
      <c r="D199" s="91"/>
      <c r="E199" s="92"/>
      <c r="F199" s="92"/>
      <c r="G199" s="104"/>
      <c r="H199" s="105"/>
      <c r="I199" s="92"/>
      <c r="J199" s="92"/>
      <c r="K199" s="92"/>
      <c r="L199" s="92"/>
      <c r="M199" s="92"/>
    </row>
    <row r="200" ht="16.5" customHeight="1">
      <c r="A200" s="91"/>
      <c r="B200" s="185"/>
      <c r="C200" s="90"/>
      <c r="D200" s="91"/>
      <c r="E200" s="92"/>
      <c r="F200" s="92"/>
      <c r="G200" s="104"/>
      <c r="H200" s="105"/>
      <c r="I200" s="92"/>
      <c r="J200" s="92"/>
      <c r="K200" s="92"/>
      <c r="L200" s="92"/>
      <c r="M200" s="92"/>
    </row>
    <row r="201" ht="16.5" customHeight="1">
      <c r="A201" s="91"/>
      <c r="B201" s="185"/>
      <c r="C201" s="90"/>
      <c r="D201" s="91"/>
      <c r="E201" s="92"/>
      <c r="F201" s="92"/>
      <c r="G201" s="104"/>
      <c r="H201" s="105"/>
      <c r="I201" s="92"/>
      <c r="J201" s="92"/>
      <c r="K201" s="92"/>
      <c r="L201" s="92"/>
      <c r="M201" s="92"/>
    </row>
    <row r="202" ht="16.5" customHeight="1">
      <c r="A202" s="91"/>
      <c r="B202" s="185"/>
      <c r="C202" s="90"/>
      <c r="D202" s="91"/>
      <c r="E202" s="92"/>
      <c r="F202" s="92"/>
      <c r="G202" s="104"/>
      <c r="H202" s="105"/>
      <c r="I202" s="92"/>
      <c r="J202" s="92"/>
      <c r="K202" s="92"/>
      <c r="L202" s="92"/>
      <c r="M202" s="92"/>
    </row>
    <row r="203" ht="16.5" customHeight="1">
      <c r="A203" s="91"/>
      <c r="B203" s="185"/>
      <c r="C203" s="90"/>
      <c r="D203" s="91"/>
      <c r="E203" s="92"/>
      <c r="F203" s="92"/>
      <c r="G203" s="104"/>
      <c r="H203" s="105"/>
      <c r="I203" s="92"/>
      <c r="J203" s="92"/>
      <c r="K203" s="92"/>
      <c r="L203" s="92"/>
      <c r="M203" s="92"/>
    </row>
    <row r="204" ht="16.5" customHeight="1">
      <c r="A204" s="91"/>
      <c r="B204" s="185"/>
      <c r="C204" s="90"/>
      <c r="D204" s="91"/>
      <c r="E204" s="92"/>
      <c r="F204" s="92"/>
      <c r="G204" s="104"/>
      <c r="H204" s="105"/>
      <c r="I204" s="92"/>
      <c r="J204" s="92"/>
      <c r="K204" s="92"/>
      <c r="L204" s="92"/>
      <c r="M204" s="92"/>
    </row>
    <row r="205" ht="16.5" customHeight="1">
      <c r="A205" s="91"/>
      <c r="B205" s="185"/>
      <c r="C205" s="90"/>
      <c r="D205" s="91"/>
      <c r="E205" s="92"/>
      <c r="F205" s="92"/>
      <c r="G205" s="104"/>
      <c r="H205" s="105"/>
      <c r="I205" s="92"/>
      <c r="J205" s="92"/>
      <c r="K205" s="92"/>
      <c r="L205" s="92"/>
      <c r="M205" s="92"/>
    </row>
    <row r="206" ht="16.5" customHeight="1">
      <c r="A206" s="91"/>
      <c r="B206" s="185"/>
      <c r="C206" s="90"/>
      <c r="D206" s="91"/>
      <c r="E206" s="92"/>
      <c r="F206" s="92"/>
      <c r="G206" s="104"/>
      <c r="H206" s="105"/>
      <c r="I206" s="92"/>
      <c r="J206" s="92"/>
      <c r="K206" s="92"/>
      <c r="L206" s="92"/>
      <c r="M206" s="92"/>
    </row>
    <row r="207" ht="16.5" customHeight="1">
      <c r="A207" s="91"/>
      <c r="B207" s="185"/>
      <c r="C207" s="90"/>
      <c r="D207" s="91"/>
      <c r="E207" s="92"/>
      <c r="F207" s="92"/>
      <c r="G207" s="104"/>
      <c r="H207" s="105"/>
      <c r="I207" s="92"/>
      <c r="J207" s="92"/>
      <c r="K207" s="92"/>
      <c r="L207" s="92"/>
      <c r="M207" s="92"/>
    </row>
    <row r="208" ht="16.5" customHeight="1">
      <c r="A208" s="91"/>
      <c r="B208" s="185"/>
      <c r="C208" s="90"/>
      <c r="D208" s="91"/>
      <c r="E208" s="92"/>
      <c r="F208" s="92"/>
      <c r="G208" s="104"/>
      <c r="H208" s="105"/>
      <c r="I208" s="92"/>
      <c r="J208" s="92"/>
      <c r="K208" s="92"/>
      <c r="L208" s="92"/>
      <c r="M208" s="92"/>
    </row>
    <row r="209" ht="16.5" customHeight="1">
      <c r="A209" s="91"/>
      <c r="B209" s="185"/>
      <c r="C209" s="90"/>
      <c r="D209" s="91"/>
      <c r="E209" s="92"/>
      <c r="F209" s="92"/>
      <c r="G209" s="104"/>
      <c r="H209" s="105"/>
      <c r="I209" s="92"/>
      <c r="J209" s="92"/>
      <c r="K209" s="92"/>
      <c r="L209" s="92"/>
      <c r="M209" s="92"/>
    </row>
    <row r="210" ht="16.5" customHeight="1">
      <c r="A210" s="91"/>
      <c r="B210" s="185"/>
      <c r="C210" s="90"/>
      <c r="D210" s="91"/>
      <c r="E210" s="92"/>
      <c r="F210" s="92"/>
      <c r="G210" s="104"/>
      <c r="H210" s="105"/>
      <c r="I210" s="92"/>
      <c r="J210" s="92"/>
      <c r="K210" s="92"/>
      <c r="L210" s="92"/>
      <c r="M210" s="92"/>
    </row>
    <row r="211" ht="16.5" customHeight="1">
      <c r="A211" s="91"/>
      <c r="B211" s="185"/>
      <c r="C211" s="90"/>
      <c r="D211" s="91"/>
      <c r="E211" s="92"/>
      <c r="F211" s="92"/>
      <c r="G211" s="104"/>
      <c r="H211" s="105"/>
      <c r="I211" s="92"/>
      <c r="J211" s="92"/>
      <c r="K211" s="92"/>
      <c r="L211" s="92"/>
      <c r="M211" s="92"/>
    </row>
    <row r="212" ht="16.5" customHeight="1">
      <c r="A212" s="91"/>
      <c r="B212" s="185"/>
      <c r="C212" s="90"/>
      <c r="D212" s="91"/>
      <c r="E212" s="92"/>
      <c r="F212" s="92"/>
      <c r="G212" s="104"/>
      <c r="H212" s="105"/>
      <c r="I212" s="92"/>
      <c r="J212" s="92"/>
      <c r="K212" s="92"/>
      <c r="L212" s="92"/>
      <c r="M212" s="92"/>
    </row>
    <row r="213" ht="16.5" customHeight="1">
      <c r="A213" s="91"/>
      <c r="B213" s="185"/>
      <c r="C213" s="90"/>
      <c r="D213" s="91"/>
      <c r="E213" s="92"/>
      <c r="F213" s="92"/>
      <c r="G213" s="104"/>
      <c r="H213" s="105"/>
      <c r="I213" s="92"/>
      <c r="J213" s="92"/>
      <c r="K213" s="92"/>
      <c r="L213" s="92"/>
      <c r="M213" s="92"/>
    </row>
    <row r="214" ht="16.5" customHeight="1">
      <c r="A214" s="91"/>
      <c r="B214" s="185"/>
      <c r="C214" s="90"/>
      <c r="D214" s="91"/>
      <c r="E214" s="92"/>
      <c r="F214" s="92"/>
      <c r="G214" s="104"/>
      <c r="H214" s="105"/>
      <c r="I214" s="92"/>
      <c r="J214" s="92"/>
      <c r="K214" s="92"/>
      <c r="L214" s="92"/>
      <c r="M214" s="92"/>
    </row>
    <row r="215" ht="16.5" customHeight="1">
      <c r="A215" s="91"/>
      <c r="B215" s="185"/>
      <c r="C215" s="90"/>
      <c r="D215" s="91"/>
      <c r="E215" s="92"/>
      <c r="F215" s="92"/>
      <c r="G215" s="104"/>
      <c r="H215" s="105"/>
      <c r="I215" s="92"/>
      <c r="J215" s="92"/>
      <c r="K215" s="92"/>
      <c r="L215" s="92"/>
      <c r="M215" s="92"/>
    </row>
    <row r="216" ht="16.5" customHeight="1">
      <c r="A216" s="91"/>
      <c r="B216" s="185"/>
      <c r="C216" s="90"/>
      <c r="D216" s="91"/>
      <c r="E216" s="92"/>
      <c r="F216" s="92"/>
      <c r="G216" s="104"/>
      <c r="H216" s="105"/>
      <c r="I216" s="92"/>
      <c r="J216" s="92"/>
      <c r="K216" s="92"/>
      <c r="L216" s="92"/>
      <c r="M216" s="92"/>
    </row>
    <row r="217" ht="16.5" customHeight="1">
      <c r="A217" s="91"/>
      <c r="B217" s="185"/>
      <c r="C217" s="90"/>
      <c r="D217" s="91"/>
      <c r="E217" s="92"/>
      <c r="F217" s="92"/>
      <c r="G217" s="104"/>
      <c r="H217" s="105"/>
      <c r="I217" s="92"/>
      <c r="J217" s="92"/>
      <c r="K217" s="92"/>
      <c r="L217" s="92"/>
      <c r="M217" s="92"/>
    </row>
    <row r="218" ht="16.5" customHeight="1">
      <c r="A218" s="91"/>
      <c r="B218" s="185"/>
      <c r="C218" s="90"/>
      <c r="D218" s="91"/>
      <c r="E218" s="92"/>
      <c r="F218" s="92"/>
      <c r="G218" s="104"/>
      <c r="H218" s="105"/>
      <c r="I218" s="92"/>
      <c r="J218" s="92"/>
      <c r="K218" s="92"/>
      <c r="L218" s="92"/>
      <c r="M218" s="92"/>
    </row>
    <row r="219" ht="16.5" customHeight="1">
      <c r="A219" s="91"/>
      <c r="B219" s="185"/>
      <c r="C219" s="90"/>
      <c r="D219" s="91"/>
      <c r="E219" s="92"/>
      <c r="F219" s="92"/>
      <c r="G219" s="104"/>
      <c r="H219" s="105"/>
      <c r="I219" s="92"/>
      <c r="J219" s="92"/>
      <c r="K219" s="92"/>
      <c r="L219" s="92"/>
      <c r="M219" s="92"/>
    </row>
    <row r="220" ht="16.5" customHeight="1">
      <c r="A220" s="91"/>
      <c r="B220" s="185"/>
      <c r="C220" s="90"/>
      <c r="D220" s="91"/>
      <c r="E220" s="92"/>
      <c r="F220" s="92"/>
      <c r="G220" s="104"/>
      <c r="H220" s="105"/>
      <c r="I220" s="92"/>
      <c r="J220" s="92"/>
      <c r="K220" s="92"/>
      <c r="L220" s="92"/>
      <c r="M220" s="92"/>
    </row>
    <row r="221" ht="16.5" customHeight="1">
      <c r="A221" s="91"/>
      <c r="B221" s="185"/>
      <c r="C221" s="90"/>
      <c r="D221" s="91"/>
      <c r="E221" s="92"/>
      <c r="F221" s="92"/>
      <c r="G221" s="104"/>
      <c r="H221" s="105"/>
      <c r="I221" s="92"/>
      <c r="J221" s="92"/>
      <c r="K221" s="92"/>
      <c r="L221" s="92"/>
      <c r="M221" s="92"/>
    </row>
    <row r="222" ht="16.5" customHeight="1">
      <c r="A222" s="91"/>
      <c r="B222" s="185"/>
      <c r="C222" s="90"/>
      <c r="D222" s="91"/>
      <c r="E222" s="92"/>
      <c r="F222" s="92"/>
      <c r="G222" s="104"/>
      <c r="H222" s="105"/>
      <c r="I222" s="92"/>
      <c r="J222" s="92"/>
      <c r="K222" s="92"/>
      <c r="L222" s="92"/>
      <c r="M222" s="92"/>
    </row>
    <row r="223" ht="16.5" customHeight="1">
      <c r="A223" s="91"/>
      <c r="B223" s="185"/>
      <c r="C223" s="90"/>
      <c r="D223" s="91"/>
      <c r="E223" s="92"/>
      <c r="F223" s="92"/>
      <c r="G223" s="104"/>
      <c r="H223" s="105"/>
      <c r="I223" s="92"/>
      <c r="J223" s="92"/>
      <c r="K223" s="92"/>
      <c r="L223" s="92"/>
      <c r="M223" s="92"/>
    </row>
    <row r="224" ht="16.5" customHeight="1">
      <c r="A224" s="91"/>
      <c r="B224" s="185"/>
      <c r="C224" s="90"/>
      <c r="D224" s="91"/>
      <c r="E224" s="92"/>
      <c r="F224" s="92"/>
      <c r="G224" s="104"/>
      <c r="H224" s="105"/>
      <c r="I224" s="92"/>
      <c r="J224" s="92"/>
      <c r="K224" s="92"/>
      <c r="L224" s="92"/>
      <c r="M224" s="92"/>
    </row>
    <row r="225" ht="16.5" customHeight="1">
      <c r="A225" s="91"/>
      <c r="B225" s="185"/>
      <c r="C225" s="90"/>
      <c r="D225" s="91"/>
      <c r="E225" s="92"/>
      <c r="F225" s="92"/>
      <c r="G225" s="104"/>
      <c r="H225" s="105"/>
      <c r="I225" s="92"/>
      <c r="J225" s="92"/>
      <c r="K225" s="92"/>
      <c r="L225" s="92"/>
      <c r="M225" s="92"/>
    </row>
    <row r="226" ht="16.5" customHeight="1">
      <c r="A226" s="91"/>
      <c r="B226" s="185"/>
      <c r="C226" s="90"/>
      <c r="D226" s="91"/>
      <c r="E226" s="92"/>
      <c r="F226" s="92"/>
      <c r="G226" s="104"/>
      <c r="H226" s="105"/>
      <c r="I226" s="92"/>
      <c r="J226" s="92"/>
      <c r="K226" s="92"/>
      <c r="L226" s="92"/>
      <c r="M226" s="92"/>
    </row>
    <row r="227" ht="16.5" customHeight="1">
      <c r="A227" s="91"/>
      <c r="B227" s="185"/>
      <c r="C227" s="90"/>
      <c r="D227" s="91"/>
      <c r="E227" s="92"/>
      <c r="F227" s="92"/>
      <c r="G227" s="104"/>
      <c r="H227" s="105"/>
      <c r="I227" s="92"/>
      <c r="J227" s="92"/>
      <c r="K227" s="92"/>
      <c r="L227" s="92"/>
      <c r="M227" s="92"/>
    </row>
    <row r="228" ht="16.5" customHeight="1">
      <c r="A228" s="91"/>
      <c r="B228" s="185"/>
      <c r="C228" s="90"/>
      <c r="D228" s="91"/>
      <c r="E228" s="92"/>
      <c r="F228" s="92"/>
      <c r="G228" s="104"/>
      <c r="H228" s="105"/>
      <c r="I228" s="92"/>
      <c r="J228" s="92"/>
      <c r="K228" s="92"/>
      <c r="L228" s="92"/>
      <c r="M228" s="92"/>
    </row>
    <row r="229" ht="16.5" customHeight="1">
      <c r="A229" s="91"/>
      <c r="B229" s="185"/>
      <c r="C229" s="90"/>
      <c r="D229" s="91"/>
      <c r="E229" s="92"/>
      <c r="F229" s="92"/>
      <c r="G229" s="104"/>
      <c r="H229" s="105"/>
      <c r="I229" s="92"/>
      <c r="J229" s="92"/>
      <c r="K229" s="92"/>
      <c r="L229" s="92"/>
      <c r="M229" s="92"/>
    </row>
    <row r="230" ht="16.5" customHeight="1">
      <c r="A230" s="91"/>
      <c r="B230" s="185"/>
      <c r="C230" s="90"/>
      <c r="D230" s="91"/>
      <c r="E230" s="92"/>
      <c r="F230" s="92"/>
      <c r="G230" s="104"/>
      <c r="H230" s="105"/>
      <c r="I230" s="92"/>
      <c r="J230" s="92"/>
      <c r="K230" s="92"/>
      <c r="L230" s="92"/>
      <c r="M230" s="92"/>
    </row>
    <row r="231" ht="16.5" customHeight="1">
      <c r="A231" s="91"/>
      <c r="B231" s="185"/>
      <c r="C231" s="90"/>
      <c r="D231" s="91"/>
      <c r="E231" s="92"/>
      <c r="F231" s="92"/>
      <c r="G231" s="104"/>
      <c r="H231" s="105"/>
      <c r="I231" s="92"/>
      <c r="J231" s="92"/>
      <c r="K231" s="92"/>
      <c r="L231" s="92"/>
      <c r="M231" s="92"/>
    </row>
    <row r="232" ht="16.5" customHeight="1">
      <c r="A232" s="91"/>
      <c r="B232" s="185"/>
      <c r="C232" s="90"/>
      <c r="D232" s="91"/>
      <c r="E232" s="92"/>
      <c r="F232" s="92"/>
      <c r="G232" s="104"/>
      <c r="H232" s="105"/>
      <c r="I232" s="92"/>
      <c r="J232" s="92"/>
      <c r="K232" s="92"/>
      <c r="L232" s="92"/>
      <c r="M232" s="92"/>
    </row>
    <row r="233" ht="16.5" customHeight="1">
      <c r="A233" s="91"/>
      <c r="B233" s="185"/>
      <c r="C233" s="90"/>
      <c r="D233" s="91"/>
      <c r="E233" s="92"/>
      <c r="F233" s="92"/>
      <c r="G233" s="104"/>
      <c r="H233" s="105"/>
      <c r="I233" s="92"/>
      <c r="J233" s="92"/>
      <c r="K233" s="92"/>
      <c r="L233" s="92"/>
      <c r="M233" s="92"/>
    </row>
    <row r="234" ht="16.5" customHeight="1">
      <c r="A234" s="91"/>
      <c r="B234" s="185"/>
      <c r="C234" s="90"/>
      <c r="D234" s="91"/>
      <c r="E234" s="92"/>
      <c r="F234" s="92"/>
      <c r="G234" s="104"/>
      <c r="H234" s="105"/>
      <c r="I234" s="92"/>
      <c r="J234" s="92"/>
      <c r="K234" s="92"/>
      <c r="L234" s="92"/>
      <c r="M234" s="92"/>
    </row>
    <row r="235" ht="16.5" customHeight="1">
      <c r="A235" s="91"/>
      <c r="B235" s="185"/>
      <c r="C235" s="90"/>
      <c r="D235" s="91"/>
      <c r="E235" s="92"/>
      <c r="F235" s="92"/>
      <c r="G235" s="104"/>
      <c r="H235" s="105"/>
      <c r="I235" s="92"/>
      <c r="J235" s="92"/>
      <c r="K235" s="92"/>
      <c r="L235" s="92"/>
      <c r="M235" s="92"/>
    </row>
    <row r="236" ht="16.5" customHeight="1">
      <c r="A236" s="91"/>
      <c r="B236" s="185"/>
      <c r="C236" s="90"/>
      <c r="D236" s="91"/>
      <c r="E236" s="92"/>
      <c r="F236" s="92"/>
      <c r="G236" s="104"/>
      <c r="H236" s="105"/>
      <c r="I236" s="92"/>
      <c r="J236" s="92"/>
      <c r="K236" s="92"/>
      <c r="L236" s="92"/>
      <c r="M236" s="92"/>
    </row>
    <row r="237" ht="16.5" customHeight="1">
      <c r="A237" s="91"/>
      <c r="B237" s="185"/>
      <c r="C237" s="90"/>
      <c r="D237" s="91"/>
      <c r="E237" s="92"/>
      <c r="F237" s="92"/>
      <c r="G237" s="104"/>
      <c r="H237" s="105"/>
      <c r="I237" s="92"/>
      <c r="J237" s="92"/>
      <c r="K237" s="92"/>
      <c r="L237" s="92"/>
      <c r="M237" s="92"/>
    </row>
    <row r="238" ht="16.5" customHeight="1">
      <c r="A238" s="91"/>
      <c r="B238" s="185"/>
      <c r="C238" s="90"/>
      <c r="D238" s="91"/>
      <c r="E238" s="92"/>
      <c r="F238" s="92"/>
      <c r="G238" s="104"/>
      <c r="H238" s="105"/>
      <c r="I238" s="92"/>
      <c r="J238" s="92"/>
      <c r="K238" s="92"/>
      <c r="L238" s="92"/>
      <c r="M238" s="92"/>
    </row>
    <row r="239" ht="16.5" customHeight="1">
      <c r="A239" s="91"/>
      <c r="B239" s="185"/>
      <c r="C239" s="90"/>
      <c r="D239" s="91"/>
      <c r="E239" s="92"/>
      <c r="F239" s="92"/>
      <c r="G239" s="104"/>
      <c r="H239" s="105"/>
      <c r="I239" s="92"/>
      <c r="J239" s="92"/>
      <c r="K239" s="92"/>
      <c r="L239" s="92"/>
      <c r="M239" s="92"/>
    </row>
    <row r="240" ht="16.5" customHeight="1">
      <c r="A240" s="91"/>
      <c r="B240" s="185"/>
      <c r="C240" s="90"/>
      <c r="D240" s="91"/>
      <c r="E240" s="92"/>
      <c r="F240" s="92"/>
      <c r="G240" s="104"/>
      <c r="H240" s="105"/>
      <c r="I240" s="92"/>
      <c r="J240" s="92"/>
      <c r="K240" s="92"/>
      <c r="L240" s="92"/>
      <c r="M240" s="92"/>
    </row>
    <row r="241" ht="16.5" customHeight="1">
      <c r="A241" s="91"/>
      <c r="B241" s="185"/>
      <c r="C241" s="90"/>
      <c r="D241" s="91"/>
      <c r="E241" s="92"/>
      <c r="F241" s="92"/>
      <c r="G241" s="104"/>
      <c r="H241" s="105"/>
      <c r="I241" s="92"/>
      <c r="J241" s="92"/>
      <c r="K241" s="92"/>
      <c r="L241" s="92"/>
      <c r="M241" s="92"/>
    </row>
    <row r="242" ht="16.5" customHeight="1">
      <c r="A242" s="91"/>
      <c r="B242" s="185"/>
      <c r="C242" s="90"/>
      <c r="D242" s="91"/>
      <c r="E242" s="92"/>
      <c r="F242" s="92"/>
      <c r="G242" s="104"/>
      <c r="H242" s="105"/>
      <c r="I242" s="92"/>
      <c r="J242" s="92"/>
      <c r="K242" s="92"/>
      <c r="L242" s="92"/>
      <c r="M242" s="92"/>
    </row>
    <row r="243" ht="16.5" customHeight="1">
      <c r="A243" s="91"/>
      <c r="B243" s="185"/>
      <c r="C243" s="90"/>
      <c r="D243" s="91"/>
      <c r="E243" s="92"/>
      <c r="F243" s="92"/>
      <c r="G243" s="104"/>
      <c r="H243" s="105"/>
      <c r="I243" s="92"/>
      <c r="J243" s="92"/>
      <c r="K243" s="92"/>
      <c r="L243" s="92"/>
      <c r="M243" s="92"/>
    </row>
    <row r="244" ht="16.5" customHeight="1">
      <c r="A244" s="91"/>
      <c r="B244" s="185"/>
      <c r="C244" s="90"/>
      <c r="D244" s="91"/>
      <c r="E244" s="92"/>
      <c r="F244" s="92"/>
      <c r="G244" s="104"/>
      <c r="H244" s="105"/>
      <c r="I244" s="92"/>
      <c r="J244" s="92"/>
      <c r="K244" s="92"/>
      <c r="L244" s="92"/>
      <c r="M244" s="92"/>
    </row>
    <row r="245" ht="16.5" customHeight="1">
      <c r="A245" s="91"/>
      <c r="B245" s="185"/>
      <c r="C245" s="90"/>
      <c r="D245" s="91"/>
      <c r="E245" s="92"/>
      <c r="F245" s="92"/>
      <c r="G245" s="104"/>
      <c r="H245" s="105"/>
      <c r="I245" s="92"/>
      <c r="J245" s="92"/>
      <c r="K245" s="92"/>
      <c r="L245" s="92"/>
      <c r="M245" s="92"/>
    </row>
    <row r="246" ht="16.5" customHeight="1">
      <c r="A246" s="91"/>
      <c r="B246" s="185"/>
      <c r="C246" s="90"/>
      <c r="D246" s="91"/>
      <c r="E246" s="92"/>
      <c r="F246" s="92"/>
      <c r="G246" s="104"/>
      <c r="H246" s="105"/>
      <c r="I246" s="92"/>
      <c r="J246" s="92"/>
      <c r="K246" s="92"/>
      <c r="L246" s="92"/>
      <c r="M246" s="92"/>
    </row>
    <row r="247" ht="16.5" customHeight="1">
      <c r="A247" s="91"/>
      <c r="B247" s="185"/>
      <c r="C247" s="90"/>
      <c r="D247" s="91"/>
      <c r="E247" s="92"/>
      <c r="F247" s="92"/>
      <c r="G247" s="104"/>
      <c r="H247" s="105"/>
      <c r="I247" s="92"/>
      <c r="J247" s="92"/>
      <c r="K247" s="92"/>
      <c r="L247" s="92"/>
      <c r="M247" s="92"/>
    </row>
    <row r="248" ht="16.5" customHeight="1">
      <c r="A248" s="91"/>
      <c r="B248" s="185"/>
      <c r="C248" s="90"/>
      <c r="D248" s="91"/>
      <c r="E248" s="92"/>
      <c r="F248" s="92"/>
      <c r="G248" s="104"/>
      <c r="H248" s="105"/>
      <c r="I248" s="92"/>
      <c r="J248" s="92"/>
      <c r="K248" s="92"/>
      <c r="L248" s="92"/>
      <c r="M248" s="92"/>
    </row>
    <row r="249" ht="16.5" customHeight="1">
      <c r="A249" s="91"/>
      <c r="B249" s="185"/>
      <c r="C249" s="90"/>
      <c r="D249" s="91"/>
      <c r="E249" s="92"/>
      <c r="F249" s="92"/>
      <c r="G249" s="104"/>
      <c r="H249" s="105"/>
      <c r="I249" s="92"/>
      <c r="J249" s="92"/>
      <c r="K249" s="92"/>
      <c r="L249" s="92"/>
      <c r="M249" s="92"/>
    </row>
    <row r="250" ht="16.5" customHeight="1">
      <c r="A250" s="91"/>
      <c r="B250" s="185"/>
      <c r="C250" s="90"/>
      <c r="D250" s="91"/>
      <c r="E250" s="92"/>
      <c r="F250" s="92"/>
      <c r="G250" s="104"/>
      <c r="H250" s="105"/>
      <c r="I250" s="92"/>
      <c r="J250" s="92"/>
      <c r="K250" s="92"/>
      <c r="L250" s="92"/>
      <c r="M250" s="92"/>
    </row>
    <row r="251" ht="16.5" customHeight="1">
      <c r="A251" s="91"/>
      <c r="B251" s="185"/>
      <c r="C251" s="90"/>
      <c r="D251" s="91"/>
      <c r="E251" s="92"/>
      <c r="F251" s="92"/>
      <c r="G251" s="104"/>
      <c r="H251" s="105"/>
      <c r="I251" s="92"/>
      <c r="J251" s="92"/>
      <c r="K251" s="92"/>
      <c r="L251" s="92"/>
      <c r="M251" s="92"/>
    </row>
    <row r="252" ht="16.5" customHeight="1">
      <c r="A252" s="91"/>
      <c r="B252" s="185"/>
      <c r="C252" s="90"/>
      <c r="D252" s="91"/>
      <c r="E252" s="92"/>
      <c r="F252" s="92"/>
      <c r="G252" s="104"/>
      <c r="H252" s="105"/>
      <c r="I252" s="92"/>
      <c r="J252" s="92"/>
      <c r="K252" s="92"/>
      <c r="L252" s="92"/>
      <c r="M252" s="92"/>
    </row>
    <row r="253" ht="16.5" customHeight="1">
      <c r="A253" s="91"/>
      <c r="B253" s="185"/>
      <c r="C253" s="90"/>
      <c r="D253" s="91"/>
      <c r="E253" s="92"/>
      <c r="F253" s="92"/>
      <c r="G253" s="104"/>
      <c r="H253" s="105"/>
      <c r="I253" s="92"/>
      <c r="J253" s="92"/>
      <c r="K253" s="92"/>
      <c r="L253" s="92"/>
      <c r="M253" s="92"/>
    </row>
    <row r="254" ht="16.5" customHeight="1">
      <c r="A254" s="91"/>
      <c r="B254" s="185"/>
      <c r="C254" s="90"/>
      <c r="D254" s="91"/>
      <c r="E254" s="92"/>
      <c r="F254" s="92"/>
      <c r="G254" s="104"/>
      <c r="H254" s="105"/>
      <c r="I254" s="92"/>
      <c r="J254" s="92"/>
      <c r="K254" s="92"/>
      <c r="L254" s="92"/>
      <c r="M254" s="92"/>
    </row>
    <row r="255" ht="16.5" customHeight="1">
      <c r="A255" s="91"/>
      <c r="B255" s="185"/>
      <c r="C255" s="90"/>
      <c r="D255" s="91"/>
      <c r="E255" s="92"/>
      <c r="F255" s="92"/>
      <c r="G255" s="104"/>
      <c r="H255" s="105"/>
      <c r="I255" s="92"/>
      <c r="J255" s="92"/>
      <c r="K255" s="92"/>
      <c r="L255" s="92"/>
      <c r="M255" s="92"/>
    </row>
    <row r="256" ht="16.5" customHeight="1">
      <c r="A256" s="91"/>
      <c r="B256" s="185"/>
      <c r="C256" s="90"/>
      <c r="D256" s="91"/>
      <c r="E256" s="92"/>
      <c r="F256" s="92"/>
      <c r="G256" s="101"/>
      <c r="H256" s="102"/>
      <c r="I256" s="195"/>
      <c r="J256" s="195"/>
      <c r="K256" s="195"/>
      <c r="L256" s="195"/>
      <c r="M256" s="195"/>
    </row>
    <row r="257" ht="16.5" customHeight="1">
      <c r="A257" s="91"/>
      <c r="B257" s="185"/>
      <c r="C257" s="90"/>
      <c r="D257" s="91"/>
      <c r="E257" s="92"/>
      <c r="F257" s="92"/>
      <c r="G257" s="101"/>
      <c r="H257" s="102"/>
      <c r="I257" s="195"/>
      <c r="J257" s="195"/>
      <c r="K257" s="195"/>
      <c r="L257" s="195"/>
      <c r="M257" s="195"/>
    </row>
    <row r="258" ht="16.5" customHeight="1">
      <c r="A258" s="91"/>
      <c r="B258" s="185"/>
      <c r="C258" s="90"/>
      <c r="D258" s="91"/>
      <c r="E258" s="92"/>
      <c r="F258" s="92"/>
      <c r="G258" s="101"/>
      <c r="H258" s="102"/>
      <c r="I258" s="195"/>
      <c r="J258" s="195"/>
      <c r="K258" s="195"/>
      <c r="L258" s="195"/>
      <c r="M258" s="195"/>
    </row>
    <row r="259" ht="16.5" customHeight="1">
      <c r="A259" s="91"/>
      <c r="B259" s="185"/>
      <c r="C259" s="90"/>
      <c r="D259" s="91"/>
      <c r="E259" s="92"/>
      <c r="F259" s="92"/>
      <c r="G259" s="101"/>
      <c r="H259" s="102"/>
      <c r="I259" s="195"/>
      <c r="J259" s="195"/>
      <c r="K259" s="195"/>
      <c r="L259" s="195"/>
      <c r="M259" s="195"/>
    </row>
    <row r="260" ht="16.5" customHeight="1">
      <c r="A260" s="91"/>
      <c r="B260" s="185"/>
      <c r="C260" s="90"/>
      <c r="D260" s="91"/>
      <c r="E260" s="92"/>
      <c r="F260" s="92"/>
      <c r="G260" s="101"/>
      <c r="H260" s="102"/>
      <c r="I260" s="195"/>
      <c r="J260" s="195"/>
      <c r="K260" s="195"/>
      <c r="L260" s="195"/>
      <c r="M260" s="195"/>
    </row>
    <row r="261" ht="16.5" customHeight="1">
      <c r="A261" s="91"/>
      <c r="B261" s="185"/>
      <c r="C261" s="90"/>
      <c r="D261" s="91"/>
      <c r="E261" s="92"/>
      <c r="F261" s="92"/>
      <c r="G261" s="101"/>
      <c r="H261" s="102"/>
      <c r="I261" s="195"/>
      <c r="J261" s="195"/>
      <c r="K261" s="195"/>
      <c r="L261" s="195"/>
      <c r="M261" s="195"/>
    </row>
    <row r="262" ht="16.5" customHeight="1">
      <c r="A262" s="91"/>
      <c r="B262" s="185"/>
      <c r="C262" s="90"/>
      <c r="D262" s="91"/>
      <c r="E262" s="92"/>
      <c r="F262" s="92"/>
      <c r="G262" s="101"/>
      <c r="H262" s="102"/>
      <c r="I262" s="195"/>
      <c r="J262" s="195"/>
      <c r="K262" s="195"/>
      <c r="L262" s="195"/>
      <c r="M262" s="195"/>
    </row>
    <row r="263" ht="16.5" customHeight="1">
      <c r="A263" s="91"/>
      <c r="B263" s="185"/>
      <c r="C263" s="90"/>
      <c r="D263" s="91"/>
      <c r="E263" s="92"/>
      <c r="F263" s="92"/>
      <c r="G263" s="101"/>
      <c r="H263" s="102"/>
      <c r="I263" s="195"/>
      <c r="J263" s="195"/>
      <c r="K263" s="195"/>
      <c r="L263" s="195"/>
      <c r="M263" s="195"/>
    </row>
    <row r="264" ht="16.5" customHeight="1">
      <c r="A264" s="91"/>
      <c r="B264" s="185"/>
      <c r="C264" s="90"/>
      <c r="D264" s="91"/>
      <c r="E264" s="92"/>
      <c r="F264" s="92"/>
      <c r="G264" s="101"/>
      <c r="H264" s="102"/>
      <c r="I264" s="195"/>
      <c r="J264" s="195"/>
      <c r="K264" s="195"/>
      <c r="L264" s="195"/>
      <c r="M264" s="195"/>
    </row>
    <row r="265" ht="16.5" customHeight="1">
      <c r="A265" s="91"/>
      <c r="B265" s="185"/>
      <c r="C265" s="90"/>
      <c r="D265" s="91"/>
      <c r="E265" s="92"/>
      <c r="F265" s="92"/>
      <c r="G265" s="101"/>
      <c r="H265" s="102"/>
      <c r="I265" s="195"/>
      <c r="J265" s="195"/>
      <c r="K265" s="195"/>
      <c r="L265" s="195"/>
      <c r="M265" s="195"/>
    </row>
    <row r="266" ht="16.5" customHeight="1">
      <c r="A266" s="91"/>
      <c r="B266" s="185"/>
      <c r="C266" s="90"/>
      <c r="D266" s="91"/>
      <c r="E266" s="92"/>
      <c r="F266" s="92"/>
      <c r="G266" s="101"/>
      <c r="H266" s="102"/>
      <c r="I266" s="195"/>
      <c r="J266" s="195"/>
      <c r="K266" s="195"/>
      <c r="L266" s="195"/>
      <c r="M266" s="195"/>
    </row>
    <row r="267" ht="16.5" customHeight="1">
      <c r="A267" s="91"/>
      <c r="B267" s="185"/>
      <c r="C267" s="90"/>
      <c r="D267" s="91"/>
      <c r="E267" s="92"/>
      <c r="F267" s="92"/>
      <c r="G267" s="101"/>
      <c r="H267" s="102"/>
      <c r="I267" s="195"/>
      <c r="J267" s="195"/>
      <c r="K267" s="195"/>
      <c r="L267" s="195"/>
      <c r="M267" s="195"/>
    </row>
    <row r="268" ht="16.5" customHeight="1">
      <c r="A268" s="91"/>
      <c r="B268" s="185"/>
      <c r="C268" s="90"/>
      <c r="D268" s="91"/>
      <c r="E268" s="92"/>
      <c r="F268" s="92"/>
      <c r="G268" s="101"/>
      <c r="H268" s="102"/>
      <c r="I268" s="195"/>
      <c r="J268" s="195"/>
      <c r="K268" s="195"/>
      <c r="L268" s="195"/>
      <c r="M268" s="195"/>
    </row>
    <row r="269" ht="16.5" customHeight="1">
      <c r="A269" s="91"/>
      <c r="B269" s="185"/>
      <c r="C269" s="90"/>
      <c r="D269" s="91"/>
      <c r="E269" s="92"/>
      <c r="F269" s="92"/>
      <c r="G269" s="101"/>
      <c r="H269" s="102"/>
      <c r="I269" s="195"/>
      <c r="J269" s="195"/>
      <c r="K269" s="195"/>
      <c r="L269" s="195"/>
      <c r="M269" s="195"/>
    </row>
    <row r="270" ht="16.5" customHeight="1">
      <c r="A270" s="91"/>
      <c r="B270" s="185"/>
      <c r="C270" s="90"/>
      <c r="D270" s="91"/>
      <c r="E270" s="92"/>
      <c r="F270" s="92"/>
      <c r="G270" s="101"/>
      <c r="H270" s="102"/>
      <c r="I270" s="195"/>
      <c r="J270" s="195"/>
      <c r="K270" s="195"/>
      <c r="L270" s="195"/>
      <c r="M270" s="195"/>
    </row>
    <row r="271" ht="16.5" customHeight="1">
      <c r="A271" s="91"/>
      <c r="B271" s="185"/>
      <c r="C271" s="90"/>
      <c r="D271" s="91"/>
      <c r="E271" s="92"/>
      <c r="F271" s="92"/>
      <c r="G271" s="101"/>
      <c r="H271" s="102"/>
      <c r="I271" s="195"/>
      <c r="J271" s="195"/>
      <c r="K271" s="195"/>
      <c r="L271" s="195"/>
      <c r="M271" s="195"/>
    </row>
    <row r="272" ht="16.5" customHeight="1">
      <c r="A272" s="91"/>
      <c r="B272" s="185"/>
      <c r="C272" s="90"/>
      <c r="D272" s="91"/>
      <c r="E272" s="92"/>
      <c r="F272" s="92"/>
      <c r="G272" s="101"/>
      <c r="H272" s="102"/>
      <c r="I272" s="195"/>
      <c r="J272" s="195"/>
      <c r="K272" s="195"/>
      <c r="L272" s="195"/>
      <c r="M272" s="195"/>
    </row>
    <row r="273" ht="16.5" customHeight="1">
      <c r="A273" s="91"/>
      <c r="B273" s="185"/>
      <c r="C273" s="90"/>
      <c r="D273" s="91"/>
      <c r="E273" s="92"/>
      <c r="F273" s="92"/>
      <c r="G273" s="101"/>
      <c r="H273" s="102"/>
      <c r="I273" s="195"/>
      <c r="J273" s="195"/>
      <c r="K273" s="195"/>
      <c r="L273" s="195"/>
      <c r="M273" s="195"/>
    </row>
    <row r="274" ht="16.5" customHeight="1">
      <c r="A274" s="91"/>
      <c r="B274" s="185"/>
      <c r="C274" s="90"/>
      <c r="D274" s="91"/>
      <c r="E274" s="92"/>
      <c r="F274" s="92"/>
      <c r="G274" s="101"/>
      <c r="H274" s="102"/>
      <c r="I274" s="195"/>
      <c r="J274" s="195"/>
      <c r="K274" s="195"/>
      <c r="L274" s="195"/>
      <c r="M274" s="195"/>
    </row>
    <row r="275" ht="16.5" customHeight="1">
      <c r="A275" s="91"/>
      <c r="B275" s="185"/>
      <c r="C275" s="90"/>
      <c r="D275" s="91"/>
      <c r="E275" s="92"/>
      <c r="F275" s="92"/>
      <c r="G275" s="101"/>
      <c r="H275" s="102"/>
      <c r="I275" s="195"/>
      <c r="J275" s="195"/>
      <c r="K275" s="195"/>
      <c r="L275" s="195"/>
      <c r="M275" s="195"/>
    </row>
    <row r="276" ht="16.5" customHeight="1">
      <c r="A276" s="91"/>
      <c r="B276" s="185"/>
      <c r="C276" s="90"/>
      <c r="D276" s="91"/>
      <c r="E276" s="92"/>
      <c r="F276" s="92"/>
      <c r="G276" s="101"/>
      <c r="H276" s="102"/>
      <c r="I276" s="195"/>
      <c r="J276" s="195"/>
      <c r="K276" s="195"/>
      <c r="L276" s="195"/>
      <c r="M276" s="195"/>
    </row>
    <row r="277" ht="16.5" customHeight="1">
      <c r="A277" s="91"/>
      <c r="B277" s="185"/>
      <c r="C277" s="90"/>
      <c r="D277" s="91"/>
      <c r="E277" s="92"/>
      <c r="F277" s="92"/>
      <c r="G277" s="101"/>
      <c r="H277" s="102"/>
      <c r="I277" s="195"/>
      <c r="J277" s="195"/>
      <c r="K277" s="195"/>
      <c r="L277" s="195"/>
      <c r="M277" s="195"/>
    </row>
    <row r="278" ht="16.5" customHeight="1">
      <c r="A278" s="91"/>
      <c r="B278" s="185"/>
      <c r="C278" s="90"/>
      <c r="D278" s="91"/>
      <c r="E278" s="92"/>
      <c r="F278" s="92"/>
      <c r="G278" s="101"/>
      <c r="H278" s="102"/>
      <c r="I278" s="195"/>
      <c r="J278" s="195"/>
      <c r="K278" s="195"/>
      <c r="L278" s="195"/>
      <c r="M278" s="195"/>
    </row>
    <row r="279" ht="16.5" customHeight="1">
      <c r="A279" s="91"/>
      <c r="B279" s="185"/>
      <c r="C279" s="90"/>
      <c r="D279" s="91"/>
      <c r="E279" s="92"/>
      <c r="F279" s="92"/>
      <c r="G279" s="101"/>
      <c r="H279" s="102"/>
      <c r="I279" s="195"/>
      <c r="J279" s="195"/>
      <c r="K279" s="195"/>
      <c r="L279" s="195"/>
      <c r="M279" s="195"/>
    </row>
    <row r="280" ht="16.5" customHeight="1">
      <c r="A280" s="91"/>
      <c r="B280" s="185"/>
      <c r="C280" s="90"/>
      <c r="D280" s="91"/>
      <c r="E280" s="92"/>
      <c r="F280" s="92"/>
      <c r="G280" s="101"/>
      <c r="H280" s="102"/>
      <c r="I280" s="195"/>
      <c r="J280" s="195"/>
      <c r="K280" s="195"/>
      <c r="L280" s="195"/>
      <c r="M280" s="195"/>
    </row>
    <row r="281" ht="16.5" customHeight="1">
      <c r="A281" s="91"/>
      <c r="B281" s="185"/>
      <c r="C281" s="90"/>
      <c r="D281" s="91"/>
      <c r="E281" s="92"/>
      <c r="F281" s="92"/>
      <c r="G281" s="101"/>
      <c r="H281" s="102"/>
      <c r="I281" s="195"/>
      <c r="J281" s="195"/>
      <c r="K281" s="195"/>
      <c r="L281" s="195"/>
      <c r="M281" s="195"/>
    </row>
    <row r="282" ht="16.5" customHeight="1">
      <c r="A282" s="91"/>
      <c r="B282" s="185"/>
      <c r="C282" s="90"/>
      <c r="D282" s="91"/>
      <c r="E282" s="92"/>
      <c r="F282" s="92"/>
      <c r="G282" s="101"/>
      <c r="H282" s="102"/>
      <c r="I282" s="195"/>
      <c r="J282" s="195"/>
      <c r="K282" s="195"/>
      <c r="L282" s="195"/>
      <c r="M282" s="195"/>
    </row>
    <row r="283" ht="16.5" customHeight="1">
      <c r="A283" s="91"/>
      <c r="B283" s="185"/>
      <c r="C283" s="90"/>
      <c r="D283" s="91"/>
      <c r="E283" s="92"/>
      <c r="F283" s="92"/>
      <c r="G283" s="101"/>
      <c r="H283" s="102"/>
      <c r="I283" s="195"/>
      <c r="J283" s="195"/>
      <c r="K283" s="195"/>
      <c r="L283" s="195"/>
      <c r="M283" s="195"/>
    </row>
    <row r="284" ht="16.5" customHeight="1">
      <c r="A284" s="91"/>
      <c r="B284" s="185"/>
      <c r="C284" s="90"/>
      <c r="D284" s="91"/>
      <c r="E284" s="92"/>
      <c r="F284" s="92"/>
      <c r="G284" s="101"/>
      <c r="H284" s="102"/>
      <c r="I284" s="195"/>
      <c r="J284" s="195"/>
      <c r="K284" s="195"/>
      <c r="L284" s="195"/>
      <c r="M284" s="195"/>
    </row>
    <row r="285" ht="16.5" customHeight="1">
      <c r="A285" s="91"/>
      <c r="B285" s="185"/>
      <c r="C285" s="90"/>
      <c r="D285" s="91"/>
      <c r="E285" s="92"/>
      <c r="F285" s="92"/>
      <c r="G285" s="101"/>
      <c r="H285" s="102"/>
      <c r="I285" s="195"/>
      <c r="J285" s="195"/>
      <c r="K285" s="195"/>
      <c r="L285" s="195"/>
      <c r="M285" s="195"/>
    </row>
    <row r="286" ht="16.5" customHeight="1">
      <c r="A286" s="91"/>
      <c r="B286" s="185"/>
      <c r="C286" s="90"/>
      <c r="D286" s="91"/>
      <c r="E286" s="92"/>
      <c r="F286" s="92"/>
      <c r="G286" s="101"/>
      <c r="H286" s="102"/>
      <c r="I286" s="195"/>
      <c r="J286" s="195"/>
      <c r="K286" s="195"/>
      <c r="L286" s="195"/>
      <c r="M286" s="195"/>
    </row>
    <row r="287" ht="16.5" customHeight="1">
      <c r="A287" s="91"/>
      <c r="B287" s="185"/>
      <c r="C287" s="90"/>
      <c r="D287" s="91"/>
      <c r="E287" s="92"/>
      <c r="F287" s="92"/>
      <c r="G287" s="101"/>
      <c r="H287" s="102"/>
      <c r="I287" s="195"/>
      <c r="J287" s="195"/>
      <c r="K287" s="195"/>
      <c r="L287" s="195"/>
      <c r="M287" s="195"/>
    </row>
    <row r="288" ht="16.5" customHeight="1">
      <c r="A288" s="91"/>
      <c r="B288" s="185"/>
      <c r="C288" s="90"/>
      <c r="D288" s="91"/>
      <c r="E288" s="92"/>
      <c r="F288" s="92"/>
      <c r="G288" s="101"/>
      <c r="H288" s="102"/>
      <c r="I288" s="195"/>
      <c r="J288" s="195"/>
      <c r="K288" s="195"/>
      <c r="L288" s="195"/>
      <c r="M288" s="195"/>
    </row>
    <row r="289" ht="16.5" customHeight="1">
      <c r="A289" s="91"/>
      <c r="B289" s="103"/>
      <c r="C289" s="90"/>
      <c r="D289" s="91"/>
      <c r="E289" s="92"/>
      <c r="F289" s="92"/>
      <c r="G289" s="101"/>
      <c r="H289" s="102"/>
      <c r="I289" s="195"/>
      <c r="J289" s="195"/>
      <c r="K289" s="195"/>
      <c r="L289" s="195"/>
      <c r="M289" s="195"/>
    </row>
    <row r="290" ht="16.5" customHeight="1">
      <c r="A290" s="91"/>
      <c r="B290" s="103"/>
      <c r="C290" s="90"/>
      <c r="D290" s="91"/>
      <c r="E290" s="92"/>
      <c r="F290" s="92"/>
      <c r="G290" s="101"/>
      <c r="H290" s="102"/>
      <c r="I290" s="195"/>
      <c r="J290" s="195"/>
      <c r="K290" s="195"/>
      <c r="L290" s="195"/>
      <c r="M290" s="195"/>
    </row>
    <row r="291" ht="16.5" customHeight="1">
      <c r="A291" s="91"/>
      <c r="B291" s="103"/>
      <c r="C291" s="90"/>
      <c r="D291" s="91"/>
      <c r="E291" s="92"/>
      <c r="F291" s="92"/>
      <c r="G291" s="101"/>
      <c r="H291" s="102"/>
      <c r="I291" s="195"/>
      <c r="J291" s="195"/>
      <c r="K291" s="195"/>
      <c r="L291" s="195"/>
      <c r="M291" s="195"/>
    </row>
    <row r="292" ht="16.5" customHeight="1">
      <c r="A292" s="91"/>
      <c r="B292" s="103"/>
      <c r="C292" s="90"/>
      <c r="D292" s="91"/>
      <c r="E292" s="92"/>
      <c r="F292" s="92"/>
      <c r="G292" s="101"/>
      <c r="H292" s="102"/>
      <c r="I292" s="195"/>
      <c r="J292" s="195"/>
      <c r="K292" s="195"/>
      <c r="L292" s="195"/>
      <c r="M292" s="195"/>
    </row>
    <row r="293" ht="16.5" customHeight="1">
      <c r="A293" s="91"/>
      <c r="B293" s="103"/>
      <c r="C293" s="90"/>
      <c r="D293" s="91"/>
      <c r="E293" s="92"/>
      <c r="F293" s="92"/>
      <c r="G293" s="101"/>
      <c r="H293" s="102"/>
      <c r="I293" s="195"/>
      <c r="J293" s="195"/>
      <c r="K293" s="195"/>
      <c r="L293" s="195"/>
      <c r="M293" s="195"/>
    </row>
    <row r="294" ht="16.5" customHeight="1">
      <c r="A294" s="91"/>
      <c r="B294" s="103"/>
      <c r="C294" s="90"/>
      <c r="D294" s="91"/>
      <c r="E294" s="92"/>
      <c r="F294" s="92"/>
      <c r="G294" s="101"/>
      <c r="H294" s="102"/>
      <c r="I294" s="195"/>
      <c r="J294" s="195"/>
      <c r="K294" s="195"/>
      <c r="L294" s="195"/>
      <c r="M294" s="195"/>
    </row>
    <row r="295" ht="16.5" customHeight="1">
      <c r="A295" s="91"/>
      <c r="B295" s="103"/>
      <c r="C295" s="90"/>
      <c r="D295" s="91"/>
      <c r="E295" s="92"/>
      <c r="F295" s="92"/>
      <c r="G295" s="101"/>
      <c r="H295" s="102"/>
      <c r="I295" s="195"/>
      <c r="J295" s="195"/>
      <c r="K295" s="195"/>
      <c r="L295" s="195"/>
      <c r="M295" s="195"/>
    </row>
    <row r="296" ht="14.25" customHeight="1">
      <c r="A296" s="100"/>
      <c r="B296" s="100"/>
      <c r="C296" s="101"/>
      <c r="D296" s="100"/>
      <c r="E296" s="100"/>
      <c r="F296" s="100"/>
      <c r="G296" s="101"/>
      <c r="H296" s="102"/>
      <c r="I296" s="195"/>
      <c r="J296" s="195"/>
      <c r="K296" s="195"/>
      <c r="L296" s="195"/>
      <c r="M296" s="195"/>
    </row>
    <row r="297" ht="14.25" customHeight="1">
      <c r="A297" s="100"/>
      <c r="B297" s="100"/>
      <c r="C297" s="101"/>
      <c r="D297" s="100"/>
      <c r="E297" s="100"/>
      <c r="F297" s="100"/>
      <c r="G297" s="101"/>
      <c r="H297" s="102"/>
      <c r="I297" s="195"/>
      <c r="J297" s="195"/>
      <c r="K297" s="195"/>
      <c r="L297" s="195"/>
      <c r="M297" s="195"/>
    </row>
    <row r="298" ht="14.25" customHeight="1">
      <c r="A298" s="100"/>
      <c r="B298" s="100"/>
      <c r="C298" s="101"/>
      <c r="D298" s="100"/>
      <c r="E298" s="100"/>
      <c r="F298" s="100"/>
      <c r="G298" s="101"/>
      <c r="H298" s="102"/>
      <c r="I298" s="195"/>
      <c r="J298" s="195"/>
      <c r="K298" s="195"/>
      <c r="L298" s="195"/>
      <c r="M298" s="195"/>
    </row>
    <row r="299" ht="14.25" customHeight="1">
      <c r="A299" s="100"/>
      <c r="B299" s="100"/>
      <c r="C299" s="101"/>
      <c r="D299" s="100"/>
      <c r="E299" s="100"/>
      <c r="F299" s="100"/>
      <c r="G299" s="101"/>
      <c r="H299" s="102"/>
      <c r="I299" s="195"/>
      <c r="J299" s="195"/>
      <c r="K299" s="195"/>
      <c r="L299" s="195"/>
      <c r="M299" s="195"/>
    </row>
    <row r="300" ht="14.25" customHeight="1">
      <c r="A300" s="100"/>
      <c r="B300" s="100"/>
      <c r="C300" s="101"/>
      <c r="D300" s="100"/>
      <c r="E300" s="100"/>
      <c r="F300" s="100"/>
      <c r="G300" s="101"/>
      <c r="H300" s="102"/>
      <c r="I300" s="195"/>
      <c r="J300" s="195"/>
      <c r="K300" s="195"/>
      <c r="L300" s="195"/>
      <c r="M300" s="195"/>
    </row>
    <row r="301" ht="14.25" customHeight="1">
      <c r="A301" s="100"/>
      <c r="B301" s="100"/>
      <c r="C301" s="101"/>
      <c r="D301" s="100"/>
      <c r="E301" s="100"/>
      <c r="F301" s="100"/>
      <c r="G301" s="101"/>
      <c r="H301" s="102"/>
      <c r="I301" s="195"/>
      <c r="J301" s="195"/>
      <c r="K301" s="195"/>
      <c r="L301" s="195"/>
      <c r="M301" s="195"/>
    </row>
    <row r="302" ht="14.25" customHeight="1">
      <c r="A302" s="100"/>
      <c r="B302" s="100"/>
      <c r="C302" s="101"/>
      <c r="D302" s="100"/>
      <c r="E302" s="100"/>
      <c r="F302" s="100"/>
      <c r="G302" s="101"/>
      <c r="H302" s="102"/>
      <c r="I302" s="195"/>
      <c r="J302" s="195"/>
      <c r="K302" s="195"/>
      <c r="L302" s="195"/>
      <c r="M302" s="195"/>
    </row>
    <row r="303" ht="14.25" customHeight="1">
      <c r="A303" s="100"/>
      <c r="B303" s="100"/>
      <c r="C303" s="101"/>
      <c r="D303" s="100"/>
      <c r="E303" s="100"/>
      <c r="F303" s="100"/>
      <c r="G303" s="101"/>
      <c r="H303" s="102"/>
      <c r="I303" s="195"/>
      <c r="J303" s="195"/>
      <c r="K303" s="195"/>
      <c r="L303" s="195"/>
      <c r="M303" s="195"/>
    </row>
    <row r="304" ht="14.25" customHeight="1">
      <c r="A304" s="100"/>
      <c r="B304" s="100"/>
      <c r="C304" s="101"/>
      <c r="D304" s="100"/>
      <c r="E304" s="100"/>
      <c r="F304" s="100"/>
      <c r="G304" s="101"/>
      <c r="H304" s="102"/>
      <c r="I304" s="195"/>
      <c r="J304" s="195"/>
      <c r="K304" s="195"/>
      <c r="L304" s="195"/>
      <c r="M304" s="195"/>
    </row>
    <row r="305" ht="14.25" customHeight="1">
      <c r="A305" s="100"/>
      <c r="B305" s="100"/>
      <c r="C305" s="101"/>
      <c r="D305" s="100"/>
      <c r="E305" s="100"/>
      <c r="F305" s="100"/>
      <c r="G305" s="101"/>
      <c r="H305" s="102"/>
      <c r="I305" s="195"/>
      <c r="J305" s="195"/>
      <c r="K305" s="195"/>
      <c r="L305" s="195"/>
      <c r="M305" s="195"/>
    </row>
    <row r="306" ht="14.25" customHeight="1">
      <c r="A306" s="100"/>
      <c r="B306" s="100"/>
      <c r="C306" s="101"/>
      <c r="D306" s="100"/>
      <c r="E306" s="100"/>
      <c r="F306" s="100"/>
      <c r="G306" s="101"/>
      <c r="H306" s="102"/>
      <c r="I306" s="195"/>
      <c r="J306" s="195"/>
      <c r="K306" s="195"/>
      <c r="L306" s="195"/>
      <c r="M306" s="195"/>
    </row>
    <row r="307" ht="14.25" customHeight="1">
      <c r="A307" s="100"/>
      <c r="B307" s="100"/>
      <c r="C307" s="101"/>
      <c r="D307" s="100"/>
      <c r="E307" s="100"/>
      <c r="F307" s="100"/>
      <c r="G307" s="101"/>
      <c r="H307" s="102"/>
      <c r="I307" s="195"/>
      <c r="J307" s="195"/>
      <c r="K307" s="195"/>
      <c r="L307" s="195"/>
      <c r="M307" s="195"/>
    </row>
    <row r="308" ht="14.25" customHeight="1">
      <c r="A308" s="100"/>
      <c r="B308" s="100"/>
      <c r="C308" s="101"/>
      <c r="D308" s="100"/>
      <c r="E308" s="100"/>
      <c r="F308" s="100"/>
      <c r="G308" s="101"/>
      <c r="H308" s="102"/>
      <c r="I308" s="195"/>
      <c r="J308" s="195"/>
      <c r="K308" s="195"/>
      <c r="L308" s="195"/>
      <c r="M308" s="195"/>
    </row>
    <row r="309" ht="14.25" customHeight="1">
      <c r="A309" s="100"/>
      <c r="B309" s="100"/>
      <c r="C309" s="101"/>
      <c r="D309" s="100"/>
      <c r="E309" s="100"/>
      <c r="F309" s="100"/>
      <c r="G309" s="101"/>
      <c r="H309" s="102"/>
      <c r="I309" s="195"/>
      <c r="J309" s="195"/>
      <c r="K309" s="195"/>
      <c r="L309" s="195"/>
      <c r="M309" s="195"/>
    </row>
    <row r="310" ht="14.25" customHeight="1">
      <c r="A310" s="100"/>
      <c r="B310" s="100"/>
      <c r="C310" s="101"/>
      <c r="D310" s="100"/>
      <c r="E310" s="100"/>
      <c r="F310" s="100"/>
      <c r="G310" s="101"/>
      <c r="H310" s="102"/>
      <c r="I310" s="195"/>
      <c r="J310" s="195"/>
      <c r="K310" s="195"/>
      <c r="L310" s="195"/>
      <c r="M310" s="195"/>
    </row>
    <row r="311" ht="14.25" customHeight="1">
      <c r="A311" s="100"/>
      <c r="B311" s="100"/>
      <c r="C311" s="101"/>
      <c r="D311" s="100"/>
      <c r="E311" s="100"/>
      <c r="F311" s="100"/>
      <c r="G311" s="101"/>
      <c r="H311" s="102"/>
      <c r="I311" s="195"/>
      <c r="J311" s="195"/>
      <c r="K311" s="195"/>
      <c r="L311" s="195"/>
      <c r="M311" s="195"/>
    </row>
    <row r="312" ht="14.25" customHeight="1">
      <c r="A312" s="100"/>
      <c r="B312" s="100"/>
      <c r="C312" s="101"/>
      <c r="D312" s="100"/>
      <c r="E312" s="100"/>
      <c r="F312" s="100"/>
      <c r="G312" s="101"/>
      <c r="H312" s="102"/>
      <c r="I312" s="195"/>
      <c r="J312" s="195"/>
      <c r="K312" s="195"/>
      <c r="L312" s="195"/>
      <c r="M312" s="195"/>
    </row>
    <row r="313" ht="14.25" customHeight="1">
      <c r="A313" s="100"/>
      <c r="B313" s="100"/>
      <c r="C313" s="101"/>
      <c r="D313" s="100"/>
      <c r="E313" s="100"/>
      <c r="F313" s="100"/>
      <c r="G313" s="101"/>
      <c r="H313" s="102"/>
      <c r="I313" s="195"/>
      <c r="J313" s="195"/>
      <c r="K313" s="195"/>
      <c r="L313" s="195"/>
      <c r="M313" s="195"/>
    </row>
    <row r="314" ht="14.25" customHeight="1">
      <c r="A314" s="100"/>
      <c r="B314" s="100"/>
      <c r="C314" s="101"/>
      <c r="D314" s="100"/>
      <c r="E314" s="100"/>
      <c r="F314" s="100"/>
      <c r="G314" s="101"/>
      <c r="H314" s="102"/>
      <c r="I314" s="195"/>
      <c r="J314" s="195"/>
      <c r="K314" s="195"/>
      <c r="L314" s="195"/>
      <c r="M314" s="195"/>
    </row>
    <row r="315" ht="14.25" customHeight="1">
      <c r="A315" s="100"/>
      <c r="B315" s="100"/>
      <c r="C315" s="101"/>
      <c r="D315" s="100"/>
      <c r="E315" s="100"/>
      <c r="F315" s="100"/>
      <c r="G315" s="101"/>
      <c r="H315" s="102"/>
      <c r="I315" s="195"/>
      <c r="J315" s="195"/>
      <c r="K315" s="195"/>
      <c r="L315" s="195"/>
      <c r="M315" s="195"/>
    </row>
    <row r="316" ht="14.25" customHeight="1">
      <c r="A316" s="100"/>
      <c r="B316" s="100"/>
      <c r="C316" s="101"/>
      <c r="D316" s="100"/>
      <c r="E316" s="100"/>
      <c r="F316" s="100"/>
      <c r="G316" s="101"/>
      <c r="H316" s="102"/>
      <c r="I316" s="195"/>
      <c r="J316" s="195"/>
      <c r="K316" s="195"/>
      <c r="L316" s="195"/>
      <c r="M316" s="195"/>
    </row>
    <row r="317" ht="14.25" customHeight="1">
      <c r="A317" s="100"/>
      <c r="B317" s="100"/>
      <c r="C317" s="101"/>
      <c r="D317" s="100"/>
      <c r="E317" s="100"/>
      <c r="F317" s="100"/>
      <c r="G317" s="101"/>
      <c r="H317" s="102"/>
      <c r="I317" s="195"/>
      <c r="J317" s="195"/>
      <c r="K317" s="195"/>
      <c r="L317" s="195"/>
      <c r="M317" s="195"/>
    </row>
    <row r="318" ht="14.25" customHeight="1">
      <c r="A318" s="100"/>
      <c r="B318" s="100"/>
      <c r="C318" s="101"/>
      <c r="D318" s="100"/>
      <c r="E318" s="100"/>
      <c r="F318" s="100"/>
      <c r="G318" s="101"/>
      <c r="H318" s="102"/>
      <c r="I318" s="195"/>
      <c r="J318" s="195"/>
      <c r="K318" s="195"/>
      <c r="L318" s="195"/>
      <c r="M318" s="195"/>
    </row>
    <row r="319" ht="14.25" customHeight="1">
      <c r="A319" s="100"/>
      <c r="B319" s="100"/>
      <c r="C319" s="101"/>
      <c r="D319" s="100"/>
      <c r="E319" s="100"/>
      <c r="F319" s="100"/>
      <c r="G319" s="101"/>
      <c r="H319" s="102"/>
      <c r="I319" s="195"/>
      <c r="J319" s="195"/>
      <c r="K319" s="195"/>
      <c r="L319" s="195"/>
      <c r="M319" s="195"/>
    </row>
    <row r="320" ht="14.25" customHeight="1">
      <c r="A320" s="100"/>
      <c r="B320" s="100"/>
      <c r="C320" s="101"/>
      <c r="D320" s="100"/>
      <c r="E320" s="100"/>
      <c r="F320" s="100"/>
      <c r="G320" s="101"/>
      <c r="H320" s="102"/>
      <c r="I320" s="195"/>
      <c r="J320" s="195"/>
      <c r="K320" s="195"/>
      <c r="L320" s="195"/>
      <c r="M320" s="195"/>
    </row>
    <row r="321" ht="14.25" customHeight="1">
      <c r="A321" s="100"/>
      <c r="B321" s="100"/>
      <c r="C321" s="101"/>
      <c r="D321" s="100"/>
      <c r="E321" s="100"/>
      <c r="F321" s="100"/>
      <c r="G321" s="101"/>
      <c r="H321" s="102"/>
      <c r="I321" s="195"/>
      <c r="J321" s="195"/>
      <c r="K321" s="195"/>
      <c r="L321" s="195"/>
      <c r="M321" s="195"/>
    </row>
    <row r="322" ht="14.25" customHeight="1">
      <c r="A322" s="100"/>
      <c r="B322" s="100"/>
      <c r="C322" s="101"/>
      <c r="D322" s="100"/>
      <c r="E322" s="100"/>
      <c r="F322" s="100"/>
      <c r="G322" s="101"/>
      <c r="H322" s="102"/>
      <c r="I322" s="195"/>
      <c r="J322" s="195"/>
      <c r="K322" s="195"/>
      <c r="L322" s="195"/>
      <c r="M322" s="195"/>
    </row>
    <row r="323" ht="14.25" customHeight="1">
      <c r="A323" s="100"/>
      <c r="B323" s="100"/>
      <c r="C323" s="101"/>
      <c r="D323" s="100"/>
      <c r="E323" s="100"/>
      <c r="F323" s="100"/>
      <c r="G323" s="101"/>
      <c r="H323" s="102"/>
      <c r="I323" s="195"/>
      <c r="J323" s="195"/>
      <c r="K323" s="195"/>
      <c r="L323" s="195"/>
      <c r="M323" s="195"/>
    </row>
    <row r="324" ht="14.25" customHeight="1">
      <c r="A324" s="100"/>
      <c r="B324" s="100"/>
      <c r="C324" s="101"/>
      <c r="D324" s="100"/>
      <c r="E324" s="100"/>
      <c r="F324" s="100"/>
      <c r="G324" s="101"/>
      <c r="H324" s="102"/>
      <c r="I324" s="195"/>
      <c r="J324" s="195"/>
      <c r="K324" s="195"/>
      <c r="L324" s="195"/>
      <c r="M324" s="195"/>
    </row>
    <row r="325" ht="14.25" customHeight="1">
      <c r="A325" s="100"/>
      <c r="B325" s="100"/>
      <c r="C325" s="101"/>
      <c r="D325" s="100"/>
      <c r="E325" s="100"/>
      <c r="F325" s="100"/>
      <c r="G325" s="101"/>
      <c r="H325" s="102"/>
      <c r="I325" s="195"/>
      <c r="J325" s="195"/>
      <c r="K325" s="195"/>
      <c r="L325" s="195"/>
      <c r="M325" s="195"/>
    </row>
    <row r="326" ht="14.25" customHeight="1">
      <c r="A326" s="100"/>
      <c r="B326" s="100"/>
      <c r="C326" s="101"/>
      <c r="D326" s="100"/>
      <c r="E326" s="100"/>
      <c r="F326" s="100"/>
      <c r="G326" s="101"/>
      <c r="H326" s="102"/>
      <c r="I326" s="195"/>
      <c r="J326" s="195"/>
      <c r="K326" s="195"/>
      <c r="L326" s="195"/>
      <c r="M326" s="195"/>
    </row>
    <row r="327" ht="14.25" customHeight="1">
      <c r="A327" s="100"/>
      <c r="B327" s="100"/>
      <c r="C327" s="101"/>
      <c r="D327" s="100"/>
      <c r="E327" s="100"/>
      <c r="F327" s="100"/>
      <c r="G327" s="101"/>
      <c r="H327" s="102"/>
      <c r="I327" s="195"/>
      <c r="J327" s="195"/>
      <c r="K327" s="195"/>
      <c r="L327" s="195"/>
      <c r="M327" s="195"/>
    </row>
    <row r="328" ht="14.25" customHeight="1">
      <c r="A328" s="100"/>
      <c r="B328" s="100"/>
      <c r="C328" s="101"/>
      <c r="D328" s="100"/>
      <c r="E328" s="100"/>
      <c r="F328" s="100"/>
      <c r="G328" s="101"/>
      <c r="H328" s="102"/>
      <c r="I328" s="195"/>
      <c r="J328" s="195"/>
      <c r="K328" s="195"/>
      <c r="L328" s="195"/>
      <c r="M328" s="195"/>
    </row>
    <row r="329" ht="14.25" customHeight="1">
      <c r="A329" s="100"/>
      <c r="B329" s="100"/>
      <c r="C329" s="101"/>
      <c r="D329" s="100"/>
      <c r="E329" s="100"/>
      <c r="F329" s="100"/>
      <c r="G329" s="101"/>
      <c r="H329" s="102"/>
      <c r="I329" s="195"/>
      <c r="J329" s="195"/>
      <c r="K329" s="195"/>
      <c r="L329" s="195"/>
      <c r="M329" s="195"/>
    </row>
    <row r="330" ht="14.25" customHeight="1">
      <c r="A330" s="100"/>
      <c r="B330" s="100"/>
      <c r="C330" s="101"/>
      <c r="D330" s="100"/>
      <c r="E330" s="100"/>
      <c r="F330" s="100"/>
      <c r="G330" s="101"/>
      <c r="H330" s="102"/>
      <c r="I330" s="195"/>
      <c r="J330" s="195"/>
      <c r="K330" s="195"/>
      <c r="L330" s="195"/>
      <c r="M330" s="195"/>
    </row>
    <row r="331" ht="14.25" customHeight="1">
      <c r="A331" s="100"/>
      <c r="B331" s="100"/>
      <c r="C331" s="101"/>
      <c r="D331" s="100"/>
      <c r="E331" s="100"/>
      <c r="F331" s="100"/>
      <c r="G331" s="101"/>
      <c r="H331" s="102"/>
      <c r="I331" s="195"/>
      <c r="J331" s="195"/>
      <c r="K331" s="195"/>
      <c r="L331" s="195"/>
      <c r="M331" s="195"/>
    </row>
    <row r="332" ht="14.25" customHeight="1">
      <c r="A332" s="100"/>
      <c r="B332" s="100"/>
      <c r="C332" s="101"/>
      <c r="D332" s="100"/>
      <c r="E332" s="100"/>
      <c r="F332" s="100"/>
      <c r="G332" s="101"/>
      <c r="H332" s="102"/>
      <c r="I332" s="195"/>
      <c r="J332" s="195"/>
      <c r="K332" s="195"/>
      <c r="L332" s="195"/>
      <c r="M332" s="195"/>
    </row>
    <row r="333" ht="14.25" customHeight="1">
      <c r="A333" s="100"/>
      <c r="B333" s="100"/>
      <c r="C333" s="101"/>
      <c r="D333" s="100"/>
      <c r="E333" s="100"/>
      <c r="F333" s="100"/>
      <c r="G333" s="101"/>
      <c r="H333" s="102"/>
      <c r="I333" s="195"/>
      <c r="J333" s="195"/>
      <c r="K333" s="195"/>
      <c r="L333" s="195"/>
      <c r="M333" s="195"/>
    </row>
    <row r="334" ht="14.25" customHeight="1">
      <c r="A334" s="100"/>
      <c r="B334" s="100"/>
      <c r="C334" s="101"/>
      <c r="D334" s="100"/>
      <c r="E334" s="100"/>
      <c r="F334" s="100"/>
      <c r="G334" s="101"/>
      <c r="H334" s="102"/>
      <c r="I334" s="195"/>
      <c r="J334" s="195"/>
      <c r="K334" s="195"/>
      <c r="L334" s="195"/>
      <c r="M334" s="195"/>
    </row>
    <row r="335" ht="14.25" customHeight="1">
      <c r="A335" s="100"/>
      <c r="B335" s="100"/>
      <c r="C335" s="101"/>
      <c r="D335" s="100"/>
      <c r="E335" s="100"/>
      <c r="F335" s="100"/>
      <c r="G335" s="101"/>
      <c r="H335" s="102"/>
      <c r="I335" s="195"/>
      <c r="J335" s="195"/>
      <c r="K335" s="195"/>
      <c r="L335" s="195"/>
      <c r="M335" s="195"/>
    </row>
    <row r="336" ht="14.25" customHeight="1">
      <c r="A336" s="100"/>
      <c r="B336" s="100"/>
      <c r="C336" s="101"/>
      <c r="D336" s="100"/>
      <c r="E336" s="100"/>
      <c r="F336" s="100"/>
      <c r="G336" s="101"/>
      <c r="H336" s="102"/>
      <c r="I336" s="195"/>
      <c r="J336" s="195"/>
      <c r="K336" s="195"/>
      <c r="L336" s="195"/>
      <c r="M336" s="195"/>
    </row>
    <row r="337" ht="14.25" customHeight="1">
      <c r="A337" s="100"/>
      <c r="B337" s="100"/>
      <c r="C337" s="101"/>
      <c r="D337" s="100"/>
      <c r="E337" s="100"/>
      <c r="F337" s="100"/>
      <c r="G337" s="101"/>
      <c r="H337" s="102"/>
      <c r="I337" s="195"/>
      <c r="J337" s="195"/>
      <c r="K337" s="195"/>
      <c r="L337" s="195"/>
      <c r="M337" s="195"/>
    </row>
    <row r="338" ht="14.25" customHeight="1">
      <c r="A338" s="100"/>
      <c r="B338" s="100"/>
      <c r="C338" s="101"/>
      <c r="D338" s="100"/>
      <c r="E338" s="100"/>
      <c r="F338" s="100"/>
      <c r="G338" s="101"/>
      <c r="H338" s="102"/>
      <c r="I338" s="195"/>
      <c r="J338" s="195"/>
      <c r="K338" s="195"/>
      <c r="L338" s="195"/>
      <c r="M338" s="195"/>
    </row>
    <row r="339" ht="14.25" customHeight="1">
      <c r="A339" s="100"/>
      <c r="B339" s="100"/>
      <c r="C339" s="101"/>
      <c r="D339" s="100"/>
      <c r="E339" s="100"/>
      <c r="F339" s="100"/>
      <c r="G339" s="101"/>
      <c r="H339" s="102"/>
      <c r="I339" s="195"/>
      <c r="J339" s="195"/>
      <c r="K339" s="195"/>
      <c r="L339" s="195"/>
      <c r="M339" s="195"/>
    </row>
    <row r="340" ht="14.25" customHeight="1">
      <c r="A340" s="100"/>
      <c r="B340" s="100"/>
      <c r="C340" s="101"/>
      <c r="D340" s="100"/>
      <c r="E340" s="100"/>
      <c r="F340" s="100"/>
      <c r="G340" s="101"/>
      <c r="H340" s="102"/>
      <c r="I340" s="195"/>
      <c r="J340" s="195"/>
      <c r="K340" s="195"/>
      <c r="L340" s="195"/>
      <c r="M340" s="195"/>
    </row>
    <row r="341" ht="14.25" customHeight="1">
      <c r="A341" s="100"/>
      <c r="B341" s="100"/>
      <c r="C341" s="101"/>
      <c r="D341" s="100"/>
      <c r="E341" s="100"/>
      <c r="F341" s="100"/>
      <c r="G341" s="101"/>
      <c r="H341" s="102"/>
      <c r="I341" s="195"/>
      <c r="J341" s="195"/>
      <c r="K341" s="195"/>
      <c r="L341" s="195"/>
      <c r="M341" s="195"/>
    </row>
    <row r="342" ht="14.25" customHeight="1">
      <c r="A342" s="100"/>
      <c r="B342" s="100"/>
      <c r="C342" s="101"/>
      <c r="D342" s="100"/>
      <c r="E342" s="100"/>
      <c r="F342" s="100"/>
      <c r="G342" s="101"/>
      <c r="H342" s="102"/>
      <c r="I342" s="195"/>
      <c r="J342" s="195"/>
      <c r="K342" s="195"/>
      <c r="L342" s="195"/>
      <c r="M342" s="195"/>
    </row>
    <row r="343" ht="14.25" customHeight="1">
      <c r="A343" s="100"/>
      <c r="B343" s="100"/>
      <c r="C343" s="101"/>
      <c r="D343" s="100"/>
      <c r="E343" s="100"/>
      <c r="F343" s="100"/>
      <c r="G343" s="101"/>
      <c r="H343" s="102"/>
      <c r="I343" s="195"/>
      <c r="J343" s="195"/>
      <c r="K343" s="195"/>
      <c r="L343" s="195"/>
      <c r="M343" s="195"/>
    </row>
    <row r="344" ht="14.25" customHeight="1">
      <c r="A344" s="100"/>
      <c r="B344" s="100"/>
      <c r="C344" s="101"/>
      <c r="D344" s="100"/>
      <c r="E344" s="100"/>
      <c r="F344" s="100"/>
      <c r="G344" s="101"/>
      <c r="H344" s="102"/>
      <c r="I344" s="195"/>
      <c r="J344" s="195"/>
      <c r="K344" s="195"/>
      <c r="L344" s="195"/>
      <c r="M344" s="195"/>
    </row>
    <row r="345" ht="14.25" customHeight="1">
      <c r="A345" s="100"/>
      <c r="B345" s="100"/>
      <c r="C345" s="101"/>
      <c r="D345" s="100"/>
      <c r="E345" s="100"/>
      <c r="F345" s="100"/>
      <c r="G345" s="101"/>
      <c r="H345" s="102"/>
      <c r="I345" s="195"/>
      <c r="J345" s="195"/>
      <c r="K345" s="195"/>
      <c r="L345" s="195"/>
      <c r="M345" s="195"/>
    </row>
    <row r="346" ht="14.25" customHeight="1">
      <c r="A346" s="100"/>
      <c r="B346" s="100"/>
      <c r="C346" s="101"/>
      <c r="D346" s="100"/>
      <c r="E346" s="100"/>
      <c r="F346" s="100"/>
      <c r="G346" s="101"/>
      <c r="H346" s="102"/>
      <c r="I346" s="195"/>
      <c r="J346" s="195"/>
      <c r="K346" s="195"/>
      <c r="L346" s="195"/>
      <c r="M346" s="195"/>
    </row>
    <row r="347" ht="14.25" customHeight="1">
      <c r="A347" s="100"/>
      <c r="B347" s="100"/>
      <c r="C347" s="101"/>
      <c r="D347" s="100"/>
      <c r="E347" s="100"/>
      <c r="F347" s="100"/>
      <c r="G347" s="101"/>
      <c r="H347" s="102"/>
      <c r="I347" s="195"/>
      <c r="J347" s="195"/>
      <c r="K347" s="195"/>
      <c r="L347" s="195"/>
      <c r="M347" s="195"/>
    </row>
    <row r="348" ht="14.25" customHeight="1">
      <c r="A348" s="100"/>
      <c r="B348" s="100"/>
      <c r="C348" s="101"/>
      <c r="D348" s="100"/>
      <c r="E348" s="100"/>
      <c r="F348" s="100"/>
      <c r="G348" s="101"/>
      <c r="H348" s="102"/>
      <c r="I348" s="195"/>
      <c r="J348" s="195"/>
      <c r="K348" s="195"/>
      <c r="L348" s="195"/>
      <c r="M348" s="195"/>
    </row>
    <row r="349" ht="14.25" customHeight="1">
      <c r="A349" s="100"/>
      <c r="B349" s="100"/>
      <c r="C349" s="101"/>
      <c r="D349" s="100"/>
      <c r="E349" s="100"/>
      <c r="F349" s="100"/>
      <c r="G349" s="101"/>
      <c r="H349" s="102"/>
      <c r="I349" s="195"/>
      <c r="J349" s="195"/>
      <c r="K349" s="195"/>
      <c r="L349" s="195"/>
      <c r="M349" s="195"/>
    </row>
    <row r="350" ht="14.25" customHeight="1">
      <c r="A350" s="100"/>
      <c r="B350" s="100"/>
      <c r="C350" s="101"/>
      <c r="D350" s="100"/>
      <c r="E350" s="100"/>
      <c r="F350" s="100"/>
      <c r="G350" s="101"/>
      <c r="H350" s="102"/>
      <c r="I350" s="195"/>
      <c r="J350" s="195"/>
      <c r="K350" s="195"/>
      <c r="L350" s="195"/>
      <c r="M350" s="195"/>
    </row>
    <row r="351" ht="14.25" customHeight="1">
      <c r="A351" s="100"/>
      <c r="B351" s="100"/>
      <c r="C351" s="101"/>
      <c r="D351" s="100"/>
      <c r="E351" s="100"/>
      <c r="F351" s="100"/>
      <c r="G351" s="101"/>
      <c r="H351" s="102"/>
      <c r="I351" s="195"/>
      <c r="J351" s="195"/>
      <c r="K351" s="195"/>
      <c r="L351" s="195"/>
      <c r="M351" s="195"/>
    </row>
    <row r="352" ht="14.25" customHeight="1">
      <c r="A352" s="100"/>
      <c r="B352" s="100"/>
      <c r="C352" s="101"/>
      <c r="D352" s="100"/>
      <c r="E352" s="100"/>
      <c r="F352" s="100"/>
      <c r="G352" s="101"/>
      <c r="H352" s="102"/>
      <c r="I352" s="195"/>
      <c r="J352" s="195"/>
      <c r="K352" s="195"/>
      <c r="L352" s="195"/>
      <c r="M352" s="195"/>
    </row>
    <row r="353" ht="14.25" customHeight="1">
      <c r="A353" s="100"/>
      <c r="B353" s="100"/>
      <c r="C353" s="101"/>
      <c r="D353" s="100"/>
      <c r="E353" s="100"/>
      <c r="F353" s="100"/>
      <c r="G353" s="101"/>
      <c r="H353" s="102"/>
      <c r="I353" s="195"/>
      <c r="J353" s="195"/>
      <c r="K353" s="195"/>
      <c r="L353" s="195"/>
      <c r="M353" s="195"/>
    </row>
    <row r="354" ht="14.25" customHeight="1">
      <c r="A354" s="100"/>
      <c r="B354" s="100"/>
      <c r="C354" s="101"/>
      <c r="D354" s="100"/>
      <c r="E354" s="100"/>
      <c r="F354" s="100"/>
      <c r="G354" s="101"/>
      <c r="H354" s="102"/>
      <c r="I354" s="195"/>
      <c r="J354" s="195"/>
      <c r="K354" s="195"/>
      <c r="L354" s="195"/>
      <c r="M354" s="195"/>
    </row>
    <row r="355" ht="14.25" customHeight="1">
      <c r="A355" s="100"/>
      <c r="B355" s="100"/>
      <c r="C355" s="101"/>
      <c r="D355" s="100"/>
      <c r="E355" s="100"/>
      <c r="F355" s="100"/>
      <c r="G355" s="101"/>
      <c r="H355" s="102"/>
      <c r="I355" s="195"/>
      <c r="J355" s="195"/>
      <c r="K355" s="195"/>
      <c r="L355" s="195"/>
      <c r="M355" s="195"/>
    </row>
    <row r="356" ht="14.25" customHeight="1">
      <c r="A356" s="100"/>
      <c r="B356" s="100"/>
      <c r="C356" s="101"/>
      <c r="D356" s="100"/>
      <c r="E356" s="100"/>
      <c r="F356" s="100"/>
      <c r="G356" s="101"/>
      <c r="H356" s="102"/>
      <c r="I356" s="195"/>
      <c r="J356" s="195"/>
      <c r="K356" s="195"/>
      <c r="L356" s="195"/>
      <c r="M356" s="195"/>
    </row>
    <row r="357" ht="14.25" customHeight="1">
      <c r="A357" s="100"/>
      <c r="B357" s="100"/>
      <c r="C357" s="101"/>
      <c r="D357" s="100"/>
      <c r="E357" s="100"/>
      <c r="F357" s="100"/>
      <c r="G357" s="101"/>
      <c r="H357" s="102"/>
      <c r="I357" s="195"/>
      <c r="J357" s="195"/>
      <c r="K357" s="195"/>
      <c r="L357" s="195"/>
      <c r="M357" s="195"/>
    </row>
    <row r="358" ht="14.25" customHeight="1">
      <c r="A358" s="100"/>
      <c r="B358" s="100"/>
      <c r="C358" s="101"/>
      <c r="D358" s="100"/>
      <c r="E358" s="100"/>
      <c r="F358" s="100"/>
      <c r="G358" s="101"/>
      <c r="H358" s="102"/>
      <c r="I358" s="195"/>
      <c r="J358" s="195"/>
      <c r="K358" s="195"/>
      <c r="L358" s="195"/>
      <c r="M358" s="195"/>
    </row>
    <row r="359" ht="14.25" customHeight="1">
      <c r="A359" s="100"/>
      <c r="B359" s="100"/>
      <c r="C359" s="101"/>
      <c r="D359" s="100"/>
      <c r="E359" s="100"/>
      <c r="F359" s="100"/>
      <c r="G359" s="101"/>
      <c r="H359" s="102"/>
      <c r="I359" s="195"/>
      <c r="J359" s="195"/>
      <c r="K359" s="195"/>
      <c r="L359" s="195"/>
      <c r="M359" s="195"/>
    </row>
    <row r="360" ht="14.25" customHeight="1">
      <c r="A360" s="100"/>
      <c r="B360" s="100"/>
      <c r="C360" s="101"/>
      <c r="D360" s="100"/>
      <c r="E360" s="100"/>
      <c r="F360" s="100"/>
      <c r="G360" s="101"/>
      <c r="H360" s="102"/>
      <c r="I360" s="195"/>
      <c r="J360" s="195"/>
      <c r="K360" s="195"/>
      <c r="L360" s="195"/>
      <c r="M360" s="195"/>
    </row>
    <row r="361" ht="14.25" customHeight="1">
      <c r="A361" s="100"/>
      <c r="B361" s="100"/>
      <c r="C361" s="101"/>
      <c r="D361" s="100"/>
      <c r="E361" s="100"/>
      <c r="F361" s="100"/>
      <c r="G361" s="101"/>
      <c r="H361" s="102"/>
      <c r="I361" s="195"/>
      <c r="J361" s="195"/>
      <c r="K361" s="195"/>
      <c r="L361" s="195"/>
      <c r="M361" s="195"/>
    </row>
    <row r="362" ht="14.25" customHeight="1">
      <c r="A362" s="100"/>
      <c r="B362" s="100"/>
      <c r="C362" s="101"/>
      <c r="D362" s="100"/>
      <c r="E362" s="100"/>
      <c r="F362" s="100"/>
      <c r="G362" s="101"/>
      <c r="H362" s="102"/>
      <c r="I362" s="195"/>
      <c r="J362" s="195"/>
      <c r="K362" s="195"/>
      <c r="L362" s="195"/>
      <c r="M362" s="195"/>
    </row>
    <row r="363" ht="14.25" customHeight="1">
      <c r="A363" s="100"/>
      <c r="B363" s="100"/>
      <c r="C363" s="101"/>
      <c r="D363" s="100"/>
      <c r="E363" s="100"/>
      <c r="F363" s="100"/>
      <c r="G363" s="101"/>
      <c r="H363" s="102"/>
      <c r="I363" s="195"/>
      <c r="J363" s="195"/>
      <c r="K363" s="195"/>
      <c r="L363" s="195"/>
      <c r="M363" s="195"/>
    </row>
    <row r="364" ht="14.25" customHeight="1">
      <c r="A364" s="100"/>
      <c r="B364" s="100"/>
      <c r="C364" s="101"/>
      <c r="D364" s="100"/>
      <c r="E364" s="100"/>
      <c r="F364" s="100"/>
      <c r="G364" s="101"/>
      <c r="H364" s="102"/>
      <c r="I364" s="195"/>
      <c r="J364" s="195"/>
      <c r="K364" s="195"/>
      <c r="L364" s="195"/>
      <c r="M364" s="195"/>
    </row>
    <row r="365" ht="14.25" customHeight="1">
      <c r="A365" s="100"/>
      <c r="B365" s="100"/>
      <c r="C365" s="101"/>
      <c r="D365" s="100"/>
      <c r="E365" s="100"/>
      <c r="F365" s="100"/>
      <c r="G365" s="101"/>
      <c r="H365" s="102"/>
      <c r="I365" s="195"/>
      <c r="J365" s="195"/>
      <c r="K365" s="195"/>
      <c r="L365" s="195"/>
      <c r="M365" s="195"/>
    </row>
    <row r="366" ht="14.25" customHeight="1">
      <c r="A366" s="100"/>
      <c r="B366" s="100"/>
      <c r="C366" s="101"/>
      <c r="D366" s="100"/>
      <c r="E366" s="100"/>
      <c r="F366" s="100"/>
      <c r="G366" s="101"/>
      <c r="H366" s="102"/>
      <c r="I366" s="195"/>
      <c r="J366" s="195"/>
      <c r="K366" s="195"/>
      <c r="L366" s="195"/>
      <c r="M366" s="195"/>
    </row>
    <row r="367" ht="14.25" customHeight="1">
      <c r="A367" s="100"/>
      <c r="B367" s="100"/>
      <c r="C367" s="101"/>
      <c r="D367" s="100"/>
      <c r="E367" s="100"/>
      <c r="F367" s="100"/>
      <c r="G367" s="101"/>
      <c r="H367" s="102"/>
      <c r="I367" s="195"/>
      <c r="J367" s="195"/>
      <c r="K367" s="195"/>
      <c r="L367" s="195"/>
      <c r="M367" s="195"/>
    </row>
    <row r="368" ht="14.25" customHeight="1">
      <c r="A368" s="100"/>
      <c r="B368" s="100"/>
      <c r="C368" s="101"/>
      <c r="D368" s="100"/>
      <c r="E368" s="100"/>
      <c r="F368" s="100"/>
      <c r="G368" s="101"/>
      <c r="H368" s="102"/>
      <c r="I368" s="195"/>
      <c r="J368" s="195"/>
      <c r="K368" s="195"/>
      <c r="L368" s="195"/>
      <c r="M368" s="195"/>
    </row>
    <row r="369" ht="14.25" customHeight="1">
      <c r="A369" s="100"/>
      <c r="B369" s="100"/>
      <c r="C369" s="101"/>
      <c r="D369" s="100"/>
      <c r="E369" s="100"/>
      <c r="F369" s="100"/>
      <c r="G369" s="101"/>
      <c r="H369" s="102"/>
      <c r="I369" s="195"/>
      <c r="J369" s="195"/>
      <c r="K369" s="195"/>
      <c r="L369" s="195"/>
      <c r="M369" s="195"/>
    </row>
    <row r="370" ht="14.25" customHeight="1">
      <c r="A370" s="100"/>
      <c r="B370" s="100"/>
      <c r="C370" s="101"/>
      <c r="D370" s="100"/>
      <c r="E370" s="100"/>
      <c r="F370" s="100"/>
      <c r="G370" s="101"/>
      <c r="H370" s="102"/>
      <c r="I370" s="195"/>
      <c r="J370" s="195"/>
      <c r="K370" s="195"/>
      <c r="L370" s="195"/>
      <c r="M370" s="195"/>
    </row>
    <row r="371" ht="14.25" customHeight="1">
      <c r="A371" s="100"/>
      <c r="B371" s="100"/>
      <c r="C371" s="101"/>
      <c r="D371" s="100"/>
      <c r="E371" s="100"/>
      <c r="F371" s="100"/>
      <c r="G371" s="101"/>
      <c r="H371" s="102"/>
      <c r="I371" s="195"/>
      <c r="J371" s="195"/>
      <c r="K371" s="195"/>
      <c r="L371" s="195"/>
      <c r="M371" s="195"/>
    </row>
    <row r="372" ht="14.25" customHeight="1">
      <c r="A372" s="100"/>
      <c r="B372" s="100"/>
      <c r="C372" s="101"/>
      <c r="D372" s="100"/>
      <c r="E372" s="100"/>
      <c r="F372" s="100"/>
      <c r="G372" s="101"/>
      <c r="H372" s="102"/>
      <c r="I372" s="195"/>
      <c r="J372" s="195"/>
      <c r="K372" s="195"/>
      <c r="L372" s="195"/>
      <c r="M372" s="195"/>
    </row>
    <row r="373" ht="14.25" customHeight="1">
      <c r="A373" s="100"/>
      <c r="B373" s="100"/>
      <c r="C373" s="101"/>
      <c r="D373" s="100"/>
      <c r="E373" s="100"/>
      <c r="F373" s="100"/>
      <c r="G373" s="101"/>
      <c r="H373" s="102"/>
      <c r="I373" s="195"/>
      <c r="J373" s="195"/>
      <c r="K373" s="195"/>
      <c r="L373" s="195"/>
      <c r="M373" s="195"/>
    </row>
    <row r="374" ht="14.25" customHeight="1">
      <c r="A374" s="100"/>
      <c r="B374" s="100"/>
      <c r="C374" s="101"/>
      <c r="D374" s="100"/>
      <c r="E374" s="100"/>
      <c r="F374" s="100"/>
      <c r="G374" s="101"/>
      <c r="H374" s="102"/>
      <c r="I374" s="195"/>
      <c r="J374" s="195"/>
      <c r="K374" s="195"/>
      <c r="L374" s="195"/>
      <c r="M374" s="195"/>
    </row>
    <row r="375" ht="14.25" customHeight="1">
      <c r="A375" s="100"/>
      <c r="B375" s="100"/>
      <c r="C375" s="101"/>
      <c r="D375" s="100"/>
      <c r="E375" s="100"/>
      <c r="F375" s="100"/>
      <c r="G375" s="101"/>
      <c r="H375" s="102"/>
      <c r="I375" s="195"/>
      <c r="J375" s="195"/>
      <c r="K375" s="195"/>
      <c r="L375" s="195"/>
      <c r="M375" s="195"/>
    </row>
    <row r="376" ht="14.25" customHeight="1">
      <c r="A376" s="100"/>
      <c r="B376" s="100"/>
      <c r="C376" s="101"/>
      <c r="D376" s="100"/>
      <c r="E376" s="100"/>
      <c r="F376" s="100"/>
      <c r="G376" s="101"/>
      <c r="H376" s="102"/>
      <c r="I376" s="195"/>
      <c r="J376" s="195"/>
      <c r="K376" s="195"/>
      <c r="L376" s="195"/>
      <c r="M376" s="195"/>
    </row>
    <row r="377" ht="14.25" customHeight="1">
      <c r="A377" s="100"/>
      <c r="B377" s="100"/>
      <c r="C377" s="101"/>
      <c r="D377" s="100"/>
      <c r="E377" s="100"/>
      <c r="F377" s="100"/>
      <c r="G377" s="101"/>
      <c r="H377" s="102"/>
      <c r="I377" s="195"/>
      <c r="J377" s="195"/>
      <c r="K377" s="195"/>
      <c r="L377" s="195"/>
      <c r="M377" s="195"/>
    </row>
    <row r="378" ht="14.25" customHeight="1">
      <c r="A378" s="100"/>
      <c r="B378" s="100"/>
      <c r="C378" s="101"/>
      <c r="D378" s="100"/>
      <c r="E378" s="100"/>
      <c r="F378" s="100"/>
      <c r="G378" s="101"/>
      <c r="H378" s="102"/>
      <c r="I378" s="195"/>
      <c r="J378" s="195"/>
      <c r="K378" s="195"/>
      <c r="L378" s="195"/>
      <c r="M378" s="195"/>
    </row>
    <row r="379" ht="14.25" customHeight="1">
      <c r="A379" s="100"/>
      <c r="B379" s="100"/>
      <c r="C379" s="101"/>
      <c r="D379" s="100"/>
      <c r="E379" s="100"/>
      <c r="F379" s="100"/>
      <c r="G379" s="101"/>
      <c r="H379" s="102"/>
      <c r="I379" s="195"/>
      <c r="J379" s="195"/>
      <c r="K379" s="195"/>
      <c r="L379" s="195"/>
      <c r="M379" s="195"/>
    </row>
    <row r="380" ht="14.25" customHeight="1">
      <c r="A380" s="100"/>
      <c r="B380" s="100"/>
      <c r="C380" s="101"/>
      <c r="D380" s="100"/>
      <c r="E380" s="100"/>
      <c r="F380" s="100"/>
      <c r="G380" s="101"/>
      <c r="H380" s="102"/>
      <c r="I380" s="195"/>
      <c r="J380" s="195"/>
      <c r="K380" s="195"/>
      <c r="L380" s="195"/>
      <c r="M380" s="195"/>
    </row>
    <row r="381" ht="14.25" customHeight="1">
      <c r="A381" s="100"/>
      <c r="B381" s="100"/>
      <c r="C381" s="101"/>
      <c r="D381" s="100"/>
      <c r="E381" s="100"/>
      <c r="F381" s="100"/>
      <c r="G381" s="101"/>
      <c r="H381" s="102"/>
      <c r="I381" s="195"/>
      <c r="J381" s="195"/>
      <c r="K381" s="195"/>
      <c r="L381" s="195"/>
      <c r="M381" s="195"/>
    </row>
    <row r="382" ht="14.25" customHeight="1">
      <c r="A382" s="100"/>
      <c r="B382" s="100"/>
      <c r="C382" s="101"/>
      <c r="D382" s="100"/>
      <c r="E382" s="100"/>
      <c r="F382" s="100"/>
      <c r="G382" s="101"/>
      <c r="H382" s="102"/>
      <c r="I382" s="195"/>
      <c r="J382" s="195"/>
      <c r="K382" s="195"/>
      <c r="L382" s="195"/>
      <c r="M382" s="195"/>
    </row>
    <row r="383" ht="14.25" customHeight="1">
      <c r="A383" s="100"/>
      <c r="B383" s="100"/>
      <c r="C383" s="101"/>
      <c r="D383" s="100"/>
      <c r="E383" s="100"/>
      <c r="F383" s="100"/>
      <c r="G383" s="101"/>
      <c r="H383" s="102"/>
      <c r="I383" s="195"/>
      <c r="J383" s="195"/>
      <c r="K383" s="195"/>
      <c r="L383" s="195"/>
      <c r="M383" s="195"/>
    </row>
    <row r="384" ht="14.25" customHeight="1">
      <c r="A384" s="100"/>
      <c r="B384" s="100"/>
      <c r="C384" s="101"/>
      <c r="D384" s="100"/>
      <c r="E384" s="100"/>
      <c r="F384" s="100"/>
      <c r="G384" s="101"/>
      <c r="H384" s="102"/>
      <c r="I384" s="195"/>
      <c r="J384" s="195"/>
      <c r="K384" s="195"/>
      <c r="L384" s="195"/>
      <c r="M384" s="195"/>
    </row>
    <row r="385" ht="14.25" customHeight="1">
      <c r="A385" s="100"/>
      <c r="B385" s="100"/>
      <c r="C385" s="101"/>
      <c r="D385" s="100"/>
      <c r="E385" s="100"/>
      <c r="F385" s="100"/>
      <c r="G385" s="101"/>
      <c r="H385" s="102"/>
      <c r="I385" s="195"/>
      <c r="J385" s="195"/>
      <c r="K385" s="195"/>
      <c r="L385" s="195"/>
      <c r="M385" s="195"/>
    </row>
    <row r="386" ht="14.25" customHeight="1">
      <c r="A386" s="100"/>
      <c r="B386" s="100"/>
      <c r="C386" s="101"/>
      <c r="D386" s="100"/>
      <c r="E386" s="100"/>
      <c r="F386" s="100"/>
      <c r="G386" s="101"/>
      <c r="H386" s="102"/>
      <c r="I386" s="195"/>
      <c r="J386" s="195"/>
      <c r="K386" s="195"/>
      <c r="L386" s="195"/>
      <c r="M386" s="195"/>
    </row>
    <row r="387" ht="14.25" customHeight="1">
      <c r="A387" s="100"/>
      <c r="B387" s="100"/>
      <c r="C387" s="101"/>
      <c r="D387" s="100"/>
      <c r="E387" s="100"/>
      <c r="F387" s="100"/>
      <c r="G387" s="101"/>
      <c r="H387" s="102"/>
      <c r="I387" s="195"/>
      <c r="J387" s="195"/>
      <c r="K387" s="195"/>
      <c r="L387" s="195"/>
      <c r="M387" s="195"/>
    </row>
    <row r="388" ht="14.25" customHeight="1">
      <c r="A388" s="100"/>
      <c r="B388" s="100"/>
      <c r="C388" s="101"/>
      <c r="D388" s="100"/>
      <c r="E388" s="100"/>
      <c r="F388" s="100"/>
      <c r="G388" s="101"/>
      <c r="H388" s="102"/>
      <c r="I388" s="195"/>
      <c r="J388" s="195"/>
      <c r="K388" s="195"/>
      <c r="L388" s="195"/>
      <c r="M388" s="195"/>
    </row>
    <row r="389" ht="14.25" customHeight="1">
      <c r="A389" s="100"/>
      <c r="B389" s="100"/>
      <c r="C389" s="101"/>
      <c r="D389" s="100"/>
      <c r="E389" s="100"/>
      <c r="F389" s="100"/>
      <c r="G389" s="101"/>
      <c r="H389" s="102"/>
      <c r="I389" s="195"/>
      <c r="J389" s="195"/>
      <c r="K389" s="195"/>
      <c r="L389" s="195"/>
      <c r="M389" s="195"/>
    </row>
    <row r="390" ht="14.25" customHeight="1">
      <c r="A390" s="100"/>
      <c r="B390" s="100"/>
      <c r="C390" s="101"/>
      <c r="D390" s="100"/>
      <c r="E390" s="100"/>
      <c r="F390" s="100"/>
      <c r="G390" s="101"/>
      <c r="H390" s="102"/>
      <c r="I390" s="195"/>
      <c r="J390" s="195"/>
      <c r="K390" s="195"/>
      <c r="L390" s="195"/>
      <c r="M390" s="195"/>
    </row>
    <row r="391" ht="14.25" customHeight="1">
      <c r="A391" s="100"/>
      <c r="B391" s="100"/>
      <c r="C391" s="101"/>
      <c r="D391" s="100"/>
      <c r="E391" s="100"/>
      <c r="F391" s="100"/>
      <c r="G391" s="101"/>
      <c r="H391" s="102"/>
      <c r="I391" s="195"/>
      <c r="J391" s="195"/>
      <c r="K391" s="195"/>
      <c r="L391" s="195"/>
      <c r="M391" s="195"/>
    </row>
    <row r="392" ht="14.25" customHeight="1">
      <c r="A392" s="100"/>
      <c r="B392" s="100"/>
      <c r="C392" s="101"/>
      <c r="D392" s="100"/>
      <c r="E392" s="100"/>
      <c r="F392" s="100"/>
      <c r="G392" s="101"/>
      <c r="H392" s="102"/>
      <c r="I392" s="195"/>
      <c r="J392" s="195"/>
      <c r="K392" s="195"/>
      <c r="L392" s="195"/>
      <c r="M392" s="195"/>
    </row>
    <row r="393" ht="14.25" customHeight="1">
      <c r="A393" s="100"/>
      <c r="B393" s="100"/>
      <c r="C393" s="101"/>
      <c r="D393" s="100"/>
      <c r="E393" s="100"/>
      <c r="F393" s="100"/>
      <c r="G393" s="101"/>
      <c r="H393" s="102"/>
      <c r="I393" s="195"/>
      <c r="J393" s="195"/>
      <c r="K393" s="195"/>
      <c r="L393" s="195"/>
      <c r="M393" s="195"/>
    </row>
    <row r="394" ht="14.25" customHeight="1">
      <c r="A394" s="100"/>
      <c r="B394" s="100"/>
      <c r="C394" s="101"/>
      <c r="D394" s="100"/>
      <c r="E394" s="100"/>
      <c r="F394" s="100"/>
      <c r="G394" s="101"/>
      <c r="H394" s="102"/>
      <c r="I394" s="195"/>
      <c r="J394" s="195"/>
      <c r="K394" s="195"/>
      <c r="L394" s="195"/>
      <c r="M394" s="195"/>
    </row>
    <row r="395" ht="14.25" customHeight="1">
      <c r="A395" s="100"/>
      <c r="B395" s="100"/>
      <c r="C395" s="101"/>
      <c r="D395" s="100"/>
      <c r="E395" s="100"/>
      <c r="F395" s="100"/>
      <c r="G395" s="101"/>
      <c r="H395" s="102"/>
      <c r="I395" s="195"/>
      <c r="J395" s="195"/>
      <c r="K395" s="195"/>
      <c r="L395" s="195"/>
      <c r="M395" s="195"/>
    </row>
    <row r="396" ht="14.25" customHeight="1">
      <c r="A396" s="100"/>
      <c r="B396" s="100"/>
      <c r="C396" s="101"/>
      <c r="D396" s="100"/>
      <c r="E396" s="100"/>
      <c r="F396" s="100"/>
      <c r="G396" s="101"/>
      <c r="H396" s="102"/>
      <c r="I396" s="195"/>
      <c r="J396" s="195"/>
      <c r="K396" s="195"/>
      <c r="L396" s="195"/>
      <c r="M396" s="195"/>
    </row>
    <row r="397" ht="14.25" customHeight="1">
      <c r="A397" s="100"/>
      <c r="B397" s="100"/>
      <c r="C397" s="101"/>
      <c r="D397" s="100"/>
      <c r="E397" s="100"/>
      <c r="F397" s="100"/>
      <c r="G397" s="101"/>
      <c r="H397" s="102"/>
      <c r="I397" s="195"/>
      <c r="J397" s="195"/>
      <c r="K397" s="195"/>
      <c r="L397" s="195"/>
      <c r="M397" s="195"/>
    </row>
    <row r="398" ht="14.25" customHeight="1">
      <c r="A398" s="100"/>
      <c r="B398" s="100"/>
      <c r="C398" s="101"/>
      <c r="D398" s="100"/>
      <c r="E398" s="100"/>
      <c r="F398" s="100"/>
      <c r="G398" s="101"/>
      <c r="H398" s="102"/>
      <c r="I398" s="195"/>
      <c r="J398" s="195"/>
      <c r="K398" s="195"/>
      <c r="L398" s="195"/>
      <c r="M398" s="195"/>
    </row>
    <row r="399" ht="14.25" customHeight="1">
      <c r="A399" s="100"/>
      <c r="B399" s="100"/>
      <c r="C399" s="101"/>
      <c r="D399" s="100"/>
      <c r="E399" s="100"/>
      <c r="F399" s="100"/>
      <c r="G399" s="101"/>
      <c r="H399" s="102"/>
      <c r="I399" s="195"/>
      <c r="J399" s="195"/>
      <c r="K399" s="195"/>
      <c r="L399" s="195"/>
      <c r="M399" s="195"/>
    </row>
    <row r="400" ht="14.25" customHeight="1">
      <c r="A400" s="100"/>
      <c r="B400" s="100"/>
      <c r="C400" s="101"/>
      <c r="D400" s="100"/>
      <c r="E400" s="100"/>
      <c r="F400" s="100"/>
      <c r="G400" s="101"/>
      <c r="H400" s="102"/>
      <c r="I400" s="195"/>
      <c r="J400" s="195"/>
      <c r="K400" s="195"/>
      <c r="L400" s="195"/>
      <c r="M400" s="195"/>
    </row>
    <row r="401" ht="14.25" customHeight="1">
      <c r="A401" s="100"/>
      <c r="B401" s="100"/>
      <c r="C401" s="101"/>
      <c r="D401" s="100"/>
      <c r="E401" s="100"/>
      <c r="F401" s="100"/>
      <c r="G401" s="101"/>
      <c r="H401" s="102"/>
      <c r="I401" s="195"/>
      <c r="J401" s="195"/>
      <c r="K401" s="195"/>
      <c r="L401" s="195"/>
      <c r="M401" s="195"/>
    </row>
    <row r="402" ht="14.25" customHeight="1">
      <c r="A402" s="100"/>
      <c r="B402" s="100"/>
      <c r="C402" s="101"/>
      <c r="D402" s="100"/>
      <c r="E402" s="100"/>
      <c r="F402" s="100"/>
      <c r="G402" s="101"/>
      <c r="H402" s="102"/>
      <c r="I402" s="195"/>
      <c r="J402" s="195"/>
      <c r="K402" s="195"/>
      <c r="L402" s="195"/>
      <c r="M402" s="195"/>
    </row>
    <row r="403" ht="14.25" customHeight="1">
      <c r="A403" s="100"/>
      <c r="B403" s="100"/>
      <c r="C403" s="101"/>
      <c r="D403" s="100"/>
      <c r="E403" s="100"/>
      <c r="F403" s="100"/>
      <c r="G403" s="101"/>
      <c r="H403" s="102"/>
      <c r="I403" s="195"/>
      <c r="J403" s="195"/>
      <c r="K403" s="195"/>
      <c r="L403" s="195"/>
      <c r="M403" s="195"/>
    </row>
    <row r="404" ht="14.25" customHeight="1">
      <c r="A404" s="100"/>
      <c r="B404" s="100"/>
      <c r="C404" s="101"/>
      <c r="D404" s="100"/>
      <c r="E404" s="100"/>
      <c r="F404" s="100"/>
      <c r="G404" s="101"/>
      <c r="H404" s="102"/>
      <c r="I404" s="195"/>
      <c r="J404" s="195"/>
      <c r="K404" s="195"/>
      <c r="L404" s="195"/>
      <c r="M404" s="195"/>
    </row>
    <row r="405" ht="14.25" customHeight="1">
      <c r="A405" s="100"/>
      <c r="B405" s="100"/>
      <c r="C405" s="101"/>
      <c r="D405" s="100"/>
      <c r="E405" s="100"/>
      <c r="F405" s="100"/>
      <c r="G405" s="101"/>
      <c r="H405" s="102"/>
      <c r="I405" s="195"/>
      <c r="J405" s="195"/>
      <c r="K405" s="195"/>
      <c r="L405" s="195"/>
      <c r="M405" s="195"/>
    </row>
    <row r="406" ht="14.25" customHeight="1">
      <c r="A406" s="100"/>
      <c r="B406" s="100"/>
      <c r="C406" s="101"/>
      <c r="D406" s="100"/>
      <c r="E406" s="100"/>
      <c r="F406" s="100"/>
      <c r="G406" s="101"/>
      <c r="H406" s="102"/>
      <c r="I406" s="195"/>
      <c r="J406" s="195"/>
      <c r="K406" s="195"/>
      <c r="L406" s="195"/>
      <c r="M406" s="195"/>
    </row>
    <row r="407" ht="14.25" customHeight="1">
      <c r="A407" s="100"/>
      <c r="B407" s="100"/>
      <c r="C407" s="101"/>
      <c r="D407" s="100"/>
      <c r="E407" s="100"/>
      <c r="F407" s="100"/>
      <c r="G407" s="101"/>
      <c r="H407" s="102"/>
      <c r="I407" s="195"/>
      <c r="J407" s="195"/>
      <c r="K407" s="195"/>
      <c r="L407" s="195"/>
      <c r="M407" s="195"/>
    </row>
    <row r="408" ht="14.25" customHeight="1">
      <c r="A408" s="100"/>
      <c r="B408" s="100"/>
      <c r="C408" s="101"/>
      <c r="D408" s="100"/>
      <c r="E408" s="100"/>
      <c r="F408" s="100"/>
      <c r="G408" s="101"/>
      <c r="H408" s="102"/>
      <c r="I408" s="195"/>
      <c r="J408" s="195"/>
      <c r="K408" s="195"/>
      <c r="L408" s="195"/>
      <c r="M408" s="195"/>
    </row>
    <row r="409" ht="14.25" customHeight="1">
      <c r="A409" s="100"/>
      <c r="B409" s="100"/>
      <c r="C409" s="101"/>
      <c r="D409" s="100"/>
      <c r="E409" s="100"/>
      <c r="F409" s="100"/>
      <c r="G409" s="101"/>
      <c r="H409" s="102"/>
      <c r="I409" s="195"/>
      <c r="J409" s="195"/>
      <c r="K409" s="195"/>
      <c r="L409" s="195"/>
      <c r="M409" s="195"/>
    </row>
    <row r="410" ht="14.25" customHeight="1">
      <c r="A410" s="100"/>
      <c r="B410" s="100"/>
      <c r="C410" s="101"/>
      <c r="D410" s="100"/>
      <c r="E410" s="100"/>
      <c r="F410" s="100"/>
      <c r="G410" s="101"/>
      <c r="H410" s="102"/>
      <c r="I410" s="195"/>
      <c r="J410" s="195"/>
      <c r="K410" s="195"/>
      <c r="L410" s="195"/>
      <c r="M410" s="195"/>
    </row>
    <row r="411" ht="14.25" customHeight="1">
      <c r="A411" s="100"/>
      <c r="B411" s="100"/>
      <c r="C411" s="101"/>
      <c r="D411" s="100"/>
      <c r="E411" s="100"/>
      <c r="F411" s="100"/>
      <c r="G411" s="101"/>
      <c r="H411" s="102"/>
      <c r="I411" s="195"/>
      <c r="J411" s="195"/>
      <c r="K411" s="195"/>
      <c r="L411" s="195"/>
      <c r="M411" s="195"/>
    </row>
    <row r="412" ht="14.25" customHeight="1">
      <c r="A412" s="100"/>
      <c r="B412" s="100"/>
      <c r="C412" s="101"/>
      <c r="D412" s="100"/>
      <c r="E412" s="100"/>
      <c r="F412" s="100"/>
      <c r="G412" s="101"/>
      <c r="H412" s="102"/>
      <c r="I412" s="195"/>
      <c r="J412" s="195"/>
      <c r="K412" s="195"/>
      <c r="L412" s="195"/>
      <c r="M412" s="195"/>
    </row>
    <row r="413" ht="14.25" customHeight="1">
      <c r="A413" s="100"/>
      <c r="B413" s="100"/>
      <c r="C413" s="101"/>
      <c r="D413" s="100"/>
      <c r="E413" s="100"/>
      <c r="F413" s="100"/>
      <c r="G413" s="101"/>
      <c r="H413" s="102"/>
      <c r="I413" s="195"/>
      <c r="J413" s="195"/>
      <c r="K413" s="195"/>
      <c r="L413" s="195"/>
      <c r="M413" s="195"/>
    </row>
    <row r="414" ht="14.25" customHeight="1">
      <c r="A414" s="100"/>
      <c r="B414" s="100"/>
      <c r="C414" s="101"/>
      <c r="D414" s="100"/>
      <c r="E414" s="100"/>
      <c r="F414" s="100"/>
      <c r="G414" s="101"/>
      <c r="H414" s="102"/>
      <c r="I414" s="195"/>
      <c r="J414" s="195"/>
      <c r="K414" s="195"/>
      <c r="L414" s="195"/>
      <c r="M414" s="195"/>
    </row>
    <row r="415" ht="14.25" customHeight="1">
      <c r="A415" s="100"/>
      <c r="B415" s="100"/>
      <c r="C415" s="101"/>
      <c r="D415" s="100"/>
      <c r="E415" s="100"/>
      <c r="F415" s="100"/>
      <c r="G415" s="101"/>
      <c r="H415" s="102"/>
      <c r="I415" s="195"/>
      <c r="J415" s="195"/>
      <c r="K415" s="195"/>
      <c r="L415" s="195"/>
      <c r="M415" s="195"/>
    </row>
    <row r="416" ht="14.25" customHeight="1">
      <c r="A416" s="100"/>
      <c r="B416" s="100"/>
      <c r="C416" s="101"/>
      <c r="D416" s="100"/>
      <c r="E416" s="100"/>
      <c r="F416" s="100"/>
      <c r="G416" s="101"/>
      <c r="H416" s="102"/>
      <c r="I416" s="195"/>
      <c r="J416" s="195"/>
      <c r="K416" s="195"/>
      <c r="L416" s="195"/>
      <c r="M416" s="195"/>
    </row>
    <row r="417" ht="14.25" customHeight="1">
      <c r="A417" s="100"/>
      <c r="B417" s="100"/>
      <c r="C417" s="101"/>
      <c r="D417" s="100"/>
      <c r="E417" s="100"/>
      <c r="F417" s="100"/>
      <c r="G417" s="101"/>
      <c r="H417" s="102"/>
      <c r="I417" s="195"/>
      <c r="J417" s="195"/>
      <c r="K417" s="195"/>
      <c r="L417" s="195"/>
      <c r="M417" s="195"/>
    </row>
    <row r="418" ht="14.25" customHeight="1">
      <c r="A418" s="100"/>
      <c r="B418" s="100"/>
      <c r="C418" s="101"/>
      <c r="D418" s="100"/>
      <c r="E418" s="100"/>
      <c r="F418" s="100"/>
      <c r="G418" s="101"/>
      <c r="H418" s="102"/>
      <c r="I418" s="195"/>
      <c r="J418" s="195"/>
      <c r="K418" s="195"/>
      <c r="L418" s="195"/>
      <c r="M418" s="195"/>
    </row>
    <row r="419" ht="14.25" customHeight="1">
      <c r="A419" s="100"/>
      <c r="B419" s="100"/>
      <c r="C419" s="101"/>
      <c r="D419" s="100"/>
      <c r="E419" s="100"/>
      <c r="F419" s="100"/>
      <c r="G419" s="101"/>
      <c r="H419" s="102"/>
      <c r="I419" s="195"/>
      <c r="J419" s="195"/>
      <c r="K419" s="195"/>
      <c r="L419" s="195"/>
      <c r="M419" s="195"/>
    </row>
    <row r="420" ht="14.25" customHeight="1">
      <c r="A420" s="100"/>
      <c r="B420" s="100"/>
      <c r="C420" s="101"/>
      <c r="D420" s="100"/>
      <c r="E420" s="100"/>
      <c r="F420" s="100"/>
      <c r="G420" s="101"/>
      <c r="H420" s="102"/>
      <c r="I420" s="195"/>
      <c r="J420" s="195"/>
      <c r="K420" s="195"/>
      <c r="L420" s="195"/>
      <c r="M420" s="195"/>
    </row>
    <row r="421" ht="14.25" customHeight="1">
      <c r="A421" s="100"/>
      <c r="B421" s="100"/>
      <c r="C421" s="101"/>
      <c r="D421" s="100"/>
      <c r="E421" s="100"/>
      <c r="F421" s="100"/>
      <c r="G421" s="101"/>
      <c r="H421" s="102"/>
      <c r="I421" s="195"/>
      <c r="J421" s="195"/>
      <c r="K421" s="195"/>
      <c r="L421" s="195"/>
      <c r="M421" s="195"/>
    </row>
    <row r="422" ht="14.25" customHeight="1">
      <c r="A422" s="100"/>
      <c r="B422" s="100"/>
      <c r="C422" s="101"/>
      <c r="D422" s="100"/>
      <c r="E422" s="100"/>
      <c r="F422" s="100"/>
      <c r="G422" s="101"/>
      <c r="H422" s="102"/>
      <c r="I422" s="195"/>
      <c r="J422" s="195"/>
      <c r="K422" s="195"/>
      <c r="L422" s="195"/>
      <c r="M422" s="195"/>
    </row>
    <row r="423" ht="14.25" customHeight="1">
      <c r="A423" s="100"/>
      <c r="B423" s="100"/>
      <c r="C423" s="101"/>
      <c r="D423" s="100"/>
      <c r="E423" s="100"/>
      <c r="F423" s="100"/>
      <c r="G423" s="101"/>
      <c r="H423" s="102"/>
      <c r="I423" s="195"/>
      <c r="J423" s="195"/>
      <c r="K423" s="195"/>
      <c r="L423" s="195"/>
      <c r="M423" s="195"/>
    </row>
    <row r="424" ht="14.25" customHeight="1">
      <c r="A424" s="100"/>
      <c r="B424" s="100"/>
      <c r="C424" s="101"/>
      <c r="D424" s="100"/>
      <c r="E424" s="100"/>
      <c r="F424" s="100"/>
      <c r="G424" s="101"/>
      <c r="H424" s="102"/>
      <c r="I424" s="195"/>
      <c r="J424" s="195"/>
      <c r="K424" s="195"/>
      <c r="L424" s="195"/>
      <c r="M424" s="195"/>
    </row>
    <row r="425" ht="14.25" customHeight="1">
      <c r="A425" s="100"/>
      <c r="B425" s="100"/>
      <c r="C425" s="101"/>
      <c r="D425" s="100"/>
      <c r="E425" s="100"/>
      <c r="F425" s="100"/>
      <c r="G425" s="101"/>
      <c r="H425" s="102"/>
      <c r="I425" s="195"/>
      <c r="J425" s="195"/>
      <c r="K425" s="195"/>
      <c r="L425" s="195"/>
      <c r="M425" s="195"/>
    </row>
    <row r="426" ht="14.25" customHeight="1">
      <c r="A426" s="100"/>
      <c r="B426" s="100"/>
      <c r="C426" s="101"/>
      <c r="D426" s="100"/>
      <c r="E426" s="100"/>
      <c r="F426" s="100"/>
      <c r="G426" s="101"/>
      <c r="H426" s="102"/>
      <c r="I426" s="195"/>
      <c r="J426" s="195"/>
      <c r="K426" s="195"/>
      <c r="L426" s="195"/>
      <c r="M426" s="195"/>
    </row>
    <row r="427" ht="14.25" customHeight="1">
      <c r="A427" s="100"/>
      <c r="B427" s="100"/>
      <c r="C427" s="101"/>
      <c r="D427" s="100"/>
      <c r="E427" s="100"/>
      <c r="F427" s="100"/>
      <c r="G427" s="101"/>
      <c r="H427" s="102"/>
      <c r="I427" s="195"/>
      <c r="J427" s="195"/>
      <c r="K427" s="195"/>
      <c r="L427" s="195"/>
      <c r="M427" s="195"/>
    </row>
    <row r="428" ht="14.25" customHeight="1">
      <c r="A428" s="100"/>
      <c r="B428" s="100"/>
      <c r="C428" s="101"/>
      <c r="D428" s="100"/>
      <c r="E428" s="100"/>
      <c r="F428" s="100"/>
      <c r="G428" s="101"/>
      <c r="H428" s="102"/>
      <c r="I428" s="195"/>
      <c r="J428" s="195"/>
      <c r="K428" s="195"/>
      <c r="L428" s="195"/>
      <c r="M428" s="195"/>
    </row>
    <row r="429" ht="14.25" customHeight="1">
      <c r="A429" s="100"/>
      <c r="B429" s="100"/>
      <c r="C429" s="101"/>
      <c r="D429" s="100"/>
      <c r="E429" s="100"/>
      <c r="F429" s="100"/>
      <c r="G429" s="101"/>
      <c r="H429" s="102"/>
      <c r="I429" s="195"/>
      <c r="J429" s="195"/>
      <c r="K429" s="195"/>
      <c r="L429" s="195"/>
      <c r="M429" s="195"/>
    </row>
    <row r="430" ht="14.25" customHeight="1">
      <c r="A430" s="100"/>
      <c r="B430" s="100"/>
      <c r="C430" s="101"/>
      <c r="D430" s="100"/>
      <c r="E430" s="100"/>
      <c r="F430" s="100"/>
      <c r="G430" s="101"/>
      <c r="H430" s="102"/>
      <c r="I430" s="195"/>
      <c r="J430" s="195"/>
      <c r="K430" s="195"/>
      <c r="L430" s="195"/>
      <c r="M430" s="195"/>
    </row>
    <row r="431" ht="14.25" customHeight="1">
      <c r="A431" s="100"/>
      <c r="B431" s="100"/>
      <c r="C431" s="101"/>
      <c r="D431" s="100"/>
      <c r="E431" s="100"/>
      <c r="F431" s="100"/>
      <c r="G431" s="101"/>
      <c r="H431" s="102"/>
      <c r="I431" s="195"/>
      <c r="J431" s="195"/>
      <c r="K431" s="195"/>
      <c r="L431" s="195"/>
      <c r="M431" s="195"/>
    </row>
    <row r="432" ht="14.25" customHeight="1">
      <c r="A432" s="100"/>
      <c r="B432" s="100"/>
      <c r="C432" s="101"/>
      <c r="D432" s="100"/>
      <c r="E432" s="100"/>
      <c r="F432" s="100"/>
      <c r="G432" s="101"/>
      <c r="H432" s="102"/>
      <c r="I432" s="195"/>
      <c r="J432" s="195"/>
      <c r="K432" s="195"/>
      <c r="L432" s="195"/>
      <c r="M432" s="195"/>
    </row>
    <row r="433" ht="14.25" customHeight="1">
      <c r="A433" s="100"/>
      <c r="B433" s="100"/>
      <c r="C433" s="101"/>
      <c r="D433" s="100"/>
      <c r="E433" s="100"/>
      <c r="F433" s="100"/>
      <c r="G433" s="101"/>
      <c r="H433" s="102"/>
      <c r="I433" s="195"/>
      <c r="J433" s="195"/>
      <c r="K433" s="195"/>
      <c r="L433" s="195"/>
      <c r="M433" s="195"/>
    </row>
    <row r="434" ht="14.25" customHeight="1">
      <c r="A434" s="100"/>
      <c r="B434" s="100"/>
      <c r="C434" s="101"/>
      <c r="D434" s="100"/>
      <c r="E434" s="100"/>
      <c r="F434" s="100"/>
      <c r="G434" s="101"/>
      <c r="H434" s="102"/>
      <c r="I434" s="195"/>
      <c r="J434" s="195"/>
      <c r="K434" s="195"/>
      <c r="L434" s="195"/>
      <c r="M434" s="195"/>
    </row>
    <row r="435" ht="14.25" customHeight="1">
      <c r="A435" s="100"/>
      <c r="B435" s="100"/>
      <c r="C435" s="101"/>
      <c r="D435" s="100"/>
      <c r="E435" s="100"/>
      <c r="F435" s="100"/>
      <c r="G435" s="101"/>
      <c r="H435" s="102"/>
      <c r="I435" s="195"/>
      <c r="J435" s="195"/>
      <c r="K435" s="195"/>
      <c r="L435" s="195"/>
      <c r="M435" s="195"/>
    </row>
    <row r="436" ht="14.25" customHeight="1">
      <c r="A436" s="100"/>
      <c r="B436" s="100"/>
      <c r="C436" s="101"/>
      <c r="D436" s="100"/>
      <c r="E436" s="100"/>
      <c r="F436" s="100"/>
      <c r="G436" s="101"/>
      <c r="H436" s="102"/>
      <c r="I436" s="195"/>
      <c r="J436" s="195"/>
      <c r="K436" s="195"/>
      <c r="L436" s="195"/>
      <c r="M436" s="195"/>
    </row>
    <row r="437" ht="14.25" customHeight="1">
      <c r="A437" s="100"/>
      <c r="B437" s="100"/>
      <c r="C437" s="101"/>
      <c r="D437" s="100"/>
      <c r="E437" s="100"/>
      <c r="F437" s="100"/>
      <c r="G437" s="101"/>
      <c r="H437" s="102"/>
      <c r="I437" s="195"/>
      <c r="J437" s="195"/>
      <c r="K437" s="195"/>
      <c r="L437" s="195"/>
      <c r="M437" s="195"/>
    </row>
    <row r="438" ht="14.25" customHeight="1">
      <c r="A438" s="100"/>
      <c r="B438" s="100"/>
      <c r="C438" s="101"/>
      <c r="D438" s="100"/>
      <c r="E438" s="100"/>
      <c r="F438" s="100"/>
      <c r="G438" s="101"/>
      <c r="H438" s="102"/>
      <c r="I438" s="195"/>
      <c r="J438" s="195"/>
      <c r="K438" s="195"/>
      <c r="L438" s="195"/>
      <c r="M438" s="195"/>
    </row>
    <row r="439" ht="14.25" customHeight="1">
      <c r="A439" s="100"/>
      <c r="B439" s="100"/>
      <c r="C439" s="101"/>
      <c r="D439" s="100"/>
      <c r="E439" s="100"/>
      <c r="F439" s="100"/>
      <c r="G439" s="101"/>
      <c r="H439" s="102"/>
      <c r="I439" s="195"/>
      <c r="J439" s="195"/>
      <c r="K439" s="195"/>
      <c r="L439" s="195"/>
      <c r="M439" s="195"/>
    </row>
    <row r="440" ht="14.25" customHeight="1">
      <c r="A440" s="100"/>
      <c r="B440" s="100"/>
      <c r="C440" s="101"/>
      <c r="D440" s="100"/>
      <c r="E440" s="100"/>
      <c r="F440" s="100"/>
      <c r="G440" s="101"/>
      <c r="H440" s="102"/>
      <c r="I440" s="195"/>
      <c r="J440" s="195"/>
      <c r="K440" s="195"/>
      <c r="L440" s="195"/>
      <c r="M440" s="195"/>
    </row>
    <row r="441" ht="14.25" customHeight="1">
      <c r="A441" s="100"/>
      <c r="B441" s="100"/>
      <c r="C441" s="101"/>
      <c r="D441" s="100"/>
      <c r="E441" s="100"/>
      <c r="F441" s="100"/>
      <c r="G441" s="101"/>
      <c r="H441" s="102"/>
      <c r="I441" s="195"/>
      <c r="J441" s="195"/>
      <c r="K441" s="195"/>
      <c r="L441" s="195"/>
      <c r="M441" s="195"/>
    </row>
    <row r="442" ht="14.25" customHeight="1">
      <c r="A442" s="100"/>
      <c r="B442" s="100"/>
      <c r="C442" s="101"/>
      <c r="D442" s="100"/>
      <c r="E442" s="100"/>
      <c r="F442" s="100"/>
      <c r="G442" s="101"/>
      <c r="H442" s="102"/>
      <c r="I442" s="195"/>
      <c r="J442" s="195"/>
      <c r="K442" s="195"/>
      <c r="L442" s="195"/>
      <c r="M442" s="195"/>
    </row>
    <row r="443" ht="14.25" customHeight="1">
      <c r="A443" s="100"/>
      <c r="B443" s="100"/>
      <c r="C443" s="101"/>
      <c r="D443" s="100"/>
      <c r="E443" s="100"/>
      <c r="F443" s="100"/>
      <c r="G443" s="101"/>
      <c r="H443" s="102"/>
      <c r="I443" s="195"/>
      <c r="J443" s="195"/>
      <c r="K443" s="195"/>
      <c r="L443" s="195"/>
      <c r="M443" s="195"/>
    </row>
    <row r="444" ht="14.25" customHeight="1">
      <c r="A444" s="100"/>
      <c r="B444" s="100"/>
      <c r="C444" s="101"/>
      <c r="D444" s="100"/>
      <c r="E444" s="100"/>
      <c r="F444" s="100"/>
      <c r="G444" s="101"/>
      <c r="H444" s="102"/>
      <c r="I444" s="195"/>
      <c r="J444" s="195"/>
      <c r="K444" s="195"/>
      <c r="L444" s="195"/>
      <c r="M444" s="195"/>
    </row>
    <row r="445" ht="14.25" customHeight="1">
      <c r="A445" s="100"/>
      <c r="B445" s="100"/>
      <c r="C445" s="101"/>
      <c r="D445" s="100"/>
      <c r="E445" s="100"/>
      <c r="F445" s="100"/>
      <c r="G445" s="101"/>
      <c r="H445" s="102"/>
      <c r="I445" s="195"/>
      <c r="J445" s="195"/>
      <c r="K445" s="195"/>
      <c r="L445" s="195"/>
      <c r="M445" s="195"/>
    </row>
    <row r="446" ht="14.25" customHeight="1">
      <c r="A446" s="100"/>
      <c r="B446" s="100"/>
      <c r="C446" s="101"/>
      <c r="D446" s="100"/>
      <c r="E446" s="100"/>
      <c r="F446" s="100"/>
      <c r="G446" s="101"/>
      <c r="H446" s="102"/>
      <c r="I446" s="195"/>
      <c r="J446" s="195"/>
      <c r="K446" s="195"/>
      <c r="L446" s="195"/>
      <c r="M446" s="195"/>
    </row>
    <row r="447" ht="14.25" customHeight="1">
      <c r="A447" s="100"/>
      <c r="B447" s="100"/>
      <c r="C447" s="101"/>
      <c r="D447" s="100"/>
      <c r="E447" s="100"/>
      <c r="F447" s="100"/>
      <c r="G447" s="101"/>
      <c r="H447" s="102"/>
      <c r="I447" s="195"/>
      <c r="J447" s="195"/>
      <c r="K447" s="195"/>
      <c r="L447" s="195"/>
      <c r="M447" s="195"/>
    </row>
    <row r="448" ht="14.25" customHeight="1">
      <c r="A448" s="100"/>
      <c r="B448" s="100"/>
      <c r="C448" s="101"/>
      <c r="D448" s="100"/>
      <c r="E448" s="100"/>
      <c r="F448" s="100"/>
      <c r="G448" s="101"/>
      <c r="H448" s="102"/>
      <c r="I448" s="195"/>
      <c r="J448" s="195"/>
      <c r="K448" s="195"/>
      <c r="L448" s="195"/>
      <c r="M448" s="195"/>
    </row>
    <row r="449" ht="14.25" customHeight="1">
      <c r="A449" s="100"/>
      <c r="B449" s="100"/>
      <c r="C449" s="101"/>
      <c r="D449" s="100"/>
      <c r="E449" s="100"/>
      <c r="F449" s="100"/>
      <c r="G449" s="101"/>
      <c r="H449" s="102"/>
      <c r="I449" s="195"/>
      <c r="J449" s="195"/>
      <c r="K449" s="195"/>
      <c r="L449" s="195"/>
      <c r="M449" s="195"/>
    </row>
    <row r="450" ht="14.25" customHeight="1">
      <c r="A450" s="100"/>
      <c r="B450" s="100"/>
      <c r="C450" s="101"/>
      <c r="D450" s="100"/>
      <c r="E450" s="100"/>
      <c r="F450" s="100"/>
      <c r="G450" s="101"/>
      <c r="H450" s="102"/>
      <c r="I450" s="195"/>
      <c r="J450" s="195"/>
      <c r="K450" s="195"/>
      <c r="L450" s="195"/>
      <c r="M450" s="195"/>
    </row>
    <row r="451" ht="14.25" customHeight="1">
      <c r="A451" s="100"/>
      <c r="B451" s="100"/>
      <c r="C451" s="101"/>
      <c r="D451" s="100"/>
      <c r="E451" s="100"/>
      <c r="F451" s="100"/>
      <c r="G451" s="101"/>
      <c r="H451" s="102"/>
      <c r="I451" s="195"/>
      <c r="J451" s="195"/>
      <c r="K451" s="195"/>
      <c r="L451" s="195"/>
      <c r="M451" s="195"/>
    </row>
    <row r="452" ht="14.25" customHeight="1">
      <c r="A452" s="100"/>
      <c r="B452" s="100"/>
      <c r="C452" s="101"/>
      <c r="D452" s="100"/>
      <c r="E452" s="100"/>
      <c r="F452" s="100"/>
      <c r="G452" s="101"/>
      <c r="H452" s="102"/>
      <c r="I452" s="195"/>
      <c r="J452" s="195"/>
      <c r="K452" s="195"/>
      <c r="L452" s="195"/>
      <c r="M452" s="195"/>
    </row>
    <row r="453" ht="14.25" customHeight="1">
      <c r="A453" s="100"/>
      <c r="B453" s="100"/>
      <c r="C453" s="101"/>
      <c r="D453" s="100"/>
      <c r="E453" s="100"/>
      <c r="F453" s="100"/>
      <c r="G453" s="101"/>
      <c r="H453" s="102"/>
      <c r="I453" s="195"/>
      <c r="J453" s="195"/>
      <c r="K453" s="195"/>
      <c r="L453" s="195"/>
      <c r="M453" s="195"/>
    </row>
    <row r="454" ht="14.25" customHeight="1">
      <c r="A454" s="100"/>
      <c r="B454" s="100"/>
      <c r="C454" s="101"/>
      <c r="D454" s="100"/>
      <c r="E454" s="100"/>
      <c r="F454" s="100"/>
      <c r="G454" s="101"/>
      <c r="H454" s="102"/>
      <c r="I454" s="195"/>
      <c r="J454" s="195"/>
      <c r="K454" s="195"/>
      <c r="L454" s="195"/>
      <c r="M454" s="195"/>
    </row>
    <row r="455" ht="14.25" customHeight="1">
      <c r="A455" s="100"/>
      <c r="B455" s="100"/>
      <c r="C455" s="101"/>
      <c r="D455" s="100"/>
      <c r="E455" s="100"/>
      <c r="F455" s="100"/>
      <c r="G455" s="101"/>
      <c r="H455" s="102"/>
      <c r="I455" s="195"/>
      <c r="J455" s="195"/>
      <c r="K455" s="195"/>
      <c r="L455" s="195"/>
      <c r="M455" s="195"/>
    </row>
    <row r="456" ht="14.25" customHeight="1">
      <c r="A456" s="100"/>
      <c r="B456" s="100"/>
      <c r="C456" s="101"/>
      <c r="D456" s="100"/>
      <c r="E456" s="100"/>
      <c r="F456" s="100"/>
      <c r="G456" s="101"/>
      <c r="H456" s="102"/>
      <c r="I456" s="195"/>
      <c r="J456" s="195"/>
      <c r="K456" s="195"/>
      <c r="L456" s="195"/>
      <c r="M456" s="195"/>
    </row>
    <row r="457" ht="14.25" customHeight="1">
      <c r="A457" s="100"/>
      <c r="B457" s="100"/>
      <c r="C457" s="101"/>
      <c r="D457" s="100"/>
      <c r="E457" s="100"/>
      <c r="F457" s="100"/>
      <c r="G457" s="101"/>
      <c r="H457" s="102"/>
      <c r="I457" s="195"/>
      <c r="J457" s="195"/>
      <c r="K457" s="195"/>
      <c r="L457" s="195"/>
      <c r="M457" s="195"/>
    </row>
    <row r="458" ht="14.25" customHeight="1">
      <c r="A458" s="100"/>
      <c r="B458" s="100"/>
      <c r="C458" s="101"/>
      <c r="D458" s="100"/>
      <c r="E458" s="100"/>
      <c r="F458" s="100"/>
      <c r="G458" s="101"/>
      <c r="H458" s="102"/>
      <c r="I458" s="195"/>
      <c r="J458" s="195"/>
      <c r="K458" s="195"/>
      <c r="L458" s="195"/>
      <c r="M458" s="195"/>
    </row>
    <row r="459" ht="14.25" customHeight="1">
      <c r="A459" s="100"/>
      <c r="B459" s="100"/>
      <c r="C459" s="101"/>
      <c r="D459" s="100"/>
      <c r="E459" s="100"/>
      <c r="F459" s="100"/>
      <c r="G459" s="101"/>
      <c r="H459" s="102"/>
      <c r="I459" s="195"/>
      <c r="J459" s="195"/>
      <c r="K459" s="195"/>
      <c r="L459" s="195"/>
      <c r="M459" s="195"/>
    </row>
    <row r="460" ht="14.25" customHeight="1">
      <c r="A460" s="100"/>
      <c r="B460" s="100"/>
      <c r="C460" s="101"/>
      <c r="D460" s="100"/>
      <c r="E460" s="100"/>
      <c r="F460" s="100"/>
      <c r="G460" s="101"/>
      <c r="H460" s="102"/>
      <c r="I460" s="195"/>
      <c r="J460" s="195"/>
      <c r="K460" s="195"/>
      <c r="L460" s="195"/>
      <c r="M460" s="195"/>
    </row>
    <row r="461" ht="14.25" customHeight="1">
      <c r="A461" s="100"/>
      <c r="B461" s="100"/>
      <c r="C461" s="101"/>
      <c r="D461" s="100"/>
      <c r="E461" s="100"/>
      <c r="F461" s="100"/>
      <c r="G461" s="101"/>
      <c r="H461" s="102"/>
      <c r="I461" s="195"/>
      <c r="J461" s="195"/>
      <c r="K461" s="195"/>
      <c r="L461" s="195"/>
      <c r="M461" s="195"/>
    </row>
    <row r="462" ht="14.25" customHeight="1">
      <c r="A462" s="100"/>
      <c r="B462" s="100"/>
      <c r="C462" s="101"/>
      <c r="D462" s="100"/>
      <c r="E462" s="100"/>
      <c r="F462" s="100"/>
      <c r="G462" s="101"/>
      <c r="H462" s="102"/>
      <c r="I462" s="195"/>
      <c r="J462" s="195"/>
      <c r="K462" s="195"/>
      <c r="L462" s="195"/>
      <c r="M462" s="195"/>
    </row>
    <row r="463" ht="14.25" customHeight="1">
      <c r="A463" s="100"/>
      <c r="B463" s="100"/>
      <c r="C463" s="101"/>
      <c r="D463" s="100"/>
      <c r="E463" s="100"/>
      <c r="F463" s="100"/>
      <c r="G463" s="101"/>
      <c r="H463" s="102"/>
      <c r="I463" s="195"/>
      <c r="J463" s="195"/>
      <c r="K463" s="195"/>
      <c r="L463" s="195"/>
      <c r="M463" s="195"/>
    </row>
    <row r="464" ht="14.25" customHeight="1">
      <c r="A464" s="100"/>
      <c r="B464" s="100"/>
      <c r="C464" s="101"/>
      <c r="D464" s="100"/>
      <c r="E464" s="100"/>
      <c r="F464" s="100"/>
      <c r="G464" s="101"/>
      <c r="H464" s="102"/>
      <c r="I464" s="195"/>
      <c r="J464" s="195"/>
      <c r="K464" s="195"/>
      <c r="L464" s="195"/>
      <c r="M464" s="195"/>
    </row>
    <row r="465" ht="14.25" customHeight="1">
      <c r="A465" s="100"/>
      <c r="B465" s="100"/>
      <c r="C465" s="101"/>
      <c r="D465" s="100"/>
      <c r="E465" s="100"/>
      <c r="F465" s="100"/>
      <c r="G465" s="101"/>
      <c r="H465" s="102"/>
      <c r="I465" s="195"/>
      <c r="J465" s="195"/>
      <c r="K465" s="195"/>
      <c r="L465" s="195"/>
      <c r="M465" s="195"/>
    </row>
    <row r="466" ht="14.25" customHeight="1">
      <c r="A466" s="100"/>
      <c r="B466" s="100"/>
      <c r="C466" s="101"/>
      <c r="D466" s="100"/>
      <c r="E466" s="100"/>
      <c r="F466" s="100"/>
      <c r="G466" s="101"/>
      <c r="H466" s="102"/>
      <c r="I466" s="195"/>
      <c r="J466" s="195"/>
      <c r="K466" s="195"/>
      <c r="L466" s="195"/>
      <c r="M466" s="195"/>
    </row>
    <row r="467" ht="14.25" customHeight="1">
      <c r="A467" s="100"/>
      <c r="B467" s="100"/>
      <c r="C467" s="101"/>
      <c r="D467" s="100"/>
      <c r="E467" s="100"/>
      <c r="F467" s="100"/>
      <c r="G467" s="101"/>
      <c r="H467" s="102"/>
      <c r="I467" s="195"/>
      <c r="J467" s="195"/>
      <c r="K467" s="195"/>
      <c r="L467" s="195"/>
      <c r="M467" s="195"/>
    </row>
    <row r="468" ht="14.25" customHeight="1">
      <c r="A468" s="100"/>
      <c r="B468" s="100"/>
      <c r="C468" s="101"/>
      <c r="D468" s="100"/>
      <c r="E468" s="100"/>
      <c r="F468" s="100"/>
      <c r="G468" s="101"/>
      <c r="H468" s="102"/>
      <c r="I468" s="195"/>
      <c r="J468" s="195"/>
      <c r="K468" s="195"/>
      <c r="L468" s="195"/>
      <c r="M468" s="195"/>
    </row>
    <row r="469" ht="14.25" customHeight="1">
      <c r="A469" s="100"/>
      <c r="B469" s="100"/>
      <c r="C469" s="101"/>
      <c r="D469" s="100"/>
      <c r="E469" s="100"/>
      <c r="F469" s="100"/>
      <c r="G469" s="101"/>
      <c r="H469" s="102"/>
      <c r="I469" s="195"/>
      <c r="J469" s="195"/>
      <c r="K469" s="195"/>
      <c r="L469" s="195"/>
      <c r="M469" s="195"/>
    </row>
    <row r="470" ht="14.25" customHeight="1">
      <c r="A470" s="100"/>
      <c r="B470" s="100"/>
      <c r="C470" s="101"/>
      <c r="D470" s="100"/>
      <c r="E470" s="100"/>
      <c r="F470" s="100"/>
      <c r="G470" s="101"/>
      <c r="H470" s="102"/>
      <c r="I470" s="195"/>
      <c r="J470" s="195"/>
      <c r="K470" s="195"/>
      <c r="L470" s="195"/>
      <c r="M470" s="195"/>
    </row>
    <row r="471" ht="14.25" customHeight="1">
      <c r="A471" s="100"/>
      <c r="B471" s="100"/>
      <c r="C471" s="101"/>
      <c r="D471" s="100"/>
      <c r="E471" s="100"/>
      <c r="F471" s="100"/>
      <c r="G471" s="101"/>
      <c r="H471" s="102"/>
      <c r="I471" s="195"/>
      <c r="J471" s="195"/>
      <c r="K471" s="195"/>
      <c r="L471" s="195"/>
      <c r="M471" s="195"/>
    </row>
    <row r="472" ht="14.25" customHeight="1">
      <c r="A472" s="100"/>
      <c r="B472" s="100"/>
      <c r="C472" s="101"/>
      <c r="D472" s="100"/>
      <c r="E472" s="100"/>
      <c r="F472" s="100"/>
      <c r="G472" s="101"/>
      <c r="H472" s="102"/>
      <c r="I472" s="195"/>
      <c r="J472" s="195"/>
      <c r="K472" s="195"/>
      <c r="L472" s="195"/>
      <c r="M472" s="195"/>
    </row>
    <row r="473" ht="14.25" customHeight="1">
      <c r="A473" s="100"/>
      <c r="B473" s="100"/>
      <c r="C473" s="101"/>
      <c r="D473" s="100"/>
      <c r="E473" s="100"/>
      <c r="F473" s="100"/>
      <c r="G473" s="101"/>
      <c r="H473" s="102"/>
      <c r="I473" s="195"/>
      <c r="J473" s="195"/>
      <c r="K473" s="195"/>
      <c r="L473" s="195"/>
      <c r="M473" s="195"/>
    </row>
    <row r="474" ht="14.25" customHeight="1">
      <c r="A474" s="100"/>
      <c r="B474" s="100"/>
      <c r="C474" s="101"/>
      <c r="D474" s="100"/>
      <c r="E474" s="100"/>
      <c r="F474" s="100"/>
      <c r="G474" s="101"/>
      <c r="H474" s="102"/>
      <c r="I474" s="195"/>
      <c r="J474" s="195"/>
      <c r="K474" s="195"/>
      <c r="L474" s="195"/>
      <c r="M474" s="195"/>
    </row>
    <row r="475" ht="14.25" customHeight="1">
      <c r="A475" s="100"/>
      <c r="B475" s="100"/>
      <c r="C475" s="101"/>
      <c r="D475" s="100"/>
      <c r="E475" s="100"/>
      <c r="F475" s="100"/>
      <c r="G475" s="101"/>
      <c r="H475" s="102"/>
      <c r="I475" s="195"/>
      <c r="J475" s="195"/>
      <c r="K475" s="195"/>
      <c r="L475" s="195"/>
      <c r="M475" s="195"/>
    </row>
    <row r="476" ht="14.25" customHeight="1">
      <c r="A476" s="100"/>
      <c r="B476" s="100"/>
      <c r="C476" s="101"/>
      <c r="D476" s="100"/>
      <c r="E476" s="100"/>
      <c r="F476" s="100"/>
      <c r="G476" s="101"/>
      <c r="H476" s="102"/>
      <c r="I476" s="195"/>
      <c r="J476" s="195"/>
      <c r="K476" s="195"/>
      <c r="L476" s="195"/>
      <c r="M476" s="195"/>
    </row>
    <row r="477" ht="14.25" customHeight="1">
      <c r="A477" s="100"/>
      <c r="B477" s="100"/>
      <c r="C477" s="101"/>
      <c r="D477" s="100"/>
      <c r="E477" s="100"/>
      <c r="F477" s="100"/>
      <c r="G477" s="101"/>
      <c r="H477" s="102"/>
      <c r="I477" s="195"/>
      <c r="J477" s="195"/>
      <c r="K477" s="195"/>
      <c r="L477" s="195"/>
      <c r="M477" s="195"/>
    </row>
    <row r="478" ht="14.25" customHeight="1">
      <c r="A478" s="100"/>
      <c r="B478" s="100"/>
      <c r="C478" s="101"/>
      <c r="D478" s="100"/>
      <c r="E478" s="100"/>
      <c r="F478" s="100"/>
      <c r="G478" s="101"/>
      <c r="H478" s="102"/>
      <c r="I478" s="195"/>
      <c r="J478" s="195"/>
      <c r="K478" s="195"/>
      <c r="L478" s="195"/>
      <c r="M478" s="195"/>
    </row>
    <row r="479" ht="14.25" customHeight="1">
      <c r="A479" s="100"/>
      <c r="B479" s="100"/>
      <c r="C479" s="101"/>
      <c r="D479" s="100"/>
      <c r="E479" s="100"/>
      <c r="F479" s="100"/>
      <c r="G479" s="101"/>
      <c r="H479" s="102"/>
      <c r="I479" s="195"/>
      <c r="J479" s="195"/>
      <c r="K479" s="195"/>
      <c r="L479" s="195"/>
      <c r="M479" s="195"/>
    </row>
    <row r="480" ht="14.25" customHeight="1">
      <c r="A480" s="100"/>
      <c r="B480" s="100"/>
      <c r="C480" s="101"/>
      <c r="D480" s="100"/>
      <c r="E480" s="100"/>
      <c r="F480" s="100"/>
      <c r="G480" s="101"/>
      <c r="H480" s="102"/>
      <c r="I480" s="195"/>
      <c r="J480" s="195"/>
      <c r="K480" s="195"/>
      <c r="L480" s="195"/>
      <c r="M480" s="195"/>
    </row>
    <row r="481" ht="14.25" customHeight="1">
      <c r="A481" s="100"/>
      <c r="B481" s="100"/>
      <c r="C481" s="101"/>
      <c r="D481" s="100"/>
      <c r="E481" s="100"/>
      <c r="F481" s="100"/>
      <c r="G481" s="101"/>
      <c r="H481" s="102"/>
      <c r="I481" s="195"/>
      <c r="J481" s="195"/>
      <c r="K481" s="195"/>
      <c r="L481" s="195"/>
      <c r="M481" s="195"/>
    </row>
    <row r="482" ht="14.25" customHeight="1">
      <c r="A482" s="100"/>
      <c r="B482" s="100"/>
      <c r="C482" s="101"/>
      <c r="D482" s="100"/>
      <c r="E482" s="100"/>
      <c r="F482" s="100"/>
      <c r="G482" s="101"/>
      <c r="H482" s="102"/>
      <c r="I482" s="195"/>
      <c r="J482" s="195"/>
      <c r="K482" s="195"/>
      <c r="L482" s="195"/>
      <c r="M482" s="195"/>
    </row>
    <row r="483" ht="14.25" customHeight="1">
      <c r="A483" s="100"/>
      <c r="B483" s="100"/>
      <c r="C483" s="101"/>
      <c r="D483" s="100"/>
      <c r="E483" s="100"/>
      <c r="F483" s="100"/>
      <c r="G483" s="101"/>
      <c r="H483" s="102"/>
      <c r="I483" s="195"/>
      <c r="J483" s="195"/>
      <c r="K483" s="195"/>
      <c r="L483" s="195"/>
      <c r="M483" s="195"/>
    </row>
    <row r="484" ht="14.25" customHeight="1">
      <c r="A484" s="100"/>
      <c r="B484" s="100"/>
      <c r="C484" s="101"/>
      <c r="D484" s="100"/>
      <c r="E484" s="100"/>
      <c r="F484" s="100"/>
      <c r="G484" s="101"/>
      <c r="H484" s="102"/>
      <c r="I484" s="195"/>
      <c r="J484" s="195"/>
      <c r="K484" s="195"/>
      <c r="L484" s="195"/>
      <c r="M484" s="195"/>
    </row>
    <row r="485" ht="14.25" customHeight="1">
      <c r="A485" s="100"/>
      <c r="B485" s="100"/>
      <c r="C485" s="101"/>
      <c r="D485" s="100"/>
      <c r="E485" s="100"/>
      <c r="F485" s="100"/>
      <c r="G485" s="101"/>
      <c r="H485" s="102"/>
      <c r="I485" s="195"/>
      <c r="J485" s="195"/>
      <c r="K485" s="195"/>
      <c r="L485" s="195"/>
      <c r="M485" s="195"/>
    </row>
    <row r="486" ht="14.25" customHeight="1">
      <c r="A486" s="100"/>
      <c r="B486" s="100"/>
      <c r="C486" s="101"/>
      <c r="D486" s="100"/>
      <c r="E486" s="100"/>
      <c r="F486" s="100"/>
      <c r="G486" s="101"/>
      <c r="H486" s="102"/>
      <c r="I486" s="195"/>
      <c r="J486" s="195"/>
      <c r="K486" s="195"/>
      <c r="L486" s="195"/>
      <c r="M486" s="195"/>
    </row>
    <row r="487" ht="14.25" customHeight="1">
      <c r="A487" s="100"/>
      <c r="B487" s="100"/>
      <c r="C487" s="101"/>
      <c r="D487" s="100"/>
      <c r="E487" s="100"/>
      <c r="F487" s="100"/>
      <c r="G487" s="101"/>
      <c r="H487" s="102"/>
      <c r="I487" s="195"/>
      <c r="J487" s="195"/>
      <c r="K487" s="195"/>
      <c r="L487" s="195"/>
      <c r="M487" s="195"/>
    </row>
    <row r="488" ht="14.25" customHeight="1">
      <c r="A488" s="100"/>
      <c r="B488" s="100"/>
      <c r="C488" s="101"/>
      <c r="D488" s="100"/>
      <c r="E488" s="100"/>
      <c r="F488" s="100"/>
      <c r="G488" s="101"/>
      <c r="H488" s="102"/>
      <c r="I488" s="195"/>
      <c r="J488" s="195"/>
      <c r="K488" s="195"/>
      <c r="L488" s="195"/>
      <c r="M488" s="195"/>
    </row>
    <row r="489" ht="14.25" customHeight="1">
      <c r="A489" s="100"/>
      <c r="B489" s="100"/>
      <c r="C489" s="101"/>
      <c r="D489" s="100"/>
      <c r="E489" s="100"/>
      <c r="F489" s="100"/>
      <c r="G489" s="101"/>
      <c r="H489" s="102"/>
      <c r="I489" s="195"/>
      <c r="J489" s="195"/>
      <c r="K489" s="195"/>
      <c r="L489" s="195"/>
      <c r="M489" s="195"/>
    </row>
    <row r="490" ht="14.25" customHeight="1">
      <c r="A490" s="100"/>
      <c r="B490" s="100"/>
      <c r="C490" s="101"/>
      <c r="D490" s="100"/>
      <c r="E490" s="100"/>
      <c r="F490" s="100"/>
      <c r="G490" s="101"/>
      <c r="H490" s="102"/>
      <c r="I490" s="195"/>
      <c r="J490" s="195"/>
      <c r="K490" s="195"/>
      <c r="L490" s="195"/>
      <c r="M490" s="195"/>
    </row>
    <row r="491" ht="14.25" customHeight="1">
      <c r="A491" s="100"/>
      <c r="B491" s="100"/>
      <c r="C491" s="101"/>
      <c r="D491" s="100"/>
      <c r="E491" s="100"/>
      <c r="F491" s="100"/>
      <c r="G491" s="101"/>
      <c r="H491" s="102"/>
      <c r="I491" s="195"/>
      <c r="J491" s="195"/>
      <c r="K491" s="195"/>
      <c r="L491" s="195"/>
      <c r="M491" s="195"/>
    </row>
    <row r="492" ht="14.25" customHeight="1">
      <c r="A492" s="100"/>
      <c r="B492" s="100"/>
      <c r="C492" s="101"/>
      <c r="D492" s="100"/>
      <c r="E492" s="100"/>
      <c r="F492" s="100"/>
      <c r="G492" s="101"/>
      <c r="H492" s="102"/>
      <c r="I492" s="195"/>
      <c r="J492" s="195"/>
      <c r="K492" s="195"/>
      <c r="L492" s="195"/>
      <c r="M492" s="195"/>
    </row>
    <row r="493" ht="14.25" customHeight="1">
      <c r="A493" s="100"/>
      <c r="B493" s="100"/>
      <c r="C493" s="101"/>
      <c r="D493" s="100"/>
      <c r="E493" s="100"/>
      <c r="F493" s="100"/>
      <c r="G493" s="101"/>
      <c r="H493" s="102"/>
      <c r="I493" s="195"/>
      <c r="J493" s="195"/>
      <c r="K493" s="195"/>
      <c r="L493" s="195"/>
      <c r="M493" s="195"/>
    </row>
    <row r="494" ht="14.25" customHeight="1">
      <c r="A494" s="100"/>
      <c r="B494" s="100"/>
      <c r="C494" s="101"/>
      <c r="D494" s="100"/>
      <c r="E494" s="100"/>
      <c r="F494" s="100"/>
      <c r="G494" s="101"/>
      <c r="H494" s="102"/>
      <c r="I494" s="195"/>
      <c r="J494" s="195"/>
      <c r="K494" s="195"/>
      <c r="L494" s="195"/>
      <c r="M494" s="195"/>
    </row>
    <row r="495" ht="14.25" customHeight="1">
      <c r="A495" s="100"/>
      <c r="B495" s="100"/>
      <c r="C495" s="101"/>
      <c r="D495" s="100"/>
      <c r="E495" s="100"/>
      <c r="F495" s="100"/>
      <c r="G495" s="101"/>
      <c r="H495" s="102"/>
      <c r="I495" s="195"/>
      <c r="J495" s="195"/>
      <c r="K495" s="195"/>
      <c r="L495" s="195"/>
      <c r="M495" s="195"/>
    </row>
    <row r="496" ht="14.25" customHeight="1">
      <c r="A496" s="100"/>
      <c r="B496" s="100"/>
      <c r="C496" s="101"/>
      <c r="D496" s="100"/>
      <c r="E496" s="100"/>
      <c r="F496" s="100"/>
      <c r="G496" s="101"/>
      <c r="H496" s="102"/>
      <c r="I496" s="195"/>
      <c r="J496" s="195"/>
      <c r="K496" s="195"/>
      <c r="L496" s="195"/>
      <c r="M496" s="195"/>
    </row>
    <row r="497" ht="14.25" customHeight="1">
      <c r="A497" s="100"/>
      <c r="B497" s="100"/>
      <c r="C497" s="101"/>
      <c r="D497" s="100"/>
      <c r="E497" s="100"/>
      <c r="F497" s="100"/>
      <c r="G497" s="101"/>
      <c r="H497" s="102"/>
      <c r="I497" s="195"/>
      <c r="J497" s="195"/>
      <c r="K497" s="195"/>
      <c r="L497" s="195"/>
      <c r="M497" s="195"/>
    </row>
    <row r="498" ht="14.25" customHeight="1">
      <c r="A498" s="100"/>
      <c r="B498" s="100"/>
      <c r="C498" s="101"/>
      <c r="D498" s="100"/>
      <c r="E498" s="100"/>
      <c r="F498" s="100"/>
      <c r="G498" s="101"/>
      <c r="H498" s="102"/>
      <c r="I498" s="195"/>
      <c r="J498" s="195"/>
      <c r="K498" s="195"/>
      <c r="L498" s="195"/>
      <c r="M498" s="195"/>
    </row>
    <row r="499" ht="14.25" customHeight="1">
      <c r="A499" s="100"/>
      <c r="B499" s="100"/>
      <c r="C499" s="101"/>
      <c r="D499" s="100"/>
      <c r="E499" s="100"/>
      <c r="F499" s="100"/>
      <c r="G499" s="101"/>
      <c r="H499" s="102"/>
      <c r="I499" s="195"/>
      <c r="J499" s="195"/>
      <c r="K499" s="195"/>
      <c r="L499" s="195"/>
      <c r="M499" s="195"/>
    </row>
    <row r="500" ht="14.25" customHeight="1">
      <c r="A500" s="100"/>
      <c r="B500" s="100"/>
      <c r="C500" s="101"/>
      <c r="D500" s="100"/>
      <c r="E500" s="100"/>
      <c r="F500" s="100"/>
      <c r="G500" s="101"/>
      <c r="H500" s="102"/>
      <c r="I500" s="195"/>
      <c r="J500" s="195"/>
      <c r="K500" s="195"/>
      <c r="L500" s="195"/>
      <c r="M500" s="195"/>
    </row>
    <row r="501" ht="14.25" customHeight="1">
      <c r="A501" s="100"/>
      <c r="B501" s="100"/>
      <c r="C501" s="101"/>
      <c r="D501" s="100"/>
      <c r="E501" s="100"/>
      <c r="F501" s="100"/>
      <c r="G501" s="101"/>
      <c r="H501" s="102"/>
      <c r="I501" s="195"/>
      <c r="J501" s="195"/>
      <c r="K501" s="195"/>
      <c r="L501" s="195"/>
      <c r="M501" s="195"/>
    </row>
    <row r="502" ht="14.25" customHeight="1">
      <c r="A502" s="100"/>
      <c r="B502" s="100"/>
      <c r="C502" s="101"/>
      <c r="D502" s="100"/>
      <c r="E502" s="100"/>
      <c r="F502" s="100"/>
      <c r="G502" s="101"/>
      <c r="H502" s="102"/>
      <c r="I502" s="195"/>
      <c r="J502" s="195"/>
      <c r="K502" s="195"/>
      <c r="L502" s="195"/>
      <c r="M502" s="195"/>
    </row>
    <row r="503" ht="14.25" customHeight="1">
      <c r="A503" s="100"/>
      <c r="B503" s="100"/>
      <c r="C503" s="101"/>
      <c r="D503" s="100"/>
      <c r="E503" s="100"/>
      <c r="F503" s="100"/>
      <c r="G503" s="101"/>
      <c r="H503" s="102"/>
      <c r="I503" s="195"/>
      <c r="J503" s="195"/>
      <c r="K503" s="195"/>
      <c r="L503" s="195"/>
      <c r="M503" s="195"/>
    </row>
    <row r="504" ht="14.25" customHeight="1">
      <c r="A504" s="100"/>
      <c r="B504" s="100"/>
      <c r="C504" s="101"/>
      <c r="D504" s="100"/>
      <c r="E504" s="100"/>
      <c r="F504" s="100"/>
      <c r="G504" s="101"/>
      <c r="H504" s="102"/>
      <c r="I504" s="195"/>
      <c r="J504" s="195"/>
      <c r="K504" s="195"/>
      <c r="L504" s="195"/>
      <c r="M504" s="195"/>
    </row>
    <row r="505" ht="14.25" customHeight="1">
      <c r="A505" s="100"/>
      <c r="B505" s="100"/>
      <c r="C505" s="101"/>
      <c r="D505" s="100"/>
      <c r="E505" s="100"/>
      <c r="F505" s="100"/>
      <c r="G505" s="101"/>
      <c r="H505" s="102"/>
      <c r="I505" s="195"/>
      <c r="J505" s="195"/>
      <c r="K505" s="195"/>
      <c r="L505" s="195"/>
      <c r="M505" s="195"/>
    </row>
    <row r="506" ht="14.25" customHeight="1">
      <c r="A506" s="100"/>
      <c r="B506" s="100"/>
      <c r="C506" s="101"/>
      <c r="D506" s="100"/>
      <c r="E506" s="100"/>
      <c r="F506" s="100"/>
      <c r="G506" s="101"/>
      <c r="H506" s="102"/>
      <c r="I506" s="195"/>
      <c r="J506" s="195"/>
      <c r="K506" s="195"/>
      <c r="L506" s="195"/>
      <c r="M506" s="195"/>
    </row>
    <row r="507" ht="14.25" customHeight="1">
      <c r="A507" s="100"/>
      <c r="B507" s="100"/>
      <c r="C507" s="101"/>
      <c r="D507" s="100"/>
      <c r="E507" s="100"/>
      <c r="F507" s="100"/>
      <c r="G507" s="101"/>
      <c r="H507" s="102"/>
      <c r="I507" s="195"/>
      <c r="J507" s="195"/>
      <c r="K507" s="195"/>
      <c r="L507" s="195"/>
      <c r="M507" s="195"/>
    </row>
    <row r="508" ht="14.25" customHeight="1">
      <c r="A508" s="100"/>
      <c r="B508" s="100"/>
      <c r="C508" s="101"/>
      <c r="D508" s="100"/>
      <c r="E508" s="100"/>
      <c r="F508" s="100"/>
      <c r="G508" s="101"/>
      <c r="H508" s="102"/>
      <c r="I508" s="195"/>
      <c r="J508" s="195"/>
      <c r="K508" s="195"/>
      <c r="L508" s="195"/>
      <c r="M508" s="195"/>
    </row>
    <row r="509" ht="14.25" customHeight="1">
      <c r="A509" s="100"/>
      <c r="B509" s="100"/>
      <c r="C509" s="101"/>
      <c r="D509" s="100"/>
      <c r="E509" s="100"/>
      <c r="F509" s="100"/>
      <c r="G509" s="101"/>
      <c r="H509" s="102"/>
      <c r="I509" s="195"/>
      <c r="J509" s="195"/>
      <c r="K509" s="195"/>
      <c r="L509" s="195"/>
      <c r="M509" s="195"/>
    </row>
    <row r="510" ht="14.25" customHeight="1">
      <c r="A510" s="100"/>
      <c r="B510" s="100"/>
      <c r="C510" s="101"/>
      <c r="D510" s="100"/>
      <c r="E510" s="100"/>
      <c r="F510" s="100"/>
      <c r="G510" s="101"/>
      <c r="H510" s="102"/>
      <c r="I510" s="195"/>
      <c r="J510" s="195"/>
      <c r="K510" s="195"/>
      <c r="L510" s="195"/>
      <c r="M510" s="195"/>
    </row>
    <row r="511" ht="14.25" customHeight="1">
      <c r="A511" s="100"/>
      <c r="B511" s="100"/>
      <c r="C511" s="101"/>
      <c r="D511" s="100"/>
      <c r="E511" s="100"/>
      <c r="F511" s="100"/>
      <c r="G511" s="101"/>
      <c r="H511" s="102"/>
      <c r="I511" s="195"/>
      <c r="J511" s="195"/>
      <c r="K511" s="195"/>
      <c r="L511" s="195"/>
      <c r="M511" s="195"/>
    </row>
    <row r="512" ht="14.25" customHeight="1">
      <c r="A512" s="100"/>
      <c r="B512" s="100"/>
      <c r="C512" s="101"/>
      <c r="D512" s="100"/>
      <c r="E512" s="100"/>
      <c r="F512" s="100"/>
      <c r="G512" s="101"/>
      <c r="H512" s="102"/>
      <c r="I512" s="195"/>
      <c r="J512" s="195"/>
      <c r="K512" s="195"/>
      <c r="L512" s="195"/>
      <c r="M512" s="195"/>
    </row>
    <row r="513" ht="14.25" customHeight="1">
      <c r="A513" s="100"/>
      <c r="B513" s="100"/>
      <c r="C513" s="101"/>
      <c r="D513" s="100"/>
      <c r="E513" s="100"/>
      <c r="F513" s="100"/>
      <c r="G513" s="101"/>
      <c r="H513" s="102"/>
      <c r="I513" s="195"/>
      <c r="J513" s="195"/>
      <c r="K513" s="195"/>
      <c r="L513" s="195"/>
      <c r="M513" s="195"/>
    </row>
    <row r="514" ht="14.25" customHeight="1">
      <c r="A514" s="100"/>
      <c r="B514" s="100"/>
      <c r="C514" s="101"/>
      <c r="D514" s="100"/>
      <c r="E514" s="100"/>
      <c r="F514" s="100"/>
      <c r="G514" s="101"/>
      <c r="H514" s="102"/>
      <c r="I514" s="195"/>
      <c r="J514" s="195"/>
      <c r="K514" s="195"/>
      <c r="L514" s="195"/>
      <c r="M514" s="195"/>
    </row>
    <row r="515" ht="14.25" customHeight="1">
      <c r="A515" s="100"/>
      <c r="B515" s="100"/>
      <c r="C515" s="101"/>
      <c r="D515" s="100"/>
      <c r="E515" s="100"/>
      <c r="F515" s="100"/>
      <c r="G515" s="101"/>
      <c r="H515" s="102"/>
      <c r="I515" s="195"/>
      <c r="J515" s="195"/>
      <c r="K515" s="195"/>
      <c r="L515" s="195"/>
      <c r="M515" s="195"/>
    </row>
    <row r="516" ht="14.25" customHeight="1">
      <c r="A516" s="100"/>
      <c r="B516" s="100"/>
      <c r="C516" s="101"/>
      <c r="D516" s="100"/>
      <c r="E516" s="100"/>
      <c r="F516" s="100"/>
      <c r="G516" s="101"/>
      <c r="H516" s="102"/>
      <c r="I516" s="195"/>
      <c r="J516" s="195"/>
      <c r="K516" s="195"/>
      <c r="L516" s="195"/>
      <c r="M516" s="195"/>
    </row>
    <row r="517" ht="14.25" customHeight="1">
      <c r="A517" s="100"/>
      <c r="B517" s="100"/>
      <c r="C517" s="101"/>
      <c r="D517" s="100"/>
      <c r="E517" s="100"/>
      <c r="F517" s="100"/>
      <c r="G517" s="101"/>
      <c r="H517" s="102"/>
      <c r="I517" s="195"/>
      <c r="J517" s="195"/>
      <c r="K517" s="195"/>
      <c r="L517" s="195"/>
      <c r="M517" s="195"/>
    </row>
    <row r="518" ht="14.25" customHeight="1">
      <c r="A518" s="100"/>
      <c r="B518" s="100"/>
      <c r="C518" s="101"/>
      <c r="D518" s="100"/>
      <c r="E518" s="100"/>
      <c r="F518" s="100"/>
      <c r="G518" s="101"/>
      <c r="H518" s="102"/>
      <c r="I518" s="195"/>
      <c r="J518" s="195"/>
      <c r="K518" s="195"/>
      <c r="L518" s="195"/>
      <c r="M518" s="195"/>
    </row>
    <row r="519" ht="14.25" customHeight="1">
      <c r="A519" s="100"/>
      <c r="B519" s="100"/>
      <c r="C519" s="101"/>
      <c r="D519" s="100"/>
      <c r="E519" s="100"/>
      <c r="F519" s="100"/>
      <c r="G519" s="101"/>
      <c r="H519" s="102"/>
      <c r="I519" s="195"/>
      <c r="J519" s="195"/>
      <c r="K519" s="195"/>
      <c r="L519" s="195"/>
      <c r="M519" s="195"/>
    </row>
    <row r="520" ht="14.25" customHeight="1">
      <c r="A520" s="100"/>
      <c r="B520" s="100"/>
      <c r="C520" s="101"/>
      <c r="D520" s="100"/>
      <c r="E520" s="100"/>
      <c r="F520" s="100"/>
      <c r="G520" s="101"/>
      <c r="H520" s="102"/>
      <c r="I520" s="195"/>
      <c r="J520" s="195"/>
      <c r="K520" s="195"/>
      <c r="L520" s="195"/>
      <c r="M520" s="195"/>
    </row>
    <row r="521" ht="14.25" customHeight="1">
      <c r="A521" s="100"/>
      <c r="B521" s="100"/>
      <c r="C521" s="101"/>
      <c r="D521" s="100"/>
      <c r="E521" s="100"/>
      <c r="F521" s="100"/>
      <c r="G521" s="101"/>
      <c r="H521" s="102"/>
      <c r="I521" s="195"/>
      <c r="J521" s="195"/>
      <c r="K521" s="195"/>
      <c r="L521" s="195"/>
      <c r="M521" s="195"/>
    </row>
    <row r="522" ht="14.25" customHeight="1">
      <c r="A522" s="100"/>
      <c r="B522" s="100"/>
      <c r="C522" s="101"/>
      <c r="D522" s="100"/>
      <c r="E522" s="100"/>
      <c r="F522" s="100"/>
      <c r="G522" s="101"/>
      <c r="H522" s="102"/>
      <c r="I522" s="195"/>
      <c r="J522" s="195"/>
      <c r="K522" s="195"/>
      <c r="L522" s="195"/>
      <c r="M522" s="195"/>
    </row>
    <row r="523" ht="14.25" customHeight="1">
      <c r="A523" s="100"/>
      <c r="B523" s="100"/>
      <c r="C523" s="101"/>
      <c r="D523" s="100"/>
      <c r="E523" s="100"/>
      <c r="F523" s="100"/>
      <c r="G523" s="101"/>
      <c r="H523" s="102"/>
      <c r="I523" s="195"/>
      <c r="J523" s="195"/>
      <c r="K523" s="195"/>
      <c r="L523" s="195"/>
      <c r="M523" s="195"/>
    </row>
    <row r="524" ht="14.25" customHeight="1">
      <c r="A524" s="100"/>
      <c r="B524" s="100"/>
      <c r="C524" s="101"/>
      <c r="D524" s="100"/>
      <c r="E524" s="100"/>
      <c r="F524" s="100"/>
      <c r="G524" s="101"/>
      <c r="H524" s="102"/>
      <c r="I524" s="195"/>
      <c r="J524" s="195"/>
      <c r="K524" s="195"/>
      <c r="L524" s="195"/>
      <c r="M524" s="195"/>
    </row>
    <row r="525" ht="14.25" customHeight="1">
      <c r="A525" s="100"/>
      <c r="B525" s="100"/>
      <c r="C525" s="101"/>
      <c r="D525" s="100"/>
      <c r="E525" s="100"/>
      <c r="F525" s="100"/>
      <c r="G525" s="101"/>
      <c r="H525" s="102"/>
      <c r="I525" s="195"/>
      <c r="J525" s="195"/>
      <c r="K525" s="195"/>
      <c r="L525" s="195"/>
      <c r="M525" s="195"/>
    </row>
    <row r="526" ht="14.25" customHeight="1">
      <c r="A526" s="100"/>
      <c r="B526" s="100"/>
      <c r="C526" s="101"/>
      <c r="D526" s="100"/>
      <c r="E526" s="100"/>
      <c r="F526" s="100"/>
      <c r="G526" s="101"/>
      <c r="H526" s="102"/>
      <c r="I526" s="195"/>
      <c r="J526" s="195"/>
      <c r="K526" s="195"/>
      <c r="L526" s="195"/>
      <c r="M526" s="195"/>
    </row>
    <row r="527" ht="14.25" customHeight="1">
      <c r="A527" s="100"/>
      <c r="B527" s="100"/>
      <c r="C527" s="101"/>
      <c r="D527" s="100"/>
      <c r="E527" s="100"/>
      <c r="F527" s="100"/>
      <c r="G527" s="101"/>
      <c r="H527" s="102"/>
      <c r="I527" s="195"/>
      <c r="J527" s="195"/>
      <c r="K527" s="195"/>
      <c r="L527" s="195"/>
      <c r="M527" s="195"/>
    </row>
    <row r="528" ht="14.25" customHeight="1">
      <c r="A528" s="100"/>
      <c r="B528" s="100"/>
      <c r="C528" s="101"/>
      <c r="D528" s="100"/>
      <c r="E528" s="100"/>
      <c r="F528" s="100"/>
      <c r="G528" s="101"/>
      <c r="H528" s="102"/>
      <c r="I528" s="195"/>
      <c r="J528" s="195"/>
      <c r="K528" s="195"/>
      <c r="L528" s="195"/>
      <c r="M528" s="195"/>
    </row>
    <row r="529" ht="14.25" customHeight="1">
      <c r="A529" s="100"/>
      <c r="B529" s="100"/>
      <c r="C529" s="101"/>
      <c r="D529" s="100"/>
      <c r="E529" s="100"/>
      <c r="F529" s="100"/>
      <c r="G529" s="101"/>
      <c r="H529" s="102"/>
      <c r="I529" s="195"/>
      <c r="J529" s="195"/>
      <c r="K529" s="195"/>
      <c r="L529" s="195"/>
      <c r="M529" s="195"/>
    </row>
    <row r="530" ht="14.25" customHeight="1">
      <c r="A530" s="100"/>
      <c r="B530" s="100"/>
      <c r="C530" s="101"/>
      <c r="D530" s="100"/>
      <c r="E530" s="100"/>
      <c r="F530" s="100"/>
      <c r="G530" s="101"/>
      <c r="H530" s="102"/>
      <c r="I530" s="195"/>
      <c r="J530" s="195"/>
      <c r="K530" s="195"/>
      <c r="L530" s="195"/>
      <c r="M530" s="195"/>
    </row>
    <row r="531" ht="14.25" customHeight="1">
      <c r="A531" s="100"/>
      <c r="B531" s="100"/>
      <c r="C531" s="101"/>
      <c r="D531" s="100"/>
      <c r="E531" s="100"/>
      <c r="F531" s="100"/>
      <c r="G531" s="101"/>
      <c r="H531" s="102"/>
      <c r="I531" s="195"/>
      <c r="J531" s="195"/>
      <c r="K531" s="195"/>
      <c r="L531" s="195"/>
      <c r="M531" s="195"/>
    </row>
    <row r="532" ht="14.25" customHeight="1">
      <c r="A532" s="100"/>
      <c r="B532" s="100"/>
      <c r="C532" s="101"/>
      <c r="D532" s="100"/>
      <c r="E532" s="100"/>
      <c r="F532" s="100"/>
      <c r="G532" s="101"/>
      <c r="H532" s="102"/>
      <c r="I532" s="195"/>
      <c r="J532" s="195"/>
      <c r="K532" s="195"/>
      <c r="L532" s="195"/>
      <c r="M532" s="195"/>
    </row>
    <row r="533" ht="14.25" customHeight="1">
      <c r="A533" s="100"/>
      <c r="B533" s="100"/>
      <c r="C533" s="101"/>
      <c r="D533" s="100"/>
      <c r="E533" s="100"/>
      <c r="F533" s="100"/>
      <c r="G533" s="101"/>
      <c r="H533" s="102"/>
      <c r="I533" s="195"/>
      <c r="J533" s="195"/>
      <c r="K533" s="195"/>
      <c r="L533" s="195"/>
      <c r="M533" s="195"/>
    </row>
    <row r="534" ht="14.25" customHeight="1">
      <c r="A534" s="100"/>
      <c r="B534" s="100"/>
      <c r="C534" s="101"/>
      <c r="D534" s="100"/>
      <c r="E534" s="100"/>
      <c r="F534" s="100"/>
      <c r="G534" s="101"/>
      <c r="H534" s="102"/>
      <c r="I534" s="195"/>
      <c r="J534" s="195"/>
      <c r="K534" s="195"/>
      <c r="L534" s="195"/>
      <c r="M534" s="195"/>
    </row>
    <row r="535" ht="14.25" customHeight="1">
      <c r="A535" s="100"/>
      <c r="B535" s="100"/>
      <c r="C535" s="101"/>
      <c r="D535" s="100"/>
      <c r="E535" s="100"/>
      <c r="F535" s="100"/>
      <c r="G535" s="101"/>
      <c r="H535" s="102"/>
      <c r="I535" s="195"/>
      <c r="J535" s="195"/>
      <c r="K535" s="195"/>
      <c r="L535" s="195"/>
      <c r="M535" s="195"/>
    </row>
    <row r="536" ht="14.25" customHeight="1">
      <c r="A536" s="100"/>
      <c r="B536" s="100"/>
      <c r="C536" s="101"/>
      <c r="D536" s="100"/>
      <c r="E536" s="100"/>
      <c r="F536" s="100"/>
      <c r="G536" s="101"/>
      <c r="H536" s="102"/>
      <c r="I536" s="195"/>
      <c r="J536" s="195"/>
      <c r="K536" s="195"/>
      <c r="L536" s="195"/>
      <c r="M536" s="195"/>
    </row>
    <row r="537" ht="14.25" customHeight="1">
      <c r="A537" s="100"/>
      <c r="B537" s="100"/>
      <c r="C537" s="101"/>
      <c r="D537" s="100"/>
      <c r="E537" s="100"/>
      <c r="F537" s="100"/>
      <c r="G537" s="101"/>
      <c r="H537" s="102"/>
      <c r="I537" s="195"/>
      <c r="J537" s="195"/>
      <c r="K537" s="195"/>
      <c r="L537" s="195"/>
      <c r="M537" s="195"/>
    </row>
    <row r="538" ht="14.25" customHeight="1">
      <c r="A538" s="100"/>
      <c r="B538" s="100"/>
      <c r="C538" s="101"/>
      <c r="D538" s="100"/>
      <c r="E538" s="100"/>
      <c r="F538" s="100"/>
      <c r="G538" s="101"/>
      <c r="H538" s="102"/>
      <c r="I538" s="195"/>
      <c r="J538" s="195"/>
      <c r="K538" s="195"/>
      <c r="L538" s="195"/>
      <c r="M538" s="195"/>
    </row>
    <row r="539" ht="14.25" customHeight="1">
      <c r="A539" s="100"/>
      <c r="B539" s="100"/>
      <c r="C539" s="101"/>
      <c r="D539" s="100"/>
      <c r="E539" s="100"/>
      <c r="F539" s="100"/>
      <c r="G539" s="101"/>
      <c r="H539" s="102"/>
      <c r="I539" s="195"/>
      <c r="J539" s="195"/>
      <c r="K539" s="195"/>
      <c r="L539" s="195"/>
      <c r="M539" s="195"/>
    </row>
    <row r="540" ht="14.25" customHeight="1">
      <c r="A540" s="100"/>
      <c r="B540" s="100"/>
      <c r="C540" s="101"/>
      <c r="D540" s="100"/>
      <c r="E540" s="100"/>
      <c r="F540" s="100"/>
      <c r="G540" s="101"/>
      <c r="H540" s="102"/>
      <c r="I540" s="195"/>
      <c r="J540" s="195"/>
      <c r="K540" s="195"/>
      <c r="L540" s="195"/>
      <c r="M540" s="195"/>
    </row>
    <row r="541" ht="14.25" customHeight="1">
      <c r="A541" s="100"/>
      <c r="B541" s="100"/>
      <c r="C541" s="101"/>
      <c r="D541" s="100"/>
      <c r="E541" s="100"/>
      <c r="F541" s="100"/>
      <c r="G541" s="101"/>
      <c r="H541" s="102"/>
      <c r="I541" s="195"/>
      <c r="J541" s="195"/>
      <c r="K541" s="195"/>
      <c r="L541" s="195"/>
      <c r="M541" s="195"/>
    </row>
    <row r="542" ht="14.25" customHeight="1">
      <c r="A542" s="100"/>
      <c r="B542" s="100"/>
      <c r="C542" s="101"/>
      <c r="D542" s="100"/>
      <c r="E542" s="100"/>
      <c r="F542" s="100"/>
      <c r="G542" s="101"/>
      <c r="H542" s="102"/>
      <c r="I542" s="195"/>
      <c r="J542" s="195"/>
      <c r="K542" s="195"/>
      <c r="L542" s="195"/>
      <c r="M542" s="195"/>
    </row>
    <row r="543" ht="14.25" customHeight="1">
      <c r="A543" s="100"/>
      <c r="B543" s="100"/>
      <c r="C543" s="101"/>
      <c r="D543" s="100"/>
      <c r="E543" s="100"/>
      <c r="F543" s="100"/>
      <c r="G543" s="101"/>
      <c r="H543" s="102"/>
      <c r="I543" s="195"/>
      <c r="J543" s="195"/>
      <c r="K543" s="195"/>
      <c r="L543" s="195"/>
      <c r="M543" s="195"/>
    </row>
    <row r="544" ht="14.25" customHeight="1">
      <c r="A544" s="100"/>
      <c r="B544" s="100"/>
      <c r="C544" s="101"/>
      <c r="D544" s="100"/>
      <c r="E544" s="100"/>
      <c r="F544" s="100"/>
      <c r="G544" s="101"/>
      <c r="H544" s="102"/>
      <c r="I544" s="195"/>
      <c r="J544" s="195"/>
      <c r="K544" s="195"/>
      <c r="L544" s="195"/>
      <c r="M544" s="195"/>
    </row>
    <row r="545" ht="14.25" customHeight="1">
      <c r="A545" s="100"/>
      <c r="B545" s="100"/>
      <c r="C545" s="101"/>
      <c r="D545" s="100"/>
      <c r="E545" s="100"/>
      <c r="F545" s="100"/>
      <c r="G545" s="101"/>
      <c r="H545" s="102"/>
      <c r="I545" s="195"/>
      <c r="J545" s="195"/>
      <c r="K545" s="195"/>
      <c r="L545" s="195"/>
      <c r="M545" s="195"/>
    </row>
    <row r="546" ht="14.25" customHeight="1">
      <c r="A546" s="100"/>
      <c r="B546" s="100"/>
      <c r="C546" s="101"/>
      <c r="D546" s="100"/>
      <c r="E546" s="100"/>
      <c r="F546" s="100"/>
      <c r="G546" s="101"/>
      <c r="H546" s="102"/>
      <c r="I546" s="195"/>
      <c r="J546" s="195"/>
      <c r="K546" s="195"/>
      <c r="L546" s="195"/>
      <c r="M546" s="195"/>
    </row>
    <row r="547" ht="14.25" customHeight="1">
      <c r="A547" s="100"/>
      <c r="B547" s="100"/>
      <c r="C547" s="101"/>
      <c r="D547" s="100"/>
      <c r="E547" s="100"/>
      <c r="F547" s="100"/>
      <c r="G547" s="101"/>
      <c r="H547" s="102"/>
      <c r="I547" s="195"/>
      <c r="J547" s="195"/>
      <c r="K547" s="195"/>
      <c r="L547" s="195"/>
      <c r="M547" s="195"/>
    </row>
    <row r="548" ht="14.25" customHeight="1">
      <c r="A548" s="100"/>
      <c r="B548" s="100"/>
      <c r="C548" s="101"/>
      <c r="D548" s="100"/>
      <c r="E548" s="100"/>
      <c r="F548" s="100"/>
      <c r="G548" s="101"/>
      <c r="H548" s="102"/>
      <c r="I548" s="195"/>
      <c r="J548" s="195"/>
      <c r="K548" s="195"/>
      <c r="L548" s="195"/>
      <c r="M548" s="195"/>
    </row>
    <row r="549" ht="14.25" customHeight="1">
      <c r="A549" s="100"/>
      <c r="B549" s="100"/>
      <c r="C549" s="101"/>
      <c r="D549" s="100"/>
      <c r="E549" s="100"/>
      <c r="F549" s="100"/>
      <c r="G549" s="101"/>
      <c r="H549" s="102"/>
      <c r="I549" s="195"/>
      <c r="J549" s="195"/>
      <c r="K549" s="195"/>
      <c r="L549" s="195"/>
      <c r="M549" s="195"/>
    </row>
    <row r="550" ht="14.25" customHeight="1">
      <c r="A550" s="100"/>
      <c r="B550" s="100"/>
      <c r="C550" s="101"/>
      <c r="D550" s="100"/>
      <c r="E550" s="100"/>
      <c r="F550" s="100"/>
      <c r="G550" s="101"/>
      <c r="H550" s="102"/>
      <c r="I550" s="195"/>
      <c r="J550" s="195"/>
      <c r="K550" s="195"/>
      <c r="L550" s="195"/>
      <c r="M550" s="195"/>
    </row>
    <row r="551" ht="14.25" customHeight="1">
      <c r="A551" s="100"/>
      <c r="B551" s="100"/>
      <c r="C551" s="101"/>
      <c r="D551" s="100"/>
      <c r="E551" s="100"/>
      <c r="F551" s="100"/>
      <c r="G551" s="101"/>
      <c r="H551" s="102"/>
      <c r="I551" s="195"/>
      <c r="J551" s="195"/>
      <c r="K551" s="195"/>
      <c r="L551" s="195"/>
      <c r="M551" s="195"/>
    </row>
    <row r="552" ht="14.25" customHeight="1">
      <c r="A552" s="100"/>
      <c r="B552" s="100"/>
      <c r="C552" s="101"/>
      <c r="D552" s="100"/>
      <c r="E552" s="100"/>
      <c r="F552" s="100"/>
      <c r="G552" s="101"/>
      <c r="H552" s="102"/>
      <c r="I552" s="195"/>
      <c r="J552" s="195"/>
      <c r="K552" s="195"/>
      <c r="L552" s="195"/>
      <c r="M552" s="195"/>
    </row>
    <row r="553" ht="14.25" customHeight="1">
      <c r="A553" s="100"/>
      <c r="B553" s="100"/>
      <c r="C553" s="101"/>
      <c r="D553" s="100"/>
      <c r="E553" s="100"/>
      <c r="F553" s="100"/>
      <c r="G553" s="101"/>
      <c r="H553" s="102"/>
      <c r="I553" s="195"/>
      <c r="J553" s="195"/>
      <c r="K553" s="195"/>
      <c r="L553" s="195"/>
      <c r="M553" s="195"/>
    </row>
    <row r="554" ht="14.25" customHeight="1">
      <c r="A554" s="100"/>
      <c r="B554" s="100"/>
      <c r="C554" s="101"/>
      <c r="D554" s="100"/>
      <c r="E554" s="100"/>
      <c r="F554" s="100"/>
      <c r="G554" s="101"/>
      <c r="H554" s="102"/>
      <c r="I554" s="195"/>
      <c r="J554" s="195"/>
      <c r="K554" s="195"/>
      <c r="L554" s="195"/>
      <c r="M554" s="195"/>
    </row>
    <row r="555" ht="14.25" customHeight="1">
      <c r="A555" s="100"/>
      <c r="B555" s="100"/>
      <c r="C555" s="101"/>
      <c r="D555" s="100"/>
      <c r="E555" s="100"/>
      <c r="F555" s="100"/>
      <c r="G555" s="101"/>
      <c r="H555" s="102"/>
      <c r="I555" s="195"/>
      <c r="J555" s="195"/>
      <c r="K555" s="195"/>
      <c r="L555" s="195"/>
      <c r="M555" s="195"/>
    </row>
    <row r="556" ht="14.25" customHeight="1">
      <c r="A556" s="100"/>
      <c r="B556" s="100"/>
      <c r="C556" s="101"/>
      <c r="D556" s="100"/>
      <c r="E556" s="100"/>
      <c r="F556" s="100"/>
      <c r="G556" s="101"/>
      <c r="H556" s="102"/>
      <c r="I556" s="195"/>
      <c r="J556" s="195"/>
      <c r="K556" s="195"/>
      <c r="L556" s="195"/>
      <c r="M556" s="195"/>
    </row>
    <row r="557" ht="14.25" customHeight="1">
      <c r="A557" s="100"/>
      <c r="B557" s="100"/>
      <c r="C557" s="101"/>
      <c r="D557" s="100"/>
      <c r="E557" s="100"/>
      <c r="F557" s="100"/>
      <c r="G557" s="101"/>
      <c r="H557" s="102"/>
      <c r="I557" s="195"/>
      <c r="J557" s="195"/>
      <c r="K557" s="195"/>
      <c r="L557" s="195"/>
      <c r="M557" s="195"/>
    </row>
    <row r="558" ht="14.25" customHeight="1">
      <c r="A558" s="100"/>
      <c r="B558" s="100"/>
      <c r="C558" s="101"/>
      <c r="D558" s="100"/>
      <c r="E558" s="100"/>
      <c r="F558" s="100"/>
      <c r="G558" s="101"/>
      <c r="H558" s="102"/>
      <c r="I558" s="195"/>
      <c r="J558" s="195"/>
      <c r="K558" s="195"/>
      <c r="L558" s="195"/>
      <c r="M558" s="195"/>
    </row>
    <row r="559" ht="14.25" customHeight="1">
      <c r="A559" s="100"/>
      <c r="B559" s="100"/>
      <c r="C559" s="101"/>
      <c r="D559" s="100"/>
      <c r="E559" s="100"/>
      <c r="F559" s="100"/>
      <c r="G559" s="101"/>
      <c r="H559" s="102"/>
      <c r="I559" s="195"/>
      <c r="J559" s="195"/>
      <c r="K559" s="195"/>
      <c r="L559" s="195"/>
      <c r="M559" s="195"/>
    </row>
    <row r="560" ht="14.25" customHeight="1">
      <c r="A560" s="100"/>
      <c r="B560" s="100"/>
      <c r="C560" s="101"/>
      <c r="D560" s="100"/>
      <c r="E560" s="100"/>
      <c r="F560" s="100"/>
      <c r="G560" s="101"/>
      <c r="H560" s="102"/>
      <c r="I560" s="195"/>
      <c r="J560" s="195"/>
      <c r="K560" s="195"/>
      <c r="L560" s="195"/>
      <c r="M560" s="195"/>
    </row>
    <row r="561" ht="14.25" customHeight="1">
      <c r="A561" s="100"/>
      <c r="B561" s="100"/>
      <c r="C561" s="101"/>
      <c r="D561" s="100"/>
      <c r="E561" s="100"/>
      <c r="F561" s="100"/>
      <c r="G561" s="101"/>
      <c r="H561" s="102"/>
      <c r="I561" s="195"/>
      <c r="J561" s="195"/>
      <c r="K561" s="195"/>
      <c r="L561" s="195"/>
      <c r="M561" s="195"/>
    </row>
    <row r="562" ht="14.25" customHeight="1">
      <c r="A562" s="100"/>
      <c r="B562" s="100"/>
      <c r="C562" s="101"/>
      <c r="D562" s="100"/>
      <c r="E562" s="100"/>
      <c r="F562" s="100"/>
      <c r="G562" s="101"/>
      <c r="H562" s="102"/>
      <c r="I562" s="195"/>
      <c r="J562" s="195"/>
      <c r="K562" s="195"/>
      <c r="L562" s="195"/>
      <c r="M562" s="195"/>
    </row>
    <row r="563" ht="14.25" customHeight="1">
      <c r="A563" s="100"/>
      <c r="B563" s="100"/>
      <c r="C563" s="101"/>
      <c r="D563" s="100"/>
      <c r="E563" s="100"/>
      <c r="F563" s="100"/>
      <c r="G563" s="101"/>
      <c r="H563" s="102"/>
      <c r="I563" s="195"/>
      <c r="J563" s="195"/>
      <c r="K563" s="195"/>
      <c r="L563" s="195"/>
      <c r="M563" s="195"/>
    </row>
    <row r="564" ht="14.25" customHeight="1">
      <c r="A564" s="100"/>
      <c r="B564" s="100"/>
      <c r="C564" s="101"/>
      <c r="D564" s="100"/>
      <c r="E564" s="100"/>
      <c r="F564" s="100"/>
      <c r="G564" s="101"/>
      <c r="H564" s="102"/>
      <c r="I564" s="195"/>
      <c r="J564" s="195"/>
      <c r="K564" s="195"/>
      <c r="L564" s="195"/>
      <c r="M564" s="195"/>
    </row>
    <row r="565" ht="14.25" customHeight="1">
      <c r="A565" s="100"/>
      <c r="B565" s="100"/>
      <c r="C565" s="101"/>
      <c r="D565" s="100"/>
      <c r="E565" s="100"/>
      <c r="F565" s="100"/>
      <c r="G565" s="101"/>
      <c r="H565" s="102"/>
      <c r="I565" s="195"/>
      <c r="J565" s="195"/>
      <c r="K565" s="195"/>
      <c r="L565" s="195"/>
      <c r="M565" s="195"/>
    </row>
    <row r="566" ht="14.25" customHeight="1">
      <c r="A566" s="100"/>
      <c r="B566" s="100"/>
      <c r="C566" s="101"/>
      <c r="D566" s="100"/>
      <c r="E566" s="100"/>
      <c r="F566" s="100"/>
      <c r="G566" s="101"/>
      <c r="H566" s="102"/>
      <c r="I566" s="195"/>
      <c r="J566" s="195"/>
      <c r="K566" s="195"/>
      <c r="L566" s="195"/>
      <c r="M566" s="195"/>
    </row>
    <row r="567" ht="14.25" customHeight="1">
      <c r="A567" s="100"/>
      <c r="B567" s="100"/>
      <c r="C567" s="101"/>
      <c r="D567" s="100"/>
      <c r="E567" s="100"/>
      <c r="F567" s="100"/>
      <c r="G567" s="101"/>
      <c r="H567" s="102"/>
      <c r="I567" s="195"/>
      <c r="J567" s="195"/>
      <c r="K567" s="195"/>
      <c r="L567" s="195"/>
      <c r="M567" s="195"/>
    </row>
    <row r="568" ht="14.25" customHeight="1">
      <c r="A568" s="100"/>
      <c r="B568" s="100"/>
      <c r="C568" s="101"/>
      <c r="D568" s="100"/>
      <c r="E568" s="100"/>
      <c r="F568" s="100"/>
      <c r="G568" s="101"/>
      <c r="H568" s="102"/>
      <c r="I568" s="195"/>
      <c r="J568" s="195"/>
      <c r="K568" s="195"/>
      <c r="L568" s="195"/>
      <c r="M568" s="195"/>
    </row>
    <row r="569" ht="14.25" customHeight="1">
      <c r="A569" s="100"/>
      <c r="B569" s="100"/>
      <c r="C569" s="101"/>
      <c r="D569" s="100"/>
      <c r="E569" s="100"/>
      <c r="F569" s="100"/>
      <c r="G569" s="101"/>
      <c r="H569" s="102"/>
      <c r="I569" s="195"/>
      <c r="J569" s="195"/>
      <c r="K569" s="195"/>
      <c r="L569" s="195"/>
      <c r="M569" s="195"/>
    </row>
    <row r="570" ht="14.25" customHeight="1">
      <c r="A570" s="100"/>
      <c r="B570" s="100"/>
      <c r="C570" s="101"/>
      <c r="D570" s="100"/>
      <c r="E570" s="100"/>
      <c r="F570" s="100"/>
      <c r="G570" s="101"/>
      <c r="H570" s="102"/>
      <c r="I570" s="195"/>
      <c r="J570" s="195"/>
      <c r="K570" s="195"/>
      <c r="L570" s="195"/>
      <c r="M570" s="195"/>
    </row>
    <row r="571" ht="14.25" customHeight="1">
      <c r="A571" s="100"/>
      <c r="B571" s="100"/>
      <c r="C571" s="101"/>
      <c r="D571" s="100"/>
      <c r="E571" s="100"/>
      <c r="F571" s="100"/>
      <c r="G571" s="101"/>
      <c r="H571" s="102"/>
      <c r="I571" s="195"/>
      <c r="J571" s="195"/>
      <c r="K571" s="195"/>
      <c r="L571" s="195"/>
      <c r="M571" s="195"/>
    </row>
    <row r="572" ht="14.25" customHeight="1">
      <c r="A572" s="100"/>
      <c r="B572" s="100"/>
      <c r="C572" s="101"/>
      <c r="D572" s="100"/>
      <c r="E572" s="100"/>
      <c r="F572" s="100"/>
      <c r="G572" s="101"/>
      <c r="H572" s="102"/>
      <c r="I572" s="195"/>
      <c r="J572" s="195"/>
      <c r="K572" s="195"/>
      <c r="L572" s="195"/>
      <c r="M572" s="195"/>
    </row>
    <row r="573" ht="14.25" customHeight="1">
      <c r="A573" s="100"/>
      <c r="B573" s="100"/>
      <c r="C573" s="101"/>
      <c r="D573" s="100"/>
      <c r="E573" s="100"/>
      <c r="F573" s="100"/>
      <c r="G573" s="101"/>
      <c r="H573" s="102"/>
      <c r="I573" s="195"/>
      <c r="J573" s="195"/>
      <c r="K573" s="195"/>
      <c r="L573" s="195"/>
      <c r="M573" s="195"/>
    </row>
    <row r="574" ht="14.25" customHeight="1">
      <c r="A574" s="100"/>
      <c r="B574" s="100"/>
      <c r="C574" s="101"/>
      <c r="D574" s="100"/>
      <c r="E574" s="100"/>
      <c r="F574" s="100"/>
      <c r="G574" s="101"/>
      <c r="H574" s="102"/>
      <c r="I574" s="195"/>
      <c r="J574" s="195"/>
      <c r="K574" s="195"/>
      <c r="L574" s="195"/>
      <c r="M574" s="195"/>
    </row>
    <row r="575" ht="14.25" customHeight="1">
      <c r="A575" s="100"/>
      <c r="B575" s="100"/>
      <c r="C575" s="101"/>
      <c r="D575" s="100"/>
      <c r="E575" s="100"/>
      <c r="F575" s="100"/>
      <c r="G575" s="101"/>
      <c r="H575" s="102"/>
      <c r="I575" s="195"/>
      <c r="J575" s="195"/>
      <c r="K575" s="195"/>
      <c r="L575" s="195"/>
      <c r="M575" s="195"/>
    </row>
    <row r="576" ht="14.25" customHeight="1">
      <c r="A576" s="100"/>
      <c r="B576" s="100"/>
      <c r="C576" s="101"/>
      <c r="D576" s="100"/>
      <c r="E576" s="100"/>
      <c r="F576" s="100"/>
      <c r="G576" s="101"/>
      <c r="H576" s="102"/>
      <c r="I576" s="195"/>
      <c r="J576" s="195"/>
      <c r="K576" s="195"/>
      <c r="L576" s="195"/>
      <c r="M576" s="195"/>
    </row>
    <row r="577" ht="14.25" customHeight="1">
      <c r="A577" s="100"/>
      <c r="B577" s="100"/>
      <c r="C577" s="101"/>
      <c r="D577" s="100"/>
      <c r="E577" s="100"/>
      <c r="F577" s="100"/>
      <c r="G577" s="101"/>
      <c r="H577" s="102"/>
      <c r="I577" s="195"/>
      <c r="J577" s="195"/>
      <c r="K577" s="195"/>
      <c r="L577" s="195"/>
      <c r="M577" s="195"/>
    </row>
    <row r="578" ht="14.25" customHeight="1">
      <c r="A578" s="100"/>
      <c r="B578" s="100"/>
      <c r="C578" s="101"/>
      <c r="D578" s="100"/>
      <c r="E578" s="100"/>
      <c r="F578" s="100"/>
      <c r="G578" s="101"/>
      <c r="H578" s="102"/>
      <c r="I578" s="195"/>
      <c r="J578" s="195"/>
      <c r="K578" s="195"/>
      <c r="L578" s="195"/>
      <c r="M578" s="195"/>
    </row>
    <row r="579" ht="14.25" customHeight="1">
      <c r="A579" s="100"/>
      <c r="B579" s="100"/>
      <c r="C579" s="101"/>
      <c r="D579" s="100"/>
      <c r="E579" s="100"/>
      <c r="F579" s="100"/>
      <c r="G579" s="101"/>
      <c r="H579" s="102"/>
      <c r="I579" s="195"/>
      <c r="J579" s="195"/>
      <c r="K579" s="195"/>
      <c r="L579" s="195"/>
      <c r="M579" s="195"/>
    </row>
    <row r="580" ht="14.25" customHeight="1">
      <c r="A580" s="100"/>
      <c r="B580" s="100"/>
      <c r="C580" s="101"/>
      <c r="D580" s="100"/>
      <c r="E580" s="100"/>
      <c r="F580" s="100"/>
      <c r="G580" s="101"/>
      <c r="H580" s="102"/>
      <c r="I580" s="195"/>
      <c r="J580" s="195"/>
      <c r="K580" s="195"/>
      <c r="L580" s="195"/>
      <c r="M580" s="195"/>
    </row>
    <row r="581" ht="14.25" customHeight="1">
      <c r="A581" s="100"/>
      <c r="B581" s="100"/>
      <c r="C581" s="101"/>
      <c r="D581" s="100"/>
      <c r="E581" s="100"/>
      <c r="F581" s="100"/>
      <c r="G581" s="101"/>
      <c r="H581" s="102"/>
      <c r="I581" s="195"/>
      <c r="J581" s="195"/>
      <c r="K581" s="195"/>
      <c r="L581" s="195"/>
      <c r="M581" s="195"/>
    </row>
    <row r="582" ht="14.25" customHeight="1">
      <c r="A582" s="100"/>
      <c r="B582" s="100"/>
      <c r="C582" s="101"/>
      <c r="D582" s="100"/>
      <c r="E582" s="100"/>
      <c r="F582" s="100"/>
      <c r="G582" s="101"/>
      <c r="H582" s="102"/>
      <c r="I582" s="195"/>
      <c r="J582" s="195"/>
      <c r="K582" s="195"/>
      <c r="L582" s="195"/>
      <c r="M582" s="195"/>
    </row>
    <row r="583" ht="14.25" customHeight="1">
      <c r="A583" s="100"/>
      <c r="B583" s="100"/>
      <c r="C583" s="101"/>
      <c r="D583" s="100"/>
      <c r="E583" s="100"/>
      <c r="F583" s="100"/>
      <c r="G583" s="101"/>
      <c r="H583" s="102"/>
      <c r="I583" s="195"/>
      <c r="J583" s="195"/>
      <c r="K583" s="195"/>
      <c r="L583" s="195"/>
      <c r="M583" s="195"/>
    </row>
    <row r="584" ht="14.25" customHeight="1">
      <c r="A584" s="100"/>
      <c r="B584" s="100"/>
      <c r="C584" s="101"/>
      <c r="D584" s="100"/>
      <c r="E584" s="100"/>
      <c r="F584" s="100"/>
      <c r="G584" s="101"/>
      <c r="H584" s="102"/>
      <c r="I584" s="195"/>
      <c r="J584" s="195"/>
      <c r="K584" s="195"/>
      <c r="L584" s="195"/>
      <c r="M584" s="195"/>
    </row>
    <row r="585" ht="14.25" customHeight="1">
      <c r="A585" s="100"/>
      <c r="B585" s="100"/>
      <c r="C585" s="101"/>
      <c r="D585" s="100"/>
      <c r="E585" s="100"/>
      <c r="F585" s="100"/>
      <c r="G585" s="101"/>
      <c r="H585" s="102"/>
      <c r="I585" s="195"/>
      <c r="J585" s="195"/>
      <c r="K585" s="195"/>
      <c r="L585" s="195"/>
      <c r="M585" s="195"/>
    </row>
    <row r="586" ht="14.25" customHeight="1">
      <c r="A586" s="100"/>
      <c r="B586" s="100"/>
      <c r="C586" s="101"/>
      <c r="D586" s="100"/>
      <c r="E586" s="100"/>
      <c r="F586" s="100"/>
      <c r="G586" s="101"/>
      <c r="H586" s="102"/>
      <c r="I586" s="195"/>
      <c r="J586" s="195"/>
      <c r="K586" s="195"/>
      <c r="L586" s="195"/>
      <c r="M586" s="195"/>
    </row>
    <row r="587" ht="14.25" customHeight="1">
      <c r="A587" s="100"/>
      <c r="B587" s="100"/>
      <c r="C587" s="101"/>
      <c r="D587" s="100"/>
      <c r="E587" s="100"/>
      <c r="F587" s="100"/>
      <c r="G587" s="101"/>
      <c r="H587" s="102"/>
      <c r="I587" s="195"/>
      <c r="J587" s="195"/>
      <c r="K587" s="195"/>
      <c r="L587" s="195"/>
      <c r="M587" s="195"/>
    </row>
    <row r="588" ht="14.25" customHeight="1">
      <c r="A588" s="100"/>
      <c r="B588" s="100"/>
      <c r="C588" s="101"/>
      <c r="D588" s="100"/>
      <c r="E588" s="100"/>
      <c r="F588" s="100"/>
      <c r="G588" s="101"/>
      <c r="H588" s="102"/>
      <c r="I588" s="195"/>
      <c r="J588" s="195"/>
      <c r="K588" s="195"/>
      <c r="L588" s="195"/>
      <c r="M588" s="195"/>
    </row>
    <row r="589" ht="14.25" customHeight="1">
      <c r="A589" s="100"/>
      <c r="B589" s="100"/>
      <c r="C589" s="101"/>
      <c r="D589" s="100"/>
      <c r="E589" s="100"/>
      <c r="F589" s="100"/>
      <c r="G589" s="101"/>
      <c r="H589" s="102"/>
      <c r="I589" s="195"/>
      <c r="J589" s="195"/>
      <c r="K589" s="195"/>
      <c r="L589" s="195"/>
      <c r="M589" s="195"/>
    </row>
    <row r="590" ht="14.25" customHeight="1">
      <c r="A590" s="100"/>
      <c r="B590" s="100"/>
      <c r="C590" s="101"/>
      <c r="D590" s="100"/>
      <c r="E590" s="100"/>
      <c r="F590" s="100"/>
      <c r="G590" s="101"/>
      <c r="H590" s="102"/>
      <c r="I590" s="195"/>
      <c r="J590" s="195"/>
      <c r="K590" s="195"/>
      <c r="L590" s="195"/>
      <c r="M590" s="195"/>
    </row>
    <row r="591" ht="14.25" customHeight="1">
      <c r="A591" s="100"/>
      <c r="B591" s="100"/>
      <c r="C591" s="101"/>
      <c r="D591" s="100"/>
      <c r="E591" s="100"/>
      <c r="F591" s="100"/>
      <c r="G591" s="101"/>
      <c r="H591" s="102"/>
      <c r="I591" s="195"/>
      <c r="J591" s="195"/>
      <c r="K591" s="195"/>
      <c r="L591" s="195"/>
      <c r="M591" s="195"/>
    </row>
    <row r="592" ht="14.25" customHeight="1">
      <c r="A592" s="100"/>
      <c r="B592" s="100"/>
      <c r="C592" s="101"/>
      <c r="D592" s="100"/>
      <c r="E592" s="100"/>
      <c r="F592" s="100"/>
      <c r="G592" s="101"/>
      <c r="H592" s="102"/>
      <c r="I592" s="195"/>
      <c r="J592" s="195"/>
      <c r="K592" s="195"/>
      <c r="L592" s="195"/>
      <c r="M592" s="195"/>
    </row>
    <row r="593" ht="14.25" customHeight="1">
      <c r="A593" s="100"/>
      <c r="B593" s="100"/>
      <c r="C593" s="101"/>
      <c r="D593" s="100"/>
      <c r="E593" s="100"/>
      <c r="F593" s="100"/>
      <c r="G593" s="101"/>
      <c r="H593" s="102"/>
      <c r="I593" s="195"/>
      <c r="J593" s="195"/>
      <c r="K593" s="195"/>
      <c r="L593" s="195"/>
      <c r="M593" s="195"/>
    </row>
    <row r="594" ht="14.25" customHeight="1">
      <c r="A594" s="100"/>
      <c r="B594" s="100"/>
      <c r="C594" s="101"/>
      <c r="D594" s="100"/>
      <c r="E594" s="100"/>
      <c r="F594" s="100"/>
      <c r="G594" s="101"/>
      <c r="H594" s="102"/>
      <c r="I594" s="195"/>
      <c r="J594" s="195"/>
      <c r="K594" s="195"/>
      <c r="L594" s="195"/>
      <c r="M594" s="195"/>
    </row>
    <row r="595" ht="14.25" customHeight="1">
      <c r="A595" s="100"/>
      <c r="B595" s="100"/>
      <c r="C595" s="101"/>
      <c r="D595" s="100"/>
      <c r="E595" s="100"/>
      <c r="F595" s="100"/>
      <c r="G595" s="101"/>
      <c r="H595" s="102"/>
      <c r="I595" s="195"/>
      <c r="J595" s="195"/>
      <c r="K595" s="195"/>
      <c r="L595" s="195"/>
      <c r="M595" s="195"/>
    </row>
    <row r="596" ht="14.25" customHeight="1">
      <c r="A596" s="100"/>
      <c r="B596" s="100"/>
      <c r="C596" s="101"/>
      <c r="D596" s="100"/>
      <c r="E596" s="100"/>
      <c r="F596" s="100"/>
      <c r="G596" s="101"/>
      <c r="H596" s="102"/>
      <c r="I596" s="195"/>
      <c r="J596" s="195"/>
      <c r="K596" s="195"/>
      <c r="L596" s="195"/>
      <c r="M596" s="195"/>
    </row>
    <row r="597" ht="14.25" customHeight="1">
      <c r="A597" s="100"/>
      <c r="B597" s="100"/>
      <c r="C597" s="101"/>
      <c r="D597" s="100"/>
      <c r="E597" s="100"/>
      <c r="F597" s="100"/>
      <c r="G597" s="101"/>
      <c r="H597" s="102"/>
      <c r="I597" s="195"/>
      <c r="J597" s="195"/>
      <c r="K597" s="195"/>
      <c r="L597" s="195"/>
      <c r="M597" s="195"/>
    </row>
    <row r="598" ht="14.25" customHeight="1">
      <c r="A598" s="100"/>
      <c r="B598" s="100"/>
      <c r="C598" s="101"/>
      <c r="D598" s="100"/>
      <c r="E598" s="100"/>
      <c r="F598" s="100"/>
      <c r="G598" s="101"/>
      <c r="H598" s="102"/>
      <c r="I598" s="195"/>
      <c r="J598" s="195"/>
      <c r="K598" s="195"/>
      <c r="L598" s="195"/>
      <c r="M598" s="195"/>
    </row>
    <row r="599" ht="14.25" customHeight="1">
      <c r="A599" s="100"/>
      <c r="B599" s="100"/>
      <c r="C599" s="101"/>
      <c r="D599" s="100"/>
      <c r="E599" s="100"/>
      <c r="F599" s="100"/>
      <c r="G599" s="101"/>
      <c r="H599" s="102"/>
      <c r="I599" s="195"/>
      <c r="J599" s="195"/>
      <c r="K599" s="195"/>
      <c r="L599" s="195"/>
      <c r="M599" s="195"/>
    </row>
    <row r="600" ht="14.25" customHeight="1">
      <c r="A600" s="100"/>
      <c r="B600" s="100"/>
      <c r="C600" s="101"/>
      <c r="D600" s="100"/>
      <c r="E600" s="100"/>
      <c r="F600" s="100"/>
      <c r="G600" s="101"/>
      <c r="H600" s="102"/>
      <c r="I600" s="195"/>
      <c r="J600" s="195"/>
      <c r="K600" s="195"/>
      <c r="L600" s="195"/>
      <c r="M600" s="195"/>
    </row>
    <row r="601" ht="14.25" customHeight="1">
      <c r="A601" s="100"/>
      <c r="B601" s="100"/>
      <c r="C601" s="101"/>
      <c r="D601" s="100"/>
      <c r="E601" s="100"/>
      <c r="F601" s="100"/>
      <c r="G601" s="101"/>
      <c r="H601" s="102"/>
      <c r="I601" s="195"/>
      <c r="J601" s="195"/>
      <c r="K601" s="195"/>
      <c r="L601" s="195"/>
      <c r="M601" s="195"/>
    </row>
    <row r="602" ht="14.25" customHeight="1">
      <c r="A602" s="100"/>
      <c r="B602" s="100"/>
      <c r="C602" s="101"/>
      <c r="D602" s="100"/>
      <c r="E602" s="100"/>
      <c r="F602" s="100"/>
      <c r="G602" s="101"/>
      <c r="H602" s="102"/>
      <c r="I602" s="195"/>
      <c r="J602" s="195"/>
      <c r="K602" s="195"/>
      <c r="L602" s="195"/>
      <c r="M602" s="195"/>
    </row>
    <row r="603" ht="14.25" customHeight="1">
      <c r="A603" s="100"/>
      <c r="B603" s="100"/>
      <c r="C603" s="101"/>
      <c r="D603" s="100"/>
      <c r="E603" s="100"/>
      <c r="F603" s="100"/>
      <c r="G603" s="101"/>
      <c r="H603" s="102"/>
      <c r="I603" s="195"/>
      <c r="J603" s="195"/>
      <c r="K603" s="195"/>
      <c r="L603" s="195"/>
      <c r="M603" s="195"/>
    </row>
    <row r="604" ht="14.25" customHeight="1">
      <c r="A604" s="100"/>
      <c r="B604" s="100"/>
      <c r="C604" s="101"/>
      <c r="D604" s="100"/>
      <c r="E604" s="100"/>
      <c r="F604" s="100"/>
      <c r="G604" s="101"/>
      <c r="H604" s="102"/>
      <c r="I604" s="195"/>
      <c r="J604" s="195"/>
      <c r="K604" s="195"/>
      <c r="L604" s="195"/>
      <c r="M604" s="195"/>
    </row>
    <row r="605" ht="14.25" customHeight="1">
      <c r="A605" s="100"/>
      <c r="B605" s="100"/>
      <c r="C605" s="101"/>
      <c r="D605" s="100"/>
      <c r="E605" s="100"/>
      <c r="F605" s="100"/>
      <c r="G605" s="101"/>
      <c r="H605" s="102"/>
      <c r="I605" s="195"/>
      <c r="J605" s="195"/>
      <c r="K605" s="195"/>
      <c r="L605" s="195"/>
      <c r="M605" s="195"/>
    </row>
    <row r="606" ht="14.25" customHeight="1">
      <c r="A606" s="100"/>
      <c r="B606" s="100"/>
      <c r="C606" s="101"/>
      <c r="D606" s="100"/>
      <c r="E606" s="100"/>
      <c r="F606" s="100"/>
      <c r="G606" s="101"/>
      <c r="H606" s="102"/>
      <c r="I606" s="195"/>
      <c r="J606" s="195"/>
      <c r="K606" s="195"/>
      <c r="L606" s="195"/>
      <c r="M606" s="195"/>
    </row>
    <row r="607" ht="14.25" customHeight="1">
      <c r="A607" s="100"/>
      <c r="B607" s="100"/>
      <c r="C607" s="101"/>
      <c r="D607" s="100"/>
      <c r="E607" s="100"/>
      <c r="F607" s="100"/>
      <c r="G607" s="101"/>
      <c r="H607" s="102"/>
      <c r="I607" s="195"/>
      <c r="J607" s="195"/>
      <c r="K607" s="195"/>
      <c r="L607" s="195"/>
      <c r="M607" s="195"/>
    </row>
    <row r="608" ht="14.25" customHeight="1">
      <c r="A608" s="100"/>
      <c r="B608" s="100"/>
      <c r="C608" s="101"/>
      <c r="D608" s="100"/>
      <c r="E608" s="100"/>
      <c r="F608" s="100"/>
      <c r="G608" s="101"/>
      <c r="H608" s="102"/>
      <c r="I608" s="195"/>
      <c r="J608" s="195"/>
      <c r="K608" s="195"/>
      <c r="L608" s="195"/>
      <c r="M608" s="195"/>
    </row>
    <row r="609" ht="14.25" customHeight="1">
      <c r="A609" s="100"/>
      <c r="B609" s="100"/>
      <c r="C609" s="101"/>
      <c r="D609" s="100"/>
      <c r="E609" s="100"/>
      <c r="F609" s="100"/>
      <c r="G609" s="101"/>
      <c r="H609" s="102"/>
      <c r="I609" s="195"/>
      <c r="J609" s="195"/>
      <c r="K609" s="195"/>
      <c r="L609" s="195"/>
      <c r="M609" s="195"/>
    </row>
    <row r="610" ht="14.25" customHeight="1">
      <c r="A610" s="100"/>
      <c r="B610" s="100"/>
      <c r="C610" s="101"/>
      <c r="D610" s="100"/>
      <c r="E610" s="100"/>
      <c r="F610" s="100"/>
      <c r="G610" s="101"/>
      <c r="H610" s="102"/>
      <c r="I610" s="195"/>
      <c r="J610" s="195"/>
      <c r="K610" s="195"/>
      <c r="L610" s="195"/>
      <c r="M610" s="195"/>
    </row>
    <row r="611" ht="14.25" customHeight="1">
      <c r="A611" s="100"/>
      <c r="B611" s="100"/>
      <c r="C611" s="101"/>
      <c r="D611" s="100"/>
      <c r="E611" s="100"/>
      <c r="F611" s="100"/>
      <c r="G611" s="101"/>
      <c r="H611" s="102"/>
      <c r="I611" s="195"/>
      <c r="J611" s="195"/>
      <c r="K611" s="195"/>
      <c r="L611" s="195"/>
      <c r="M611" s="195"/>
    </row>
    <row r="612" ht="14.25" customHeight="1">
      <c r="A612" s="100"/>
      <c r="B612" s="100"/>
      <c r="C612" s="101"/>
      <c r="D612" s="100"/>
      <c r="E612" s="100"/>
      <c r="F612" s="100"/>
      <c r="G612" s="101"/>
      <c r="H612" s="102"/>
      <c r="I612" s="195"/>
      <c r="J612" s="195"/>
      <c r="K612" s="195"/>
      <c r="L612" s="195"/>
      <c r="M612" s="195"/>
    </row>
    <row r="613" ht="14.25" customHeight="1">
      <c r="A613" s="100"/>
      <c r="B613" s="100"/>
      <c r="C613" s="101"/>
      <c r="D613" s="100"/>
      <c r="E613" s="100"/>
      <c r="F613" s="100"/>
      <c r="G613" s="101"/>
      <c r="H613" s="102"/>
      <c r="I613" s="195"/>
      <c r="J613" s="195"/>
      <c r="K613" s="195"/>
      <c r="L613" s="195"/>
      <c r="M613" s="195"/>
    </row>
    <row r="614" ht="14.25" customHeight="1">
      <c r="A614" s="100"/>
      <c r="B614" s="100"/>
      <c r="C614" s="101"/>
      <c r="D614" s="100"/>
      <c r="E614" s="100"/>
      <c r="F614" s="100"/>
      <c r="G614" s="101"/>
      <c r="H614" s="102"/>
      <c r="I614" s="195"/>
      <c r="J614" s="195"/>
      <c r="K614" s="195"/>
      <c r="L614" s="195"/>
      <c r="M614" s="195"/>
    </row>
    <row r="615" ht="14.25" customHeight="1">
      <c r="A615" s="100"/>
      <c r="B615" s="100"/>
      <c r="C615" s="101"/>
      <c r="D615" s="100"/>
      <c r="E615" s="100"/>
      <c r="F615" s="100"/>
      <c r="G615" s="101"/>
      <c r="H615" s="102"/>
      <c r="I615" s="195"/>
      <c r="J615" s="195"/>
      <c r="K615" s="195"/>
      <c r="L615" s="195"/>
      <c r="M615" s="195"/>
    </row>
    <row r="616" ht="14.25" customHeight="1">
      <c r="A616" s="100"/>
      <c r="B616" s="100"/>
      <c r="C616" s="101"/>
      <c r="D616" s="100"/>
      <c r="E616" s="100"/>
      <c r="F616" s="100"/>
      <c r="G616" s="101"/>
      <c r="H616" s="102"/>
      <c r="I616" s="195"/>
      <c r="J616" s="195"/>
      <c r="K616" s="195"/>
      <c r="L616" s="195"/>
      <c r="M616" s="195"/>
    </row>
    <row r="617" ht="14.25" customHeight="1">
      <c r="A617" s="100"/>
      <c r="B617" s="100"/>
      <c r="C617" s="101"/>
      <c r="D617" s="100"/>
      <c r="E617" s="100"/>
      <c r="F617" s="100"/>
      <c r="G617" s="101"/>
      <c r="H617" s="102"/>
      <c r="I617" s="195"/>
      <c r="J617" s="195"/>
      <c r="K617" s="195"/>
      <c r="L617" s="195"/>
      <c r="M617" s="195"/>
    </row>
    <row r="618" ht="14.25" customHeight="1">
      <c r="A618" s="100"/>
      <c r="B618" s="100"/>
      <c r="C618" s="101"/>
      <c r="D618" s="100"/>
      <c r="E618" s="100"/>
      <c r="F618" s="100"/>
      <c r="G618" s="101"/>
      <c r="H618" s="102"/>
      <c r="I618" s="195"/>
      <c r="J618" s="195"/>
      <c r="K618" s="195"/>
      <c r="L618" s="195"/>
      <c r="M618" s="195"/>
    </row>
    <row r="619" ht="14.25" customHeight="1">
      <c r="A619" s="100"/>
      <c r="B619" s="100"/>
      <c r="C619" s="101"/>
      <c r="D619" s="100"/>
      <c r="E619" s="100"/>
      <c r="F619" s="100"/>
      <c r="G619" s="101"/>
      <c r="H619" s="102"/>
      <c r="I619" s="195"/>
      <c r="J619" s="195"/>
      <c r="K619" s="195"/>
      <c r="L619" s="195"/>
      <c r="M619" s="195"/>
    </row>
    <row r="620" ht="14.25" customHeight="1">
      <c r="A620" s="100"/>
      <c r="B620" s="100"/>
      <c r="C620" s="101"/>
      <c r="D620" s="100"/>
      <c r="E620" s="100"/>
      <c r="F620" s="100"/>
      <c r="G620" s="101"/>
      <c r="H620" s="102"/>
      <c r="I620" s="195"/>
      <c r="J620" s="195"/>
      <c r="K620" s="195"/>
      <c r="L620" s="195"/>
      <c r="M620" s="195"/>
    </row>
    <row r="621" ht="14.25" customHeight="1">
      <c r="A621" s="100"/>
      <c r="B621" s="100"/>
      <c r="C621" s="101"/>
      <c r="D621" s="100"/>
      <c r="E621" s="100"/>
      <c r="F621" s="100"/>
      <c r="G621" s="101"/>
      <c r="H621" s="102"/>
      <c r="I621" s="195"/>
      <c r="J621" s="195"/>
      <c r="K621" s="195"/>
      <c r="L621" s="195"/>
      <c r="M621" s="195"/>
    </row>
    <row r="622" ht="14.25" customHeight="1">
      <c r="A622" s="100"/>
      <c r="B622" s="100"/>
      <c r="C622" s="101"/>
      <c r="D622" s="100"/>
      <c r="E622" s="100"/>
      <c r="F622" s="100"/>
      <c r="G622" s="101"/>
      <c r="H622" s="102"/>
      <c r="I622" s="195"/>
      <c r="J622" s="195"/>
      <c r="K622" s="195"/>
      <c r="L622" s="195"/>
      <c r="M622" s="195"/>
    </row>
    <row r="623" ht="14.25" customHeight="1">
      <c r="A623" s="100"/>
      <c r="B623" s="100"/>
      <c r="C623" s="101"/>
      <c r="D623" s="100"/>
      <c r="E623" s="100"/>
      <c r="F623" s="100"/>
      <c r="G623" s="101"/>
      <c r="H623" s="102"/>
      <c r="I623" s="195"/>
      <c r="J623" s="195"/>
      <c r="K623" s="195"/>
      <c r="L623" s="195"/>
      <c r="M623" s="195"/>
    </row>
    <row r="624" ht="14.25" customHeight="1">
      <c r="A624" s="100"/>
      <c r="B624" s="100"/>
      <c r="C624" s="101"/>
      <c r="D624" s="100"/>
      <c r="E624" s="100"/>
      <c r="F624" s="100"/>
      <c r="G624" s="101"/>
      <c r="H624" s="102"/>
      <c r="I624" s="195"/>
      <c r="J624" s="195"/>
      <c r="K624" s="195"/>
      <c r="L624" s="195"/>
      <c r="M624" s="195"/>
    </row>
    <row r="625" ht="14.25" customHeight="1">
      <c r="A625" s="100"/>
      <c r="B625" s="100"/>
      <c r="C625" s="101"/>
      <c r="D625" s="100"/>
      <c r="E625" s="100"/>
      <c r="F625" s="100"/>
      <c r="G625" s="101"/>
      <c r="H625" s="102"/>
      <c r="I625" s="195"/>
      <c r="J625" s="195"/>
      <c r="K625" s="195"/>
      <c r="L625" s="195"/>
      <c r="M625" s="195"/>
    </row>
    <row r="626" ht="14.25" customHeight="1">
      <c r="A626" s="100"/>
      <c r="B626" s="100"/>
      <c r="C626" s="101"/>
      <c r="D626" s="100"/>
      <c r="E626" s="100"/>
      <c r="F626" s="100"/>
      <c r="G626" s="101"/>
      <c r="H626" s="102"/>
      <c r="I626" s="195"/>
      <c r="J626" s="195"/>
      <c r="K626" s="195"/>
      <c r="L626" s="195"/>
      <c r="M626" s="195"/>
    </row>
    <row r="627" ht="14.25" customHeight="1">
      <c r="A627" s="100"/>
      <c r="B627" s="100"/>
      <c r="C627" s="101"/>
      <c r="D627" s="100"/>
      <c r="E627" s="100"/>
      <c r="F627" s="100"/>
      <c r="G627" s="101"/>
      <c r="H627" s="102"/>
      <c r="I627" s="195"/>
      <c r="J627" s="195"/>
      <c r="K627" s="195"/>
      <c r="L627" s="195"/>
      <c r="M627" s="195"/>
    </row>
    <row r="628" ht="14.25" customHeight="1">
      <c r="A628" s="100"/>
      <c r="B628" s="100"/>
      <c r="C628" s="101"/>
      <c r="D628" s="100"/>
      <c r="E628" s="100"/>
      <c r="F628" s="100"/>
      <c r="G628" s="101"/>
      <c r="H628" s="102"/>
      <c r="I628" s="195"/>
      <c r="J628" s="195"/>
      <c r="K628" s="195"/>
      <c r="L628" s="195"/>
      <c r="M628" s="195"/>
    </row>
    <row r="629" ht="14.25" customHeight="1">
      <c r="A629" s="100"/>
      <c r="B629" s="100"/>
      <c r="C629" s="101"/>
      <c r="D629" s="100"/>
      <c r="E629" s="100"/>
      <c r="F629" s="100"/>
      <c r="G629" s="101"/>
      <c r="H629" s="102"/>
      <c r="I629" s="195"/>
      <c r="J629" s="195"/>
      <c r="K629" s="195"/>
      <c r="L629" s="195"/>
      <c r="M629" s="195"/>
    </row>
    <row r="630" ht="14.25" customHeight="1">
      <c r="A630" s="100"/>
      <c r="B630" s="100"/>
      <c r="C630" s="101"/>
      <c r="D630" s="100"/>
      <c r="E630" s="100"/>
      <c r="F630" s="100"/>
      <c r="G630" s="101"/>
      <c r="H630" s="102"/>
      <c r="I630" s="195"/>
      <c r="J630" s="195"/>
      <c r="K630" s="195"/>
      <c r="L630" s="195"/>
      <c r="M630" s="195"/>
    </row>
    <row r="631" ht="14.25" customHeight="1">
      <c r="A631" s="100"/>
      <c r="B631" s="100"/>
      <c r="C631" s="101"/>
      <c r="D631" s="100"/>
      <c r="E631" s="100"/>
      <c r="F631" s="100"/>
      <c r="G631" s="101"/>
      <c r="H631" s="102"/>
      <c r="I631" s="195"/>
      <c r="J631" s="195"/>
      <c r="K631" s="195"/>
      <c r="L631" s="195"/>
      <c r="M631" s="195"/>
    </row>
    <row r="632" ht="14.25" customHeight="1">
      <c r="A632" s="100"/>
      <c r="B632" s="100"/>
      <c r="C632" s="101"/>
      <c r="D632" s="100"/>
      <c r="E632" s="100"/>
      <c r="F632" s="100"/>
      <c r="G632" s="101"/>
      <c r="H632" s="102"/>
      <c r="I632" s="195"/>
      <c r="J632" s="195"/>
      <c r="K632" s="195"/>
      <c r="L632" s="195"/>
      <c r="M632" s="195"/>
    </row>
    <row r="633" ht="14.25" customHeight="1">
      <c r="A633" s="100"/>
      <c r="B633" s="100"/>
      <c r="C633" s="101"/>
      <c r="D633" s="100"/>
      <c r="E633" s="100"/>
      <c r="F633" s="100"/>
      <c r="G633" s="101"/>
      <c r="H633" s="102"/>
      <c r="I633" s="195"/>
      <c r="J633" s="195"/>
      <c r="K633" s="195"/>
      <c r="L633" s="195"/>
      <c r="M633" s="195"/>
    </row>
    <row r="634" ht="14.25" customHeight="1">
      <c r="A634" s="100"/>
      <c r="B634" s="100"/>
      <c r="C634" s="101"/>
      <c r="D634" s="100"/>
      <c r="E634" s="100"/>
      <c r="F634" s="100"/>
      <c r="G634" s="101"/>
      <c r="H634" s="102"/>
      <c r="I634" s="195"/>
      <c r="J634" s="195"/>
      <c r="K634" s="195"/>
      <c r="L634" s="195"/>
      <c r="M634" s="195"/>
    </row>
    <row r="635" ht="14.25" customHeight="1">
      <c r="A635" s="100"/>
      <c r="B635" s="100"/>
      <c r="C635" s="101"/>
      <c r="D635" s="100"/>
      <c r="E635" s="100"/>
      <c r="F635" s="100"/>
      <c r="G635" s="101"/>
      <c r="H635" s="102"/>
      <c r="I635" s="195"/>
      <c r="J635" s="195"/>
      <c r="K635" s="195"/>
      <c r="L635" s="195"/>
      <c r="M635" s="195"/>
    </row>
    <row r="636" ht="14.25" customHeight="1">
      <c r="A636" s="100"/>
      <c r="B636" s="100"/>
      <c r="C636" s="101"/>
      <c r="D636" s="100"/>
      <c r="E636" s="100"/>
      <c r="F636" s="100"/>
      <c r="G636" s="101"/>
      <c r="H636" s="102"/>
      <c r="I636" s="195"/>
      <c r="J636" s="195"/>
      <c r="K636" s="195"/>
      <c r="L636" s="195"/>
      <c r="M636" s="195"/>
    </row>
    <row r="637" ht="14.25" customHeight="1">
      <c r="A637" s="100"/>
      <c r="B637" s="100"/>
      <c r="C637" s="101"/>
      <c r="D637" s="100"/>
      <c r="E637" s="100"/>
      <c r="F637" s="100"/>
      <c r="G637" s="101"/>
      <c r="H637" s="102"/>
      <c r="I637" s="195"/>
      <c r="J637" s="195"/>
      <c r="K637" s="195"/>
      <c r="L637" s="195"/>
      <c r="M637" s="195"/>
    </row>
    <row r="638" ht="14.25" customHeight="1">
      <c r="A638" s="100"/>
      <c r="B638" s="100"/>
      <c r="C638" s="101"/>
      <c r="D638" s="100"/>
      <c r="E638" s="100"/>
      <c r="F638" s="100"/>
      <c r="G638" s="101"/>
      <c r="H638" s="102"/>
      <c r="I638" s="195"/>
      <c r="J638" s="195"/>
      <c r="K638" s="195"/>
      <c r="L638" s="195"/>
      <c r="M638" s="195"/>
    </row>
    <row r="639" ht="14.25" customHeight="1">
      <c r="A639" s="100"/>
      <c r="B639" s="100"/>
      <c r="C639" s="101"/>
      <c r="D639" s="100"/>
      <c r="E639" s="100"/>
      <c r="F639" s="100"/>
      <c r="G639" s="101"/>
      <c r="H639" s="102"/>
      <c r="I639" s="195"/>
      <c r="J639" s="195"/>
      <c r="K639" s="195"/>
      <c r="L639" s="195"/>
      <c r="M639" s="195"/>
    </row>
    <row r="640" ht="14.25" customHeight="1">
      <c r="A640" s="100"/>
      <c r="B640" s="100"/>
      <c r="C640" s="101"/>
      <c r="D640" s="100"/>
      <c r="E640" s="100"/>
      <c r="F640" s="100"/>
      <c r="G640" s="101"/>
      <c r="H640" s="102"/>
      <c r="I640" s="195"/>
      <c r="J640" s="195"/>
      <c r="K640" s="195"/>
      <c r="L640" s="195"/>
      <c r="M640" s="195"/>
    </row>
    <row r="641" ht="14.25" customHeight="1">
      <c r="A641" s="100"/>
      <c r="B641" s="100"/>
      <c r="C641" s="101"/>
      <c r="D641" s="100"/>
      <c r="E641" s="100"/>
      <c r="F641" s="100"/>
      <c r="G641" s="101"/>
      <c r="H641" s="102"/>
      <c r="I641" s="195"/>
      <c r="J641" s="195"/>
      <c r="K641" s="195"/>
      <c r="L641" s="195"/>
      <c r="M641" s="195"/>
    </row>
    <row r="642" ht="14.25" customHeight="1">
      <c r="A642" s="100"/>
      <c r="B642" s="100"/>
      <c r="C642" s="101"/>
      <c r="D642" s="100"/>
      <c r="E642" s="100"/>
      <c r="F642" s="100"/>
      <c r="G642" s="101"/>
      <c r="H642" s="102"/>
      <c r="I642" s="195"/>
      <c r="J642" s="195"/>
      <c r="K642" s="195"/>
      <c r="L642" s="195"/>
      <c r="M642" s="195"/>
    </row>
    <row r="643" ht="14.25" customHeight="1">
      <c r="A643" s="100"/>
      <c r="B643" s="100"/>
      <c r="C643" s="101"/>
      <c r="D643" s="100"/>
      <c r="E643" s="100"/>
      <c r="F643" s="100"/>
      <c r="G643" s="101"/>
      <c r="H643" s="102"/>
      <c r="I643" s="195"/>
      <c r="J643" s="195"/>
      <c r="K643" s="195"/>
      <c r="L643" s="195"/>
      <c r="M643" s="195"/>
    </row>
    <row r="644" ht="14.25" customHeight="1">
      <c r="A644" s="100"/>
      <c r="B644" s="100"/>
      <c r="C644" s="101"/>
      <c r="D644" s="100"/>
      <c r="E644" s="100"/>
      <c r="F644" s="100"/>
      <c r="G644" s="101"/>
      <c r="H644" s="102"/>
      <c r="I644" s="195"/>
      <c r="J644" s="195"/>
      <c r="K644" s="195"/>
      <c r="L644" s="195"/>
      <c r="M644" s="195"/>
    </row>
    <row r="645" ht="14.25" customHeight="1">
      <c r="A645" s="100"/>
      <c r="B645" s="100"/>
      <c r="C645" s="101"/>
      <c r="D645" s="100"/>
      <c r="E645" s="100"/>
      <c r="F645" s="100"/>
      <c r="G645" s="101"/>
      <c r="H645" s="102"/>
      <c r="I645" s="195"/>
      <c r="J645" s="195"/>
      <c r="K645" s="195"/>
      <c r="L645" s="195"/>
      <c r="M645" s="195"/>
    </row>
    <row r="646" ht="14.25" customHeight="1">
      <c r="A646" s="100"/>
      <c r="B646" s="100"/>
      <c r="C646" s="101"/>
      <c r="D646" s="100"/>
      <c r="E646" s="100"/>
      <c r="F646" s="100"/>
      <c r="G646" s="101"/>
      <c r="H646" s="102"/>
      <c r="I646" s="195"/>
      <c r="J646" s="195"/>
      <c r="K646" s="195"/>
      <c r="L646" s="195"/>
      <c r="M646" s="195"/>
    </row>
    <row r="647" ht="14.25" customHeight="1">
      <c r="A647" s="100"/>
      <c r="B647" s="100"/>
      <c r="C647" s="101"/>
      <c r="D647" s="100"/>
      <c r="E647" s="100"/>
      <c r="F647" s="100"/>
      <c r="G647" s="101"/>
      <c r="H647" s="102"/>
      <c r="I647" s="195"/>
      <c r="J647" s="195"/>
      <c r="K647" s="195"/>
      <c r="L647" s="195"/>
      <c r="M647" s="195"/>
    </row>
    <row r="648" ht="14.25" customHeight="1">
      <c r="A648" s="100"/>
      <c r="B648" s="100"/>
      <c r="C648" s="101"/>
      <c r="D648" s="100"/>
      <c r="E648" s="100"/>
      <c r="F648" s="100"/>
      <c r="G648" s="101"/>
      <c r="H648" s="102"/>
      <c r="I648" s="195"/>
      <c r="J648" s="195"/>
      <c r="K648" s="195"/>
      <c r="L648" s="195"/>
      <c r="M648" s="195"/>
    </row>
    <row r="649" ht="14.25" customHeight="1">
      <c r="A649" s="100"/>
      <c r="B649" s="100"/>
      <c r="C649" s="101"/>
      <c r="D649" s="100"/>
      <c r="E649" s="100"/>
      <c r="F649" s="100"/>
      <c r="G649" s="101"/>
      <c r="H649" s="102"/>
      <c r="I649" s="195"/>
      <c r="J649" s="195"/>
      <c r="K649" s="195"/>
      <c r="L649" s="195"/>
      <c r="M649" s="195"/>
    </row>
    <row r="650" ht="14.25" customHeight="1">
      <c r="A650" s="100"/>
      <c r="B650" s="100"/>
      <c r="C650" s="101"/>
      <c r="D650" s="100"/>
      <c r="E650" s="100"/>
      <c r="F650" s="100"/>
      <c r="G650" s="101"/>
      <c r="H650" s="102"/>
      <c r="I650" s="195"/>
      <c r="J650" s="195"/>
      <c r="K650" s="195"/>
      <c r="L650" s="195"/>
      <c r="M650" s="195"/>
    </row>
    <row r="651" ht="14.25" customHeight="1">
      <c r="A651" s="100"/>
      <c r="B651" s="100"/>
      <c r="C651" s="101"/>
      <c r="D651" s="100"/>
      <c r="E651" s="100"/>
      <c r="F651" s="100"/>
      <c r="G651" s="101"/>
      <c r="H651" s="102"/>
      <c r="I651" s="195"/>
      <c r="J651" s="195"/>
      <c r="K651" s="195"/>
      <c r="L651" s="195"/>
      <c r="M651" s="195"/>
    </row>
    <row r="652" ht="14.25" customHeight="1">
      <c r="A652" s="100"/>
      <c r="B652" s="100"/>
      <c r="C652" s="101"/>
      <c r="D652" s="100"/>
      <c r="E652" s="100"/>
      <c r="F652" s="100"/>
      <c r="G652" s="101"/>
      <c r="H652" s="102"/>
      <c r="I652" s="195"/>
      <c r="J652" s="195"/>
      <c r="K652" s="195"/>
      <c r="L652" s="195"/>
      <c r="M652" s="195"/>
    </row>
    <row r="653" ht="14.25" customHeight="1">
      <c r="A653" s="100"/>
      <c r="B653" s="100"/>
      <c r="C653" s="101"/>
      <c r="D653" s="100"/>
      <c r="E653" s="100"/>
      <c r="F653" s="100"/>
      <c r="G653" s="101"/>
      <c r="H653" s="102"/>
      <c r="I653" s="195"/>
      <c r="J653" s="195"/>
      <c r="K653" s="195"/>
      <c r="L653" s="195"/>
      <c r="M653" s="195"/>
    </row>
    <row r="654" ht="14.25" customHeight="1">
      <c r="A654" s="100"/>
      <c r="B654" s="100"/>
      <c r="C654" s="101"/>
      <c r="D654" s="100"/>
      <c r="E654" s="100"/>
      <c r="F654" s="100"/>
      <c r="G654" s="101"/>
      <c r="H654" s="102"/>
      <c r="I654" s="195"/>
      <c r="J654" s="195"/>
      <c r="K654" s="195"/>
      <c r="L654" s="195"/>
      <c r="M654" s="195"/>
    </row>
    <row r="655" ht="14.25" customHeight="1">
      <c r="A655" s="100"/>
      <c r="B655" s="100"/>
      <c r="C655" s="101"/>
      <c r="D655" s="100"/>
      <c r="E655" s="100"/>
      <c r="F655" s="100"/>
      <c r="G655" s="101"/>
      <c r="H655" s="102"/>
      <c r="I655" s="195"/>
      <c r="J655" s="195"/>
      <c r="K655" s="195"/>
      <c r="L655" s="195"/>
      <c r="M655" s="195"/>
    </row>
    <row r="656" ht="14.25" customHeight="1">
      <c r="A656" s="100"/>
      <c r="B656" s="100"/>
      <c r="C656" s="101"/>
      <c r="D656" s="100"/>
      <c r="E656" s="100"/>
      <c r="F656" s="100"/>
      <c r="G656" s="101"/>
      <c r="H656" s="102"/>
      <c r="I656" s="195"/>
      <c r="J656" s="195"/>
      <c r="K656" s="195"/>
      <c r="L656" s="195"/>
      <c r="M656" s="195"/>
    </row>
    <row r="657" ht="14.25" customHeight="1">
      <c r="A657" s="100"/>
      <c r="B657" s="100"/>
      <c r="C657" s="101"/>
      <c r="D657" s="100"/>
      <c r="E657" s="100"/>
      <c r="F657" s="100"/>
      <c r="G657" s="101"/>
      <c r="H657" s="102"/>
      <c r="I657" s="195"/>
      <c r="J657" s="195"/>
      <c r="K657" s="195"/>
      <c r="L657" s="195"/>
      <c r="M657" s="195"/>
    </row>
    <row r="658" ht="14.25" customHeight="1">
      <c r="A658" s="100"/>
      <c r="B658" s="100"/>
      <c r="C658" s="101"/>
      <c r="D658" s="100"/>
      <c r="E658" s="100"/>
      <c r="F658" s="100"/>
      <c r="G658" s="101"/>
      <c r="H658" s="102"/>
      <c r="I658" s="195"/>
      <c r="J658" s="195"/>
      <c r="K658" s="195"/>
      <c r="L658" s="195"/>
      <c r="M658" s="195"/>
    </row>
    <row r="659" ht="14.25" customHeight="1">
      <c r="A659" s="100"/>
      <c r="B659" s="100"/>
      <c r="C659" s="101"/>
      <c r="D659" s="100"/>
      <c r="E659" s="100"/>
      <c r="F659" s="100"/>
      <c r="G659" s="101"/>
      <c r="H659" s="102"/>
      <c r="I659" s="195"/>
      <c r="J659" s="195"/>
      <c r="K659" s="195"/>
      <c r="L659" s="195"/>
      <c r="M659" s="195"/>
    </row>
    <row r="660" ht="14.25" customHeight="1">
      <c r="A660" s="100"/>
      <c r="B660" s="100"/>
      <c r="C660" s="101"/>
      <c r="D660" s="100"/>
      <c r="E660" s="100"/>
      <c r="F660" s="100"/>
      <c r="G660" s="101"/>
      <c r="H660" s="102"/>
      <c r="I660" s="195"/>
      <c r="J660" s="195"/>
      <c r="K660" s="195"/>
      <c r="L660" s="195"/>
      <c r="M660" s="195"/>
    </row>
    <row r="661" ht="14.25" customHeight="1">
      <c r="A661" s="100"/>
      <c r="B661" s="100"/>
      <c r="C661" s="101"/>
      <c r="D661" s="100"/>
      <c r="E661" s="100"/>
      <c r="F661" s="100"/>
      <c r="G661" s="101"/>
      <c r="H661" s="102"/>
      <c r="I661" s="195"/>
      <c r="J661" s="195"/>
      <c r="K661" s="195"/>
      <c r="L661" s="195"/>
      <c r="M661" s="195"/>
    </row>
    <row r="662" ht="14.25" customHeight="1">
      <c r="A662" s="100"/>
      <c r="B662" s="100"/>
      <c r="C662" s="101"/>
      <c r="D662" s="100"/>
      <c r="E662" s="100"/>
      <c r="F662" s="100"/>
      <c r="G662" s="101"/>
      <c r="H662" s="102"/>
      <c r="I662" s="195"/>
      <c r="J662" s="195"/>
      <c r="K662" s="195"/>
      <c r="L662" s="195"/>
      <c r="M662" s="195"/>
    </row>
    <row r="663" ht="14.25" customHeight="1">
      <c r="A663" s="100"/>
      <c r="B663" s="100"/>
      <c r="C663" s="101"/>
      <c r="D663" s="100"/>
      <c r="E663" s="100"/>
      <c r="F663" s="100"/>
      <c r="G663" s="101"/>
      <c r="H663" s="102"/>
      <c r="I663" s="195"/>
      <c r="J663" s="195"/>
      <c r="K663" s="195"/>
      <c r="L663" s="195"/>
      <c r="M663" s="195"/>
    </row>
    <row r="664" ht="14.25" customHeight="1">
      <c r="A664" s="100"/>
      <c r="B664" s="100"/>
      <c r="C664" s="101"/>
      <c r="D664" s="100"/>
      <c r="E664" s="100"/>
      <c r="F664" s="100"/>
      <c r="G664" s="101"/>
      <c r="H664" s="102"/>
      <c r="I664" s="195"/>
      <c r="J664" s="195"/>
      <c r="K664" s="195"/>
      <c r="L664" s="195"/>
      <c r="M664" s="195"/>
    </row>
    <row r="665" ht="14.25" customHeight="1">
      <c r="A665" s="100"/>
      <c r="B665" s="100"/>
      <c r="C665" s="101"/>
      <c r="D665" s="100"/>
      <c r="E665" s="100"/>
      <c r="F665" s="100"/>
      <c r="G665" s="101"/>
      <c r="H665" s="102"/>
      <c r="I665" s="195"/>
      <c r="J665" s="195"/>
      <c r="K665" s="195"/>
      <c r="L665" s="195"/>
      <c r="M665" s="195"/>
    </row>
    <row r="666" ht="14.25" customHeight="1">
      <c r="A666" s="100"/>
      <c r="B666" s="100"/>
      <c r="C666" s="101"/>
      <c r="D666" s="100"/>
      <c r="E666" s="100"/>
      <c r="F666" s="100"/>
      <c r="G666" s="101"/>
      <c r="H666" s="102"/>
      <c r="I666" s="195"/>
      <c r="J666" s="195"/>
      <c r="K666" s="195"/>
      <c r="L666" s="195"/>
      <c r="M666" s="195"/>
    </row>
    <row r="667" ht="14.25" customHeight="1">
      <c r="A667" s="100"/>
      <c r="B667" s="100"/>
      <c r="C667" s="101"/>
      <c r="D667" s="100"/>
      <c r="E667" s="100"/>
      <c r="F667" s="100"/>
      <c r="G667" s="101"/>
      <c r="H667" s="102"/>
      <c r="I667" s="195"/>
      <c r="J667" s="195"/>
      <c r="K667" s="195"/>
      <c r="L667" s="195"/>
      <c r="M667" s="195"/>
    </row>
    <row r="668" ht="14.25" customHeight="1">
      <c r="A668" s="100"/>
      <c r="B668" s="100"/>
      <c r="C668" s="101"/>
      <c r="D668" s="100"/>
      <c r="E668" s="100"/>
      <c r="F668" s="100"/>
      <c r="G668" s="101"/>
      <c r="H668" s="102"/>
      <c r="I668" s="195"/>
      <c r="J668" s="195"/>
      <c r="K668" s="195"/>
      <c r="L668" s="195"/>
      <c r="M668" s="195"/>
    </row>
    <row r="669" ht="14.25" customHeight="1">
      <c r="A669" s="100"/>
      <c r="B669" s="100"/>
      <c r="C669" s="101"/>
      <c r="D669" s="100"/>
      <c r="E669" s="100"/>
      <c r="F669" s="100"/>
      <c r="G669" s="101"/>
      <c r="H669" s="102"/>
      <c r="I669" s="195"/>
      <c r="J669" s="195"/>
      <c r="K669" s="195"/>
      <c r="L669" s="195"/>
      <c r="M669" s="195"/>
    </row>
    <row r="670" ht="14.25" customHeight="1">
      <c r="A670" s="100"/>
      <c r="B670" s="100"/>
      <c r="C670" s="101"/>
      <c r="D670" s="100"/>
      <c r="E670" s="100"/>
      <c r="F670" s="100"/>
      <c r="G670" s="101"/>
      <c r="H670" s="102"/>
      <c r="I670" s="195"/>
      <c r="J670" s="195"/>
      <c r="K670" s="195"/>
      <c r="L670" s="195"/>
      <c r="M670" s="195"/>
    </row>
    <row r="671" ht="14.25" customHeight="1">
      <c r="A671" s="100"/>
      <c r="B671" s="100"/>
      <c r="C671" s="101"/>
      <c r="D671" s="100"/>
      <c r="E671" s="100"/>
      <c r="F671" s="100"/>
      <c r="G671" s="101"/>
      <c r="H671" s="102"/>
      <c r="I671" s="195"/>
      <c r="J671" s="195"/>
      <c r="K671" s="195"/>
      <c r="L671" s="195"/>
      <c r="M671" s="195"/>
    </row>
    <row r="672" ht="14.25" customHeight="1">
      <c r="A672" s="100"/>
      <c r="B672" s="100"/>
      <c r="C672" s="101"/>
      <c r="D672" s="100"/>
      <c r="E672" s="100"/>
      <c r="F672" s="100"/>
      <c r="G672" s="101"/>
      <c r="H672" s="102"/>
      <c r="I672" s="195"/>
      <c r="J672" s="195"/>
      <c r="K672" s="195"/>
      <c r="L672" s="195"/>
      <c r="M672" s="195"/>
    </row>
    <row r="673" ht="14.25" customHeight="1">
      <c r="A673" s="100"/>
      <c r="B673" s="100"/>
      <c r="C673" s="101"/>
      <c r="D673" s="100"/>
      <c r="E673" s="100"/>
      <c r="F673" s="100"/>
      <c r="G673" s="101"/>
      <c r="H673" s="102"/>
      <c r="I673" s="195"/>
      <c r="J673" s="195"/>
      <c r="K673" s="195"/>
      <c r="L673" s="195"/>
      <c r="M673" s="195"/>
    </row>
    <row r="674" ht="14.25" customHeight="1">
      <c r="A674" s="100"/>
      <c r="B674" s="100"/>
      <c r="C674" s="101"/>
      <c r="D674" s="100"/>
      <c r="E674" s="100"/>
      <c r="F674" s="100"/>
      <c r="G674" s="101"/>
      <c r="H674" s="102"/>
      <c r="I674" s="195"/>
      <c r="J674" s="195"/>
      <c r="K674" s="195"/>
      <c r="L674" s="195"/>
      <c r="M674" s="195"/>
    </row>
    <row r="675" ht="14.25" customHeight="1">
      <c r="A675" s="100"/>
      <c r="B675" s="100"/>
      <c r="C675" s="101"/>
      <c r="D675" s="100"/>
      <c r="E675" s="100"/>
      <c r="F675" s="100"/>
      <c r="G675" s="101"/>
      <c r="H675" s="102"/>
      <c r="I675" s="195"/>
      <c r="J675" s="195"/>
      <c r="K675" s="195"/>
      <c r="L675" s="195"/>
      <c r="M675" s="195"/>
    </row>
    <row r="676" ht="14.25" customHeight="1">
      <c r="A676" s="100"/>
      <c r="B676" s="100"/>
      <c r="C676" s="101"/>
      <c r="D676" s="100"/>
      <c r="E676" s="100"/>
      <c r="F676" s="100"/>
      <c r="G676" s="101"/>
      <c r="H676" s="102"/>
      <c r="I676" s="195"/>
      <c r="J676" s="195"/>
      <c r="K676" s="195"/>
      <c r="L676" s="195"/>
      <c r="M676" s="195"/>
    </row>
    <row r="677" ht="14.25" customHeight="1">
      <c r="A677" s="100"/>
      <c r="B677" s="100"/>
      <c r="C677" s="101"/>
      <c r="D677" s="100"/>
      <c r="E677" s="100"/>
      <c r="F677" s="100"/>
      <c r="G677" s="101"/>
      <c r="H677" s="102"/>
      <c r="I677" s="195"/>
      <c r="J677" s="195"/>
      <c r="K677" s="195"/>
      <c r="L677" s="195"/>
      <c r="M677" s="195"/>
    </row>
    <row r="678" ht="14.25" customHeight="1">
      <c r="A678" s="100"/>
      <c r="B678" s="100"/>
      <c r="C678" s="101"/>
      <c r="D678" s="100"/>
      <c r="E678" s="100"/>
      <c r="F678" s="100"/>
      <c r="G678" s="101"/>
      <c r="H678" s="102"/>
      <c r="I678" s="195"/>
      <c r="J678" s="195"/>
      <c r="K678" s="195"/>
      <c r="L678" s="195"/>
      <c r="M678" s="195"/>
    </row>
    <row r="679" ht="14.25" customHeight="1">
      <c r="A679" s="100"/>
      <c r="B679" s="100"/>
      <c r="C679" s="101"/>
      <c r="D679" s="100"/>
      <c r="E679" s="100"/>
      <c r="F679" s="100"/>
      <c r="G679" s="101"/>
      <c r="H679" s="102"/>
      <c r="I679" s="195"/>
      <c r="J679" s="195"/>
      <c r="K679" s="195"/>
      <c r="L679" s="195"/>
      <c r="M679" s="195"/>
    </row>
    <row r="680" ht="14.25" customHeight="1">
      <c r="A680" s="100"/>
      <c r="B680" s="100"/>
      <c r="C680" s="101"/>
      <c r="D680" s="100"/>
      <c r="E680" s="100"/>
      <c r="F680" s="100"/>
      <c r="G680" s="101"/>
      <c r="H680" s="102"/>
      <c r="I680" s="195"/>
      <c r="J680" s="195"/>
      <c r="K680" s="195"/>
      <c r="L680" s="195"/>
      <c r="M680" s="195"/>
    </row>
    <row r="681" ht="14.25" customHeight="1">
      <c r="A681" s="100"/>
      <c r="B681" s="100"/>
      <c r="C681" s="101"/>
      <c r="D681" s="100"/>
      <c r="E681" s="100"/>
      <c r="F681" s="100"/>
      <c r="G681" s="101"/>
      <c r="H681" s="102"/>
      <c r="I681" s="195"/>
      <c r="J681" s="195"/>
      <c r="K681" s="195"/>
      <c r="L681" s="195"/>
      <c r="M681" s="195"/>
    </row>
    <row r="682" ht="14.25" customHeight="1">
      <c r="A682" s="100"/>
      <c r="B682" s="100"/>
      <c r="C682" s="101"/>
      <c r="D682" s="100"/>
      <c r="E682" s="100"/>
      <c r="F682" s="100"/>
      <c r="G682" s="101"/>
      <c r="H682" s="102"/>
      <c r="I682" s="195"/>
      <c r="J682" s="195"/>
      <c r="K682" s="195"/>
      <c r="L682" s="195"/>
      <c r="M682" s="195"/>
    </row>
    <row r="683" ht="14.25" customHeight="1">
      <c r="A683" s="100"/>
      <c r="B683" s="100"/>
      <c r="C683" s="101"/>
      <c r="D683" s="100"/>
      <c r="E683" s="100"/>
      <c r="F683" s="100"/>
      <c r="G683" s="101"/>
      <c r="H683" s="102"/>
      <c r="I683" s="195"/>
      <c r="J683" s="195"/>
      <c r="K683" s="195"/>
      <c r="L683" s="195"/>
      <c r="M683" s="195"/>
    </row>
    <row r="684" ht="14.25" customHeight="1">
      <c r="A684" s="100"/>
      <c r="B684" s="100"/>
      <c r="C684" s="101"/>
      <c r="D684" s="100"/>
      <c r="E684" s="100"/>
      <c r="F684" s="100"/>
      <c r="G684" s="101"/>
      <c r="H684" s="102"/>
      <c r="I684" s="195"/>
      <c r="J684" s="195"/>
      <c r="K684" s="195"/>
      <c r="L684" s="195"/>
      <c r="M684" s="195"/>
    </row>
    <row r="685" ht="14.25" customHeight="1">
      <c r="A685" s="100"/>
      <c r="B685" s="100"/>
      <c r="C685" s="101"/>
      <c r="D685" s="100"/>
      <c r="E685" s="100"/>
      <c r="F685" s="100"/>
      <c r="G685" s="101"/>
      <c r="H685" s="102"/>
      <c r="I685" s="195"/>
      <c r="J685" s="195"/>
      <c r="K685" s="195"/>
      <c r="L685" s="195"/>
      <c r="M685" s="195"/>
    </row>
    <row r="686" ht="14.25" customHeight="1">
      <c r="A686" s="100"/>
      <c r="B686" s="100"/>
      <c r="C686" s="101"/>
      <c r="D686" s="100"/>
      <c r="E686" s="100"/>
      <c r="F686" s="100"/>
      <c r="G686" s="101"/>
      <c r="H686" s="102"/>
      <c r="I686" s="195"/>
      <c r="J686" s="195"/>
      <c r="K686" s="195"/>
      <c r="L686" s="195"/>
      <c r="M686" s="195"/>
    </row>
    <row r="687" ht="14.25" customHeight="1">
      <c r="A687" s="100"/>
      <c r="B687" s="100"/>
      <c r="C687" s="101"/>
      <c r="D687" s="100"/>
      <c r="E687" s="100"/>
      <c r="F687" s="100"/>
      <c r="G687" s="101"/>
      <c r="H687" s="102"/>
      <c r="I687" s="195"/>
      <c r="J687" s="195"/>
      <c r="K687" s="195"/>
      <c r="L687" s="195"/>
      <c r="M687" s="195"/>
    </row>
    <row r="688" ht="14.25" customHeight="1">
      <c r="A688" s="100"/>
      <c r="B688" s="100"/>
      <c r="C688" s="101"/>
      <c r="D688" s="100"/>
      <c r="E688" s="100"/>
      <c r="F688" s="100"/>
      <c r="G688" s="101"/>
      <c r="H688" s="102"/>
      <c r="I688" s="195"/>
      <c r="J688" s="195"/>
      <c r="K688" s="195"/>
      <c r="L688" s="195"/>
      <c r="M688" s="195"/>
    </row>
    <row r="689" ht="14.25" customHeight="1">
      <c r="A689" s="100"/>
      <c r="B689" s="100"/>
      <c r="C689" s="101"/>
      <c r="D689" s="100"/>
      <c r="E689" s="100"/>
      <c r="F689" s="100"/>
      <c r="G689" s="101"/>
      <c r="H689" s="102"/>
      <c r="I689" s="195"/>
      <c r="J689" s="195"/>
      <c r="K689" s="195"/>
      <c r="L689" s="195"/>
      <c r="M689" s="195"/>
    </row>
    <row r="690" ht="14.25" customHeight="1">
      <c r="A690" s="100"/>
      <c r="B690" s="100"/>
      <c r="C690" s="101"/>
      <c r="D690" s="100"/>
      <c r="E690" s="100"/>
      <c r="F690" s="100"/>
      <c r="G690" s="101"/>
      <c r="H690" s="102"/>
      <c r="I690" s="195"/>
      <c r="J690" s="195"/>
      <c r="K690" s="195"/>
      <c r="L690" s="195"/>
      <c r="M690" s="195"/>
    </row>
    <row r="691" ht="14.25" customHeight="1">
      <c r="A691" s="100"/>
      <c r="B691" s="100"/>
      <c r="C691" s="101"/>
      <c r="D691" s="100"/>
      <c r="E691" s="100"/>
      <c r="F691" s="100"/>
      <c r="G691" s="101"/>
      <c r="H691" s="102"/>
      <c r="I691" s="195"/>
      <c r="J691" s="195"/>
      <c r="K691" s="195"/>
      <c r="L691" s="195"/>
      <c r="M691" s="195"/>
    </row>
    <row r="692" ht="14.25" customHeight="1">
      <c r="A692" s="100"/>
      <c r="B692" s="100"/>
      <c r="C692" s="101"/>
      <c r="D692" s="100"/>
      <c r="E692" s="100"/>
      <c r="F692" s="100"/>
      <c r="G692" s="101"/>
      <c r="H692" s="102"/>
      <c r="I692" s="195"/>
      <c r="J692" s="195"/>
      <c r="K692" s="195"/>
      <c r="L692" s="195"/>
      <c r="M692" s="195"/>
    </row>
    <row r="693" ht="14.25" customHeight="1">
      <c r="A693" s="100"/>
      <c r="B693" s="100"/>
      <c r="C693" s="101"/>
      <c r="D693" s="100"/>
      <c r="E693" s="100"/>
      <c r="F693" s="100"/>
      <c r="G693" s="101"/>
      <c r="H693" s="102"/>
      <c r="I693" s="195"/>
      <c r="J693" s="195"/>
      <c r="K693" s="195"/>
      <c r="L693" s="195"/>
      <c r="M693" s="195"/>
    </row>
    <row r="694" ht="14.25" customHeight="1">
      <c r="A694" s="100"/>
      <c r="B694" s="100"/>
      <c r="C694" s="101"/>
      <c r="D694" s="100"/>
      <c r="E694" s="100"/>
      <c r="F694" s="100"/>
      <c r="G694" s="101"/>
      <c r="H694" s="102"/>
      <c r="I694" s="195"/>
      <c r="J694" s="195"/>
      <c r="K694" s="195"/>
      <c r="L694" s="195"/>
      <c r="M694" s="195"/>
    </row>
    <row r="695" ht="14.25" customHeight="1">
      <c r="A695" s="100"/>
      <c r="B695" s="100"/>
      <c r="C695" s="101"/>
      <c r="D695" s="100"/>
      <c r="E695" s="100"/>
      <c r="F695" s="100"/>
      <c r="G695" s="101"/>
      <c r="H695" s="102"/>
      <c r="I695" s="195"/>
      <c r="J695" s="195"/>
      <c r="K695" s="195"/>
      <c r="L695" s="195"/>
      <c r="M695" s="195"/>
    </row>
    <row r="696" ht="14.25" customHeight="1">
      <c r="A696" s="100"/>
      <c r="B696" s="100"/>
      <c r="C696" s="101"/>
      <c r="D696" s="100"/>
      <c r="E696" s="100"/>
      <c r="F696" s="100"/>
      <c r="G696" s="101"/>
      <c r="H696" s="102"/>
      <c r="I696" s="195"/>
      <c r="J696" s="195"/>
      <c r="K696" s="195"/>
      <c r="L696" s="195"/>
      <c r="M696" s="195"/>
    </row>
    <row r="697" ht="14.25" customHeight="1">
      <c r="A697" s="100"/>
      <c r="B697" s="100"/>
      <c r="C697" s="101"/>
      <c r="D697" s="100"/>
      <c r="E697" s="100"/>
      <c r="F697" s="100"/>
      <c r="G697" s="101"/>
      <c r="H697" s="102"/>
      <c r="I697" s="195"/>
      <c r="J697" s="195"/>
      <c r="K697" s="195"/>
      <c r="L697" s="195"/>
      <c r="M697" s="195"/>
    </row>
    <row r="698" ht="14.25" customHeight="1">
      <c r="A698" s="100"/>
      <c r="B698" s="100"/>
      <c r="C698" s="101"/>
      <c r="D698" s="100"/>
      <c r="E698" s="100"/>
      <c r="F698" s="100"/>
      <c r="G698" s="101"/>
      <c r="H698" s="102"/>
      <c r="I698" s="195"/>
      <c r="J698" s="195"/>
      <c r="K698" s="195"/>
      <c r="L698" s="195"/>
      <c r="M698" s="195"/>
    </row>
    <row r="699" ht="14.25" customHeight="1">
      <c r="A699" s="100"/>
      <c r="B699" s="100"/>
      <c r="C699" s="101"/>
      <c r="D699" s="100"/>
      <c r="E699" s="100"/>
      <c r="F699" s="100"/>
      <c r="G699" s="101"/>
      <c r="H699" s="102"/>
      <c r="I699" s="195"/>
      <c r="J699" s="195"/>
      <c r="K699" s="195"/>
      <c r="L699" s="195"/>
      <c r="M699" s="195"/>
    </row>
    <row r="700" ht="14.25" customHeight="1">
      <c r="A700" s="100"/>
      <c r="B700" s="100"/>
      <c r="C700" s="101"/>
      <c r="D700" s="100"/>
      <c r="E700" s="100"/>
      <c r="F700" s="100"/>
      <c r="G700" s="101"/>
      <c r="H700" s="102"/>
      <c r="I700" s="195"/>
      <c r="J700" s="195"/>
      <c r="K700" s="195"/>
      <c r="L700" s="195"/>
      <c r="M700" s="195"/>
    </row>
    <row r="701" ht="14.25" customHeight="1">
      <c r="A701" s="100"/>
      <c r="B701" s="100"/>
      <c r="C701" s="101"/>
      <c r="D701" s="100"/>
      <c r="E701" s="100"/>
      <c r="F701" s="100"/>
      <c r="G701" s="101"/>
      <c r="H701" s="102"/>
      <c r="I701" s="195"/>
      <c r="J701" s="195"/>
      <c r="K701" s="195"/>
      <c r="L701" s="195"/>
      <c r="M701" s="195"/>
    </row>
    <row r="702" ht="14.25" customHeight="1">
      <c r="A702" s="100"/>
      <c r="B702" s="100"/>
      <c r="C702" s="101"/>
      <c r="D702" s="100"/>
      <c r="E702" s="100"/>
      <c r="F702" s="100"/>
      <c r="G702" s="101"/>
      <c r="H702" s="102"/>
      <c r="I702" s="195"/>
      <c r="J702" s="195"/>
      <c r="K702" s="195"/>
      <c r="L702" s="195"/>
      <c r="M702" s="195"/>
    </row>
    <row r="703" ht="14.25" customHeight="1">
      <c r="A703" s="100"/>
      <c r="B703" s="100"/>
      <c r="C703" s="101"/>
      <c r="D703" s="100"/>
      <c r="E703" s="100"/>
      <c r="F703" s="100"/>
      <c r="G703" s="101"/>
      <c r="H703" s="102"/>
      <c r="I703" s="195"/>
      <c r="J703" s="195"/>
      <c r="K703" s="195"/>
      <c r="L703" s="195"/>
      <c r="M703" s="195"/>
    </row>
    <row r="704" ht="14.25" customHeight="1">
      <c r="A704" s="100"/>
      <c r="B704" s="100"/>
      <c r="C704" s="101"/>
      <c r="D704" s="100"/>
      <c r="E704" s="100"/>
      <c r="F704" s="100"/>
      <c r="G704" s="101"/>
      <c r="H704" s="102"/>
      <c r="I704" s="195"/>
      <c r="J704" s="195"/>
      <c r="K704" s="195"/>
      <c r="L704" s="195"/>
      <c r="M704" s="195"/>
    </row>
    <row r="705" ht="14.25" customHeight="1">
      <c r="A705" s="100"/>
      <c r="B705" s="100"/>
      <c r="C705" s="101"/>
      <c r="D705" s="100"/>
      <c r="E705" s="100"/>
      <c r="F705" s="100"/>
      <c r="G705" s="101"/>
      <c r="H705" s="102"/>
      <c r="I705" s="195"/>
      <c r="J705" s="195"/>
      <c r="K705" s="195"/>
      <c r="L705" s="195"/>
      <c r="M705" s="195"/>
    </row>
    <row r="706" ht="14.25" customHeight="1">
      <c r="A706" s="100"/>
      <c r="B706" s="100"/>
      <c r="C706" s="101"/>
      <c r="D706" s="100"/>
      <c r="E706" s="100"/>
      <c r="F706" s="100"/>
      <c r="G706" s="101"/>
      <c r="H706" s="102"/>
      <c r="I706" s="195"/>
      <c r="J706" s="195"/>
      <c r="K706" s="195"/>
      <c r="L706" s="195"/>
      <c r="M706" s="195"/>
    </row>
    <row r="707" ht="14.25" customHeight="1">
      <c r="A707" s="100"/>
      <c r="B707" s="100"/>
      <c r="C707" s="101"/>
      <c r="D707" s="100"/>
      <c r="E707" s="100"/>
      <c r="F707" s="100"/>
      <c r="G707" s="101"/>
      <c r="H707" s="102"/>
      <c r="I707" s="195"/>
      <c r="J707" s="195"/>
      <c r="K707" s="195"/>
      <c r="L707" s="195"/>
      <c r="M707" s="195"/>
    </row>
    <row r="708" ht="14.25" customHeight="1">
      <c r="A708" s="100"/>
      <c r="B708" s="100"/>
      <c r="C708" s="101"/>
      <c r="D708" s="100"/>
      <c r="E708" s="100"/>
      <c r="F708" s="100"/>
      <c r="G708" s="101"/>
      <c r="H708" s="102"/>
      <c r="I708" s="195"/>
      <c r="J708" s="195"/>
      <c r="K708" s="195"/>
      <c r="L708" s="195"/>
      <c r="M708" s="195"/>
    </row>
    <row r="709" ht="14.25" customHeight="1">
      <c r="A709" s="100"/>
      <c r="B709" s="100"/>
      <c r="C709" s="101"/>
      <c r="D709" s="100"/>
      <c r="E709" s="100"/>
      <c r="F709" s="100"/>
      <c r="G709" s="101"/>
      <c r="H709" s="102"/>
      <c r="I709" s="195"/>
      <c r="J709" s="195"/>
      <c r="K709" s="195"/>
      <c r="L709" s="195"/>
      <c r="M709" s="195"/>
    </row>
    <row r="710" ht="14.25" customHeight="1">
      <c r="A710" s="100"/>
      <c r="B710" s="100"/>
      <c r="C710" s="101"/>
      <c r="D710" s="100"/>
      <c r="E710" s="100"/>
      <c r="F710" s="100"/>
      <c r="G710" s="101"/>
      <c r="H710" s="102"/>
      <c r="I710" s="195"/>
      <c r="J710" s="195"/>
      <c r="K710" s="195"/>
      <c r="L710" s="195"/>
      <c r="M710" s="195"/>
    </row>
    <row r="711" ht="14.25" customHeight="1">
      <c r="A711" s="100"/>
      <c r="B711" s="100"/>
      <c r="C711" s="101"/>
      <c r="D711" s="100"/>
      <c r="E711" s="100"/>
      <c r="F711" s="100"/>
      <c r="G711" s="101"/>
      <c r="H711" s="102"/>
      <c r="I711" s="195"/>
      <c r="J711" s="195"/>
      <c r="K711" s="195"/>
      <c r="L711" s="195"/>
      <c r="M711" s="195"/>
    </row>
    <row r="712" ht="14.25" customHeight="1">
      <c r="A712" s="100"/>
      <c r="B712" s="100"/>
      <c r="C712" s="101"/>
      <c r="D712" s="100"/>
      <c r="E712" s="100"/>
      <c r="F712" s="100"/>
      <c r="G712" s="101"/>
      <c r="H712" s="102"/>
      <c r="I712" s="195"/>
      <c r="J712" s="195"/>
      <c r="K712" s="195"/>
      <c r="L712" s="195"/>
      <c r="M712" s="195"/>
    </row>
    <row r="713" ht="14.25" customHeight="1">
      <c r="A713" s="100"/>
      <c r="B713" s="100"/>
      <c r="C713" s="101"/>
      <c r="D713" s="100"/>
      <c r="E713" s="100"/>
      <c r="F713" s="100"/>
      <c r="G713" s="101"/>
      <c r="H713" s="102"/>
      <c r="I713" s="195"/>
      <c r="J713" s="195"/>
      <c r="K713" s="195"/>
      <c r="L713" s="195"/>
      <c r="M713" s="195"/>
    </row>
    <row r="714" ht="14.25" customHeight="1">
      <c r="A714" s="100"/>
      <c r="B714" s="100"/>
      <c r="C714" s="101"/>
      <c r="D714" s="100"/>
      <c r="E714" s="100"/>
      <c r="F714" s="100"/>
      <c r="G714" s="101"/>
      <c r="H714" s="102"/>
      <c r="I714" s="195"/>
      <c r="J714" s="195"/>
      <c r="K714" s="195"/>
      <c r="L714" s="195"/>
      <c r="M714" s="195"/>
    </row>
    <row r="715" ht="14.25" customHeight="1">
      <c r="A715" s="100"/>
      <c r="B715" s="100"/>
      <c r="C715" s="101"/>
      <c r="D715" s="100"/>
      <c r="E715" s="100"/>
      <c r="F715" s="100"/>
      <c r="G715" s="101"/>
      <c r="H715" s="102"/>
      <c r="I715" s="195"/>
      <c r="J715" s="195"/>
      <c r="K715" s="195"/>
      <c r="L715" s="195"/>
      <c r="M715" s="195"/>
    </row>
    <row r="716" ht="14.25" customHeight="1">
      <c r="A716" s="100"/>
      <c r="B716" s="100"/>
      <c r="C716" s="101"/>
      <c r="D716" s="100"/>
      <c r="E716" s="100"/>
      <c r="F716" s="100"/>
      <c r="G716" s="101"/>
      <c r="H716" s="102"/>
      <c r="I716" s="195"/>
      <c r="J716" s="195"/>
      <c r="K716" s="195"/>
      <c r="L716" s="195"/>
      <c r="M716" s="195"/>
    </row>
    <row r="717" ht="14.25" customHeight="1">
      <c r="A717" s="100"/>
      <c r="B717" s="100"/>
      <c r="C717" s="101"/>
      <c r="D717" s="100"/>
      <c r="E717" s="100"/>
      <c r="F717" s="100"/>
      <c r="G717" s="101"/>
      <c r="H717" s="102"/>
      <c r="I717" s="195"/>
      <c r="J717" s="195"/>
      <c r="K717" s="195"/>
      <c r="L717" s="195"/>
      <c r="M717" s="195"/>
    </row>
    <row r="718" ht="14.25" customHeight="1">
      <c r="A718" s="100"/>
      <c r="B718" s="100"/>
      <c r="C718" s="101"/>
      <c r="D718" s="100"/>
      <c r="E718" s="100"/>
      <c r="F718" s="100"/>
      <c r="G718" s="101"/>
      <c r="H718" s="102"/>
      <c r="I718" s="195"/>
      <c r="J718" s="195"/>
      <c r="K718" s="195"/>
      <c r="L718" s="195"/>
      <c r="M718" s="195"/>
    </row>
    <row r="719" ht="14.25" customHeight="1">
      <c r="A719" s="100"/>
      <c r="B719" s="100"/>
      <c r="C719" s="101"/>
      <c r="D719" s="100"/>
      <c r="E719" s="100"/>
      <c r="F719" s="100"/>
      <c r="G719" s="101"/>
      <c r="H719" s="102"/>
      <c r="I719" s="195"/>
      <c r="J719" s="195"/>
      <c r="K719" s="195"/>
      <c r="L719" s="195"/>
      <c r="M719" s="195"/>
    </row>
    <row r="720" ht="14.25" customHeight="1">
      <c r="A720" s="100"/>
      <c r="B720" s="100"/>
      <c r="C720" s="101"/>
      <c r="D720" s="100"/>
      <c r="E720" s="100"/>
      <c r="F720" s="100"/>
      <c r="G720" s="101"/>
      <c r="H720" s="102"/>
      <c r="I720" s="195"/>
      <c r="J720" s="195"/>
      <c r="K720" s="195"/>
      <c r="L720" s="195"/>
      <c r="M720" s="195"/>
    </row>
    <row r="721" ht="14.25" customHeight="1">
      <c r="A721" s="100"/>
      <c r="B721" s="100"/>
      <c r="C721" s="101"/>
      <c r="D721" s="100"/>
      <c r="E721" s="100"/>
      <c r="F721" s="100"/>
      <c r="G721" s="101"/>
      <c r="H721" s="102"/>
      <c r="I721" s="195"/>
      <c r="J721" s="195"/>
      <c r="K721" s="195"/>
      <c r="L721" s="195"/>
      <c r="M721" s="195"/>
    </row>
    <row r="722" ht="14.25" customHeight="1">
      <c r="A722" s="100"/>
      <c r="B722" s="100"/>
      <c r="C722" s="101"/>
      <c r="D722" s="100"/>
      <c r="E722" s="100"/>
      <c r="F722" s="100"/>
      <c r="G722" s="101"/>
      <c r="H722" s="102"/>
      <c r="I722" s="195"/>
      <c r="J722" s="195"/>
      <c r="K722" s="195"/>
      <c r="L722" s="195"/>
      <c r="M722" s="195"/>
    </row>
    <row r="723" ht="14.25" customHeight="1">
      <c r="A723" s="100"/>
      <c r="B723" s="100"/>
      <c r="C723" s="101"/>
      <c r="D723" s="100"/>
      <c r="E723" s="100"/>
      <c r="F723" s="100"/>
      <c r="G723" s="101"/>
      <c r="H723" s="102"/>
      <c r="I723" s="195"/>
      <c r="J723" s="195"/>
      <c r="K723" s="195"/>
      <c r="L723" s="195"/>
      <c r="M723" s="195"/>
    </row>
    <row r="724" ht="14.25" customHeight="1">
      <c r="A724" s="100"/>
      <c r="B724" s="100"/>
      <c r="C724" s="101"/>
      <c r="D724" s="100"/>
      <c r="E724" s="100"/>
      <c r="F724" s="100"/>
      <c r="G724" s="101"/>
      <c r="H724" s="102"/>
      <c r="I724" s="195"/>
      <c r="J724" s="195"/>
      <c r="K724" s="195"/>
      <c r="L724" s="195"/>
      <c r="M724" s="195"/>
    </row>
    <row r="725" ht="14.25" customHeight="1">
      <c r="A725" s="100"/>
      <c r="B725" s="100"/>
      <c r="C725" s="101"/>
      <c r="D725" s="100"/>
      <c r="E725" s="100"/>
      <c r="F725" s="100"/>
      <c r="G725" s="101"/>
      <c r="H725" s="102"/>
      <c r="I725" s="195"/>
      <c r="J725" s="195"/>
      <c r="K725" s="195"/>
      <c r="L725" s="195"/>
      <c r="M725" s="195"/>
    </row>
    <row r="726" ht="14.25" customHeight="1">
      <c r="A726" s="100"/>
      <c r="B726" s="100"/>
      <c r="C726" s="101"/>
      <c r="D726" s="100"/>
      <c r="E726" s="100"/>
      <c r="F726" s="100"/>
      <c r="G726" s="101"/>
      <c r="H726" s="102"/>
      <c r="I726" s="195"/>
      <c r="J726" s="195"/>
      <c r="K726" s="195"/>
      <c r="L726" s="195"/>
      <c r="M726" s="195"/>
    </row>
    <row r="727" ht="14.25" customHeight="1">
      <c r="A727" s="100"/>
      <c r="B727" s="100"/>
      <c r="C727" s="101"/>
      <c r="D727" s="100"/>
      <c r="E727" s="100"/>
      <c r="F727" s="100"/>
      <c r="G727" s="101"/>
      <c r="H727" s="102"/>
      <c r="I727" s="195"/>
      <c r="J727" s="195"/>
      <c r="K727" s="195"/>
      <c r="L727" s="195"/>
      <c r="M727" s="195"/>
    </row>
    <row r="728" ht="14.25" customHeight="1">
      <c r="A728" s="100"/>
      <c r="B728" s="100"/>
      <c r="C728" s="101"/>
      <c r="D728" s="100"/>
      <c r="E728" s="100"/>
      <c r="F728" s="100"/>
      <c r="G728" s="101"/>
      <c r="H728" s="102"/>
      <c r="I728" s="195"/>
      <c r="J728" s="195"/>
      <c r="K728" s="195"/>
      <c r="L728" s="195"/>
      <c r="M728" s="195"/>
    </row>
    <row r="729" ht="14.25" customHeight="1">
      <c r="A729" s="100"/>
      <c r="B729" s="100"/>
      <c r="C729" s="101"/>
      <c r="D729" s="100"/>
      <c r="E729" s="100"/>
      <c r="F729" s="100"/>
      <c r="G729" s="101"/>
      <c r="H729" s="102"/>
      <c r="I729" s="195"/>
      <c r="J729" s="195"/>
      <c r="K729" s="195"/>
      <c r="L729" s="195"/>
      <c r="M729" s="195"/>
    </row>
    <row r="730" ht="14.25" customHeight="1">
      <c r="A730" s="100"/>
      <c r="B730" s="100"/>
      <c r="C730" s="101"/>
      <c r="D730" s="100"/>
      <c r="E730" s="100"/>
      <c r="F730" s="100"/>
      <c r="G730" s="101"/>
      <c r="H730" s="102"/>
      <c r="I730" s="195"/>
      <c r="J730" s="195"/>
      <c r="K730" s="195"/>
      <c r="L730" s="195"/>
      <c r="M730" s="195"/>
    </row>
    <row r="731" ht="14.25" customHeight="1">
      <c r="A731" s="100"/>
      <c r="B731" s="100"/>
      <c r="C731" s="101"/>
      <c r="D731" s="100"/>
      <c r="E731" s="100"/>
      <c r="F731" s="100"/>
      <c r="G731" s="101"/>
      <c r="H731" s="102"/>
      <c r="I731" s="195"/>
      <c r="J731" s="195"/>
      <c r="K731" s="195"/>
      <c r="L731" s="195"/>
      <c r="M731" s="195"/>
    </row>
    <row r="732" ht="14.25" customHeight="1">
      <c r="A732" s="100"/>
      <c r="B732" s="100"/>
      <c r="C732" s="101"/>
      <c r="D732" s="100"/>
      <c r="E732" s="100"/>
      <c r="F732" s="100"/>
      <c r="G732" s="101"/>
      <c r="H732" s="102"/>
      <c r="I732" s="195"/>
      <c r="J732" s="195"/>
      <c r="K732" s="195"/>
      <c r="L732" s="195"/>
      <c r="M732" s="195"/>
    </row>
    <row r="733" ht="14.25" customHeight="1">
      <c r="A733" s="100"/>
      <c r="B733" s="100"/>
      <c r="C733" s="101"/>
      <c r="D733" s="100"/>
      <c r="E733" s="100"/>
      <c r="F733" s="100"/>
      <c r="G733" s="101"/>
      <c r="H733" s="102"/>
      <c r="I733" s="195"/>
      <c r="J733" s="195"/>
      <c r="K733" s="195"/>
      <c r="L733" s="195"/>
      <c r="M733" s="195"/>
    </row>
    <row r="734" ht="14.25" customHeight="1">
      <c r="A734" s="100"/>
      <c r="B734" s="100"/>
      <c r="C734" s="101"/>
      <c r="D734" s="100"/>
      <c r="E734" s="100"/>
      <c r="F734" s="100"/>
      <c r="G734" s="101"/>
      <c r="H734" s="102"/>
      <c r="I734" s="195"/>
      <c r="J734" s="195"/>
      <c r="K734" s="195"/>
      <c r="L734" s="195"/>
      <c r="M734" s="195"/>
    </row>
    <row r="735" ht="14.25" customHeight="1">
      <c r="A735" s="100"/>
      <c r="B735" s="100"/>
      <c r="C735" s="101"/>
      <c r="D735" s="100"/>
      <c r="E735" s="100"/>
      <c r="F735" s="100"/>
      <c r="G735" s="101"/>
      <c r="H735" s="102"/>
      <c r="I735" s="195"/>
      <c r="J735" s="195"/>
      <c r="K735" s="195"/>
      <c r="L735" s="195"/>
      <c r="M735" s="195"/>
    </row>
    <row r="736" ht="14.25" customHeight="1">
      <c r="A736" s="100"/>
      <c r="B736" s="100"/>
      <c r="C736" s="101"/>
      <c r="D736" s="100"/>
      <c r="E736" s="100"/>
      <c r="F736" s="100"/>
      <c r="G736" s="101"/>
      <c r="H736" s="102"/>
      <c r="I736" s="195"/>
      <c r="J736" s="195"/>
      <c r="K736" s="195"/>
      <c r="L736" s="195"/>
      <c r="M736" s="195"/>
    </row>
    <row r="737" ht="14.25" customHeight="1">
      <c r="A737" s="100"/>
      <c r="B737" s="100"/>
      <c r="C737" s="101"/>
      <c r="D737" s="100"/>
      <c r="E737" s="100"/>
      <c r="F737" s="100"/>
      <c r="G737" s="101"/>
      <c r="H737" s="102"/>
      <c r="I737" s="195"/>
      <c r="J737" s="195"/>
      <c r="K737" s="195"/>
      <c r="L737" s="195"/>
      <c r="M737" s="195"/>
    </row>
    <row r="738" ht="14.25" customHeight="1">
      <c r="A738" s="100"/>
      <c r="B738" s="100"/>
      <c r="C738" s="101"/>
      <c r="D738" s="100"/>
      <c r="E738" s="100"/>
      <c r="F738" s="100"/>
      <c r="G738" s="101"/>
      <c r="H738" s="102"/>
      <c r="I738" s="195"/>
      <c r="J738" s="195"/>
      <c r="K738" s="195"/>
      <c r="L738" s="195"/>
      <c r="M738" s="195"/>
    </row>
    <row r="739" ht="14.25" customHeight="1">
      <c r="A739" s="100"/>
      <c r="B739" s="100"/>
      <c r="C739" s="101"/>
      <c r="D739" s="100"/>
      <c r="E739" s="100"/>
      <c r="F739" s="100"/>
      <c r="G739" s="101"/>
      <c r="H739" s="102"/>
      <c r="I739" s="195"/>
      <c r="J739" s="195"/>
      <c r="K739" s="195"/>
      <c r="L739" s="195"/>
      <c r="M739" s="195"/>
    </row>
    <row r="740" ht="14.25" customHeight="1">
      <c r="A740" s="100"/>
      <c r="B740" s="100"/>
      <c r="C740" s="101"/>
      <c r="D740" s="100"/>
      <c r="E740" s="100"/>
      <c r="F740" s="100"/>
      <c r="G740" s="101"/>
      <c r="H740" s="102"/>
      <c r="I740" s="195"/>
      <c r="J740" s="195"/>
      <c r="K740" s="195"/>
      <c r="L740" s="195"/>
      <c r="M740" s="195"/>
    </row>
    <row r="741" ht="14.25" customHeight="1">
      <c r="A741" s="100"/>
      <c r="B741" s="100"/>
      <c r="C741" s="101"/>
      <c r="D741" s="100"/>
      <c r="E741" s="100"/>
      <c r="F741" s="100"/>
      <c r="G741" s="101"/>
      <c r="H741" s="102"/>
      <c r="I741" s="195"/>
      <c r="J741" s="195"/>
      <c r="K741" s="195"/>
      <c r="L741" s="195"/>
      <c r="M741" s="195"/>
    </row>
    <row r="742" ht="14.25" customHeight="1">
      <c r="A742" s="100"/>
      <c r="B742" s="100"/>
      <c r="C742" s="101"/>
      <c r="D742" s="100"/>
      <c r="E742" s="100"/>
      <c r="F742" s="100"/>
      <c r="G742" s="101"/>
      <c r="H742" s="102"/>
      <c r="I742" s="195"/>
      <c r="J742" s="195"/>
      <c r="K742" s="195"/>
      <c r="L742" s="195"/>
      <c r="M742" s="195"/>
    </row>
    <row r="743" ht="14.25" customHeight="1">
      <c r="A743" s="100"/>
      <c r="B743" s="100"/>
      <c r="C743" s="101"/>
      <c r="D743" s="100"/>
      <c r="E743" s="100"/>
      <c r="F743" s="100"/>
      <c r="G743" s="101"/>
      <c r="H743" s="102"/>
      <c r="I743" s="195"/>
      <c r="J743" s="195"/>
      <c r="K743" s="195"/>
      <c r="L743" s="195"/>
      <c r="M743" s="195"/>
    </row>
    <row r="744" ht="14.25" customHeight="1">
      <c r="A744" s="100"/>
      <c r="B744" s="100"/>
      <c r="C744" s="101"/>
      <c r="D744" s="100"/>
      <c r="E744" s="100"/>
      <c r="F744" s="100"/>
      <c r="G744" s="101"/>
      <c r="H744" s="102"/>
      <c r="I744" s="195"/>
      <c r="J744" s="195"/>
      <c r="K744" s="195"/>
      <c r="L744" s="195"/>
      <c r="M744" s="195"/>
    </row>
    <row r="745" ht="14.25" customHeight="1">
      <c r="A745" s="100"/>
      <c r="B745" s="100"/>
      <c r="C745" s="101"/>
      <c r="D745" s="100"/>
      <c r="E745" s="100"/>
      <c r="F745" s="100"/>
      <c r="G745" s="101"/>
      <c r="H745" s="102"/>
      <c r="I745" s="195"/>
      <c r="J745" s="195"/>
      <c r="K745" s="195"/>
      <c r="L745" s="195"/>
      <c r="M745" s="195"/>
    </row>
    <row r="746" ht="14.25" customHeight="1">
      <c r="A746" s="100"/>
      <c r="B746" s="100"/>
      <c r="C746" s="101"/>
      <c r="D746" s="100"/>
      <c r="E746" s="100"/>
      <c r="F746" s="100"/>
      <c r="G746" s="101"/>
      <c r="H746" s="102"/>
      <c r="I746" s="195"/>
      <c r="J746" s="195"/>
      <c r="K746" s="195"/>
      <c r="L746" s="195"/>
      <c r="M746" s="195"/>
    </row>
    <row r="747" ht="14.25" customHeight="1">
      <c r="A747" s="100"/>
      <c r="B747" s="100"/>
      <c r="C747" s="101"/>
      <c r="D747" s="100"/>
      <c r="E747" s="100"/>
      <c r="F747" s="100"/>
      <c r="G747" s="101"/>
      <c r="H747" s="102"/>
      <c r="I747" s="195"/>
      <c r="J747" s="195"/>
      <c r="K747" s="195"/>
      <c r="L747" s="195"/>
      <c r="M747" s="195"/>
    </row>
    <row r="748" ht="14.25" customHeight="1">
      <c r="A748" s="100"/>
      <c r="B748" s="100"/>
      <c r="C748" s="101"/>
      <c r="D748" s="100"/>
      <c r="E748" s="100"/>
      <c r="F748" s="100"/>
      <c r="G748" s="101"/>
      <c r="H748" s="102"/>
      <c r="I748" s="195"/>
      <c r="J748" s="195"/>
      <c r="K748" s="195"/>
      <c r="L748" s="195"/>
      <c r="M748" s="195"/>
    </row>
    <row r="749" ht="14.25" customHeight="1">
      <c r="A749" s="100"/>
      <c r="B749" s="100"/>
      <c r="C749" s="101"/>
      <c r="D749" s="100"/>
      <c r="E749" s="100"/>
      <c r="F749" s="100"/>
      <c r="G749" s="101"/>
      <c r="H749" s="102"/>
      <c r="I749" s="195"/>
      <c r="J749" s="195"/>
      <c r="K749" s="195"/>
      <c r="L749" s="195"/>
      <c r="M749" s="195"/>
    </row>
    <row r="750" ht="14.25" customHeight="1">
      <c r="A750" s="100"/>
      <c r="B750" s="100"/>
      <c r="C750" s="101"/>
      <c r="D750" s="100"/>
      <c r="E750" s="100"/>
      <c r="F750" s="100"/>
      <c r="G750" s="101"/>
      <c r="H750" s="102"/>
      <c r="I750" s="195"/>
      <c r="J750" s="195"/>
      <c r="K750" s="195"/>
      <c r="L750" s="195"/>
      <c r="M750" s="195"/>
    </row>
    <row r="751" ht="14.25" customHeight="1">
      <c r="A751" s="100"/>
      <c r="B751" s="100"/>
      <c r="C751" s="101"/>
      <c r="D751" s="100"/>
      <c r="E751" s="100"/>
      <c r="F751" s="100"/>
      <c r="G751" s="101"/>
      <c r="H751" s="102"/>
      <c r="I751" s="195"/>
      <c r="J751" s="195"/>
      <c r="K751" s="195"/>
      <c r="L751" s="195"/>
      <c r="M751" s="195"/>
    </row>
    <row r="752" ht="14.25" customHeight="1">
      <c r="A752" s="100"/>
      <c r="B752" s="100"/>
      <c r="C752" s="101"/>
      <c r="D752" s="100"/>
      <c r="E752" s="100"/>
      <c r="F752" s="100"/>
      <c r="G752" s="101"/>
      <c r="H752" s="102"/>
      <c r="I752" s="195"/>
      <c r="J752" s="195"/>
      <c r="K752" s="195"/>
      <c r="L752" s="195"/>
      <c r="M752" s="195"/>
    </row>
    <row r="753" ht="14.25" customHeight="1">
      <c r="A753" s="100"/>
      <c r="B753" s="100"/>
      <c r="C753" s="101"/>
      <c r="D753" s="100"/>
      <c r="E753" s="100"/>
      <c r="F753" s="100"/>
      <c r="G753" s="101"/>
      <c r="H753" s="102"/>
      <c r="I753" s="195"/>
      <c r="J753" s="195"/>
      <c r="K753" s="195"/>
      <c r="L753" s="195"/>
      <c r="M753" s="195"/>
    </row>
    <row r="754" ht="14.25" customHeight="1">
      <c r="A754" s="100"/>
      <c r="B754" s="100"/>
      <c r="C754" s="101"/>
      <c r="D754" s="100"/>
      <c r="E754" s="100"/>
      <c r="F754" s="100"/>
      <c r="G754" s="101"/>
      <c r="H754" s="102"/>
      <c r="I754" s="195"/>
      <c r="J754" s="195"/>
      <c r="K754" s="195"/>
      <c r="L754" s="195"/>
      <c r="M754" s="195"/>
    </row>
    <row r="755" ht="14.25" customHeight="1">
      <c r="A755" s="100"/>
      <c r="B755" s="100"/>
      <c r="C755" s="101"/>
      <c r="D755" s="100"/>
      <c r="E755" s="100"/>
      <c r="F755" s="100"/>
      <c r="G755" s="101"/>
      <c r="H755" s="102"/>
      <c r="I755" s="195"/>
      <c r="J755" s="195"/>
      <c r="K755" s="195"/>
      <c r="L755" s="195"/>
      <c r="M755" s="195"/>
    </row>
    <row r="756" ht="14.25" customHeight="1">
      <c r="A756" s="100"/>
      <c r="B756" s="100"/>
      <c r="C756" s="101"/>
      <c r="D756" s="100"/>
      <c r="E756" s="100"/>
      <c r="F756" s="100"/>
      <c r="G756" s="101"/>
      <c r="H756" s="102"/>
      <c r="I756" s="195"/>
      <c r="J756" s="195"/>
      <c r="K756" s="195"/>
      <c r="L756" s="195"/>
      <c r="M756" s="195"/>
    </row>
    <row r="757" ht="14.25" customHeight="1">
      <c r="A757" s="100"/>
      <c r="B757" s="100"/>
      <c r="C757" s="101"/>
      <c r="D757" s="100"/>
      <c r="E757" s="100"/>
      <c r="F757" s="100"/>
      <c r="G757" s="101"/>
      <c r="H757" s="102"/>
      <c r="I757" s="195"/>
      <c r="J757" s="195"/>
      <c r="K757" s="195"/>
      <c r="L757" s="195"/>
      <c r="M757" s="195"/>
    </row>
    <row r="758" ht="14.25" customHeight="1">
      <c r="A758" s="100"/>
      <c r="B758" s="100"/>
      <c r="C758" s="101"/>
      <c r="D758" s="100"/>
      <c r="E758" s="100"/>
      <c r="F758" s="100"/>
      <c r="G758" s="101"/>
      <c r="H758" s="102"/>
      <c r="I758" s="195"/>
      <c r="J758" s="195"/>
      <c r="K758" s="195"/>
      <c r="L758" s="195"/>
      <c r="M758" s="195"/>
    </row>
    <row r="759" ht="14.25" customHeight="1">
      <c r="A759" s="100"/>
      <c r="B759" s="100"/>
      <c r="C759" s="101"/>
      <c r="D759" s="100"/>
      <c r="E759" s="100"/>
      <c r="F759" s="100"/>
      <c r="G759" s="101"/>
      <c r="H759" s="102"/>
      <c r="I759" s="195"/>
      <c r="J759" s="195"/>
      <c r="K759" s="195"/>
      <c r="L759" s="195"/>
      <c r="M759" s="195"/>
    </row>
    <row r="760" ht="14.25" customHeight="1">
      <c r="A760" s="100"/>
      <c r="B760" s="100"/>
      <c r="C760" s="101"/>
      <c r="D760" s="100"/>
      <c r="E760" s="100"/>
      <c r="F760" s="100"/>
      <c r="G760" s="101"/>
      <c r="H760" s="102"/>
      <c r="I760" s="195"/>
      <c r="J760" s="195"/>
      <c r="K760" s="195"/>
      <c r="L760" s="195"/>
      <c r="M760" s="195"/>
    </row>
    <row r="761" ht="14.25" customHeight="1">
      <c r="A761" s="100"/>
      <c r="B761" s="100"/>
      <c r="C761" s="101"/>
      <c r="D761" s="100"/>
      <c r="E761" s="100"/>
      <c r="F761" s="100"/>
      <c r="G761" s="101"/>
      <c r="H761" s="102"/>
      <c r="I761" s="195"/>
      <c r="J761" s="195"/>
      <c r="K761" s="195"/>
      <c r="L761" s="195"/>
      <c r="M761" s="195"/>
    </row>
    <row r="762" ht="14.25" customHeight="1">
      <c r="A762" s="100"/>
      <c r="B762" s="100"/>
      <c r="C762" s="101"/>
      <c r="D762" s="100"/>
      <c r="E762" s="100"/>
      <c r="F762" s="100"/>
      <c r="G762" s="101"/>
      <c r="H762" s="102"/>
      <c r="I762" s="195"/>
      <c r="J762" s="195"/>
      <c r="K762" s="195"/>
      <c r="L762" s="195"/>
      <c r="M762" s="195"/>
    </row>
    <row r="763" ht="14.25" customHeight="1">
      <c r="A763" s="100"/>
      <c r="B763" s="100"/>
      <c r="C763" s="101"/>
      <c r="D763" s="100"/>
      <c r="E763" s="100"/>
      <c r="F763" s="100"/>
      <c r="G763" s="101"/>
      <c r="H763" s="102"/>
      <c r="I763" s="195"/>
      <c r="J763" s="195"/>
      <c r="K763" s="195"/>
      <c r="L763" s="195"/>
      <c r="M763" s="195"/>
    </row>
    <row r="764" ht="14.25" customHeight="1">
      <c r="A764" s="100"/>
      <c r="B764" s="100"/>
      <c r="C764" s="101"/>
      <c r="D764" s="100"/>
      <c r="E764" s="100"/>
      <c r="F764" s="100"/>
      <c r="G764" s="101"/>
      <c r="H764" s="102"/>
      <c r="I764" s="195"/>
      <c r="J764" s="195"/>
      <c r="K764" s="195"/>
      <c r="L764" s="195"/>
      <c r="M764" s="195"/>
    </row>
    <row r="765" ht="14.25" customHeight="1">
      <c r="A765" s="100"/>
      <c r="B765" s="100"/>
      <c r="C765" s="101"/>
      <c r="D765" s="100"/>
      <c r="E765" s="100"/>
      <c r="F765" s="100"/>
      <c r="G765" s="101"/>
      <c r="H765" s="102"/>
      <c r="I765" s="195"/>
      <c r="J765" s="195"/>
      <c r="K765" s="195"/>
      <c r="L765" s="195"/>
      <c r="M765" s="195"/>
    </row>
    <row r="766" ht="14.25" customHeight="1">
      <c r="A766" s="100"/>
      <c r="B766" s="100"/>
      <c r="C766" s="101"/>
      <c r="D766" s="100"/>
      <c r="E766" s="100"/>
      <c r="F766" s="100"/>
      <c r="G766" s="101"/>
      <c r="H766" s="102"/>
      <c r="I766" s="195"/>
      <c r="J766" s="195"/>
      <c r="K766" s="195"/>
      <c r="L766" s="195"/>
      <c r="M766" s="195"/>
    </row>
    <row r="767" ht="14.25" customHeight="1">
      <c r="A767" s="100"/>
      <c r="B767" s="100"/>
      <c r="C767" s="101"/>
      <c r="D767" s="100"/>
      <c r="E767" s="100"/>
      <c r="F767" s="100"/>
      <c r="G767" s="101"/>
      <c r="H767" s="102"/>
      <c r="I767" s="195"/>
      <c r="J767" s="195"/>
      <c r="K767" s="195"/>
      <c r="L767" s="195"/>
      <c r="M767" s="195"/>
    </row>
    <row r="768" ht="14.25" customHeight="1">
      <c r="A768" s="100"/>
      <c r="B768" s="100"/>
      <c r="C768" s="101"/>
      <c r="D768" s="100"/>
      <c r="E768" s="100"/>
      <c r="F768" s="100"/>
      <c r="G768" s="101"/>
      <c r="H768" s="102"/>
      <c r="I768" s="195"/>
      <c r="J768" s="195"/>
      <c r="K768" s="195"/>
      <c r="L768" s="195"/>
      <c r="M768" s="195"/>
    </row>
    <row r="769" ht="14.25" customHeight="1">
      <c r="A769" s="100"/>
      <c r="B769" s="100"/>
      <c r="C769" s="101"/>
      <c r="D769" s="100"/>
      <c r="E769" s="100"/>
      <c r="F769" s="100"/>
      <c r="G769" s="101"/>
      <c r="H769" s="102"/>
      <c r="I769" s="195"/>
      <c r="J769" s="195"/>
      <c r="K769" s="195"/>
      <c r="L769" s="195"/>
      <c r="M769" s="195"/>
    </row>
    <row r="770" ht="14.25" customHeight="1">
      <c r="A770" s="100"/>
      <c r="B770" s="100"/>
      <c r="C770" s="101"/>
      <c r="D770" s="100"/>
      <c r="E770" s="100"/>
      <c r="F770" s="100"/>
      <c r="G770" s="101"/>
      <c r="H770" s="102"/>
      <c r="I770" s="195"/>
      <c r="J770" s="195"/>
      <c r="K770" s="195"/>
      <c r="L770" s="195"/>
      <c r="M770" s="195"/>
    </row>
    <row r="771" ht="14.25" customHeight="1">
      <c r="A771" s="100"/>
      <c r="B771" s="100"/>
      <c r="C771" s="101"/>
      <c r="D771" s="100"/>
      <c r="E771" s="100"/>
      <c r="F771" s="100"/>
      <c r="G771" s="101"/>
      <c r="H771" s="102"/>
      <c r="I771" s="195"/>
      <c r="J771" s="195"/>
      <c r="K771" s="195"/>
      <c r="L771" s="195"/>
      <c r="M771" s="195"/>
    </row>
    <row r="772" ht="14.25" customHeight="1">
      <c r="A772" s="100"/>
      <c r="B772" s="100"/>
      <c r="C772" s="101"/>
      <c r="D772" s="100"/>
      <c r="E772" s="100"/>
      <c r="F772" s="100"/>
      <c r="G772" s="101"/>
      <c r="H772" s="102"/>
      <c r="I772" s="195"/>
      <c r="J772" s="195"/>
      <c r="K772" s="195"/>
      <c r="L772" s="195"/>
      <c r="M772" s="195"/>
    </row>
    <row r="773" ht="14.25" customHeight="1">
      <c r="A773" s="100"/>
      <c r="B773" s="100"/>
      <c r="C773" s="101"/>
      <c r="D773" s="100"/>
      <c r="E773" s="100"/>
      <c r="F773" s="100"/>
      <c r="G773" s="101"/>
      <c r="H773" s="102"/>
      <c r="I773" s="195"/>
      <c r="J773" s="195"/>
      <c r="K773" s="195"/>
      <c r="L773" s="195"/>
      <c r="M773" s="195"/>
    </row>
    <row r="774" ht="14.25" customHeight="1">
      <c r="A774" s="100"/>
      <c r="B774" s="100"/>
      <c r="C774" s="101"/>
      <c r="D774" s="100"/>
      <c r="E774" s="100"/>
      <c r="F774" s="100"/>
      <c r="G774" s="101"/>
      <c r="H774" s="102"/>
      <c r="I774" s="195"/>
      <c r="J774" s="195"/>
      <c r="K774" s="195"/>
      <c r="L774" s="195"/>
      <c r="M774" s="195"/>
    </row>
    <row r="775" ht="14.25" customHeight="1">
      <c r="A775" s="100"/>
      <c r="B775" s="100"/>
      <c r="C775" s="101"/>
      <c r="D775" s="100"/>
      <c r="E775" s="100"/>
      <c r="F775" s="100"/>
      <c r="G775" s="101"/>
      <c r="H775" s="102"/>
      <c r="I775" s="195"/>
      <c r="J775" s="195"/>
      <c r="K775" s="195"/>
      <c r="L775" s="195"/>
      <c r="M775" s="195"/>
    </row>
    <row r="776" ht="14.25" customHeight="1">
      <c r="A776" s="100"/>
      <c r="B776" s="100"/>
      <c r="C776" s="101"/>
      <c r="D776" s="100"/>
      <c r="E776" s="100"/>
      <c r="F776" s="100"/>
      <c r="G776" s="101"/>
      <c r="H776" s="102"/>
      <c r="I776" s="195"/>
      <c r="J776" s="195"/>
      <c r="K776" s="195"/>
      <c r="L776" s="195"/>
      <c r="M776" s="195"/>
    </row>
    <row r="777" ht="14.25" customHeight="1">
      <c r="A777" s="100"/>
      <c r="B777" s="100"/>
      <c r="C777" s="101"/>
      <c r="D777" s="100"/>
      <c r="E777" s="100"/>
      <c r="F777" s="100"/>
      <c r="G777" s="101"/>
      <c r="H777" s="102"/>
      <c r="I777" s="195"/>
      <c r="J777" s="195"/>
      <c r="K777" s="195"/>
      <c r="L777" s="195"/>
      <c r="M777" s="195"/>
    </row>
    <row r="778" ht="14.25" customHeight="1">
      <c r="A778" s="100"/>
      <c r="B778" s="100"/>
      <c r="C778" s="101"/>
      <c r="D778" s="100"/>
      <c r="E778" s="100"/>
      <c r="F778" s="100"/>
      <c r="G778" s="101"/>
      <c r="H778" s="102"/>
      <c r="I778" s="195"/>
      <c r="J778" s="195"/>
      <c r="K778" s="195"/>
      <c r="L778" s="195"/>
      <c r="M778" s="195"/>
    </row>
    <row r="779" ht="14.25" customHeight="1">
      <c r="A779" s="100"/>
      <c r="B779" s="100"/>
      <c r="C779" s="101"/>
      <c r="D779" s="100"/>
      <c r="E779" s="100"/>
      <c r="F779" s="100"/>
      <c r="G779" s="101"/>
      <c r="H779" s="102"/>
      <c r="I779" s="195"/>
      <c r="J779" s="195"/>
      <c r="K779" s="195"/>
      <c r="L779" s="195"/>
      <c r="M779" s="195"/>
    </row>
    <row r="780" ht="14.25" customHeight="1">
      <c r="A780" s="100"/>
      <c r="B780" s="100"/>
      <c r="C780" s="101"/>
      <c r="D780" s="100"/>
      <c r="E780" s="100"/>
      <c r="F780" s="100"/>
      <c r="G780" s="101"/>
      <c r="H780" s="102"/>
      <c r="I780" s="195"/>
      <c r="J780" s="195"/>
      <c r="K780" s="195"/>
      <c r="L780" s="195"/>
      <c r="M780" s="195"/>
    </row>
    <row r="781" ht="14.25" customHeight="1">
      <c r="A781" s="100"/>
      <c r="B781" s="100"/>
      <c r="C781" s="101"/>
      <c r="D781" s="100"/>
      <c r="E781" s="100"/>
      <c r="F781" s="100"/>
      <c r="G781" s="101"/>
      <c r="H781" s="102"/>
      <c r="I781" s="195"/>
      <c r="J781" s="195"/>
      <c r="K781" s="195"/>
      <c r="L781" s="195"/>
      <c r="M781" s="195"/>
    </row>
    <row r="782" ht="14.25" customHeight="1">
      <c r="A782" s="100"/>
      <c r="B782" s="100"/>
      <c r="C782" s="101"/>
      <c r="D782" s="100"/>
      <c r="E782" s="100"/>
      <c r="F782" s="100"/>
      <c r="G782" s="101"/>
      <c r="H782" s="102"/>
      <c r="I782" s="195"/>
      <c r="J782" s="195"/>
      <c r="K782" s="195"/>
      <c r="L782" s="195"/>
      <c r="M782" s="195"/>
    </row>
    <row r="783" ht="14.25" customHeight="1">
      <c r="A783" s="100"/>
      <c r="B783" s="100"/>
      <c r="C783" s="101"/>
      <c r="D783" s="100"/>
      <c r="E783" s="100"/>
      <c r="F783" s="100"/>
      <c r="G783" s="101"/>
      <c r="H783" s="102"/>
      <c r="I783" s="195"/>
      <c r="J783" s="195"/>
      <c r="K783" s="195"/>
      <c r="L783" s="195"/>
      <c r="M783" s="195"/>
    </row>
    <row r="784" ht="14.25" customHeight="1">
      <c r="A784" s="100"/>
      <c r="B784" s="100"/>
      <c r="C784" s="101"/>
      <c r="D784" s="100"/>
      <c r="E784" s="100"/>
      <c r="F784" s="100"/>
      <c r="G784" s="101"/>
      <c r="H784" s="102"/>
      <c r="I784" s="195"/>
      <c r="J784" s="195"/>
      <c r="K784" s="195"/>
      <c r="L784" s="195"/>
      <c r="M784" s="195"/>
    </row>
    <row r="785" ht="14.25" customHeight="1">
      <c r="A785" s="100"/>
      <c r="B785" s="100"/>
      <c r="C785" s="101"/>
      <c r="D785" s="100"/>
      <c r="E785" s="100"/>
      <c r="F785" s="100"/>
      <c r="G785" s="101"/>
      <c r="H785" s="102"/>
      <c r="I785" s="195"/>
      <c r="J785" s="195"/>
      <c r="K785" s="195"/>
      <c r="L785" s="195"/>
      <c r="M785" s="195"/>
    </row>
    <row r="786" ht="14.25" customHeight="1">
      <c r="A786" s="100"/>
      <c r="B786" s="100"/>
      <c r="C786" s="101"/>
      <c r="D786" s="100"/>
      <c r="E786" s="100"/>
      <c r="F786" s="100"/>
      <c r="G786" s="101"/>
      <c r="H786" s="102"/>
      <c r="I786" s="195"/>
      <c r="J786" s="195"/>
      <c r="K786" s="195"/>
      <c r="L786" s="195"/>
      <c r="M786" s="195"/>
    </row>
    <row r="787" ht="14.25" customHeight="1">
      <c r="A787" s="100"/>
      <c r="B787" s="100"/>
      <c r="C787" s="101"/>
      <c r="D787" s="100"/>
      <c r="E787" s="100"/>
      <c r="F787" s="100"/>
      <c r="G787" s="101"/>
      <c r="H787" s="102"/>
      <c r="I787" s="195"/>
      <c r="J787" s="195"/>
      <c r="K787" s="195"/>
      <c r="L787" s="195"/>
      <c r="M787" s="195"/>
    </row>
    <row r="788" ht="14.25" customHeight="1">
      <c r="A788" s="100"/>
      <c r="B788" s="100"/>
      <c r="C788" s="101"/>
      <c r="D788" s="100"/>
      <c r="E788" s="100"/>
      <c r="F788" s="100"/>
      <c r="G788" s="101"/>
      <c r="H788" s="102"/>
      <c r="I788" s="195"/>
      <c r="J788" s="195"/>
      <c r="K788" s="195"/>
      <c r="L788" s="195"/>
      <c r="M788" s="195"/>
    </row>
    <row r="789" ht="14.25" customHeight="1">
      <c r="A789" s="100"/>
      <c r="B789" s="100"/>
      <c r="C789" s="101"/>
      <c r="D789" s="100"/>
      <c r="E789" s="100"/>
      <c r="F789" s="100"/>
      <c r="G789" s="101"/>
      <c r="H789" s="102"/>
      <c r="I789" s="195"/>
      <c r="J789" s="195"/>
      <c r="K789" s="195"/>
      <c r="L789" s="195"/>
      <c r="M789" s="195"/>
    </row>
    <row r="790" ht="14.25" customHeight="1">
      <c r="A790" s="100"/>
      <c r="B790" s="100"/>
      <c r="C790" s="101"/>
      <c r="D790" s="100"/>
      <c r="E790" s="100"/>
      <c r="F790" s="100"/>
      <c r="G790" s="101"/>
      <c r="H790" s="102"/>
      <c r="I790" s="195"/>
      <c r="J790" s="195"/>
      <c r="K790" s="195"/>
      <c r="L790" s="195"/>
      <c r="M790" s="195"/>
    </row>
    <row r="791" ht="14.25" customHeight="1">
      <c r="A791" s="100"/>
      <c r="B791" s="100"/>
      <c r="C791" s="101"/>
      <c r="D791" s="100"/>
      <c r="E791" s="100"/>
      <c r="F791" s="100"/>
      <c r="G791" s="101"/>
      <c r="H791" s="102"/>
      <c r="I791" s="195"/>
      <c r="J791" s="195"/>
      <c r="K791" s="195"/>
      <c r="L791" s="195"/>
      <c r="M791" s="195"/>
    </row>
    <row r="792" ht="14.25" customHeight="1">
      <c r="A792" s="100"/>
      <c r="B792" s="100"/>
      <c r="C792" s="101"/>
      <c r="D792" s="100"/>
      <c r="E792" s="100"/>
      <c r="F792" s="100"/>
      <c r="G792" s="101"/>
      <c r="H792" s="102"/>
      <c r="I792" s="195"/>
      <c r="J792" s="195"/>
      <c r="K792" s="195"/>
      <c r="L792" s="195"/>
      <c r="M792" s="195"/>
    </row>
    <row r="793" ht="14.25" customHeight="1">
      <c r="A793" s="100"/>
      <c r="B793" s="100"/>
      <c r="C793" s="101"/>
      <c r="D793" s="100"/>
      <c r="E793" s="100"/>
      <c r="F793" s="100"/>
      <c r="G793" s="101"/>
      <c r="H793" s="102"/>
      <c r="I793" s="195"/>
      <c r="J793" s="195"/>
      <c r="K793" s="195"/>
      <c r="L793" s="195"/>
      <c r="M793" s="195"/>
    </row>
    <row r="794" ht="14.25" customHeight="1">
      <c r="A794" s="100"/>
      <c r="B794" s="100"/>
      <c r="C794" s="101"/>
      <c r="D794" s="100"/>
      <c r="E794" s="100"/>
      <c r="F794" s="100"/>
      <c r="G794" s="101"/>
      <c r="H794" s="102"/>
      <c r="I794" s="195"/>
      <c r="J794" s="195"/>
      <c r="K794" s="195"/>
      <c r="L794" s="195"/>
      <c r="M794" s="195"/>
    </row>
    <row r="795" ht="14.25" customHeight="1">
      <c r="A795" s="100"/>
      <c r="B795" s="100"/>
      <c r="C795" s="101"/>
      <c r="D795" s="100"/>
      <c r="E795" s="100"/>
      <c r="F795" s="100"/>
      <c r="G795" s="101"/>
      <c r="H795" s="102"/>
      <c r="I795" s="195"/>
      <c r="J795" s="195"/>
      <c r="K795" s="195"/>
      <c r="L795" s="195"/>
      <c r="M795" s="195"/>
    </row>
    <row r="796" ht="14.25" customHeight="1">
      <c r="A796" s="100"/>
      <c r="B796" s="100"/>
      <c r="C796" s="101"/>
      <c r="D796" s="100"/>
      <c r="E796" s="100"/>
      <c r="F796" s="100"/>
      <c r="G796" s="101"/>
      <c r="H796" s="102"/>
      <c r="I796" s="195"/>
      <c r="J796" s="195"/>
      <c r="K796" s="195"/>
      <c r="L796" s="195"/>
      <c r="M796" s="195"/>
    </row>
    <row r="797" ht="14.25" customHeight="1">
      <c r="A797" s="100"/>
      <c r="B797" s="100"/>
      <c r="C797" s="101"/>
      <c r="D797" s="100"/>
      <c r="E797" s="100"/>
      <c r="F797" s="100"/>
      <c r="G797" s="101"/>
      <c r="H797" s="102"/>
      <c r="I797" s="195"/>
      <c r="J797" s="195"/>
      <c r="K797" s="195"/>
      <c r="L797" s="195"/>
      <c r="M797" s="195"/>
    </row>
    <row r="798" ht="14.25" customHeight="1">
      <c r="A798" s="100"/>
      <c r="B798" s="100"/>
      <c r="C798" s="101"/>
      <c r="D798" s="100"/>
      <c r="E798" s="100"/>
      <c r="F798" s="100"/>
      <c r="G798" s="101"/>
      <c r="H798" s="102"/>
      <c r="I798" s="195"/>
      <c r="J798" s="195"/>
      <c r="K798" s="195"/>
      <c r="L798" s="195"/>
      <c r="M798" s="195"/>
    </row>
    <row r="799" ht="14.25" customHeight="1">
      <c r="A799" s="100"/>
      <c r="B799" s="100"/>
      <c r="C799" s="101"/>
      <c r="D799" s="100"/>
      <c r="E799" s="100"/>
      <c r="F799" s="100"/>
      <c r="G799" s="101"/>
      <c r="H799" s="102"/>
      <c r="I799" s="195"/>
      <c r="J799" s="195"/>
      <c r="K799" s="195"/>
      <c r="L799" s="195"/>
      <c r="M799" s="195"/>
    </row>
    <row r="800" ht="14.25" customHeight="1">
      <c r="A800" s="100"/>
      <c r="B800" s="100"/>
      <c r="C800" s="101"/>
      <c r="D800" s="100"/>
      <c r="E800" s="100"/>
      <c r="F800" s="100"/>
      <c r="G800" s="101"/>
      <c r="H800" s="102"/>
      <c r="I800" s="195"/>
      <c r="J800" s="195"/>
      <c r="K800" s="195"/>
      <c r="L800" s="195"/>
      <c r="M800" s="195"/>
    </row>
    <row r="801" ht="14.25" customHeight="1">
      <c r="A801" s="100"/>
      <c r="B801" s="100"/>
      <c r="C801" s="101"/>
      <c r="D801" s="100"/>
      <c r="E801" s="100"/>
      <c r="F801" s="100"/>
      <c r="G801" s="101"/>
      <c r="H801" s="102"/>
      <c r="I801" s="195"/>
      <c r="J801" s="195"/>
      <c r="K801" s="195"/>
      <c r="L801" s="195"/>
      <c r="M801" s="195"/>
    </row>
    <row r="802" ht="14.25" customHeight="1">
      <c r="A802" s="100"/>
      <c r="B802" s="100"/>
      <c r="C802" s="101"/>
      <c r="D802" s="100"/>
      <c r="E802" s="100"/>
      <c r="F802" s="100"/>
      <c r="G802" s="101"/>
      <c r="H802" s="102"/>
      <c r="I802" s="195"/>
      <c r="J802" s="195"/>
      <c r="K802" s="195"/>
      <c r="L802" s="195"/>
      <c r="M802" s="195"/>
    </row>
    <row r="803" ht="14.25" customHeight="1">
      <c r="A803" s="100"/>
      <c r="B803" s="100"/>
      <c r="C803" s="101"/>
      <c r="D803" s="100"/>
      <c r="E803" s="100"/>
      <c r="F803" s="100"/>
      <c r="G803" s="101"/>
      <c r="H803" s="102"/>
      <c r="I803" s="195"/>
      <c r="J803" s="195"/>
      <c r="K803" s="195"/>
      <c r="L803" s="195"/>
      <c r="M803" s="195"/>
    </row>
    <row r="804" ht="14.25" customHeight="1">
      <c r="A804" s="100"/>
      <c r="B804" s="100"/>
      <c r="C804" s="101"/>
      <c r="D804" s="100"/>
      <c r="E804" s="100"/>
      <c r="F804" s="100"/>
      <c r="G804" s="101"/>
      <c r="H804" s="102"/>
      <c r="I804" s="195"/>
      <c r="J804" s="195"/>
      <c r="K804" s="195"/>
      <c r="L804" s="195"/>
      <c r="M804" s="195"/>
    </row>
    <row r="805" ht="14.25" customHeight="1">
      <c r="A805" s="100"/>
      <c r="B805" s="100"/>
      <c r="C805" s="101"/>
      <c r="D805" s="100"/>
      <c r="E805" s="100"/>
      <c r="F805" s="100"/>
      <c r="G805" s="101"/>
      <c r="H805" s="102"/>
      <c r="I805" s="195"/>
      <c r="J805" s="195"/>
      <c r="K805" s="195"/>
      <c r="L805" s="195"/>
      <c r="M805" s="195"/>
    </row>
    <row r="806" ht="14.25" customHeight="1">
      <c r="A806" s="100"/>
      <c r="B806" s="100"/>
      <c r="C806" s="101"/>
      <c r="D806" s="100"/>
      <c r="E806" s="100"/>
      <c r="F806" s="100"/>
      <c r="G806" s="101"/>
      <c r="H806" s="102"/>
      <c r="I806" s="195"/>
      <c r="J806" s="195"/>
      <c r="K806" s="195"/>
      <c r="L806" s="195"/>
      <c r="M806" s="195"/>
    </row>
    <row r="807" ht="14.25" customHeight="1">
      <c r="A807" s="100"/>
      <c r="B807" s="100"/>
      <c r="C807" s="101"/>
      <c r="D807" s="100"/>
      <c r="E807" s="100"/>
      <c r="F807" s="100"/>
      <c r="G807" s="101"/>
      <c r="H807" s="102"/>
      <c r="I807" s="195"/>
      <c r="J807" s="195"/>
      <c r="K807" s="195"/>
      <c r="L807" s="195"/>
      <c r="M807" s="195"/>
    </row>
    <row r="808" ht="14.25" customHeight="1">
      <c r="A808" s="100"/>
      <c r="B808" s="100"/>
      <c r="C808" s="101"/>
      <c r="D808" s="100"/>
      <c r="E808" s="100"/>
      <c r="F808" s="100"/>
      <c r="G808" s="101"/>
      <c r="H808" s="102"/>
      <c r="I808" s="195"/>
      <c r="J808" s="195"/>
      <c r="K808" s="195"/>
      <c r="L808" s="195"/>
      <c r="M808" s="195"/>
    </row>
    <row r="809" ht="14.25" customHeight="1">
      <c r="A809" s="100"/>
      <c r="B809" s="100"/>
      <c r="C809" s="101"/>
      <c r="D809" s="100"/>
      <c r="E809" s="100"/>
      <c r="F809" s="100"/>
      <c r="G809" s="101"/>
      <c r="H809" s="102"/>
      <c r="I809" s="195"/>
      <c r="J809" s="195"/>
      <c r="K809" s="195"/>
      <c r="L809" s="195"/>
      <c r="M809" s="195"/>
    </row>
    <row r="810" ht="14.25" customHeight="1">
      <c r="A810" s="100"/>
      <c r="B810" s="100"/>
      <c r="C810" s="101"/>
      <c r="D810" s="100"/>
      <c r="E810" s="100"/>
      <c r="F810" s="100"/>
      <c r="G810" s="101"/>
      <c r="H810" s="102"/>
      <c r="I810" s="195"/>
      <c r="J810" s="195"/>
      <c r="K810" s="195"/>
      <c r="L810" s="195"/>
      <c r="M810" s="195"/>
    </row>
    <row r="811" ht="14.25" customHeight="1">
      <c r="A811" s="100"/>
      <c r="B811" s="100"/>
      <c r="C811" s="101"/>
      <c r="D811" s="100"/>
      <c r="E811" s="100"/>
      <c r="F811" s="100"/>
      <c r="G811" s="101"/>
      <c r="H811" s="102"/>
      <c r="I811" s="195"/>
      <c r="J811" s="195"/>
      <c r="K811" s="195"/>
      <c r="L811" s="195"/>
      <c r="M811" s="195"/>
    </row>
    <row r="812" ht="14.25" customHeight="1">
      <c r="A812" s="100"/>
      <c r="B812" s="100"/>
      <c r="C812" s="101"/>
      <c r="D812" s="100"/>
      <c r="E812" s="100"/>
      <c r="F812" s="100"/>
      <c r="G812" s="101"/>
      <c r="H812" s="102"/>
      <c r="I812" s="195"/>
      <c r="J812" s="195"/>
      <c r="K812" s="195"/>
      <c r="L812" s="195"/>
      <c r="M812" s="195"/>
    </row>
    <row r="813" ht="14.25" customHeight="1">
      <c r="A813" s="100"/>
      <c r="B813" s="100"/>
      <c r="C813" s="101"/>
      <c r="D813" s="100"/>
      <c r="E813" s="100"/>
      <c r="F813" s="100"/>
      <c r="G813" s="101"/>
      <c r="H813" s="102"/>
      <c r="I813" s="195"/>
      <c r="J813" s="195"/>
      <c r="K813" s="195"/>
      <c r="L813" s="195"/>
      <c r="M813" s="195"/>
    </row>
    <row r="814" ht="14.25" customHeight="1">
      <c r="A814" s="100"/>
      <c r="B814" s="100"/>
      <c r="C814" s="101"/>
      <c r="D814" s="100"/>
      <c r="E814" s="100"/>
      <c r="F814" s="100"/>
      <c r="G814" s="101"/>
      <c r="H814" s="102"/>
      <c r="I814" s="195"/>
      <c r="J814" s="195"/>
      <c r="K814" s="195"/>
      <c r="L814" s="195"/>
      <c r="M814" s="195"/>
    </row>
    <row r="815" ht="14.25" customHeight="1">
      <c r="A815" s="100"/>
      <c r="B815" s="100"/>
      <c r="C815" s="101"/>
      <c r="D815" s="100"/>
      <c r="E815" s="100"/>
      <c r="F815" s="100"/>
      <c r="G815" s="101"/>
      <c r="H815" s="102"/>
      <c r="I815" s="195"/>
      <c r="J815" s="195"/>
      <c r="K815" s="195"/>
      <c r="L815" s="195"/>
      <c r="M815" s="195"/>
    </row>
    <row r="816" ht="14.25" customHeight="1">
      <c r="A816" s="100"/>
      <c r="B816" s="100"/>
      <c r="C816" s="101"/>
      <c r="D816" s="100"/>
      <c r="E816" s="100"/>
      <c r="F816" s="100"/>
      <c r="G816" s="101"/>
      <c r="H816" s="102"/>
      <c r="I816" s="195"/>
      <c r="J816" s="195"/>
      <c r="K816" s="195"/>
      <c r="L816" s="195"/>
      <c r="M816" s="195"/>
    </row>
    <row r="817" ht="14.25" customHeight="1">
      <c r="A817" s="100"/>
      <c r="B817" s="100"/>
      <c r="C817" s="101"/>
      <c r="D817" s="100"/>
      <c r="E817" s="100"/>
      <c r="F817" s="100"/>
      <c r="G817" s="101"/>
      <c r="H817" s="102"/>
      <c r="I817" s="195"/>
      <c r="J817" s="195"/>
      <c r="K817" s="195"/>
      <c r="L817" s="195"/>
      <c r="M817" s="195"/>
    </row>
    <row r="818" ht="14.25" customHeight="1">
      <c r="A818" s="100"/>
      <c r="B818" s="100"/>
      <c r="C818" s="101"/>
      <c r="D818" s="100"/>
      <c r="E818" s="100"/>
      <c r="F818" s="100"/>
      <c r="G818" s="101"/>
      <c r="H818" s="102"/>
      <c r="I818" s="195"/>
      <c r="J818" s="195"/>
      <c r="K818" s="195"/>
      <c r="L818" s="195"/>
      <c r="M818" s="195"/>
    </row>
    <row r="819" ht="14.25" customHeight="1">
      <c r="A819" s="100"/>
      <c r="B819" s="100"/>
      <c r="C819" s="101"/>
      <c r="D819" s="100"/>
      <c r="E819" s="100"/>
      <c r="F819" s="100"/>
      <c r="G819" s="101"/>
      <c r="H819" s="102"/>
      <c r="I819" s="195"/>
      <c r="J819" s="195"/>
      <c r="K819" s="195"/>
      <c r="L819" s="195"/>
      <c r="M819" s="195"/>
    </row>
    <row r="820" ht="14.25" customHeight="1">
      <c r="A820" s="100"/>
      <c r="B820" s="100"/>
      <c r="C820" s="101"/>
      <c r="D820" s="100"/>
      <c r="E820" s="100"/>
      <c r="F820" s="100"/>
      <c r="G820" s="101"/>
      <c r="H820" s="102"/>
      <c r="I820" s="195"/>
      <c r="J820" s="195"/>
      <c r="K820" s="195"/>
      <c r="L820" s="195"/>
      <c r="M820" s="195"/>
    </row>
    <row r="821" ht="14.25" customHeight="1">
      <c r="A821" s="100"/>
      <c r="B821" s="100"/>
      <c r="C821" s="101"/>
      <c r="D821" s="100"/>
      <c r="E821" s="100"/>
      <c r="F821" s="100"/>
      <c r="G821" s="101"/>
      <c r="H821" s="102"/>
      <c r="I821" s="195"/>
      <c r="J821" s="195"/>
      <c r="K821" s="195"/>
      <c r="L821" s="195"/>
      <c r="M821" s="195"/>
    </row>
    <row r="822" ht="14.25" customHeight="1">
      <c r="A822" s="100"/>
      <c r="B822" s="100"/>
      <c r="C822" s="101"/>
      <c r="D822" s="100"/>
      <c r="E822" s="100"/>
      <c r="F822" s="100"/>
      <c r="G822" s="101"/>
      <c r="H822" s="102"/>
      <c r="I822" s="195"/>
      <c r="J822" s="195"/>
      <c r="K822" s="195"/>
      <c r="L822" s="195"/>
      <c r="M822" s="195"/>
    </row>
    <row r="823" ht="14.25" customHeight="1">
      <c r="A823" s="100"/>
      <c r="B823" s="100"/>
      <c r="C823" s="101"/>
      <c r="D823" s="100"/>
      <c r="E823" s="100"/>
      <c r="F823" s="100"/>
      <c r="G823" s="101"/>
      <c r="H823" s="102"/>
      <c r="I823" s="195"/>
      <c r="J823" s="195"/>
      <c r="K823" s="195"/>
      <c r="L823" s="195"/>
      <c r="M823" s="195"/>
    </row>
    <row r="824" ht="14.25" customHeight="1">
      <c r="A824" s="100"/>
      <c r="B824" s="100"/>
      <c r="C824" s="101"/>
      <c r="D824" s="100"/>
      <c r="E824" s="100"/>
      <c r="F824" s="100"/>
      <c r="G824" s="101"/>
      <c r="H824" s="102"/>
      <c r="I824" s="195"/>
      <c r="J824" s="195"/>
      <c r="K824" s="195"/>
      <c r="L824" s="195"/>
      <c r="M824" s="195"/>
    </row>
    <row r="825" ht="14.25" customHeight="1">
      <c r="A825" s="100"/>
      <c r="B825" s="100"/>
      <c r="C825" s="101"/>
      <c r="D825" s="100"/>
      <c r="E825" s="100"/>
      <c r="F825" s="100"/>
      <c r="G825" s="101"/>
      <c r="H825" s="102"/>
      <c r="I825" s="195"/>
      <c r="J825" s="195"/>
      <c r="K825" s="195"/>
      <c r="L825" s="195"/>
      <c r="M825" s="195"/>
    </row>
    <row r="826" ht="14.25" customHeight="1">
      <c r="A826" s="100"/>
      <c r="B826" s="100"/>
      <c r="C826" s="101"/>
      <c r="D826" s="100"/>
      <c r="E826" s="100"/>
      <c r="F826" s="100"/>
      <c r="G826" s="101"/>
      <c r="H826" s="102"/>
      <c r="I826" s="195"/>
      <c r="J826" s="195"/>
      <c r="K826" s="195"/>
      <c r="L826" s="195"/>
      <c r="M826" s="195"/>
    </row>
    <row r="827" ht="14.25" customHeight="1">
      <c r="A827" s="100"/>
      <c r="B827" s="100"/>
      <c r="C827" s="101"/>
      <c r="D827" s="100"/>
      <c r="E827" s="100"/>
      <c r="F827" s="100"/>
      <c r="G827" s="101"/>
      <c r="H827" s="102"/>
      <c r="I827" s="195"/>
      <c r="J827" s="195"/>
      <c r="K827" s="195"/>
      <c r="L827" s="195"/>
      <c r="M827" s="195"/>
    </row>
    <row r="828" ht="14.25" customHeight="1">
      <c r="A828" s="100"/>
      <c r="B828" s="100"/>
      <c r="C828" s="101"/>
      <c r="D828" s="100"/>
      <c r="E828" s="100"/>
      <c r="F828" s="100"/>
      <c r="G828" s="101"/>
      <c r="H828" s="102"/>
      <c r="I828" s="195"/>
      <c r="J828" s="195"/>
      <c r="K828" s="195"/>
      <c r="L828" s="195"/>
      <c r="M828" s="195"/>
    </row>
    <row r="829" ht="14.25" customHeight="1">
      <c r="A829" s="100"/>
      <c r="B829" s="100"/>
      <c r="C829" s="101"/>
      <c r="D829" s="100"/>
      <c r="E829" s="100"/>
      <c r="F829" s="100"/>
      <c r="G829" s="101"/>
      <c r="H829" s="102"/>
      <c r="I829" s="195"/>
      <c r="J829" s="195"/>
      <c r="K829" s="195"/>
      <c r="L829" s="195"/>
      <c r="M829" s="195"/>
    </row>
    <row r="830" ht="14.25" customHeight="1">
      <c r="A830" s="100"/>
      <c r="B830" s="100"/>
      <c r="C830" s="101"/>
      <c r="D830" s="100"/>
      <c r="E830" s="100"/>
      <c r="F830" s="100"/>
      <c r="G830" s="101"/>
      <c r="H830" s="102"/>
      <c r="I830" s="195"/>
      <c r="J830" s="195"/>
      <c r="K830" s="195"/>
      <c r="L830" s="195"/>
      <c r="M830" s="195"/>
    </row>
    <row r="831" ht="14.25" customHeight="1">
      <c r="A831" s="100"/>
      <c r="B831" s="100"/>
      <c r="C831" s="101"/>
      <c r="D831" s="100"/>
      <c r="E831" s="100"/>
      <c r="F831" s="100"/>
      <c r="G831" s="101"/>
      <c r="H831" s="102"/>
      <c r="I831" s="195"/>
      <c r="J831" s="195"/>
      <c r="K831" s="195"/>
      <c r="L831" s="195"/>
      <c r="M831" s="195"/>
    </row>
    <row r="832" ht="14.25" customHeight="1">
      <c r="A832" s="100"/>
      <c r="B832" s="100"/>
      <c r="C832" s="101"/>
      <c r="D832" s="100"/>
      <c r="E832" s="100"/>
      <c r="F832" s="100"/>
      <c r="G832" s="101"/>
      <c r="H832" s="102"/>
      <c r="I832" s="195"/>
      <c r="J832" s="195"/>
      <c r="K832" s="195"/>
      <c r="L832" s="195"/>
      <c r="M832" s="195"/>
    </row>
    <row r="833" ht="14.25" customHeight="1">
      <c r="A833" s="100"/>
      <c r="B833" s="100"/>
      <c r="C833" s="101"/>
      <c r="D833" s="100"/>
      <c r="E833" s="100"/>
      <c r="F833" s="100"/>
      <c r="G833" s="101"/>
      <c r="H833" s="102"/>
      <c r="I833" s="195"/>
      <c r="J833" s="195"/>
      <c r="K833" s="195"/>
      <c r="L833" s="195"/>
      <c r="M833" s="195"/>
    </row>
    <row r="834" ht="14.25" customHeight="1">
      <c r="A834" s="100"/>
      <c r="B834" s="100"/>
      <c r="C834" s="101"/>
      <c r="D834" s="100"/>
      <c r="E834" s="100"/>
      <c r="F834" s="100"/>
      <c r="G834" s="101"/>
      <c r="H834" s="102"/>
      <c r="I834" s="195"/>
      <c r="J834" s="195"/>
      <c r="K834" s="195"/>
      <c r="L834" s="195"/>
      <c r="M834" s="195"/>
    </row>
    <row r="835" ht="14.25" customHeight="1">
      <c r="A835" s="100"/>
      <c r="B835" s="100"/>
      <c r="C835" s="101"/>
      <c r="D835" s="100"/>
      <c r="E835" s="100"/>
      <c r="F835" s="100"/>
      <c r="G835" s="101"/>
      <c r="H835" s="102"/>
      <c r="I835" s="195"/>
      <c r="J835" s="195"/>
      <c r="K835" s="195"/>
      <c r="L835" s="195"/>
      <c r="M835" s="195"/>
    </row>
    <row r="836" ht="14.25" customHeight="1">
      <c r="A836" s="100"/>
      <c r="B836" s="100"/>
      <c r="C836" s="101"/>
      <c r="D836" s="100"/>
      <c r="E836" s="100"/>
      <c r="F836" s="100"/>
      <c r="G836" s="101"/>
      <c r="H836" s="102"/>
      <c r="I836" s="195"/>
      <c r="J836" s="195"/>
      <c r="K836" s="195"/>
      <c r="L836" s="195"/>
      <c r="M836" s="195"/>
    </row>
    <row r="837" ht="14.25" customHeight="1">
      <c r="A837" s="100"/>
      <c r="B837" s="100"/>
      <c r="C837" s="101"/>
      <c r="D837" s="100"/>
      <c r="E837" s="100"/>
      <c r="F837" s="100"/>
      <c r="G837" s="101"/>
      <c r="H837" s="102"/>
      <c r="I837" s="195"/>
      <c r="J837" s="195"/>
      <c r="K837" s="195"/>
      <c r="L837" s="195"/>
      <c r="M837" s="195"/>
    </row>
    <row r="838" ht="14.25" customHeight="1">
      <c r="A838" s="100"/>
      <c r="B838" s="100"/>
      <c r="C838" s="101"/>
      <c r="D838" s="100"/>
      <c r="E838" s="100"/>
      <c r="F838" s="100"/>
      <c r="G838" s="101"/>
      <c r="H838" s="102"/>
      <c r="I838" s="195"/>
      <c r="J838" s="195"/>
      <c r="K838" s="195"/>
      <c r="L838" s="195"/>
      <c r="M838" s="195"/>
    </row>
    <row r="839" ht="14.25" customHeight="1">
      <c r="A839" s="100"/>
      <c r="B839" s="100"/>
      <c r="C839" s="101"/>
      <c r="D839" s="100"/>
      <c r="E839" s="100"/>
      <c r="F839" s="100"/>
      <c r="G839" s="101"/>
      <c r="H839" s="102"/>
      <c r="I839" s="195"/>
      <c r="J839" s="195"/>
      <c r="K839" s="195"/>
      <c r="L839" s="195"/>
      <c r="M839" s="195"/>
    </row>
    <row r="840" ht="14.25" customHeight="1">
      <c r="A840" s="100"/>
      <c r="B840" s="100"/>
      <c r="C840" s="101"/>
      <c r="D840" s="100"/>
      <c r="E840" s="100"/>
      <c r="F840" s="100"/>
      <c r="G840" s="101"/>
      <c r="H840" s="102"/>
      <c r="I840" s="195"/>
      <c r="J840" s="195"/>
      <c r="K840" s="195"/>
      <c r="L840" s="195"/>
      <c r="M840" s="195"/>
    </row>
    <row r="841" ht="14.25" customHeight="1">
      <c r="A841" s="100"/>
      <c r="B841" s="100"/>
      <c r="C841" s="101"/>
      <c r="D841" s="100"/>
      <c r="E841" s="100"/>
      <c r="F841" s="100"/>
      <c r="G841" s="101"/>
      <c r="H841" s="102"/>
      <c r="I841" s="195"/>
      <c r="J841" s="195"/>
      <c r="K841" s="195"/>
      <c r="L841" s="195"/>
      <c r="M841" s="195"/>
    </row>
    <row r="842" ht="14.25" customHeight="1">
      <c r="A842" s="100"/>
      <c r="B842" s="100"/>
      <c r="C842" s="101"/>
      <c r="D842" s="100"/>
      <c r="E842" s="100"/>
      <c r="F842" s="100"/>
      <c r="G842" s="101"/>
      <c r="H842" s="102"/>
      <c r="I842" s="195"/>
      <c r="J842" s="195"/>
      <c r="K842" s="195"/>
      <c r="L842" s="195"/>
      <c r="M842" s="195"/>
    </row>
    <row r="843" ht="14.25" customHeight="1">
      <c r="A843" s="100"/>
      <c r="B843" s="100"/>
      <c r="C843" s="101"/>
      <c r="D843" s="100"/>
      <c r="E843" s="100"/>
      <c r="F843" s="100"/>
      <c r="G843" s="101"/>
      <c r="H843" s="102"/>
      <c r="I843" s="195"/>
      <c r="J843" s="195"/>
      <c r="K843" s="195"/>
      <c r="L843" s="195"/>
      <c r="M843" s="195"/>
    </row>
    <row r="844" ht="14.25" customHeight="1">
      <c r="A844" s="100"/>
      <c r="B844" s="100"/>
      <c r="C844" s="101"/>
      <c r="D844" s="100"/>
      <c r="E844" s="100"/>
      <c r="F844" s="100"/>
      <c r="G844" s="101"/>
      <c r="H844" s="102"/>
      <c r="I844" s="195"/>
      <c r="J844" s="195"/>
      <c r="K844" s="195"/>
      <c r="L844" s="195"/>
      <c r="M844" s="195"/>
    </row>
    <row r="845" ht="14.25" customHeight="1">
      <c r="A845" s="100"/>
      <c r="B845" s="100"/>
      <c r="C845" s="101"/>
      <c r="D845" s="100"/>
      <c r="E845" s="100"/>
      <c r="F845" s="100"/>
      <c r="G845" s="101"/>
      <c r="H845" s="102"/>
      <c r="I845" s="195"/>
      <c r="J845" s="195"/>
      <c r="K845" s="195"/>
      <c r="L845" s="195"/>
      <c r="M845" s="195"/>
    </row>
    <row r="846" ht="14.25" customHeight="1">
      <c r="A846" s="100"/>
      <c r="B846" s="100"/>
      <c r="C846" s="101"/>
      <c r="D846" s="100"/>
      <c r="E846" s="100"/>
      <c r="F846" s="100"/>
      <c r="G846" s="101"/>
      <c r="H846" s="102"/>
      <c r="I846" s="195"/>
      <c r="J846" s="195"/>
      <c r="K846" s="195"/>
      <c r="L846" s="195"/>
      <c r="M846" s="195"/>
    </row>
    <row r="847" ht="14.25" customHeight="1">
      <c r="A847" s="100"/>
      <c r="B847" s="100"/>
      <c r="C847" s="101"/>
      <c r="D847" s="100"/>
      <c r="E847" s="100"/>
      <c r="F847" s="100"/>
      <c r="G847" s="101"/>
      <c r="H847" s="102"/>
      <c r="I847" s="195"/>
      <c r="J847" s="195"/>
      <c r="K847" s="195"/>
      <c r="L847" s="195"/>
      <c r="M847" s="195"/>
    </row>
    <row r="848" ht="14.25" customHeight="1">
      <c r="A848" s="100"/>
      <c r="B848" s="100"/>
      <c r="C848" s="101"/>
      <c r="D848" s="100"/>
      <c r="E848" s="100"/>
      <c r="F848" s="100"/>
      <c r="G848" s="101"/>
      <c r="H848" s="102"/>
      <c r="I848" s="195"/>
      <c r="J848" s="195"/>
      <c r="K848" s="195"/>
      <c r="L848" s="195"/>
      <c r="M848" s="195"/>
    </row>
    <row r="849" ht="14.25" customHeight="1">
      <c r="A849" s="100"/>
      <c r="B849" s="100"/>
      <c r="C849" s="101"/>
      <c r="D849" s="100"/>
      <c r="E849" s="100"/>
      <c r="F849" s="100"/>
      <c r="G849" s="101"/>
      <c r="H849" s="102"/>
      <c r="I849" s="195"/>
      <c r="J849" s="195"/>
      <c r="K849" s="195"/>
      <c r="L849" s="195"/>
      <c r="M849" s="195"/>
    </row>
    <row r="850" ht="14.25" customHeight="1">
      <c r="A850" s="100"/>
      <c r="B850" s="100"/>
      <c r="C850" s="101"/>
      <c r="D850" s="100"/>
      <c r="E850" s="100"/>
      <c r="F850" s="100"/>
      <c r="G850" s="101"/>
      <c r="H850" s="102"/>
      <c r="I850" s="195"/>
      <c r="J850" s="195"/>
      <c r="K850" s="195"/>
      <c r="L850" s="195"/>
      <c r="M850" s="195"/>
    </row>
    <row r="851" ht="14.25" customHeight="1">
      <c r="A851" s="100"/>
      <c r="B851" s="100"/>
      <c r="C851" s="101"/>
      <c r="D851" s="100"/>
      <c r="E851" s="100"/>
      <c r="F851" s="100"/>
      <c r="G851" s="101"/>
      <c r="H851" s="102"/>
      <c r="I851" s="195"/>
      <c r="J851" s="195"/>
      <c r="K851" s="195"/>
      <c r="L851" s="195"/>
      <c r="M851" s="195"/>
    </row>
    <row r="852" ht="14.25" customHeight="1">
      <c r="A852" s="100"/>
      <c r="B852" s="100"/>
      <c r="C852" s="101"/>
      <c r="D852" s="100"/>
      <c r="E852" s="100"/>
      <c r="F852" s="100"/>
      <c r="G852" s="101"/>
      <c r="H852" s="102"/>
      <c r="I852" s="195"/>
      <c r="J852" s="195"/>
      <c r="K852" s="195"/>
      <c r="L852" s="195"/>
      <c r="M852" s="195"/>
    </row>
    <row r="853" ht="14.25" customHeight="1">
      <c r="A853" s="100"/>
      <c r="B853" s="100"/>
      <c r="C853" s="101"/>
      <c r="D853" s="100"/>
      <c r="E853" s="100"/>
      <c r="F853" s="100"/>
      <c r="G853" s="101"/>
      <c r="H853" s="102"/>
      <c r="I853" s="195"/>
      <c r="J853" s="195"/>
      <c r="K853" s="195"/>
      <c r="L853" s="195"/>
      <c r="M853" s="195"/>
    </row>
    <row r="854" ht="14.25" customHeight="1">
      <c r="A854" s="100"/>
      <c r="B854" s="100"/>
      <c r="C854" s="101"/>
      <c r="D854" s="100"/>
      <c r="E854" s="100"/>
      <c r="F854" s="100"/>
      <c r="G854" s="101"/>
      <c r="H854" s="102"/>
      <c r="I854" s="195"/>
      <c r="J854" s="195"/>
      <c r="K854" s="195"/>
      <c r="L854" s="195"/>
      <c r="M854" s="195"/>
    </row>
    <row r="855" ht="14.25" customHeight="1">
      <c r="A855" s="100"/>
      <c r="B855" s="100"/>
      <c r="C855" s="101"/>
      <c r="D855" s="100"/>
      <c r="E855" s="100"/>
      <c r="F855" s="100"/>
      <c r="G855" s="101"/>
      <c r="H855" s="102"/>
      <c r="I855" s="195"/>
      <c r="J855" s="195"/>
      <c r="K855" s="195"/>
      <c r="L855" s="195"/>
      <c r="M855" s="195"/>
    </row>
    <row r="856" ht="14.25" customHeight="1">
      <c r="A856" s="100"/>
      <c r="B856" s="100"/>
      <c r="C856" s="101"/>
      <c r="D856" s="100"/>
      <c r="E856" s="100"/>
      <c r="F856" s="100"/>
      <c r="G856" s="101"/>
      <c r="H856" s="102"/>
      <c r="I856" s="195"/>
      <c r="J856" s="195"/>
      <c r="K856" s="195"/>
      <c r="L856" s="195"/>
      <c r="M856" s="195"/>
    </row>
    <row r="857" ht="14.25" customHeight="1">
      <c r="A857" s="100"/>
      <c r="B857" s="100"/>
      <c r="C857" s="101"/>
      <c r="D857" s="100"/>
      <c r="E857" s="100"/>
      <c r="F857" s="100"/>
      <c r="G857" s="101"/>
      <c r="H857" s="102"/>
      <c r="I857" s="195"/>
      <c r="J857" s="195"/>
      <c r="K857" s="195"/>
      <c r="L857" s="195"/>
      <c r="M857" s="195"/>
    </row>
    <row r="858" ht="14.25" customHeight="1">
      <c r="A858" s="100"/>
      <c r="B858" s="100"/>
      <c r="C858" s="101"/>
      <c r="D858" s="100"/>
      <c r="E858" s="100"/>
      <c r="F858" s="100"/>
      <c r="G858" s="101"/>
      <c r="H858" s="102"/>
      <c r="I858" s="195"/>
      <c r="J858" s="195"/>
      <c r="K858" s="195"/>
      <c r="L858" s="195"/>
      <c r="M858" s="195"/>
    </row>
    <row r="859" ht="14.25" customHeight="1">
      <c r="A859" s="100"/>
      <c r="B859" s="100"/>
      <c r="C859" s="101"/>
      <c r="D859" s="100"/>
      <c r="E859" s="100"/>
      <c r="F859" s="100"/>
      <c r="G859" s="101"/>
      <c r="H859" s="102"/>
      <c r="I859" s="195"/>
      <c r="J859" s="195"/>
      <c r="K859" s="195"/>
      <c r="L859" s="195"/>
      <c r="M859" s="195"/>
    </row>
    <row r="860" ht="14.25" customHeight="1">
      <c r="A860" s="100"/>
      <c r="B860" s="100"/>
      <c r="C860" s="101"/>
      <c r="D860" s="100"/>
      <c r="E860" s="100"/>
      <c r="F860" s="100"/>
      <c r="G860" s="101"/>
      <c r="H860" s="102"/>
      <c r="I860" s="195"/>
      <c r="J860" s="195"/>
      <c r="K860" s="195"/>
      <c r="L860" s="195"/>
      <c r="M860" s="195"/>
    </row>
    <row r="861" ht="14.25" customHeight="1">
      <c r="A861" s="100"/>
      <c r="B861" s="100"/>
      <c r="C861" s="101"/>
      <c r="D861" s="100"/>
      <c r="E861" s="100"/>
      <c r="F861" s="100"/>
      <c r="G861" s="101"/>
      <c r="H861" s="102"/>
      <c r="I861" s="195"/>
      <c r="J861" s="195"/>
      <c r="K861" s="195"/>
      <c r="L861" s="195"/>
      <c r="M861" s="195"/>
    </row>
    <row r="862" ht="14.25" customHeight="1">
      <c r="A862" s="100"/>
      <c r="B862" s="100"/>
      <c r="C862" s="101"/>
      <c r="D862" s="100"/>
      <c r="E862" s="100"/>
      <c r="F862" s="100"/>
      <c r="G862" s="101"/>
      <c r="H862" s="102"/>
      <c r="I862" s="195"/>
      <c r="J862" s="195"/>
      <c r="K862" s="195"/>
      <c r="L862" s="195"/>
      <c r="M862" s="195"/>
    </row>
    <row r="863" ht="14.25" customHeight="1">
      <c r="A863" s="100"/>
      <c r="B863" s="100"/>
      <c r="C863" s="101"/>
      <c r="D863" s="100"/>
      <c r="E863" s="100"/>
      <c r="F863" s="100"/>
      <c r="G863" s="101"/>
      <c r="H863" s="102"/>
      <c r="I863" s="195"/>
      <c r="J863" s="195"/>
      <c r="K863" s="195"/>
      <c r="L863" s="195"/>
      <c r="M863" s="195"/>
    </row>
    <row r="864" ht="14.25" customHeight="1">
      <c r="A864" s="100"/>
      <c r="B864" s="100"/>
      <c r="C864" s="101"/>
      <c r="D864" s="100"/>
      <c r="E864" s="100"/>
      <c r="F864" s="100"/>
      <c r="G864" s="101"/>
      <c r="H864" s="102"/>
      <c r="I864" s="195"/>
      <c r="J864" s="195"/>
      <c r="K864" s="195"/>
      <c r="L864" s="195"/>
      <c r="M864" s="195"/>
    </row>
    <row r="865" ht="14.25" customHeight="1">
      <c r="A865" s="100"/>
      <c r="B865" s="100"/>
      <c r="C865" s="101"/>
      <c r="D865" s="100"/>
      <c r="E865" s="100"/>
      <c r="F865" s="100"/>
      <c r="G865" s="101"/>
      <c r="H865" s="102"/>
      <c r="I865" s="195"/>
      <c r="J865" s="195"/>
      <c r="K865" s="195"/>
      <c r="L865" s="195"/>
      <c r="M865" s="195"/>
    </row>
    <row r="866" ht="14.25" customHeight="1">
      <c r="A866" s="100"/>
      <c r="B866" s="100"/>
      <c r="C866" s="101"/>
      <c r="D866" s="100"/>
      <c r="E866" s="100"/>
      <c r="F866" s="100"/>
      <c r="G866" s="101"/>
      <c r="H866" s="102"/>
      <c r="I866" s="195"/>
      <c r="J866" s="195"/>
      <c r="K866" s="195"/>
      <c r="L866" s="195"/>
      <c r="M866" s="195"/>
    </row>
    <row r="867" ht="14.25" customHeight="1">
      <c r="A867" s="100"/>
      <c r="B867" s="100"/>
      <c r="C867" s="101"/>
      <c r="D867" s="100"/>
      <c r="E867" s="100"/>
      <c r="F867" s="100"/>
      <c r="G867" s="101"/>
      <c r="H867" s="102"/>
      <c r="I867" s="195"/>
      <c r="J867" s="195"/>
      <c r="K867" s="195"/>
      <c r="L867" s="195"/>
      <c r="M867" s="195"/>
    </row>
    <row r="868" ht="14.25" customHeight="1">
      <c r="A868" s="100"/>
      <c r="B868" s="100"/>
      <c r="C868" s="101"/>
      <c r="D868" s="100"/>
      <c r="E868" s="100"/>
      <c r="F868" s="100"/>
      <c r="G868" s="101"/>
      <c r="H868" s="102"/>
      <c r="I868" s="195"/>
      <c r="J868" s="195"/>
      <c r="K868" s="195"/>
      <c r="L868" s="195"/>
      <c r="M868" s="195"/>
    </row>
    <row r="869" ht="14.25" customHeight="1">
      <c r="A869" s="100"/>
      <c r="B869" s="100"/>
      <c r="C869" s="101"/>
      <c r="D869" s="100"/>
      <c r="E869" s="100"/>
      <c r="F869" s="100"/>
      <c r="G869" s="101"/>
      <c r="H869" s="102"/>
      <c r="I869" s="195"/>
      <c r="J869" s="195"/>
      <c r="K869" s="195"/>
      <c r="L869" s="195"/>
      <c r="M869" s="195"/>
    </row>
    <row r="870" ht="14.25" customHeight="1">
      <c r="A870" s="100"/>
      <c r="B870" s="100"/>
      <c r="C870" s="101"/>
      <c r="D870" s="100"/>
      <c r="E870" s="100"/>
      <c r="F870" s="100"/>
      <c r="G870" s="101"/>
      <c r="H870" s="102"/>
      <c r="I870" s="195"/>
      <c r="J870" s="195"/>
      <c r="K870" s="195"/>
      <c r="L870" s="195"/>
      <c r="M870" s="195"/>
    </row>
    <row r="871" ht="14.25" customHeight="1">
      <c r="A871" s="100"/>
      <c r="B871" s="100"/>
      <c r="C871" s="101"/>
      <c r="D871" s="100"/>
      <c r="E871" s="100"/>
      <c r="F871" s="100"/>
      <c r="G871" s="101"/>
      <c r="H871" s="102"/>
      <c r="I871" s="195"/>
      <c r="J871" s="195"/>
      <c r="K871" s="195"/>
      <c r="L871" s="195"/>
      <c r="M871" s="195"/>
    </row>
    <row r="872" ht="14.25" customHeight="1">
      <c r="A872" s="100"/>
      <c r="B872" s="100"/>
      <c r="C872" s="101"/>
      <c r="D872" s="100"/>
      <c r="E872" s="100"/>
      <c r="F872" s="100"/>
      <c r="G872" s="101"/>
      <c r="H872" s="102"/>
      <c r="I872" s="195"/>
      <c r="J872" s="195"/>
      <c r="K872" s="195"/>
      <c r="L872" s="195"/>
      <c r="M872" s="195"/>
    </row>
    <row r="873" ht="14.25" customHeight="1">
      <c r="A873" s="100"/>
      <c r="B873" s="100"/>
      <c r="C873" s="101"/>
      <c r="D873" s="100"/>
      <c r="E873" s="100"/>
      <c r="F873" s="100"/>
      <c r="G873" s="101"/>
      <c r="H873" s="102"/>
      <c r="I873" s="195"/>
      <c r="J873" s="195"/>
      <c r="K873" s="195"/>
      <c r="L873" s="195"/>
      <c r="M873" s="195"/>
    </row>
    <row r="874" ht="14.25" customHeight="1">
      <c r="A874" s="100"/>
      <c r="B874" s="100"/>
      <c r="C874" s="101"/>
      <c r="D874" s="100"/>
      <c r="E874" s="100"/>
      <c r="F874" s="100"/>
      <c r="G874" s="101"/>
      <c r="H874" s="102"/>
      <c r="I874" s="195"/>
      <c r="J874" s="195"/>
      <c r="K874" s="195"/>
      <c r="L874" s="195"/>
      <c r="M874" s="195"/>
    </row>
    <row r="875" ht="14.25" customHeight="1">
      <c r="A875" s="100"/>
      <c r="B875" s="100"/>
      <c r="C875" s="101"/>
      <c r="D875" s="100"/>
      <c r="E875" s="100"/>
      <c r="F875" s="100"/>
      <c r="G875" s="101"/>
      <c r="H875" s="102"/>
      <c r="I875" s="195"/>
      <c r="J875" s="195"/>
      <c r="K875" s="195"/>
      <c r="L875" s="195"/>
      <c r="M875" s="195"/>
    </row>
    <row r="876" ht="14.25" customHeight="1">
      <c r="A876" s="100"/>
      <c r="B876" s="100"/>
      <c r="C876" s="101"/>
      <c r="D876" s="100"/>
      <c r="E876" s="100"/>
      <c r="F876" s="100"/>
      <c r="G876" s="101"/>
      <c r="H876" s="102"/>
      <c r="I876" s="195"/>
      <c r="J876" s="195"/>
      <c r="K876" s="195"/>
      <c r="L876" s="195"/>
      <c r="M876" s="195"/>
    </row>
    <row r="877" ht="14.25" customHeight="1">
      <c r="A877" s="100"/>
      <c r="B877" s="100"/>
      <c r="C877" s="101"/>
      <c r="D877" s="100"/>
      <c r="E877" s="100"/>
      <c r="F877" s="100"/>
      <c r="G877" s="101"/>
      <c r="H877" s="102"/>
      <c r="I877" s="195"/>
      <c r="J877" s="195"/>
      <c r="K877" s="195"/>
      <c r="L877" s="195"/>
      <c r="M877" s="195"/>
    </row>
    <row r="878" ht="14.25" customHeight="1">
      <c r="A878" s="100"/>
      <c r="B878" s="100"/>
      <c r="C878" s="101"/>
      <c r="D878" s="100"/>
      <c r="E878" s="100"/>
      <c r="F878" s="100"/>
      <c r="G878" s="101"/>
      <c r="H878" s="102"/>
      <c r="I878" s="195"/>
      <c r="J878" s="195"/>
      <c r="K878" s="195"/>
      <c r="L878" s="195"/>
      <c r="M878" s="195"/>
    </row>
    <row r="879" ht="14.25" customHeight="1">
      <c r="A879" s="100"/>
      <c r="B879" s="100"/>
      <c r="C879" s="101"/>
      <c r="D879" s="100"/>
      <c r="E879" s="100"/>
      <c r="F879" s="100"/>
      <c r="G879" s="101"/>
      <c r="H879" s="102"/>
      <c r="I879" s="195"/>
      <c r="J879" s="195"/>
      <c r="K879" s="195"/>
      <c r="L879" s="195"/>
      <c r="M879" s="195"/>
    </row>
    <row r="880" ht="14.25" customHeight="1">
      <c r="A880" s="100"/>
      <c r="B880" s="100"/>
      <c r="C880" s="101"/>
      <c r="D880" s="100"/>
      <c r="E880" s="100"/>
      <c r="F880" s="100"/>
      <c r="G880" s="101"/>
      <c r="H880" s="102"/>
      <c r="I880" s="195"/>
      <c r="J880" s="195"/>
      <c r="K880" s="195"/>
      <c r="L880" s="195"/>
      <c r="M880" s="195"/>
    </row>
    <row r="881" ht="14.25" customHeight="1">
      <c r="A881" s="100"/>
      <c r="B881" s="100"/>
      <c r="C881" s="101"/>
      <c r="D881" s="100"/>
      <c r="E881" s="100"/>
      <c r="F881" s="100"/>
      <c r="G881" s="101"/>
      <c r="H881" s="102"/>
      <c r="I881" s="195"/>
      <c r="J881" s="195"/>
      <c r="K881" s="195"/>
      <c r="L881" s="195"/>
      <c r="M881" s="195"/>
    </row>
    <row r="882" ht="14.25" customHeight="1">
      <c r="A882" s="100"/>
      <c r="B882" s="100"/>
      <c r="C882" s="101"/>
      <c r="D882" s="100"/>
      <c r="E882" s="100"/>
      <c r="F882" s="100"/>
      <c r="G882" s="101"/>
      <c r="H882" s="102"/>
      <c r="I882" s="195"/>
      <c r="J882" s="195"/>
      <c r="K882" s="195"/>
      <c r="L882" s="195"/>
      <c r="M882" s="195"/>
    </row>
    <row r="883" ht="14.25" customHeight="1">
      <c r="A883" s="100"/>
      <c r="B883" s="100"/>
      <c r="C883" s="101"/>
      <c r="D883" s="100"/>
      <c r="E883" s="100"/>
      <c r="F883" s="100"/>
      <c r="G883" s="101"/>
      <c r="H883" s="102"/>
      <c r="I883" s="195"/>
      <c r="J883" s="195"/>
      <c r="K883" s="195"/>
      <c r="L883" s="195"/>
      <c r="M883" s="195"/>
    </row>
    <row r="884" ht="14.25" customHeight="1">
      <c r="A884" s="100"/>
      <c r="B884" s="100"/>
      <c r="C884" s="101"/>
      <c r="D884" s="100"/>
      <c r="E884" s="100"/>
      <c r="F884" s="100"/>
      <c r="G884" s="101"/>
      <c r="H884" s="102"/>
      <c r="I884" s="195"/>
      <c r="J884" s="195"/>
      <c r="K884" s="195"/>
      <c r="L884" s="195"/>
      <c r="M884" s="195"/>
    </row>
    <row r="885" ht="14.25" customHeight="1">
      <c r="A885" s="100"/>
      <c r="B885" s="100"/>
      <c r="C885" s="101"/>
      <c r="D885" s="100"/>
      <c r="E885" s="100"/>
      <c r="F885" s="100"/>
      <c r="G885" s="101"/>
      <c r="H885" s="102"/>
      <c r="I885" s="195"/>
      <c r="J885" s="195"/>
      <c r="K885" s="195"/>
      <c r="L885" s="195"/>
      <c r="M885" s="195"/>
    </row>
    <row r="886" ht="14.25" customHeight="1">
      <c r="A886" s="100"/>
      <c r="B886" s="100"/>
      <c r="C886" s="101"/>
      <c r="D886" s="100"/>
      <c r="E886" s="100"/>
      <c r="F886" s="100"/>
      <c r="G886" s="101"/>
      <c r="H886" s="102"/>
      <c r="I886" s="195"/>
      <c r="J886" s="195"/>
      <c r="K886" s="195"/>
      <c r="L886" s="195"/>
      <c r="M886" s="195"/>
    </row>
    <row r="887" ht="14.25" customHeight="1">
      <c r="A887" s="100"/>
      <c r="B887" s="100"/>
      <c r="C887" s="101"/>
      <c r="D887" s="100"/>
      <c r="E887" s="100"/>
      <c r="F887" s="100"/>
      <c r="G887" s="101"/>
      <c r="H887" s="102"/>
      <c r="I887" s="195"/>
      <c r="J887" s="195"/>
      <c r="K887" s="195"/>
      <c r="L887" s="195"/>
      <c r="M887" s="195"/>
    </row>
    <row r="888" ht="14.25" customHeight="1">
      <c r="A888" s="100"/>
      <c r="B888" s="100"/>
      <c r="C888" s="101"/>
      <c r="D888" s="100"/>
      <c r="E888" s="100"/>
      <c r="F888" s="100"/>
      <c r="G888" s="101"/>
      <c r="H888" s="102"/>
      <c r="I888" s="195"/>
      <c r="J888" s="195"/>
      <c r="K888" s="195"/>
      <c r="L888" s="195"/>
      <c r="M888" s="195"/>
    </row>
    <row r="889" ht="14.25" customHeight="1">
      <c r="A889" s="100"/>
      <c r="B889" s="100"/>
      <c r="C889" s="101"/>
      <c r="D889" s="100"/>
      <c r="E889" s="100"/>
      <c r="F889" s="100"/>
      <c r="G889" s="101"/>
      <c r="H889" s="102"/>
      <c r="I889" s="195"/>
      <c r="J889" s="195"/>
      <c r="K889" s="195"/>
      <c r="L889" s="195"/>
      <c r="M889" s="195"/>
    </row>
    <row r="890" ht="14.25" customHeight="1">
      <c r="A890" s="100"/>
      <c r="B890" s="100"/>
      <c r="C890" s="101"/>
      <c r="D890" s="100"/>
      <c r="E890" s="100"/>
      <c r="F890" s="100"/>
      <c r="G890" s="101"/>
      <c r="H890" s="102"/>
      <c r="I890" s="195"/>
      <c r="J890" s="195"/>
      <c r="K890" s="195"/>
      <c r="L890" s="195"/>
      <c r="M890" s="195"/>
    </row>
    <row r="891" ht="14.25" customHeight="1">
      <c r="A891" s="100"/>
      <c r="B891" s="100"/>
      <c r="C891" s="101"/>
      <c r="D891" s="100"/>
      <c r="E891" s="100"/>
      <c r="F891" s="100"/>
      <c r="G891" s="101"/>
      <c r="H891" s="102"/>
      <c r="I891" s="195"/>
      <c r="J891" s="195"/>
      <c r="K891" s="195"/>
      <c r="L891" s="195"/>
      <c r="M891" s="195"/>
    </row>
    <row r="892" ht="14.25" customHeight="1">
      <c r="A892" s="100"/>
      <c r="B892" s="100"/>
      <c r="C892" s="101"/>
      <c r="D892" s="100"/>
      <c r="E892" s="100"/>
      <c r="F892" s="100"/>
      <c r="G892" s="101"/>
      <c r="H892" s="102"/>
      <c r="I892" s="195"/>
      <c r="J892" s="195"/>
      <c r="K892" s="195"/>
      <c r="L892" s="195"/>
      <c r="M892" s="195"/>
    </row>
    <row r="893" ht="14.25" customHeight="1">
      <c r="A893" s="100"/>
      <c r="B893" s="100"/>
      <c r="C893" s="101"/>
      <c r="D893" s="100"/>
      <c r="E893" s="100"/>
      <c r="F893" s="100"/>
      <c r="G893" s="101"/>
      <c r="H893" s="102"/>
      <c r="I893" s="195"/>
      <c r="J893" s="195"/>
      <c r="K893" s="195"/>
      <c r="L893" s="195"/>
      <c r="M893" s="195"/>
    </row>
    <row r="894" ht="14.25" customHeight="1">
      <c r="A894" s="100"/>
      <c r="B894" s="100"/>
      <c r="C894" s="101"/>
      <c r="D894" s="100"/>
      <c r="E894" s="100"/>
      <c r="F894" s="100"/>
      <c r="G894" s="101"/>
      <c r="H894" s="102"/>
      <c r="I894" s="195"/>
      <c r="J894" s="195"/>
      <c r="K894" s="195"/>
      <c r="L894" s="195"/>
      <c r="M894" s="195"/>
    </row>
    <row r="895" ht="14.25" customHeight="1">
      <c r="A895" s="100"/>
      <c r="B895" s="100"/>
      <c r="C895" s="101"/>
      <c r="D895" s="100"/>
      <c r="E895" s="100"/>
      <c r="F895" s="100"/>
      <c r="G895" s="101"/>
      <c r="H895" s="102"/>
      <c r="I895" s="195"/>
      <c r="J895" s="195"/>
      <c r="K895" s="195"/>
      <c r="L895" s="195"/>
      <c r="M895" s="195"/>
    </row>
    <row r="896" ht="14.25" customHeight="1">
      <c r="A896" s="100"/>
      <c r="B896" s="100"/>
      <c r="C896" s="101"/>
      <c r="D896" s="100"/>
      <c r="E896" s="100"/>
      <c r="F896" s="100"/>
      <c r="G896" s="101"/>
      <c r="H896" s="102"/>
      <c r="I896" s="195"/>
      <c r="J896" s="195"/>
      <c r="K896" s="195"/>
      <c r="L896" s="195"/>
      <c r="M896" s="195"/>
    </row>
    <row r="897" ht="14.25" customHeight="1">
      <c r="A897" s="100"/>
      <c r="B897" s="100"/>
      <c r="C897" s="101"/>
      <c r="D897" s="100"/>
      <c r="E897" s="100"/>
      <c r="F897" s="100"/>
      <c r="G897" s="101"/>
      <c r="H897" s="102"/>
      <c r="I897" s="195"/>
      <c r="J897" s="195"/>
      <c r="K897" s="195"/>
      <c r="L897" s="195"/>
      <c r="M897" s="195"/>
    </row>
    <row r="898" ht="14.25" customHeight="1">
      <c r="A898" s="100"/>
      <c r="B898" s="100"/>
      <c r="C898" s="101"/>
      <c r="D898" s="100"/>
      <c r="E898" s="100"/>
      <c r="F898" s="100"/>
      <c r="G898" s="101"/>
      <c r="H898" s="102"/>
      <c r="I898" s="195"/>
      <c r="J898" s="195"/>
      <c r="K898" s="195"/>
      <c r="L898" s="195"/>
      <c r="M898" s="195"/>
    </row>
    <row r="899" ht="14.25" customHeight="1">
      <c r="A899" s="100"/>
      <c r="B899" s="100"/>
      <c r="C899" s="101"/>
      <c r="D899" s="100"/>
      <c r="E899" s="100"/>
      <c r="F899" s="100"/>
      <c r="G899" s="101"/>
      <c r="H899" s="102"/>
      <c r="I899" s="195"/>
      <c r="J899" s="195"/>
      <c r="K899" s="195"/>
      <c r="L899" s="195"/>
      <c r="M899" s="195"/>
    </row>
    <row r="900" ht="14.25" customHeight="1">
      <c r="A900" s="100"/>
      <c r="B900" s="100"/>
      <c r="C900" s="101"/>
      <c r="D900" s="100"/>
      <c r="E900" s="100"/>
      <c r="F900" s="100"/>
      <c r="G900" s="101"/>
      <c r="H900" s="102"/>
      <c r="I900" s="195"/>
      <c r="J900" s="195"/>
      <c r="K900" s="195"/>
      <c r="L900" s="195"/>
      <c r="M900" s="195"/>
    </row>
    <row r="901" ht="14.25" customHeight="1">
      <c r="A901" s="100"/>
      <c r="B901" s="100"/>
      <c r="C901" s="101"/>
      <c r="D901" s="100"/>
      <c r="E901" s="100"/>
      <c r="F901" s="100"/>
      <c r="G901" s="101"/>
      <c r="H901" s="102"/>
      <c r="I901" s="195"/>
      <c r="J901" s="195"/>
      <c r="K901" s="195"/>
      <c r="L901" s="195"/>
      <c r="M901" s="195"/>
    </row>
    <row r="902" ht="14.25" customHeight="1">
      <c r="A902" s="100"/>
      <c r="B902" s="100"/>
      <c r="C902" s="101"/>
      <c r="D902" s="100"/>
      <c r="E902" s="100"/>
      <c r="F902" s="100"/>
      <c r="G902" s="101"/>
      <c r="H902" s="102"/>
      <c r="I902" s="195"/>
      <c r="J902" s="195"/>
      <c r="K902" s="195"/>
      <c r="L902" s="195"/>
      <c r="M902" s="195"/>
    </row>
    <row r="903" ht="14.25" customHeight="1">
      <c r="A903" s="100"/>
      <c r="B903" s="100"/>
      <c r="C903" s="101"/>
      <c r="D903" s="100"/>
      <c r="E903" s="100"/>
      <c r="F903" s="100"/>
      <c r="G903" s="101"/>
      <c r="H903" s="102"/>
      <c r="I903" s="195"/>
      <c r="J903" s="195"/>
      <c r="K903" s="195"/>
      <c r="L903" s="195"/>
      <c r="M903" s="195"/>
    </row>
    <row r="904" ht="14.25" customHeight="1">
      <c r="A904" s="100"/>
      <c r="B904" s="100"/>
      <c r="C904" s="101"/>
      <c r="D904" s="100"/>
      <c r="E904" s="100"/>
      <c r="F904" s="100"/>
      <c r="G904" s="101"/>
      <c r="H904" s="102"/>
      <c r="I904" s="195"/>
      <c r="J904" s="195"/>
      <c r="K904" s="195"/>
      <c r="L904" s="195"/>
      <c r="M904" s="195"/>
    </row>
    <row r="905" ht="14.25" customHeight="1">
      <c r="A905" s="100"/>
      <c r="B905" s="100"/>
      <c r="C905" s="101"/>
      <c r="D905" s="100"/>
      <c r="E905" s="100"/>
      <c r="F905" s="100"/>
      <c r="G905" s="101"/>
      <c r="H905" s="102"/>
      <c r="I905" s="195"/>
      <c r="J905" s="195"/>
      <c r="K905" s="195"/>
      <c r="L905" s="195"/>
      <c r="M905" s="195"/>
    </row>
    <row r="906" ht="14.25" customHeight="1">
      <c r="A906" s="100"/>
      <c r="B906" s="100"/>
      <c r="C906" s="101"/>
      <c r="D906" s="100"/>
      <c r="E906" s="100"/>
      <c r="F906" s="100"/>
      <c r="G906" s="101"/>
      <c r="H906" s="102"/>
      <c r="I906" s="195"/>
      <c r="J906" s="195"/>
      <c r="K906" s="195"/>
      <c r="L906" s="195"/>
      <c r="M906" s="195"/>
    </row>
    <row r="907" ht="14.25" customHeight="1">
      <c r="A907" s="100"/>
      <c r="B907" s="100"/>
      <c r="C907" s="101"/>
      <c r="D907" s="100"/>
      <c r="E907" s="100"/>
      <c r="F907" s="100"/>
      <c r="G907" s="101"/>
      <c r="H907" s="102"/>
      <c r="I907" s="195"/>
      <c r="J907" s="195"/>
      <c r="K907" s="195"/>
      <c r="L907" s="195"/>
      <c r="M907" s="195"/>
    </row>
    <row r="908" ht="14.25" customHeight="1">
      <c r="A908" s="100"/>
      <c r="B908" s="100"/>
      <c r="C908" s="101"/>
      <c r="D908" s="100"/>
      <c r="E908" s="100"/>
      <c r="F908" s="100"/>
      <c r="G908" s="101"/>
      <c r="H908" s="102"/>
      <c r="I908" s="195"/>
      <c r="J908" s="195"/>
      <c r="K908" s="195"/>
      <c r="L908" s="195"/>
      <c r="M908" s="195"/>
    </row>
    <row r="909" ht="14.25" customHeight="1">
      <c r="A909" s="100"/>
      <c r="B909" s="100"/>
      <c r="C909" s="101"/>
      <c r="D909" s="100"/>
      <c r="E909" s="100"/>
      <c r="F909" s="100"/>
      <c r="G909" s="101"/>
      <c r="H909" s="102"/>
      <c r="I909" s="195"/>
      <c r="J909" s="195"/>
      <c r="K909" s="195"/>
      <c r="L909" s="195"/>
      <c r="M909" s="195"/>
    </row>
    <row r="910" ht="14.25" customHeight="1">
      <c r="A910" s="100"/>
      <c r="B910" s="100"/>
      <c r="C910" s="101"/>
      <c r="D910" s="100"/>
      <c r="E910" s="100"/>
      <c r="F910" s="100"/>
      <c r="G910" s="101"/>
      <c r="H910" s="102"/>
      <c r="I910" s="195"/>
      <c r="J910" s="195"/>
      <c r="K910" s="195"/>
      <c r="L910" s="195"/>
      <c r="M910" s="195"/>
    </row>
    <row r="911" ht="14.25" customHeight="1">
      <c r="A911" s="100"/>
      <c r="B911" s="100"/>
      <c r="C911" s="101"/>
      <c r="D911" s="100"/>
      <c r="E911" s="100"/>
      <c r="F911" s="100"/>
      <c r="G911" s="101"/>
      <c r="H911" s="102"/>
      <c r="I911" s="195"/>
      <c r="J911" s="195"/>
      <c r="K911" s="195"/>
      <c r="L911" s="195"/>
      <c r="M911" s="195"/>
    </row>
    <row r="912" ht="14.25" customHeight="1">
      <c r="A912" s="100"/>
      <c r="B912" s="100"/>
      <c r="C912" s="101"/>
      <c r="D912" s="100"/>
      <c r="E912" s="100"/>
      <c r="F912" s="100"/>
      <c r="G912" s="101"/>
      <c r="H912" s="102"/>
      <c r="I912" s="195"/>
      <c r="J912" s="195"/>
      <c r="K912" s="195"/>
      <c r="L912" s="195"/>
      <c r="M912" s="195"/>
    </row>
    <row r="913" ht="14.25" customHeight="1">
      <c r="A913" s="100"/>
      <c r="B913" s="100"/>
      <c r="C913" s="101"/>
      <c r="D913" s="100"/>
      <c r="E913" s="100"/>
      <c r="F913" s="100"/>
      <c r="G913" s="101"/>
      <c r="H913" s="102"/>
      <c r="I913" s="195"/>
      <c r="J913" s="195"/>
      <c r="K913" s="195"/>
      <c r="L913" s="195"/>
      <c r="M913" s="195"/>
    </row>
    <row r="914" ht="14.25" customHeight="1">
      <c r="A914" s="100"/>
      <c r="B914" s="100"/>
      <c r="C914" s="101"/>
      <c r="D914" s="100"/>
      <c r="E914" s="100"/>
      <c r="F914" s="100"/>
      <c r="G914" s="101"/>
      <c r="H914" s="102"/>
      <c r="I914" s="195"/>
      <c r="J914" s="195"/>
      <c r="K914" s="195"/>
      <c r="L914" s="195"/>
      <c r="M914" s="195"/>
    </row>
    <row r="915" ht="14.25" customHeight="1">
      <c r="A915" s="100"/>
      <c r="B915" s="100"/>
      <c r="C915" s="101"/>
      <c r="D915" s="100"/>
      <c r="E915" s="100"/>
      <c r="F915" s="100"/>
      <c r="G915" s="101"/>
      <c r="H915" s="102"/>
      <c r="I915" s="195"/>
      <c r="J915" s="195"/>
      <c r="K915" s="195"/>
      <c r="L915" s="195"/>
      <c r="M915" s="195"/>
    </row>
    <row r="916" ht="14.25" customHeight="1">
      <c r="A916" s="100"/>
      <c r="B916" s="100"/>
      <c r="C916" s="101"/>
      <c r="D916" s="100"/>
      <c r="E916" s="100"/>
      <c r="F916" s="100"/>
      <c r="G916" s="101"/>
      <c r="H916" s="102"/>
      <c r="I916" s="195"/>
      <c r="J916" s="195"/>
      <c r="K916" s="195"/>
      <c r="L916" s="195"/>
      <c r="M916" s="195"/>
    </row>
    <row r="917" ht="14.25" customHeight="1">
      <c r="A917" s="100"/>
      <c r="B917" s="100"/>
      <c r="C917" s="101"/>
      <c r="D917" s="100"/>
      <c r="E917" s="100"/>
      <c r="F917" s="100"/>
      <c r="G917" s="101"/>
      <c r="H917" s="102"/>
      <c r="I917" s="195"/>
      <c r="J917" s="195"/>
      <c r="K917" s="195"/>
      <c r="L917" s="195"/>
      <c r="M917" s="195"/>
    </row>
    <row r="918" ht="14.25" customHeight="1">
      <c r="A918" s="100"/>
      <c r="B918" s="100"/>
      <c r="C918" s="101"/>
      <c r="D918" s="100"/>
      <c r="E918" s="100"/>
      <c r="F918" s="100"/>
      <c r="G918" s="101"/>
      <c r="H918" s="102"/>
      <c r="I918" s="195"/>
      <c r="J918" s="195"/>
      <c r="K918" s="195"/>
      <c r="L918" s="195"/>
      <c r="M918" s="195"/>
    </row>
    <row r="919" ht="14.25" customHeight="1">
      <c r="A919" s="100"/>
      <c r="B919" s="100"/>
      <c r="C919" s="101"/>
      <c r="D919" s="100"/>
      <c r="E919" s="100"/>
      <c r="F919" s="100"/>
      <c r="G919" s="101"/>
      <c r="H919" s="102"/>
      <c r="I919" s="195"/>
      <c r="J919" s="195"/>
      <c r="K919" s="195"/>
      <c r="L919" s="195"/>
      <c r="M919" s="195"/>
    </row>
    <row r="920" ht="14.25" customHeight="1">
      <c r="A920" s="100"/>
      <c r="B920" s="100"/>
      <c r="C920" s="101"/>
      <c r="D920" s="100"/>
      <c r="E920" s="100"/>
      <c r="F920" s="100"/>
      <c r="G920" s="101"/>
      <c r="H920" s="102"/>
      <c r="I920" s="195"/>
      <c r="J920" s="195"/>
      <c r="K920" s="195"/>
      <c r="L920" s="195"/>
      <c r="M920" s="195"/>
    </row>
    <row r="921" ht="14.25" customHeight="1">
      <c r="A921" s="100"/>
      <c r="B921" s="100"/>
      <c r="C921" s="101"/>
      <c r="D921" s="100"/>
      <c r="E921" s="100"/>
      <c r="F921" s="100"/>
      <c r="G921" s="101"/>
      <c r="H921" s="102"/>
      <c r="I921" s="195"/>
      <c r="J921" s="195"/>
      <c r="K921" s="195"/>
      <c r="L921" s="195"/>
      <c r="M921" s="195"/>
    </row>
    <row r="922" ht="14.25" customHeight="1">
      <c r="A922" s="100"/>
      <c r="B922" s="100"/>
      <c r="C922" s="101"/>
      <c r="D922" s="100"/>
      <c r="E922" s="100"/>
      <c r="F922" s="100"/>
      <c r="G922" s="101"/>
      <c r="H922" s="102"/>
      <c r="I922" s="195"/>
      <c r="J922" s="195"/>
      <c r="K922" s="195"/>
      <c r="L922" s="195"/>
      <c r="M922" s="195"/>
    </row>
    <row r="923" ht="14.25" customHeight="1">
      <c r="A923" s="100"/>
      <c r="B923" s="100"/>
      <c r="C923" s="101"/>
      <c r="D923" s="100"/>
      <c r="E923" s="100"/>
      <c r="F923" s="100"/>
      <c r="G923" s="101"/>
      <c r="H923" s="102"/>
      <c r="I923" s="195"/>
      <c r="J923" s="195"/>
      <c r="K923" s="195"/>
      <c r="L923" s="195"/>
      <c r="M923" s="195"/>
    </row>
    <row r="924" ht="14.25" customHeight="1">
      <c r="A924" s="100"/>
      <c r="B924" s="100"/>
      <c r="C924" s="101"/>
      <c r="D924" s="100"/>
      <c r="E924" s="100"/>
      <c r="F924" s="100"/>
      <c r="G924" s="101"/>
      <c r="H924" s="102"/>
      <c r="I924" s="195"/>
      <c r="J924" s="195"/>
      <c r="K924" s="195"/>
      <c r="L924" s="195"/>
      <c r="M924" s="195"/>
    </row>
    <row r="925" ht="14.25" customHeight="1">
      <c r="A925" s="100"/>
      <c r="B925" s="100"/>
      <c r="C925" s="101"/>
      <c r="D925" s="100"/>
      <c r="E925" s="100"/>
      <c r="F925" s="100"/>
      <c r="G925" s="101"/>
      <c r="H925" s="102"/>
      <c r="I925" s="195"/>
      <c r="J925" s="195"/>
      <c r="K925" s="195"/>
      <c r="L925" s="195"/>
      <c r="M925" s="195"/>
    </row>
    <row r="926" ht="14.25" customHeight="1">
      <c r="A926" s="100"/>
      <c r="B926" s="100"/>
      <c r="C926" s="101"/>
      <c r="D926" s="100"/>
      <c r="E926" s="100"/>
      <c r="F926" s="100"/>
      <c r="G926" s="101"/>
      <c r="H926" s="102"/>
      <c r="I926" s="195"/>
      <c r="J926" s="195"/>
      <c r="K926" s="195"/>
      <c r="L926" s="195"/>
      <c r="M926" s="195"/>
    </row>
    <row r="927" ht="14.25" customHeight="1">
      <c r="A927" s="100"/>
      <c r="B927" s="100"/>
      <c r="C927" s="101"/>
      <c r="D927" s="100"/>
      <c r="E927" s="100"/>
      <c r="F927" s="100"/>
      <c r="G927" s="101"/>
      <c r="H927" s="102"/>
      <c r="I927" s="195"/>
      <c r="J927" s="195"/>
      <c r="K927" s="195"/>
      <c r="L927" s="195"/>
      <c r="M927" s="195"/>
    </row>
    <row r="928" ht="14.25" customHeight="1">
      <c r="A928" s="100"/>
      <c r="B928" s="100"/>
      <c r="C928" s="101"/>
      <c r="D928" s="100"/>
      <c r="E928" s="100"/>
      <c r="F928" s="100"/>
      <c r="G928" s="101"/>
      <c r="H928" s="102"/>
      <c r="I928" s="195"/>
      <c r="J928" s="195"/>
      <c r="K928" s="195"/>
      <c r="L928" s="195"/>
      <c r="M928" s="195"/>
    </row>
    <row r="929" ht="14.25" customHeight="1">
      <c r="A929" s="100"/>
      <c r="B929" s="100"/>
      <c r="C929" s="101"/>
      <c r="D929" s="100"/>
      <c r="E929" s="100"/>
      <c r="F929" s="100"/>
      <c r="G929" s="101"/>
      <c r="H929" s="102"/>
      <c r="I929" s="195"/>
      <c r="J929" s="195"/>
      <c r="K929" s="195"/>
      <c r="L929" s="195"/>
      <c r="M929" s="195"/>
    </row>
    <row r="930" ht="14.25" customHeight="1">
      <c r="A930" s="100"/>
      <c r="B930" s="100"/>
      <c r="C930" s="101"/>
      <c r="D930" s="100"/>
      <c r="E930" s="100"/>
      <c r="F930" s="100"/>
      <c r="G930" s="101"/>
      <c r="H930" s="102"/>
      <c r="I930" s="195"/>
      <c r="J930" s="195"/>
      <c r="K930" s="195"/>
      <c r="L930" s="195"/>
      <c r="M930" s="195"/>
    </row>
    <row r="931" ht="14.25" customHeight="1">
      <c r="A931" s="100"/>
      <c r="B931" s="100"/>
      <c r="C931" s="101"/>
      <c r="D931" s="100"/>
      <c r="E931" s="100"/>
      <c r="F931" s="100"/>
      <c r="G931" s="101"/>
      <c r="H931" s="102"/>
      <c r="I931" s="195"/>
      <c r="J931" s="195"/>
      <c r="K931" s="195"/>
      <c r="L931" s="195"/>
      <c r="M931" s="195"/>
    </row>
    <row r="932" ht="14.25" customHeight="1">
      <c r="A932" s="100"/>
      <c r="B932" s="100"/>
      <c r="C932" s="101"/>
      <c r="D932" s="100"/>
      <c r="E932" s="100"/>
      <c r="F932" s="100"/>
      <c r="G932" s="101"/>
      <c r="H932" s="102"/>
      <c r="I932" s="195"/>
      <c r="J932" s="195"/>
      <c r="K932" s="195"/>
      <c r="L932" s="195"/>
      <c r="M932" s="195"/>
    </row>
    <row r="933" ht="14.25" customHeight="1">
      <c r="A933" s="100"/>
      <c r="B933" s="100"/>
      <c r="C933" s="101"/>
      <c r="D933" s="100"/>
      <c r="E933" s="100"/>
      <c r="F933" s="100"/>
      <c r="G933" s="101"/>
      <c r="H933" s="102"/>
      <c r="I933" s="195"/>
      <c r="J933" s="195"/>
      <c r="K933" s="195"/>
      <c r="L933" s="195"/>
      <c r="M933" s="195"/>
    </row>
    <row r="934" ht="14.25" customHeight="1">
      <c r="A934" s="100"/>
      <c r="B934" s="100"/>
      <c r="C934" s="101"/>
      <c r="D934" s="100"/>
      <c r="E934" s="100"/>
      <c r="F934" s="100"/>
      <c r="G934" s="101"/>
      <c r="H934" s="102"/>
      <c r="I934" s="195"/>
      <c r="J934" s="195"/>
      <c r="K934" s="195"/>
      <c r="L934" s="195"/>
      <c r="M934" s="195"/>
    </row>
    <row r="935" ht="14.25" customHeight="1">
      <c r="A935" s="100"/>
      <c r="B935" s="100"/>
      <c r="C935" s="101"/>
      <c r="D935" s="100"/>
      <c r="E935" s="100"/>
      <c r="F935" s="100"/>
      <c r="G935" s="101"/>
      <c r="H935" s="102"/>
      <c r="I935" s="195"/>
      <c r="J935" s="195"/>
      <c r="K935" s="195"/>
      <c r="L935" s="195"/>
      <c r="M935" s="195"/>
    </row>
    <row r="936" ht="14.25" customHeight="1">
      <c r="A936" s="100"/>
      <c r="B936" s="100"/>
      <c r="C936" s="101"/>
      <c r="D936" s="100"/>
      <c r="E936" s="100"/>
      <c r="F936" s="100"/>
      <c r="G936" s="101"/>
      <c r="H936" s="102"/>
      <c r="I936" s="195"/>
      <c r="J936" s="195"/>
      <c r="K936" s="195"/>
      <c r="L936" s="195"/>
      <c r="M936" s="195"/>
    </row>
    <row r="937" ht="14.25" customHeight="1">
      <c r="A937" s="100"/>
      <c r="B937" s="100"/>
      <c r="C937" s="101"/>
      <c r="D937" s="100"/>
      <c r="E937" s="100"/>
      <c r="F937" s="100"/>
      <c r="G937" s="101"/>
      <c r="H937" s="102"/>
      <c r="I937" s="195"/>
      <c r="J937" s="195"/>
      <c r="K937" s="195"/>
      <c r="L937" s="195"/>
      <c r="M937" s="195"/>
    </row>
    <row r="938" ht="14.25" customHeight="1">
      <c r="A938" s="100"/>
      <c r="B938" s="100"/>
      <c r="C938" s="101"/>
      <c r="D938" s="100"/>
      <c r="E938" s="100"/>
      <c r="F938" s="100"/>
      <c r="G938" s="101"/>
      <c r="H938" s="102"/>
      <c r="I938" s="195"/>
      <c r="J938" s="195"/>
      <c r="K938" s="195"/>
      <c r="L938" s="195"/>
      <c r="M938" s="195"/>
    </row>
    <row r="939" ht="14.25" customHeight="1">
      <c r="A939" s="100"/>
      <c r="B939" s="100"/>
      <c r="C939" s="101"/>
      <c r="D939" s="100"/>
      <c r="E939" s="100"/>
      <c r="F939" s="100"/>
      <c r="G939" s="101"/>
      <c r="H939" s="102"/>
      <c r="I939" s="195"/>
      <c r="J939" s="195"/>
      <c r="K939" s="195"/>
      <c r="L939" s="195"/>
      <c r="M939" s="195"/>
    </row>
    <row r="940" ht="14.25" customHeight="1">
      <c r="A940" s="100"/>
      <c r="B940" s="100"/>
      <c r="C940" s="101"/>
      <c r="D940" s="100"/>
      <c r="E940" s="100"/>
      <c r="F940" s="100"/>
      <c r="G940" s="101"/>
      <c r="H940" s="102"/>
      <c r="I940" s="195"/>
      <c r="J940" s="195"/>
      <c r="K940" s="195"/>
      <c r="L940" s="195"/>
      <c r="M940" s="195"/>
    </row>
    <row r="941" ht="14.25" customHeight="1">
      <c r="A941" s="100"/>
      <c r="B941" s="100"/>
      <c r="C941" s="101"/>
      <c r="D941" s="100"/>
      <c r="E941" s="100"/>
      <c r="F941" s="100"/>
      <c r="G941" s="101"/>
      <c r="H941" s="102"/>
      <c r="I941" s="195"/>
      <c r="J941" s="195"/>
      <c r="K941" s="195"/>
      <c r="L941" s="195"/>
      <c r="M941" s="195"/>
    </row>
    <row r="942" ht="14.25" customHeight="1">
      <c r="A942" s="100"/>
      <c r="B942" s="100"/>
      <c r="C942" s="101"/>
      <c r="D942" s="100"/>
      <c r="E942" s="100"/>
      <c r="F942" s="100"/>
      <c r="G942" s="101"/>
      <c r="H942" s="102"/>
      <c r="I942" s="195"/>
      <c r="J942" s="195"/>
      <c r="K942" s="195"/>
      <c r="L942" s="195"/>
      <c r="M942" s="195"/>
    </row>
    <row r="943" ht="14.25" customHeight="1">
      <c r="A943" s="100"/>
      <c r="B943" s="100"/>
      <c r="C943" s="101"/>
      <c r="D943" s="100"/>
      <c r="E943" s="100"/>
      <c r="F943" s="100"/>
      <c r="G943" s="101"/>
      <c r="H943" s="102"/>
      <c r="I943" s="195"/>
      <c r="J943" s="195"/>
      <c r="K943" s="195"/>
      <c r="L943" s="195"/>
      <c r="M943" s="195"/>
    </row>
    <row r="944" ht="14.25" customHeight="1">
      <c r="A944" s="100"/>
      <c r="B944" s="100"/>
      <c r="C944" s="101"/>
      <c r="D944" s="100"/>
      <c r="E944" s="100"/>
      <c r="F944" s="100"/>
      <c r="G944" s="101"/>
      <c r="H944" s="102"/>
      <c r="I944" s="195"/>
      <c r="J944" s="195"/>
      <c r="K944" s="195"/>
      <c r="L944" s="195"/>
      <c r="M944" s="195"/>
    </row>
    <row r="945" ht="14.25" customHeight="1">
      <c r="A945" s="100"/>
      <c r="B945" s="100"/>
      <c r="C945" s="101"/>
      <c r="D945" s="100"/>
      <c r="E945" s="100"/>
      <c r="F945" s="100"/>
      <c r="G945" s="101"/>
      <c r="H945" s="102"/>
      <c r="I945" s="195"/>
      <c r="J945" s="195"/>
      <c r="K945" s="195"/>
      <c r="L945" s="195"/>
      <c r="M945" s="195"/>
    </row>
    <row r="946" ht="14.25" customHeight="1">
      <c r="A946" s="100"/>
      <c r="B946" s="100"/>
      <c r="C946" s="101"/>
      <c r="D946" s="100"/>
      <c r="E946" s="100"/>
      <c r="F946" s="100"/>
      <c r="G946" s="101"/>
      <c r="H946" s="102"/>
      <c r="I946" s="195"/>
      <c r="J946" s="195"/>
      <c r="K946" s="195"/>
      <c r="L946" s="195"/>
      <c r="M946" s="195"/>
    </row>
    <row r="947" ht="14.25" customHeight="1">
      <c r="A947" s="100"/>
      <c r="B947" s="100"/>
      <c r="C947" s="101"/>
      <c r="D947" s="100"/>
      <c r="E947" s="100"/>
      <c r="F947" s="100"/>
      <c r="G947" s="101"/>
      <c r="H947" s="102"/>
      <c r="I947" s="195"/>
      <c r="J947" s="195"/>
      <c r="K947" s="195"/>
      <c r="L947" s="195"/>
      <c r="M947" s="195"/>
    </row>
    <row r="948" ht="14.25" customHeight="1">
      <c r="A948" s="100"/>
      <c r="B948" s="100"/>
      <c r="C948" s="101"/>
      <c r="D948" s="100"/>
      <c r="E948" s="100"/>
      <c r="F948" s="100"/>
      <c r="G948" s="101"/>
      <c r="H948" s="102"/>
      <c r="I948" s="195"/>
      <c r="J948" s="195"/>
      <c r="K948" s="195"/>
      <c r="L948" s="195"/>
      <c r="M948" s="195"/>
    </row>
    <row r="949" ht="14.25" customHeight="1">
      <c r="A949" s="100"/>
      <c r="B949" s="100"/>
      <c r="C949" s="101"/>
      <c r="D949" s="100"/>
      <c r="E949" s="100"/>
      <c r="F949" s="100"/>
      <c r="G949" s="101"/>
      <c r="H949" s="102"/>
      <c r="I949" s="195"/>
      <c r="J949" s="195"/>
      <c r="K949" s="195"/>
      <c r="L949" s="195"/>
      <c r="M949" s="195"/>
    </row>
    <row r="950" ht="14.25" customHeight="1">
      <c r="A950" s="100"/>
      <c r="B950" s="100"/>
      <c r="C950" s="101"/>
      <c r="D950" s="100"/>
      <c r="E950" s="100"/>
      <c r="F950" s="100"/>
      <c r="G950" s="101"/>
      <c r="H950" s="102"/>
      <c r="I950" s="195"/>
      <c r="J950" s="195"/>
      <c r="K950" s="195"/>
      <c r="L950" s="195"/>
      <c r="M950" s="195"/>
    </row>
    <row r="951" ht="14.25" customHeight="1">
      <c r="A951" s="100"/>
      <c r="B951" s="100"/>
      <c r="C951" s="101"/>
      <c r="D951" s="100"/>
      <c r="E951" s="100"/>
      <c r="F951" s="100"/>
      <c r="G951" s="101"/>
      <c r="H951" s="102"/>
      <c r="I951" s="195"/>
      <c r="J951" s="195"/>
      <c r="K951" s="195"/>
      <c r="L951" s="195"/>
      <c r="M951" s="195"/>
    </row>
    <row r="952" ht="14.25" customHeight="1">
      <c r="A952" s="100"/>
      <c r="B952" s="100"/>
      <c r="C952" s="101"/>
      <c r="D952" s="100"/>
      <c r="E952" s="100"/>
      <c r="F952" s="100"/>
      <c r="G952" s="101"/>
      <c r="H952" s="102"/>
      <c r="I952" s="195"/>
      <c r="J952" s="195"/>
      <c r="K952" s="195"/>
      <c r="L952" s="195"/>
      <c r="M952" s="195"/>
    </row>
    <row r="953" ht="14.25" customHeight="1">
      <c r="A953" s="100"/>
      <c r="B953" s="100"/>
      <c r="C953" s="101"/>
      <c r="D953" s="100"/>
      <c r="E953" s="100"/>
      <c r="F953" s="100"/>
      <c r="G953" s="101"/>
      <c r="H953" s="102"/>
      <c r="I953" s="195"/>
      <c r="J953" s="195"/>
      <c r="K953" s="195"/>
      <c r="L953" s="195"/>
      <c r="M953" s="195"/>
    </row>
    <row r="954" ht="14.25" customHeight="1">
      <c r="A954" s="100"/>
      <c r="B954" s="100"/>
      <c r="C954" s="101"/>
      <c r="D954" s="100"/>
      <c r="E954" s="100"/>
      <c r="F954" s="100"/>
      <c r="G954" s="101"/>
      <c r="H954" s="102"/>
      <c r="I954" s="195"/>
      <c r="J954" s="195"/>
      <c r="K954" s="195"/>
      <c r="L954" s="195"/>
      <c r="M954" s="195"/>
    </row>
    <row r="955" ht="14.25" customHeight="1">
      <c r="A955" s="100"/>
      <c r="B955" s="100"/>
      <c r="C955" s="101"/>
      <c r="D955" s="100"/>
      <c r="E955" s="100"/>
      <c r="F955" s="100"/>
      <c r="G955" s="101"/>
      <c r="H955" s="102"/>
      <c r="I955" s="195"/>
      <c r="J955" s="195"/>
      <c r="K955" s="195"/>
      <c r="L955" s="195"/>
      <c r="M955" s="195"/>
    </row>
    <row r="956" ht="14.25" customHeight="1">
      <c r="A956" s="100"/>
      <c r="B956" s="100"/>
      <c r="C956" s="101"/>
      <c r="D956" s="100"/>
      <c r="E956" s="100"/>
      <c r="F956" s="100"/>
      <c r="G956" s="101"/>
      <c r="H956" s="102"/>
      <c r="I956" s="195"/>
      <c r="J956" s="195"/>
      <c r="K956" s="195"/>
      <c r="L956" s="195"/>
      <c r="M956" s="195"/>
    </row>
    <row r="957" ht="14.25" customHeight="1">
      <c r="A957" s="100"/>
      <c r="B957" s="100"/>
      <c r="C957" s="101"/>
      <c r="D957" s="100"/>
      <c r="E957" s="100"/>
      <c r="F957" s="100"/>
      <c r="G957" s="101"/>
      <c r="H957" s="102"/>
      <c r="I957" s="195"/>
      <c r="J957" s="195"/>
      <c r="K957" s="195"/>
      <c r="L957" s="195"/>
      <c r="M957" s="195"/>
    </row>
    <row r="958" ht="14.25" customHeight="1">
      <c r="A958" s="100"/>
      <c r="B958" s="100"/>
      <c r="C958" s="101"/>
      <c r="D958" s="100"/>
      <c r="E958" s="100"/>
      <c r="F958" s="100"/>
      <c r="G958" s="101"/>
      <c r="H958" s="102"/>
      <c r="I958" s="195"/>
      <c r="J958" s="195"/>
      <c r="K958" s="195"/>
      <c r="L958" s="195"/>
      <c r="M958" s="195"/>
    </row>
    <row r="959" ht="14.25" customHeight="1">
      <c r="A959" s="100"/>
      <c r="B959" s="100"/>
      <c r="C959" s="101"/>
      <c r="D959" s="100"/>
      <c r="E959" s="100"/>
      <c r="F959" s="100"/>
      <c r="G959" s="101"/>
      <c r="H959" s="102"/>
      <c r="I959" s="195"/>
      <c r="J959" s="195"/>
      <c r="K959" s="195"/>
      <c r="L959" s="195"/>
      <c r="M959" s="195"/>
    </row>
    <row r="960" ht="14.25" customHeight="1">
      <c r="A960" s="100"/>
      <c r="B960" s="100"/>
      <c r="C960" s="101"/>
      <c r="D960" s="100"/>
      <c r="E960" s="100"/>
      <c r="F960" s="100"/>
      <c r="G960" s="101"/>
      <c r="H960" s="102"/>
      <c r="I960" s="195"/>
      <c r="J960" s="195"/>
      <c r="K960" s="195"/>
      <c r="L960" s="195"/>
      <c r="M960" s="195"/>
    </row>
    <row r="961" ht="14.25" customHeight="1">
      <c r="A961" s="100"/>
      <c r="B961" s="100"/>
      <c r="C961" s="101"/>
      <c r="D961" s="100"/>
      <c r="E961" s="100"/>
      <c r="F961" s="100"/>
      <c r="G961" s="101"/>
      <c r="H961" s="102"/>
      <c r="I961" s="195"/>
      <c r="J961" s="195"/>
      <c r="K961" s="195"/>
      <c r="L961" s="195"/>
      <c r="M961" s="195"/>
    </row>
    <row r="962" ht="14.25" customHeight="1">
      <c r="A962" s="100"/>
      <c r="B962" s="100"/>
      <c r="C962" s="101"/>
      <c r="D962" s="100"/>
      <c r="E962" s="100"/>
      <c r="F962" s="100"/>
      <c r="G962" s="101"/>
      <c r="H962" s="102"/>
      <c r="I962" s="195"/>
      <c r="J962" s="195"/>
      <c r="K962" s="195"/>
      <c r="L962" s="195"/>
      <c r="M962" s="195"/>
    </row>
    <row r="963" ht="14.25" customHeight="1">
      <c r="A963" s="100"/>
      <c r="B963" s="100"/>
      <c r="C963" s="101"/>
      <c r="D963" s="100"/>
      <c r="E963" s="100"/>
      <c r="F963" s="100"/>
      <c r="G963" s="101"/>
      <c r="H963" s="102"/>
      <c r="I963" s="195"/>
      <c r="J963" s="195"/>
      <c r="K963" s="195"/>
      <c r="L963" s="195"/>
      <c r="M963" s="195"/>
    </row>
    <row r="964" ht="14.25" customHeight="1">
      <c r="A964" s="100"/>
      <c r="B964" s="100"/>
      <c r="C964" s="101"/>
      <c r="D964" s="100"/>
      <c r="E964" s="100"/>
      <c r="F964" s="100"/>
      <c r="G964" s="101"/>
      <c r="H964" s="102"/>
      <c r="I964" s="195"/>
      <c r="J964" s="195"/>
      <c r="K964" s="195"/>
      <c r="L964" s="195"/>
      <c r="M964" s="195"/>
    </row>
    <row r="965" ht="14.25" customHeight="1">
      <c r="A965" s="100"/>
      <c r="B965" s="100"/>
      <c r="C965" s="101"/>
      <c r="D965" s="100"/>
      <c r="E965" s="100"/>
      <c r="F965" s="100"/>
      <c r="G965" s="101"/>
      <c r="H965" s="102"/>
      <c r="I965" s="195"/>
      <c r="J965" s="195"/>
      <c r="K965" s="195"/>
      <c r="L965" s="195"/>
      <c r="M965" s="195"/>
    </row>
    <row r="966" ht="14.25" customHeight="1">
      <c r="A966" s="100"/>
      <c r="B966" s="100"/>
      <c r="C966" s="101"/>
      <c r="D966" s="100"/>
      <c r="E966" s="100"/>
      <c r="F966" s="100"/>
      <c r="G966" s="101"/>
      <c r="H966" s="102"/>
      <c r="I966" s="195"/>
      <c r="J966" s="195"/>
      <c r="K966" s="195"/>
      <c r="L966" s="195"/>
      <c r="M966" s="195"/>
    </row>
    <row r="967" ht="14.25" customHeight="1">
      <c r="A967" s="100"/>
      <c r="B967" s="100"/>
      <c r="C967" s="101"/>
      <c r="D967" s="100"/>
      <c r="E967" s="100"/>
      <c r="F967" s="100"/>
      <c r="G967" s="101"/>
      <c r="H967" s="102"/>
      <c r="I967" s="195"/>
      <c r="J967" s="195"/>
      <c r="K967" s="195"/>
      <c r="L967" s="195"/>
      <c r="M967" s="195"/>
    </row>
    <row r="968" ht="14.25" customHeight="1">
      <c r="A968" s="100"/>
      <c r="B968" s="100"/>
      <c r="C968" s="101"/>
      <c r="D968" s="100"/>
      <c r="E968" s="100"/>
      <c r="F968" s="100"/>
      <c r="G968" s="101"/>
      <c r="H968" s="102"/>
      <c r="I968" s="195"/>
      <c r="J968" s="195"/>
      <c r="K968" s="195"/>
      <c r="L968" s="195"/>
      <c r="M968" s="195"/>
    </row>
    <row r="969" ht="14.25" customHeight="1">
      <c r="A969" s="100"/>
      <c r="B969" s="100"/>
      <c r="C969" s="101"/>
      <c r="D969" s="100"/>
      <c r="E969" s="100"/>
      <c r="F969" s="100"/>
      <c r="G969" s="101"/>
      <c r="H969" s="102"/>
      <c r="I969" s="195"/>
      <c r="J969" s="195"/>
      <c r="K969" s="195"/>
      <c r="L969" s="195"/>
      <c r="M969" s="195"/>
    </row>
    <row r="970" ht="14.25" customHeight="1">
      <c r="A970" s="100"/>
      <c r="B970" s="100"/>
      <c r="C970" s="101"/>
      <c r="D970" s="100"/>
      <c r="E970" s="100"/>
      <c r="F970" s="100"/>
      <c r="G970" s="101"/>
      <c r="H970" s="102"/>
      <c r="I970" s="195"/>
      <c r="J970" s="195"/>
      <c r="K970" s="195"/>
      <c r="L970" s="195"/>
      <c r="M970" s="195"/>
    </row>
    <row r="971" ht="14.25" customHeight="1">
      <c r="A971" s="100"/>
      <c r="B971" s="100"/>
      <c r="C971" s="101"/>
      <c r="D971" s="100"/>
      <c r="E971" s="100"/>
      <c r="F971" s="100"/>
      <c r="G971" s="101"/>
      <c r="H971" s="102"/>
      <c r="I971" s="195"/>
      <c r="J971" s="195"/>
      <c r="K971" s="195"/>
      <c r="L971" s="195"/>
      <c r="M971" s="195"/>
    </row>
    <row r="972" ht="14.25" customHeight="1">
      <c r="A972" s="100"/>
      <c r="B972" s="100"/>
      <c r="C972" s="101"/>
      <c r="D972" s="100"/>
      <c r="E972" s="100"/>
      <c r="F972" s="100"/>
      <c r="G972" s="101"/>
      <c r="H972" s="102"/>
      <c r="I972" s="195"/>
      <c r="J972" s="195"/>
      <c r="K972" s="195"/>
      <c r="L972" s="195"/>
      <c r="M972" s="195"/>
    </row>
    <row r="973" ht="14.25" customHeight="1">
      <c r="A973" s="100"/>
      <c r="B973" s="100"/>
      <c r="C973" s="101"/>
      <c r="D973" s="100"/>
      <c r="E973" s="100"/>
      <c r="F973" s="100"/>
      <c r="G973" s="101"/>
      <c r="H973" s="102"/>
      <c r="I973" s="195"/>
      <c r="J973" s="195"/>
      <c r="K973" s="195"/>
      <c r="L973" s="195"/>
      <c r="M973" s="195"/>
    </row>
    <row r="974" ht="14.25" customHeight="1">
      <c r="A974" s="100"/>
      <c r="B974" s="100"/>
      <c r="C974" s="101"/>
      <c r="D974" s="100"/>
      <c r="E974" s="100"/>
      <c r="F974" s="100"/>
      <c r="G974" s="101"/>
      <c r="H974" s="102"/>
      <c r="I974" s="195"/>
      <c r="J974" s="195"/>
      <c r="K974" s="195"/>
      <c r="L974" s="195"/>
      <c r="M974" s="195"/>
    </row>
    <row r="975" ht="14.25" customHeight="1">
      <c r="A975" s="100"/>
      <c r="B975" s="100"/>
      <c r="C975" s="101"/>
      <c r="D975" s="100"/>
      <c r="E975" s="100"/>
      <c r="F975" s="100"/>
      <c r="G975" s="101"/>
      <c r="H975" s="102"/>
      <c r="I975" s="195"/>
      <c r="J975" s="195"/>
      <c r="K975" s="195"/>
      <c r="L975" s="195"/>
      <c r="M975" s="195"/>
    </row>
    <row r="976" ht="14.25" customHeight="1">
      <c r="A976" s="100"/>
      <c r="B976" s="100"/>
      <c r="C976" s="101"/>
      <c r="D976" s="100"/>
      <c r="E976" s="100"/>
      <c r="F976" s="100"/>
      <c r="G976" s="101"/>
      <c r="H976" s="102"/>
      <c r="I976" s="195"/>
      <c r="J976" s="195"/>
      <c r="K976" s="195"/>
      <c r="L976" s="195"/>
      <c r="M976" s="195"/>
    </row>
    <row r="977" ht="14.25" customHeight="1">
      <c r="A977" s="100"/>
      <c r="B977" s="100"/>
      <c r="C977" s="101"/>
      <c r="D977" s="100"/>
      <c r="E977" s="100"/>
      <c r="F977" s="100"/>
      <c r="G977" s="101"/>
      <c r="H977" s="102"/>
      <c r="I977" s="195"/>
      <c r="J977" s="195"/>
      <c r="K977" s="195"/>
      <c r="L977" s="195"/>
      <c r="M977" s="195"/>
    </row>
    <row r="978" ht="14.25" customHeight="1">
      <c r="A978" s="100"/>
      <c r="B978" s="100"/>
      <c r="C978" s="101"/>
      <c r="D978" s="100"/>
      <c r="E978" s="100"/>
      <c r="F978" s="100"/>
      <c r="G978" s="101"/>
      <c r="H978" s="102"/>
      <c r="I978" s="195"/>
      <c r="J978" s="195"/>
      <c r="K978" s="195"/>
      <c r="L978" s="195"/>
      <c r="M978" s="195"/>
    </row>
    <row r="979" ht="14.25" customHeight="1">
      <c r="A979" s="100"/>
      <c r="B979" s="100"/>
      <c r="C979" s="101"/>
      <c r="D979" s="100"/>
      <c r="E979" s="100"/>
      <c r="F979" s="100"/>
      <c r="G979" s="101"/>
      <c r="H979" s="102"/>
      <c r="I979" s="195"/>
      <c r="J979" s="195"/>
      <c r="K979" s="195"/>
      <c r="L979" s="195"/>
      <c r="M979" s="195"/>
    </row>
    <row r="980" ht="14.25" customHeight="1">
      <c r="A980" s="100"/>
      <c r="B980" s="100"/>
      <c r="C980" s="101"/>
      <c r="D980" s="100"/>
      <c r="E980" s="100"/>
      <c r="F980" s="100"/>
      <c r="G980" s="101"/>
      <c r="H980" s="102"/>
      <c r="I980" s="195"/>
      <c r="J980" s="195"/>
      <c r="K980" s="195"/>
      <c r="L980" s="195"/>
      <c r="M980" s="195"/>
    </row>
    <row r="981" ht="14.25" customHeight="1">
      <c r="A981" s="100"/>
      <c r="B981" s="100"/>
      <c r="C981" s="101"/>
      <c r="D981" s="100"/>
      <c r="E981" s="100"/>
      <c r="F981" s="100"/>
      <c r="G981" s="101"/>
      <c r="H981" s="102"/>
      <c r="I981" s="195"/>
      <c r="J981" s="195"/>
      <c r="K981" s="195"/>
      <c r="L981" s="195"/>
      <c r="M981" s="195"/>
    </row>
    <row r="982" ht="14.25" customHeight="1">
      <c r="A982" s="100"/>
      <c r="B982" s="100"/>
      <c r="C982" s="101"/>
      <c r="D982" s="100"/>
      <c r="E982" s="100"/>
      <c r="F982" s="100"/>
      <c r="G982" s="101"/>
      <c r="H982" s="102"/>
      <c r="I982" s="195"/>
      <c r="J982" s="195"/>
      <c r="K982" s="195"/>
      <c r="L982" s="195"/>
      <c r="M982" s="195"/>
    </row>
    <row r="983" ht="14.25" customHeight="1">
      <c r="A983" s="100"/>
      <c r="B983" s="100"/>
      <c r="C983" s="101"/>
      <c r="D983" s="100"/>
      <c r="E983" s="100"/>
      <c r="F983" s="100"/>
      <c r="G983" s="101"/>
      <c r="H983" s="102"/>
      <c r="I983" s="195"/>
      <c r="J983" s="195"/>
      <c r="K983" s="195"/>
      <c r="L983" s="195"/>
      <c r="M983" s="195"/>
    </row>
    <row r="984" ht="14.25" customHeight="1">
      <c r="A984" s="100"/>
      <c r="B984" s="100"/>
      <c r="C984" s="101"/>
      <c r="D984" s="100"/>
      <c r="E984" s="100"/>
      <c r="F984" s="100"/>
      <c r="G984" s="101"/>
      <c r="H984" s="102"/>
      <c r="I984" s="195"/>
      <c r="J984" s="195"/>
      <c r="K984" s="195"/>
      <c r="L984" s="195"/>
      <c r="M984" s="195"/>
    </row>
    <row r="985" ht="14.25" customHeight="1">
      <c r="A985" s="100"/>
      <c r="B985" s="100"/>
      <c r="C985" s="101"/>
      <c r="D985" s="100"/>
      <c r="E985" s="100"/>
      <c r="F985" s="100"/>
      <c r="G985" s="101"/>
      <c r="H985" s="102"/>
      <c r="I985" s="195"/>
      <c r="J985" s="195"/>
      <c r="K985" s="195"/>
      <c r="L985" s="195"/>
      <c r="M985" s="195"/>
    </row>
    <row r="986" ht="14.25" customHeight="1">
      <c r="A986" s="100"/>
      <c r="B986" s="100"/>
      <c r="C986" s="101"/>
      <c r="D986" s="100"/>
      <c r="E986" s="100"/>
      <c r="F986" s="100"/>
      <c r="G986" s="101"/>
      <c r="H986" s="102"/>
      <c r="I986" s="195"/>
      <c r="J986" s="195"/>
      <c r="K986" s="195"/>
      <c r="L986" s="195"/>
      <c r="M986" s="195"/>
    </row>
    <row r="987" ht="14.25" customHeight="1">
      <c r="A987" s="100"/>
      <c r="B987" s="100"/>
      <c r="C987" s="101"/>
      <c r="D987" s="100"/>
      <c r="E987" s="100"/>
      <c r="F987" s="100"/>
      <c r="G987" s="101"/>
      <c r="H987" s="102"/>
      <c r="I987" s="195"/>
      <c r="J987" s="195"/>
      <c r="K987" s="195"/>
      <c r="L987" s="195"/>
      <c r="M987" s="195"/>
    </row>
    <row r="988" ht="14.25" customHeight="1">
      <c r="A988" s="100"/>
      <c r="B988" s="100"/>
      <c r="C988" s="101"/>
      <c r="D988" s="100"/>
      <c r="E988" s="100"/>
      <c r="F988" s="100"/>
      <c r="G988" s="101"/>
      <c r="H988" s="102"/>
      <c r="I988" s="195"/>
      <c r="J988" s="195"/>
      <c r="K988" s="195"/>
      <c r="L988" s="195"/>
      <c r="M988" s="195"/>
    </row>
    <row r="989" ht="14.25" customHeight="1">
      <c r="A989" s="100"/>
      <c r="B989" s="100"/>
      <c r="C989" s="101"/>
      <c r="D989" s="100"/>
      <c r="E989" s="100"/>
      <c r="F989" s="100"/>
      <c r="G989" s="101"/>
      <c r="H989" s="102"/>
      <c r="I989" s="195"/>
      <c r="J989" s="195"/>
      <c r="K989" s="195"/>
      <c r="L989" s="195"/>
      <c r="M989" s="195"/>
    </row>
    <row r="990" ht="14.25" customHeight="1">
      <c r="A990" s="100"/>
      <c r="B990" s="100"/>
      <c r="C990" s="101"/>
      <c r="D990" s="100"/>
      <c r="E990" s="100"/>
      <c r="F990" s="100"/>
      <c r="G990" s="101"/>
      <c r="H990" s="102"/>
      <c r="I990" s="100"/>
      <c r="J990" s="100"/>
      <c r="K990" s="100"/>
      <c r="L990" s="100"/>
      <c r="M990" s="100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8:M32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25" footer="0.0" header="0.0" left="0.25" right="0.25" top="0.2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77.86"/>
    <col customWidth="1" min="2" max="2" width="22.14"/>
    <col customWidth="1" min="3" max="3" width="19.43"/>
    <col customWidth="1" min="4" max="4" width="19.14"/>
    <col customWidth="1" min="5" max="6" width="24.86"/>
    <col customWidth="1" min="7" max="7" width="20.57"/>
    <col customWidth="1" min="8" max="8" width="21.14"/>
    <col customWidth="1" min="9" max="9" width="20.57"/>
    <col customWidth="1" min="10" max="10" width="20.29"/>
    <col customWidth="1" min="11" max="11" width="19.29"/>
    <col customWidth="1" min="12" max="12" width="17.29"/>
    <col customWidth="1" min="13" max="13" width="24.0"/>
  </cols>
  <sheetData>
    <row r="1" ht="24.75" customHeight="1">
      <c r="A1" s="1" t="s">
        <v>0</v>
      </c>
      <c r="B1" s="196"/>
      <c r="C1" s="197"/>
      <c r="D1" s="198"/>
      <c r="E1" s="198"/>
      <c r="F1" s="198"/>
      <c r="G1" s="198"/>
      <c r="H1" s="198"/>
      <c r="I1" s="198"/>
      <c r="J1" s="198"/>
      <c r="K1" s="199"/>
      <c r="L1" s="198"/>
      <c r="M1" s="198"/>
    </row>
    <row r="2" ht="23.25" customHeight="1">
      <c r="A2" s="1" t="s">
        <v>1</v>
      </c>
      <c r="B2" s="197"/>
      <c r="C2" s="197"/>
      <c r="D2" s="197"/>
      <c r="E2" s="197"/>
      <c r="F2" s="197"/>
      <c r="G2" s="197"/>
      <c r="H2" s="200"/>
      <c r="K2" s="201"/>
      <c r="L2" s="197"/>
      <c r="M2" s="197"/>
    </row>
    <row r="3" ht="24.75" customHeight="1">
      <c r="A3" s="9" t="s">
        <v>160</v>
      </c>
      <c r="B3" s="82"/>
      <c r="C3" s="82"/>
      <c r="D3" s="82"/>
      <c r="E3" s="82"/>
      <c r="F3" s="82"/>
      <c r="G3" s="82"/>
      <c r="K3" s="201"/>
      <c r="L3" s="82"/>
      <c r="M3" s="82"/>
    </row>
    <row r="4" ht="28.5" customHeight="1">
      <c r="A4" s="9" t="s">
        <v>3</v>
      </c>
      <c r="B4" s="82"/>
      <c r="C4" s="82"/>
      <c r="D4" s="82"/>
      <c r="E4" s="82"/>
      <c r="F4" s="82"/>
      <c r="G4" s="82"/>
      <c r="K4" s="201"/>
      <c r="L4" s="82"/>
      <c r="M4" s="82"/>
    </row>
    <row r="5" ht="27.0" customHeight="1">
      <c r="A5" s="9" t="s">
        <v>4</v>
      </c>
      <c r="B5" s="82"/>
      <c r="C5" s="82"/>
      <c r="D5" s="82"/>
      <c r="E5" s="82"/>
      <c r="F5" s="82"/>
      <c r="G5" s="82"/>
      <c r="H5" s="200"/>
      <c r="I5" s="201"/>
      <c r="J5" s="201"/>
      <c r="K5" s="201"/>
      <c r="L5" s="82"/>
      <c r="M5" s="82"/>
    </row>
    <row r="6" ht="18.0" customHeight="1">
      <c r="A6" s="202"/>
      <c r="B6" s="203"/>
      <c r="C6" s="204"/>
      <c r="D6" s="86"/>
      <c r="E6" s="10"/>
      <c r="F6" s="10"/>
      <c r="G6" s="10"/>
      <c r="H6" s="86"/>
      <c r="I6" s="10"/>
      <c r="J6" s="10"/>
      <c r="K6" s="10"/>
      <c r="L6" s="10"/>
      <c r="M6" s="10"/>
    </row>
    <row r="7" ht="21.75" customHeight="1">
      <c r="A7" s="12" t="s">
        <v>5</v>
      </c>
      <c r="B7" s="12" t="s">
        <v>6</v>
      </c>
      <c r="C7" s="13" t="s">
        <v>7</v>
      </c>
      <c r="D7" s="14"/>
      <c r="E7" s="205" t="s">
        <v>8</v>
      </c>
      <c r="F7" s="14"/>
      <c r="G7" s="16" t="s">
        <v>9</v>
      </c>
      <c r="H7" s="17"/>
      <c r="I7" s="17"/>
      <c r="J7" s="17"/>
      <c r="K7" s="17"/>
      <c r="L7" s="18"/>
      <c r="M7" s="206" t="s">
        <v>161</v>
      </c>
    </row>
    <row r="8">
      <c r="A8" s="19"/>
      <c r="B8" s="19"/>
      <c r="C8" s="20"/>
      <c r="D8" s="21"/>
      <c r="E8" s="20"/>
      <c r="F8" s="21"/>
      <c r="G8" s="16" t="s">
        <v>11</v>
      </c>
      <c r="H8" s="18"/>
      <c r="I8" s="16" t="s">
        <v>12</v>
      </c>
      <c r="J8" s="18"/>
      <c r="K8" s="16" t="s">
        <v>13</v>
      </c>
      <c r="L8" s="18"/>
      <c r="M8" s="19"/>
    </row>
    <row r="9" ht="20.25" customHeight="1">
      <c r="A9" s="19"/>
      <c r="B9" s="19"/>
      <c r="C9" s="22" t="s">
        <v>14</v>
      </c>
      <c r="D9" s="23" t="s">
        <v>15</v>
      </c>
      <c r="E9" s="205" t="s">
        <v>16</v>
      </c>
      <c r="F9" s="14"/>
      <c r="G9" s="24" t="s">
        <v>17</v>
      </c>
      <c r="H9" s="207" t="s">
        <v>18</v>
      </c>
      <c r="I9" s="24" t="s">
        <v>17</v>
      </c>
      <c r="J9" s="208" t="s">
        <v>18</v>
      </c>
      <c r="K9" s="24" t="s">
        <v>17</v>
      </c>
      <c r="L9" s="208" t="s">
        <v>18</v>
      </c>
      <c r="M9" s="19"/>
    </row>
    <row r="10" ht="99.0" customHeight="1">
      <c r="A10" s="26"/>
      <c r="B10" s="26"/>
      <c r="C10" s="26"/>
      <c r="D10" s="26"/>
      <c r="E10" s="209" t="s">
        <v>17</v>
      </c>
      <c r="F10" s="210" t="s">
        <v>18</v>
      </c>
      <c r="G10" s="26"/>
      <c r="H10" s="26"/>
      <c r="I10" s="26"/>
      <c r="J10" s="26"/>
      <c r="K10" s="26"/>
      <c r="L10" s="26"/>
      <c r="M10" s="26"/>
    </row>
    <row r="11" ht="21.0" customHeight="1">
      <c r="A11" s="211" t="s">
        <v>162</v>
      </c>
      <c r="B11" s="212"/>
      <c r="C11" s="213"/>
      <c r="D11" s="213">
        <f t="shared" ref="D11:F11" si="1">D12+D622</f>
        <v>2954.5</v>
      </c>
      <c r="E11" s="213">
        <f t="shared" si="1"/>
        <v>0</v>
      </c>
      <c r="F11" s="213">
        <f t="shared" si="1"/>
        <v>3274.715</v>
      </c>
      <c r="G11" s="10"/>
      <c r="H11" s="214">
        <f>H12+H622</f>
        <v>10338.98182</v>
      </c>
      <c r="I11" s="10"/>
      <c r="J11" s="10"/>
      <c r="K11" s="10"/>
      <c r="L11" s="10"/>
      <c r="M11" s="10"/>
    </row>
    <row r="12" ht="21.0" customHeight="1">
      <c r="A12" s="215" t="s">
        <v>163</v>
      </c>
      <c r="B12" s="216"/>
      <c r="C12" s="213"/>
      <c r="D12" s="213">
        <f>D13+D461</f>
        <v>2954.5</v>
      </c>
      <c r="E12" s="213"/>
      <c r="F12" s="213">
        <f>F13+F461</f>
        <v>2674.715</v>
      </c>
      <c r="G12" s="40"/>
      <c r="H12" s="62">
        <f>H13</f>
        <v>6638.981825</v>
      </c>
      <c r="I12" s="40"/>
      <c r="J12" s="40"/>
      <c r="K12" s="40"/>
      <c r="L12" s="40"/>
      <c r="M12" s="40"/>
    </row>
    <row r="13" ht="21.0" customHeight="1">
      <c r="A13" s="215" t="s">
        <v>164</v>
      </c>
      <c r="B13" s="216"/>
      <c r="C13" s="213"/>
      <c r="D13" s="213">
        <f>SUM(D19:D460)</f>
        <v>2954.5</v>
      </c>
      <c r="E13" s="213"/>
      <c r="F13" s="213">
        <f>SUM(F19:F460)</f>
        <v>2674.715</v>
      </c>
      <c r="G13" s="40"/>
      <c r="H13" s="62">
        <f>sum(H27:H428)</f>
        <v>6638.981825</v>
      </c>
      <c r="I13" s="40"/>
      <c r="J13" s="40"/>
      <c r="K13" s="40"/>
      <c r="L13" s="40"/>
      <c r="M13" s="40"/>
    </row>
    <row r="14" ht="21.0" customHeight="1">
      <c r="A14" s="217" t="s">
        <v>165</v>
      </c>
      <c r="B14" s="216"/>
      <c r="C14" s="218"/>
      <c r="D14" s="39"/>
      <c r="E14" s="219"/>
      <c r="F14" s="219"/>
      <c r="G14" s="40"/>
      <c r="H14" s="39"/>
      <c r="I14" s="40"/>
      <c r="J14" s="40"/>
      <c r="K14" s="40"/>
      <c r="L14" s="40"/>
      <c r="M14" s="40"/>
    </row>
    <row r="15" ht="21.0" customHeight="1">
      <c r="A15" s="217" t="s">
        <v>166</v>
      </c>
      <c r="B15" s="216"/>
      <c r="C15" s="218"/>
      <c r="D15" s="39"/>
      <c r="E15" s="219"/>
      <c r="F15" s="219"/>
      <c r="G15" s="40"/>
      <c r="H15" s="39"/>
      <c r="I15" s="40"/>
      <c r="J15" s="40"/>
      <c r="K15" s="40"/>
      <c r="L15" s="40"/>
      <c r="M15" s="40"/>
    </row>
    <row r="16" ht="21.0" customHeight="1">
      <c r="A16" s="217" t="s">
        <v>167</v>
      </c>
      <c r="B16" s="216"/>
      <c r="C16" s="218"/>
      <c r="D16" s="39"/>
      <c r="E16" s="219"/>
      <c r="F16" s="219"/>
      <c r="G16" s="40"/>
      <c r="H16" s="39"/>
      <c r="I16" s="40"/>
      <c r="J16" s="40"/>
      <c r="K16" s="40"/>
      <c r="L16" s="40"/>
      <c r="M16" s="40"/>
    </row>
    <row r="17" ht="21.0" customHeight="1">
      <c r="A17" s="217" t="s">
        <v>168</v>
      </c>
      <c r="B17" s="216"/>
      <c r="C17" s="220"/>
      <c r="D17" s="39"/>
      <c r="E17" s="219"/>
      <c r="F17" s="219"/>
      <c r="G17" s="40"/>
      <c r="H17" s="39"/>
      <c r="I17" s="40"/>
      <c r="J17" s="40"/>
      <c r="K17" s="40"/>
      <c r="L17" s="40"/>
      <c r="M17" s="40"/>
    </row>
    <row r="18" ht="15.75" customHeight="1">
      <c r="A18" s="217" t="s">
        <v>169</v>
      </c>
      <c r="B18" s="216"/>
      <c r="C18" s="218"/>
      <c r="D18" s="39"/>
      <c r="E18" s="219"/>
      <c r="F18" s="219"/>
      <c r="G18" s="40"/>
      <c r="H18" s="39"/>
      <c r="I18" s="40"/>
      <c r="J18" s="40"/>
      <c r="K18" s="40"/>
      <c r="L18" s="40"/>
      <c r="M18" s="40"/>
    </row>
    <row r="19" ht="21.0" customHeight="1">
      <c r="A19" s="217" t="s">
        <v>170</v>
      </c>
      <c r="B19" s="216"/>
      <c r="C19" s="218"/>
      <c r="D19" s="39"/>
      <c r="E19" s="219"/>
      <c r="F19" s="219"/>
      <c r="G19" s="40"/>
      <c r="H19" s="39"/>
      <c r="I19" s="40"/>
      <c r="J19" s="40"/>
      <c r="K19" s="40"/>
      <c r="L19" s="40"/>
      <c r="M19" s="40"/>
    </row>
    <row r="20" ht="21.0" customHeight="1">
      <c r="A20" s="217" t="s">
        <v>171</v>
      </c>
      <c r="B20" s="216"/>
      <c r="C20" s="218"/>
      <c r="D20" s="39"/>
      <c r="E20" s="219"/>
      <c r="F20" s="219"/>
      <c r="G20" s="40"/>
      <c r="H20" s="39"/>
      <c r="I20" s="40"/>
      <c r="J20" s="40"/>
      <c r="K20" s="40"/>
      <c r="L20" s="40"/>
      <c r="M20" s="40"/>
    </row>
    <row r="21" ht="21.0" customHeight="1">
      <c r="A21" s="221" t="s">
        <v>172</v>
      </c>
      <c r="B21" s="216"/>
      <c r="C21" s="218"/>
      <c r="D21" s="39"/>
      <c r="E21" s="219"/>
      <c r="F21" s="219"/>
      <c r="G21" s="40"/>
      <c r="H21" s="39"/>
      <c r="I21" s="40"/>
      <c r="J21" s="40"/>
      <c r="K21" s="40"/>
      <c r="L21" s="40"/>
      <c r="M21" s="40"/>
    </row>
    <row r="22" ht="21.0" customHeight="1">
      <c r="A22" s="221" t="s">
        <v>173</v>
      </c>
      <c r="B22" s="212"/>
      <c r="C22" s="220"/>
      <c r="D22" s="39"/>
      <c r="E22" s="219"/>
      <c r="F22" s="219"/>
      <c r="G22" s="40"/>
      <c r="H22" s="39"/>
      <c r="I22" s="40"/>
      <c r="J22" s="40"/>
      <c r="K22" s="40"/>
      <c r="L22" s="40"/>
      <c r="M22" s="40"/>
    </row>
    <row r="23" ht="21.0" customHeight="1">
      <c r="A23" s="221" t="s">
        <v>174</v>
      </c>
      <c r="B23" s="216"/>
      <c r="C23" s="218"/>
      <c r="D23" s="39"/>
      <c r="E23" s="219"/>
      <c r="F23" s="219"/>
      <c r="G23" s="40"/>
      <c r="H23" s="39"/>
      <c r="I23" s="40"/>
      <c r="J23" s="40"/>
      <c r="K23" s="40"/>
      <c r="L23" s="40"/>
      <c r="M23" s="40"/>
    </row>
    <row r="24" ht="21.0" customHeight="1">
      <c r="A24" s="221" t="s">
        <v>175</v>
      </c>
      <c r="B24" s="216"/>
      <c r="C24" s="218"/>
      <c r="D24" s="39"/>
      <c r="E24" s="219"/>
      <c r="F24" s="219"/>
      <c r="G24" s="40"/>
      <c r="H24" s="39"/>
      <c r="I24" s="40"/>
      <c r="J24" s="40"/>
      <c r="K24" s="40"/>
      <c r="L24" s="40"/>
      <c r="M24" s="40"/>
    </row>
    <row r="25" ht="21.0" customHeight="1">
      <c r="A25" s="217" t="s">
        <v>176</v>
      </c>
      <c r="B25" s="216"/>
      <c r="C25" s="218"/>
      <c r="D25" s="39"/>
      <c r="E25" s="219"/>
      <c r="F25" s="219"/>
      <c r="G25" s="40"/>
      <c r="H25" s="39"/>
      <c r="I25" s="40"/>
      <c r="J25" s="40"/>
      <c r="K25" s="40"/>
      <c r="L25" s="40"/>
      <c r="M25" s="40"/>
    </row>
    <row r="26" ht="21.0" customHeight="1">
      <c r="A26" s="221" t="s">
        <v>172</v>
      </c>
      <c r="B26" s="216" t="s">
        <v>177</v>
      </c>
      <c r="C26" s="218"/>
      <c r="D26" s="39"/>
      <c r="E26" s="219"/>
      <c r="F26" s="219"/>
      <c r="G26" s="40"/>
      <c r="H26" s="39"/>
      <c r="I26" s="40"/>
      <c r="J26" s="40"/>
      <c r="K26" s="40"/>
      <c r="L26" s="40"/>
      <c r="M26" s="40"/>
    </row>
    <row r="27" ht="21.0" customHeight="1">
      <c r="A27" s="221" t="s">
        <v>173</v>
      </c>
      <c r="B27" s="216" t="s">
        <v>177</v>
      </c>
      <c r="C27" s="218">
        <v>2000.0</v>
      </c>
      <c r="D27" s="39">
        <v>400.0</v>
      </c>
      <c r="E27" s="222">
        <v>1000.0</v>
      </c>
      <c r="F27" s="219">
        <f>E27*0.25</f>
        <v>250</v>
      </c>
      <c r="G27" s="39">
        <f>300*20</f>
        <v>6000</v>
      </c>
      <c r="H27" s="223">
        <f>G27*0.25</f>
        <v>1500</v>
      </c>
      <c r="I27" s="224"/>
      <c r="J27" s="224"/>
      <c r="K27" s="224"/>
      <c r="L27" s="224"/>
      <c r="M27" s="40"/>
    </row>
    <row r="28" ht="21.0" customHeight="1">
      <c r="A28" s="221" t="s">
        <v>174</v>
      </c>
      <c r="B28" s="216" t="s">
        <v>177</v>
      </c>
      <c r="C28" s="218">
        <v>2000.0</v>
      </c>
      <c r="D28" s="39"/>
      <c r="E28" s="218">
        <f>E27</f>
        <v>1000</v>
      </c>
      <c r="F28" s="219"/>
      <c r="G28" s="225">
        <f>G27</f>
        <v>6000</v>
      </c>
      <c r="H28" s="39"/>
      <c r="I28" s="225"/>
      <c r="J28" s="225"/>
      <c r="K28" s="225"/>
      <c r="L28" s="225"/>
      <c r="M28" s="40"/>
    </row>
    <row r="29" ht="21.0" customHeight="1">
      <c r="A29" s="221" t="s">
        <v>175</v>
      </c>
      <c r="B29" s="216" t="s">
        <v>24</v>
      </c>
      <c r="C29" s="218">
        <v>100.0</v>
      </c>
      <c r="D29" s="39"/>
      <c r="E29" s="218">
        <f>E28/25</f>
        <v>40</v>
      </c>
      <c r="F29" s="219"/>
      <c r="G29" s="226">
        <f>G28/20</f>
        <v>300</v>
      </c>
      <c r="H29" s="39"/>
      <c r="I29" s="226"/>
      <c r="J29" s="226"/>
      <c r="K29" s="226"/>
      <c r="L29" s="226"/>
      <c r="M29" s="40"/>
    </row>
    <row r="30" ht="21.0" customHeight="1">
      <c r="A30" s="217" t="s">
        <v>178</v>
      </c>
      <c r="B30" s="216"/>
      <c r="C30" s="218"/>
      <c r="D30" s="39"/>
      <c r="E30" s="218"/>
      <c r="F30" s="219"/>
      <c r="G30" s="218"/>
      <c r="H30" s="39"/>
      <c r="I30" s="218"/>
      <c r="J30" s="218"/>
      <c r="K30" s="218"/>
      <c r="L30" s="218"/>
      <c r="M30" s="40"/>
    </row>
    <row r="31" ht="21.0" customHeight="1">
      <c r="A31" s="221" t="s">
        <v>172</v>
      </c>
      <c r="B31" s="216" t="s">
        <v>177</v>
      </c>
      <c r="C31" s="218"/>
      <c r="D31" s="39"/>
      <c r="E31" s="218"/>
      <c r="F31" s="219"/>
      <c r="G31" s="40"/>
      <c r="H31" s="39"/>
      <c r="I31" s="40"/>
      <c r="J31" s="40"/>
      <c r="K31" s="40"/>
      <c r="L31" s="40"/>
      <c r="M31" s="40"/>
    </row>
    <row r="32" ht="21.0" customHeight="1">
      <c r="A32" s="221" t="s">
        <v>173</v>
      </c>
      <c r="B32" s="216" t="s">
        <v>177</v>
      </c>
      <c r="C32" s="218"/>
      <c r="D32" s="39"/>
      <c r="E32" s="218"/>
      <c r="F32" s="219"/>
      <c r="G32" s="40"/>
      <c r="H32" s="39"/>
      <c r="I32" s="40"/>
      <c r="J32" s="40"/>
      <c r="K32" s="40"/>
      <c r="L32" s="40"/>
      <c r="M32" s="40"/>
    </row>
    <row r="33" ht="21.0" customHeight="1">
      <c r="A33" s="221" t="s">
        <v>174</v>
      </c>
      <c r="B33" s="216" t="s">
        <v>177</v>
      </c>
      <c r="C33" s="218"/>
      <c r="D33" s="39"/>
      <c r="E33" s="218"/>
      <c r="F33" s="219"/>
      <c r="G33" s="40"/>
      <c r="H33" s="39"/>
      <c r="I33" s="40"/>
      <c r="J33" s="40"/>
      <c r="K33" s="40"/>
      <c r="L33" s="40"/>
      <c r="M33" s="40"/>
    </row>
    <row r="34" ht="21.0" customHeight="1">
      <c r="A34" s="221" t="s">
        <v>175</v>
      </c>
      <c r="B34" s="216" t="s">
        <v>24</v>
      </c>
      <c r="C34" s="218"/>
      <c r="D34" s="39"/>
      <c r="E34" s="218"/>
      <c r="F34" s="219"/>
      <c r="G34" s="40"/>
      <c r="H34" s="39"/>
      <c r="I34" s="40"/>
      <c r="J34" s="40"/>
      <c r="K34" s="40"/>
      <c r="L34" s="40"/>
      <c r="M34" s="40"/>
    </row>
    <row r="35" ht="21.0" customHeight="1">
      <c r="A35" s="217" t="s">
        <v>179</v>
      </c>
      <c r="B35" s="216"/>
      <c r="C35" s="218"/>
      <c r="D35" s="39"/>
      <c r="E35" s="218"/>
      <c r="F35" s="219"/>
      <c r="G35" s="40"/>
      <c r="H35" s="39"/>
      <c r="I35" s="40"/>
      <c r="J35" s="40"/>
      <c r="K35" s="40"/>
      <c r="L35" s="40"/>
      <c r="M35" s="40"/>
    </row>
    <row r="36" ht="21.0" customHeight="1">
      <c r="A36" s="221" t="s">
        <v>172</v>
      </c>
      <c r="B36" s="216"/>
      <c r="C36" s="218"/>
      <c r="D36" s="39"/>
      <c r="E36" s="218"/>
      <c r="F36" s="219"/>
      <c r="G36" s="40"/>
      <c r="H36" s="39"/>
      <c r="I36" s="40"/>
      <c r="J36" s="40"/>
      <c r="K36" s="40"/>
      <c r="L36" s="40"/>
      <c r="M36" s="40"/>
    </row>
    <row r="37" ht="21.0" customHeight="1">
      <c r="A37" s="221" t="s">
        <v>173</v>
      </c>
      <c r="B37" s="216"/>
      <c r="C37" s="218"/>
      <c r="D37" s="39"/>
      <c r="E37" s="218"/>
      <c r="F37" s="219"/>
      <c r="G37" s="40"/>
      <c r="H37" s="39"/>
      <c r="I37" s="40"/>
      <c r="J37" s="40"/>
      <c r="K37" s="40"/>
      <c r="L37" s="40"/>
      <c r="M37" s="40"/>
    </row>
    <row r="38" ht="21.0" customHeight="1">
      <c r="A38" s="221" t="s">
        <v>174</v>
      </c>
      <c r="B38" s="216"/>
      <c r="C38" s="218"/>
      <c r="D38" s="39"/>
      <c r="E38" s="218"/>
      <c r="F38" s="219"/>
      <c r="G38" s="40"/>
      <c r="H38" s="39"/>
      <c r="I38" s="40"/>
      <c r="J38" s="40"/>
      <c r="K38" s="40"/>
      <c r="L38" s="40"/>
      <c r="M38" s="40"/>
    </row>
    <row r="39" ht="21.0" customHeight="1">
      <c r="A39" s="221" t="s">
        <v>175</v>
      </c>
      <c r="B39" s="216"/>
      <c r="C39" s="218"/>
      <c r="D39" s="39"/>
      <c r="E39" s="218"/>
      <c r="F39" s="219"/>
      <c r="G39" s="40"/>
      <c r="H39" s="39"/>
      <c r="I39" s="40"/>
      <c r="J39" s="40"/>
      <c r="K39" s="40"/>
      <c r="L39" s="40"/>
      <c r="M39" s="40"/>
    </row>
    <row r="40" ht="21.0" customHeight="1">
      <c r="A40" s="217" t="s">
        <v>180</v>
      </c>
      <c r="B40" s="216"/>
      <c r="C40" s="218"/>
      <c r="D40" s="39"/>
      <c r="E40" s="218"/>
      <c r="F40" s="219"/>
      <c r="G40" s="40"/>
      <c r="H40" s="39"/>
      <c r="I40" s="40"/>
      <c r="J40" s="40"/>
      <c r="K40" s="40"/>
      <c r="L40" s="40"/>
      <c r="M40" s="40"/>
    </row>
    <row r="41" ht="21.0" customHeight="1">
      <c r="A41" s="221" t="s">
        <v>172</v>
      </c>
      <c r="B41" s="216"/>
      <c r="C41" s="218"/>
      <c r="D41" s="39"/>
      <c r="E41" s="218"/>
      <c r="F41" s="219"/>
      <c r="G41" s="40"/>
      <c r="H41" s="39"/>
      <c r="I41" s="40"/>
      <c r="J41" s="40"/>
      <c r="K41" s="40"/>
      <c r="L41" s="40"/>
      <c r="M41" s="40"/>
    </row>
    <row r="42" ht="21.0" customHeight="1">
      <c r="A42" s="221" t="s">
        <v>173</v>
      </c>
      <c r="B42" s="216"/>
      <c r="C42" s="218"/>
      <c r="D42" s="39"/>
      <c r="E42" s="218"/>
      <c r="F42" s="219"/>
      <c r="G42" s="40"/>
      <c r="H42" s="39"/>
      <c r="I42" s="40"/>
      <c r="J42" s="40"/>
      <c r="K42" s="40"/>
      <c r="L42" s="40"/>
      <c r="M42" s="40"/>
    </row>
    <row r="43" ht="21.0" customHeight="1">
      <c r="A43" s="221" t="s">
        <v>174</v>
      </c>
      <c r="B43" s="216"/>
      <c r="C43" s="218"/>
      <c r="D43" s="39"/>
      <c r="E43" s="218"/>
      <c r="F43" s="219"/>
      <c r="G43" s="40"/>
      <c r="H43" s="39"/>
      <c r="I43" s="40"/>
      <c r="J43" s="40"/>
      <c r="K43" s="40"/>
      <c r="L43" s="40"/>
      <c r="M43" s="40"/>
    </row>
    <row r="44" ht="21.0" customHeight="1">
      <c r="A44" s="221" t="s">
        <v>175</v>
      </c>
      <c r="B44" s="216"/>
      <c r="C44" s="218"/>
      <c r="D44" s="39"/>
      <c r="E44" s="218"/>
      <c r="F44" s="219"/>
      <c r="G44" s="40"/>
      <c r="H44" s="39"/>
      <c r="I44" s="40"/>
      <c r="J44" s="40"/>
      <c r="K44" s="40"/>
      <c r="L44" s="40"/>
      <c r="M44" s="40"/>
    </row>
    <row r="45" ht="21.0" customHeight="1">
      <c r="A45" s="217" t="s">
        <v>181</v>
      </c>
      <c r="B45" s="216"/>
      <c r="C45" s="218"/>
      <c r="D45" s="39"/>
      <c r="E45" s="218"/>
      <c r="F45" s="219"/>
      <c r="G45" s="40"/>
      <c r="H45" s="39"/>
      <c r="I45" s="40"/>
      <c r="J45" s="40"/>
      <c r="K45" s="40"/>
      <c r="L45" s="40"/>
      <c r="M45" s="40"/>
    </row>
    <row r="46" ht="21.0" customHeight="1">
      <c r="A46" s="221" t="s">
        <v>172</v>
      </c>
      <c r="B46" s="216"/>
      <c r="C46" s="218"/>
      <c r="D46" s="39"/>
      <c r="E46" s="218"/>
      <c r="F46" s="219"/>
      <c r="G46" s="40"/>
      <c r="H46" s="39"/>
      <c r="I46" s="40"/>
      <c r="J46" s="40"/>
      <c r="K46" s="40"/>
      <c r="L46" s="40"/>
      <c r="M46" s="40"/>
    </row>
    <row r="47" ht="21.0" customHeight="1">
      <c r="A47" s="221" t="s">
        <v>173</v>
      </c>
      <c r="B47" s="216"/>
      <c r="C47" s="218"/>
      <c r="D47" s="39"/>
      <c r="E47" s="218"/>
      <c r="F47" s="219"/>
      <c r="G47" s="40"/>
      <c r="H47" s="39"/>
      <c r="I47" s="40"/>
      <c r="J47" s="40"/>
      <c r="K47" s="40"/>
      <c r="L47" s="40"/>
      <c r="M47" s="40"/>
    </row>
    <row r="48" ht="21.0" customHeight="1">
      <c r="A48" s="221" t="s">
        <v>174</v>
      </c>
      <c r="B48" s="216"/>
      <c r="C48" s="218"/>
      <c r="D48" s="39"/>
      <c r="E48" s="218"/>
      <c r="F48" s="219"/>
      <c r="G48" s="40"/>
      <c r="H48" s="39"/>
      <c r="I48" s="40"/>
      <c r="J48" s="40"/>
      <c r="K48" s="40"/>
      <c r="L48" s="40"/>
      <c r="M48" s="40"/>
    </row>
    <row r="49" ht="21.0" customHeight="1">
      <c r="A49" s="221" t="s">
        <v>175</v>
      </c>
      <c r="B49" s="216"/>
      <c r="C49" s="218"/>
      <c r="D49" s="39"/>
      <c r="E49" s="218"/>
      <c r="F49" s="219"/>
      <c r="G49" s="40"/>
      <c r="H49" s="39"/>
      <c r="I49" s="40"/>
      <c r="J49" s="40"/>
      <c r="K49" s="40"/>
      <c r="L49" s="40"/>
      <c r="M49" s="40"/>
    </row>
    <row r="50" ht="21.0" customHeight="1">
      <c r="A50" s="217" t="s">
        <v>182</v>
      </c>
      <c r="B50" s="216"/>
      <c r="C50" s="218"/>
      <c r="D50" s="39"/>
      <c r="E50" s="218"/>
      <c r="F50" s="219"/>
      <c r="G50" s="40"/>
      <c r="H50" s="39"/>
      <c r="I50" s="40"/>
      <c r="J50" s="40"/>
      <c r="K50" s="40"/>
      <c r="L50" s="40"/>
      <c r="M50" s="40"/>
    </row>
    <row r="51" ht="21.0" customHeight="1">
      <c r="A51" s="221" t="s">
        <v>172</v>
      </c>
      <c r="B51" s="216"/>
      <c r="C51" s="218"/>
      <c r="D51" s="39"/>
      <c r="E51" s="218"/>
      <c r="F51" s="219"/>
      <c r="G51" s="40"/>
      <c r="H51" s="39"/>
      <c r="I51" s="40"/>
      <c r="J51" s="40"/>
      <c r="K51" s="40"/>
      <c r="L51" s="40"/>
      <c r="M51" s="40"/>
    </row>
    <row r="52" ht="21.0" customHeight="1">
      <c r="A52" s="221" t="s">
        <v>173</v>
      </c>
      <c r="B52" s="216"/>
      <c r="C52" s="218"/>
      <c r="D52" s="39"/>
      <c r="E52" s="218"/>
      <c r="F52" s="219"/>
      <c r="G52" s="40"/>
      <c r="H52" s="39"/>
      <c r="I52" s="40"/>
      <c r="J52" s="40"/>
      <c r="K52" s="40"/>
      <c r="L52" s="40"/>
      <c r="M52" s="40"/>
    </row>
    <row r="53" ht="21.0" customHeight="1">
      <c r="A53" s="221" t="s">
        <v>174</v>
      </c>
      <c r="B53" s="216"/>
      <c r="C53" s="218"/>
      <c r="D53" s="39"/>
      <c r="E53" s="218"/>
      <c r="F53" s="219"/>
      <c r="G53" s="40"/>
      <c r="H53" s="39"/>
      <c r="I53" s="40"/>
      <c r="J53" s="40"/>
      <c r="K53" s="40"/>
      <c r="L53" s="40"/>
      <c r="M53" s="40"/>
    </row>
    <row r="54" ht="21.0" customHeight="1">
      <c r="A54" s="221" t="s">
        <v>175</v>
      </c>
      <c r="B54" s="216"/>
      <c r="C54" s="218"/>
      <c r="D54" s="39"/>
      <c r="E54" s="218"/>
      <c r="F54" s="219"/>
      <c r="G54" s="40"/>
      <c r="H54" s="39"/>
      <c r="I54" s="40"/>
      <c r="J54" s="40"/>
      <c r="K54" s="40"/>
      <c r="L54" s="40"/>
      <c r="M54" s="40"/>
    </row>
    <row r="55" ht="21.0" customHeight="1">
      <c r="A55" s="217" t="s">
        <v>183</v>
      </c>
      <c r="B55" s="216"/>
      <c r="C55" s="218"/>
      <c r="D55" s="39"/>
      <c r="E55" s="218"/>
      <c r="F55" s="219"/>
      <c r="G55" s="40"/>
      <c r="H55" s="39"/>
      <c r="I55" s="40"/>
      <c r="J55" s="40"/>
      <c r="K55" s="40"/>
      <c r="L55" s="40"/>
      <c r="M55" s="40"/>
    </row>
    <row r="56" ht="21.0" customHeight="1">
      <c r="A56" s="221" t="s">
        <v>172</v>
      </c>
      <c r="B56" s="216"/>
      <c r="C56" s="218"/>
      <c r="D56" s="39"/>
      <c r="E56" s="218"/>
      <c r="F56" s="219"/>
      <c r="G56" s="40"/>
      <c r="H56" s="39"/>
      <c r="I56" s="40"/>
      <c r="J56" s="40"/>
      <c r="K56" s="40"/>
      <c r="L56" s="40"/>
      <c r="M56" s="40"/>
    </row>
    <row r="57" ht="21.0" customHeight="1">
      <c r="A57" s="221" t="s">
        <v>173</v>
      </c>
      <c r="B57" s="216"/>
      <c r="C57" s="218"/>
      <c r="D57" s="39"/>
      <c r="E57" s="218"/>
      <c r="F57" s="219"/>
      <c r="G57" s="40"/>
      <c r="H57" s="39"/>
      <c r="I57" s="40"/>
      <c r="J57" s="40"/>
      <c r="K57" s="40"/>
      <c r="L57" s="40"/>
      <c r="M57" s="40"/>
    </row>
    <row r="58" ht="21.0" customHeight="1">
      <c r="A58" s="221" t="s">
        <v>174</v>
      </c>
      <c r="B58" s="216"/>
      <c r="C58" s="218"/>
      <c r="D58" s="39"/>
      <c r="E58" s="218"/>
      <c r="F58" s="219"/>
      <c r="G58" s="40"/>
      <c r="H58" s="39"/>
      <c r="I58" s="40"/>
      <c r="J58" s="40"/>
      <c r="K58" s="40"/>
      <c r="L58" s="40"/>
      <c r="M58" s="40"/>
    </row>
    <row r="59" ht="21.0" customHeight="1">
      <c r="A59" s="221" t="s">
        <v>175</v>
      </c>
      <c r="B59" s="216"/>
      <c r="C59" s="218"/>
      <c r="D59" s="39"/>
      <c r="E59" s="218"/>
      <c r="F59" s="219"/>
      <c r="G59" s="40"/>
      <c r="H59" s="39"/>
      <c r="I59" s="40"/>
      <c r="J59" s="40"/>
      <c r="K59" s="40"/>
      <c r="L59" s="40"/>
      <c r="M59" s="40"/>
    </row>
    <row r="60" ht="21.0" customHeight="1">
      <c r="A60" s="217" t="s">
        <v>184</v>
      </c>
      <c r="B60" s="216"/>
      <c r="C60" s="218"/>
      <c r="D60" s="39"/>
      <c r="E60" s="218"/>
      <c r="F60" s="219"/>
      <c r="G60" s="40"/>
      <c r="H60" s="39"/>
      <c r="I60" s="40"/>
      <c r="J60" s="40"/>
      <c r="K60" s="40"/>
      <c r="L60" s="40"/>
      <c r="M60" s="40"/>
    </row>
    <row r="61" ht="21.0" customHeight="1">
      <c r="A61" s="221" t="s">
        <v>172</v>
      </c>
      <c r="B61" s="216" t="s">
        <v>177</v>
      </c>
      <c r="C61" s="218"/>
      <c r="D61" s="39"/>
      <c r="E61" s="218"/>
      <c r="F61" s="219"/>
      <c r="G61" s="40"/>
      <c r="H61" s="39"/>
      <c r="I61" s="40"/>
      <c r="J61" s="40"/>
      <c r="K61" s="40"/>
      <c r="L61" s="40"/>
      <c r="M61" s="40"/>
    </row>
    <row r="62" ht="21.0" customHeight="1">
      <c r="A62" s="221" t="s">
        <v>173</v>
      </c>
      <c r="B62" s="216" t="s">
        <v>177</v>
      </c>
      <c r="C62" s="218"/>
      <c r="D62" s="39"/>
      <c r="E62" s="218"/>
      <c r="F62" s="219"/>
      <c r="G62" s="40"/>
      <c r="H62" s="39"/>
      <c r="I62" s="40"/>
      <c r="J62" s="40"/>
      <c r="K62" s="40"/>
      <c r="L62" s="40"/>
      <c r="M62" s="40"/>
    </row>
    <row r="63" ht="21.0" customHeight="1">
      <c r="A63" s="221" t="s">
        <v>174</v>
      </c>
      <c r="B63" s="216" t="s">
        <v>177</v>
      </c>
      <c r="C63" s="218"/>
      <c r="D63" s="39"/>
      <c r="E63" s="218"/>
      <c r="F63" s="219"/>
      <c r="G63" s="40"/>
      <c r="H63" s="39"/>
      <c r="I63" s="40"/>
      <c r="J63" s="40"/>
      <c r="K63" s="40"/>
      <c r="L63" s="40"/>
      <c r="M63" s="40"/>
    </row>
    <row r="64" ht="21.0" customHeight="1">
      <c r="A64" s="221" t="s">
        <v>175</v>
      </c>
      <c r="B64" s="216" t="s">
        <v>24</v>
      </c>
      <c r="C64" s="218"/>
      <c r="D64" s="39"/>
      <c r="E64" s="218"/>
      <c r="F64" s="219"/>
      <c r="G64" s="40"/>
      <c r="H64" s="39"/>
      <c r="I64" s="40"/>
      <c r="J64" s="40"/>
      <c r="K64" s="40"/>
      <c r="L64" s="40"/>
      <c r="M64" s="40"/>
    </row>
    <row r="65" ht="21.0" customHeight="1">
      <c r="A65" s="217" t="s">
        <v>185</v>
      </c>
      <c r="B65" s="216"/>
      <c r="C65" s="218"/>
      <c r="D65" s="39"/>
      <c r="E65" s="218"/>
      <c r="F65" s="219"/>
      <c r="G65" s="40"/>
      <c r="H65" s="39"/>
      <c r="I65" s="40"/>
      <c r="J65" s="40"/>
      <c r="K65" s="40"/>
      <c r="L65" s="40"/>
      <c r="M65" s="40"/>
    </row>
    <row r="66" ht="21.0" customHeight="1">
      <c r="A66" s="221" t="s">
        <v>172</v>
      </c>
      <c r="B66" s="216"/>
      <c r="C66" s="218"/>
      <c r="D66" s="39"/>
      <c r="E66" s="218"/>
      <c r="F66" s="219"/>
      <c r="G66" s="40"/>
      <c r="H66" s="39"/>
      <c r="I66" s="40"/>
      <c r="J66" s="40"/>
      <c r="K66" s="40"/>
      <c r="L66" s="40"/>
      <c r="M66" s="40"/>
    </row>
    <row r="67" ht="21.0" customHeight="1">
      <c r="A67" s="221" t="s">
        <v>173</v>
      </c>
      <c r="B67" s="216"/>
      <c r="C67" s="218"/>
      <c r="D67" s="39"/>
      <c r="E67" s="218"/>
      <c r="F67" s="219"/>
      <c r="G67" s="40"/>
      <c r="H67" s="39"/>
      <c r="I67" s="40"/>
      <c r="J67" s="40"/>
      <c r="K67" s="40"/>
      <c r="L67" s="40"/>
      <c r="M67" s="40"/>
    </row>
    <row r="68" ht="21.0" customHeight="1">
      <c r="A68" s="221" t="s">
        <v>174</v>
      </c>
      <c r="B68" s="216"/>
      <c r="C68" s="218"/>
      <c r="D68" s="39"/>
      <c r="E68" s="218"/>
      <c r="F68" s="219"/>
      <c r="G68" s="40"/>
      <c r="H68" s="39"/>
      <c r="I68" s="40"/>
      <c r="J68" s="40"/>
      <c r="K68" s="40"/>
      <c r="L68" s="40"/>
      <c r="M68" s="40"/>
    </row>
    <row r="69" ht="21.0" customHeight="1">
      <c r="A69" s="221" t="s">
        <v>175</v>
      </c>
      <c r="B69" s="216"/>
      <c r="C69" s="218"/>
      <c r="D69" s="39"/>
      <c r="E69" s="218"/>
      <c r="F69" s="219"/>
      <c r="G69" s="40"/>
      <c r="H69" s="39"/>
      <c r="I69" s="40"/>
      <c r="J69" s="40"/>
      <c r="K69" s="40"/>
      <c r="L69" s="40"/>
      <c r="M69" s="40"/>
    </row>
    <row r="70" ht="21.0" customHeight="1">
      <c r="A70" s="217" t="s">
        <v>186</v>
      </c>
      <c r="B70" s="216"/>
      <c r="C70" s="218"/>
      <c r="D70" s="39"/>
      <c r="E70" s="218"/>
      <c r="F70" s="219"/>
      <c r="G70" s="40"/>
      <c r="H70" s="39"/>
      <c r="I70" s="40"/>
      <c r="J70" s="40"/>
      <c r="K70" s="40"/>
      <c r="L70" s="40"/>
      <c r="M70" s="40"/>
    </row>
    <row r="71" ht="21.0" customHeight="1">
      <c r="A71" s="221" t="s">
        <v>172</v>
      </c>
      <c r="B71" s="216" t="s">
        <v>177</v>
      </c>
      <c r="C71" s="218">
        <v>80.0</v>
      </c>
      <c r="D71" s="39">
        <v>1040.0</v>
      </c>
      <c r="E71" s="218">
        <v>121.43</v>
      </c>
      <c r="F71" s="219">
        <f>E71*14</f>
        <v>1700.02</v>
      </c>
      <c r="G71" s="58">
        <v>200.0</v>
      </c>
      <c r="H71" s="39">
        <f>G71*15</f>
        <v>3000</v>
      </c>
      <c r="I71" s="40"/>
      <c r="J71" s="40"/>
      <c r="K71" s="40"/>
      <c r="L71" s="40"/>
      <c r="M71" s="40"/>
    </row>
    <row r="72" ht="21.0" customHeight="1">
      <c r="A72" s="221" t="s">
        <v>173</v>
      </c>
      <c r="B72" s="216" t="s">
        <v>177</v>
      </c>
      <c r="C72" s="218"/>
      <c r="D72" s="39"/>
      <c r="E72" s="218"/>
      <c r="F72" s="219"/>
      <c r="G72" s="40"/>
      <c r="H72" s="39"/>
      <c r="I72" s="40"/>
      <c r="J72" s="40"/>
      <c r="K72" s="40"/>
      <c r="L72" s="40"/>
      <c r="M72" s="40"/>
    </row>
    <row r="73" ht="21.0" customHeight="1">
      <c r="A73" s="221" t="s">
        <v>174</v>
      </c>
      <c r="B73" s="216" t="s">
        <v>177</v>
      </c>
      <c r="C73" s="218">
        <v>80.0</v>
      </c>
      <c r="D73" s="39"/>
      <c r="E73" s="218">
        <f>E71</f>
        <v>121.43</v>
      </c>
      <c r="F73" s="219"/>
      <c r="G73" s="40">
        <f>G71</f>
        <v>200</v>
      </c>
      <c r="H73" s="39"/>
      <c r="I73" s="40"/>
      <c r="J73" s="40"/>
      <c r="K73" s="40"/>
      <c r="L73" s="40"/>
      <c r="M73" s="40"/>
    </row>
    <row r="74" ht="21.0" customHeight="1">
      <c r="A74" s="221" t="s">
        <v>175</v>
      </c>
      <c r="B74" s="216" t="s">
        <v>24</v>
      </c>
      <c r="C74" s="218">
        <v>16.0</v>
      </c>
      <c r="D74" s="39"/>
      <c r="E74" s="218">
        <f>E73/5</f>
        <v>24.286</v>
      </c>
      <c r="F74" s="219"/>
      <c r="G74" s="40">
        <f>G73/5</f>
        <v>40</v>
      </c>
      <c r="H74" s="39"/>
      <c r="I74" s="40"/>
      <c r="J74" s="40"/>
      <c r="K74" s="40"/>
      <c r="L74" s="40"/>
      <c r="M74" s="40"/>
    </row>
    <row r="75" ht="21.0" customHeight="1">
      <c r="A75" s="217" t="s">
        <v>187</v>
      </c>
      <c r="B75" s="216"/>
      <c r="C75" s="218"/>
      <c r="D75" s="39"/>
      <c r="E75" s="218"/>
      <c r="F75" s="219"/>
      <c r="G75" s="40"/>
      <c r="H75" s="39"/>
      <c r="I75" s="40"/>
      <c r="J75" s="40"/>
      <c r="K75" s="40"/>
      <c r="L75" s="40"/>
      <c r="M75" s="40"/>
    </row>
    <row r="76" ht="21.0" customHeight="1">
      <c r="A76" s="221" t="s">
        <v>172</v>
      </c>
      <c r="B76" s="216"/>
      <c r="C76" s="218"/>
      <c r="D76" s="39"/>
      <c r="E76" s="218"/>
      <c r="F76" s="219"/>
      <c r="G76" s="40"/>
      <c r="H76" s="39"/>
      <c r="I76" s="40"/>
      <c r="J76" s="40"/>
      <c r="K76" s="40"/>
      <c r="L76" s="40"/>
      <c r="M76" s="40"/>
    </row>
    <row r="77" ht="21.0" customHeight="1">
      <c r="A77" s="221" t="s">
        <v>173</v>
      </c>
      <c r="B77" s="216"/>
      <c r="C77" s="218"/>
      <c r="D77" s="39"/>
      <c r="E77" s="218"/>
      <c r="F77" s="219"/>
      <c r="G77" s="40"/>
      <c r="H77" s="39"/>
      <c r="I77" s="40"/>
      <c r="J77" s="40"/>
      <c r="K77" s="40"/>
      <c r="L77" s="40"/>
      <c r="M77" s="40"/>
    </row>
    <row r="78" ht="21.0" customHeight="1">
      <c r="A78" s="221" t="s">
        <v>174</v>
      </c>
      <c r="B78" s="216"/>
      <c r="C78" s="218"/>
      <c r="D78" s="39"/>
      <c r="E78" s="218"/>
      <c r="F78" s="219"/>
      <c r="G78" s="40"/>
      <c r="H78" s="39"/>
      <c r="I78" s="40"/>
      <c r="J78" s="40"/>
      <c r="K78" s="40"/>
      <c r="L78" s="40"/>
      <c r="M78" s="40"/>
    </row>
    <row r="79" ht="21.0" customHeight="1">
      <c r="A79" s="221" t="s">
        <v>175</v>
      </c>
      <c r="B79" s="216"/>
      <c r="C79" s="218"/>
      <c r="D79" s="39"/>
      <c r="E79" s="218"/>
      <c r="F79" s="219"/>
      <c r="G79" s="40"/>
      <c r="H79" s="39"/>
      <c r="I79" s="40"/>
      <c r="J79" s="40"/>
      <c r="K79" s="40"/>
      <c r="L79" s="40"/>
      <c r="M79" s="40"/>
    </row>
    <row r="80" ht="21.0" customHeight="1">
      <c r="A80" s="217" t="s">
        <v>188</v>
      </c>
      <c r="B80" s="216"/>
      <c r="C80" s="218"/>
      <c r="D80" s="39"/>
      <c r="E80" s="218"/>
      <c r="F80" s="219"/>
      <c r="G80" s="40"/>
      <c r="H80" s="39"/>
      <c r="I80" s="40"/>
      <c r="J80" s="40"/>
      <c r="K80" s="40"/>
      <c r="L80" s="40"/>
      <c r="M80" s="40"/>
    </row>
    <row r="81" ht="21.0" customHeight="1">
      <c r="A81" s="221" t="s">
        <v>172</v>
      </c>
      <c r="B81" s="216"/>
      <c r="C81" s="218"/>
      <c r="D81" s="39"/>
      <c r="E81" s="218"/>
      <c r="F81" s="219"/>
      <c r="G81" s="40"/>
      <c r="H81" s="39"/>
      <c r="I81" s="40"/>
      <c r="J81" s="40"/>
      <c r="K81" s="40"/>
      <c r="L81" s="40"/>
      <c r="M81" s="40"/>
    </row>
    <row r="82" ht="21.0" customHeight="1">
      <c r="A82" s="221" t="s">
        <v>173</v>
      </c>
      <c r="B82" s="216"/>
      <c r="C82" s="218"/>
      <c r="D82" s="39"/>
      <c r="E82" s="218"/>
      <c r="F82" s="219"/>
      <c r="G82" s="40"/>
      <c r="H82" s="39"/>
      <c r="I82" s="40"/>
      <c r="J82" s="40"/>
      <c r="K82" s="40"/>
      <c r="L82" s="40"/>
      <c r="M82" s="40"/>
    </row>
    <row r="83" ht="21.0" customHeight="1">
      <c r="A83" s="221" t="s">
        <v>174</v>
      </c>
      <c r="B83" s="216"/>
      <c r="C83" s="218"/>
      <c r="D83" s="39"/>
      <c r="E83" s="218"/>
      <c r="F83" s="219"/>
      <c r="G83" s="40"/>
      <c r="H83" s="39"/>
      <c r="I83" s="40"/>
      <c r="J83" s="40"/>
      <c r="K83" s="40"/>
      <c r="L83" s="40"/>
      <c r="M83" s="40"/>
    </row>
    <row r="84" ht="21.0" customHeight="1">
      <c r="A84" s="221" t="s">
        <v>175</v>
      </c>
      <c r="B84" s="216"/>
      <c r="C84" s="218"/>
      <c r="D84" s="39"/>
      <c r="E84" s="218"/>
      <c r="F84" s="219"/>
      <c r="G84" s="40"/>
      <c r="H84" s="39"/>
      <c r="I84" s="40"/>
      <c r="J84" s="40"/>
      <c r="K84" s="40"/>
      <c r="L84" s="40"/>
      <c r="M84" s="40"/>
    </row>
    <row r="85" ht="21.0" customHeight="1">
      <c r="A85" s="217" t="s">
        <v>189</v>
      </c>
      <c r="B85" s="216"/>
      <c r="C85" s="218"/>
      <c r="D85" s="39"/>
      <c r="E85" s="218"/>
      <c r="F85" s="219"/>
      <c r="G85" s="40"/>
      <c r="H85" s="39"/>
      <c r="I85" s="40"/>
      <c r="J85" s="40"/>
      <c r="K85" s="40"/>
      <c r="L85" s="40"/>
      <c r="M85" s="40"/>
    </row>
    <row r="86" ht="21.0" customHeight="1">
      <c r="A86" s="221" t="s">
        <v>172</v>
      </c>
      <c r="B86" s="216"/>
      <c r="C86" s="218"/>
      <c r="D86" s="39"/>
      <c r="E86" s="218"/>
      <c r="F86" s="219"/>
      <c r="G86" s="40"/>
      <c r="H86" s="39"/>
      <c r="I86" s="40"/>
      <c r="J86" s="40"/>
      <c r="K86" s="40"/>
      <c r="L86" s="40"/>
      <c r="M86" s="40"/>
    </row>
    <row r="87" ht="21.0" customHeight="1">
      <c r="A87" s="221" t="s">
        <v>173</v>
      </c>
      <c r="B87" s="216"/>
      <c r="C87" s="218"/>
      <c r="D87" s="39"/>
      <c r="E87" s="218"/>
      <c r="F87" s="219"/>
      <c r="G87" s="40"/>
      <c r="H87" s="39"/>
      <c r="I87" s="40"/>
      <c r="J87" s="40"/>
      <c r="K87" s="40"/>
      <c r="L87" s="40"/>
      <c r="M87" s="40"/>
    </row>
    <row r="88" ht="21.0" customHeight="1">
      <c r="A88" s="221" t="s">
        <v>174</v>
      </c>
      <c r="B88" s="216"/>
      <c r="C88" s="218"/>
      <c r="D88" s="39"/>
      <c r="E88" s="218"/>
      <c r="F88" s="219"/>
      <c r="G88" s="40"/>
      <c r="H88" s="39"/>
      <c r="I88" s="40"/>
      <c r="J88" s="40"/>
      <c r="K88" s="40"/>
      <c r="L88" s="40"/>
      <c r="M88" s="40"/>
    </row>
    <row r="89" ht="21.0" customHeight="1">
      <c r="A89" s="221" t="s">
        <v>175</v>
      </c>
      <c r="B89" s="216"/>
      <c r="C89" s="218"/>
      <c r="D89" s="39"/>
      <c r="E89" s="218"/>
      <c r="F89" s="219"/>
      <c r="G89" s="40"/>
      <c r="H89" s="39"/>
      <c r="I89" s="40"/>
      <c r="J89" s="40"/>
      <c r="K89" s="40"/>
      <c r="L89" s="40"/>
      <c r="M89" s="40"/>
    </row>
    <row r="90" ht="21.0" customHeight="1">
      <c r="A90" s="217" t="s">
        <v>190</v>
      </c>
      <c r="B90" s="216"/>
      <c r="C90" s="218"/>
      <c r="D90" s="39"/>
      <c r="E90" s="218"/>
      <c r="F90" s="219"/>
      <c r="G90" s="40"/>
      <c r="H90" s="39"/>
      <c r="I90" s="40"/>
      <c r="J90" s="40"/>
      <c r="K90" s="40"/>
      <c r="L90" s="40"/>
      <c r="M90" s="40"/>
    </row>
    <row r="91" ht="21.0" customHeight="1">
      <c r="A91" s="221" t="s">
        <v>172</v>
      </c>
      <c r="B91" s="216"/>
      <c r="C91" s="218"/>
      <c r="D91" s="39"/>
      <c r="E91" s="218"/>
      <c r="F91" s="219"/>
      <c r="G91" s="40"/>
      <c r="H91" s="39"/>
      <c r="I91" s="40"/>
      <c r="J91" s="40"/>
      <c r="K91" s="40"/>
      <c r="L91" s="40"/>
      <c r="M91" s="40"/>
    </row>
    <row r="92" ht="21.0" customHeight="1">
      <c r="A92" s="221" t="s">
        <v>173</v>
      </c>
      <c r="B92" s="216"/>
      <c r="C92" s="218"/>
      <c r="D92" s="39"/>
      <c r="E92" s="218"/>
      <c r="F92" s="219"/>
      <c r="G92" s="40"/>
      <c r="H92" s="39"/>
      <c r="I92" s="40"/>
      <c r="J92" s="40"/>
      <c r="K92" s="40"/>
      <c r="L92" s="40"/>
      <c r="M92" s="40"/>
    </row>
    <row r="93" ht="21.0" customHeight="1">
      <c r="A93" s="221" t="s">
        <v>174</v>
      </c>
      <c r="B93" s="216"/>
      <c r="C93" s="218"/>
      <c r="D93" s="39"/>
      <c r="E93" s="218"/>
      <c r="F93" s="219"/>
      <c r="G93" s="40"/>
      <c r="H93" s="39"/>
      <c r="I93" s="40"/>
      <c r="J93" s="40"/>
      <c r="K93" s="40"/>
      <c r="L93" s="40"/>
      <c r="M93" s="40"/>
    </row>
    <row r="94" ht="21.0" customHeight="1">
      <c r="A94" s="221" t="s">
        <v>175</v>
      </c>
      <c r="B94" s="216"/>
      <c r="C94" s="218"/>
      <c r="D94" s="39"/>
      <c r="E94" s="218"/>
      <c r="F94" s="219"/>
      <c r="G94" s="40"/>
      <c r="H94" s="39"/>
      <c r="I94" s="40"/>
      <c r="J94" s="40"/>
      <c r="K94" s="40"/>
      <c r="L94" s="40"/>
      <c r="M94" s="40"/>
    </row>
    <row r="95" ht="21.0" customHeight="1">
      <c r="A95" s="217" t="s">
        <v>191</v>
      </c>
      <c r="B95" s="216"/>
      <c r="C95" s="218"/>
      <c r="D95" s="39"/>
      <c r="E95" s="218"/>
      <c r="F95" s="219"/>
      <c r="G95" s="40"/>
      <c r="H95" s="39"/>
      <c r="I95" s="40"/>
      <c r="J95" s="40"/>
      <c r="K95" s="40"/>
      <c r="L95" s="40"/>
      <c r="M95" s="40"/>
    </row>
    <row r="96" ht="21.0" customHeight="1">
      <c r="A96" s="227" t="s">
        <v>172</v>
      </c>
      <c r="B96" s="216"/>
      <c r="C96" s="218"/>
      <c r="D96" s="39"/>
      <c r="E96" s="218"/>
      <c r="F96" s="219"/>
      <c r="G96" s="40"/>
      <c r="H96" s="39"/>
      <c r="I96" s="40"/>
      <c r="J96" s="40"/>
      <c r="K96" s="40"/>
      <c r="L96" s="40"/>
      <c r="M96" s="40"/>
    </row>
    <row r="97" ht="21.0" customHeight="1">
      <c r="A97" s="221" t="s">
        <v>173</v>
      </c>
      <c r="B97" s="216"/>
      <c r="C97" s="218"/>
      <c r="D97" s="39"/>
      <c r="E97" s="218"/>
      <c r="F97" s="219"/>
      <c r="G97" s="40"/>
      <c r="H97" s="39"/>
      <c r="I97" s="40"/>
      <c r="J97" s="40"/>
      <c r="K97" s="40"/>
      <c r="L97" s="40"/>
      <c r="M97" s="40"/>
    </row>
    <row r="98" ht="21.0" customHeight="1">
      <c r="A98" s="221" t="s">
        <v>174</v>
      </c>
      <c r="B98" s="216"/>
      <c r="C98" s="218"/>
      <c r="D98" s="39"/>
      <c r="E98" s="218"/>
      <c r="F98" s="219"/>
      <c r="G98" s="40"/>
      <c r="H98" s="39"/>
      <c r="I98" s="40"/>
      <c r="J98" s="40"/>
      <c r="K98" s="40"/>
      <c r="L98" s="40"/>
      <c r="M98" s="40"/>
    </row>
    <row r="99" ht="21.0" customHeight="1">
      <c r="A99" s="221" t="s">
        <v>175</v>
      </c>
      <c r="B99" s="216"/>
      <c r="C99" s="218"/>
      <c r="D99" s="39"/>
      <c r="E99" s="218"/>
      <c r="F99" s="219"/>
      <c r="G99" s="40"/>
      <c r="H99" s="39"/>
      <c r="I99" s="40"/>
      <c r="J99" s="40"/>
      <c r="K99" s="40"/>
      <c r="L99" s="40"/>
      <c r="M99" s="40"/>
    </row>
    <row r="100" ht="21.0" customHeight="1">
      <c r="A100" s="217" t="s">
        <v>192</v>
      </c>
      <c r="B100" s="216"/>
      <c r="C100" s="218"/>
      <c r="D100" s="39"/>
      <c r="E100" s="218"/>
      <c r="F100" s="219"/>
      <c r="G100" s="40"/>
      <c r="H100" s="39"/>
      <c r="I100" s="40"/>
      <c r="J100" s="40"/>
      <c r="K100" s="40"/>
      <c r="L100" s="40"/>
      <c r="M100" s="40"/>
    </row>
    <row r="101" ht="21.0" customHeight="1">
      <c r="A101" s="221" t="s">
        <v>172</v>
      </c>
      <c r="B101" s="216"/>
      <c r="C101" s="218"/>
      <c r="D101" s="39"/>
      <c r="E101" s="218"/>
      <c r="F101" s="219"/>
      <c r="G101" s="40"/>
      <c r="H101" s="39"/>
      <c r="I101" s="40"/>
      <c r="J101" s="40"/>
      <c r="K101" s="40"/>
      <c r="L101" s="40"/>
      <c r="M101" s="40"/>
    </row>
    <row r="102" ht="21.0" customHeight="1">
      <c r="A102" s="221" t="s">
        <v>173</v>
      </c>
      <c r="B102" s="216"/>
      <c r="C102" s="218"/>
      <c r="D102" s="39"/>
      <c r="E102" s="218"/>
      <c r="F102" s="219"/>
      <c r="G102" s="40"/>
      <c r="H102" s="39"/>
      <c r="I102" s="40"/>
      <c r="J102" s="40"/>
      <c r="K102" s="40"/>
      <c r="L102" s="40"/>
      <c r="M102" s="40"/>
    </row>
    <row r="103" ht="21.0" customHeight="1">
      <c r="A103" s="221" t="s">
        <v>174</v>
      </c>
      <c r="B103" s="216"/>
      <c r="C103" s="218"/>
      <c r="D103" s="39"/>
      <c r="E103" s="218"/>
      <c r="F103" s="219"/>
      <c r="G103" s="40"/>
      <c r="H103" s="39"/>
      <c r="I103" s="40"/>
      <c r="J103" s="40"/>
      <c r="K103" s="40"/>
      <c r="L103" s="40"/>
      <c r="M103" s="40"/>
    </row>
    <row r="104" ht="21.0" customHeight="1">
      <c r="A104" s="221" t="s">
        <v>175</v>
      </c>
      <c r="B104" s="216"/>
      <c r="C104" s="218"/>
      <c r="D104" s="39"/>
      <c r="E104" s="218"/>
      <c r="F104" s="219"/>
      <c r="G104" s="40"/>
      <c r="H104" s="39"/>
      <c r="I104" s="40"/>
      <c r="J104" s="40"/>
      <c r="K104" s="40"/>
      <c r="L104" s="40"/>
      <c r="M104" s="40"/>
    </row>
    <row r="105" ht="21.0" customHeight="1">
      <c r="A105" s="217"/>
      <c r="B105" s="216"/>
      <c r="C105" s="218"/>
      <c r="D105" s="39"/>
      <c r="E105" s="218"/>
      <c r="F105" s="219"/>
      <c r="G105" s="40"/>
      <c r="H105" s="39"/>
      <c r="I105" s="40"/>
      <c r="J105" s="40"/>
      <c r="K105" s="40"/>
      <c r="L105" s="40"/>
      <c r="M105" s="40"/>
    </row>
    <row r="106" ht="21.0" customHeight="1">
      <c r="A106" s="217" t="s">
        <v>193</v>
      </c>
      <c r="B106" s="216"/>
      <c r="C106" s="218"/>
      <c r="D106" s="39"/>
      <c r="E106" s="218"/>
      <c r="F106" s="219"/>
      <c r="G106" s="40"/>
      <c r="H106" s="39"/>
      <c r="I106" s="40"/>
      <c r="J106" s="40"/>
      <c r="K106" s="40"/>
      <c r="L106" s="40"/>
      <c r="M106" s="40"/>
    </row>
    <row r="107" ht="21.0" customHeight="1">
      <c r="A107" s="221" t="s">
        <v>172</v>
      </c>
      <c r="B107" s="216"/>
      <c r="C107" s="218"/>
      <c r="D107" s="39"/>
      <c r="E107" s="218"/>
      <c r="F107" s="219"/>
      <c r="G107" s="40"/>
      <c r="H107" s="39"/>
      <c r="I107" s="40"/>
      <c r="J107" s="40"/>
      <c r="K107" s="40"/>
      <c r="L107" s="40"/>
      <c r="M107" s="40"/>
    </row>
    <row r="108" ht="21.0" customHeight="1">
      <c r="A108" s="221" t="s">
        <v>173</v>
      </c>
      <c r="B108" s="216"/>
      <c r="C108" s="218"/>
      <c r="D108" s="39"/>
      <c r="E108" s="218"/>
      <c r="F108" s="219"/>
      <c r="G108" s="40"/>
      <c r="H108" s="39"/>
      <c r="I108" s="40"/>
      <c r="J108" s="40"/>
      <c r="K108" s="40"/>
      <c r="L108" s="40"/>
      <c r="M108" s="40"/>
    </row>
    <row r="109" ht="21.0" customHeight="1">
      <c r="A109" s="217" t="s">
        <v>186</v>
      </c>
      <c r="B109" s="216"/>
      <c r="C109" s="218"/>
      <c r="D109" s="39"/>
      <c r="E109" s="218"/>
      <c r="F109" s="219"/>
      <c r="G109" s="40"/>
      <c r="H109" s="39"/>
      <c r="I109" s="40"/>
      <c r="J109" s="40"/>
      <c r="K109" s="40"/>
      <c r="L109" s="40"/>
      <c r="M109" s="40"/>
    </row>
    <row r="110" ht="21.0" customHeight="1">
      <c r="A110" s="221" t="s">
        <v>172</v>
      </c>
      <c r="B110" s="216" t="s">
        <v>177</v>
      </c>
      <c r="C110" s="218"/>
      <c r="D110" s="39"/>
      <c r="E110" s="218"/>
      <c r="F110" s="219"/>
      <c r="G110" s="40"/>
      <c r="H110" s="39"/>
      <c r="I110" s="40"/>
      <c r="J110" s="40"/>
      <c r="K110" s="40"/>
      <c r="L110" s="40"/>
      <c r="M110" s="40"/>
    </row>
    <row r="111" ht="21.0" customHeight="1">
      <c r="A111" s="221" t="s">
        <v>173</v>
      </c>
      <c r="B111" s="216" t="s">
        <v>177</v>
      </c>
      <c r="C111" s="218"/>
      <c r="D111" s="39"/>
      <c r="E111" s="218"/>
      <c r="F111" s="219"/>
      <c r="G111" s="40"/>
      <c r="H111" s="39"/>
      <c r="I111" s="40"/>
      <c r="J111" s="40"/>
      <c r="K111" s="40"/>
      <c r="L111" s="40"/>
      <c r="M111" s="40"/>
    </row>
    <row r="112" ht="21.0" customHeight="1">
      <c r="A112" s="217" t="s">
        <v>187</v>
      </c>
      <c r="B112" s="216" t="s">
        <v>177</v>
      </c>
      <c r="C112" s="218"/>
      <c r="D112" s="39"/>
      <c r="E112" s="218"/>
      <c r="F112" s="219"/>
      <c r="G112" s="40"/>
      <c r="H112" s="39"/>
      <c r="I112" s="40"/>
      <c r="J112" s="40"/>
      <c r="K112" s="40"/>
      <c r="L112" s="40"/>
      <c r="M112" s="40"/>
    </row>
    <row r="113" ht="21.0" customHeight="1">
      <c r="A113" s="221" t="s">
        <v>172</v>
      </c>
      <c r="B113" s="216" t="s">
        <v>177</v>
      </c>
      <c r="C113" s="218"/>
      <c r="D113" s="39"/>
      <c r="E113" s="218"/>
      <c r="F113" s="219"/>
      <c r="G113" s="40"/>
      <c r="H113" s="39"/>
      <c r="I113" s="40"/>
      <c r="J113" s="40"/>
      <c r="K113" s="40"/>
      <c r="L113" s="40"/>
      <c r="M113" s="40"/>
    </row>
    <row r="114" ht="21.0" customHeight="1">
      <c r="A114" s="221" t="s">
        <v>173</v>
      </c>
      <c r="B114" s="216" t="s">
        <v>177</v>
      </c>
      <c r="C114" s="218"/>
      <c r="D114" s="39"/>
      <c r="E114" s="218"/>
      <c r="F114" s="219"/>
      <c r="G114" s="40"/>
      <c r="H114" s="39"/>
      <c r="I114" s="40"/>
      <c r="J114" s="40"/>
      <c r="K114" s="40"/>
      <c r="L114" s="40"/>
      <c r="M114" s="40"/>
    </row>
    <row r="115" ht="21.0" customHeight="1">
      <c r="A115" s="221"/>
      <c r="B115" s="216" t="s">
        <v>177</v>
      </c>
      <c r="C115" s="218"/>
      <c r="D115" s="39"/>
      <c r="E115" s="218"/>
      <c r="F115" s="219"/>
      <c r="G115" s="40"/>
      <c r="H115" s="39"/>
      <c r="I115" s="40"/>
      <c r="J115" s="40"/>
      <c r="K115" s="40"/>
      <c r="L115" s="40"/>
      <c r="M115" s="40"/>
    </row>
    <row r="116" ht="21.0" customHeight="1">
      <c r="A116" s="217" t="s">
        <v>194</v>
      </c>
      <c r="B116" s="216" t="s">
        <v>177</v>
      </c>
      <c r="C116" s="218"/>
      <c r="D116" s="39"/>
      <c r="E116" s="218"/>
      <c r="F116" s="219"/>
      <c r="G116" s="40"/>
      <c r="H116" s="39"/>
      <c r="I116" s="40"/>
      <c r="J116" s="40"/>
      <c r="K116" s="40"/>
      <c r="L116" s="40"/>
      <c r="M116" s="40"/>
    </row>
    <row r="117" ht="21.0" customHeight="1">
      <c r="A117" s="221" t="s">
        <v>172</v>
      </c>
      <c r="B117" s="216" t="s">
        <v>177</v>
      </c>
      <c r="C117" s="218"/>
      <c r="D117" s="39"/>
      <c r="E117" s="218"/>
      <c r="F117" s="219"/>
      <c r="G117" s="40"/>
      <c r="H117" s="39"/>
      <c r="I117" s="40"/>
      <c r="J117" s="40"/>
      <c r="K117" s="40"/>
      <c r="L117" s="40"/>
      <c r="M117" s="40"/>
    </row>
    <row r="118" ht="21.0" customHeight="1">
      <c r="A118" s="221" t="s">
        <v>173</v>
      </c>
      <c r="B118" s="216" t="s">
        <v>177</v>
      </c>
      <c r="C118" s="218"/>
      <c r="D118" s="39"/>
      <c r="E118" s="218"/>
      <c r="F118" s="219"/>
      <c r="G118" s="40"/>
      <c r="H118" s="39"/>
      <c r="I118" s="40"/>
      <c r="J118" s="40"/>
      <c r="K118" s="40"/>
      <c r="L118" s="40"/>
      <c r="M118" s="40"/>
    </row>
    <row r="119" ht="21.0" customHeight="1">
      <c r="A119" s="221" t="s">
        <v>174</v>
      </c>
      <c r="B119" s="216" t="s">
        <v>177</v>
      </c>
      <c r="C119" s="218"/>
      <c r="D119" s="39"/>
      <c r="E119" s="218"/>
      <c r="F119" s="219"/>
      <c r="G119" s="40"/>
      <c r="H119" s="39"/>
      <c r="I119" s="40"/>
      <c r="J119" s="40"/>
      <c r="K119" s="40"/>
      <c r="L119" s="40"/>
      <c r="M119" s="40"/>
    </row>
    <row r="120" ht="21.0" customHeight="1">
      <c r="A120" s="221" t="s">
        <v>175</v>
      </c>
      <c r="B120" s="216" t="s">
        <v>177</v>
      </c>
      <c r="C120" s="218"/>
      <c r="D120" s="39"/>
      <c r="E120" s="218"/>
      <c r="F120" s="219"/>
      <c r="G120" s="40"/>
      <c r="H120" s="39"/>
      <c r="I120" s="40"/>
      <c r="J120" s="40"/>
      <c r="K120" s="40"/>
      <c r="L120" s="40"/>
      <c r="M120" s="40"/>
    </row>
    <row r="121" ht="21.0" customHeight="1">
      <c r="A121" s="217" t="s">
        <v>195</v>
      </c>
      <c r="B121" s="216" t="s">
        <v>177</v>
      </c>
      <c r="C121" s="218"/>
      <c r="D121" s="39"/>
      <c r="E121" s="218"/>
      <c r="F121" s="219"/>
      <c r="G121" s="40"/>
      <c r="H121" s="39"/>
      <c r="I121" s="40"/>
      <c r="J121" s="40"/>
      <c r="K121" s="40"/>
      <c r="L121" s="40"/>
      <c r="M121" s="40"/>
    </row>
    <row r="122" ht="21.0" customHeight="1">
      <c r="A122" s="221" t="s">
        <v>172</v>
      </c>
      <c r="B122" s="216" t="s">
        <v>177</v>
      </c>
      <c r="C122" s="218"/>
      <c r="D122" s="39"/>
      <c r="E122" s="218"/>
      <c r="F122" s="219"/>
      <c r="G122" s="40"/>
      <c r="H122" s="39"/>
      <c r="I122" s="40"/>
      <c r="J122" s="40"/>
      <c r="K122" s="40"/>
      <c r="L122" s="40"/>
      <c r="M122" s="40"/>
    </row>
    <row r="123" ht="21.0" customHeight="1">
      <c r="A123" s="221" t="s">
        <v>173</v>
      </c>
      <c r="B123" s="216" t="s">
        <v>177</v>
      </c>
      <c r="C123" s="218"/>
      <c r="D123" s="39"/>
      <c r="E123" s="218"/>
      <c r="F123" s="219"/>
      <c r="G123" s="40"/>
      <c r="H123" s="39"/>
      <c r="I123" s="40"/>
      <c r="J123" s="40"/>
      <c r="K123" s="40"/>
      <c r="L123" s="40"/>
      <c r="M123" s="40"/>
    </row>
    <row r="124" ht="21.0" customHeight="1">
      <c r="A124" s="221" t="s">
        <v>174</v>
      </c>
      <c r="B124" s="216" t="s">
        <v>177</v>
      </c>
      <c r="C124" s="218"/>
      <c r="D124" s="39"/>
      <c r="E124" s="218"/>
      <c r="F124" s="219"/>
      <c r="G124" s="40"/>
      <c r="H124" s="39"/>
      <c r="I124" s="40"/>
      <c r="J124" s="40"/>
      <c r="K124" s="40"/>
      <c r="L124" s="40"/>
      <c r="M124" s="40"/>
    </row>
    <row r="125" ht="21.0" customHeight="1">
      <c r="A125" s="221" t="s">
        <v>175</v>
      </c>
      <c r="B125" s="216" t="s">
        <v>177</v>
      </c>
      <c r="C125" s="218"/>
      <c r="D125" s="39"/>
      <c r="E125" s="218"/>
      <c r="F125" s="219"/>
      <c r="G125" s="40"/>
      <c r="H125" s="39"/>
      <c r="I125" s="40"/>
      <c r="J125" s="40"/>
      <c r="K125" s="40"/>
      <c r="L125" s="40"/>
      <c r="M125" s="40"/>
    </row>
    <row r="126" ht="21.0" customHeight="1">
      <c r="A126" s="217" t="s">
        <v>188</v>
      </c>
      <c r="B126" s="216" t="s">
        <v>177</v>
      </c>
      <c r="C126" s="218"/>
      <c r="D126" s="39"/>
      <c r="E126" s="218"/>
      <c r="F126" s="219"/>
      <c r="G126" s="40"/>
      <c r="H126" s="39"/>
      <c r="I126" s="40"/>
      <c r="J126" s="40"/>
      <c r="K126" s="40"/>
      <c r="L126" s="40"/>
      <c r="M126" s="40"/>
    </row>
    <row r="127" ht="21.0" customHeight="1">
      <c r="A127" s="221" t="s">
        <v>172</v>
      </c>
      <c r="B127" s="216" t="s">
        <v>177</v>
      </c>
      <c r="C127" s="218"/>
      <c r="D127" s="39"/>
      <c r="E127" s="218"/>
      <c r="F127" s="219"/>
      <c r="G127" s="40"/>
      <c r="H127" s="39"/>
      <c r="I127" s="40"/>
      <c r="J127" s="40"/>
      <c r="K127" s="40"/>
      <c r="L127" s="40"/>
      <c r="M127" s="40"/>
    </row>
    <row r="128" ht="21.0" customHeight="1">
      <c r="A128" s="221" t="s">
        <v>173</v>
      </c>
      <c r="B128" s="216" t="s">
        <v>177</v>
      </c>
      <c r="C128" s="218"/>
      <c r="D128" s="39"/>
      <c r="E128" s="218"/>
      <c r="F128" s="219"/>
      <c r="G128" s="40"/>
      <c r="H128" s="39"/>
      <c r="I128" s="40"/>
      <c r="J128" s="40"/>
      <c r="K128" s="40"/>
      <c r="L128" s="40"/>
      <c r="M128" s="40"/>
    </row>
    <row r="129" ht="21.0" customHeight="1">
      <c r="A129" s="221" t="s">
        <v>174</v>
      </c>
      <c r="B129" s="216" t="s">
        <v>177</v>
      </c>
      <c r="C129" s="218"/>
      <c r="D129" s="39"/>
      <c r="E129" s="218"/>
      <c r="F129" s="219"/>
      <c r="G129" s="40"/>
      <c r="H129" s="39"/>
      <c r="I129" s="40"/>
      <c r="J129" s="40"/>
      <c r="K129" s="40"/>
      <c r="L129" s="40"/>
      <c r="M129" s="40"/>
    </row>
    <row r="130" ht="21.0" customHeight="1">
      <c r="A130" s="221" t="s">
        <v>175</v>
      </c>
      <c r="B130" s="216" t="s">
        <v>177</v>
      </c>
      <c r="C130" s="218"/>
      <c r="D130" s="39"/>
      <c r="E130" s="218"/>
      <c r="F130" s="219"/>
      <c r="G130" s="40"/>
      <c r="H130" s="39"/>
      <c r="I130" s="40"/>
      <c r="J130" s="40"/>
      <c r="K130" s="40"/>
      <c r="L130" s="40"/>
      <c r="M130" s="40"/>
    </row>
    <row r="131" ht="21.0" customHeight="1">
      <c r="A131" s="217" t="s">
        <v>196</v>
      </c>
      <c r="B131" s="216" t="s">
        <v>177</v>
      </c>
      <c r="C131" s="218"/>
      <c r="D131" s="39"/>
      <c r="E131" s="218"/>
      <c r="F131" s="219"/>
      <c r="G131" s="40"/>
      <c r="H131" s="39"/>
      <c r="I131" s="40"/>
      <c r="J131" s="40"/>
      <c r="K131" s="40"/>
      <c r="L131" s="40"/>
      <c r="M131" s="40"/>
    </row>
    <row r="132" ht="21.0" customHeight="1">
      <c r="A132" s="221" t="s">
        <v>172</v>
      </c>
      <c r="B132" s="216" t="s">
        <v>177</v>
      </c>
      <c r="C132" s="218"/>
      <c r="D132" s="39"/>
      <c r="E132" s="218"/>
      <c r="F132" s="219"/>
      <c r="G132" s="40"/>
      <c r="H132" s="39"/>
      <c r="I132" s="40"/>
      <c r="J132" s="40"/>
      <c r="K132" s="40"/>
      <c r="L132" s="40"/>
      <c r="M132" s="40"/>
    </row>
    <row r="133" ht="21.0" customHeight="1">
      <c r="A133" s="221" t="s">
        <v>173</v>
      </c>
      <c r="B133" s="216" t="s">
        <v>177</v>
      </c>
      <c r="C133" s="218"/>
      <c r="D133" s="39"/>
      <c r="E133" s="218"/>
      <c r="F133" s="219"/>
      <c r="G133" s="40"/>
      <c r="H133" s="39"/>
      <c r="I133" s="40"/>
      <c r="J133" s="40"/>
      <c r="K133" s="40"/>
      <c r="L133" s="40"/>
      <c r="M133" s="40"/>
    </row>
    <row r="134" ht="21.0" customHeight="1">
      <c r="A134" s="221" t="s">
        <v>174</v>
      </c>
      <c r="B134" s="216" t="s">
        <v>177</v>
      </c>
      <c r="C134" s="218"/>
      <c r="D134" s="39"/>
      <c r="E134" s="218"/>
      <c r="F134" s="219"/>
      <c r="G134" s="40"/>
      <c r="H134" s="39"/>
      <c r="I134" s="40"/>
      <c r="J134" s="40"/>
      <c r="K134" s="40"/>
      <c r="L134" s="40"/>
      <c r="M134" s="40"/>
    </row>
    <row r="135" ht="21.0" customHeight="1">
      <c r="A135" s="221" t="s">
        <v>175</v>
      </c>
      <c r="B135" s="216" t="s">
        <v>177</v>
      </c>
      <c r="C135" s="218"/>
      <c r="D135" s="39"/>
      <c r="E135" s="218"/>
      <c r="F135" s="219"/>
      <c r="G135" s="40"/>
      <c r="H135" s="39"/>
      <c r="I135" s="40"/>
      <c r="J135" s="40"/>
      <c r="K135" s="40"/>
      <c r="L135" s="40"/>
      <c r="M135" s="40"/>
    </row>
    <row r="136" ht="21.0" customHeight="1">
      <c r="A136" s="217" t="s">
        <v>197</v>
      </c>
      <c r="B136" s="216" t="s">
        <v>177</v>
      </c>
      <c r="C136" s="218"/>
      <c r="D136" s="39"/>
      <c r="E136" s="218"/>
      <c r="F136" s="219"/>
      <c r="G136" s="40"/>
      <c r="H136" s="39"/>
      <c r="I136" s="40"/>
      <c r="J136" s="40"/>
      <c r="K136" s="40"/>
      <c r="L136" s="40"/>
      <c r="M136" s="40"/>
    </row>
    <row r="137" ht="21.0" customHeight="1">
      <c r="A137" s="221" t="s">
        <v>172</v>
      </c>
      <c r="B137" s="216" t="s">
        <v>177</v>
      </c>
      <c r="C137" s="218"/>
      <c r="D137" s="39"/>
      <c r="E137" s="218"/>
      <c r="F137" s="219"/>
      <c r="G137" s="40"/>
      <c r="H137" s="39"/>
      <c r="I137" s="40"/>
      <c r="J137" s="40"/>
      <c r="K137" s="40"/>
      <c r="L137" s="40"/>
      <c r="M137" s="40"/>
    </row>
    <row r="138" ht="21.0" customHeight="1">
      <c r="A138" s="221" t="s">
        <v>173</v>
      </c>
      <c r="B138" s="216" t="s">
        <v>177</v>
      </c>
      <c r="C138" s="218"/>
      <c r="D138" s="39"/>
      <c r="E138" s="218"/>
      <c r="F138" s="219"/>
      <c r="G138" s="40"/>
      <c r="H138" s="39"/>
      <c r="I138" s="40"/>
      <c r="J138" s="40"/>
      <c r="K138" s="40"/>
      <c r="L138" s="40"/>
      <c r="M138" s="40"/>
    </row>
    <row r="139" ht="21.0" customHeight="1">
      <c r="A139" s="221" t="s">
        <v>174</v>
      </c>
      <c r="B139" s="216" t="s">
        <v>177</v>
      </c>
      <c r="C139" s="218"/>
      <c r="D139" s="39"/>
      <c r="E139" s="218"/>
      <c r="F139" s="219"/>
      <c r="G139" s="40"/>
      <c r="H139" s="39"/>
      <c r="I139" s="40"/>
      <c r="J139" s="40"/>
      <c r="K139" s="40"/>
      <c r="L139" s="40"/>
      <c r="M139" s="40"/>
    </row>
    <row r="140" ht="21.0" customHeight="1">
      <c r="A140" s="221" t="s">
        <v>175</v>
      </c>
      <c r="B140" s="216" t="s">
        <v>177</v>
      </c>
      <c r="C140" s="218"/>
      <c r="D140" s="39"/>
      <c r="E140" s="218"/>
      <c r="F140" s="219"/>
      <c r="G140" s="40"/>
      <c r="H140" s="39"/>
      <c r="I140" s="40"/>
      <c r="J140" s="40"/>
      <c r="K140" s="40"/>
      <c r="L140" s="40"/>
      <c r="M140" s="40"/>
    </row>
    <row r="141" ht="21.0" customHeight="1">
      <c r="A141" s="217" t="s">
        <v>198</v>
      </c>
      <c r="B141" s="216" t="s">
        <v>177</v>
      </c>
      <c r="C141" s="218"/>
      <c r="D141" s="39"/>
      <c r="E141" s="218"/>
      <c r="F141" s="219"/>
      <c r="G141" s="40"/>
      <c r="H141" s="39"/>
      <c r="I141" s="40"/>
      <c r="J141" s="40"/>
      <c r="K141" s="40"/>
      <c r="L141" s="40"/>
      <c r="M141" s="40"/>
    </row>
    <row r="142" ht="21.0" customHeight="1">
      <c r="A142" s="221" t="s">
        <v>172</v>
      </c>
      <c r="B142" s="216" t="s">
        <v>177</v>
      </c>
      <c r="C142" s="218"/>
      <c r="D142" s="39"/>
      <c r="E142" s="218"/>
      <c r="F142" s="219"/>
      <c r="G142" s="40"/>
      <c r="H142" s="39"/>
      <c r="I142" s="40"/>
      <c r="J142" s="40"/>
      <c r="K142" s="40"/>
      <c r="L142" s="40"/>
      <c r="M142" s="40"/>
    </row>
    <row r="143" ht="21.0" customHeight="1">
      <c r="A143" s="221" t="s">
        <v>173</v>
      </c>
      <c r="B143" s="216" t="s">
        <v>177</v>
      </c>
      <c r="C143" s="218"/>
      <c r="D143" s="39"/>
      <c r="E143" s="218"/>
      <c r="F143" s="219"/>
      <c r="G143" s="40"/>
      <c r="H143" s="39"/>
      <c r="I143" s="40"/>
      <c r="J143" s="40"/>
      <c r="K143" s="40"/>
      <c r="L143" s="40"/>
      <c r="M143" s="40"/>
    </row>
    <row r="144" ht="21.0" customHeight="1">
      <c r="A144" s="221" t="s">
        <v>174</v>
      </c>
      <c r="B144" s="216" t="s">
        <v>177</v>
      </c>
      <c r="C144" s="218"/>
      <c r="D144" s="39"/>
      <c r="E144" s="218"/>
      <c r="F144" s="219"/>
      <c r="G144" s="40"/>
      <c r="H144" s="39"/>
      <c r="I144" s="40"/>
      <c r="J144" s="40"/>
      <c r="K144" s="40"/>
      <c r="L144" s="40"/>
      <c r="M144" s="40"/>
    </row>
    <row r="145" ht="21.0" customHeight="1">
      <c r="A145" s="221" t="s">
        <v>175</v>
      </c>
      <c r="B145" s="216" t="s">
        <v>177</v>
      </c>
      <c r="C145" s="218"/>
      <c r="D145" s="39"/>
      <c r="E145" s="218"/>
      <c r="F145" s="219"/>
      <c r="G145" s="40"/>
      <c r="H145" s="39"/>
      <c r="I145" s="40"/>
      <c r="J145" s="40"/>
      <c r="K145" s="40"/>
      <c r="L145" s="40"/>
      <c r="M145" s="40"/>
    </row>
    <row r="146" ht="21.0" customHeight="1">
      <c r="A146" s="217" t="s">
        <v>199</v>
      </c>
      <c r="B146" s="216" t="s">
        <v>177</v>
      </c>
      <c r="C146" s="218"/>
      <c r="D146" s="39"/>
      <c r="E146" s="218"/>
      <c r="F146" s="219"/>
      <c r="G146" s="40"/>
      <c r="H146" s="39"/>
      <c r="I146" s="40"/>
      <c r="J146" s="40"/>
      <c r="K146" s="40"/>
      <c r="L146" s="40"/>
      <c r="M146" s="40"/>
    </row>
    <row r="147" ht="21.0" customHeight="1">
      <c r="A147" s="221" t="s">
        <v>172</v>
      </c>
      <c r="B147" s="216" t="s">
        <v>177</v>
      </c>
      <c r="C147" s="218"/>
      <c r="D147" s="39"/>
      <c r="E147" s="218"/>
      <c r="F147" s="219"/>
      <c r="G147" s="40"/>
      <c r="H147" s="39"/>
      <c r="I147" s="40"/>
      <c r="J147" s="40"/>
      <c r="K147" s="40"/>
      <c r="L147" s="40"/>
      <c r="M147" s="40"/>
    </row>
    <row r="148" ht="21.0" customHeight="1">
      <c r="A148" s="221" t="s">
        <v>173</v>
      </c>
      <c r="B148" s="216" t="s">
        <v>177</v>
      </c>
      <c r="C148" s="218"/>
      <c r="D148" s="39"/>
      <c r="E148" s="218"/>
      <c r="F148" s="219"/>
      <c r="G148" s="40"/>
      <c r="H148" s="39"/>
      <c r="I148" s="40"/>
      <c r="J148" s="40"/>
      <c r="K148" s="40"/>
      <c r="L148" s="40"/>
      <c r="M148" s="40"/>
    </row>
    <row r="149" ht="21.0" customHeight="1">
      <c r="A149" s="221" t="s">
        <v>174</v>
      </c>
      <c r="B149" s="216" t="s">
        <v>177</v>
      </c>
      <c r="C149" s="218"/>
      <c r="D149" s="39"/>
      <c r="E149" s="218"/>
      <c r="F149" s="219"/>
      <c r="G149" s="40"/>
      <c r="H149" s="39"/>
      <c r="I149" s="40"/>
      <c r="J149" s="40"/>
      <c r="K149" s="40"/>
      <c r="L149" s="40"/>
      <c r="M149" s="40"/>
    </row>
    <row r="150" ht="21.0" customHeight="1">
      <c r="A150" s="221" t="s">
        <v>175</v>
      </c>
      <c r="B150" s="216" t="s">
        <v>177</v>
      </c>
      <c r="C150" s="218"/>
      <c r="D150" s="39"/>
      <c r="E150" s="218"/>
      <c r="F150" s="219"/>
      <c r="G150" s="40"/>
      <c r="H150" s="39"/>
      <c r="I150" s="40"/>
      <c r="J150" s="40"/>
      <c r="K150" s="40"/>
      <c r="L150" s="40"/>
      <c r="M150" s="40"/>
    </row>
    <row r="151" ht="21.0" customHeight="1">
      <c r="A151" s="217" t="s">
        <v>200</v>
      </c>
      <c r="B151" s="216" t="s">
        <v>177</v>
      </c>
      <c r="C151" s="218"/>
      <c r="D151" s="39"/>
      <c r="E151" s="218"/>
      <c r="F151" s="219"/>
      <c r="G151" s="40"/>
      <c r="H151" s="39"/>
      <c r="I151" s="40"/>
      <c r="J151" s="40"/>
      <c r="K151" s="40"/>
      <c r="L151" s="40"/>
      <c r="M151" s="40"/>
    </row>
    <row r="152" ht="21.0" customHeight="1">
      <c r="A152" s="221" t="s">
        <v>172</v>
      </c>
      <c r="B152" s="216" t="s">
        <v>177</v>
      </c>
      <c r="C152" s="218"/>
      <c r="D152" s="39"/>
      <c r="E152" s="218"/>
      <c r="F152" s="219"/>
      <c r="G152" s="40"/>
      <c r="H152" s="39"/>
      <c r="I152" s="40"/>
      <c r="J152" s="40"/>
      <c r="K152" s="40"/>
      <c r="L152" s="40"/>
      <c r="M152" s="40"/>
    </row>
    <row r="153" ht="21.0" customHeight="1">
      <c r="A153" s="221" t="s">
        <v>173</v>
      </c>
      <c r="B153" s="216" t="s">
        <v>177</v>
      </c>
      <c r="C153" s="218"/>
      <c r="D153" s="39"/>
      <c r="E153" s="218"/>
      <c r="F153" s="219"/>
      <c r="G153" s="40"/>
      <c r="H153" s="39"/>
      <c r="I153" s="40"/>
      <c r="J153" s="40"/>
      <c r="K153" s="40"/>
      <c r="L153" s="40"/>
      <c r="M153" s="40"/>
    </row>
    <row r="154" ht="21.0" customHeight="1">
      <c r="A154" s="221" t="s">
        <v>174</v>
      </c>
      <c r="B154" s="216" t="s">
        <v>177</v>
      </c>
      <c r="C154" s="218"/>
      <c r="D154" s="39"/>
      <c r="E154" s="218"/>
      <c r="F154" s="219"/>
      <c r="G154" s="40"/>
      <c r="H154" s="39"/>
      <c r="I154" s="40"/>
      <c r="J154" s="40"/>
      <c r="K154" s="40"/>
      <c r="L154" s="40"/>
      <c r="M154" s="40"/>
    </row>
    <row r="155" ht="21.0" customHeight="1">
      <c r="A155" s="221" t="s">
        <v>175</v>
      </c>
      <c r="B155" s="216" t="s">
        <v>177</v>
      </c>
      <c r="C155" s="218"/>
      <c r="D155" s="39"/>
      <c r="E155" s="218"/>
      <c r="F155" s="219"/>
      <c r="G155" s="40"/>
      <c r="H155" s="39"/>
      <c r="I155" s="40"/>
      <c r="J155" s="40"/>
      <c r="K155" s="40"/>
      <c r="L155" s="40"/>
      <c r="M155" s="40"/>
    </row>
    <row r="156" ht="21.0" customHeight="1">
      <c r="A156" s="217" t="s">
        <v>201</v>
      </c>
      <c r="B156" s="216" t="s">
        <v>177</v>
      </c>
      <c r="C156" s="218"/>
      <c r="D156" s="39"/>
      <c r="E156" s="218"/>
      <c r="F156" s="219"/>
      <c r="G156" s="40"/>
      <c r="H156" s="39"/>
      <c r="I156" s="40"/>
      <c r="J156" s="40"/>
      <c r="K156" s="40"/>
      <c r="L156" s="40"/>
      <c r="M156" s="40"/>
    </row>
    <row r="157" ht="21.0" customHeight="1">
      <c r="A157" s="221" t="s">
        <v>172</v>
      </c>
      <c r="B157" s="216" t="s">
        <v>177</v>
      </c>
      <c r="C157" s="218"/>
      <c r="D157" s="39"/>
      <c r="E157" s="218"/>
      <c r="F157" s="219"/>
      <c r="G157" s="40"/>
      <c r="H157" s="39"/>
      <c r="I157" s="40"/>
      <c r="J157" s="40"/>
      <c r="K157" s="40"/>
      <c r="L157" s="40"/>
      <c r="M157" s="40"/>
    </row>
    <row r="158" ht="21.0" customHeight="1">
      <c r="A158" s="221" t="s">
        <v>173</v>
      </c>
      <c r="B158" s="216" t="s">
        <v>177</v>
      </c>
      <c r="C158" s="218"/>
      <c r="D158" s="39"/>
      <c r="E158" s="218"/>
      <c r="F158" s="219"/>
      <c r="G158" s="40"/>
      <c r="H158" s="39"/>
      <c r="I158" s="40"/>
      <c r="J158" s="40"/>
      <c r="K158" s="40"/>
      <c r="L158" s="40"/>
      <c r="M158" s="40"/>
    </row>
    <row r="159" ht="21.0" customHeight="1">
      <c r="A159" s="221" t="s">
        <v>174</v>
      </c>
      <c r="B159" s="216" t="s">
        <v>177</v>
      </c>
      <c r="C159" s="218"/>
      <c r="D159" s="39"/>
      <c r="E159" s="218"/>
      <c r="F159" s="219"/>
      <c r="G159" s="40"/>
      <c r="H159" s="39"/>
      <c r="I159" s="40"/>
      <c r="J159" s="40"/>
      <c r="K159" s="40"/>
      <c r="L159" s="40"/>
      <c r="M159" s="40"/>
    </row>
    <row r="160" ht="21.0" customHeight="1">
      <c r="A160" s="221" t="s">
        <v>175</v>
      </c>
      <c r="B160" s="216" t="s">
        <v>177</v>
      </c>
      <c r="C160" s="218"/>
      <c r="D160" s="39"/>
      <c r="E160" s="218"/>
      <c r="F160" s="219"/>
      <c r="G160" s="40"/>
      <c r="H160" s="39"/>
      <c r="I160" s="40"/>
      <c r="J160" s="40"/>
      <c r="K160" s="40"/>
      <c r="L160" s="40"/>
      <c r="M160" s="40"/>
    </row>
    <row r="161" ht="21.0" customHeight="1">
      <c r="A161" s="217" t="s">
        <v>202</v>
      </c>
      <c r="B161" s="216" t="s">
        <v>177</v>
      </c>
      <c r="C161" s="218"/>
      <c r="D161" s="39"/>
      <c r="E161" s="218"/>
      <c r="F161" s="219"/>
      <c r="G161" s="40"/>
      <c r="H161" s="39"/>
      <c r="I161" s="40"/>
      <c r="J161" s="40"/>
      <c r="K161" s="40"/>
      <c r="L161" s="40"/>
      <c r="M161" s="40"/>
    </row>
    <row r="162" ht="21.0" customHeight="1">
      <c r="A162" s="221" t="s">
        <v>172</v>
      </c>
      <c r="B162" s="216" t="s">
        <v>177</v>
      </c>
      <c r="C162" s="218"/>
      <c r="D162" s="39"/>
      <c r="E162" s="218"/>
      <c r="F162" s="219"/>
      <c r="G162" s="40"/>
      <c r="H162" s="39"/>
      <c r="I162" s="40"/>
      <c r="J162" s="40"/>
      <c r="K162" s="40"/>
      <c r="L162" s="40"/>
      <c r="M162" s="40"/>
    </row>
    <row r="163" ht="21.0" customHeight="1">
      <c r="A163" s="221" t="s">
        <v>173</v>
      </c>
      <c r="B163" s="216" t="s">
        <v>177</v>
      </c>
      <c r="C163" s="218"/>
      <c r="D163" s="39"/>
      <c r="E163" s="218"/>
      <c r="F163" s="219"/>
      <c r="G163" s="40"/>
      <c r="H163" s="39"/>
      <c r="I163" s="40"/>
      <c r="J163" s="40"/>
      <c r="K163" s="40"/>
      <c r="L163" s="40"/>
      <c r="M163" s="40"/>
    </row>
    <row r="164" ht="21.0" customHeight="1">
      <c r="A164" s="221" t="s">
        <v>174</v>
      </c>
      <c r="B164" s="216" t="s">
        <v>177</v>
      </c>
      <c r="C164" s="218"/>
      <c r="D164" s="39"/>
      <c r="E164" s="218"/>
      <c r="F164" s="219"/>
      <c r="G164" s="40"/>
      <c r="H164" s="39"/>
      <c r="I164" s="40"/>
      <c r="J164" s="40"/>
      <c r="K164" s="40"/>
      <c r="L164" s="40"/>
      <c r="M164" s="40"/>
    </row>
    <row r="165" ht="21.0" customHeight="1">
      <c r="A165" s="221" t="s">
        <v>175</v>
      </c>
      <c r="B165" s="216" t="s">
        <v>177</v>
      </c>
      <c r="C165" s="218"/>
      <c r="D165" s="39"/>
      <c r="E165" s="218"/>
      <c r="F165" s="219"/>
      <c r="G165" s="40"/>
      <c r="H165" s="39"/>
      <c r="I165" s="40"/>
      <c r="J165" s="40"/>
      <c r="K165" s="40"/>
      <c r="L165" s="40"/>
      <c r="M165" s="40"/>
    </row>
    <row r="166" ht="21.0" customHeight="1">
      <c r="A166" s="217" t="s">
        <v>203</v>
      </c>
      <c r="B166" s="216" t="s">
        <v>177</v>
      </c>
      <c r="C166" s="218"/>
      <c r="D166" s="39"/>
      <c r="E166" s="218"/>
      <c r="F166" s="219"/>
      <c r="G166" s="40"/>
      <c r="H166" s="39"/>
      <c r="I166" s="40"/>
      <c r="J166" s="40"/>
      <c r="K166" s="40"/>
      <c r="L166" s="40"/>
      <c r="M166" s="40"/>
    </row>
    <row r="167" ht="21.0" customHeight="1">
      <c r="A167" s="221" t="s">
        <v>172</v>
      </c>
      <c r="B167" s="216" t="s">
        <v>177</v>
      </c>
      <c r="C167" s="218"/>
      <c r="D167" s="39"/>
      <c r="E167" s="218"/>
      <c r="F167" s="219"/>
      <c r="G167" s="40"/>
      <c r="H167" s="39"/>
      <c r="I167" s="40"/>
      <c r="J167" s="40"/>
      <c r="K167" s="40"/>
      <c r="L167" s="40"/>
      <c r="M167" s="40"/>
    </row>
    <row r="168" ht="21.0" customHeight="1">
      <c r="A168" s="221" t="s">
        <v>173</v>
      </c>
      <c r="B168" s="216" t="s">
        <v>177</v>
      </c>
      <c r="C168" s="218"/>
      <c r="D168" s="39"/>
      <c r="E168" s="218"/>
      <c r="F168" s="219"/>
      <c r="G168" s="40"/>
      <c r="H168" s="39"/>
      <c r="I168" s="40"/>
      <c r="J168" s="40"/>
      <c r="K168" s="40"/>
      <c r="L168" s="40"/>
      <c r="M168" s="40"/>
    </row>
    <row r="169" ht="21.0" customHeight="1">
      <c r="A169" s="221" t="s">
        <v>174</v>
      </c>
      <c r="B169" s="216" t="s">
        <v>177</v>
      </c>
      <c r="C169" s="218"/>
      <c r="D169" s="39"/>
      <c r="E169" s="218"/>
      <c r="F169" s="219"/>
      <c r="G169" s="40"/>
      <c r="H169" s="39"/>
      <c r="I169" s="40"/>
      <c r="J169" s="40"/>
      <c r="K169" s="40"/>
      <c r="L169" s="40"/>
      <c r="M169" s="40"/>
    </row>
    <row r="170" ht="21.0" customHeight="1">
      <c r="A170" s="221" t="s">
        <v>175</v>
      </c>
      <c r="B170" s="216" t="s">
        <v>177</v>
      </c>
      <c r="C170" s="218"/>
      <c r="D170" s="39"/>
      <c r="E170" s="218"/>
      <c r="F170" s="219"/>
      <c r="G170" s="40"/>
      <c r="H170" s="39"/>
      <c r="I170" s="40"/>
      <c r="J170" s="40"/>
      <c r="K170" s="40"/>
      <c r="L170" s="40"/>
      <c r="M170" s="40"/>
    </row>
    <row r="171" ht="21.0" customHeight="1">
      <c r="A171" s="217" t="s">
        <v>204</v>
      </c>
      <c r="B171" s="216" t="s">
        <v>177</v>
      </c>
      <c r="C171" s="218"/>
      <c r="D171" s="39"/>
      <c r="E171" s="218"/>
      <c r="F171" s="219"/>
      <c r="G171" s="40"/>
      <c r="H171" s="39"/>
      <c r="I171" s="40"/>
      <c r="J171" s="40"/>
      <c r="K171" s="40"/>
      <c r="L171" s="40"/>
      <c r="M171" s="40"/>
    </row>
    <row r="172" ht="21.0" customHeight="1">
      <c r="A172" s="221" t="s">
        <v>172</v>
      </c>
      <c r="B172" s="216" t="s">
        <v>177</v>
      </c>
      <c r="C172" s="218"/>
      <c r="D172" s="39"/>
      <c r="E172" s="218"/>
      <c r="F172" s="219"/>
      <c r="G172" s="40"/>
      <c r="H172" s="39"/>
      <c r="I172" s="40"/>
      <c r="J172" s="40"/>
      <c r="K172" s="40"/>
      <c r="L172" s="40"/>
      <c r="M172" s="40"/>
    </row>
    <row r="173" ht="21.0" customHeight="1">
      <c r="A173" s="221" t="s">
        <v>173</v>
      </c>
      <c r="B173" s="216" t="s">
        <v>177</v>
      </c>
      <c r="C173" s="218"/>
      <c r="D173" s="39"/>
      <c r="E173" s="218"/>
      <c r="F173" s="219"/>
      <c r="G173" s="40"/>
      <c r="H173" s="39"/>
      <c r="I173" s="40"/>
      <c r="J173" s="40"/>
      <c r="K173" s="40"/>
      <c r="L173" s="40"/>
      <c r="M173" s="40"/>
    </row>
    <row r="174" ht="21.0" customHeight="1">
      <c r="A174" s="221" t="s">
        <v>174</v>
      </c>
      <c r="B174" s="216" t="s">
        <v>177</v>
      </c>
      <c r="C174" s="218"/>
      <c r="D174" s="39"/>
      <c r="E174" s="218"/>
      <c r="F174" s="219"/>
      <c r="G174" s="40"/>
      <c r="H174" s="39"/>
      <c r="I174" s="40"/>
      <c r="J174" s="40"/>
      <c r="K174" s="40"/>
      <c r="L174" s="40"/>
      <c r="M174" s="40"/>
    </row>
    <row r="175" ht="21.0" customHeight="1">
      <c r="A175" s="221" t="s">
        <v>175</v>
      </c>
      <c r="B175" s="216" t="s">
        <v>177</v>
      </c>
      <c r="C175" s="218"/>
      <c r="D175" s="39"/>
      <c r="E175" s="218"/>
      <c r="F175" s="219"/>
      <c r="G175" s="40"/>
      <c r="H175" s="39"/>
      <c r="I175" s="40"/>
      <c r="J175" s="40"/>
      <c r="K175" s="40"/>
      <c r="L175" s="40"/>
      <c r="M175" s="40"/>
    </row>
    <row r="176" ht="21.0" customHeight="1">
      <c r="A176" s="217" t="s">
        <v>205</v>
      </c>
      <c r="B176" s="216" t="s">
        <v>177</v>
      </c>
      <c r="C176" s="218"/>
      <c r="D176" s="39"/>
      <c r="E176" s="218"/>
      <c r="F176" s="219"/>
      <c r="G176" s="40"/>
      <c r="H176" s="39"/>
      <c r="I176" s="40"/>
      <c r="J176" s="40"/>
      <c r="K176" s="40"/>
      <c r="L176" s="40"/>
      <c r="M176" s="40"/>
    </row>
    <row r="177" ht="21.0" customHeight="1">
      <c r="A177" s="221" t="s">
        <v>172</v>
      </c>
      <c r="B177" s="216" t="s">
        <v>177</v>
      </c>
      <c r="C177" s="218"/>
      <c r="D177" s="39"/>
      <c r="E177" s="218"/>
      <c r="F177" s="219"/>
      <c r="G177" s="40"/>
      <c r="H177" s="39"/>
      <c r="I177" s="40"/>
      <c r="J177" s="40"/>
      <c r="K177" s="40"/>
      <c r="L177" s="40"/>
      <c r="M177" s="40"/>
    </row>
    <row r="178" ht="21.0" customHeight="1">
      <c r="A178" s="221" t="s">
        <v>173</v>
      </c>
      <c r="B178" s="216" t="s">
        <v>177</v>
      </c>
      <c r="C178" s="218"/>
      <c r="D178" s="39"/>
      <c r="E178" s="218"/>
      <c r="F178" s="219"/>
      <c r="G178" s="40"/>
      <c r="H178" s="39"/>
      <c r="I178" s="40"/>
      <c r="J178" s="40"/>
      <c r="K178" s="40"/>
      <c r="L178" s="40"/>
      <c r="M178" s="40"/>
    </row>
    <row r="179" ht="21.0" customHeight="1">
      <c r="A179" s="221" t="s">
        <v>174</v>
      </c>
      <c r="B179" s="216" t="s">
        <v>177</v>
      </c>
      <c r="C179" s="218"/>
      <c r="D179" s="39"/>
      <c r="E179" s="218"/>
      <c r="F179" s="219"/>
      <c r="G179" s="40"/>
      <c r="H179" s="39"/>
      <c r="I179" s="40"/>
      <c r="J179" s="40"/>
      <c r="K179" s="40"/>
      <c r="L179" s="40"/>
      <c r="M179" s="40"/>
    </row>
    <row r="180" ht="21.0" customHeight="1">
      <c r="A180" s="221" t="s">
        <v>175</v>
      </c>
      <c r="B180" s="216" t="s">
        <v>177</v>
      </c>
      <c r="C180" s="218"/>
      <c r="D180" s="39"/>
      <c r="E180" s="218"/>
      <c r="F180" s="219"/>
      <c r="G180" s="40"/>
      <c r="H180" s="39"/>
      <c r="I180" s="40"/>
      <c r="J180" s="40"/>
      <c r="K180" s="40"/>
      <c r="L180" s="40"/>
      <c r="M180" s="40"/>
    </row>
    <row r="181" ht="21.0" customHeight="1">
      <c r="A181" s="217" t="s">
        <v>206</v>
      </c>
      <c r="B181" s="216" t="s">
        <v>177</v>
      </c>
      <c r="C181" s="218"/>
      <c r="D181" s="39"/>
      <c r="E181" s="218"/>
      <c r="F181" s="219"/>
      <c r="G181" s="40"/>
      <c r="H181" s="39"/>
      <c r="I181" s="40"/>
      <c r="J181" s="40"/>
      <c r="K181" s="40"/>
      <c r="L181" s="40"/>
      <c r="M181" s="40"/>
    </row>
    <row r="182" ht="21.0" customHeight="1">
      <c r="A182" s="221" t="s">
        <v>172</v>
      </c>
      <c r="B182" s="216" t="s">
        <v>177</v>
      </c>
      <c r="C182" s="218"/>
      <c r="D182" s="39"/>
      <c r="E182" s="218"/>
      <c r="F182" s="219"/>
      <c r="G182" s="40"/>
      <c r="H182" s="39"/>
      <c r="I182" s="40"/>
      <c r="J182" s="40"/>
      <c r="K182" s="40"/>
      <c r="L182" s="40"/>
      <c r="M182" s="40"/>
    </row>
    <row r="183" ht="21.0" customHeight="1">
      <c r="A183" s="221" t="s">
        <v>173</v>
      </c>
      <c r="B183" s="216" t="s">
        <v>177</v>
      </c>
      <c r="C183" s="218">
        <v>5000.0</v>
      </c>
      <c r="D183" s="39">
        <v>500.0</v>
      </c>
      <c r="E183" s="218"/>
      <c r="F183" s="219"/>
      <c r="G183" s="40"/>
      <c r="H183" s="39"/>
      <c r="I183" s="40"/>
      <c r="J183" s="40"/>
      <c r="K183" s="40"/>
      <c r="L183" s="40"/>
      <c r="M183" s="40"/>
    </row>
    <row r="184" ht="21.0" customHeight="1">
      <c r="A184" s="221" t="s">
        <v>174</v>
      </c>
      <c r="B184" s="216" t="s">
        <v>177</v>
      </c>
      <c r="C184" s="218"/>
      <c r="D184" s="39"/>
      <c r="E184" s="218"/>
      <c r="F184" s="219"/>
      <c r="G184" s="40"/>
      <c r="H184" s="39"/>
      <c r="I184" s="40"/>
      <c r="J184" s="40"/>
      <c r="K184" s="40"/>
      <c r="L184" s="40"/>
      <c r="M184" s="40"/>
    </row>
    <row r="185" ht="21.0" customHeight="1">
      <c r="A185" s="221" t="s">
        <v>175</v>
      </c>
      <c r="B185" s="216" t="s">
        <v>24</v>
      </c>
      <c r="C185" s="218"/>
      <c r="D185" s="39"/>
      <c r="E185" s="218"/>
      <c r="F185" s="219"/>
      <c r="G185" s="40"/>
      <c r="H185" s="39"/>
      <c r="I185" s="40"/>
      <c r="J185" s="40"/>
      <c r="K185" s="40"/>
      <c r="L185" s="40"/>
      <c r="M185" s="40"/>
    </row>
    <row r="186" ht="21.0" customHeight="1">
      <c r="A186" s="217" t="s">
        <v>207</v>
      </c>
      <c r="B186" s="216"/>
      <c r="C186" s="218"/>
      <c r="D186" s="39"/>
      <c r="E186" s="218"/>
      <c r="F186" s="219"/>
      <c r="G186" s="40"/>
      <c r="H186" s="39"/>
      <c r="I186" s="40"/>
      <c r="J186" s="40"/>
      <c r="K186" s="40"/>
      <c r="L186" s="40"/>
      <c r="M186" s="40"/>
    </row>
    <row r="187" ht="21.0" customHeight="1">
      <c r="A187" s="221" t="s">
        <v>172</v>
      </c>
      <c r="B187" s="216"/>
      <c r="C187" s="218"/>
      <c r="D187" s="39"/>
      <c r="E187" s="218"/>
      <c r="F187" s="219"/>
      <c r="G187" s="40"/>
      <c r="H187" s="39"/>
      <c r="I187" s="40"/>
      <c r="J187" s="40"/>
      <c r="K187" s="40"/>
      <c r="L187" s="40"/>
      <c r="M187" s="40"/>
    </row>
    <row r="188" ht="21.0" customHeight="1">
      <c r="A188" s="221" t="s">
        <v>173</v>
      </c>
      <c r="B188" s="216"/>
      <c r="C188" s="218"/>
      <c r="D188" s="39"/>
      <c r="E188" s="218"/>
      <c r="F188" s="219"/>
      <c r="G188" s="40"/>
      <c r="H188" s="39"/>
      <c r="I188" s="40"/>
      <c r="J188" s="40"/>
      <c r="K188" s="40"/>
      <c r="L188" s="40"/>
      <c r="M188" s="40"/>
    </row>
    <row r="189" ht="21.0" customHeight="1">
      <c r="A189" s="221" t="s">
        <v>174</v>
      </c>
      <c r="B189" s="216"/>
      <c r="C189" s="218"/>
      <c r="D189" s="39"/>
      <c r="E189" s="218"/>
      <c r="F189" s="219"/>
      <c r="G189" s="40"/>
      <c r="H189" s="39"/>
      <c r="I189" s="40"/>
      <c r="J189" s="40"/>
      <c r="K189" s="40"/>
      <c r="L189" s="40"/>
      <c r="M189" s="40"/>
    </row>
    <row r="190" ht="21.0" customHeight="1">
      <c r="A190" s="221" t="s">
        <v>175</v>
      </c>
      <c r="B190" s="216"/>
      <c r="C190" s="218"/>
      <c r="D190" s="39"/>
      <c r="E190" s="218"/>
      <c r="F190" s="219"/>
      <c r="G190" s="40"/>
      <c r="H190" s="39"/>
      <c r="I190" s="40"/>
      <c r="J190" s="40"/>
      <c r="K190" s="40"/>
      <c r="L190" s="40"/>
      <c r="M190" s="40"/>
    </row>
    <row r="191" ht="21.0" customHeight="1">
      <c r="A191" s="217" t="s">
        <v>208</v>
      </c>
      <c r="B191" s="216"/>
      <c r="C191" s="218"/>
      <c r="D191" s="39"/>
      <c r="E191" s="218"/>
      <c r="F191" s="219"/>
      <c r="G191" s="40"/>
      <c r="H191" s="39"/>
      <c r="I191" s="40"/>
      <c r="J191" s="40"/>
      <c r="K191" s="40"/>
      <c r="L191" s="40"/>
      <c r="M191" s="40"/>
    </row>
    <row r="192" ht="21.0" customHeight="1">
      <c r="A192" s="221" t="s">
        <v>172</v>
      </c>
      <c r="B192" s="216"/>
      <c r="C192" s="218"/>
      <c r="D192" s="39"/>
      <c r="E192" s="218"/>
      <c r="F192" s="219"/>
      <c r="G192" s="40"/>
      <c r="H192" s="39"/>
      <c r="I192" s="40"/>
      <c r="J192" s="40"/>
      <c r="K192" s="40"/>
      <c r="L192" s="40"/>
      <c r="M192" s="40"/>
    </row>
    <row r="193" ht="21.0" customHeight="1">
      <c r="A193" s="221" t="s">
        <v>173</v>
      </c>
      <c r="B193" s="216"/>
      <c r="C193" s="218"/>
      <c r="D193" s="39"/>
      <c r="E193" s="218"/>
      <c r="F193" s="219"/>
      <c r="G193" s="40"/>
      <c r="H193" s="39"/>
      <c r="I193" s="40"/>
      <c r="J193" s="40"/>
      <c r="K193" s="40"/>
      <c r="L193" s="40"/>
      <c r="M193" s="40"/>
    </row>
    <row r="194" ht="21.0" customHeight="1">
      <c r="A194" s="221" t="s">
        <v>174</v>
      </c>
      <c r="B194" s="216"/>
      <c r="C194" s="218"/>
      <c r="D194" s="39"/>
      <c r="E194" s="218"/>
      <c r="F194" s="219"/>
      <c r="G194" s="40"/>
      <c r="H194" s="39"/>
      <c r="I194" s="40"/>
      <c r="J194" s="40"/>
      <c r="K194" s="40"/>
      <c r="L194" s="40"/>
      <c r="M194" s="40"/>
    </row>
    <row r="195" ht="21.0" customHeight="1">
      <c r="A195" s="221" t="s">
        <v>175</v>
      </c>
      <c r="B195" s="216"/>
      <c r="C195" s="218"/>
      <c r="D195" s="39"/>
      <c r="E195" s="218"/>
      <c r="F195" s="219"/>
      <c r="G195" s="40"/>
      <c r="H195" s="39"/>
      <c r="I195" s="40"/>
      <c r="J195" s="40"/>
      <c r="K195" s="40"/>
      <c r="L195" s="40"/>
      <c r="M195" s="40"/>
    </row>
    <row r="196" ht="21.0" customHeight="1">
      <c r="A196" s="217" t="s">
        <v>209</v>
      </c>
      <c r="B196" s="216"/>
      <c r="C196" s="218"/>
      <c r="D196" s="39"/>
      <c r="E196" s="218"/>
      <c r="F196" s="219"/>
      <c r="G196" s="40"/>
      <c r="H196" s="39"/>
      <c r="I196" s="40"/>
      <c r="J196" s="40"/>
      <c r="K196" s="40"/>
      <c r="L196" s="40"/>
      <c r="M196" s="40"/>
    </row>
    <row r="197" ht="21.0" customHeight="1">
      <c r="A197" s="221" t="s">
        <v>172</v>
      </c>
      <c r="B197" s="216"/>
      <c r="C197" s="218"/>
      <c r="D197" s="39"/>
      <c r="E197" s="218"/>
      <c r="F197" s="219"/>
      <c r="G197" s="40"/>
      <c r="H197" s="39"/>
      <c r="I197" s="40"/>
      <c r="J197" s="40"/>
      <c r="K197" s="40"/>
      <c r="L197" s="40"/>
      <c r="M197" s="40"/>
    </row>
    <row r="198" ht="21.0" customHeight="1">
      <c r="A198" s="221" t="s">
        <v>173</v>
      </c>
      <c r="B198" s="216"/>
      <c r="C198" s="218"/>
      <c r="D198" s="39"/>
      <c r="E198" s="218"/>
      <c r="F198" s="219"/>
      <c r="G198" s="40"/>
      <c r="H198" s="39"/>
      <c r="I198" s="40"/>
      <c r="J198" s="40"/>
      <c r="K198" s="40"/>
      <c r="L198" s="40"/>
      <c r="M198" s="40"/>
    </row>
    <row r="199" ht="21.0" customHeight="1">
      <c r="A199" s="221" t="s">
        <v>174</v>
      </c>
      <c r="B199" s="216"/>
      <c r="C199" s="218"/>
      <c r="D199" s="39"/>
      <c r="E199" s="218"/>
      <c r="F199" s="219"/>
      <c r="G199" s="40"/>
      <c r="H199" s="39"/>
      <c r="I199" s="40"/>
      <c r="J199" s="40"/>
      <c r="K199" s="40"/>
      <c r="L199" s="40"/>
      <c r="M199" s="40"/>
    </row>
    <row r="200" ht="21.0" customHeight="1">
      <c r="A200" s="221" t="s">
        <v>175</v>
      </c>
      <c r="B200" s="216"/>
      <c r="C200" s="218"/>
      <c r="D200" s="39"/>
      <c r="E200" s="218"/>
      <c r="F200" s="219"/>
      <c r="G200" s="40"/>
      <c r="H200" s="39"/>
      <c r="I200" s="40"/>
      <c r="J200" s="40"/>
      <c r="K200" s="40"/>
      <c r="L200" s="40"/>
      <c r="M200" s="40"/>
    </row>
    <row r="201" ht="21.0" customHeight="1">
      <c r="A201" s="217" t="s">
        <v>210</v>
      </c>
      <c r="B201" s="216"/>
      <c r="C201" s="218"/>
      <c r="D201" s="39"/>
      <c r="E201" s="218"/>
      <c r="F201" s="219"/>
      <c r="G201" s="40"/>
      <c r="H201" s="39"/>
      <c r="I201" s="40"/>
      <c r="J201" s="40"/>
      <c r="K201" s="40"/>
      <c r="L201" s="40"/>
      <c r="M201" s="40"/>
    </row>
    <row r="202" ht="21.0" customHeight="1">
      <c r="A202" s="221" t="s">
        <v>172</v>
      </c>
      <c r="B202" s="216"/>
      <c r="C202" s="218"/>
      <c r="D202" s="39"/>
      <c r="E202" s="218"/>
      <c r="F202" s="219"/>
      <c r="G202" s="40"/>
      <c r="H202" s="39"/>
      <c r="I202" s="40"/>
      <c r="J202" s="40"/>
      <c r="K202" s="40"/>
      <c r="L202" s="40"/>
      <c r="M202" s="40"/>
    </row>
    <row r="203" ht="21.0" customHeight="1">
      <c r="A203" s="221" t="s">
        <v>173</v>
      </c>
      <c r="B203" s="216"/>
      <c r="C203" s="218"/>
      <c r="D203" s="39"/>
      <c r="E203" s="218"/>
      <c r="F203" s="219"/>
      <c r="G203" s="40"/>
      <c r="H203" s="39"/>
      <c r="I203" s="40"/>
      <c r="J203" s="40"/>
      <c r="K203" s="40"/>
      <c r="L203" s="40"/>
      <c r="M203" s="40"/>
    </row>
    <row r="204" ht="21.0" customHeight="1">
      <c r="A204" s="221" t="s">
        <v>174</v>
      </c>
      <c r="B204" s="216"/>
      <c r="C204" s="218"/>
      <c r="D204" s="39"/>
      <c r="E204" s="218"/>
      <c r="F204" s="219"/>
      <c r="G204" s="40"/>
      <c r="H204" s="39"/>
      <c r="I204" s="40"/>
      <c r="J204" s="40"/>
      <c r="K204" s="40"/>
      <c r="L204" s="40"/>
      <c r="M204" s="40"/>
    </row>
    <row r="205" ht="21.0" customHeight="1">
      <c r="A205" s="221" t="s">
        <v>175</v>
      </c>
      <c r="B205" s="216"/>
      <c r="C205" s="218"/>
      <c r="D205" s="39"/>
      <c r="E205" s="218"/>
      <c r="F205" s="219"/>
      <c r="G205" s="40"/>
      <c r="H205" s="39"/>
      <c r="I205" s="40"/>
      <c r="J205" s="40"/>
      <c r="K205" s="40"/>
      <c r="L205" s="40"/>
      <c r="M205" s="40"/>
    </row>
    <row r="206" ht="21.0" customHeight="1">
      <c r="A206" s="217" t="s">
        <v>211</v>
      </c>
      <c r="B206" s="216"/>
      <c r="C206" s="218"/>
      <c r="D206" s="39"/>
      <c r="E206" s="218"/>
      <c r="F206" s="219"/>
      <c r="G206" s="40"/>
      <c r="H206" s="39"/>
      <c r="I206" s="40"/>
      <c r="J206" s="40"/>
      <c r="K206" s="40"/>
      <c r="L206" s="40"/>
      <c r="M206" s="40"/>
    </row>
    <row r="207" ht="21.0" customHeight="1">
      <c r="A207" s="221" t="s">
        <v>172</v>
      </c>
      <c r="B207" s="216"/>
      <c r="C207" s="218"/>
      <c r="D207" s="39"/>
      <c r="E207" s="218"/>
      <c r="F207" s="219"/>
      <c r="G207" s="40"/>
      <c r="H207" s="39"/>
      <c r="I207" s="40"/>
      <c r="J207" s="40"/>
      <c r="K207" s="40"/>
      <c r="L207" s="40"/>
      <c r="M207" s="40"/>
    </row>
    <row r="208" ht="21.0" customHeight="1">
      <c r="A208" s="221" t="s">
        <v>173</v>
      </c>
      <c r="B208" s="216"/>
      <c r="C208" s="218"/>
      <c r="D208" s="39"/>
      <c r="E208" s="218"/>
      <c r="F208" s="219"/>
      <c r="G208" s="40"/>
      <c r="H208" s="39"/>
      <c r="I208" s="40"/>
      <c r="J208" s="40"/>
      <c r="K208" s="40"/>
      <c r="L208" s="40"/>
      <c r="M208" s="40"/>
    </row>
    <row r="209" ht="21.0" customHeight="1">
      <c r="A209" s="221" t="s">
        <v>174</v>
      </c>
      <c r="B209" s="216"/>
      <c r="C209" s="218"/>
      <c r="D209" s="39"/>
      <c r="E209" s="218"/>
      <c r="F209" s="219"/>
      <c r="G209" s="40"/>
      <c r="H209" s="39"/>
      <c r="I209" s="40"/>
      <c r="J209" s="40"/>
      <c r="K209" s="40"/>
      <c r="L209" s="40"/>
      <c r="M209" s="40"/>
    </row>
    <row r="210" ht="21.0" customHeight="1">
      <c r="A210" s="221" t="s">
        <v>175</v>
      </c>
      <c r="B210" s="216"/>
      <c r="C210" s="218"/>
      <c r="D210" s="39"/>
      <c r="E210" s="218"/>
      <c r="F210" s="219"/>
      <c r="G210" s="40"/>
      <c r="H210" s="39"/>
      <c r="I210" s="40"/>
      <c r="J210" s="40"/>
      <c r="K210" s="40"/>
      <c r="L210" s="40"/>
      <c r="M210" s="40"/>
    </row>
    <row r="211" ht="21.0" customHeight="1">
      <c r="A211" s="217" t="s">
        <v>212</v>
      </c>
      <c r="B211" s="216"/>
      <c r="C211" s="218"/>
      <c r="D211" s="39"/>
      <c r="E211" s="218"/>
      <c r="F211" s="219"/>
      <c r="G211" s="40"/>
      <c r="H211" s="39"/>
      <c r="I211" s="40"/>
      <c r="J211" s="40"/>
      <c r="K211" s="40"/>
      <c r="L211" s="40"/>
      <c r="M211" s="40"/>
    </row>
    <row r="212" ht="21.0" customHeight="1">
      <c r="A212" s="221" t="s">
        <v>172</v>
      </c>
      <c r="B212" s="216"/>
      <c r="C212" s="218"/>
      <c r="D212" s="39"/>
      <c r="E212" s="218"/>
      <c r="F212" s="219"/>
      <c r="G212" s="40"/>
      <c r="H212" s="39"/>
      <c r="I212" s="40"/>
      <c r="J212" s="40"/>
      <c r="K212" s="40"/>
      <c r="L212" s="40"/>
      <c r="M212" s="40"/>
    </row>
    <row r="213" ht="21.0" customHeight="1">
      <c r="A213" s="221" t="s">
        <v>173</v>
      </c>
      <c r="B213" s="216"/>
      <c r="C213" s="218"/>
      <c r="D213" s="39"/>
      <c r="E213" s="218"/>
      <c r="F213" s="219"/>
      <c r="G213" s="40"/>
      <c r="H213" s="39"/>
      <c r="I213" s="40"/>
      <c r="J213" s="40"/>
      <c r="K213" s="40"/>
      <c r="L213" s="40"/>
      <c r="M213" s="40"/>
    </row>
    <row r="214" ht="21.0" customHeight="1">
      <c r="A214" s="221" t="s">
        <v>174</v>
      </c>
      <c r="B214" s="216"/>
      <c r="C214" s="218"/>
      <c r="D214" s="39"/>
      <c r="E214" s="218"/>
      <c r="F214" s="219"/>
      <c r="G214" s="40"/>
      <c r="H214" s="39"/>
      <c r="I214" s="40"/>
      <c r="J214" s="40"/>
      <c r="K214" s="40"/>
      <c r="L214" s="40"/>
      <c r="M214" s="40"/>
    </row>
    <row r="215" ht="21.0" customHeight="1">
      <c r="A215" s="221" t="s">
        <v>175</v>
      </c>
      <c r="B215" s="216"/>
      <c r="C215" s="218"/>
      <c r="D215" s="39"/>
      <c r="E215" s="218"/>
      <c r="F215" s="219"/>
      <c r="G215" s="40"/>
      <c r="H215" s="39"/>
      <c r="I215" s="40"/>
      <c r="J215" s="40"/>
      <c r="K215" s="40"/>
      <c r="L215" s="40"/>
      <c r="M215" s="40"/>
    </row>
    <row r="216" ht="21.0" customHeight="1">
      <c r="A216" s="217" t="s">
        <v>213</v>
      </c>
      <c r="B216" s="216"/>
      <c r="C216" s="218"/>
      <c r="D216" s="39"/>
      <c r="E216" s="218"/>
      <c r="F216" s="219"/>
      <c r="G216" s="40"/>
      <c r="H216" s="39"/>
      <c r="I216" s="40"/>
      <c r="J216" s="40"/>
      <c r="K216" s="40"/>
      <c r="L216" s="40"/>
      <c r="M216" s="40"/>
    </row>
    <row r="217" ht="21.0" customHeight="1">
      <c r="A217" s="221" t="s">
        <v>172</v>
      </c>
      <c r="B217" s="216"/>
      <c r="C217" s="218"/>
      <c r="D217" s="39"/>
      <c r="E217" s="218"/>
      <c r="F217" s="219"/>
      <c r="G217" s="40"/>
      <c r="H217" s="39"/>
      <c r="I217" s="40"/>
      <c r="J217" s="40"/>
      <c r="K217" s="40"/>
      <c r="L217" s="40"/>
      <c r="M217" s="40"/>
    </row>
    <row r="218" ht="21.0" customHeight="1">
      <c r="A218" s="221" t="s">
        <v>173</v>
      </c>
      <c r="B218" s="216"/>
      <c r="C218" s="218"/>
      <c r="D218" s="39"/>
      <c r="E218" s="218"/>
      <c r="F218" s="219"/>
      <c r="G218" s="40"/>
      <c r="H218" s="39"/>
      <c r="I218" s="40"/>
      <c r="J218" s="40"/>
      <c r="K218" s="40"/>
      <c r="L218" s="40"/>
      <c r="M218" s="40"/>
    </row>
    <row r="219" ht="21.0" customHeight="1">
      <c r="A219" s="221" t="s">
        <v>174</v>
      </c>
      <c r="B219" s="216"/>
      <c r="C219" s="218"/>
      <c r="D219" s="39"/>
      <c r="E219" s="218"/>
      <c r="F219" s="219"/>
      <c r="G219" s="40"/>
      <c r="H219" s="39"/>
      <c r="I219" s="40"/>
      <c r="J219" s="40"/>
      <c r="K219" s="40"/>
      <c r="L219" s="40"/>
      <c r="M219" s="40"/>
    </row>
    <row r="220" ht="21.0" customHeight="1">
      <c r="A220" s="221" t="s">
        <v>175</v>
      </c>
      <c r="B220" s="216"/>
      <c r="C220" s="218"/>
      <c r="D220" s="39"/>
      <c r="E220" s="218"/>
      <c r="F220" s="219"/>
      <c r="G220" s="40"/>
      <c r="H220" s="39"/>
      <c r="I220" s="40"/>
      <c r="J220" s="40"/>
      <c r="K220" s="40"/>
      <c r="L220" s="40"/>
      <c r="M220" s="40"/>
    </row>
    <row r="221" ht="21.0" customHeight="1">
      <c r="A221" s="217" t="s">
        <v>214</v>
      </c>
      <c r="B221" s="216"/>
      <c r="C221" s="218"/>
      <c r="D221" s="39"/>
      <c r="E221" s="218"/>
      <c r="F221" s="219"/>
      <c r="G221" s="40"/>
      <c r="H221" s="39"/>
      <c r="I221" s="40"/>
      <c r="J221" s="40"/>
      <c r="K221" s="40"/>
      <c r="L221" s="40"/>
      <c r="M221" s="40"/>
    </row>
    <row r="222" ht="21.0" customHeight="1">
      <c r="A222" s="221" t="s">
        <v>172</v>
      </c>
      <c r="B222" s="216"/>
      <c r="C222" s="218"/>
      <c r="D222" s="39"/>
      <c r="E222" s="218"/>
      <c r="F222" s="219"/>
      <c r="G222" s="40"/>
      <c r="H222" s="39"/>
      <c r="I222" s="40"/>
      <c r="J222" s="40"/>
      <c r="K222" s="40"/>
      <c r="L222" s="40"/>
      <c r="M222" s="40"/>
    </row>
    <row r="223" ht="21.0" customHeight="1">
      <c r="A223" s="221" t="s">
        <v>173</v>
      </c>
      <c r="B223" s="216"/>
      <c r="C223" s="218"/>
      <c r="D223" s="39"/>
      <c r="E223" s="218"/>
      <c r="F223" s="219"/>
      <c r="G223" s="40"/>
      <c r="H223" s="39"/>
      <c r="I223" s="40"/>
      <c r="J223" s="40"/>
      <c r="K223" s="40"/>
      <c r="L223" s="40"/>
      <c r="M223" s="40"/>
    </row>
    <row r="224" ht="21.0" customHeight="1">
      <c r="A224" s="221" t="s">
        <v>174</v>
      </c>
      <c r="B224" s="216"/>
      <c r="C224" s="218"/>
      <c r="D224" s="39"/>
      <c r="E224" s="218"/>
      <c r="F224" s="219"/>
      <c r="G224" s="40"/>
      <c r="H224" s="39"/>
      <c r="I224" s="40"/>
      <c r="J224" s="40"/>
      <c r="K224" s="40"/>
      <c r="L224" s="40"/>
      <c r="M224" s="40"/>
    </row>
    <row r="225" ht="21.0" customHeight="1">
      <c r="A225" s="221" t="s">
        <v>175</v>
      </c>
      <c r="B225" s="216"/>
      <c r="C225" s="218"/>
      <c r="D225" s="39"/>
      <c r="E225" s="218"/>
      <c r="F225" s="219"/>
      <c r="G225" s="40"/>
      <c r="H225" s="39"/>
      <c r="I225" s="40"/>
      <c r="J225" s="40"/>
      <c r="K225" s="40"/>
      <c r="L225" s="40"/>
      <c r="M225" s="40"/>
    </row>
    <row r="226" ht="21.0" customHeight="1">
      <c r="A226" s="217" t="s">
        <v>215</v>
      </c>
      <c r="B226" s="216"/>
      <c r="C226" s="218"/>
      <c r="D226" s="39"/>
      <c r="E226" s="218"/>
      <c r="F226" s="219"/>
      <c r="G226" s="40"/>
      <c r="H226" s="39"/>
      <c r="I226" s="40"/>
      <c r="J226" s="40"/>
      <c r="K226" s="40"/>
      <c r="L226" s="40"/>
      <c r="M226" s="40"/>
    </row>
    <row r="227" ht="21.0" customHeight="1">
      <c r="A227" s="221" t="s">
        <v>172</v>
      </c>
      <c r="B227" s="216"/>
      <c r="C227" s="218"/>
      <c r="D227" s="39"/>
      <c r="E227" s="218"/>
      <c r="F227" s="219"/>
      <c r="G227" s="40"/>
      <c r="H227" s="39"/>
      <c r="I227" s="40"/>
      <c r="J227" s="40"/>
      <c r="K227" s="40"/>
      <c r="L227" s="40"/>
      <c r="M227" s="40"/>
    </row>
    <row r="228" ht="21.0" customHeight="1">
      <c r="A228" s="221" t="s">
        <v>173</v>
      </c>
      <c r="B228" s="216"/>
      <c r="C228" s="218"/>
      <c r="D228" s="39"/>
      <c r="E228" s="218"/>
      <c r="F228" s="219"/>
      <c r="G228" s="40"/>
      <c r="H228" s="39"/>
      <c r="I228" s="40"/>
      <c r="J228" s="40"/>
      <c r="K228" s="40"/>
      <c r="L228" s="40"/>
      <c r="M228" s="40"/>
    </row>
    <row r="229" ht="21.0" customHeight="1">
      <c r="A229" s="221" t="s">
        <v>174</v>
      </c>
      <c r="B229" s="216"/>
      <c r="C229" s="218"/>
      <c r="D229" s="39"/>
      <c r="E229" s="218"/>
      <c r="F229" s="219"/>
      <c r="G229" s="40"/>
      <c r="H229" s="39"/>
      <c r="I229" s="40"/>
      <c r="J229" s="40"/>
      <c r="K229" s="40"/>
      <c r="L229" s="40"/>
      <c r="M229" s="40"/>
    </row>
    <row r="230" ht="21.0" customHeight="1">
      <c r="A230" s="221" t="s">
        <v>175</v>
      </c>
      <c r="B230" s="216"/>
      <c r="C230" s="218"/>
      <c r="D230" s="39"/>
      <c r="E230" s="218"/>
      <c r="F230" s="219"/>
      <c r="G230" s="40"/>
      <c r="H230" s="39"/>
      <c r="I230" s="40"/>
      <c r="J230" s="40"/>
      <c r="K230" s="40"/>
      <c r="L230" s="40"/>
      <c r="M230" s="40"/>
    </row>
    <row r="231" ht="21.0" customHeight="1">
      <c r="A231" s="217" t="s">
        <v>216</v>
      </c>
      <c r="B231" s="216"/>
      <c r="C231" s="218"/>
      <c r="D231" s="39"/>
      <c r="E231" s="218"/>
      <c r="F231" s="219"/>
      <c r="G231" s="40"/>
      <c r="H231" s="39"/>
      <c r="I231" s="40"/>
      <c r="J231" s="40"/>
      <c r="K231" s="40"/>
      <c r="L231" s="40"/>
      <c r="M231" s="40"/>
    </row>
    <row r="232" ht="21.0" customHeight="1">
      <c r="A232" s="221" t="s">
        <v>172</v>
      </c>
      <c r="B232" s="216"/>
      <c r="C232" s="218"/>
      <c r="D232" s="39"/>
      <c r="E232" s="218"/>
      <c r="F232" s="219"/>
      <c r="G232" s="40"/>
      <c r="H232" s="39"/>
      <c r="I232" s="40"/>
      <c r="J232" s="40"/>
      <c r="K232" s="40"/>
      <c r="L232" s="40"/>
      <c r="M232" s="40"/>
    </row>
    <row r="233" ht="21.0" customHeight="1">
      <c r="A233" s="221" t="s">
        <v>173</v>
      </c>
      <c r="B233" s="216"/>
      <c r="C233" s="218"/>
      <c r="D233" s="39"/>
      <c r="E233" s="218"/>
      <c r="F233" s="219"/>
      <c r="G233" s="40"/>
      <c r="H233" s="39"/>
      <c r="I233" s="40"/>
      <c r="J233" s="40"/>
      <c r="K233" s="40"/>
      <c r="L233" s="40"/>
      <c r="M233" s="40"/>
    </row>
    <row r="234" ht="21.0" customHeight="1">
      <c r="A234" s="221" t="s">
        <v>174</v>
      </c>
      <c r="B234" s="216"/>
      <c r="C234" s="218"/>
      <c r="D234" s="39"/>
      <c r="E234" s="218"/>
      <c r="F234" s="219"/>
      <c r="G234" s="40"/>
      <c r="H234" s="39"/>
      <c r="I234" s="40"/>
      <c r="J234" s="40"/>
      <c r="K234" s="40"/>
      <c r="L234" s="40"/>
      <c r="M234" s="40"/>
    </row>
    <row r="235" ht="21.0" customHeight="1">
      <c r="A235" s="221" t="s">
        <v>175</v>
      </c>
      <c r="B235" s="216"/>
      <c r="C235" s="218"/>
      <c r="D235" s="39"/>
      <c r="E235" s="218"/>
      <c r="F235" s="219"/>
      <c r="G235" s="40"/>
      <c r="H235" s="39"/>
      <c r="I235" s="40"/>
      <c r="J235" s="40"/>
      <c r="K235" s="40"/>
      <c r="L235" s="40"/>
      <c r="M235" s="40"/>
    </row>
    <row r="236" ht="21.0" customHeight="1">
      <c r="A236" s="217" t="s">
        <v>217</v>
      </c>
      <c r="B236" s="216"/>
      <c r="C236" s="218"/>
      <c r="D236" s="39"/>
      <c r="E236" s="218"/>
      <c r="F236" s="219"/>
      <c r="G236" s="40"/>
      <c r="H236" s="39"/>
      <c r="I236" s="40"/>
      <c r="J236" s="40"/>
      <c r="K236" s="40"/>
      <c r="L236" s="40"/>
      <c r="M236" s="40"/>
    </row>
    <row r="237" ht="21.0" customHeight="1">
      <c r="A237" s="221" t="s">
        <v>172</v>
      </c>
      <c r="B237" s="216"/>
      <c r="C237" s="218"/>
      <c r="D237" s="39"/>
      <c r="E237" s="218"/>
      <c r="F237" s="219"/>
      <c r="G237" s="40"/>
      <c r="H237" s="39"/>
      <c r="I237" s="40"/>
      <c r="J237" s="40"/>
      <c r="K237" s="40"/>
      <c r="L237" s="40"/>
      <c r="M237" s="40"/>
    </row>
    <row r="238" ht="21.0" customHeight="1">
      <c r="A238" s="221" t="s">
        <v>173</v>
      </c>
      <c r="B238" s="216"/>
      <c r="C238" s="218"/>
      <c r="D238" s="39"/>
      <c r="E238" s="218"/>
      <c r="F238" s="219"/>
      <c r="G238" s="40"/>
      <c r="H238" s="39"/>
      <c r="I238" s="40"/>
      <c r="J238" s="40"/>
      <c r="K238" s="40"/>
      <c r="L238" s="40"/>
      <c r="M238" s="40"/>
    </row>
    <row r="239" ht="21.0" customHeight="1">
      <c r="A239" s="221" t="s">
        <v>174</v>
      </c>
      <c r="B239" s="216"/>
      <c r="C239" s="218"/>
      <c r="D239" s="39"/>
      <c r="E239" s="218"/>
      <c r="F239" s="219"/>
      <c r="G239" s="40"/>
      <c r="H239" s="39"/>
      <c r="I239" s="40"/>
      <c r="J239" s="40"/>
      <c r="K239" s="40"/>
      <c r="L239" s="40"/>
      <c r="M239" s="40"/>
    </row>
    <row r="240" ht="21.0" customHeight="1">
      <c r="A240" s="221" t="s">
        <v>175</v>
      </c>
      <c r="B240" s="216"/>
      <c r="C240" s="218"/>
      <c r="D240" s="39"/>
      <c r="E240" s="218"/>
      <c r="F240" s="219"/>
      <c r="G240" s="40"/>
      <c r="H240" s="39"/>
      <c r="I240" s="40"/>
      <c r="J240" s="40"/>
      <c r="K240" s="40"/>
      <c r="L240" s="40"/>
      <c r="M240" s="40"/>
    </row>
    <row r="241" ht="21.0" customHeight="1">
      <c r="A241" s="217" t="s">
        <v>218</v>
      </c>
      <c r="B241" s="216"/>
      <c r="C241" s="218"/>
      <c r="D241" s="39"/>
      <c r="E241" s="218"/>
      <c r="F241" s="219"/>
      <c r="G241" s="40"/>
      <c r="H241" s="39"/>
      <c r="I241" s="40"/>
      <c r="J241" s="40"/>
      <c r="K241" s="40"/>
      <c r="L241" s="40"/>
      <c r="M241" s="40"/>
    </row>
    <row r="242" ht="21.0" customHeight="1">
      <c r="A242" s="221" t="s">
        <v>172</v>
      </c>
      <c r="B242" s="216"/>
      <c r="C242" s="218"/>
      <c r="D242" s="39"/>
      <c r="E242" s="218"/>
      <c r="F242" s="219"/>
      <c r="G242" s="40"/>
      <c r="H242" s="39"/>
      <c r="I242" s="40"/>
      <c r="J242" s="40"/>
      <c r="K242" s="40"/>
      <c r="L242" s="40"/>
      <c r="M242" s="40"/>
    </row>
    <row r="243" ht="21.0" customHeight="1">
      <c r="A243" s="221" t="s">
        <v>173</v>
      </c>
      <c r="B243" s="216"/>
      <c r="C243" s="218"/>
      <c r="D243" s="39"/>
      <c r="E243" s="218"/>
      <c r="F243" s="219"/>
      <c r="G243" s="40"/>
      <c r="H243" s="39"/>
      <c r="I243" s="40"/>
      <c r="J243" s="40"/>
      <c r="K243" s="40"/>
      <c r="L243" s="40"/>
      <c r="M243" s="40"/>
    </row>
    <row r="244" ht="21.0" customHeight="1">
      <c r="A244" s="221" t="s">
        <v>174</v>
      </c>
      <c r="B244" s="216"/>
      <c r="C244" s="218"/>
      <c r="D244" s="39"/>
      <c r="E244" s="218"/>
      <c r="F244" s="219"/>
      <c r="G244" s="40"/>
      <c r="H244" s="39"/>
      <c r="I244" s="40"/>
      <c r="J244" s="40"/>
      <c r="K244" s="40"/>
      <c r="L244" s="40"/>
      <c r="M244" s="40"/>
    </row>
    <row r="245" ht="21.0" customHeight="1">
      <c r="A245" s="221" t="s">
        <v>175</v>
      </c>
      <c r="B245" s="216"/>
      <c r="C245" s="218"/>
      <c r="D245" s="39"/>
      <c r="E245" s="218"/>
      <c r="F245" s="219"/>
      <c r="G245" s="40"/>
      <c r="H245" s="39"/>
      <c r="I245" s="40"/>
      <c r="J245" s="40"/>
      <c r="K245" s="40"/>
      <c r="L245" s="40"/>
      <c r="M245" s="40"/>
    </row>
    <row r="246" ht="21.0" customHeight="1">
      <c r="A246" s="217" t="s">
        <v>219</v>
      </c>
      <c r="B246" s="216"/>
      <c r="C246" s="218"/>
      <c r="D246" s="39"/>
      <c r="E246" s="218"/>
      <c r="F246" s="219"/>
      <c r="G246" s="40"/>
      <c r="H246" s="39"/>
      <c r="I246" s="40"/>
      <c r="J246" s="40"/>
      <c r="K246" s="40"/>
      <c r="L246" s="40"/>
      <c r="M246" s="40"/>
    </row>
    <row r="247" ht="21.0" customHeight="1">
      <c r="A247" s="221" t="s">
        <v>172</v>
      </c>
      <c r="B247" s="216"/>
      <c r="C247" s="218"/>
      <c r="D247" s="39"/>
      <c r="E247" s="218"/>
      <c r="F247" s="219"/>
      <c r="G247" s="40"/>
      <c r="H247" s="39"/>
      <c r="I247" s="40"/>
      <c r="J247" s="40"/>
      <c r="K247" s="40"/>
      <c r="L247" s="40"/>
      <c r="M247" s="40"/>
    </row>
    <row r="248" ht="21.0" customHeight="1">
      <c r="A248" s="221" t="s">
        <v>173</v>
      </c>
      <c r="B248" s="216"/>
      <c r="C248" s="218"/>
      <c r="D248" s="39"/>
      <c r="E248" s="218"/>
      <c r="F248" s="219"/>
      <c r="G248" s="40"/>
      <c r="H248" s="39"/>
      <c r="I248" s="40"/>
      <c r="J248" s="40"/>
      <c r="K248" s="40"/>
      <c r="L248" s="40"/>
      <c r="M248" s="40"/>
    </row>
    <row r="249" ht="21.0" customHeight="1">
      <c r="A249" s="221" t="s">
        <v>174</v>
      </c>
      <c r="B249" s="216"/>
      <c r="C249" s="218"/>
      <c r="D249" s="39"/>
      <c r="E249" s="218"/>
      <c r="F249" s="219"/>
      <c r="G249" s="40"/>
      <c r="H249" s="39"/>
      <c r="I249" s="40"/>
      <c r="J249" s="40"/>
      <c r="K249" s="40"/>
      <c r="L249" s="40"/>
      <c r="M249" s="40"/>
    </row>
    <row r="250" ht="21.0" customHeight="1">
      <c r="A250" s="221" t="s">
        <v>175</v>
      </c>
      <c r="B250" s="216"/>
      <c r="C250" s="218"/>
      <c r="D250" s="39"/>
      <c r="E250" s="218"/>
      <c r="F250" s="219"/>
      <c r="G250" s="40"/>
      <c r="H250" s="39"/>
      <c r="I250" s="40"/>
      <c r="J250" s="40"/>
      <c r="K250" s="40"/>
      <c r="L250" s="40"/>
      <c r="M250" s="40"/>
    </row>
    <row r="251" ht="21.0" customHeight="1">
      <c r="A251" s="215" t="s">
        <v>220</v>
      </c>
      <c r="B251" s="216"/>
      <c r="C251" s="218"/>
      <c r="D251" s="39"/>
      <c r="E251" s="218"/>
      <c r="F251" s="219"/>
      <c r="G251" s="40"/>
      <c r="H251" s="39"/>
      <c r="I251" s="40"/>
      <c r="J251" s="40"/>
      <c r="K251" s="40"/>
      <c r="L251" s="40"/>
      <c r="M251" s="40"/>
    </row>
    <row r="252" ht="21.0" customHeight="1">
      <c r="A252" s="221" t="s">
        <v>172</v>
      </c>
      <c r="B252" s="216"/>
      <c r="C252" s="218"/>
      <c r="D252" s="39"/>
      <c r="E252" s="218"/>
      <c r="F252" s="219"/>
      <c r="G252" s="40"/>
      <c r="H252" s="39"/>
      <c r="I252" s="40"/>
      <c r="J252" s="40"/>
      <c r="K252" s="40"/>
      <c r="L252" s="40"/>
      <c r="M252" s="40"/>
    </row>
    <row r="253" ht="21.0" customHeight="1">
      <c r="A253" s="221" t="s">
        <v>173</v>
      </c>
      <c r="B253" s="216"/>
      <c r="C253" s="218"/>
      <c r="D253" s="39"/>
      <c r="E253" s="218"/>
      <c r="F253" s="219"/>
      <c r="G253" s="40"/>
      <c r="H253" s="39"/>
      <c r="I253" s="40"/>
      <c r="J253" s="40"/>
      <c r="K253" s="40"/>
      <c r="L253" s="40"/>
      <c r="M253" s="40"/>
    </row>
    <row r="254" ht="21.0" customHeight="1">
      <c r="A254" s="221" t="s">
        <v>174</v>
      </c>
      <c r="B254" s="216"/>
      <c r="C254" s="218"/>
      <c r="D254" s="39"/>
      <c r="E254" s="218"/>
      <c r="F254" s="219"/>
      <c r="G254" s="40"/>
      <c r="H254" s="39"/>
      <c r="I254" s="40"/>
      <c r="J254" s="40"/>
      <c r="K254" s="40"/>
      <c r="L254" s="40"/>
      <c r="M254" s="40"/>
    </row>
    <row r="255" ht="21.0" customHeight="1">
      <c r="A255" s="221" t="s">
        <v>175</v>
      </c>
      <c r="B255" s="216"/>
      <c r="C255" s="218"/>
      <c r="D255" s="39"/>
      <c r="E255" s="218"/>
      <c r="F255" s="219"/>
      <c r="G255" s="40"/>
      <c r="H255" s="39"/>
      <c r="I255" s="40"/>
      <c r="J255" s="40"/>
      <c r="K255" s="40"/>
      <c r="L255" s="40"/>
      <c r="M255" s="40"/>
    </row>
    <row r="256" ht="21.0" customHeight="1">
      <c r="A256" s="217" t="s">
        <v>221</v>
      </c>
      <c r="B256" s="216"/>
      <c r="C256" s="218"/>
      <c r="D256" s="39"/>
      <c r="E256" s="218"/>
      <c r="F256" s="219"/>
      <c r="G256" s="40"/>
      <c r="H256" s="39"/>
      <c r="I256" s="40"/>
      <c r="J256" s="40"/>
      <c r="K256" s="40"/>
      <c r="L256" s="40"/>
      <c r="M256" s="40"/>
    </row>
    <row r="257" ht="21.0" customHeight="1">
      <c r="A257" s="221" t="s">
        <v>172</v>
      </c>
      <c r="B257" s="216"/>
      <c r="C257" s="218"/>
      <c r="D257" s="39"/>
      <c r="E257" s="218"/>
      <c r="F257" s="219"/>
      <c r="G257" s="40"/>
      <c r="H257" s="39"/>
      <c r="I257" s="40"/>
      <c r="J257" s="40"/>
      <c r="K257" s="40"/>
      <c r="L257" s="40"/>
      <c r="M257" s="40"/>
    </row>
    <row r="258" ht="21.0" customHeight="1">
      <c r="A258" s="221" t="s">
        <v>173</v>
      </c>
      <c r="B258" s="216"/>
      <c r="C258" s="218"/>
      <c r="D258" s="39"/>
      <c r="E258" s="218"/>
      <c r="F258" s="219"/>
      <c r="G258" s="40"/>
      <c r="H258" s="39"/>
      <c r="I258" s="40"/>
      <c r="J258" s="40"/>
      <c r="K258" s="40"/>
      <c r="L258" s="40"/>
      <c r="M258" s="40"/>
    </row>
    <row r="259" ht="21.0" customHeight="1">
      <c r="A259" s="221" t="s">
        <v>174</v>
      </c>
      <c r="B259" s="216"/>
      <c r="C259" s="218"/>
      <c r="D259" s="39"/>
      <c r="E259" s="218"/>
      <c r="F259" s="219"/>
      <c r="G259" s="40"/>
      <c r="H259" s="39"/>
      <c r="I259" s="40"/>
      <c r="J259" s="40"/>
      <c r="K259" s="40"/>
      <c r="L259" s="40"/>
      <c r="M259" s="40"/>
    </row>
    <row r="260" ht="21.0" customHeight="1">
      <c r="A260" s="221" t="s">
        <v>175</v>
      </c>
      <c r="B260" s="216"/>
      <c r="C260" s="218"/>
      <c r="D260" s="39"/>
      <c r="E260" s="218"/>
      <c r="F260" s="219"/>
      <c r="G260" s="40"/>
      <c r="H260" s="39"/>
      <c r="I260" s="40"/>
      <c r="J260" s="40"/>
      <c r="K260" s="40"/>
      <c r="L260" s="40"/>
      <c r="M260" s="40"/>
    </row>
    <row r="261" ht="21.0" customHeight="1">
      <c r="A261" s="217" t="s">
        <v>222</v>
      </c>
      <c r="B261" s="216"/>
      <c r="C261" s="218"/>
      <c r="D261" s="39"/>
      <c r="E261" s="218"/>
      <c r="F261" s="219"/>
      <c r="G261" s="40"/>
      <c r="H261" s="39"/>
      <c r="I261" s="40"/>
      <c r="J261" s="40"/>
      <c r="K261" s="40"/>
      <c r="L261" s="40"/>
      <c r="M261" s="40"/>
    </row>
    <row r="262" ht="21.0" customHeight="1">
      <c r="A262" s="221" t="s">
        <v>172</v>
      </c>
      <c r="B262" s="216"/>
      <c r="C262" s="218"/>
      <c r="D262" s="39"/>
      <c r="E262" s="218"/>
      <c r="F262" s="219"/>
      <c r="G262" s="40"/>
      <c r="H262" s="39"/>
      <c r="I262" s="40"/>
      <c r="J262" s="40"/>
      <c r="K262" s="40"/>
      <c r="L262" s="40"/>
      <c r="M262" s="40"/>
    </row>
    <row r="263" ht="21.0" customHeight="1">
      <c r="A263" s="221" t="s">
        <v>173</v>
      </c>
      <c r="B263" s="216"/>
      <c r="C263" s="218"/>
      <c r="D263" s="39"/>
      <c r="E263" s="218"/>
      <c r="F263" s="219"/>
      <c r="G263" s="40"/>
      <c r="H263" s="39"/>
      <c r="I263" s="40"/>
      <c r="J263" s="40"/>
      <c r="K263" s="40"/>
      <c r="L263" s="40"/>
      <c r="M263" s="40"/>
    </row>
    <row r="264" ht="21.0" customHeight="1">
      <c r="A264" s="221" t="s">
        <v>174</v>
      </c>
      <c r="B264" s="216"/>
      <c r="C264" s="218"/>
      <c r="D264" s="39"/>
      <c r="E264" s="218"/>
      <c r="F264" s="219"/>
      <c r="G264" s="40"/>
      <c r="H264" s="39"/>
      <c r="I264" s="40"/>
      <c r="J264" s="40"/>
      <c r="K264" s="40"/>
      <c r="L264" s="40"/>
      <c r="M264" s="40"/>
    </row>
    <row r="265" ht="21.0" customHeight="1">
      <c r="A265" s="221" t="s">
        <v>175</v>
      </c>
      <c r="B265" s="216"/>
      <c r="C265" s="218"/>
      <c r="D265" s="39"/>
      <c r="E265" s="218"/>
      <c r="F265" s="219"/>
      <c r="G265" s="40"/>
      <c r="H265" s="39"/>
      <c r="I265" s="40"/>
      <c r="J265" s="40"/>
      <c r="K265" s="40"/>
      <c r="L265" s="40"/>
      <c r="M265" s="40"/>
    </row>
    <row r="266" ht="21.0" customHeight="1">
      <c r="A266" s="217" t="s">
        <v>223</v>
      </c>
      <c r="B266" s="216"/>
      <c r="C266" s="218"/>
      <c r="D266" s="39"/>
      <c r="E266" s="218"/>
      <c r="F266" s="219"/>
      <c r="G266" s="40"/>
      <c r="H266" s="39"/>
      <c r="I266" s="40"/>
      <c r="J266" s="40"/>
      <c r="K266" s="40"/>
      <c r="L266" s="40"/>
      <c r="M266" s="40"/>
    </row>
    <row r="267" ht="21.0" customHeight="1">
      <c r="A267" s="221" t="s">
        <v>172</v>
      </c>
      <c r="B267" s="216"/>
      <c r="C267" s="218"/>
      <c r="D267" s="39"/>
      <c r="E267" s="218"/>
      <c r="F267" s="219"/>
      <c r="G267" s="40"/>
      <c r="H267" s="39"/>
      <c r="I267" s="40"/>
      <c r="J267" s="40"/>
      <c r="K267" s="40"/>
      <c r="L267" s="40"/>
      <c r="M267" s="40"/>
    </row>
    <row r="268" ht="21.0" customHeight="1">
      <c r="A268" s="221" t="s">
        <v>173</v>
      </c>
      <c r="B268" s="216"/>
      <c r="C268" s="218"/>
      <c r="D268" s="39"/>
      <c r="E268" s="218"/>
      <c r="F268" s="219"/>
      <c r="G268" s="40"/>
      <c r="H268" s="39"/>
      <c r="I268" s="40"/>
      <c r="J268" s="40"/>
      <c r="K268" s="40"/>
      <c r="L268" s="40"/>
      <c r="M268" s="40"/>
    </row>
    <row r="269" ht="21.0" customHeight="1">
      <c r="A269" s="221" t="s">
        <v>174</v>
      </c>
      <c r="B269" s="216"/>
      <c r="C269" s="218"/>
      <c r="D269" s="39"/>
      <c r="E269" s="218"/>
      <c r="F269" s="219"/>
      <c r="G269" s="40"/>
      <c r="H269" s="39"/>
      <c r="I269" s="40"/>
      <c r="J269" s="40"/>
      <c r="K269" s="40"/>
      <c r="L269" s="40"/>
      <c r="M269" s="40"/>
    </row>
    <row r="270" ht="21.0" customHeight="1">
      <c r="A270" s="221" t="s">
        <v>175</v>
      </c>
      <c r="B270" s="216"/>
      <c r="C270" s="218"/>
      <c r="D270" s="39"/>
      <c r="E270" s="218"/>
      <c r="F270" s="219"/>
      <c r="G270" s="40"/>
      <c r="H270" s="39"/>
      <c r="I270" s="40"/>
      <c r="J270" s="40"/>
      <c r="K270" s="40"/>
      <c r="L270" s="40"/>
      <c r="M270" s="40"/>
    </row>
    <row r="271" ht="21.0" customHeight="1">
      <c r="A271" s="217" t="s">
        <v>224</v>
      </c>
      <c r="B271" s="216"/>
      <c r="C271" s="218"/>
      <c r="D271" s="39"/>
      <c r="E271" s="218"/>
      <c r="F271" s="219"/>
      <c r="G271" s="40"/>
      <c r="H271" s="39"/>
      <c r="I271" s="40"/>
      <c r="J271" s="40"/>
      <c r="K271" s="40"/>
      <c r="L271" s="40"/>
      <c r="M271" s="40"/>
    </row>
    <row r="272" ht="21.0" customHeight="1">
      <c r="A272" s="221" t="s">
        <v>172</v>
      </c>
      <c r="B272" s="216"/>
      <c r="C272" s="218"/>
      <c r="D272" s="39"/>
      <c r="E272" s="218"/>
      <c r="F272" s="219"/>
      <c r="G272" s="40"/>
      <c r="H272" s="39"/>
      <c r="I272" s="40"/>
      <c r="J272" s="40"/>
      <c r="K272" s="40"/>
      <c r="L272" s="40"/>
      <c r="M272" s="40"/>
    </row>
    <row r="273" ht="21.0" customHeight="1">
      <c r="A273" s="221" t="s">
        <v>173</v>
      </c>
      <c r="B273" s="216"/>
      <c r="C273" s="218"/>
      <c r="D273" s="39"/>
      <c r="E273" s="218"/>
      <c r="F273" s="219"/>
      <c r="G273" s="40"/>
      <c r="H273" s="39"/>
      <c r="I273" s="40"/>
      <c r="J273" s="40"/>
      <c r="K273" s="40"/>
      <c r="L273" s="40"/>
      <c r="M273" s="40"/>
    </row>
    <row r="274" ht="21.0" customHeight="1">
      <c r="A274" s="221" t="s">
        <v>174</v>
      </c>
      <c r="B274" s="216"/>
      <c r="C274" s="218"/>
      <c r="D274" s="39"/>
      <c r="E274" s="218"/>
      <c r="F274" s="219"/>
      <c r="G274" s="40"/>
      <c r="H274" s="39"/>
      <c r="I274" s="40"/>
      <c r="J274" s="40"/>
      <c r="K274" s="40"/>
      <c r="L274" s="40"/>
      <c r="M274" s="40"/>
    </row>
    <row r="275" ht="21.0" customHeight="1">
      <c r="A275" s="221" t="s">
        <v>175</v>
      </c>
      <c r="B275" s="216"/>
      <c r="C275" s="218"/>
      <c r="D275" s="39"/>
      <c r="E275" s="218"/>
      <c r="F275" s="219"/>
      <c r="G275" s="40"/>
      <c r="H275" s="39"/>
      <c r="I275" s="40"/>
      <c r="J275" s="40"/>
      <c r="K275" s="40"/>
      <c r="L275" s="40"/>
      <c r="M275" s="40"/>
    </row>
    <row r="276" ht="21.0" customHeight="1">
      <c r="A276" s="217" t="s">
        <v>225</v>
      </c>
      <c r="B276" s="216"/>
      <c r="C276" s="218"/>
      <c r="D276" s="39"/>
      <c r="E276" s="218"/>
      <c r="F276" s="219"/>
      <c r="G276" s="40"/>
      <c r="H276" s="39"/>
      <c r="I276" s="40"/>
      <c r="J276" s="40"/>
      <c r="K276" s="40"/>
      <c r="L276" s="40"/>
      <c r="M276" s="40"/>
    </row>
    <row r="277" ht="21.0" customHeight="1">
      <c r="A277" s="221" t="s">
        <v>172</v>
      </c>
      <c r="B277" s="216"/>
      <c r="C277" s="218"/>
      <c r="D277" s="39"/>
      <c r="E277" s="218"/>
      <c r="F277" s="219"/>
      <c r="G277" s="40"/>
      <c r="H277" s="39"/>
      <c r="I277" s="40"/>
      <c r="J277" s="40"/>
      <c r="K277" s="40"/>
      <c r="L277" s="40"/>
      <c r="M277" s="40"/>
    </row>
    <row r="278" ht="21.0" customHeight="1">
      <c r="A278" s="221" t="s">
        <v>173</v>
      </c>
      <c r="B278" s="216"/>
      <c r="C278" s="218"/>
      <c r="D278" s="39"/>
      <c r="E278" s="218"/>
      <c r="F278" s="219"/>
      <c r="G278" s="40"/>
      <c r="H278" s="39"/>
      <c r="I278" s="40"/>
      <c r="J278" s="40"/>
      <c r="K278" s="40"/>
      <c r="L278" s="40"/>
      <c r="M278" s="40"/>
    </row>
    <row r="279" ht="21.0" customHeight="1">
      <c r="A279" s="221" t="s">
        <v>174</v>
      </c>
      <c r="B279" s="216"/>
      <c r="C279" s="218"/>
      <c r="D279" s="39"/>
      <c r="E279" s="218"/>
      <c r="F279" s="219"/>
      <c r="G279" s="40"/>
      <c r="H279" s="39"/>
      <c r="I279" s="40"/>
      <c r="J279" s="40"/>
      <c r="K279" s="40"/>
      <c r="L279" s="40"/>
      <c r="M279" s="40"/>
    </row>
    <row r="280" ht="21.0" customHeight="1">
      <c r="A280" s="221" t="s">
        <v>175</v>
      </c>
      <c r="B280" s="216"/>
      <c r="C280" s="218"/>
      <c r="D280" s="39"/>
      <c r="E280" s="218"/>
      <c r="F280" s="219"/>
      <c r="G280" s="40"/>
      <c r="H280" s="39"/>
      <c r="I280" s="40"/>
      <c r="J280" s="40"/>
      <c r="K280" s="40"/>
      <c r="L280" s="40"/>
      <c r="M280" s="40"/>
    </row>
    <row r="281" ht="21.0" customHeight="1">
      <c r="A281" s="217" t="s">
        <v>179</v>
      </c>
      <c r="B281" s="216"/>
      <c r="C281" s="218"/>
      <c r="D281" s="39"/>
      <c r="E281" s="218"/>
      <c r="F281" s="219"/>
      <c r="G281" s="40"/>
      <c r="H281" s="39"/>
      <c r="I281" s="40"/>
      <c r="J281" s="40"/>
      <c r="K281" s="40"/>
      <c r="L281" s="40"/>
      <c r="M281" s="40"/>
    </row>
    <row r="282" ht="21.0" customHeight="1">
      <c r="A282" s="221" t="s">
        <v>172</v>
      </c>
      <c r="B282" s="216"/>
      <c r="C282" s="218"/>
      <c r="D282" s="39"/>
      <c r="E282" s="218"/>
      <c r="F282" s="219"/>
      <c r="G282" s="40"/>
      <c r="H282" s="39"/>
      <c r="I282" s="40"/>
      <c r="J282" s="40"/>
      <c r="K282" s="40"/>
      <c r="L282" s="40"/>
      <c r="M282" s="40"/>
    </row>
    <row r="283" ht="21.0" customHeight="1">
      <c r="A283" s="221" t="s">
        <v>173</v>
      </c>
      <c r="B283" s="216"/>
      <c r="C283" s="218"/>
      <c r="D283" s="39"/>
      <c r="E283" s="218"/>
      <c r="F283" s="219"/>
      <c r="G283" s="40"/>
      <c r="H283" s="39"/>
      <c r="I283" s="40"/>
      <c r="J283" s="40"/>
      <c r="K283" s="40"/>
      <c r="L283" s="40"/>
      <c r="M283" s="40"/>
    </row>
    <row r="284" ht="21.0" customHeight="1">
      <c r="A284" s="221" t="s">
        <v>174</v>
      </c>
      <c r="B284" s="216"/>
      <c r="C284" s="218"/>
      <c r="D284" s="39"/>
      <c r="E284" s="218"/>
      <c r="F284" s="219"/>
      <c r="G284" s="40"/>
      <c r="H284" s="39"/>
      <c r="I284" s="40"/>
      <c r="J284" s="40"/>
      <c r="K284" s="40"/>
      <c r="L284" s="40"/>
      <c r="M284" s="40"/>
    </row>
    <row r="285" ht="21.0" customHeight="1">
      <c r="A285" s="221" t="s">
        <v>175</v>
      </c>
      <c r="B285" s="216"/>
      <c r="C285" s="218"/>
      <c r="D285" s="39"/>
      <c r="E285" s="218"/>
      <c r="F285" s="219"/>
      <c r="G285" s="40"/>
      <c r="H285" s="39"/>
      <c r="I285" s="40"/>
      <c r="J285" s="40"/>
      <c r="K285" s="40"/>
      <c r="L285" s="40"/>
      <c r="M285" s="40"/>
    </row>
    <row r="286" ht="21.0" customHeight="1">
      <c r="A286" s="217" t="s">
        <v>226</v>
      </c>
      <c r="B286" s="216"/>
      <c r="C286" s="218"/>
      <c r="D286" s="39"/>
      <c r="E286" s="218"/>
      <c r="F286" s="219"/>
      <c r="G286" s="40"/>
      <c r="H286" s="39"/>
      <c r="I286" s="40"/>
      <c r="J286" s="40"/>
      <c r="K286" s="40"/>
      <c r="L286" s="40"/>
      <c r="M286" s="40"/>
    </row>
    <row r="287" ht="21.0" customHeight="1">
      <c r="A287" s="221" t="s">
        <v>172</v>
      </c>
      <c r="B287" s="216"/>
      <c r="C287" s="218"/>
      <c r="D287" s="39"/>
      <c r="E287" s="218"/>
      <c r="F287" s="219"/>
      <c r="G287" s="40"/>
      <c r="H287" s="39"/>
      <c r="I287" s="40"/>
      <c r="J287" s="40"/>
      <c r="K287" s="40"/>
      <c r="L287" s="40"/>
      <c r="M287" s="40"/>
    </row>
    <row r="288" ht="21.0" customHeight="1">
      <c r="A288" s="221" t="s">
        <v>173</v>
      </c>
      <c r="B288" s="216"/>
      <c r="C288" s="218"/>
      <c r="D288" s="39"/>
      <c r="E288" s="218"/>
      <c r="F288" s="219"/>
      <c r="G288" s="40"/>
      <c r="H288" s="39"/>
      <c r="I288" s="40"/>
      <c r="J288" s="40"/>
      <c r="K288" s="40"/>
      <c r="L288" s="40"/>
      <c r="M288" s="40"/>
    </row>
    <row r="289" ht="21.0" customHeight="1">
      <c r="A289" s="221" t="s">
        <v>174</v>
      </c>
      <c r="B289" s="216"/>
      <c r="C289" s="218"/>
      <c r="D289" s="39"/>
      <c r="E289" s="218"/>
      <c r="F289" s="219"/>
      <c r="G289" s="40"/>
      <c r="H289" s="39"/>
      <c r="I289" s="40"/>
      <c r="J289" s="40"/>
      <c r="K289" s="40"/>
      <c r="L289" s="40"/>
      <c r="M289" s="40"/>
    </row>
    <row r="290" ht="21.0" customHeight="1">
      <c r="A290" s="221" t="s">
        <v>175</v>
      </c>
      <c r="B290" s="216"/>
      <c r="C290" s="218"/>
      <c r="D290" s="39"/>
      <c r="E290" s="218"/>
      <c r="F290" s="219"/>
      <c r="G290" s="40"/>
      <c r="H290" s="39"/>
      <c r="I290" s="40"/>
      <c r="J290" s="40"/>
      <c r="K290" s="40"/>
      <c r="L290" s="40"/>
      <c r="M290" s="40"/>
    </row>
    <row r="291" ht="21.0" customHeight="1">
      <c r="A291" s="217" t="s">
        <v>227</v>
      </c>
      <c r="B291" s="216"/>
      <c r="C291" s="218"/>
      <c r="D291" s="39"/>
      <c r="E291" s="218"/>
      <c r="F291" s="219"/>
      <c r="G291" s="40"/>
      <c r="H291" s="39"/>
      <c r="I291" s="40"/>
      <c r="J291" s="40"/>
      <c r="K291" s="40"/>
      <c r="L291" s="40"/>
      <c r="M291" s="40"/>
    </row>
    <row r="292" ht="21.0" customHeight="1">
      <c r="A292" s="221" t="s">
        <v>172</v>
      </c>
      <c r="B292" s="216"/>
      <c r="C292" s="218"/>
      <c r="D292" s="39"/>
      <c r="E292" s="218"/>
      <c r="F292" s="219"/>
      <c r="G292" s="40"/>
      <c r="H292" s="39"/>
      <c r="I292" s="40"/>
      <c r="J292" s="40"/>
      <c r="K292" s="40"/>
      <c r="L292" s="40"/>
      <c r="M292" s="40"/>
    </row>
    <row r="293" ht="21.0" customHeight="1">
      <c r="A293" s="221" t="s">
        <v>173</v>
      </c>
      <c r="B293" s="216"/>
      <c r="C293" s="218"/>
      <c r="D293" s="39"/>
      <c r="E293" s="218"/>
      <c r="F293" s="219"/>
      <c r="G293" s="40"/>
      <c r="H293" s="39"/>
      <c r="I293" s="40"/>
      <c r="J293" s="40"/>
      <c r="K293" s="40"/>
      <c r="L293" s="40"/>
      <c r="M293" s="40"/>
    </row>
    <row r="294" ht="21.0" customHeight="1">
      <c r="A294" s="221" t="s">
        <v>174</v>
      </c>
      <c r="B294" s="216"/>
      <c r="C294" s="218"/>
      <c r="D294" s="39"/>
      <c r="E294" s="218"/>
      <c r="F294" s="219"/>
      <c r="G294" s="40"/>
      <c r="H294" s="39"/>
      <c r="I294" s="40"/>
      <c r="J294" s="40"/>
      <c r="K294" s="40"/>
      <c r="L294" s="40"/>
      <c r="M294" s="40"/>
    </row>
    <row r="295" ht="21.0" customHeight="1">
      <c r="A295" s="221" t="s">
        <v>175</v>
      </c>
      <c r="B295" s="216"/>
      <c r="C295" s="218"/>
      <c r="D295" s="39"/>
      <c r="E295" s="218"/>
      <c r="F295" s="219"/>
      <c r="G295" s="40"/>
      <c r="H295" s="39"/>
      <c r="I295" s="40"/>
      <c r="J295" s="40"/>
      <c r="K295" s="40"/>
      <c r="L295" s="40"/>
      <c r="M295" s="40"/>
    </row>
    <row r="296" ht="21.0" customHeight="1">
      <c r="A296" s="217" t="s">
        <v>228</v>
      </c>
      <c r="B296" s="216"/>
      <c r="C296" s="218"/>
      <c r="D296" s="39"/>
      <c r="E296" s="218"/>
      <c r="F296" s="219"/>
      <c r="G296" s="40"/>
      <c r="H296" s="39"/>
      <c r="I296" s="40"/>
      <c r="J296" s="40"/>
      <c r="K296" s="40"/>
      <c r="L296" s="40"/>
      <c r="M296" s="40"/>
    </row>
    <row r="297" ht="21.0" customHeight="1">
      <c r="A297" s="221" t="s">
        <v>172</v>
      </c>
      <c r="B297" s="216"/>
      <c r="C297" s="218"/>
      <c r="D297" s="39"/>
      <c r="E297" s="218"/>
      <c r="F297" s="219"/>
      <c r="G297" s="40"/>
      <c r="H297" s="39"/>
      <c r="I297" s="40"/>
      <c r="J297" s="40"/>
      <c r="K297" s="40"/>
      <c r="L297" s="40"/>
      <c r="M297" s="40"/>
    </row>
    <row r="298" ht="21.0" customHeight="1">
      <c r="A298" s="221" t="s">
        <v>173</v>
      </c>
      <c r="B298" s="216"/>
      <c r="C298" s="218"/>
      <c r="D298" s="39"/>
      <c r="E298" s="218"/>
      <c r="F298" s="219"/>
      <c r="G298" s="40"/>
      <c r="H298" s="39"/>
      <c r="I298" s="40"/>
      <c r="J298" s="40"/>
      <c r="K298" s="40"/>
      <c r="L298" s="40"/>
      <c r="M298" s="40"/>
    </row>
    <row r="299" ht="21.0" customHeight="1">
      <c r="A299" s="221" t="s">
        <v>174</v>
      </c>
      <c r="B299" s="216"/>
      <c r="C299" s="218"/>
      <c r="D299" s="39"/>
      <c r="E299" s="218"/>
      <c r="F299" s="219"/>
      <c r="G299" s="40"/>
      <c r="H299" s="39"/>
      <c r="I299" s="40"/>
      <c r="J299" s="40"/>
      <c r="K299" s="40"/>
      <c r="L299" s="40"/>
      <c r="M299" s="40"/>
    </row>
    <row r="300" ht="21.0" customHeight="1">
      <c r="A300" s="221" t="s">
        <v>175</v>
      </c>
      <c r="B300" s="216"/>
      <c r="C300" s="218"/>
      <c r="D300" s="39"/>
      <c r="E300" s="218"/>
      <c r="F300" s="219"/>
      <c r="G300" s="40"/>
      <c r="H300" s="39"/>
      <c r="I300" s="40"/>
      <c r="J300" s="40"/>
      <c r="K300" s="40"/>
      <c r="L300" s="40"/>
      <c r="M300" s="40"/>
    </row>
    <row r="301" ht="21.0" customHeight="1">
      <c r="A301" s="221"/>
      <c r="B301" s="216"/>
      <c r="C301" s="218"/>
      <c r="D301" s="39"/>
      <c r="E301" s="218"/>
      <c r="F301" s="219"/>
      <c r="G301" s="40"/>
      <c r="H301" s="39"/>
      <c r="I301" s="40"/>
      <c r="J301" s="40"/>
      <c r="K301" s="40"/>
      <c r="L301" s="40"/>
      <c r="M301" s="40"/>
    </row>
    <row r="302" ht="21.0" customHeight="1">
      <c r="A302" s="217" t="s">
        <v>229</v>
      </c>
      <c r="B302" s="216"/>
      <c r="C302" s="218"/>
      <c r="D302" s="39"/>
      <c r="E302" s="218"/>
      <c r="F302" s="219"/>
      <c r="G302" s="40"/>
      <c r="H302" s="39"/>
      <c r="I302" s="40"/>
      <c r="J302" s="40"/>
      <c r="K302" s="40"/>
      <c r="L302" s="40"/>
      <c r="M302" s="40"/>
    </row>
    <row r="303" ht="21.0" customHeight="1">
      <c r="A303" s="221" t="s">
        <v>230</v>
      </c>
      <c r="B303" s="216"/>
      <c r="C303" s="218"/>
      <c r="D303" s="39"/>
      <c r="E303" s="218"/>
      <c r="F303" s="219"/>
      <c r="G303" s="40"/>
      <c r="H303" s="39"/>
      <c r="I303" s="40"/>
      <c r="J303" s="40"/>
      <c r="K303" s="40"/>
      <c r="L303" s="40"/>
      <c r="M303" s="40"/>
    </row>
    <row r="304" ht="21.0" customHeight="1">
      <c r="A304" s="221" t="s">
        <v>230</v>
      </c>
      <c r="B304" s="216"/>
      <c r="C304" s="218"/>
      <c r="D304" s="39"/>
      <c r="E304" s="218"/>
      <c r="F304" s="219"/>
      <c r="G304" s="40"/>
      <c r="H304" s="39"/>
      <c r="I304" s="40"/>
      <c r="J304" s="40"/>
      <c r="K304" s="40"/>
      <c r="L304" s="40"/>
      <c r="M304" s="40"/>
    </row>
    <row r="305" ht="21.0" customHeight="1">
      <c r="A305" s="221" t="s">
        <v>231</v>
      </c>
      <c r="B305" s="216"/>
      <c r="C305" s="218"/>
      <c r="D305" s="39"/>
      <c r="E305" s="218"/>
      <c r="F305" s="219"/>
      <c r="G305" s="40"/>
      <c r="H305" s="39"/>
      <c r="I305" s="40"/>
      <c r="J305" s="40"/>
      <c r="K305" s="40"/>
      <c r="L305" s="40"/>
      <c r="M305" s="40"/>
    </row>
    <row r="306" ht="21.0" customHeight="1">
      <c r="A306" s="221" t="s">
        <v>232</v>
      </c>
      <c r="B306" s="216"/>
      <c r="C306" s="218"/>
      <c r="D306" s="39"/>
      <c r="E306" s="218"/>
      <c r="F306" s="219"/>
      <c r="G306" s="40"/>
      <c r="H306" s="39"/>
      <c r="I306" s="40"/>
      <c r="J306" s="40"/>
      <c r="K306" s="40"/>
      <c r="L306" s="40"/>
      <c r="M306" s="40"/>
    </row>
    <row r="307" ht="21.0" customHeight="1">
      <c r="A307" s="221" t="s">
        <v>233</v>
      </c>
      <c r="B307" s="216"/>
      <c r="C307" s="218"/>
      <c r="D307" s="39"/>
      <c r="E307" s="222">
        <v>200.0</v>
      </c>
      <c r="F307" s="219">
        <f>E307*0.6</f>
        <v>120</v>
      </c>
      <c r="G307" s="40"/>
      <c r="H307" s="39"/>
      <c r="I307" s="40"/>
      <c r="J307" s="40"/>
      <c r="K307" s="40"/>
      <c r="L307" s="40"/>
      <c r="M307" s="40"/>
    </row>
    <row r="308" ht="21.0" customHeight="1">
      <c r="A308" s="221" t="s">
        <v>234</v>
      </c>
      <c r="B308" s="216"/>
      <c r="C308" s="218"/>
      <c r="D308" s="39"/>
      <c r="E308" s="218"/>
      <c r="F308" s="219"/>
      <c r="G308" s="40"/>
      <c r="H308" s="39"/>
      <c r="I308" s="40"/>
      <c r="J308" s="40"/>
      <c r="K308" s="40"/>
      <c r="L308" s="40"/>
      <c r="M308" s="40"/>
    </row>
    <row r="309" ht="21.0" customHeight="1">
      <c r="A309" s="221" t="s">
        <v>235</v>
      </c>
      <c r="B309" s="216"/>
      <c r="C309" s="218"/>
      <c r="D309" s="39"/>
      <c r="E309" s="218"/>
      <c r="F309" s="219"/>
      <c r="G309" s="40"/>
      <c r="H309" s="39"/>
      <c r="I309" s="40"/>
      <c r="J309" s="40"/>
      <c r="K309" s="40"/>
      <c r="L309" s="40"/>
      <c r="M309" s="40"/>
    </row>
    <row r="310" ht="21.0" customHeight="1">
      <c r="A310" s="221" t="s">
        <v>236</v>
      </c>
      <c r="B310" s="216"/>
      <c r="C310" s="218"/>
      <c r="D310" s="39"/>
      <c r="E310" s="218"/>
      <c r="F310" s="219"/>
      <c r="G310" s="40"/>
      <c r="H310" s="39"/>
      <c r="I310" s="40"/>
      <c r="J310" s="40"/>
      <c r="K310" s="40"/>
      <c r="L310" s="40"/>
      <c r="M310" s="40"/>
    </row>
    <row r="311" ht="21.0" customHeight="1">
      <c r="A311" s="221" t="s">
        <v>237</v>
      </c>
      <c r="B311" s="216"/>
      <c r="C311" s="218"/>
      <c r="D311" s="39"/>
      <c r="E311" s="218"/>
      <c r="F311" s="219"/>
      <c r="G311" s="40"/>
      <c r="H311" s="39"/>
      <c r="I311" s="40"/>
      <c r="J311" s="40"/>
      <c r="K311" s="40"/>
      <c r="L311" s="40"/>
      <c r="M311" s="40"/>
    </row>
    <row r="312" ht="21.0" customHeight="1">
      <c r="A312" s="221" t="s">
        <v>238</v>
      </c>
      <c r="B312" s="216"/>
      <c r="C312" s="218"/>
      <c r="D312" s="39"/>
      <c r="E312" s="218"/>
      <c r="F312" s="219"/>
      <c r="G312" s="40"/>
      <c r="H312" s="39"/>
      <c r="I312" s="40"/>
      <c r="J312" s="40"/>
      <c r="K312" s="40"/>
      <c r="L312" s="40"/>
      <c r="M312" s="40"/>
    </row>
    <row r="313" ht="21.0" customHeight="1">
      <c r="A313" s="221" t="s">
        <v>239</v>
      </c>
      <c r="B313" s="216"/>
      <c r="C313" s="218"/>
      <c r="D313" s="39"/>
      <c r="E313" s="218"/>
      <c r="F313" s="219">
        <f>E313*7</f>
        <v>0</v>
      </c>
      <c r="G313" s="40"/>
      <c r="H313" s="39"/>
      <c r="I313" s="40"/>
      <c r="J313" s="40"/>
      <c r="K313" s="40"/>
      <c r="L313" s="40"/>
      <c r="M313" s="40"/>
    </row>
    <row r="314" ht="21.0" customHeight="1">
      <c r="A314" s="221" t="s">
        <v>240</v>
      </c>
      <c r="B314" s="216"/>
      <c r="C314" s="218"/>
      <c r="D314" s="39"/>
      <c r="E314" s="218"/>
      <c r="F314" s="219"/>
      <c r="G314" s="40"/>
      <c r="H314" s="39"/>
      <c r="I314" s="40"/>
      <c r="J314" s="40"/>
      <c r="K314" s="40"/>
      <c r="L314" s="40"/>
      <c r="M314" s="40"/>
    </row>
    <row r="315" ht="21.0" customHeight="1">
      <c r="A315" s="221" t="s">
        <v>241</v>
      </c>
      <c r="B315" s="216"/>
      <c r="C315" s="218"/>
      <c r="D315" s="39"/>
      <c r="E315" s="218"/>
      <c r="F315" s="219"/>
      <c r="G315" s="40"/>
      <c r="H315" s="39"/>
      <c r="I315" s="40"/>
      <c r="J315" s="40"/>
      <c r="K315" s="40"/>
      <c r="L315" s="40"/>
      <c r="M315" s="40"/>
    </row>
    <row r="316" ht="21.0" customHeight="1">
      <c r="A316" s="221" t="s">
        <v>242</v>
      </c>
      <c r="B316" s="216"/>
      <c r="C316" s="218"/>
      <c r="D316" s="39"/>
      <c r="E316" s="218"/>
      <c r="F316" s="219"/>
      <c r="G316" s="58">
        <v>100.0</v>
      </c>
      <c r="H316" s="39">
        <f>G316*0.8</f>
        <v>80</v>
      </c>
      <c r="I316" s="40"/>
      <c r="J316" s="40"/>
      <c r="K316" s="40"/>
      <c r="L316" s="40"/>
      <c r="M316" s="40"/>
    </row>
    <row r="317" ht="21.0" customHeight="1">
      <c r="A317" s="221" t="s">
        <v>243</v>
      </c>
      <c r="B317" s="216"/>
      <c r="C317" s="218"/>
      <c r="D317" s="39"/>
      <c r="E317" s="218"/>
      <c r="F317" s="219"/>
      <c r="G317" s="40"/>
      <c r="H317" s="39"/>
      <c r="I317" s="40"/>
      <c r="J317" s="40"/>
      <c r="K317" s="40"/>
      <c r="L317" s="40"/>
      <c r="M317" s="40"/>
    </row>
    <row r="318" ht="21.0" customHeight="1">
      <c r="A318" s="221" t="s">
        <v>244</v>
      </c>
      <c r="B318" s="216"/>
      <c r="C318" s="218"/>
      <c r="D318" s="39"/>
      <c r="E318" s="218"/>
      <c r="F318" s="219"/>
      <c r="G318" s="40"/>
      <c r="H318" s="39"/>
      <c r="I318" s="40"/>
      <c r="J318" s="40"/>
      <c r="K318" s="40"/>
      <c r="L318" s="40"/>
      <c r="M318" s="40"/>
    </row>
    <row r="319" ht="21.0" customHeight="1">
      <c r="A319" s="221" t="s">
        <v>245</v>
      </c>
      <c r="B319" s="216"/>
      <c r="C319" s="218"/>
      <c r="D319" s="39"/>
      <c r="E319" s="218"/>
      <c r="F319" s="219"/>
      <c r="G319" s="40"/>
      <c r="H319" s="39"/>
      <c r="I319" s="40"/>
      <c r="J319" s="40"/>
      <c r="K319" s="40"/>
      <c r="L319" s="40"/>
      <c r="M319" s="40"/>
    </row>
    <row r="320" ht="21.0" customHeight="1">
      <c r="A320" s="221" t="s">
        <v>246</v>
      </c>
      <c r="B320" s="216"/>
      <c r="C320" s="218"/>
      <c r="D320" s="39"/>
      <c r="E320" s="218"/>
      <c r="F320" s="219"/>
      <c r="G320" s="40"/>
      <c r="H320" s="39"/>
      <c r="I320" s="40"/>
      <c r="J320" s="40"/>
      <c r="K320" s="40"/>
      <c r="L320" s="40"/>
      <c r="M320" s="40"/>
    </row>
    <row r="321" ht="21.0" customHeight="1">
      <c r="A321" s="221" t="s">
        <v>247</v>
      </c>
      <c r="B321" s="216"/>
      <c r="C321" s="218"/>
      <c r="D321" s="39"/>
      <c r="E321" s="218"/>
      <c r="F321" s="219"/>
      <c r="G321" s="40"/>
      <c r="H321" s="39"/>
      <c r="I321" s="40"/>
      <c r="J321" s="40"/>
      <c r="K321" s="40"/>
      <c r="L321" s="40"/>
      <c r="M321" s="40"/>
    </row>
    <row r="322" ht="21.0" customHeight="1">
      <c r="A322" s="221" t="s">
        <v>248</v>
      </c>
      <c r="B322" s="216"/>
      <c r="C322" s="218"/>
      <c r="D322" s="39"/>
      <c r="E322" s="218"/>
      <c r="F322" s="219"/>
      <c r="G322" s="40"/>
      <c r="H322" s="39"/>
      <c r="I322" s="40"/>
      <c r="J322" s="40"/>
      <c r="K322" s="40"/>
      <c r="L322" s="40"/>
      <c r="M322" s="40"/>
    </row>
    <row r="323" ht="21.0" customHeight="1">
      <c r="A323" s="221"/>
      <c r="B323" s="216"/>
      <c r="C323" s="218"/>
      <c r="D323" s="39"/>
      <c r="E323" s="218"/>
      <c r="F323" s="219"/>
      <c r="G323" s="40"/>
      <c r="H323" s="39"/>
      <c r="I323" s="40"/>
      <c r="J323" s="40"/>
      <c r="K323" s="40"/>
      <c r="L323" s="40"/>
      <c r="M323" s="40"/>
    </row>
    <row r="324" ht="21.0" customHeight="1">
      <c r="A324" s="221"/>
      <c r="B324" s="216"/>
      <c r="C324" s="218"/>
      <c r="D324" s="39"/>
      <c r="E324" s="218"/>
      <c r="F324" s="219"/>
      <c r="G324" s="40"/>
      <c r="H324" s="39"/>
      <c r="I324" s="40"/>
      <c r="J324" s="40"/>
      <c r="K324" s="40"/>
      <c r="L324" s="40"/>
      <c r="M324" s="40"/>
    </row>
    <row r="325" ht="21.0" customHeight="1">
      <c r="A325" s="217" t="s">
        <v>249</v>
      </c>
      <c r="B325" s="216"/>
      <c r="C325" s="218"/>
      <c r="D325" s="39"/>
      <c r="E325" s="218"/>
      <c r="F325" s="219"/>
      <c r="G325" s="40"/>
      <c r="H325" s="39"/>
      <c r="I325" s="40"/>
      <c r="J325" s="40"/>
      <c r="K325" s="40"/>
      <c r="L325" s="40"/>
      <c r="M325" s="40"/>
    </row>
    <row r="326" ht="28.5" customHeight="1">
      <c r="A326" s="221" t="s">
        <v>250</v>
      </c>
      <c r="B326" s="216" t="s">
        <v>177</v>
      </c>
      <c r="C326" s="218">
        <v>2300.0</v>
      </c>
      <c r="D326" s="39">
        <v>92.0</v>
      </c>
      <c r="E326" s="218"/>
      <c r="F326" s="219"/>
      <c r="G326" s="40"/>
      <c r="H326" s="39"/>
      <c r="I326" s="40"/>
      <c r="J326" s="40"/>
      <c r="K326" s="40"/>
      <c r="L326" s="40"/>
      <c r="M326" s="40"/>
    </row>
    <row r="327" ht="21.0" customHeight="1">
      <c r="A327" s="221" t="s">
        <v>251</v>
      </c>
      <c r="B327" s="216" t="s">
        <v>177</v>
      </c>
      <c r="C327" s="218"/>
      <c r="D327" s="39"/>
      <c r="E327" s="222">
        <v>626.95</v>
      </c>
      <c r="F327" s="219">
        <f>E327*0.1</f>
        <v>62.695</v>
      </c>
      <c r="G327" s="40">
        <f>G74*60</f>
        <v>2400</v>
      </c>
      <c r="H327" s="39">
        <f>G327*0.1</f>
        <v>240</v>
      </c>
      <c r="I327" s="40"/>
      <c r="J327" s="40"/>
      <c r="K327" s="40"/>
      <c r="L327" s="40"/>
      <c r="M327" s="40"/>
    </row>
    <row r="328" ht="21.0" customHeight="1">
      <c r="A328" s="221" t="s">
        <v>252</v>
      </c>
      <c r="B328" s="216" t="s">
        <v>177</v>
      </c>
      <c r="C328" s="218"/>
      <c r="D328" s="39"/>
      <c r="E328" s="218"/>
      <c r="F328" s="219"/>
      <c r="G328" s="40"/>
      <c r="H328" s="39"/>
      <c r="I328" s="40"/>
      <c r="J328" s="40"/>
      <c r="K328" s="40"/>
      <c r="L328" s="40"/>
      <c r="M328" s="40"/>
    </row>
    <row r="329" ht="21.0" customHeight="1">
      <c r="A329" s="228" t="s">
        <v>252</v>
      </c>
      <c r="B329" s="216" t="s">
        <v>24</v>
      </c>
      <c r="C329" s="218"/>
      <c r="D329" s="39"/>
      <c r="E329" s="218"/>
      <c r="F329" s="219"/>
      <c r="G329" s="40"/>
      <c r="H329" s="39"/>
      <c r="I329" s="40"/>
      <c r="J329" s="40"/>
      <c r="K329" s="40"/>
      <c r="L329" s="40"/>
      <c r="M329" s="40"/>
    </row>
    <row r="330" ht="21.0" customHeight="1">
      <c r="A330" s="228" t="s">
        <v>253</v>
      </c>
      <c r="B330" s="216" t="s">
        <v>254</v>
      </c>
      <c r="C330" s="218">
        <v>250.0</v>
      </c>
      <c r="D330" s="39">
        <v>122.5</v>
      </c>
      <c r="E330" s="222">
        <v>120.0</v>
      </c>
      <c r="F330" s="219">
        <f>E330*0.35</f>
        <v>42</v>
      </c>
      <c r="G330" s="39">
        <f>G29*4.85181818</f>
        <v>1455.545454</v>
      </c>
      <c r="H330" s="39">
        <f>G330*0.42525764</f>
        <v>618.9818247</v>
      </c>
      <c r="I330" s="40"/>
      <c r="J330" s="40"/>
      <c r="K330" s="40"/>
      <c r="L330" s="40"/>
      <c r="M330" s="40"/>
    </row>
    <row r="331" ht="21.0" customHeight="1">
      <c r="A331" s="221"/>
      <c r="B331" s="216"/>
      <c r="C331" s="218"/>
      <c r="D331" s="39"/>
      <c r="E331" s="218"/>
      <c r="F331" s="219"/>
      <c r="G331" s="40"/>
      <c r="H331" s="39"/>
      <c r="I331" s="40"/>
      <c r="J331" s="40"/>
      <c r="K331" s="40"/>
      <c r="L331" s="40"/>
      <c r="M331" s="40"/>
    </row>
    <row r="332" ht="21.0" customHeight="1">
      <c r="A332" s="221"/>
      <c r="B332" s="216"/>
      <c r="C332" s="218"/>
      <c r="D332" s="39"/>
      <c r="E332" s="218"/>
      <c r="F332" s="219"/>
      <c r="G332" s="40"/>
      <c r="H332" s="39"/>
      <c r="I332" s="40"/>
      <c r="J332" s="40"/>
      <c r="K332" s="40"/>
      <c r="L332" s="40"/>
      <c r="M332" s="40"/>
    </row>
    <row r="333" ht="21.0" customHeight="1">
      <c r="A333" s="221"/>
      <c r="B333" s="216"/>
      <c r="C333" s="218"/>
      <c r="D333" s="39"/>
      <c r="E333" s="218"/>
      <c r="F333" s="219"/>
      <c r="G333" s="40"/>
      <c r="H333" s="39"/>
      <c r="I333" s="40"/>
      <c r="J333" s="40"/>
      <c r="K333" s="40"/>
      <c r="L333" s="40"/>
      <c r="M333" s="40"/>
    </row>
    <row r="334" ht="21.0" customHeight="1">
      <c r="A334" s="217" t="s">
        <v>255</v>
      </c>
      <c r="B334" s="216"/>
      <c r="C334" s="218"/>
      <c r="D334" s="39"/>
      <c r="E334" s="218"/>
      <c r="F334" s="219"/>
      <c r="G334" s="40"/>
      <c r="H334" s="39"/>
      <c r="I334" s="40"/>
      <c r="J334" s="40"/>
      <c r="K334" s="40"/>
      <c r="L334" s="40"/>
      <c r="M334" s="40"/>
    </row>
    <row r="335" ht="21.0" customHeight="1">
      <c r="A335" s="221" t="s">
        <v>256</v>
      </c>
      <c r="B335" s="216"/>
      <c r="C335" s="218"/>
      <c r="D335" s="39"/>
      <c r="E335" s="218"/>
      <c r="F335" s="219"/>
      <c r="G335" s="40"/>
      <c r="H335" s="39"/>
      <c r="I335" s="40"/>
      <c r="J335" s="40"/>
      <c r="K335" s="40"/>
      <c r="L335" s="40"/>
      <c r="M335" s="40"/>
    </row>
    <row r="336" ht="21.0" customHeight="1">
      <c r="A336" s="221" t="s">
        <v>257</v>
      </c>
      <c r="B336" s="216"/>
      <c r="C336" s="218"/>
      <c r="D336" s="39"/>
      <c r="E336" s="218"/>
      <c r="F336" s="219"/>
      <c r="G336" s="40"/>
      <c r="H336" s="39"/>
      <c r="I336" s="40"/>
      <c r="J336" s="40"/>
      <c r="K336" s="40"/>
      <c r="L336" s="40"/>
      <c r="M336" s="40"/>
    </row>
    <row r="337" ht="21.0" customHeight="1">
      <c r="A337" s="221" t="s">
        <v>258</v>
      </c>
      <c r="B337" s="216"/>
      <c r="C337" s="218"/>
      <c r="D337" s="39"/>
      <c r="E337" s="218"/>
      <c r="F337" s="219"/>
      <c r="G337" s="40"/>
      <c r="H337" s="39"/>
      <c r="I337" s="40"/>
      <c r="J337" s="40"/>
      <c r="K337" s="40"/>
      <c r="L337" s="40"/>
      <c r="M337" s="40"/>
    </row>
    <row r="338" ht="21.0" customHeight="1">
      <c r="A338" s="221" t="s">
        <v>259</v>
      </c>
      <c r="B338" s="216"/>
      <c r="C338" s="218"/>
      <c r="D338" s="39"/>
      <c r="E338" s="218"/>
      <c r="F338" s="219"/>
      <c r="G338" s="40"/>
      <c r="H338" s="39"/>
      <c r="I338" s="40"/>
      <c r="J338" s="40"/>
      <c r="K338" s="40"/>
      <c r="L338" s="40"/>
      <c r="M338" s="40"/>
    </row>
    <row r="339" ht="21.0" customHeight="1">
      <c r="A339" s="221" t="s">
        <v>260</v>
      </c>
      <c r="B339" s="216"/>
      <c r="C339" s="218"/>
      <c r="D339" s="39"/>
      <c r="E339" s="218"/>
      <c r="F339" s="219"/>
      <c r="G339" s="40"/>
      <c r="H339" s="39"/>
      <c r="I339" s="40"/>
      <c r="J339" s="40"/>
      <c r="K339" s="40"/>
      <c r="L339" s="40"/>
      <c r="M339" s="40"/>
    </row>
    <row r="340" ht="21.0" customHeight="1">
      <c r="A340" s="221" t="s">
        <v>261</v>
      </c>
      <c r="B340" s="216" t="s">
        <v>32</v>
      </c>
      <c r="C340" s="218"/>
      <c r="D340" s="39"/>
      <c r="E340" s="218"/>
      <c r="F340" s="219"/>
      <c r="G340" s="40"/>
      <c r="H340" s="39"/>
      <c r="I340" s="40"/>
      <c r="J340" s="40"/>
      <c r="K340" s="40"/>
      <c r="L340" s="40"/>
      <c r="M340" s="40"/>
    </row>
    <row r="341" ht="21.0" customHeight="1">
      <c r="A341" s="221"/>
      <c r="B341" s="216"/>
      <c r="C341" s="218"/>
      <c r="D341" s="39"/>
      <c r="E341" s="218"/>
      <c r="F341" s="219"/>
      <c r="G341" s="40"/>
      <c r="H341" s="39"/>
      <c r="I341" s="40"/>
      <c r="J341" s="40"/>
      <c r="K341" s="40"/>
      <c r="L341" s="40"/>
      <c r="M341" s="40"/>
    </row>
    <row r="342" ht="21.0" customHeight="1">
      <c r="A342" s="217" t="s">
        <v>262</v>
      </c>
      <c r="B342" s="216"/>
      <c r="C342" s="218"/>
      <c r="D342" s="39"/>
      <c r="E342" s="218"/>
      <c r="F342" s="219"/>
      <c r="G342" s="40"/>
      <c r="H342" s="39"/>
      <c r="I342" s="40"/>
      <c r="J342" s="40"/>
      <c r="K342" s="40"/>
      <c r="L342" s="40"/>
      <c r="M342" s="40"/>
    </row>
    <row r="343" ht="21.0" customHeight="1">
      <c r="A343" s="221" t="s">
        <v>263</v>
      </c>
      <c r="B343" s="216"/>
      <c r="C343" s="218"/>
      <c r="D343" s="39"/>
      <c r="E343" s="218"/>
      <c r="F343" s="219"/>
      <c r="G343" s="40"/>
      <c r="H343" s="39"/>
      <c r="I343" s="40"/>
      <c r="J343" s="40"/>
      <c r="K343" s="40"/>
      <c r="L343" s="40"/>
      <c r="M343" s="40"/>
    </row>
    <row r="344" ht="21.0" customHeight="1">
      <c r="A344" s="221" t="s">
        <v>264</v>
      </c>
      <c r="B344" s="216"/>
      <c r="C344" s="218"/>
      <c r="D344" s="39"/>
      <c r="E344" s="218"/>
      <c r="F344" s="219"/>
      <c r="G344" s="40"/>
      <c r="H344" s="39"/>
      <c r="I344" s="40"/>
      <c r="J344" s="40"/>
      <c r="K344" s="40"/>
      <c r="L344" s="40"/>
      <c r="M344" s="40"/>
    </row>
    <row r="345" ht="21.0" customHeight="1">
      <c r="A345" s="221" t="s">
        <v>265</v>
      </c>
      <c r="B345" s="216"/>
      <c r="C345" s="218"/>
      <c r="D345" s="39"/>
      <c r="E345" s="218"/>
      <c r="F345" s="219"/>
      <c r="G345" s="40"/>
      <c r="H345" s="39"/>
      <c r="I345" s="40"/>
      <c r="J345" s="40"/>
      <c r="K345" s="40"/>
      <c r="L345" s="40"/>
      <c r="M345" s="40"/>
    </row>
    <row r="346" ht="21.0" customHeight="1">
      <c r="A346" s="221" t="s">
        <v>266</v>
      </c>
      <c r="B346" s="216"/>
      <c r="C346" s="218"/>
      <c r="D346" s="39"/>
      <c r="E346" s="218"/>
      <c r="F346" s="219"/>
      <c r="G346" s="40"/>
      <c r="H346" s="39"/>
      <c r="I346" s="40"/>
      <c r="J346" s="40"/>
      <c r="K346" s="40"/>
      <c r="L346" s="40"/>
      <c r="M346" s="40"/>
    </row>
    <row r="347" ht="21.0" customHeight="1">
      <c r="A347" s="221" t="s">
        <v>267</v>
      </c>
      <c r="B347" s="216"/>
      <c r="C347" s="218"/>
      <c r="D347" s="39"/>
      <c r="E347" s="218"/>
      <c r="F347" s="219"/>
      <c r="G347" s="40"/>
      <c r="H347" s="39"/>
      <c r="I347" s="40"/>
      <c r="J347" s="40"/>
      <c r="K347" s="40"/>
      <c r="L347" s="40"/>
      <c r="M347" s="40"/>
    </row>
    <row r="348" ht="21.0" customHeight="1">
      <c r="A348" s="221"/>
      <c r="B348" s="216"/>
      <c r="C348" s="218"/>
      <c r="D348" s="39"/>
      <c r="E348" s="218"/>
      <c r="F348" s="219"/>
      <c r="G348" s="40"/>
      <c r="H348" s="39"/>
      <c r="I348" s="40"/>
      <c r="J348" s="40"/>
      <c r="K348" s="40"/>
      <c r="L348" s="40"/>
      <c r="M348" s="40"/>
    </row>
    <row r="349" ht="21.0" customHeight="1">
      <c r="A349" s="221"/>
      <c r="B349" s="216"/>
      <c r="C349" s="218"/>
      <c r="D349" s="39"/>
      <c r="E349" s="218"/>
      <c r="F349" s="219"/>
      <c r="G349" s="40"/>
      <c r="H349" s="39"/>
      <c r="I349" s="40"/>
      <c r="J349" s="40"/>
      <c r="K349" s="40"/>
      <c r="L349" s="40"/>
      <c r="M349" s="40"/>
    </row>
    <row r="350" ht="21.0" customHeight="1">
      <c r="A350" s="221"/>
      <c r="B350" s="216"/>
      <c r="C350" s="218"/>
      <c r="D350" s="39"/>
      <c r="E350" s="218"/>
      <c r="F350" s="219"/>
      <c r="G350" s="40"/>
      <c r="H350" s="39"/>
      <c r="I350" s="40"/>
      <c r="J350" s="40"/>
      <c r="K350" s="40"/>
      <c r="L350" s="40"/>
      <c r="M350" s="40"/>
    </row>
    <row r="351" ht="21.0" customHeight="1">
      <c r="A351" s="217" t="s">
        <v>268</v>
      </c>
      <c r="B351" s="216"/>
      <c r="C351" s="218"/>
      <c r="D351" s="39"/>
      <c r="E351" s="218"/>
      <c r="F351" s="219"/>
      <c r="G351" s="40"/>
      <c r="H351" s="39"/>
      <c r="I351" s="40"/>
      <c r="J351" s="40"/>
      <c r="K351" s="40"/>
      <c r="L351" s="40"/>
      <c r="M351" s="40"/>
    </row>
    <row r="352" ht="21.0" customHeight="1">
      <c r="A352" s="221" t="s">
        <v>269</v>
      </c>
      <c r="B352" s="216"/>
      <c r="C352" s="218"/>
      <c r="D352" s="39"/>
      <c r="E352" s="218"/>
      <c r="F352" s="219"/>
      <c r="G352" s="40"/>
      <c r="H352" s="39"/>
      <c r="I352" s="40"/>
      <c r="J352" s="40"/>
      <c r="K352" s="40"/>
      <c r="L352" s="40"/>
      <c r="M352" s="40"/>
    </row>
    <row r="353" ht="21.0" customHeight="1">
      <c r="A353" s="221" t="s">
        <v>270</v>
      </c>
      <c r="B353" s="216"/>
      <c r="C353" s="218"/>
      <c r="D353" s="39"/>
      <c r="E353" s="218"/>
      <c r="F353" s="219"/>
      <c r="G353" s="40"/>
      <c r="H353" s="39"/>
      <c r="I353" s="40"/>
      <c r="J353" s="40"/>
      <c r="K353" s="40"/>
      <c r="L353" s="40"/>
      <c r="M353" s="40"/>
    </row>
    <row r="354" ht="21.0" customHeight="1">
      <c r="A354" s="221" t="s">
        <v>271</v>
      </c>
      <c r="B354" s="216"/>
      <c r="C354" s="218"/>
      <c r="D354" s="39"/>
      <c r="E354" s="218"/>
      <c r="F354" s="219"/>
      <c r="G354" s="40"/>
      <c r="H354" s="39"/>
      <c r="I354" s="40"/>
      <c r="J354" s="40"/>
      <c r="K354" s="40"/>
      <c r="L354" s="40"/>
      <c r="M354" s="40"/>
    </row>
    <row r="355" ht="21.0" customHeight="1">
      <c r="A355" s="221"/>
      <c r="B355" s="216"/>
      <c r="C355" s="218"/>
      <c r="D355" s="39"/>
      <c r="E355" s="218"/>
      <c r="F355" s="219"/>
      <c r="G355" s="40"/>
      <c r="H355" s="39"/>
      <c r="I355" s="40"/>
      <c r="J355" s="40"/>
      <c r="K355" s="40"/>
      <c r="L355" s="40"/>
      <c r="M355" s="40"/>
    </row>
    <row r="356" ht="21.0" customHeight="1">
      <c r="A356" s="217" t="s">
        <v>272</v>
      </c>
      <c r="B356" s="216"/>
      <c r="C356" s="218"/>
      <c r="D356" s="39"/>
      <c r="E356" s="218"/>
      <c r="F356" s="219"/>
      <c r="G356" s="40"/>
      <c r="H356" s="39"/>
      <c r="I356" s="40"/>
      <c r="J356" s="40"/>
      <c r="K356" s="40"/>
      <c r="L356" s="40"/>
      <c r="M356" s="40"/>
    </row>
    <row r="357" ht="21.0" customHeight="1">
      <c r="A357" s="221" t="s">
        <v>273</v>
      </c>
      <c r="B357" s="216"/>
      <c r="C357" s="218"/>
      <c r="D357" s="39"/>
      <c r="E357" s="218"/>
      <c r="F357" s="219"/>
      <c r="G357" s="40"/>
      <c r="H357" s="39"/>
      <c r="I357" s="40"/>
      <c r="J357" s="40"/>
      <c r="K357" s="40"/>
      <c r="L357" s="40"/>
      <c r="M357" s="40"/>
    </row>
    <row r="358" ht="21.0" customHeight="1">
      <c r="A358" s="221" t="s">
        <v>274</v>
      </c>
      <c r="B358" s="216"/>
      <c r="C358" s="218"/>
      <c r="D358" s="39"/>
      <c r="E358" s="218"/>
      <c r="F358" s="219"/>
      <c r="G358" s="40"/>
      <c r="H358" s="39"/>
      <c r="I358" s="40"/>
      <c r="J358" s="40"/>
      <c r="K358" s="40"/>
      <c r="L358" s="40"/>
      <c r="M358" s="40"/>
    </row>
    <row r="359" ht="21.0" customHeight="1">
      <c r="A359" s="221" t="s">
        <v>275</v>
      </c>
      <c r="B359" s="216"/>
      <c r="C359" s="218"/>
      <c r="D359" s="39"/>
      <c r="E359" s="218"/>
      <c r="F359" s="219"/>
      <c r="G359" s="40"/>
      <c r="H359" s="39"/>
      <c r="I359" s="40"/>
      <c r="J359" s="40"/>
      <c r="K359" s="40"/>
      <c r="L359" s="40"/>
      <c r="M359" s="40"/>
    </row>
    <row r="360" ht="21.0" customHeight="1">
      <c r="A360" s="221" t="s">
        <v>276</v>
      </c>
      <c r="B360" s="216"/>
      <c r="C360" s="218"/>
      <c r="D360" s="39"/>
      <c r="E360" s="218"/>
      <c r="F360" s="219"/>
      <c r="G360" s="40"/>
      <c r="H360" s="39"/>
      <c r="I360" s="40"/>
      <c r="J360" s="40"/>
      <c r="K360" s="40"/>
      <c r="L360" s="40"/>
      <c r="M360" s="40"/>
    </row>
    <row r="361" ht="21.0" customHeight="1">
      <c r="A361" s="221"/>
      <c r="B361" s="216"/>
      <c r="C361" s="218"/>
      <c r="D361" s="39"/>
      <c r="E361" s="218"/>
      <c r="F361" s="219"/>
      <c r="G361" s="40"/>
      <c r="H361" s="39"/>
      <c r="I361" s="40"/>
      <c r="J361" s="40"/>
      <c r="K361" s="40"/>
      <c r="L361" s="40"/>
      <c r="M361" s="40"/>
    </row>
    <row r="362" ht="21.0" customHeight="1">
      <c r="A362" s="221"/>
      <c r="B362" s="216"/>
      <c r="C362" s="218"/>
      <c r="D362" s="39"/>
      <c r="E362" s="218"/>
      <c r="F362" s="219"/>
      <c r="G362" s="40"/>
      <c r="H362" s="39"/>
      <c r="I362" s="40"/>
      <c r="J362" s="40"/>
      <c r="K362" s="40"/>
      <c r="L362" s="40"/>
      <c r="M362" s="40"/>
    </row>
    <row r="363" ht="21.0" customHeight="1">
      <c r="A363" s="217" t="s">
        <v>277</v>
      </c>
      <c r="B363" s="216"/>
      <c r="C363" s="218"/>
      <c r="D363" s="39"/>
      <c r="E363" s="218"/>
      <c r="F363" s="219"/>
      <c r="G363" s="40"/>
      <c r="H363" s="39"/>
      <c r="I363" s="40"/>
      <c r="J363" s="40"/>
      <c r="K363" s="40"/>
      <c r="L363" s="40"/>
      <c r="M363" s="40"/>
    </row>
    <row r="364" ht="21.0" customHeight="1">
      <c r="A364" s="221" t="s">
        <v>278</v>
      </c>
      <c r="B364" s="216"/>
      <c r="C364" s="218"/>
      <c r="D364" s="39"/>
      <c r="E364" s="218"/>
      <c r="F364" s="219"/>
      <c r="G364" s="40"/>
      <c r="H364" s="39"/>
      <c r="I364" s="40"/>
      <c r="J364" s="40"/>
      <c r="K364" s="40"/>
      <c r="L364" s="40"/>
      <c r="M364" s="40"/>
    </row>
    <row r="365" ht="21.0" customHeight="1">
      <c r="A365" s="221"/>
      <c r="B365" s="216"/>
      <c r="C365" s="218"/>
      <c r="D365" s="39"/>
      <c r="E365" s="218"/>
      <c r="F365" s="219"/>
      <c r="G365" s="40"/>
      <c r="H365" s="39"/>
      <c r="I365" s="40"/>
      <c r="J365" s="40"/>
      <c r="K365" s="40"/>
      <c r="L365" s="40"/>
      <c r="M365" s="40"/>
    </row>
    <row r="366" ht="21.0" customHeight="1">
      <c r="A366" s="221"/>
      <c r="B366" s="216"/>
      <c r="C366" s="218"/>
      <c r="D366" s="39"/>
      <c r="E366" s="218"/>
      <c r="F366" s="219"/>
      <c r="G366" s="40"/>
      <c r="H366" s="39"/>
      <c r="I366" s="40"/>
      <c r="J366" s="40"/>
      <c r="K366" s="40"/>
      <c r="L366" s="40"/>
      <c r="M366" s="40"/>
    </row>
    <row r="367" ht="21.0" customHeight="1">
      <c r="A367" s="221"/>
      <c r="B367" s="216"/>
      <c r="C367" s="218"/>
      <c r="D367" s="39"/>
      <c r="E367" s="218"/>
      <c r="F367" s="219"/>
      <c r="G367" s="40"/>
      <c r="H367" s="39"/>
      <c r="I367" s="40"/>
      <c r="J367" s="40"/>
      <c r="K367" s="40"/>
      <c r="L367" s="40"/>
      <c r="M367" s="40"/>
    </row>
    <row r="368" ht="21.0" customHeight="1">
      <c r="A368" s="217" t="s">
        <v>279</v>
      </c>
      <c r="B368" s="216"/>
      <c r="C368" s="218"/>
      <c r="D368" s="39"/>
      <c r="E368" s="218"/>
      <c r="F368" s="219"/>
      <c r="G368" s="40"/>
      <c r="H368" s="39"/>
      <c r="I368" s="40"/>
      <c r="J368" s="40"/>
      <c r="K368" s="40"/>
      <c r="L368" s="40"/>
      <c r="M368" s="40"/>
    </row>
    <row r="369" ht="21.0" customHeight="1">
      <c r="A369" s="217" t="s">
        <v>280</v>
      </c>
      <c r="B369" s="216"/>
      <c r="C369" s="218"/>
      <c r="D369" s="39"/>
      <c r="E369" s="218"/>
      <c r="F369" s="219"/>
      <c r="G369" s="40"/>
      <c r="H369" s="39"/>
      <c r="I369" s="40"/>
      <c r="J369" s="40"/>
      <c r="K369" s="40"/>
      <c r="L369" s="40"/>
      <c r="M369" s="40"/>
    </row>
    <row r="370" ht="21.0" customHeight="1">
      <c r="A370" s="221" t="s">
        <v>281</v>
      </c>
      <c r="B370" s="216"/>
      <c r="C370" s="218"/>
      <c r="D370" s="39"/>
      <c r="E370" s="218"/>
      <c r="F370" s="219"/>
      <c r="G370" s="40"/>
      <c r="H370" s="39"/>
      <c r="I370" s="40"/>
      <c r="J370" s="40"/>
      <c r="K370" s="40"/>
      <c r="L370" s="40"/>
      <c r="M370" s="40"/>
    </row>
    <row r="371" ht="21.0" customHeight="1">
      <c r="A371" s="221" t="s">
        <v>282</v>
      </c>
      <c r="B371" s="216"/>
      <c r="C371" s="218"/>
      <c r="D371" s="39"/>
      <c r="E371" s="218"/>
      <c r="F371" s="219"/>
      <c r="G371" s="40"/>
      <c r="H371" s="39"/>
      <c r="I371" s="40"/>
      <c r="J371" s="40"/>
      <c r="K371" s="40"/>
      <c r="L371" s="40"/>
      <c r="M371" s="40"/>
    </row>
    <row r="372" ht="21.0" customHeight="1">
      <c r="A372" s="221" t="s">
        <v>283</v>
      </c>
      <c r="B372" s="216"/>
      <c r="C372" s="218"/>
      <c r="D372" s="39"/>
      <c r="E372" s="218"/>
      <c r="F372" s="219"/>
      <c r="G372" s="40"/>
      <c r="H372" s="39"/>
      <c r="I372" s="40"/>
      <c r="J372" s="40"/>
      <c r="K372" s="40"/>
      <c r="L372" s="40"/>
      <c r="M372" s="40"/>
    </row>
    <row r="373" ht="21.0" customHeight="1">
      <c r="A373" s="221" t="s">
        <v>284</v>
      </c>
      <c r="B373" s="216"/>
      <c r="C373" s="218"/>
      <c r="D373" s="39"/>
      <c r="E373" s="218"/>
      <c r="F373" s="219"/>
      <c r="G373" s="40"/>
      <c r="H373" s="39"/>
      <c r="I373" s="40"/>
      <c r="J373" s="40"/>
      <c r="K373" s="40"/>
      <c r="L373" s="40"/>
      <c r="M373" s="40"/>
    </row>
    <row r="374" ht="21.0" customHeight="1">
      <c r="A374" s="221" t="s">
        <v>285</v>
      </c>
      <c r="B374" s="216"/>
      <c r="C374" s="218"/>
      <c r="D374" s="39"/>
      <c r="E374" s="218"/>
      <c r="F374" s="219"/>
      <c r="G374" s="40"/>
      <c r="H374" s="39"/>
      <c r="I374" s="40"/>
      <c r="J374" s="40"/>
      <c r="K374" s="40"/>
      <c r="L374" s="40"/>
      <c r="M374" s="40"/>
    </row>
    <row r="375" ht="21.0" customHeight="1">
      <c r="A375" s="221" t="s">
        <v>286</v>
      </c>
      <c r="B375" s="216"/>
      <c r="C375" s="218"/>
      <c r="D375" s="39"/>
      <c r="E375" s="218"/>
      <c r="F375" s="219"/>
      <c r="G375" s="40"/>
      <c r="H375" s="39"/>
      <c r="I375" s="40"/>
      <c r="J375" s="40"/>
      <c r="K375" s="40"/>
      <c r="L375" s="40"/>
      <c r="M375" s="40"/>
    </row>
    <row r="376" ht="21.0" customHeight="1">
      <c r="A376" s="221" t="s">
        <v>287</v>
      </c>
      <c r="B376" s="216"/>
      <c r="C376" s="218"/>
      <c r="D376" s="39"/>
      <c r="E376" s="218"/>
      <c r="F376" s="219"/>
      <c r="G376" s="40"/>
      <c r="H376" s="39"/>
      <c r="I376" s="40"/>
      <c r="J376" s="40"/>
      <c r="K376" s="40"/>
      <c r="L376" s="40"/>
      <c r="M376" s="40"/>
    </row>
    <row r="377" ht="21.0" customHeight="1">
      <c r="A377" s="221" t="s">
        <v>288</v>
      </c>
      <c r="B377" s="216"/>
      <c r="C377" s="218"/>
      <c r="D377" s="39"/>
      <c r="E377" s="218"/>
      <c r="F377" s="219"/>
      <c r="G377" s="40"/>
      <c r="H377" s="39"/>
      <c r="I377" s="40"/>
      <c r="J377" s="40"/>
      <c r="K377" s="40"/>
      <c r="L377" s="40"/>
      <c r="M377" s="40"/>
    </row>
    <row r="378" ht="21.0" customHeight="1">
      <c r="A378" s="221" t="s">
        <v>289</v>
      </c>
      <c r="B378" s="216"/>
      <c r="C378" s="218"/>
      <c r="D378" s="39"/>
      <c r="E378" s="218"/>
      <c r="F378" s="219"/>
      <c r="G378" s="40"/>
      <c r="H378" s="39"/>
      <c r="I378" s="40"/>
      <c r="J378" s="40"/>
      <c r="K378" s="40"/>
      <c r="L378" s="40"/>
      <c r="M378" s="40"/>
    </row>
    <row r="379" ht="21.0" customHeight="1">
      <c r="A379" s="221" t="s">
        <v>290</v>
      </c>
      <c r="B379" s="216"/>
      <c r="C379" s="218"/>
      <c r="D379" s="39"/>
      <c r="E379" s="218"/>
      <c r="F379" s="219"/>
      <c r="G379" s="40"/>
      <c r="H379" s="39"/>
      <c r="I379" s="40"/>
      <c r="J379" s="40"/>
      <c r="K379" s="40"/>
      <c r="L379" s="40"/>
      <c r="M379" s="40"/>
    </row>
    <row r="380" ht="21.0" customHeight="1">
      <c r="A380" s="221" t="s">
        <v>291</v>
      </c>
      <c r="B380" s="216"/>
      <c r="C380" s="218"/>
      <c r="D380" s="39"/>
      <c r="E380" s="218"/>
      <c r="F380" s="219"/>
      <c r="G380" s="40"/>
      <c r="H380" s="39"/>
      <c r="I380" s="40"/>
      <c r="J380" s="40"/>
      <c r="K380" s="40"/>
      <c r="L380" s="40"/>
      <c r="M380" s="40"/>
    </row>
    <row r="381" ht="21.0" customHeight="1">
      <c r="A381" s="221" t="s">
        <v>292</v>
      </c>
      <c r="B381" s="216"/>
      <c r="C381" s="218"/>
      <c r="D381" s="39"/>
      <c r="E381" s="218"/>
      <c r="F381" s="219"/>
      <c r="G381" s="40"/>
      <c r="H381" s="39"/>
      <c r="I381" s="40"/>
      <c r="J381" s="40"/>
      <c r="K381" s="40"/>
      <c r="L381" s="40"/>
      <c r="M381" s="40"/>
    </row>
    <row r="382" ht="21.0" customHeight="1">
      <c r="A382" s="221"/>
      <c r="B382" s="216"/>
      <c r="C382" s="218"/>
      <c r="D382" s="39"/>
      <c r="E382" s="218"/>
      <c r="F382" s="219"/>
      <c r="G382" s="40"/>
      <c r="H382" s="39"/>
      <c r="I382" s="40"/>
      <c r="J382" s="40"/>
      <c r="K382" s="40"/>
      <c r="L382" s="40"/>
      <c r="M382" s="40"/>
    </row>
    <row r="383" ht="21.0" customHeight="1">
      <c r="A383" s="217" t="s">
        <v>293</v>
      </c>
      <c r="B383" s="216"/>
      <c r="C383" s="218"/>
      <c r="D383" s="39"/>
      <c r="E383" s="218"/>
      <c r="F383" s="219"/>
      <c r="G383" s="40"/>
      <c r="H383" s="39"/>
      <c r="I383" s="40"/>
      <c r="J383" s="40"/>
      <c r="K383" s="40"/>
      <c r="L383" s="40"/>
      <c r="M383" s="40"/>
    </row>
    <row r="384" ht="21.0" customHeight="1">
      <c r="A384" s="221" t="s">
        <v>281</v>
      </c>
      <c r="B384" s="216"/>
      <c r="C384" s="218"/>
      <c r="D384" s="39"/>
      <c r="E384" s="218"/>
      <c r="F384" s="219"/>
      <c r="G384" s="40"/>
      <c r="H384" s="39"/>
      <c r="I384" s="40"/>
      <c r="J384" s="40"/>
      <c r="K384" s="40"/>
      <c r="L384" s="40"/>
      <c r="M384" s="40"/>
    </row>
    <row r="385" ht="21.0" customHeight="1">
      <c r="A385" s="221" t="s">
        <v>282</v>
      </c>
      <c r="B385" s="216"/>
      <c r="C385" s="218"/>
      <c r="D385" s="39"/>
      <c r="E385" s="218"/>
      <c r="F385" s="219"/>
      <c r="G385" s="40"/>
      <c r="H385" s="39"/>
      <c r="I385" s="40"/>
      <c r="J385" s="40"/>
      <c r="K385" s="40"/>
      <c r="L385" s="40"/>
      <c r="M385" s="40"/>
    </row>
    <row r="386" ht="21.0" customHeight="1">
      <c r="A386" s="221" t="s">
        <v>283</v>
      </c>
      <c r="B386" s="216"/>
      <c r="C386" s="218"/>
      <c r="D386" s="39"/>
      <c r="E386" s="218"/>
      <c r="F386" s="219"/>
      <c r="G386" s="40"/>
      <c r="H386" s="39"/>
      <c r="I386" s="40"/>
      <c r="J386" s="40"/>
      <c r="K386" s="40"/>
      <c r="L386" s="40"/>
      <c r="M386" s="40"/>
    </row>
    <row r="387" ht="21.0" customHeight="1">
      <c r="A387" s="221" t="s">
        <v>284</v>
      </c>
      <c r="B387" s="216"/>
      <c r="C387" s="218"/>
      <c r="D387" s="39"/>
      <c r="E387" s="218"/>
      <c r="F387" s="219"/>
      <c r="G387" s="40"/>
      <c r="H387" s="39"/>
      <c r="I387" s="40"/>
      <c r="J387" s="40"/>
      <c r="K387" s="40"/>
      <c r="L387" s="40"/>
      <c r="M387" s="40"/>
    </row>
    <row r="388" ht="21.0" customHeight="1">
      <c r="A388" s="221" t="s">
        <v>285</v>
      </c>
      <c r="B388" s="216"/>
      <c r="C388" s="218"/>
      <c r="D388" s="39"/>
      <c r="E388" s="218"/>
      <c r="F388" s="219"/>
      <c r="G388" s="40"/>
      <c r="H388" s="39"/>
      <c r="I388" s="40"/>
      <c r="J388" s="40"/>
      <c r="K388" s="40"/>
      <c r="L388" s="40"/>
      <c r="M388" s="40"/>
    </row>
    <row r="389" ht="21.0" customHeight="1">
      <c r="A389" s="221" t="s">
        <v>286</v>
      </c>
      <c r="B389" s="216"/>
      <c r="C389" s="218"/>
      <c r="D389" s="39"/>
      <c r="E389" s="218"/>
      <c r="F389" s="219"/>
      <c r="G389" s="40"/>
      <c r="H389" s="39"/>
      <c r="I389" s="40"/>
      <c r="J389" s="40"/>
      <c r="K389" s="40"/>
      <c r="L389" s="40"/>
      <c r="M389" s="40"/>
    </row>
    <row r="390" ht="21.0" customHeight="1">
      <c r="A390" s="221" t="s">
        <v>287</v>
      </c>
      <c r="B390" s="216"/>
      <c r="C390" s="218"/>
      <c r="D390" s="39"/>
      <c r="E390" s="218"/>
      <c r="F390" s="219"/>
      <c r="G390" s="40"/>
      <c r="H390" s="39"/>
      <c r="I390" s="40"/>
      <c r="J390" s="40"/>
      <c r="K390" s="40"/>
      <c r="L390" s="40"/>
      <c r="M390" s="40"/>
    </row>
    <row r="391" ht="21.0" customHeight="1">
      <c r="A391" s="221" t="s">
        <v>288</v>
      </c>
      <c r="B391" s="216"/>
      <c r="C391" s="218"/>
      <c r="D391" s="39"/>
      <c r="E391" s="218"/>
      <c r="F391" s="219"/>
      <c r="G391" s="40"/>
      <c r="H391" s="39"/>
      <c r="I391" s="40"/>
      <c r="J391" s="40"/>
      <c r="K391" s="40"/>
      <c r="L391" s="40"/>
      <c r="M391" s="40"/>
    </row>
    <row r="392" ht="21.0" customHeight="1">
      <c r="A392" s="221" t="s">
        <v>289</v>
      </c>
      <c r="B392" s="216"/>
      <c r="C392" s="218"/>
      <c r="D392" s="39"/>
      <c r="E392" s="218"/>
      <c r="F392" s="219"/>
      <c r="G392" s="40"/>
      <c r="H392" s="39"/>
      <c r="I392" s="40"/>
      <c r="J392" s="40"/>
      <c r="K392" s="40"/>
      <c r="L392" s="40"/>
      <c r="M392" s="40"/>
    </row>
    <row r="393" ht="21.0" customHeight="1">
      <c r="A393" s="221" t="s">
        <v>294</v>
      </c>
      <c r="B393" s="216"/>
      <c r="C393" s="218"/>
      <c r="D393" s="39"/>
      <c r="E393" s="218"/>
      <c r="F393" s="219"/>
      <c r="G393" s="40"/>
      <c r="H393" s="39"/>
      <c r="I393" s="40"/>
      <c r="J393" s="40"/>
      <c r="K393" s="40"/>
      <c r="L393" s="40"/>
      <c r="M393" s="40"/>
    </row>
    <row r="394" ht="21.0" customHeight="1">
      <c r="A394" s="227" t="s">
        <v>295</v>
      </c>
      <c r="B394" s="36"/>
      <c r="C394" s="218"/>
      <c r="D394" s="39"/>
      <c r="E394" s="218"/>
      <c r="F394" s="219"/>
      <c r="G394" s="40"/>
      <c r="H394" s="39"/>
      <c r="I394" s="40"/>
      <c r="J394" s="40"/>
      <c r="K394" s="40"/>
      <c r="L394" s="40"/>
      <c r="M394" s="40"/>
    </row>
    <row r="395" ht="21.0" customHeight="1">
      <c r="A395" s="227" t="s">
        <v>296</v>
      </c>
      <c r="B395" s="36"/>
      <c r="C395" s="218"/>
      <c r="D395" s="39"/>
      <c r="E395" s="218"/>
      <c r="F395" s="219"/>
      <c r="G395" s="40"/>
      <c r="H395" s="39"/>
      <c r="I395" s="40"/>
      <c r="J395" s="40"/>
      <c r="K395" s="40"/>
      <c r="L395" s="40"/>
      <c r="M395" s="40"/>
    </row>
    <row r="396" ht="21.0" customHeight="1">
      <c r="A396" s="227" t="s">
        <v>297</v>
      </c>
      <c r="B396" s="36"/>
      <c r="C396" s="218"/>
      <c r="D396" s="39"/>
      <c r="E396" s="218"/>
      <c r="F396" s="219"/>
      <c r="G396" s="40"/>
      <c r="H396" s="39"/>
      <c r="I396" s="40"/>
      <c r="J396" s="40"/>
      <c r="K396" s="40"/>
      <c r="L396" s="40"/>
      <c r="M396" s="40"/>
    </row>
    <row r="397" ht="21.0" customHeight="1">
      <c r="A397" s="227" t="s">
        <v>298</v>
      </c>
      <c r="B397" s="36"/>
      <c r="C397" s="218"/>
      <c r="D397" s="39"/>
      <c r="E397" s="218"/>
      <c r="F397" s="219"/>
      <c r="G397" s="40"/>
      <c r="H397" s="39"/>
      <c r="I397" s="40"/>
      <c r="J397" s="40"/>
      <c r="K397" s="40"/>
      <c r="L397" s="40"/>
      <c r="M397" s="40"/>
    </row>
    <row r="398" ht="21.0" customHeight="1">
      <c r="A398" s="227" t="s">
        <v>299</v>
      </c>
      <c r="B398" s="36"/>
      <c r="C398" s="218"/>
      <c r="D398" s="39"/>
      <c r="E398" s="218"/>
      <c r="F398" s="219"/>
      <c r="G398" s="40"/>
      <c r="H398" s="39"/>
      <c r="I398" s="40"/>
      <c r="J398" s="40"/>
      <c r="K398" s="40"/>
      <c r="L398" s="40"/>
      <c r="M398" s="40"/>
    </row>
    <row r="399" ht="21.0" customHeight="1">
      <c r="A399" s="227"/>
      <c r="B399" s="36"/>
      <c r="C399" s="218"/>
      <c r="D399" s="39"/>
      <c r="E399" s="218"/>
      <c r="F399" s="219"/>
      <c r="G399" s="40"/>
      <c r="H399" s="39"/>
      <c r="I399" s="40"/>
      <c r="J399" s="40"/>
      <c r="K399" s="40"/>
      <c r="L399" s="40"/>
      <c r="M399" s="40"/>
    </row>
    <row r="400" ht="21.0" customHeight="1">
      <c r="A400" s="229" t="s">
        <v>300</v>
      </c>
      <c r="B400" s="36"/>
      <c r="C400" s="218"/>
      <c r="D400" s="39"/>
      <c r="E400" s="218"/>
      <c r="F400" s="219"/>
      <c r="G400" s="40"/>
      <c r="H400" s="39"/>
      <c r="I400" s="40"/>
      <c r="J400" s="40"/>
      <c r="K400" s="40"/>
      <c r="L400" s="40"/>
      <c r="M400" s="40"/>
    </row>
    <row r="401" ht="21.0" customHeight="1">
      <c r="A401" s="227" t="s">
        <v>281</v>
      </c>
      <c r="B401" s="36"/>
      <c r="C401" s="218"/>
      <c r="D401" s="39"/>
      <c r="E401" s="218"/>
      <c r="F401" s="219"/>
      <c r="G401" s="40"/>
      <c r="H401" s="39"/>
      <c r="I401" s="40"/>
      <c r="J401" s="40"/>
      <c r="K401" s="40"/>
      <c r="L401" s="40"/>
      <c r="M401" s="40"/>
    </row>
    <row r="402" ht="21.0" customHeight="1">
      <c r="A402" s="221" t="s">
        <v>282</v>
      </c>
      <c r="B402" s="216"/>
      <c r="C402" s="218"/>
      <c r="D402" s="39"/>
      <c r="E402" s="218"/>
      <c r="F402" s="219"/>
      <c r="G402" s="40"/>
      <c r="H402" s="39"/>
      <c r="I402" s="40"/>
      <c r="J402" s="40"/>
      <c r="K402" s="40"/>
      <c r="L402" s="40"/>
      <c r="M402" s="40"/>
    </row>
    <row r="403" ht="21.0" customHeight="1">
      <c r="A403" s="227" t="s">
        <v>283</v>
      </c>
      <c r="B403" s="216"/>
      <c r="C403" s="218"/>
      <c r="D403" s="39"/>
      <c r="E403" s="218"/>
      <c r="F403" s="219"/>
      <c r="G403" s="40"/>
      <c r="H403" s="39"/>
      <c r="I403" s="40"/>
      <c r="J403" s="40"/>
      <c r="K403" s="40"/>
      <c r="L403" s="40"/>
      <c r="M403" s="40"/>
    </row>
    <row r="404" ht="21.0" customHeight="1">
      <c r="A404" s="221" t="s">
        <v>284</v>
      </c>
      <c r="B404" s="216"/>
      <c r="C404" s="218"/>
      <c r="D404" s="39"/>
      <c r="E404" s="218"/>
      <c r="F404" s="219"/>
      <c r="G404" s="40"/>
      <c r="H404" s="39"/>
      <c r="I404" s="40"/>
      <c r="J404" s="40"/>
      <c r="K404" s="40"/>
      <c r="L404" s="40"/>
      <c r="M404" s="40"/>
    </row>
    <row r="405" ht="21.0" customHeight="1">
      <c r="A405" s="221" t="s">
        <v>285</v>
      </c>
      <c r="B405" s="216"/>
      <c r="C405" s="218"/>
      <c r="D405" s="39"/>
      <c r="E405" s="218"/>
      <c r="F405" s="219"/>
      <c r="G405" s="40"/>
      <c r="H405" s="39"/>
      <c r="I405" s="40"/>
      <c r="J405" s="40"/>
      <c r="K405" s="40"/>
      <c r="L405" s="40"/>
      <c r="M405" s="40"/>
    </row>
    <row r="406" ht="21.0" customHeight="1">
      <c r="A406" s="221" t="s">
        <v>286</v>
      </c>
      <c r="B406" s="216"/>
      <c r="C406" s="218"/>
      <c r="D406" s="39"/>
      <c r="E406" s="218"/>
      <c r="F406" s="219"/>
      <c r="G406" s="40"/>
      <c r="H406" s="39"/>
      <c r="I406" s="40"/>
      <c r="J406" s="40"/>
      <c r="K406" s="40"/>
      <c r="L406" s="40"/>
      <c r="M406" s="40"/>
    </row>
    <row r="407" ht="21.0" customHeight="1">
      <c r="A407" s="221" t="s">
        <v>301</v>
      </c>
      <c r="B407" s="216"/>
      <c r="C407" s="218"/>
      <c r="D407" s="39"/>
      <c r="E407" s="218"/>
      <c r="F407" s="219"/>
      <c r="G407" s="40"/>
      <c r="H407" s="39"/>
      <c r="I407" s="40"/>
      <c r="J407" s="40"/>
      <c r="K407" s="40"/>
      <c r="L407" s="40"/>
      <c r="M407" s="40"/>
    </row>
    <row r="408" ht="21.0" customHeight="1">
      <c r="A408" s="227" t="s">
        <v>289</v>
      </c>
      <c r="B408" s="36"/>
      <c r="C408" s="218"/>
      <c r="D408" s="39"/>
      <c r="E408" s="218"/>
      <c r="F408" s="219"/>
      <c r="G408" s="40"/>
      <c r="H408" s="39"/>
      <c r="I408" s="40"/>
      <c r="J408" s="40"/>
      <c r="K408" s="40"/>
      <c r="L408" s="40"/>
      <c r="M408" s="40"/>
    </row>
    <row r="409" ht="21.0" customHeight="1">
      <c r="A409" s="227" t="s">
        <v>302</v>
      </c>
      <c r="B409" s="36"/>
      <c r="C409" s="218"/>
      <c r="D409" s="39"/>
      <c r="E409" s="218"/>
      <c r="F409" s="219"/>
      <c r="G409" s="40"/>
      <c r="H409" s="39"/>
      <c r="I409" s="40"/>
      <c r="J409" s="40"/>
      <c r="K409" s="40"/>
      <c r="L409" s="40"/>
      <c r="M409" s="40"/>
    </row>
    <row r="410" ht="21.0" customHeight="1">
      <c r="A410" s="227" t="s">
        <v>292</v>
      </c>
      <c r="B410" s="36"/>
      <c r="C410" s="218"/>
      <c r="D410" s="39"/>
      <c r="E410" s="218"/>
      <c r="F410" s="219"/>
      <c r="G410" s="40"/>
      <c r="H410" s="39"/>
      <c r="I410" s="40"/>
      <c r="J410" s="40"/>
      <c r="K410" s="40"/>
      <c r="L410" s="40"/>
      <c r="M410" s="40"/>
    </row>
    <row r="411" ht="21.0" customHeight="1">
      <c r="A411" s="221" t="s">
        <v>303</v>
      </c>
      <c r="B411" s="216"/>
      <c r="C411" s="218"/>
      <c r="D411" s="39"/>
      <c r="E411" s="218"/>
      <c r="F411" s="219"/>
      <c r="G411" s="40"/>
      <c r="H411" s="39"/>
      <c r="I411" s="40"/>
      <c r="J411" s="40"/>
      <c r="K411" s="40"/>
      <c r="L411" s="40"/>
      <c r="M411" s="40"/>
    </row>
    <row r="412" ht="21.0" customHeight="1">
      <c r="A412" s="221"/>
      <c r="B412" s="216"/>
      <c r="C412" s="218"/>
      <c r="D412" s="39"/>
      <c r="E412" s="218"/>
      <c r="F412" s="219"/>
      <c r="G412" s="40"/>
      <c r="H412" s="39"/>
      <c r="I412" s="40"/>
      <c r="J412" s="40"/>
      <c r="K412" s="40"/>
      <c r="L412" s="40"/>
      <c r="M412" s="40"/>
    </row>
    <row r="413" ht="21.0" customHeight="1">
      <c r="A413" s="217" t="s">
        <v>304</v>
      </c>
      <c r="B413" s="216"/>
      <c r="C413" s="218"/>
      <c r="D413" s="39"/>
      <c r="E413" s="218"/>
      <c r="F413" s="219"/>
      <c r="G413" s="40"/>
      <c r="H413" s="39"/>
      <c r="I413" s="40"/>
      <c r="J413" s="40"/>
      <c r="K413" s="40"/>
      <c r="L413" s="40"/>
      <c r="M413" s="40"/>
    </row>
    <row r="414" ht="21.0" customHeight="1">
      <c r="A414" s="221" t="s">
        <v>305</v>
      </c>
      <c r="B414" s="216"/>
      <c r="C414" s="218"/>
      <c r="D414" s="39"/>
      <c r="E414" s="218"/>
      <c r="F414" s="219"/>
      <c r="G414" s="40"/>
      <c r="H414" s="39"/>
      <c r="I414" s="40"/>
      <c r="J414" s="40"/>
      <c r="K414" s="40"/>
      <c r="L414" s="40"/>
      <c r="M414" s="40"/>
    </row>
    <row r="415" ht="21.0" customHeight="1">
      <c r="A415" s="217"/>
      <c r="B415" s="216"/>
      <c r="C415" s="218"/>
      <c r="D415" s="39"/>
      <c r="E415" s="218"/>
      <c r="F415" s="219"/>
      <c r="G415" s="40"/>
      <c r="H415" s="39"/>
      <c r="I415" s="40"/>
      <c r="J415" s="40"/>
      <c r="K415" s="40"/>
      <c r="L415" s="40"/>
      <c r="M415" s="40"/>
    </row>
    <row r="416" ht="21.0" customHeight="1">
      <c r="A416" s="217"/>
      <c r="B416" s="216"/>
      <c r="C416" s="218"/>
      <c r="D416" s="39"/>
      <c r="E416" s="218"/>
      <c r="F416" s="219"/>
      <c r="G416" s="40"/>
      <c r="H416" s="39"/>
      <c r="I416" s="40"/>
      <c r="J416" s="40"/>
      <c r="K416" s="40"/>
      <c r="L416" s="40"/>
      <c r="M416" s="40"/>
    </row>
    <row r="417" ht="21.0" customHeight="1">
      <c r="A417" s="217"/>
      <c r="B417" s="216"/>
      <c r="C417" s="218"/>
      <c r="D417" s="39"/>
      <c r="E417" s="218"/>
      <c r="F417" s="219"/>
      <c r="G417" s="40"/>
      <c r="H417" s="39"/>
      <c r="I417" s="40"/>
      <c r="J417" s="40"/>
      <c r="K417" s="40"/>
      <c r="L417" s="40"/>
      <c r="M417" s="40"/>
    </row>
    <row r="418" ht="21.0" customHeight="1">
      <c r="A418" s="217" t="s">
        <v>306</v>
      </c>
      <c r="B418" s="216"/>
      <c r="C418" s="218"/>
      <c r="D418" s="39"/>
      <c r="E418" s="218"/>
      <c r="F418" s="219"/>
      <c r="G418" s="40"/>
      <c r="H418" s="39"/>
      <c r="I418" s="40"/>
      <c r="J418" s="40"/>
      <c r="K418" s="40"/>
      <c r="L418" s="40"/>
      <c r="M418" s="40"/>
    </row>
    <row r="419" ht="21.0" customHeight="1">
      <c r="A419" s="221" t="s">
        <v>285</v>
      </c>
      <c r="B419" s="216"/>
      <c r="C419" s="218"/>
      <c r="D419" s="39"/>
      <c r="E419" s="218"/>
      <c r="F419" s="219"/>
      <c r="G419" s="40"/>
      <c r="H419" s="39"/>
      <c r="I419" s="40"/>
      <c r="J419" s="40"/>
      <c r="K419" s="40"/>
      <c r="L419" s="40"/>
      <c r="M419" s="40"/>
    </row>
    <row r="420" ht="21.0" customHeight="1">
      <c r="A420" s="221" t="s">
        <v>286</v>
      </c>
      <c r="B420" s="216"/>
      <c r="C420" s="218"/>
      <c r="D420" s="39"/>
      <c r="E420" s="218"/>
      <c r="F420" s="219"/>
      <c r="G420" s="40"/>
      <c r="H420" s="39"/>
      <c r="I420" s="40"/>
      <c r="J420" s="40"/>
      <c r="K420" s="40"/>
      <c r="L420" s="40"/>
      <c r="M420" s="40"/>
    </row>
    <row r="421" ht="21.0" customHeight="1">
      <c r="A421" s="221" t="s">
        <v>307</v>
      </c>
      <c r="B421" s="216"/>
      <c r="C421" s="218"/>
      <c r="D421" s="39"/>
      <c r="E421" s="218"/>
      <c r="F421" s="219"/>
      <c r="G421" s="40"/>
      <c r="H421" s="39"/>
      <c r="I421" s="40"/>
      <c r="J421" s="40"/>
      <c r="K421" s="40"/>
      <c r="L421" s="40"/>
      <c r="M421" s="40"/>
    </row>
    <row r="422" ht="21.0" customHeight="1">
      <c r="A422" s="221"/>
      <c r="B422" s="216"/>
      <c r="C422" s="218"/>
      <c r="D422" s="39"/>
      <c r="E422" s="218"/>
      <c r="F422" s="219"/>
      <c r="G422" s="40"/>
      <c r="H422" s="39"/>
      <c r="I422" s="40"/>
      <c r="J422" s="40"/>
      <c r="K422" s="40"/>
      <c r="L422" s="40"/>
      <c r="M422" s="40"/>
    </row>
    <row r="423" ht="21.0" customHeight="1">
      <c r="A423" s="217" t="s">
        <v>308</v>
      </c>
      <c r="B423" s="216"/>
      <c r="C423" s="218"/>
      <c r="D423" s="39"/>
      <c r="E423" s="218"/>
      <c r="F423" s="219"/>
      <c r="G423" s="40"/>
      <c r="H423" s="39"/>
      <c r="I423" s="40"/>
      <c r="J423" s="40"/>
      <c r="K423" s="40"/>
      <c r="L423" s="40"/>
      <c r="M423" s="40"/>
    </row>
    <row r="424" ht="21.0" customHeight="1">
      <c r="A424" s="221" t="s">
        <v>287</v>
      </c>
      <c r="B424" s="216"/>
      <c r="C424" s="218"/>
      <c r="D424" s="39"/>
      <c r="E424" s="218"/>
      <c r="F424" s="219"/>
      <c r="G424" s="40"/>
      <c r="H424" s="39"/>
      <c r="I424" s="40"/>
      <c r="J424" s="40"/>
      <c r="K424" s="40"/>
      <c r="L424" s="40"/>
      <c r="M424" s="40"/>
    </row>
    <row r="425" ht="21.0" customHeight="1">
      <c r="A425" s="221" t="s">
        <v>288</v>
      </c>
      <c r="B425" s="216"/>
      <c r="C425" s="218"/>
      <c r="D425" s="39"/>
      <c r="E425" s="218"/>
      <c r="F425" s="219"/>
      <c r="G425" s="40"/>
      <c r="H425" s="39"/>
      <c r="I425" s="40"/>
      <c r="J425" s="40"/>
      <c r="K425" s="40"/>
      <c r="L425" s="40"/>
      <c r="M425" s="40"/>
    </row>
    <row r="426" ht="21.0" customHeight="1">
      <c r="A426" s="221" t="s">
        <v>289</v>
      </c>
      <c r="B426" s="216"/>
      <c r="C426" s="218"/>
      <c r="D426" s="39"/>
      <c r="E426" s="218"/>
      <c r="F426" s="219"/>
      <c r="G426" s="40"/>
      <c r="H426" s="39"/>
      <c r="I426" s="40"/>
      <c r="J426" s="40"/>
      <c r="K426" s="40"/>
      <c r="L426" s="40"/>
      <c r="M426" s="40"/>
    </row>
    <row r="427" ht="21.0" customHeight="1">
      <c r="A427" s="217"/>
      <c r="B427" s="216"/>
      <c r="C427" s="218"/>
      <c r="D427" s="39"/>
      <c r="E427" s="218"/>
      <c r="F427" s="219"/>
      <c r="G427" s="40"/>
      <c r="H427" s="39"/>
      <c r="I427" s="40"/>
      <c r="J427" s="40"/>
      <c r="K427" s="40"/>
      <c r="L427" s="40"/>
      <c r="M427" s="40"/>
    </row>
    <row r="428" ht="22.5" customHeight="1">
      <c r="A428" s="221" t="s">
        <v>309</v>
      </c>
      <c r="B428" s="216" t="s">
        <v>32</v>
      </c>
      <c r="C428" s="218">
        <v>8.0</v>
      </c>
      <c r="D428" s="39">
        <v>800.0</v>
      </c>
      <c r="E428" s="230">
        <v>5.0</v>
      </c>
      <c r="F428" s="231">
        <v>500.0</v>
      </c>
      <c r="G428" s="232">
        <v>8.0</v>
      </c>
      <c r="H428" s="39">
        <f>G428*150</f>
        <v>1200</v>
      </c>
      <c r="I428" s="40"/>
      <c r="J428" s="40"/>
      <c r="K428" s="40"/>
      <c r="L428" s="40"/>
      <c r="M428" s="232" t="s">
        <v>310</v>
      </c>
    </row>
    <row r="429" ht="21.0" customHeight="1">
      <c r="A429" s="217" t="s">
        <v>311</v>
      </c>
      <c r="B429" s="216"/>
      <c r="C429" s="218"/>
      <c r="D429" s="39"/>
      <c r="E429" s="218"/>
      <c r="F429" s="219"/>
      <c r="G429" s="40"/>
      <c r="H429" s="39"/>
      <c r="I429" s="40"/>
      <c r="J429" s="40"/>
      <c r="K429" s="40"/>
      <c r="L429" s="40"/>
      <c r="M429" s="40"/>
    </row>
    <row r="430" ht="21.0" customHeight="1">
      <c r="A430" s="221" t="s">
        <v>312</v>
      </c>
      <c r="B430" s="216"/>
      <c r="C430" s="218"/>
      <c r="D430" s="39"/>
      <c r="E430" s="218"/>
      <c r="F430" s="219"/>
      <c r="G430" s="40"/>
      <c r="H430" s="39"/>
      <c r="I430" s="40"/>
      <c r="J430" s="40"/>
      <c r="K430" s="40"/>
      <c r="L430" s="40"/>
      <c r="M430" s="40"/>
    </row>
    <row r="431" ht="21.0" customHeight="1">
      <c r="A431" s="221" t="s">
        <v>313</v>
      </c>
      <c r="B431" s="216"/>
      <c r="C431" s="218"/>
      <c r="D431" s="39"/>
      <c r="E431" s="218"/>
      <c r="F431" s="219"/>
      <c r="G431" s="40"/>
      <c r="H431" s="39"/>
      <c r="I431" s="40"/>
      <c r="J431" s="40"/>
      <c r="K431" s="40"/>
      <c r="L431" s="40"/>
      <c r="M431" s="40"/>
    </row>
    <row r="432" ht="21.0" customHeight="1">
      <c r="A432" s="221"/>
      <c r="B432" s="216"/>
      <c r="C432" s="218"/>
      <c r="D432" s="39"/>
      <c r="E432" s="219"/>
      <c r="F432" s="219"/>
      <c r="G432" s="40"/>
      <c r="H432" s="39"/>
      <c r="I432" s="40"/>
      <c r="J432" s="40"/>
      <c r="K432" s="40"/>
      <c r="L432" s="40"/>
      <c r="M432" s="40"/>
    </row>
    <row r="433" ht="21.0" customHeight="1">
      <c r="A433" s="217" t="s">
        <v>314</v>
      </c>
      <c r="B433" s="216"/>
      <c r="C433" s="218"/>
      <c r="D433" s="39"/>
      <c r="E433" s="219"/>
      <c r="F433" s="219"/>
      <c r="G433" s="40"/>
      <c r="H433" s="39"/>
      <c r="I433" s="40"/>
      <c r="J433" s="40"/>
      <c r="K433" s="40"/>
      <c r="L433" s="40"/>
      <c r="M433" s="40"/>
    </row>
    <row r="434" ht="21.0" customHeight="1">
      <c r="A434" s="221" t="s">
        <v>315</v>
      </c>
      <c r="B434" s="216"/>
      <c r="C434" s="218"/>
      <c r="D434" s="39"/>
      <c r="E434" s="219"/>
      <c r="F434" s="219"/>
      <c r="G434" s="40"/>
      <c r="H434" s="39"/>
      <c r="I434" s="40"/>
      <c r="J434" s="40"/>
      <c r="K434" s="40"/>
      <c r="L434" s="40"/>
      <c r="M434" s="40"/>
    </row>
    <row r="435" ht="21.0" customHeight="1">
      <c r="A435" s="221" t="s">
        <v>316</v>
      </c>
      <c r="B435" s="216"/>
      <c r="C435" s="218"/>
      <c r="D435" s="39"/>
      <c r="E435" s="219"/>
      <c r="F435" s="219"/>
      <c r="G435" s="40"/>
      <c r="H435" s="39"/>
      <c r="I435" s="40"/>
      <c r="J435" s="40"/>
      <c r="K435" s="40"/>
      <c r="L435" s="40"/>
      <c r="M435" s="40"/>
    </row>
    <row r="436" ht="21.0" customHeight="1">
      <c r="A436" s="221" t="s">
        <v>317</v>
      </c>
      <c r="B436" s="216"/>
      <c r="C436" s="218"/>
      <c r="D436" s="39"/>
      <c r="E436" s="219"/>
      <c r="F436" s="219"/>
      <c r="G436" s="40"/>
      <c r="H436" s="39"/>
      <c r="I436" s="40"/>
      <c r="J436" s="40"/>
      <c r="K436" s="40"/>
      <c r="L436" s="40"/>
      <c r="M436" s="40"/>
    </row>
    <row r="437" ht="21.0" customHeight="1">
      <c r="A437" s="221" t="s">
        <v>318</v>
      </c>
      <c r="B437" s="216"/>
      <c r="C437" s="218"/>
      <c r="D437" s="39"/>
      <c r="E437" s="219"/>
      <c r="F437" s="219"/>
      <c r="G437" s="40"/>
      <c r="H437" s="39"/>
      <c r="I437" s="40"/>
      <c r="J437" s="40"/>
      <c r="K437" s="40"/>
      <c r="L437" s="40"/>
      <c r="M437" s="40"/>
    </row>
    <row r="438" ht="21.0" customHeight="1">
      <c r="A438" s="221" t="s">
        <v>319</v>
      </c>
      <c r="B438" s="216"/>
      <c r="C438" s="218"/>
      <c r="D438" s="39"/>
      <c r="E438" s="219"/>
      <c r="F438" s="219"/>
      <c r="G438" s="40"/>
      <c r="H438" s="39"/>
      <c r="I438" s="40"/>
      <c r="J438" s="40"/>
      <c r="K438" s="40"/>
      <c r="L438" s="40"/>
      <c r="M438" s="40"/>
    </row>
    <row r="439" ht="21.0" customHeight="1">
      <c r="A439" s="221" t="s">
        <v>320</v>
      </c>
      <c r="B439" s="216"/>
      <c r="C439" s="218"/>
      <c r="D439" s="39"/>
      <c r="E439" s="219"/>
      <c r="F439" s="219"/>
      <c r="G439" s="40"/>
      <c r="H439" s="39"/>
      <c r="I439" s="40"/>
      <c r="J439" s="40"/>
      <c r="K439" s="40"/>
      <c r="L439" s="40"/>
      <c r="M439" s="40"/>
    </row>
    <row r="440" ht="21.0" customHeight="1">
      <c r="A440" s="221" t="s">
        <v>321</v>
      </c>
      <c r="B440" s="216"/>
      <c r="C440" s="218"/>
      <c r="D440" s="39"/>
      <c r="E440" s="219"/>
      <c r="F440" s="219"/>
      <c r="G440" s="40"/>
      <c r="H440" s="39"/>
      <c r="I440" s="40"/>
      <c r="J440" s="40"/>
      <c r="K440" s="40"/>
      <c r="L440" s="40"/>
      <c r="M440" s="40"/>
    </row>
    <row r="441" ht="21.0" customHeight="1">
      <c r="A441" s="221" t="s">
        <v>322</v>
      </c>
      <c r="B441" s="216"/>
      <c r="C441" s="218"/>
      <c r="D441" s="39"/>
      <c r="E441" s="219"/>
      <c r="F441" s="219"/>
      <c r="G441" s="40"/>
      <c r="H441" s="39"/>
      <c r="I441" s="40"/>
      <c r="J441" s="40"/>
      <c r="K441" s="40"/>
      <c r="L441" s="40"/>
      <c r="M441" s="40"/>
    </row>
    <row r="442" ht="21.0" customHeight="1">
      <c r="A442" s="221" t="s">
        <v>323</v>
      </c>
      <c r="B442" s="216"/>
      <c r="C442" s="218"/>
      <c r="D442" s="39"/>
      <c r="E442" s="219"/>
      <c r="F442" s="219"/>
      <c r="G442" s="40"/>
      <c r="H442" s="39"/>
      <c r="I442" s="40"/>
      <c r="J442" s="40"/>
      <c r="K442" s="40"/>
      <c r="L442" s="40"/>
      <c r="M442" s="40"/>
    </row>
    <row r="443" ht="21.0" customHeight="1">
      <c r="A443" s="221" t="s">
        <v>324</v>
      </c>
      <c r="B443" s="216"/>
      <c r="C443" s="218"/>
      <c r="D443" s="39"/>
      <c r="E443" s="219"/>
      <c r="F443" s="219"/>
      <c r="G443" s="40"/>
      <c r="H443" s="39"/>
      <c r="I443" s="40"/>
      <c r="J443" s="40"/>
      <c r="K443" s="40"/>
      <c r="L443" s="40"/>
      <c r="M443" s="40"/>
    </row>
    <row r="444" ht="21.0" customHeight="1">
      <c r="A444" s="221" t="s">
        <v>325</v>
      </c>
      <c r="B444" s="216"/>
      <c r="C444" s="218"/>
      <c r="D444" s="39"/>
      <c r="E444" s="219"/>
      <c r="F444" s="219"/>
      <c r="G444" s="40"/>
      <c r="H444" s="39"/>
      <c r="I444" s="40"/>
      <c r="J444" s="40"/>
      <c r="K444" s="40"/>
      <c r="L444" s="40"/>
      <c r="M444" s="40"/>
    </row>
    <row r="445" ht="21.0" customHeight="1">
      <c r="A445" s="221" t="s">
        <v>326</v>
      </c>
      <c r="B445" s="216"/>
      <c r="C445" s="218"/>
      <c r="D445" s="39"/>
      <c r="E445" s="219"/>
      <c r="F445" s="219"/>
      <c r="G445" s="40"/>
      <c r="H445" s="39"/>
      <c r="I445" s="40"/>
      <c r="J445" s="40"/>
      <c r="K445" s="40"/>
      <c r="L445" s="40"/>
      <c r="M445" s="40"/>
    </row>
    <row r="446" ht="21.0" customHeight="1">
      <c r="A446" s="221" t="s">
        <v>327</v>
      </c>
      <c r="B446" s="216"/>
      <c r="C446" s="218"/>
      <c r="D446" s="39"/>
      <c r="E446" s="219"/>
      <c r="F446" s="219"/>
      <c r="G446" s="40"/>
      <c r="H446" s="39"/>
      <c r="I446" s="40"/>
      <c r="J446" s="40"/>
      <c r="K446" s="40"/>
      <c r="L446" s="40"/>
      <c r="M446" s="40"/>
    </row>
    <row r="447" ht="21.0" customHeight="1">
      <c r="A447" s="221" t="s">
        <v>328</v>
      </c>
      <c r="B447" s="216"/>
      <c r="C447" s="218"/>
      <c r="D447" s="39"/>
      <c r="E447" s="219"/>
      <c r="F447" s="219"/>
      <c r="G447" s="40"/>
      <c r="H447" s="39"/>
      <c r="I447" s="40"/>
      <c r="J447" s="40"/>
      <c r="K447" s="40"/>
      <c r="L447" s="40"/>
      <c r="M447" s="40"/>
    </row>
    <row r="448" ht="21.0" customHeight="1">
      <c r="A448" s="221" t="s">
        <v>329</v>
      </c>
      <c r="B448" s="216"/>
      <c r="C448" s="218"/>
      <c r="D448" s="39"/>
      <c r="E448" s="219"/>
      <c r="F448" s="219"/>
      <c r="G448" s="40"/>
      <c r="H448" s="39"/>
      <c r="I448" s="40"/>
      <c r="J448" s="40"/>
      <c r="K448" s="40"/>
      <c r="L448" s="40"/>
      <c r="M448" s="40"/>
    </row>
    <row r="449" ht="21.0" customHeight="1">
      <c r="A449" s="221" t="s">
        <v>330</v>
      </c>
      <c r="B449" s="216"/>
      <c r="C449" s="218"/>
      <c r="D449" s="39"/>
      <c r="E449" s="219"/>
      <c r="F449" s="219"/>
      <c r="G449" s="40"/>
      <c r="H449" s="39"/>
      <c r="I449" s="40"/>
      <c r="J449" s="40"/>
      <c r="K449" s="40"/>
      <c r="L449" s="40"/>
      <c r="M449" s="40"/>
    </row>
    <row r="450" ht="21.0" customHeight="1">
      <c r="A450" s="221"/>
      <c r="B450" s="216"/>
      <c r="C450" s="218"/>
      <c r="D450" s="39"/>
      <c r="E450" s="219"/>
      <c r="F450" s="219"/>
      <c r="G450" s="40"/>
      <c r="H450" s="39"/>
      <c r="I450" s="40"/>
      <c r="J450" s="40"/>
      <c r="K450" s="40"/>
      <c r="L450" s="40"/>
      <c r="M450" s="40"/>
    </row>
    <row r="451" ht="21.0" customHeight="1">
      <c r="A451" s="221"/>
      <c r="B451" s="216"/>
      <c r="C451" s="218"/>
      <c r="D451" s="39"/>
      <c r="E451" s="219"/>
      <c r="F451" s="219"/>
      <c r="G451" s="40"/>
      <c r="H451" s="39"/>
      <c r="I451" s="40"/>
      <c r="J451" s="40"/>
      <c r="K451" s="40"/>
      <c r="L451" s="40"/>
      <c r="M451" s="40"/>
    </row>
    <row r="452" ht="21.0" customHeight="1">
      <c r="A452" s="217" t="s">
        <v>331</v>
      </c>
      <c r="B452" s="216"/>
      <c r="C452" s="218"/>
      <c r="D452" s="39"/>
      <c r="E452" s="219"/>
      <c r="F452" s="219"/>
      <c r="G452" s="40"/>
      <c r="H452" s="39"/>
      <c r="I452" s="40"/>
      <c r="J452" s="40"/>
      <c r="K452" s="40"/>
      <c r="L452" s="40"/>
      <c r="M452" s="40"/>
    </row>
    <row r="453" ht="21.0" customHeight="1">
      <c r="A453" s="221" t="s">
        <v>332</v>
      </c>
      <c r="B453" s="216"/>
      <c r="C453" s="218"/>
      <c r="D453" s="39"/>
      <c r="E453" s="219"/>
      <c r="F453" s="219"/>
      <c r="G453" s="40"/>
      <c r="H453" s="39"/>
      <c r="I453" s="40"/>
      <c r="J453" s="40"/>
      <c r="K453" s="40"/>
      <c r="L453" s="40"/>
      <c r="M453" s="40"/>
    </row>
    <row r="454" ht="21.0" customHeight="1">
      <c r="A454" s="221" t="s">
        <v>333</v>
      </c>
      <c r="B454" s="216"/>
      <c r="C454" s="218"/>
      <c r="D454" s="39"/>
      <c r="E454" s="219"/>
      <c r="F454" s="219"/>
      <c r="G454" s="40"/>
      <c r="H454" s="39"/>
      <c r="I454" s="40"/>
      <c r="J454" s="40"/>
      <c r="K454" s="40"/>
      <c r="L454" s="40"/>
      <c r="M454" s="40"/>
    </row>
    <row r="455" ht="21.0" customHeight="1">
      <c r="A455" s="221" t="s">
        <v>334</v>
      </c>
      <c r="B455" s="216"/>
      <c r="C455" s="218"/>
      <c r="D455" s="39"/>
      <c r="E455" s="219"/>
      <c r="F455" s="219"/>
      <c r="G455" s="40"/>
      <c r="H455" s="39"/>
      <c r="I455" s="40"/>
      <c r="J455" s="40"/>
      <c r="K455" s="40"/>
      <c r="L455" s="40"/>
      <c r="M455" s="40"/>
    </row>
    <row r="456" ht="21.0" customHeight="1">
      <c r="A456" s="221" t="s">
        <v>335</v>
      </c>
      <c r="B456" s="216"/>
      <c r="C456" s="218"/>
      <c r="D456" s="39"/>
      <c r="E456" s="219"/>
      <c r="F456" s="219"/>
      <c r="G456" s="40"/>
      <c r="H456" s="39"/>
      <c r="I456" s="40"/>
      <c r="J456" s="40"/>
      <c r="K456" s="40"/>
      <c r="L456" s="40"/>
      <c r="M456" s="40"/>
    </row>
    <row r="457" ht="21.0" customHeight="1">
      <c r="A457" s="221" t="s">
        <v>336</v>
      </c>
      <c r="B457" s="216"/>
      <c r="C457" s="218"/>
      <c r="D457" s="39"/>
      <c r="E457" s="219"/>
      <c r="F457" s="219"/>
      <c r="G457" s="40"/>
      <c r="H457" s="39"/>
      <c r="I457" s="40"/>
      <c r="J457" s="40"/>
      <c r="K457" s="40"/>
      <c r="L457" s="40"/>
      <c r="M457" s="40"/>
    </row>
    <row r="458" ht="21.0" customHeight="1">
      <c r="A458" s="221" t="s">
        <v>337</v>
      </c>
      <c r="B458" s="216"/>
      <c r="C458" s="218"/>
      <c r="D458" s="39"/>
      <c r="E458" s="219"/>
      <c r="F458" s="219"/>
      <c r="G458" s="40"/>
      <c r="H458" s="39"/>
      <c r="I458" s="40"/>
      <c r="J458" s="40"/>
      <c r="K458" s="40"/>
      <c r="L458" s="40"/>
      <c r="M458" s="40"/>
    </row>
    <row r="459" ht="21.0" customHeight="1">
      <c r="A459" s="221" t="s">
        <v>338</v>
      </c>
      <c r="B459" s="216"/>
      <c r="C459" s="218"/>
      <c r="D459" s="39"/>
      <c r="E459" s="219"/>
      <c r="F459" s="219"/>
      <c r="G459" s="40"/>
      <c r="H459" s="39"/>
      <c r="I459" s="40"/>
      <c r="J459" s="40"/>
      <c r="K459" s="40"/>
      <c r="L459" s="40"/>
      <c r="M459" s="40"/>
    </row>
    <row r="460" ht="21.0" customHeight="1">
      <c r="A460" s="233"/>
      <c r="B460" s="216"/>
      <c r="C460" s="218"/>
      <c r="D460" s="39"/>
      <c r="E460" s="219"/>
      <c r="F460" s="219"/>
      <c r="G460" s="40"/>
      <c r="H460" s="39"/>
      <c r="I460" s="40"/>
      <c r="J460" s="40"/>
      <c r="K460" s="40"/>
      <c r="L460" s="40"/>
      <c r="M460" s="40"/>
    </row>
    <row r="461" ht="45.0" customHeight="1">
      <c r="A461" s="217" t="s">
        <v>339</v>
      </c>
      <c r="B461" s="216" t="s">
        <v>32</v>
      </c>
      <c r="C461" s="213"/>
      <c r="D461" s="213"/>
      <c r="E461" s="213"/>
      <c r="F461" s="213"/>
      <c r="G461" s="40"/>
      <c r="H461" s="39"/>
      <c r="I461" s="40"/>
      <c r="J461" s="40"/>
      <c r="K461" s="40"/>
      <c r="L461" s="40"/>
      <c r="M461" s="40"/>
    </row>
    <row r="462" ht="21.0" customHeight="1">
      <c r="A462" s="217" t="s">
        <v>165</v>
      </c>
      <c r="B462" s="216" t="s">
        <v>32</v>
      </c>
      <c r="C462" s="218"/>
      <c r="D462" s="39"/>
      <c r="E462" s="219"/>
      <c r="F462" s="219"/>
      <c r="G462" s="40"/>
      <c r="H462" s="39"/>
      <c r="I462" s="40"/>
      <c r="J462" s="40"/>
      <c r="K462" s="40"/>
      <c r="L462" s="40"/>
      <c r="M462" s="40"/>
    </row>
    <row r="463" ht="36.0" customHeight="1">
      <c r="A463" s="221" t="s">
        <v>340</v>
      </c>
      <c r="B463" s="216" t="s">
        <v>32</v>
      </c>
      <c r="C463" s="218"/>
      <c r="D463" s="39"/>
      <c r="E463" s="219"/>
      <c r="F463" s="219"/>
      <c r="G463" s="40"/>
      <c r="H463" s="39"/>
      <c r="I463" s="40"/>
      <c r="J463" s="40"/>
      <c r="K463" s="40"/>
      <c r="L463" s="40"/>
      <c r="M463" s="40"/>
    </row>
    <row r="464" ht="21.0" customHeight="1">
      <c r="A464" s="217" t="s">
        <v>168</v>
      </c>
      <c r="B464" s="216" t="s">
        <v>32</v>
      </c>
      <c r="C464" s="218"/>
      <c r="D464" s="39"/>
      <c r="E464" s="219"/>
      <c r="F464" s="219"/>
      <c r="G464" s="40"/>
      <c r="H464" s="39"/>
      <c r="I464" s="40"/>
      <c r="J464" s="40"/>
      <c r="K464" s="40"/>
      <c r="L464" s="40"/>
      <c r="M464" s="40"/>
    </row>
    <row r="465" ht="42.75" customHeight="1">
      <c r="A465" s="221" t="s">
        <v>341</v>
      </c>
      <c r="B465" s="216" t="s">
        <v>32</v>
      </c>
      <c r="C465" s="218"/>
      <c r="D465" s="39"/>
      <c r="E465" s="219"/>
      <c r="F465" s="219"/>
      <c r="G465" s="40"/>
      <c r="H465" s="39"/>
      <c r="I465" s="40"/>
      <c r="J465" s="40"/>
      <c r="K465" s="40"/>
      <c r="L465" s="40"/>
      <c r="M465" s="40"/>
    </row>
    <row r="466" ht="21.0" customHeight="1">
      <c r="A466" s="221" t="s">
        <v>342</v>
      </c>
      <c r="B466" s="216" t="s">
        <v>32</v>
      </c>
      <c r="C466" s="218"/>
      <c r="D466" s="39"/>
      <c r="E466" s="219"/>
      <c r="F466" s="219"/>
      <c r="G466" s="40"/>
      <c r="H466" s="39"/>
      <c r="I466" s="40"/>
      <c r="J466" s="40"/>
      <c r="K466" s="40"/>
      <c r="L466" s="40"/>
      <c r="M466" s="40"/>
    </row>
    <row r="467" ht="21.0" customHeight="1">
      <c r="A467" s="221" t="s">
        <v>343</v>
      </c>
      <c r="B467" s="216" t="s">
        <v>32</v>
      </c>
      <c r="C467" s="218"/>
      <c r="D467" s="39"/>
      <c r="E467" s="219"/>
      <c r="F467" s="219"/>
      <c r="G467" s="40"/>
      <c r="H467" s="39"/>
      <c r="I467" s="40"/>
      <c r="J467" s="40"/>
      <c r="K467" s="40"/>
      <c r="L467" s="40"/>
      <c r="M467" s="40"/>
    </row>
    <row r="468" ht="21.0" customHeight="1">
      <c r="A468" s="221" t="s">
        <v>344</v>
      </c>
      <c r="B468" s="216" t="s">
        <v>32</v>
      </c>
      <c r="C468" s="218"/>
      <c r="D468" s="39"/>
      <c r="E468" s="219"/>
      <c r="F468" s="219"/>
      <c r="G468" s="40"/>
      <c r="H468" s="39"/>
      <c r="I468" s="40"/>
      <c r="J468" s="40"/>
      <c r="K468" s="40"/>
      <c r="L468" s="40"/>
      <c r="M468" s="40"/>
    </row>
    <row r="469" ht="21.0" customHeight="1">
      <c r="A469" s="221" t="s">
        <v>342</v>
      </c>
      <c r="B469" s="216" t="s">
        <v>32</v>
      </c>
      <c r="C469" s="218"/>
      <c r="D469" s="39"/>
      <c r="E469" s="219"/>
      <c r="F469" s="219"/>
      <c r="G469" s="40"/>
      <c r="H469" s="39"/>
      <c r="I469" s="40"/>
      <c r="J469" s="40"/>
      <c r="K469" s="40"/>
      <c r="L469" s="40"/>
      <c r="M469" s="40"/>
    </row>
    <row r="470" ht="21.0" customHeight="1">
      <c r="A470" s="221" t="s">
        <v>343</v>
      </c>
      <c r="B470" s="216" t="s">
        <v>32</v>
      </c>
      <c r="C470" s="218"/>
      <c r="D470" s="39"/>
      <c r="E470" s="219"/>
      <c r="F470" s="219"/>
      <c r="G470" s="40"/>
      <c r="H470" s="39"/>
      <c r="I470" s="40"/>
      <c r="J470" s="40"/>
      <c r="K470" s="40"/>
      <c r="L470" s="40"/>
      <c r="M470" s="40"/>
    </row>
    <row r="471" ht="21.0" customHeight="1">
      <c r="A471" s="217" t="s">
        <v>170</v>
      </c>
      <c r="B471" s="216" t="s">
        <v>32</v>
      </c>
      <c r="C471" s="218"/>
      <c r="D471" s="39"/>
      <c r="E471" s="219"/>
      <c r="F471" s="219"/>
      <c r="G471" s="40"/>
      <c r="H471" s="39"/>
      <c r="I471" s="40"/>
      <c r="J471" s="40"/>
      <c r="K471" s="40"/>
      <c r="L471" s="40"/>
      <c r="M471" s="40"/>
    </row>
    <row r="472" ht="21.0" customHeight="1">
      <c r="A472" s="217" t="s">
        <v>345</v>
      </c>
      <c r="B472" s="216" t="s">
        <v>32</v>
      </c>
      <c r="C472" s="218"/>
      <c r="D472" s="39"/>
      <c r="E472" s="219"/>
      <c r="F472" s="219"/>
      <c r="G472" s="40"/>
      <c r="H472" s="39"/>
      <c r="I472" s="40"/>
      <c r="J472" s="40"/>
      <c r="K472" s="40"/>
      <c r="L472" s="40"/>
      <c r="M472" s="40"/>
    </row>
    <row r="473" ht="21.0" customHeight="1">
      <c r="A473" s="217" t="s">
        <v>346</v>
      </c>
      <c r="B473" s="216" t="s">
        <v>32</v>
      </c>
      <c r="C473" s="218"/>
      <c r="D473" s="39"/>
      <c r="E473" s="219"/>
      <c r="F473" s="219"/>
      <c r="G473" s="40"/>
      <c r="H473" s="39"/>
      <c r="I473" s="40"/>
      <c r="J473" s="40"/>
      <c r="K473" s="40"/>
      <c r="L473" s="40"/>
      <c r="M473" s="40"/>
    </row>
    <row r="474" ht="21.0" customHeight="1">
      <c r="A474" s="221" t="s">
        <v>347</v>
      </c>
      <c r="B474" s="216" t="s">
        <v>32</v>
      </c>
      <c r="C474" s="218"/>
      <c r="D474" s="39"/>
      <c r="E474" s="219"/>
      <c r="F474" s="219"/>
      <c r="G474" s="40"/>
      <c r="H474" s="39"/>
      <c r="I474" s="40"/>
      <c r="J474" s="40"/>
      <c r="K474" s="40"/>
      <c r="L474" s="40"/>
      <c r="M474" s="40"/>
    </row>
    <row r="475" ht="21.0" customHeight="1">
      <c r="A475" s="234" t="s">
        <v>342</v>
      </c>
      <c r="B475" s="216" t="s">
        <v>32</v>
      </c>
      <c r="C475" s="218"/>
      <c r="D475" s="39"/>
      <c r="E475" s="219"/>
      <c r="F475" s="219"/>
      <c r="G475" s="40"/>
      <c r="H475" s="39"/>
      <c r="I475" s="40"/>
      <c r="J475" s="40"/>
      <c r="K475" s="40"/>
      <c r="L475" s="40"/>
      <c r="M475" s="40"/>
    </row>
    <row r="476" ht="21.0" customHeight="1">
      <c r="A476" s="234" t="s">
        <v>343</v>
      </c>
      <c r="B476" s="216" t="s">
        <v>32</v>
      </c>
      <c r="C476" s="218"/>
      <c r="D476" s="39"/>
      <c r="E476" s="219"/>
      <c r="F476" s="219"/>
      <c r="G476" s="40"/>
      <c r="H476" s="39"/>
      <c r="I476" s="40"/>
      <c r="J476" s="40"/>
      <c r="K476" s="40"/>
      <c r="L476" s="40"/>
      <c r="M476" s="40"/>
    </row>
    <row r="477" ht="21.0" customHeight="1">
      <c r="A477" s="221" t="s">
        <v>348</v>
      </c>
      <c r="B477" s="216" t="s">
        <v>32</v>
      </c>
      <c r="C477" s="218"/>
      <c r="D477" s="39"/>
      <c r="E477" s="219"/>
      <c r="F477" s="219"/>
      <c r="G477" s="40"/>
      <c r="H477" s="39"/>
      <c r="I477" s="40"/>
      <c r="J477" s="40"/>
      <c r="K477" s="40"/>
      <c r="L477" s="40"/>
      <c r="M477" s="40"/>
    </row>
    <row r="478" ht="21.0" customHeight="1">
      <c r="A478" s="234" t="s">
        <v>342</v>
      </c>
      <c r="B478" s="216" t="s">
        <v>32</v>
      </c>
      <c r="C478" s="218"/>
      <c r="D478" s="39"/>
      <c r="E478" s="219"/>
      <c r="F478" s="219"/>
      <c r="G478" s="40"/>
      <c r="H478" s="39"/>
      <c r="I478" s="40"/>
      <c r="J478" s="40"/>
      <c r="K478" s="40"/>
      <c r="L478" s="40"/>
      <c r="M478" s="40"/>
    </row>
    <row r="479" ht="21.0" customHeight="1">
      <c r="A479" s="234" t="s">
        <v>343</v>
      </c>
      <c r="B479" s="216" t="s">
        <v>32</v>
      </c>
      <c r="C479" s="218"/>
      <c r="D479" s="39"/>
      <c r="E479" s="219"/>
      <c r="F479" s="219"/>
      <c r="G479" s="40"/>
      <c r="H479" s="39"/>
      <c r="I479" s="40"/>
      <c r="J479" s="40"/>
      <c r="K479" s="40"/>
      <c r="L479" s="40"/>
      <c r="M479" s="40"/>
    </row>
    <row r="480" ht="21.0" customHeight="1">
      <c r="A480" s="217" t="s">
        <v>349</v>
      </c>
      <c r="B480" s="216" t="s">
        <v>32</v>
      </c>
      <c r="C480" s="218"/>
      <c r="D480" s="39"/>
      <c r="E480" s="219"/>
      <c r="F480" s="219"/>
      <c r="G480" s="40"/>
      <c r="H480" s="39"/>
      <c r="I480" s="40"/>
      <c r="J480" s="40"/>
      <c r="K480" s="40"/>
      <c r="L480" s="40"/>
      <c r="M480" s="40"/>
    </row>
    <row r="481" ht="21.0" customHeight="1">
      <c r="A481" s="221" t="s">
        <v>350</v>
      </c>
      <c r="B481" s="216" t="s">
        <v>32</v>
      </c>
      <c r="C481" s="218"/>
      <c r="D481" s="39"/>
      <c r="E481" s="219"/>
      <c r="F481" s="219"/>
      <c r="G481" s="40"/>
      <c r="H481" s="39"/>
      <c r="I481" s="40"/>
      <c r="J481" s="40"/>
      <c r="K481" s="40"/>
      <c r="L481" s="40"/>
      <c r="M481" s="40"/>
    </row>
    <row r="482" ht="21.0" customHeight="1">
      <c r="A482" s="234" t="s">
        <v>342</v>
      </c>
      <c r="B482" s="216" t="s">
        <v>32</v>
      </c>
      <c r="C482" s="218"/>
      <c r="D482" s="39"/>
      <c r="E482" s="219"/>
      <c r="F482" s="219"/>
      <c r="G482" s="40"/>
      <c r="H482" s="39"/>
      <c r="I482" s="40"/>
      <c r="J482" s="40"/>
      <c r="K482" s="40"/>
      <c r="L482" s="40"/>
      <c r="M482" s="40"/>
    </row>
    <row r="483" ht="21.0" customHeight="1">
      <c r="A483" s="234" t="s">
        <v>343</v>
      </c>
      <c r="B483" s="216" t="s">
        <v>32</v>
      </c>
      <c r="C483" s="218"/>
      <c r="D483" s="39"/>
      <c r="E483" s="219"/>
      <c r="F483" s="219"/>
      <c r="G483" s="40"/>
      <c r="H483" s="39"/>
      <c r="I483" s="40"/>
      <c r="J483" s="40"/>
      <c r="K483" s="40"/>
      <c r="L483" s="40"/>
      <c r="M483" s="40"/>
    </row>
    <row r="484" ht="21.0" customHeight="1">
      <c r="A484" s="221" t="s">
        <v>348</v>
      </c>
      <c r="B484" s="216" t="s">
        <v>32</v>
      </c>
      <c r="C484" s="218"/>
      <c r="D484" s="39"/>
      <c r="E484" s="219"/>
      <c r="F484" s="219"/>
      <c r="G484" s="40"/>
      <c r="H484" s="39"/>
      <c r="I484" s="40"/>
      <c r="J484" s="40"/>
      <c r="K484" s="40"/>
      <c r="L484" s="40"/>
      <c r="M484" s="40"/>
    </row>
    <row r="485" ht="21.0" customHeight="1">
      <c r="A485" s="234" t="s">
        <v>342</v>
      </c>
      <c r="B485" s="216" t="s">
        <v>32</v>
      </c>
      <c r="C485" s="218"/>
      <c r="D485" s="39"/>
      <c r="E485" s="219"/>
      <c r="F485" s="219"/>
      <c r="G485" s="40"/>
      <c r="H485" s="39"/>
      <c r="I485" s="40"/>
      <c r="J485" s="40"/>
      <c r="K485" s="40"/>
      <c r="L485" s="40"/>
      <c r="M485" s="40"/>
    </row>
    <row r="486" ht="21.0" customHeight="1">
      <c r="A486" s="234" t="s">
        <v>343</v>
      </c>
      <c r="B486" s="216" t="s">
        <v>32</v>
      </c>
      <c r="C486" s="218"/>
      <c r="D486" s="39"/>
      <c r="E486" s="219"/>
      <c r="F486" s="219"/>
      <c r="G486" s="40"/>
      <c r="H486" s="39"/>
      <c r="I486" s="40"/>
      <c r="J486" s="40"/>
      <c r="K486" s="40"/>
      <c r="L486" s="40"/>
      <c r="M486" s="40"/>
    </row>
    <row r="487" ht="21.0" customHeight="1">
      <c r="A487" s="217" t="s">
        <v>351</v>
      </c>
      <c r="B487" s="216" t="s">
        <v>32</v>
      </c>
      <c r="C487" s="218"/>
      <c r="D487" s="39"/>
      <c r="E487" s="219"/>
      <c r="F487" s="219"/>
      <c r="G487" s="40"/>
      <c r="H487" s="39"/>
      <c r="I487" s="40"/>
      <c r="J487" s="40"/>
      <c r="K487" s="40"/>
      <c r="L487" s="40"/>
      <c r="M487" s="40"/>
    </row>
    <row r="488" ht="21.0" customHeight="1">
      <c r="A488" s="221" t="s">
        <v>350</v>
      </c>
      <c r="B488" s="216" t="s">
        <v>32</v>
      </c>
      <c r="C488" s="218"/>
      <c r="D488" s="39"/>
      <c r="E488" s="219"/>
      <c r="F488" s="219"/>
      <c r="G488" s="40"/>
      <c r="H488" s="39"/>
      <c r="I488" s="40"/>
      <c r="J488" s="40"/>
      <c r="K488" s="40"/>
      <c r="L488" s="40"/>
      <c r="M488" s="40"/>
    </row>
    <row r="489" ht="21.0" customHeight="1">
      <c r="A489" s="234" t="s">
        <v>342</v>
      </c>
      <c r="B489" s="216" t="s">
        <v>32</v>
      </c>
      <c r="C489" s="218"/>
      <c r="D489" s="39"/>
      <c r="E489" s="219"/>
      <c r="F489" s="219"/>
      <c r="G489" s="40"/>
      <c r="H489" s="39"/>
      <c r="I489" s="40"/>
      <c r="J489" s="40"/>
      <c r="K489" s="40"/>
      <c r="L489" s="40"/>
      <c r="M489" s="40"/>
    </row>
    <row r="490" ht="21.0" customHeight="1">
      <c r="A490" s="234" t="s">
        <v>343</v>
      </c>
      <c r="B490" s="216" t="s">
        <v>32</v>
      </c>
      <c r="C490" s="218"/>
      <c r="D490" s="39"/>
      <c r="E490" s="219"/>
      <c r="F490" s="219"/>
      <c r="G490" s="40"/>
      <c r="H490" s="39"/>
      <c r="I490" s="40"/>
      <c r="J490" s="40"/>
      <c r="K490" s="40"/>
      <c r="L490" s="40"/>
      <c r="M490" s="40"/>
    </row>
    <row r="491" ht="21.0" customHeight="1">
      <c r="A491" s="221" t="s">
        <v>348</v>
      </c>
      <c r="B491" s="216" t="s">
        <v>32</v>
      </c>
      <c r="C491" s="218"/>
      <c r="D491" s="39"/>
      <c r="E491" s="219"/>
      <c r="F491" s="219"/>
      <c r="G491" s="40"/>
      <c r="H491" s="39"/>
      <c r="I491" s="40"/>
      <c r="J491" s="40"/>
      <c r="K491" s="40"/>
      <c r="L491" s="40"/>
      <c r="M491" s="40"/>
    </row>
    <row r="492" ht="21.0" customHeight="1">
      <c r="A492" s="234" t="s">
        <v>342</v>
      </c>
      <c r="B492" s="216" t="s">
        <v>32</v>
      </c>
      <c r="C492" s="218"/>
      <c r="D492" s="39"/>
      <c r="E492" s="219"/>
      <c r="F492" s="219"/>
      <c r="G492" s="40"/>
      <c r="H492" s="39"/>
      <c r="I492" s="40"/>
      <c r="J492" s="40"/>
      <c r="K492" s="40"/>
      <c r="L492" s="40"/>
      <c r="M492" s="40"/>
    </row>
    <row r="493" ht="21.0" customHeight="1">
      <c r="A493" s="234" t="s">
        <v>343</v>
      </c>
      <c r="B493" s="216" t="s">
        <v>32</v>
      </c>
      <c r="C493" s="218"/>
      <c r="D493" s="39"/>
      <c r="E493" s="219"/>
      <c r="F493" s="219"/>
      <c r="G493" s="40"/>
      <c r="H493" s="39"/>
      <c r="I493" s="40"/>
      <c r="J493" s="40"/>
      <c r="K493" s="40"/>
      <c r="L493" s="40"/>
      <c r="M493" s="40"/>
    </row>
    <row r="494" ht="21.0" customHeight="1">
      <c r="A494" s="217" t="s">
        <v>352</v>
      </c>
      <c r="B494" s="216" t="s">
        <v>32</v>
      </c>
      <c r="C494" s="218"/>
      <c r="D494" s="39"/>
      <c r="E494" s="219"/>
      <c r="F494" s="219"/>
      <c r="G494" s="40"/>
      <c r="H494" s="39"/>
      <c r="I494" s="40"/>
      <c r="J494" s="40"/>
      <c r="K494" s="40"/>
      <c r="L494" s="40"/>
      <c r="M494" s="40"/>
    </row>
    <row r="495" ht="21.0" customHeight="1">
      <c r="A495" s="221" t="s">
        <v>350</v>
      </c>
      <c r="B495" s="216" t="s">
        <v>32</v>
      </c>
      <c r="C495" s="218"/>
      <c r="D495" s="39"/>
      <c r="E495" s="219"/>
      <c r="F495" s="219"/>
      <c r="G495" s="40"/>
      <c r="H495" s="39"/>
      <c r="I495" s="40"/>
      <c r="J495" s="40"/>
      <c r="K495" s="40"/>
      <c r="L495" s="40"/>
      <c r="M495" s="40"/>
    </row>
    <row r="496" ht="21.0" customHeight="1">
      <c r="A496" s="234" t="s">
        <v>342</v>
      </c>
      <c r="B496" s="216" t="s">
        <v>32</v>
      </c>
      <c r="C496" s="218"/>
      <c r="D496" s="39"/>
      <c r="E496" s="219"/>
      <c r="F496" s="219"/>
      <c r="G496" s="40"/>
      <c r="H496" s="39"/>
      <c r="I496" s="40"/>
      <c r="J496" s="40"/>
      <c r="K496" s="40"/>
      <c r="L496" s="40"/>
      <c r="M496" s="40"/>
    </row>
    <row r="497" ht="21.0" customHeight="1">
      <c r="A497" s="235" t="s">
        <v>343</v>
      </c>
      <c r="B497" s="216" t="s">
        <v>32</v>
      </c>
      <c r="C497" s="218"/>
      <c r="D497" s="39"/>
      <c r="E497" s="219"/>
      <c r="F497" s="219"/>
      <c r="G497" s="40"/>
      <c r="H497" s="39"/>
      <c r="I497" s="40"/>
      <c r="J497" s="40"/>
      <c r="K497" s="40"/>
      <c r="L497" s="40"/>
      <c r="M497" s="40"/>
    </row>
    <row r="498" ht="21.0" customHeight="1">
      <c r="A498" s="221" t="s">
        <v>348</v>
      </c>
      <c r="B498" s="216" t="s">
        <v>32</v>
      </c>
      <c r="C498" s="218"/>
      <c r="D498" s="39"/>
      <c r="E498" s="219"/>
      <c r="F498" s="219"/>
      <c r="G498" s="40"/>
      <c r="H498" s="39"/>
      <c r="I498" s="40"/>
      <c r="J498" s="40"/>
      <c r="K498" s="40"/>
      <c r="L498" s="40"/>
      <c r="M498" s="40"/>
    </row>
    <row r="499" ht="21.0" customHeight="1">
      <c r="A499" s="234" t="s">
        <v>342</v>
      </c>
      <c r="B499" s="216" t="s">
        <v>32</v>
      </c>
      <c r="C499" s="218"/>
      <c r="D499" s="39"/>
      <c r="E499" s="219"/>
      <c r="F499" s="219"/>
      <c r="G499" s="40"/>
      <c r="H499" s="39"/>
      <c r="I499" s="40"/>
      <c r="J499" s="40"/>
      <c r="K499" s="40"/>
      <c r="L499" s="40"/>
      <c r="M499" s="40"/>
    </row>
    <row r="500" ht="21.0" customHeight="1">
      <c r="A500" s="234" t="s">
        <v>343</v>
      </c>
      <c r="B500" s="216" t="s">
        <v>32</v>
      </c>
      <c r="C500" s="218"/>
      <c r="D500" s="39"/>
      <c r="E500" s="219"/>
      <c r="F500" s="219"/>
      <c r="G500" s="40"/>
      <c r="H500" s="39"/>
      <c r="I500" s="40"/>
      <c r="J500" s="40"/>
      <c r="K500" s="40"/>
      <c r="L500" s="40"/>
      <c r="M500" s="40"/>
    </row>
    <row r="501" ht="21.0" customHeight="1">
      <c r="A501" s="217" t="s">
        <v>353</v>
      </c>
      <c r="B501" s="216" t="s">
        <v>32</v>
      </c>
      <c r="C501" s="218"/>
      <c r="D501" s="39"/>
      <c r="E501" s="219"/>
      <c r="F501" s="219"/>
      <c r="G501" s="40"/>
      <c r="H501" s="39"/>
      <c r="I501" s="40"/>
      <c r="J501" s="40"/>
      <c r="K501" s="40"/>
      <c r="L501" s="40"/>
      <c r="M501" s="40"/>
    </row>
    <row r="502" ht="21.0" customHeight="1">
      <c r="A502" s="221" t="s">
        <v>347</v>
      </c>
      <c r="B502" s="216" t="s">
        <v>32</v>
      </c>
      <c r="C502" s="218"/>
      <c r="D502" s="39"/>
      <c r="E502" s="219"/>
      <c r="F502" s="219"/>
      <c r="G502" s="40"/>
      <c r="H502" s="39"/>
      <c r="I502" s="40"/>
      <c r="J502" s="40"/>
      <c r="K502" s="40"/>
      <c r="L502" s="40"/>
      <c r="M502" s="40"/>
    </row>
    <row r="503" ht="21.0" customHeight="1">
      <c r="A503" s="234" t="s">
        <v>342</v>
      </c>
      <c r="B503" s="216" t="s">
        <v>32</v>
      </c>
      <c r="C503" s="218"/>
      <c r="D503" s="39"/>
      <c r="E503" s="219"/>
      <c r="F503" s="219"/>
      <c r="G503" s="40"/>
      <c r="H503" s="39"/>
      <c r="I503" s="40"/>
      <c r="J503" s="40"/>
      <c r="K503" s="40"/>
      <c r="L503" s="40"/>
      <c r="M503" s="40"/>
    </row>
    <row r="504" ht="21.0" customHeight="1">
      <c r="A504" s="234" t="s">
        <v>343</v>
      </c>
      <c r="B504" s="216" t="s">
        <v>32</v>
      </c>
      <c r="C504" s="218"/>
      <c r="D504" s="39"/>
      <c r="E504" s="219"/>
      <c r="F504" s="219"/>
      <c r="G504" s="40"/>
      <c r="H504" s="39"/>
      <c r="I504" s="40"/>
      <c r="J504" s="40"/>
      <c r="K504" s="40"/>
      <c r="L504" s="40"/>
      <c r="M504" s="40"/>
    </row>
    <row r="505" ht="21.0" customHeight="1">
      <c r="A505" s="221" t="s">
        <v>348</v>
      </c>
      <c r="B505" s="216" t="s">
        <v>32</v>
      </c>
      <c r="C505" s="218"/>
      <c r="D505" s="39"/>
      <c r="E505" s="219"/>
      <c r="F505" s="219"/>
      <c r="G505" s="40"/>
      <c r="H505" s="39"/>
      <c r="I505" s="40"/>
      <c r="J505" s="40"/>
      <c r="K505" s="40"/>
      <c r="L505" s="40"/>
      <c r="M505" s="40"/>
    </row>
    <row r="506" ht="21.0" customHeight="1">
      <c r="A506" s="234" t="s">
        <v>342</v>
      </c>
      <c r="B506" s="216" t="s">
        <v>32</v>
      </c>
      <c r="C506" s="218"/>
      <c r="D506" s="39"/>
      <c r="E506" s="219"/>
      <c r="F506" s="219"/>
      <c r="G506" s="40"/>
      <c r="H506" s="39"/>
      <c r="I506" s="40"/>
      <c r="J506" s="40"/>
      <c r="K506" s="40"/>
      <c r="L506" s="40"/>
      <c r="M506" s="40"/>
    </row>
    <row r="507" ht="21.0" customHeight="1">
      <c r="A507" s="234" t="s">
        <v>343</v>
      </c>
      <c r="B507" s="216" t="s">
        <v>32</v>
      </c>
      <c r="C507" s="218"/>
      <c r="D507" s="39"/>
      <c r="E507" s="219"/>
      <c r="F507" s="219"/>
      <c r="G507" s="40"/>
      <c r="H507" s="39"/>
      <c r="I507" s="40"/>
      <c r="J507" s="40"/>
      <c r="K507" s="40"/>
      <c r="L507" s="40"/>
      <c r="M507" s="40"/>
    </row>
    <row r="508" ht="21.0" customHeight="1">
      <c r="A508" s="217" t="s">
        <v>354</v>
      </c>
      <c r="B508" s="216" t="s">
        <v>32</v>
      </c>
      <c r="C508" s="218"/>
      <c r="D508" s="39"/>
      <c r="E508" s="219"/>
      <c r="F508" s="219"/>
      <c r="G508" s="40"/>
      <c r="H508" s="39"/>
      <c r="I508" s="40"/>
      <c r="J508" s="40"/>
      <c r="K508" s="40"/>
      <c r="L508" s="40"/>
      <c r="M508" s="40"/>
    </row>
    <row r="509" ht="21.0" customHeight="1">
      <c r="A509" s="221" t="s">
        <v>347</v>
      </c>
      <c r="B509" s="216" t="s">
        <v>32</v>
      </c>
      <c r="C509" s="218"/>
      <c r="D509" s="39"/>
      <c r="E509" s="219"/>
      <c r="F509" s="219"/>
      <c r="G509" s="40"/>
      <c r="H509" s="39"/>
      <c r="I509" s="40"/>
      <c r="J509" s="40"/>
      <c r="K509" s="40"/>
      <c r="L509" s="40"/>
      <c r="M509" s="40"/>
    </row>
    <row r="510" ht="21.0" customHeight="1">
      <c r="A510" s="234" t="s">
        <v>342</v>
      </c>
      <c r="B510" s="216" t="s">
        <v>32</v>
      </c>
      <c r="C510" s="218"/>
      <c r="D510" s="39"/>
      <c r="E510" s="219"/>
      <c r="F510" s="219"/>
      <c r="G510" s="40"/>
      <c r="H510" s="39"/>
      <c r="I510" s="40"/>
      <c r="J510" s="40"/>
      <c r="K510" s="40"/>
      <c r="L510" s="40"/>
      <c r="M510" s="40"/>
    </row>
    <row r="511" ht="21.0" customHeight="1">
      <c r="A511" s="234" t="s">
        <v>343</v>
      </c>
      <c r="B511" s="216" t="s">
        <v>32</v>
      </c>
      <c r="C511" s="218"/>
      <c r="D511" s="39"/>
      <c r="E511" s="219"/>
      <c r="F511" s="219"/>
      <c r="G511" s="40"/>
      <c r="H511" s="39"/>
      <c r="I511" s="40"/>
      <c r="J511" s="40"/>
      <c r="K511" s="40"/>
      <c r="L511" s="40"/>
      <c r="M511" s="40"/>
    </row>
    <row r="512" ht="21.0" customHeight="1">
      <c r="A512" s="221" t="s">
        <v>348</v>
      </c>
      <c r="B512" s="216" t="s">
        <v>32</v>
      </c>
      <c r="C512" s="218"/>
      <c r="D512" s="39"/>
      <c r="E512" s="219"/>
      <c r="F512" s="219"/>
      <c r="G512" s="40"/>
      <c r="H512" s="39"/>
      <c r="I512" s="40"/>
      <c r="J512" s="40"/>
      <c r="K512" s="40"/>
      <c r="L512" s="40"/>
      <c r="M512" s="40"/>
    </row>
    <row r="513" ht="21.0" customHeight="1">
      <c r="A513" s="234" t="s">
        <v>342</v>
      </c>
      <c r="B513" s="216" t="s">
        <v>32</v>
      </c>
      <c r="C513" s="218"/>
      <c r="D513" s="39"/>
      <c r="E513" s="219"/>
      <c r="F513" s="219"/>
      <c r="G513" s="40"/>
      <c r="H513" s="39"/>
      <c r="I513" s="40"/>
      <c r="J513" s="40"/>
      <c r="K513" s="40"/>
      <c r="L513" s="40"/>
      <c r="M513" s="40"/>
    </row>
    <row r="514" ht="21.0" customHeight="1">
      <c r="A514" s="234" t="s">
        <v>343</v>
      </c>
      <c r="B514" s="216" t="s">
        <v>32</v>
      </c>
      <c r="C514" s="218"/>
      <c r="D514" s="39"/>
      <c r="E514" s="219"/>
      <c r="F514" s="219"/>
      <c r="G514" s="40"/>
      <c r="H514" s="39"/>
      <c r="I514" s="40"/>
      <c r="J514" s="40"/>
      <c r="K514" s="40"/>
      <c r="L514" s="40"/>
      <c r="M514" s="40"/>
    </row>
    <row r="515" ht="21.0" customHeight="1">
      <c r="A515" s="221"/>
      <c r="B515" s="216" t="s">
        <v>32</v>
      </c>
      <c r="C515" s="218"/>
      <c r="D515" s="39"/>
      <c r="E515" s="219"/>
      <c r="F515" s="219"/>
      <c r="G515" s="40"/>
      <c r="H515" s="39"/>
      <c r="I515" s="40"/>
      <c r="J515" s="40"/>
      <c r="K515" s="40"/>
      <c r="L515" s="40"/>
      <c r="M515" s="40"/>
    </row>
    <row r="516" ht="21.0" customHeight="1">
      <c r="A516" s="217" t="s">
        <v>355</v>
      </c>
      <c r="B516" s="216" t="s">
        <v>32</v>
      </c>
      <c r="C516" s="218"/>
      <c r="D516" s="39"/>
      <c r="E516" s="219"/>
      <c r="F516" s="219"/>
      <c r="G516" s="40"/>
      <c r="H516" s="39"/>
      <c r="I516" s="40"/>
      <c r="J516" s="40"/>
      <c r="K516" s="40"/>
      <c r="L516" s="40"/>
      <c r="M516" s="40"/>
    </row>
    <row r="517" ht="21.0" customHeight="1">
      <c r="A517" s="221" t="s">
        <v>356</v>
      </c>
      <c r="B517" s="216" t="s">
        <v>32</v>
      </c>
      <c r="C517" s="218"/>
      <c r="D517" s="39"/>
      <c r="E517" s="219"/>
      <c r="F517" s="219"/>
      <c r="G517" s="40"/>
      <c r="H517" s="39"/>
      <c r="I517" s="40"/>
      <c r="J517" s="40"/>
      <c r="K517" s="40"/>
      <c r="L517" s="40"/>
      <c r="M517" s="40"/>
    </row>
    <row r="518" ht="21.0" customHeight="1">
      <c r="A518" s="221" t="s">
        <v>357</v>
      </c>
      <c r="B518" s="216" t="s">
        <v>32</v>
      </c>
      <c r="C518" s="218"/>
      <c r="D518" s="39"/>
      <c r="E518" s="219"/>
      <c r="F518" s="219"/>
      <c r="G518" s="40"/>
      <c r="H518" s="39"/>
      <c r="I518" s="40"/>
      <c r="J518" s="40"/>
      <c r="K518" s="40"/>
      <c r="L518" s="40"/>
      <c r="M518" s="40"/>
    </row>
    <row r="519" ht="21.0" customHeight="1">
      <c r="A519" s="221" t="s">
        <v>358</v>
      </c>
      <c r="B519" s="216" t="s">
        <v>32</v>
      </c>
      <c r="C519" s="218"/>
      <c r="D519" s="39"/>
      <c r="E519" s="219"/>
      <c r="F519" s="219"/>
      <c r="G519" s="40"/>
      <c r="H519" s="39"/>
      <c r="I519" s="40"/>
      <c r="J519" s="40"/>
      <c r="K519" s="40"/>
      <c r="L519" s="40"/>
      <c r="M519" s="40"/>
    </row>
    <row r="520" ht="21.0" customHeight="1">
      <c r="A520" s="221" t="s">
        <v>359</v>
      </c>
      <c r="B520" s="216" t="s">
        <v>32</v>
      </c>
      <c r="C520" s="218"/>
      <c r="D520" s="39"/>
      <c r="E520" s="219"/>
      <c r="F520" s="219"/>
      <c r="G520" s="40"/>
      <c r="H520" s="39"/>
      <c r="I520" s="40"/>
      <c r="J520" s="40"/>
      <c r="K520" s="40"/>
      <c r="L520" s="40"/>
      <c r="M520" s="40"/>
    </row>
    <row r="521" ht="21.0" customHeight="1">
      <c r="A521" s="221" t="s">
        <v>360</v>
      </c>
      <c r="B521" s="216" t="s">
        <v>32</v>
      </c>
      <c r="C521" s="218"/>
      <c r="D521" s="39"/>
      <c r="E521" s="219"/>
      <c r="F521" s="219"/>
      <c r="G521" s="40"/>
      <c r="H521" s="39"/>
      <c r="I521" s="40"/>
      <c r="J521" s="40"/>
      <c r="K521" s="40"/>
      <c r="L521" s="40"/>
      <c r="M521" s="40"/>
    </row>
    <row r="522" ht="21.0" customHeight="1">
      <c r="A522" s="221" t="s">
        <v>361</v>
      </c>
      <c r="B522" s="216" t="s">
        <v>32</v>
      </c>
      <c r="C522" s="218"/>
      <c r="D522" s="39"/>
      <c r="E522" s="219"/>
      <c r="F522" s="219"/>
      <c r="G522" s="40"/>
      <c r="H522" s="39"/>
      <c r="I522" s="40"/>
      <c r="J522" s="40"/>
      <c r="K522" s="40"/>
      <c r="L522" s="40"/>
      <c r="M522" s="40"/>
    </row>
    <row r="523" ht="21.0" customHeight="1">
      <c r="A523" s="221" t="s">
        <v>362</v>
      </c>
      <c r="B523" s="216" t="s">
        <v>32</v>
      </c>
      <c r="C523" s="218"/>
      <c r="D523" s="39"/>
      <c r="E523" s="219"/>
      <c r="F523" s="219"/>
      <c r="G523" s="40"/>
      <c r="H523" s="39"/>
      <c r="I523" s="40"/>
      <c r="J523" s="40"/>
      <c r="K523" s="40"/>
      <c r="L523" s="40"/>
      <c r="M523" s="40"/>
    </row>
    <row r="524" ht="21.0" customHeight="1">
      <c r="A524" s="221" t="s">
        <v>363</v>
      </c>
      <c r="B524" s="216" t="s">
        <v>32</v>
      </c>
      <c r="C524" s="218"/>
      <c r="D524" s="39"/>
      <c r="E524" s="219"/>
      <c r="F524" s="219"/>
      <c r="G524" s="40"/>
      <c r="H524" s="39"/>
      <c r="I524" s="40"/>
      <c r="J524" s="40"/>
      <c r="K524" s="40"/>
      <c r="L524" s="40"/>
      <c r="M524" s="40"/>
    </row>
    <row r="525" ht="21.0" customHeight="1">
      <c r="A525" s="217" t="s">
        <v>364</v>
      </c>
      <c r="B525" s="216" t="s">
        <v>32</v>
      </c>
      <c r="C525" s="218"/>
      <c r="D525" s="39"/>
      <c r="E525" s="219"/>
      <c r="F525" s="219"/>
      <c r="G525" s="40"/>
      <c r="H525" s="39"/>
      <c r="I525" s="40"/>
      <c r="J525" s="40"/>
      <c r="K525" s="40"/>
      <c r="L525" s="40"/>
      <c r="M525" s="40"/>
    </row>
    <row r="526" ht="21.0" customHeight="1">
      <c r="A526" s="217" t="s">
        <v>365</v>
      </c>
      <c r="B526" s="216" t="s">
        <v>32</v>
      </c>
      <c r="C526" s="218"/>
      <c r="D526" s="39"/>
      <c r="E526" s="219"/>
      <c r="F526" s="219"/>
      <c r="G526" s="40"/>
      <c r="H526" s="39"/>
      <c r="I526" s="40"/>
      <c r="J526" s="40"/>
      <c r="K526" s="40"/>
      <c r="L526" s="40"/>
      <c r="M526" s="40"/>
    </row>
    <row r="527" ht="29.25" customHeight="1">
      <c r="A527" s="217" t="s">
        <v>366</v>
      </c>
      <c r="B527" s="216" t="s">
        <v>32</v>
      </c>
      <c r="C527" s="218"/>
      <c r="D527" s="39"/>
      <c r="E527" s="219"/>
      <c r="F527" s="219"/>
      <c r="G527" s="40"/>
      <c r="H527" s="39"/>
      <c r="I527" s="40"/>
      <c r="J527" s="40"/>
      <c r="K527" s="40"/>
      <c r="L527" s="40"/>
      <c r="M527" s="40"/>
    </row>
    <row r="528" ht="21.0" customHeight="1">
      <c r="A528" s="217" t="s">
        <v>217</v>
      </c>
      <c r="B528" s="216"/>
      <c r="C528" s="218"/>
      <c r="D528" s="39"/>
      <c r="E528" s="219"/>
      <c r="F528" s="219"/>
      <c r="G528" s="40"/>
      <c r="H528" s="39"/>
      <c r="I528" s="40"/>
      <c r="J528" s="40"/>
      <c r="K528" s="40"/>
      <c r="L528" s="40"/>
      <c r="M528" s="40"/>
    </row>
    <row r="529" ht="21.0" customHeight="1">
      <c r="A529" s="236" t="s">
        <v>367</v>
      </c>
      <c r="B529" s="216"/>
      <c r="C529" s="218"/>
      <c r="D529" s="39"/>
      <c r="E529" s="219"/>
      <c r="F529" s="219"/>
      <c r="G529" s="40"/>
      <c r="H529" s="39"/>
      <c r="I529" s="40"/>
      <c r="J529" s="40"/>
      <c r="K529" s="40"/>
      <c r="L529" s="40"/>
      <c r="M529" s="40"/>
    </row>
    <row r="530" ht="21.0" customHeight="1">
      <c r="A530" s="237" t="s">
        <v>368</v>
      </c>
      <c r="B530" s="216"/>
      <c r="C530" s="218"/>
      <c r="D530" s="39"/>
      <c r="E530" s="219"/>
      <c r="F530" s="219"/>
      <c r="G530" s="40"/>
      <c r="H530" s="39"/>
      <c r="I530" s="40"/>
      <c r="J530" s="40"/>
      <c r="K530" s="40"/>
      <c r="L530" s="40"/>
      <c r="M530" s="40"/>
    </row>
    <row r="531" ht="21.0" customHeight="1">
      <c r="A531" s="217" t="s">
        <v>218</v>
      </c>
      <c r="B531" s="216"/>
      <c r="C531" s="218"/>
      <c r="D531" s="39"/>
      <c r="E531" s="219"/>
      <c r="F531" s="219"/>
      <c r="G531" s="40"/>
      <c r="H531" s="39"/>
      <c r="I531" s="40"/>
      <c r="J531" s="40"/>
      <c r="K531" s="40"/>
      <c r="L531" s="40"/>
      <c r="M531" s="40"/>
    </row>
    <row r="532" ht="21.0" customHeight="1">
      <c r="A532" s="236" t="s">
        <v>367</v>
      </c>
      <c r="B532" s="216"/>
      <c r="C532" s="218"/>
      <c r="D532" s="39"/>
      <c r="E532" s="219"/>
      <c r="F532" s="219"/>
      <c r="G532" s="40"/>
      <c r="H532" s="39"/>
      <c r="I532" s="40"/>
      <c r="J532" s="40"/>
      <c r="K532" s="40"/>
      <c r="L532" s="40"/>
      <c r="M532" s="40"/>
    </row>
    <row r="533" ht="21.0" customHeight="1">
      <c r="A533" s="237" t="s">
        <v>368</v>
      </c>
      <c r="B533" s="216"/>
      <c r="C533" s="218"/>
      <c r="D533" s="39"/>
      <c r="E533" s="219"/>
      <c r="F533" s="219"/>
      <c r="G533" s="40"/>
      <c r="H533" s="39"/>
      <c r="I533" s="40"/>
      <c r="J533" s="40"/>
      <c r="K533" s="40"/>
      <c r="L533" s="40"/>
      <c r="M533" s="40"/>
    </row>
    <row r="534" ht="21.0" customHeight="1">
      <c r="A534" s="217" t="s">
        <v>200</v>
      </c>
      <c r="B534" s="216"/>
      <c r="C534" s="218"/>
      <c r="D534" s="39"/>
      <c r="E534" s="219"/>
      <c r="F534" s="219"/>
      <c r="G534" s="40"/>
      <c r="H534" s="39"/>
      <c r="I534" s="40"/>
      <c r="J534" s="40"/>
      <c r="K534" s="40"/>
      <c r="L534" s="40"/>
      <c r="M534" s="40"/>
    </row>
    <row r="535" ht="21.0" customHeight="1">
      <c r="A535" s="236" t="s">
        <v>367</v>
      </c>
      <c r="B535" s="216"/>
      <c r="C535" s="218"/>
      <c r="D535" s="39"/>
      <c r="E535" s="219"/>
      <c r="F535" s="219"/>
      <c r="G535" s="40"/>
      <c r="H535" s="39"/>
      <c r="I535" s="40"/>
      <c r="J535" s="40"/>
      <c r="K535" s="40"/>
      <c r="L535" s="40"/>
      <c r="M535" s="40"/>
    </row>
    <row r="536" ht="21.0" customHeight="1">
      <c r="A536" s="237" t="s">
        <v>368</v>
      </c>
      <c r="B536" s="216"/>
      <c r="C536" s="218"/>
      <c r="D536" s="39"/>
      <c r="E536" s="219"/>
      <c r="F536" s="219"/>
      <c r="G536" s="40"/>
      <c r="H536" s="39"/>
      <c r="I536" s="40"/>
      <c r="J536" s="40"/>
      <c r="K536" s="40"/>
      <c r="L536" s="40"/>
      <c r="M536" s="40"/>
    </row>
    <row r="537" ht="21.0" customHeight="1">
      <c r="A537" s="217" t="s">
        <v>204</v>
      </c>
      <c r="B537" s="216"/>
      <c r="C537" s="218"/>
      <c r="D537" s="39"/>
      <c r="E537" s="219"/>
      <c r="F537" s="219"/>
      <c r="G537" s="40"/>
      <c r="H537" s="39"/>
      <c r="I537" s="40"/>
      <c r="J537" s="40"/>
      <c r="K537" s="40"/>
      <c r="L537" s="40"/>
      <c r="M537" s="40"/>
    </row>
    <row r="538" ht="21.0" customHeight="1">
      <c r="A538" s="236" t="s">
        <v>367</v>
      </c>
      <c r="B538" s="216"/>
      <c r="C538" s="218"/>
      <c r="D538" s="39"/>
      <c r="E538" s="219"/>
      <c r="F538" s="219"/>
      <c r="G538" s="40"/>
      <c r="H538" s="39"/>
      <c r="I538" s="40"/>
      <c r="J538" s="40"/>
      <c r="K538" s="40"/>
      <c r="L538" s="40"/>
      <c r="M538" s="40"/>
    </row>
    <row r="539" ht="21.0" customHeight="1">
      <c r="A539" s="237" t="s">
        <v>368</v>
      </c>
      <c r="B539" s="216"/>
      <c r="C539" s="218"/>
      <c r="D539" s="39"/>
      <c r="E539" s="219"/>
      <c r="F539" s="219"/>
      <c r="G539" s="40"/>
      <c r="H539" s="39"/>
      <c r="I539" s="40"/>
      <c r="J539" s="40"/>
      <c r="K539" s="40"/>
      <c r="L539" s="40"/>
      <c r="M539" s="40"/>
    </row>
    <row r="540" ht="21.0" customHeight="1">
      <c r="A540" s="236" t="s">
        <v>205</v>
      </c>
      <c r="B540" s="216"/>
      <c r="C540" s="218"/>
      <c r="D540" s="39"/>
      <c r="E540" s="219"/>
      <c r="F540" s="219"/>
      <c r="G540" s="40"/>
      <c r="H540" s="39"/>
      <c r="I540" s="40"/>
      <c r="J540" s="40"/>
      <c r="K540" s="40"/>
      <c r="L540" s="40"/>
      <c r="M540" s="40"/>
    </row>
    <row r="541" ht="21.0" customHeight="1">
      <c r="A541" s="236" t="s">
        <v>367</v>
      </c>
      <c r="B541" s="216"/>
      <c r="C541" s="218"/>
      <c r="D541" s="39"/>
      <c r="E541" s="219"/>
      <c r="F541" s="219"/>
      <c r="G541" s="40"/>
      <c r="H541" s="39"/>
      <c r="I541" s="40"/>
      <c r="J541" s="40"/>
      <c r="K541" s="40"/>
      <c r="L541" s="40"/>
      <c r="M541" s="40"/>
    </row>
    <row r="542" ht="21.0" customHeight="1">
      <c r="A542" s="237" t="s">
        <v>368</v>
      </c>
      <c r="B542" s="216"/>
      <c r="C542" s="218"/>
      <c r="D542" s="39"/>
      <c r="E542" s="219"/>
      <c r="F542" s="219"/>
      <c r="G542" s="40"/>
      <c r="H542" s="39"/>
      <c r="I542" s="40"/>
      <c r="J542" s="40"/>
      <c r="K542" s="40"/>
      <c r="L542" s="40"/>
      <c r="M542" s="40"/>
    </row>
    <row r="543" ht="21.0" customHeight="1">
      <c r="A543" s="217" t="s">
        <v>369</v>
      </c>
      <c r="B543" s="216"/>
      <c r="C543" s="218"/>
      <c r="D543" s="39"/>
      <c r="E543" s="219"/>
      <c r="F543" s="219"/>
      <c r="G543" s="40"/>
      <c r="H543" s="39"/>
      <c r="I543" s="40"/>
      <c r="J543" s="40"/>
      <c r="K543" s="40"/>
      <c r="L543" s="40"/>
      <c r="M543" s="40"/>
    </row>
    <row r="544" ht="21.0" customHeight="1">
      <c r="A544" s="236" t="s">
        <v>367</v>
      </c>
      <c r="B544" s="216"/>
      <c r="C544" s="218"/>
      <c r="D544" s="39"/>
      <c r="E544" s="219"/>
      <c r="F544" s="219"/>
      <c r="G544" s="40"/>
      <c r="H544" s="39"/>
      <c r="I544" s="40"/>
      <c r="J544" s="40"/>
      <c r="K544" s="40"/>
      <c r="L544" s="40"/>
      <c r="M544" s="40"/>
    </row>
    <row r="545" ht="21.0" customHeight="1">
      <c r="A545" s="237" t="s">
        <v>368</v>
      </c>
      <c r="B545" s="216"/>
      <c r="C545" s="218"/>
      <c r="D545" s="39"/>
      <c r="E545" s="219"/>
      <c r="F545" s="219"/>
      <c r="G545" s="40"/>
      <c r="H545" s="39"/>
      <c r="I545" s="40"/>
      <c r="J545" s="40"/>
      <c r="K545" s="40"/>
      <c r="L545" s="40"/>
      <c r="M545" s="40"/>
    </row>
    <row r="546" ht="21.0" customHeight="1">
      <c r="A546" s="217" t="s">
        <v>206</v>
      </c>
      <c r="B546" s="216"/>
      <c r="C546" s="218"/>
      <c r="D546" s="39"/>
      <c r="E546" s="219"/>
      <c r="F546" s="219"/>
      <c r="G546" s="40"/>
      <c r="H546" s="39"/>
      <c r="I546" s="40"/>
      <c r="J546" s="40"/>
      <c r="K546" s="40"/>
      <c r="L546" s="40"/>
      <c r="M546" s="40"/>
    </row>
    <row r="547" ht="21.0" customHeight="1">
      <c r="A547" s="236" t="s">
        <v>367</v>
      </c>
      <c r="B547" s="216"/>
      <c r="C547" s="218"/>
      <c r="D547" s="39"/>
      <c r="E547" s="219"/>
      <c r="F547" s="219"/>
      <c r="G547" s="40"/>
      <c r="H547" s="39"/>
      <c r="I547" s="40"/>
      <c r="J547" s="40"/>
      <c r="K547" s="40"/>
      <c r="L547" s="40"/>
      <c r="M547" s="40"/>
    </row>
    <row r="548" ht="21.0" customHeight="1">
      <c r="A548" s="237" t="s">
        <v>368</v>
      </c>
      <c r="B548" s="216"/>
      <c r="C548" s="218"/>
      <c r="D548" s="39"/>
      <c r="E548" s="219"/>
      <c r="F548" s="219"/>
      <c r="G548" s="40"/>
      <c r="H548" s="39"/>
      <c r="I548" s="40"/>
      <c r="J548" s="40"/>
      <c r="K548" s="40"/>
      <c r="L548" s="40"/>
      <c r="M548" s="40"/>
    </row>
    <row r="549" ht="21.0" customHeight="1">
      <c r="A549" s="217" t="s">
        <v>219</v>
      </c>
      <c r="B549" s="216"/>
      <c r="C549" s="218"/>
      <c r="D549" s="39"/>
      <c r="E549" s="219"/>
      <c r="F549" s="219"/>
      <c r="G549" s="40"/>
      <c r="H549" s="39"/>
      <c r="I549" s="40"/>
      <c r="J549" s="40"/>
      <c r="K549" s="40"/>
      <c r="L549" s="40"/>
      <c r="M549" s="40"/>
    </row>
    <row r="550" ht="21.0" customHeight="1">
      <c r="A550" s="236" t="s">
        <v>367</v>
      </c>
      <c r="B550" s="216"/>
      <c r="C550" s="218"/>
      <c r="D550" s="39"/>
      <c r="E550" s="219"/>
      <c r="F550" s="219"/>
      <c r="G550" s="40"/>
      <c r="H550" s="39"/>
      <c r="I550" s="40"/>
      <c r="J550" s="40"/>
      <c r="K550" s="40"/>
      <c r="L550" s="40"/>
      <c r="M550" s="40"/>
    </row>
    <row r="551" ht="21.0" customHeight="1">
      <c r="A551" s="237" t="s">
        <v>368</v>
      </c>
      <c r="B551" s="216"/>
      <c r="C551" s="218"/>
      <c r="D551" s="39"/>
      <c r="E551" s="219"/>
      <c r="F551" s="219"/>
      <c r="G551" s="40"/>
      <c r="H551" s="39"/>
      <c r="I551" s="40"/>
      <c r="J551" s="40"/>
      <c r="K551" s="40"/>
      <c r="L551" s="40"/>
      <c r="M551" s="40"/>
    </row>
    <row r="552" ht="21.0" customHeight="1">
      <c r="A552" s="217" t="s">
        <v>203</v>
      </c>
      <c r="B552" s="216"/>
      <c r="C552" s="218"/>
      <c r="D552" s="39"/>
      <c r="E552" s="219"/>
      <c r="F552" s="219"/>
      <c r="G552" s="40"/>
      <c r="H552" s="39"/>
      <c r="I552" s="40"/>
      <c r="J552" s="40"/>
      <c r="K552" s="40"/>
      <c r="L552" s="40"/>
      <c r="M552" s="40"/>
    </row>
    <row r="553" ht="21.0" customHeight="1">
      <c r="A553" s="236" t="s">
        <v>367</v>
      </c>
      <c r="B553" s="216"/>
      <c r="C553" s="218"/>
      <c r="D553" s="39"/>
      <c r="E553" s="219"/>
      <c r="F553" s="219"/>
      <c r="G553" s="40"/>
      <c r="H553" s="39"/>
      <c r="I553" s="40"/>
      <c r="J553" s="40"/>
      <c r="K553" s="40"/>
      <c r="L553" s="40"/>
      <c r="M553" s="40"/>
    </row>
    <row r="554" ht="21.0" customHeight="1">
      <c r="A554" s="237" t="s">
        <v>368</v>
      </c>
      <c r="B554" s="216"/>
      <c r="C554" s="218"/>
      <c r="D554" s="39"/>
      <c r="E554" s="219"/>
      <c r="F554" s="219"/>
      <c r="G554" s="40"/>
      <c r="H554" s="39"/>
      <c r="I554" s="40"/>
      <c r="J554" s="40"/>
      <c r="K554" s="40"/>
      <c r="L554" s="40"/>
      <c r="M554" s="40"/>
    </row>
    <row r="555" ht="21.0" customHeight="1">
      <c r="A555" s="217" t="s">
        <v>202</v>
      </c>
      <c r="B555" s="216"/>
      <c r="C555" s="218"/>
      <c r="D555" s="39"/>
      <c r="E555" s="219"/>
      <c r="F555" s="219"/>
      <c r="G555" s="40"/>
      <c r="H555" s="39"/>
      <c r="I555" s="40"/>
      <c r="J555" s="40"/>
      <c r="K555" s="40"/>
      <c r="L555" s="40"/>
      <c r="M555" s="40"/>
    </row>
    <row r="556" ht="21.0" customHeight="1">
      <c r="A556" s="236" t="s">
        <v>367</v>
      </c>
      <c r="B556" s="216"/>
      <c r="C556" s="218"/>
      <c r="D556" s="39"/>
      <c r="E556" s="219"/>
      <c r="F556" s="219"/>
      <c r="G556" s="40"/>
      <c r="H556" s="39"/>
      <c r="I556" s="40"/>
      <c r="J556" s="40"/>
      <c r="K556" s="40"/>
      <c r="L556" s="40"/>
      <c r="M556" s="40"/>
    </row>
    <row r="557" ht="21.0" customHeight="1">
      <c r="A557" s="237" t="s">
        <v>368</v>
      </c>
      <c r="B557" s="216"/>
      <c r="C557" s="218"/>
      <c r="D557" s="39"/>
      <c r="E557" s="219"/>
      <c r="F557" s="219"/>
      <c r="G557" s="40"/>
      <c r="H557" s="39"/>
      <c r="I557" s="40"/>
      <c r="J557" s="40"/>
      <c r="K557" s="40"/>
      <c r="L557" s="40"/>
      <c r="M557" s="40"/>
    </row>
    <row r="558" ht="21.0" customHeight="1">
      <c r="A558" s="237"/>
      <c r="B558" s="216"/>
      <c r="C558" s="218"/>
      <c r="D558" s="39"/>
      <c r="E558" s="219"/>
      <c r="F558" s="219"/>
      <c r="G558" s="40"/>
      <c r="H558" s="39"/>
      <c r="I558" s="40"/>
      <c r="J558" s="40"/>
      <c r="K558" s="40"/>
      <c r="L558" s="40"/>
      <c r="M558" s="40"/>
    </row>
    <row r="559" ht="21.0" customHeight="1">
      <c r="A559" s="217" t="s">
        <v>370</v>
      </c>
      <c r="B559" s="216"/>
      <c r="C559" s="218"/>
      <c r="D559" s="39"/>
      <c r="E559" s="219"/>
      <c r="F559" s="219"/>
      <c r="G559" s="40"/>
      <c r="H559" s="39"/>
      <c r="I559" s="40"/>
      <c r="J559" s="40"/>
      <c r="K559" s="40"/>
      <c r="L559" s="40"/>
      <c r="M559" s="40"/>
    </row>
    <row r="560" ht="21.0" customHeight="1">
      <c r="A560" s="221" t="s">
        <v>371</v>
      </c>
      <c r="B560" s="216"/>
      <c r="C560" s="218"/>
      <c r="D560" s="39"/>
      <c r="E560" s="219"/>
      <c r="F560" s="219"/>
      <c r="G560" s="40"/>
      <c r="H560" s="39"/>
      <c r="I560" s="40"/>
      <c r="J560" s="40"/>
      <c r="K560" s="40"/>
      <c r="L560" s="40"/>
      <c r="M560" s="40"/>
    </row>
    <row r="561" ht="21.0" customHeight="1">
      <c r="A561" s="221" t="s">
        <v>372</v>
      </c>
      <c r="B561" s="216"/>
      <c r="C561" s="218"/>
      <c r="D561" s="39"/>
      <c r="E561" s="219"/>
      <c r="F561" s="219"/>
      <c r="G561" s="40"/>
      <c r="H561" s="39"/>
      <c r="I561" s="40"/>
      <c r="J561" s="40"/>
      <c r="K561" s="40"/>
      <c r="L561" s="40"/>
      <c r="M561" s="40"/>
    </row>
    <row r="562" ht="21.0" customHeight="1">
      <c r="A562" s="221"/>
      <c r="B562" s="216"/>
      <c r="C562" s="218"/>
      <c r="D562" s="39"/>
      <c r="E562" s="219"/>
      <c r="F562" s="219"/>
      <c r="G562" s="40"/>
      <c r="H562" s="39"/>
      <c r="I562" s="40"/>
      <c r="J562" s="40"/>
      <c r="K562" s="40"/>
      <c r="L562" s="40"/>
      <c r="M562" s="40"/>
    </row>
    <row r="563" ht="21.0" customHeight="1">
      <c r="A563" s="217" t="s">
        <v>373</v>
      </c>
      <c r="B563" s="216"/>
      <c r="C563" s="218"/>
      <c r="D563" s="39"/>
      <c r="E563" s="219"/>
      <c r="F563" s="219"/>
      <c r="G563" s="40"/>
      <c r="H563" s="39"/>
      <c r="I563" s="40"/>
      <c r="J563" s="40"/>
      <c r="K563" s="40"/>
      <c r="L563" s="40"/>
      <c r="M563" s="40"/>
    </row>
    <row r="564" ht="21.0" customHeight="1">
      <c r="A564" s="238" t="s">
        <v>374</v>
      </c>
      <c r="B564" s="216"/>
      <c r="C564" s="218"/>
      <c r="D564" s="39"/>
      <c r="E564" s="219"/>
      <c r="F564" s="219"/>
      <c r="G564" s="40"/>
      <c r="H564" s="39"/>
      <c r="I564" s="40"/>
      <c r="J564" s="40"/>
      <c r="K564" s="40"/>
      <c r="L564" s="40"/>
      <c r="M564" s="40"/>
    </row>
    <row r="565" ht="21.0" customHeight="1">
      <c r="A565" s="217" t="s">
        <v>375</v>
      </c>
      <c r="B565" s="216"/>
      <c r="C565" s="218"/>
      <c r="D565" s="39"/>
      <c r="E565" s="219"/>
      <c r="F565" s="219"/>
      <c r="G565" s="40"/>
      <c r="H565" s="39"/>
      <c r="I565" s="40"/>
      <c r="J565" s="40"/>
      <c r="K565" s="40"/>
      <c r="L565" s="40"/>
      <c r="M565" s="40"/>
    </row>
    <row r="566" ht="21.0" customHeight="1">
      <c r="A566" s="238" t="s">
        <v>376</v>
      </c>
      <c r="B566" s="216"/>
      <c r="C566" s="218"/>
      <c r="D566" s="39"/>
      <c r="E566" s="219"/>
      <c r="F566" s="219"/>
      <c r="G566" s="40"/>
      <c r="H566" s="39"/>
      <c r="I566" s="40"/>
      <c r="J566" s="40"/>
      <c r="K566" s="40"/>
      <c r="L566" s="40"/>
      <c r="M566" s="40"/>
    </row>
    <row r="567" ht="21.0" customHeight="1">
      <c r="A567" s="238" t="s">
        <v>377</v>
      </c>
      <c r="B567" s="216"/>
      <c r="C567" s="218"/>
      <c r="D567" s="39"/>
      <c r="E567" s="219"/>
      <c r="F567" s="219"/>
      <c r="G567" s="40"/>
      <c r="H567" s="39"/>
      <c r="I567" s="40"/>
      <c r="J567" s="40"/>
      <c r="K567" s="40"/>
      <c r="L567" s="40"/>
      <c r="M567" s="40"/>
    </row>
    <row r="568" ht="21.0" customHeight="1">
      <c r="A568" s="238" t="s">
        <v>378</v>
      </c>
      <c r="B568" s="216"/>
      <c r="C568" s="218"/>
      <c r="D568" s="39"/>
      <c r="E568" s="219"/>
      <c r="F568" s="219"/>
      <c r="G568" s="40"/>
      <c r="H568" s="39"/>
      <c r="I568" s="40"/>
      <c r="J568" s="40"/>
      <c r="K568" s="40"/>
      <c r="L568" s="40"/>
      <c r="M568" s="40"/>
    </row>
    <row r="569" ht="21.0" customHeight="1">
      <c r="A569" s="238" t="s">
        <v>379</v>
      </c>
      <c r="B569" s="216"/>
      <c r="C569" s="218"/>
      <c r="D569" s="39"/>
      <c r="E569" s="219"/>
      <c r="F569" s="219"/>
      <c r="G569" s="40"/>
      <c r="H569" s="39"/>
      <c r="I569" s="40"/>
      <c r="J569" s="40"/>
      <c r="K569" s="40"/>
      <c r="L569" s="40"/>
      <c r="M569" s="40"/>
    </row>
    <row r="570" ht="21.0" customHeight="1">
      <c r="A570" s="238" t="s">
        <v>380</v>
      </c>
      <c r="B570" s="216"/>
      <c r="C570" s="218"/>
      <c r="D570" s="39"/>
      <c r="E570" s="219"/>
      <c r="F570" s="219"/>
      <c r="G570" s="40"/>
      <c r="H570" s="39"/>
      <c r="I570" s="40"/>
      <c r="J570" s="40"/>
      <c r="K570" s="40"/>
      <c r="L570" s="40"/>
      <c r="M570" s="40"/>
    </row>
    <row r="571" ht="21.0" customHeight="1">
      <c r="A571" s="238"/>
      <c r="B571" s="216"/>
      <c r="C571" s="218"/>
      <c r="D571" s="39"/>
      <c r="E571" s="219"/>
      <c r="F571" s="219"/>
      <c r="G571" s="40"/>
      <c r="H571" s="39"/>
      <c r="I571" s="40"/>
      <c r="J571" s="40"/>
      <c r="K571" s="40"/>
      <c r="L571" s="40"/>
      <c r="M571" s="40"/>
    </row>
    <row r="572" ht="21.0" customHeight="1">
      <c r="A572" s="217" t="s">
        <v>381</v>
      </c>
      <c r="B572" s="216"/>
      <c r="C572" s="218"/>
      <c r="D572" s="39"/>
      <c r="E572" s="219"/>
      <c r="F572" s="219"/>
      <c r="G572" s="40"/>
      <c r="H572" s="39"/>
      <c r="I572" s="40"/>
      <c r="J572" s="40"/>
      <c r="K572" s="40"/>
      <c r="L572" s="40"/>
      <c r="M572" s="40"/>
    </row>
    <row r="573" ht="21.0" customHeight="1">
      <c r="A573" s="217" t="s">
        <v>382</v>
      </c>
      <c r="B573" s="216"/>
      <c r="C573" s="218"/>
      <c r="D573" s="39"/>
      <c r="E573" s="219"/>
      <c r="F573" s="219"/>
      <c r="G573" s="40"/>
      <c r="H573" s="39"/>
      <c r="I573" s="40"/>
      <c r="J573" s="40"/>
      <c r="K573" s="40"/>
      <c r="L573" s="40"/>
      <c r="M573" s="40"/>
    </row>
    <row r="574" ht="21.0" customHeight="1">
      <c r="A574" s="228" t="s">
        <v>383</v>
      </c>
      <c r="B574" s="216"/>
      <c r="C574" s="218"/>
      <c r="D574" s="39"/>
      <c r="E574" s="219"/>
      <c r="F574" s="219"/>
      <c r="G574" s="40"/>
      <c r="H574" s="39"/>
      <c r="I574" s="40"/>
      <c r="J574" s="40"/>
      <c r="K574" s="40"/>
      <c r="L574" s="40"/>
      <c r="M574" s="40"/>
    </row>
    <row r="575" ht="21.0" customHeight="1">
      <c r="A575" s="221" t="s">
        <v>384</v>
      </c>
      <c r="B575" s="216"/>
      <c r="C575" s="218"/>
      <c r="D575" s="39"/>
      <c r="E575" s="219"/>
      <c r="F575" s="219"/>
      <c r="G575" s="40"/>
      <c r="H575" s="39"/>
      <c r="I575" s="40"/>
      <c r="J575" s="40"/>
      <c r="K575" s="40"/>
      <c r="L575" s="40"/>
      <c r="M575" s="40"/>
    </row>
    <row r="576" ht="21.0" customHeight="1">
      <c r="A576" s="221" t="s">
        <v>385</v>
      </c>
      <c r="B576" s="216"/>
      <c r="C576" s="218"/>
      <c r="D576" s="39"/>
      <c r="E576" s="219"/>
      <c r="F576" s="219"/>
      <c r="G576" s="40"/>
      <c r="H576" s="39"/>
      <c r="I576" s="40"/>
      <c r="J576" s="40"/>
      <c r="K576" s="40"/>
      <c r="L576" s="40"/>
      <c r="M576" s="40"/>
    </row>
    <row r="577" ht="21.0" customHeight="1">
      <c r="A577" s="221" t="s">
        <v>386</v>
      </c>
      <c r="B577" s="216"/>
      <c r="C577" s="218"/>
      <c r="D577" s="39"/>
      <c r="E577" s="219"/>
      <c r="F577" s="219"/>
      <c r="G577" s="40"/>
      <c r="H577" s="39"/>
      <c r="I577" s="40"/>
      <c r="J577" s="40"/>
      <c r="K577" s="40"/>
      <c r="L577" s="40"/>
      <c r="M577" s="40"/>
    </row>
    <row r="578" ht="21.0" customHeight="1">
      <c r="A578" s="217" t="s">
        <v>387</v>
      </c>
      <c r="B578" s="216"/>
      <c r="C578" s="218"/>
      <c r="D578" s="39"/>
      <c r="E578" s="219"/>
      <c r="F578" s="219"/>
      <c r="G578" s="40"/>
      <c r="H578" s="39"/>
      <c r="I578" s="40"/>
      <c r="J578" s="40"/>
      <c r="K578" s="40"/>
      <c r="L578" s="40"/>
      <c r="M578" s="40"/>
    </row>
    <row r="579" ht="21.0" customHeight="1">
      <c r="A579" s="221" t="s">
        <v>388</v>
      </c>
      <c r="B579" s="216"/>
      <c r="C579" s="218"/>
      <c r="D579" s="39"/>
      <c r="E579" s="219"/>
      <c r="F579" s="219"/>
      <c r="G579" s="40"/>
      <c r="H579" s="39"/>
      <c r="I579" s="40"/>
      <c r="J579" s="40"/>
      <c r="K579" s="40"/>
      <c r="L579" s="40"/>
      <c r="M579" s="40"/>
    </row>
    <row r="580" ht="21.0" customHeight="1">
      <c r="A580" s="221" t="s">
        <v>389</v>
      </c>
      <c r="B580" s="216"/>
      <c r="C580" s="218"/>
      <c r="D580" s="39"/>
      <c r="E580" s="219"/>
      <c r="F580" s="219"/>
      <c r="G580" s="40"/>
      <c r="H580" s="39"/>
      <c r="I580" s="40"/>
      <c r="J580" s="40"/>
      <c r="K580" s="40"/>
      <c r="L580" s="40"/>
      <c r="M580" s="40"/>
    </row>
    <row r="581" ht="21.0" customHeight="1">
      <c r="A581" s="221" t="s">
        <v>390</v>
      </c>
      <c r="B581" s="216"/>
      <c r="C581" s="218"/>
      <c r="D581" s="39"/>
      <c r="E581" s="219"/>
      <c r="F581" s="219"/>
      <c r="G581" s="40"/>
      <c r="H581" s="39"/>
      <c r="I581" s="40"/>
      <c r="J581" s="40"/>
      <c r="K581" s="40"/>
      <c r="L581" s="40"/>
      <c r="M581" s="40"/>
    </row>
    <row r="582" ht="21.0" customHeight="1">
      <c r="A582" s="217" t="s">
        <v>391</v>
      </c>
      <c r="B582" s="216"/>
      <c r="C582" s="218"/>
      <c r="D582" s="39"/>
      <c r="E582" s="219"/>
      <c r="F582" s="219"/>
      <c r="G582" s="40"/>
      <c r="H582" s="39"/>
      <c r="I582" s="40"/>
      <c r="J582" s="40"/>
      <c r="K582" s="40"/>
      <c r="L582" s="40"/>
      <c r="M582" s="40"/>
    </row>
    <row r="583" ht="21.0" customHeight="1">
      <c r="A583" s="221" t="s">
        <v>392</v>
      </c>
      <c r="B583" s="216"/>
      <c r="C583" s="218"/>
      <c r="D583" s="39"/>
      <c r="E583" s="219"/>
      <c r="F583" s="219"/>
      <c r="G583" s="40"/>
      <c r="H583" s="39"/>
      <c r="I583" s="40"/>
      <c r="J583" s="40"/>
      <c r="K583" s="40"/>
      <c r="L583" s="40"/>
      <c r="M583" s="40"/>
    </row>
    <row r="584" ht="21.0" customHeight="1">
      <c r="A584" s="221" t="s">
        <v>393</v>
      </c>
      <c r="B584" s="216"/>
      <c r="C584" s="218"/>
      <c r="D584" s="39"/>
      <c r="E584" s="219"/>
      <c r="F584" s="219"/>
      <c r="G584" s="40"/>
      <c r="H584" s="39"/>
      <c r="I584" s="40"/>
      <c r="J584" s="40"/>
      <c r="K584" s="40"/>
      <c r="L584" s="40"/>
      <c r="M584" s="40"/>
    </row>
    <row r="585" ht="21.0" customHeight="1">
      <c r="A585" s="233"/>
      <c r="B585" s="216"/>
      <c r="C585" s="218"/>
      <c r="D585" s="39"/>
      <c r="E585" s="219"/>
      <c r="F585" s="219"/>
      <c r="G585" s="40"/>
      <c r="H585" s="39"/>
      <c r="I585" s="40"/>
      <c r="J585" s="40"/>
      <c r="K585" s="40"/>
      <c r="L585" s="40"/>
      <c r="M585" s="40"/>
    </row>
    <row r="586" ht="21.0" customHeight="1">
      <c r="A586" s="217" t="s">
        <v>394</v>
      </c>
      <c r="B586" s="216"/>
      <c r="C586" s="218"/>
      <c r="D586" s="39"/>
      <c r="E586" s="219"/>
      <c r="F586" s="219"/>
      <c r="G586" s="40"/>
      <c r="H586" s="39"/>
      <c r="I586" s="40"/>
      <c r="J586" s="40"/>
      <c r="K586" s="40"/>
      <c r="L586" s="40"/>
      <c r="M586" s="40"/>
    </row>
    <row r="587" ht="21.0" customHeight="1">
      <c r="A587" s="217" t="s">
        <v>395</v>
      </c>
      <c r="B587" s="216"/>
      <c r="C587" s="218"/>
      <c r="D587" s="39"/>
      <c r="E587" s="219"/>
      <c r="F587" s="219"/>
      <c r="G587" s="40"/>
      <c r="H587" s="39"/>
      <c r="I587" s="40"/>
      <c r="J587" s="40"/>
      <c r="K587" s="40"/>
      <c r="L587" s="40"/>
      <c r="M587" s="40"/>
    </row>
    <row r="588" ht="21.0" customHeight="1">
      <c r="A588" s="221" t="s">
        <v>396</v>
      </c>
      <c r="B588" s="216"/>
      <c r="C588" s="218"/>
      <c r="D588" s="39"/>
      <c r="E588" s="219"/>
      <c r="F588" s="219"/>
      <c r="G588" s="40"/>
      <c r="H588" s="39"/>
      <c r="I588" s="40"/>
      <c r="J588" s="40"/>
      <c r="K588" s="40"/>
      <c r="L588" s="40"/>
      <c r="M588" s="40"/>
    </row>
    <row r="589" ht="21.0" customHeight="1">
      <c r="A589" s="217" t="s">
        <v>168</v>
      </c>
      <c r="B589" s="216"/>
      <c r="C589" s="218"/>
      <c r="D589" s="39"/>
      <c r="E589" s="219"/>
      <c r="F589" s="219"/>
      <c r="G589" s="40"/>
      <c r="H589" s="39"/>
      <c r="I589" s="40"/>
      <c r="J589" s="40"/>
      <c r="K589" s="40"/>
      <c r="L589" s="40"/>
      <c r="M589" s="40"/>
    </row>
    <row r="590" ht="21.0" customHeight="1">
      <c r="A590" s="217" t="s">
        <v>397</v>
      </c>
      <c r="B590" s="216"/>
      <c r="C590" s="218"/>
      <c r="D590" s="39"/>
      <c r="E590" s="219"/>
      <c r="F590" s="219"/>
      <c r="G590" s="40"/>
      <c r="H590" s="39"/>
      <c r="I590" s="40"/>
      <c r="J590" s="40"/>
      <c r="K590" s="40"/>
      <c r="L590" s="40"/>
      <c r="M590" s="40"/>
    </row>
    <row r="591" ht="21.0" customHeight="1">
      <c r="A591" s="217" t="s">
        <v>398</v>
      </c>
      <c r="B591" s="216"/>
      <c r="C591" s="218"/>
      <c r="D591" s="39"/>
      <c r="E591" s="219"/>
      <c r="F591" s="219"/>
      <c r="G591" s="40"/>
      <c r="H591" s="39"/>
      <c r="I591" s="40"/>
      <c r="J591" s="40"/>
      <c r="K591" s="40"/>
      <c r="L591" s="40"/>
      <c r="M591" s="40"/>
    </row>
    <row r="592" ht="21.0" customHeight="1">
      <c r="A592" s="221" t="s">
        <v>399</v>
      </c>
      <c r="B592" s="216"/>
      <c r="C592" s="218"/>
      <c r="D592" s="39"/>
      <c r="E592" s="219"/>
      <c r="F592" s="219"/>
      <c r="G592" s="40"/>
      <c r="H592" s="39"/>
      <c r="I592" s="40"/>
      <c r="J592" s="40"/>
      <c r="K592" s="40"/>
      <c r="L592" s="40"/>
      <c r="M592" s="40"/>
    </row>
    <row r="593" ht="21.0" customHeight="1">
      <c r="A593" s="221" t="s">
        <v>400</v>
      </c>
      <c r="B593" s="216"/>
      <c r="C593" s="218"/>
      <c r="D593" s="39"/>
      <c r="E593" s="219"/>
      <c r="F593" s="219"/>
      <c r="G593" s="40"/>
      <c r="H593" s="39"/>
      <c r="I593" s="40"/>
      <c r="J593" s="40"/>
      <c r="K593" s="40"/>
      <c r="L593" s="40"/>
      <c r="M593" s="40"/>
    </row>
    <row r="594" ht="21.0" customHeight="1">
      <c r="A594" s="221" t="s">
        <v>401</v>
      </c>
      <c r="B594" s="216"/>
      <c r="C594" s="218"/>
      <c r="D594" s="39"/>
      <c r="E594" s="219"/>
      <c r="F594" s="219"/>
      <c r="G594" s="40"/>
      <c r="H594" s="39"/>
      <c r="I594" s="40"/>
      <c r="J594" s="40"/>
      <c r="K594" s="40"/>
      <c r="L594" s="40"/>
      <c r="M594" s="40"/>
    </row>
    <row r="595" ht="21.0" customHeight="1">
      <c r="A595" s="221" t="s">
        <v>402</v>
      </c>
      <c r="B595" s="216"/>
      <c r="C595" s="218"/>
      <c r="D595" s="39"/>
      <c r="E595" s="219"/>
      <c r="F595" s="219"/>
      <c r="G595" s="40"/>
      <c r="H595" s="39"/>
      <c r="I595" s="40"/>
      <c r="J595" s="40"/>
      <c r="K595" s="40"/>
      <c r="L595" s="40"/>
      <c r="M595" s="40"/>
    </row>
    <row r="596" ht="21.0" customHeight="1">
      <c r="A596" s="221" t="s">
        <v>403</v>
      </c>
      <c r="B596" s="216"/>
      <c r="C596" s="218"/>
      <c r="D596" s="39"/>
      <c r="E596" s="219"/>
      <c r="F596" s="219"/>
      <c r="G596" s="40"/>
      <c r="H596" s="39"/>
      <c r="I596" s="40"/>
      <c r="J596" s="40"/>
      <c r="K596" s="40"/>
      <c r="L596" s="40"/>
      <c r="M596" s="40"/>
    </row>
    <row r="597" ht="21.0" customHeight="1">
      <c r="A597" s="221" t="s">
        <v>404</v>
      </c>
      <c r="B597" s="216"/>
      <c r="C597" s="218"/>
      <c r="D597" s="39"/>
      <c r="E597" s="219"/>
      <c r="F597" s="219"/>
      <c r="G597" s="40"/>
      <c r="H597" s="39"/>
      <c r="I597" s="40"/>
      <c r="J597" s="40"/>
      <c r="K597" s="40"/>
      <c r="L597" s="40"/>
      <c r="M597" s="40"/>
    </row>
    <row r="598" ht="21.0" customHeight="1">
      <c r="A598" s="221" t="s">
        <v>405</v>
      </c>
      <c r="B598" s="216"/>
      <c r="C598" s="218"/>
      <c r="D598" s="39"/>
      <c r="E598" s="219"/>
      <c r="F598" s="219"/>
      <c r="G598" s="40"/>
      <c r="H598" s="39"/>
      <c r="I598" s="40"/>
      <c r="J598" s="40"/>
      <c r="K598" s="40"/>
      <c r="L598" s="40"/>
      <c r="M598" s="40"/>
    </row>
    <row r="599" ht="21.0" customHeight="1">
      <c r="A599" s="221" t="s">
        <v>406</v>
      </c>
      <c r="B599" s="216"/>
      <c r="C599" s="218"/>
      <c r="D599" s="39"/>
      <c r="E599" s="219"/>
      <c r="F599" s="219"/>
      <c r="G599" s="40"/>
      <c r="H599" s="39"/>
      <c r="I599" s="40"/>
      <c r="J599" s="40"/>
      <c r="K599" s="40"/>
      <c r="L599" s="40"/>
      <c r="M599" s="40"/>
    </row>
    <row r="600" ht="21.0" customHeight="1">
      <c r="A600" s="221" t="s">
        <v>400</v>
      </c>
      <c r="B600" s="216"/>
      <c r="C600" s="218"/>
      <c r="D600" s="39"/>
      <c r="E600" s="219"/>
      <c r="F600" s="219"/>
      <c r="G600" s="40"/>
      <c r="H600" s="39"/>
      <c r="I600" s="40"/>
      <c r="J600" s="40"/>
      <c r="K600" s="40"/>
      <c r="L600" s="40"/>
      <c r="M600" s="40"/>
    </row>
    <row r="601" ht="21.0" customHeight="1">
      <c r="A601" s="221" t="s">
        <v>407</v>
      </c>
      <c r="B601" s="216"/>
      <c r="C601" s="218"/>
      <c r="D601" s="39"/>
      <c r="E601" s="219"/>
      <c r="F601" s="219"/>
      <c r="G601" s="40"/>
      <c r="H601" s="39"/>
      <c r="I601" s="40"/>
      <c r="J601" s="40"/>
      <c r="K601" s="40"/>
      <c r="L601" s="40"/>
      <c r="M601" s="40"/>
    </row>
    <row r="602" ht="21.0" customHeight="1">
      <c r="A602" s="221" t="s">
        <v>408</v>
      </c>
      <c r="B602" s="216"/>
      <c r="C602" s="218"/>
      <c r="D602" s="39"/>
      <c r="E602" s="219"/>
      <c r="F602" s="219"/>
      <c r="G602" s="40"/>
      <c r="H602" s="39"/>
      <c r="I602" s="40"/>
      <c r="J602" s="40"/>
      <c r="K602" s="40"/>
      <c r="L602" s="40"/>
      <c r="M602" s="40"/>
    </row>
    <row r="603" ht="21.0" customHeight="1">
      <c r="A603" s="221" t="s">
        <v>403</v>
      </c>
      <c r="B603" s="216"/>
      <c r="C603" s="218"/>
      <c r="D603" s="39"/>
      <c r="E603" s="219"/>
      <c r="F603" s="219"/>
      <c r="G603" s="40"/>
      <c r="H603" s="39"/>
      <c r="I603" s="40"/>
      <c r="J603" s="40"/>
      <c r="K603" s="40"/>
      <c r="L603" s="40"/>
      <c r="M603" s="40"/>
    </row>
    <row r="604" ht="21.0" customHeight="1">
      <c r="A604" s="221" t="s">
        <v>409</v>
      </c>
      <c r="B604" s="216"/>
      <c r="C604" s="218"/>
      <c r="D604" s="39"/>
      <c r="E604" s="219"/>
      <c r="F604" s="219"/>
      <c r="G604" s="40"/>
      <c r="H604" s="39"/>
      <c r="I604" s="40"/>
      <c r="J604" s="40"/>
      <c r="K604" s="40"/>
      <c r="L604" s="40"/>
      <c r="M604" s="40"/>
    </row>
    <row r="605" ht="21.0" customHeight="1">
      <c r="A605" s="221" t="s">
        <v>410</v>
      </c>
      <c r="B605" s="216"/>
      <c r="C605" s="218"/>
      <c r="D605" s="39"/>
      <c r="E605" s="219"/>
      <c r="F605" s="219"/>
      <c r="G605" s="40"/>
      <c r="H605" s="39"/>
      <c r="I605" s="40"/>
      <c r="J605" s="40"/>
      <c r="K605" s="40"/>
      <c r="L605" s="40"/>
      <c r="M605" s="40"/>
    </row>
    <row r="606" ht="21.0" customHeight="1">
      <c r="A606" s="217" t="s">
        <v>411</v>
      </c>
      <c r="B606" s="216"/>
      <c r="C606" s="218"/>
      <c r="D606" s="39"/>
      <c r="E606" s="219"/>
      <c r="F606" s="219"/>
      <c r="G606" s="40"/>
      <c r="H606" s="39"/>
      <c r="I606" s="40"/>
      <c r="J606" s="40"/>
      <c r="K606" s="40"/>
      <c r="L606" s="40"/>
      <c r="M606" s="40"/>
    </row>
    <row r="607" ht="21.0" customHeight="1">
      <c r="A607" s="221" t="s">
        <v>399</v>
      </c>
      <c r="B607" s="216"/>
      <c r="C607" s="218"/>
      <c r="D607" s="39"/>
      <c r="E607" s="219"/>
      <c r="F607" s="219"/>
      <c r="G607" s="40"/>
      <c r="H607" s="39"/>
      <c r="I607" s="40"/>
      <c r="J607" s="40"/>
      <c r="K607" s="40"/>
      <c r="L607" s="40"/>
      <c r="M607" s="40"/>
    </row>
    <row r="608" ht="21.0" customHeight="1">
      <c r="A608" s="221" t="s">
        <v>400</v>
      </c>
      <c r="B608" s="216"/>
      <c r="C608" s="218"/>
      <c r="D608" s="39"/>
      <c r="E608" s="219"/>
      <c r="F608" s="219"/>
      <c r="G608" s="40"/>
      <c r="H608" s="39"/>
      <c r="I608" s="40"/>
      <c r="J608" s="40"/>
      <c r="K608" s="40"/>
      <c r="L608" s="40"/>
      <c r="M608" s="40"/>
    </row>
    <row r="609" ht="21.0" customHeight="1">
      <c r="A609" s="221" t="s">
        <v>401</v>
      </c>
      <c r="B609" s="216"/>
      <c r="C609" s="218"/>
      <c r="D609" s="39"/>
      <c r="E609" s="219"/>
      <c r="F609" s="219"/>
      <c r="G609" s="40"/>
      <c r="H609" s="39"/>
      <c r="I609" s="40"/>
      <c r="J609" s="40"/>
      <c r="K609" s="40"/>
      <c r="L609" s="40"/>
      <c r="M609" s="40"/>
    </row>
    <row r="610" ht="21.0" customHeight="1">
      <c r="A610" s="221" t="s">
        <v>402</v>
      </c>
      <c r="B610" s="216"/>
      <c r="C610" s="218"/>
      <c r="D610" s="39"/>
      <c r="E610" s="219"/>
      <c r="F610" s="219"/>
      <c r="G610" s="40"/>
      <c r="H610" s="39"/>
      <c r="I610" s="40"/>
      <c r="J610" s="40"/>
      <c r="K610" s="40"/>
      <c r="L610" s="40"/>
      <c r="M610" s="40"/>
    </row>
    <row r="611" ht="21.0" customHeight="1">
      <c r="A611" s="221" t="s">
        <v>403</v>
      </c>
      <c r="B611" s="216"/>
      <c r="C611" s="218"/>
      <c r="D611" s="39"/>
      <c r="E611" s="219"/>
      <c r="F611" s="219"/>
      <c r="G611" s="40"/>
      <c r="H611" s="39"/>
      <c r="I611" s="40"/>
      <c r="J611" s="40"/>
      <c r="K611" s="40"/>
      <c r="L611" s="40"/>
      <c r="M611" s="40"/>
    </row>
    <row r="612" ht="21.0" customHeight="1">
      <c r="A612" s="221" t="s">
        <v>404</v>
      </c>
      <c r="B612" s="216"/>
      <c r="C612" s="218"/>
      <c r="D612" s="39"/>
      <c r="E612" s="219"/>
      <c r="F612" s="219"/>
      <c r="G612" s="40"/>
      <c r="H612" s="39"/>
      <c r="I612" s="40"/>
      <c r="J612" s="40"/>
      <c r="K612" s="40"/>
      <c r="L612" s="40"/>
      <c r="M612" s="40"/>
    </row>
    <row r="613" ht="21.0" customHeight="1">
      <c r="A613" s="221" t="s">
        <v>405</v>
      </c>
      <c r="B613" s="216"/>
      <c r="C613" s="218"/>
      <c r="D613" s="39"/>
      <c r="E613" s="219"/>
      <c r="F613" s="219"/>
      <c r="G613" s="40"/>
      <c r="H613" s="39"/>
      <c r="I613" s="40"/>
      <c r="J613" s="40"/>
      <c r="K613" s="40"/>
      <c r="L613" s="40"/>
      <c r="M613" s="40"/>
    </row>
    <row r="614" ht="21.0" customHeight="1">
      <c r="A614" s="221" t="s">
        <v>406</v>
      </c>
      <c r="B614" s="216"/>
      <c r="C614" s="218"/>
      <c r="D614" s="39"/>
      <c r="E614" s="219"/>
      <c r="F614" s="219"/>
      <c r="G614" s="40"/>
      <c r="H614" s="39"/>
      <c r="I614" s="40"/>
      <c r="J614" s="40"/>
      <c r="K614" s="40"/>
      <c r="L614" s="40"/>
      <c r="M614" s="40"/>
    </row>
    <row r="615" ht="21.0" customHeight="1">
      <c r="A615" s="221" t="s">
        <v>400</v>
      </c>
      <c r="B615" s="216"/>
      <c r="C615" s="218"/>
      <c r="D615" s="39"/>
      <c r="E615" s="219"/>
      <c r="F615" s="219"/>
      <c r="G615" s="40"/>
      <c r="H615" s="39"/>
      <c r="I615" s="40"/>
      <c r="J615" s="40"/>
      <c r="K615" s="40"/>
      <c r="L615" s="40"/>
      <c r="M615" s="40"/>
    </row>
    <row r="616" ht="21.0" customHeight="1">
      <c r="A616" s="221" t="s">
        <v>407</v>
      </c>
      <c r="B616" s="216"/>
      <c r="C616" s="218"/>
      <c r="D616" s="39"/>
      <c r="E616" s="219"/>
      <c r="F616" s="219"/>
      <c r="G616" s="40"/>
      <c r="H616" s="39"/>
      <c r="I616" s="40"/>
      <c r="J616" s="40"/>
      <c r="K616" s="40"/>
      <c r="L616" s="40"/>
      <c r="M616" s="40"/>
    </row>
    <row r="617" ht="21.0" customHeight="1">
      <c r="A617" s="221" t="s">
        <v>408</v>
      </c>
      <c r="B617" s="216"/>
      <c r="C617" s="218"/>
      <c r="D617" s="39"/>
      <c r="E617" s="219"/>
      <c r="F617" s="219"/>
      <c r="G617" s="40"/>
      <c r="H617" s="39"/>
      <c r="I617" s="40"/>
      <c r="J617" s="40"/>
      <c r="K617" s="40"/>
      <c r="L617" s="40"/>
      <c r="M617" s="40"/>
    </row>
    <row r="618" ht="21.0" customHeight="1">
      <c r="A618" s="221" t="s">
        <v>403</v>
      </c>
      <c r="B618" s="216"/>
      <c r="C618" s="218"/>
      <c r="D618" s="39"/>
      <c r="E618" s="219"/>
      <c r="F618" s="219"/>
      <c r="G618" s="40"/>
      <c r="H618" s="39"/>
      <c r="I618" s="40"/>
      <c r="J618" s="40"/>
      <c r="K618" s="40"/>
      <c r="L618" s="40"/>
      <c r="M618" s="40"/>
    </row>
    <row r="619" ht="21.0" customHeight="1">
      <c r="A619" s="221" t="s">
        <v>409</v>
      </c>
      <c r="B619" s="216"/>
      <c r="C619" s="218"/>
      <c r="D619" s="39"/>
      <c r="E619" s="219"/>
      <c r="F619" s="219"/>
      <c r="G619" s="40"/>
      <c r="H619" s="39"/>
      <c r="I619" s="40"/>
      <c r="J619" s="40"/>
      <c r="K619" s="40"/>
      <c r="L619" s="40"/>
      <c r="M619" s="40"/>
    </row>
    <row r="620" ht="21.0" customHeight="1">
      <c r="A620" s="221" t="s">
        <v>410</v>
      </c>
      <c r="B620" s="216"/>
      <c r="C620" s="218"/>
      <c r="D620" s="39"/>
      <c r="E620" s="219"/>
      <c r="F620" s="219"/>
      <c r="G620" s="40"/>
      <c r="H620" s="39"/>
      <c r="I620" s="40"/>
      <c r="J620" s="40"/>
      <c r="K620" s="40"/>
      <c r="L620" s="40"/>
      <c r="M620" s="40"/>
    </row>
    <row r="621" ht="18.0" customHeight="1">
      <c r="A621" s="233"/>
      <c r="B621" s="216"/>
      <c r="C621" s="218"/>
      <c r="D621" s="39"/>
      <c r="E621" s="219"/>
      <c r="F621" s="219"/>
      <c r="G621" s="40"/>
      <c r="H621" s="39"/>
      <c r="I621" s="40"/>
      <c r="J621" s="40"/>
      <c r="K621" s="40"/>
      <c r="L621" s="40"/>
      <c r="M621" s="40"/>
    </row>
    <row r="622" ht="57.75" customHeight="1">
      <c r="A622" s="217" t="s">
        <v>412</v>
      </c>
      <c r="B622" s="216" t="s">
        <v>32</v>
      </c>
      <c r="C622" s="213"/>
      <c r="D622" s="213"/>
      <c r="E622" s="213"/>
      <c r="F622" s="213">
        <f>F623+F754</f>
        <v>600</v>
      </c>
      <c r="G622" s="40"/>
      <c r="H622" s="39">
        <f>H623</f>
        <v>3700</v>
      </c>
      <c r="I622" s="40"/>
      <c r="J622" s="40"/>
      <c r="K622" s="40"/>
      <c r="L622" s="40"/>
      <c r="M622" s="40"/>
    </row>
    <row r="623" ht="43.5" customHeight="1">
      <c r="A623" s="217" t="s">
        <v>413</v>
      </c>
      <c r="B623" s="216" t="s">
        <v>32</v>
      </c>
      <c r="C623" s="213"/>
      <c r="D623" s="213">
        <f>SUM(D628:D753)</f>
        <v>0</v>
      </c>
      <c r="E623" s="213"/>
      <c r="F623" s="213">
        <f>SUM(F628:F753)</f>
        <v>600</v>
      </c>
      <c r="G623" s="40"/>
      <c r="H623" s="39">
        <f>sum(H629:H753)</f>
        <v>3700</v>
      </c>
      <c r="I623" s="40"/>
      <c r="J623" s="40"/>
      <c r="K623" s="40"/>
      <c r="L623" s="40"/>
      <c r="M623" s="40"/>
    </row>
    <row r="624" ht="21.0" customHeight="1">
      <c r="A624" s="217" t="s">
        <v>165</v>
      </c>
      <c r="B624" s="216" t="s">
        <v>32</v>
      </c>
      <c r="C624" s="218"/>
      <c r="D624" s="39"/>
      <c r="E624" s="213"/>
      <c r="F624" s="213"/>
      <c r="G624" s="40"/>
      <c r="H624" s="39"/>
      <c r="I624" s="40"/>
      <c r="J624" s="40"/>
      <c r="K624" s="40"/>
      <c r="L624" s="40"/>
      <c r="M624" s="40"/>
    </row>
    <row r="625" ht="43.5" customHeight="1">
      <c r="A625" s="221" t="s">
        <v>414</v>
      </c>
      <c r="B625" s="216" t="s">
        <v>32</v>
      </c>
      <c r="C625" s="218"/>
      <c r="D625" s="39"/>
      <c r="E625" s="213"/>
      <c r="F625" s="213"/>
      <c r="G625" s="40"/>
      <c r="H625" s="39"/>
      <c r="I625" s="40"/>
      <c r="J625" s="40"/>
      <c r="K625" s="40"/>
      <c r="L625" s="40"/>
      <c r="M625" s="40"/>
    </row>
    <row r="626" ht="21.0" customHeight="1">
      <c r="A626" s="217" t="s">
        <v>168</v>
      </c>
      <c r="B626" s="216" t="s">
        <v>32</v>
      </c>
      <c r="C626" s="218"/>
      <c r="D626" s="39"/>
      <c r="E626" s="213"/>
      <c r="F626" s="213"/>
      <c r="G626" s="40"/>
      <c r="H626" s="39"/>
      <c r="I626" s="40"/>
      <c r="J626" s="40"/>
      <c r="K626" s="40"/>
      <c r="L626" s="40"/>
      <c r="M626" s="40"/>
    </row>
    <row r="627" ht="42.0" customHeight="1">
      <c r="A627" s="221" t="s">
        <v>415</v>
      </c>
      <c r="B627" s="216" t="s">
        <v>32</v>
      </c>
      <c r="C627" s="218"/>
      <c r="D627" s="39"/>
      <c r="E627" s="213"/>
      <c r="F627" s="213"/>
      <c r="G627" s="40"/>
      <c r="H627" s="39"/>
      <c r="I627" s="40"/>
      <c r="J627" s="40"/>
      <c r="K627" s="40"/>
      <c r="L627" s="40"/>
      <c r="M627" s="40"/>
    </row>
    <row r="628" ht="21.0" customHeight="1">
      <c r="A628" s="217" t="s">
        <v>170</v>
      </c>
      <c r="B628" s="216" t="s">
        <v>32</v>
      </c>
      <c r="C628" s="218"/>
      <c r="D628" s="39"/>
      <c r="E628" s="213"/>
      <c r="F628" s="213"/>
      <c r="G628" s="40"/>
      <c r="H628" s="39"/>
      <c r="I628" s="40"/>
      <c r="J628" s="40"/>
      <c r="K628" s="40"/>
      <c r="L628" s="40"/>
      <c r="M628" s="40"/>
    </row>
    <row r="629" ht="40.5" customHeight="1">
      <c r="A629" s="217" t="s">
        <v>416</v>
      </c>
      <c r="B629" s="216" t="s">
        <v>32</v>
      </c>
      <c r="C629" s="218"/>
      <c r="D629" s="39"/>
      <c r="E629" s="219"/>
      <c r="F629" s="219"/>
      <c r="G629" s="40"/>
      <c r="H629" s="39"/>
      <c r="I629" s="40"/>
      <c r="J629" s="40"/>
      <c r="K629" s="40"/>
      <c r="L629" s="40"/>
      <c r="M629" s="40"/>
    </row>
    <row r="630" ht="21.0" customHeight="1">
      <c r="A630" s="217" t="s">
        <v>417</v>
      </c>
      <c r="B630" s="216" t="s">
        <v>32</v>
      </c>
      <c r="C630" s="218"/>
      <c r="D630" s="39"/>
      <c r="E630" s="219"/>
      <c r="F630" s="219"/>
      <c r="G630" s="40"/>
      <c r="H630" s="39"/>
      <c r="I630" s="40"/>
      <c r="J630" s="40"/>
      <c r="K630" s="40"/>
      <c r="L630" s="40"/>
      <c r="M630" s="40"/>
    </row>
    <row r="631" ht="21.0" customHeight="1">
      <c r="A631" s="221" t="s">
        <v>418</v>
      </c>
      <c r="B631" s="216" t="s">
        <v>32</v>
      </c>
      <c r="C631" s="218"/>
      <c r="D631" s="39"/>
      <c r="E631" s="219"/>
      <c r="F631" s="219"/>
      <c r="G631" s="40"/>
      <c r="H631" s="39"/>
      <c r="I631" s="40"/>
      <c r="J631" s="40"/>
      <c r="K631" s="40"/>
      <c r="L631" s="40"/>
      <c r="M631" s="40"/>
    </row>
    <row r="632" ht="21.0" customHeight="1">
      <c r="A632" s="221" t="s">
        <v>316</v>
      </c>
      <c r="B632" s="216" t="s">
        <v>32</v>
      </c>
      <c r="C632" s="218"/>
      <c r="D632" s="39"/>
      <c r="E632" s="219"/>
      <c r="F632" s="219"/>
      <c r="G632" s="40"/>
      <c r="H632" s="39"/>
      <c r="I632" s="40"/>
      <c r="J632" s="40"/>
      <c r="K632" s="40"/>
      <c r="L632" s="40"/>
      <c r="M632" s="40"/>
    </row>
    <row r="633" ht="21.0" customHeight="1">
      <c r="A633" s="239" t="s">
        <v>419</v>
      </c>
      <c r="B633" s="216" t="s">
        <v>32</v>
      </c>
      <c r="C633" s="218"/>
      <c r="D633" s="39"/>
      <c r="E633" s="222">
        <v>4.0</v>
      </c>
      <c r="F633" s="219">
        <f>E633*150</f>
        <v>600</v>
      </c>
      <c r="G633" s="40"/>
      <c r="H633" s="39"/>
      <c r="I633" s="40"/>
      <c r="J633" s="40"/>
      <c r="K633" s="40"/>
      <c r="L633" s="40"/>
      <c r="M633" s="40"/>
    </row>
    <row r="634" ht="21.0" customHeight="1">
      <c r="A634" s="228" t="s">
        <v>420</v>
      </c>
      <c r="B634" s="216" t="s">
        <v>32</v>
      </c>
      <c r="C634" s="218"/>
      <c r="D634" s="39"/>
      <c r="E634" s="218"/>
      <c r="F634" s="219"/>
      <c r="G634" s="40"/>
      <c r="H634" s="39"/>
      <c r="I634" s="40"/>
      <c r="J634" s="40"/>
      <c r="K634" s="40"/>
      <c r="L634" s="40"/>
      <c r="M634" s="40"/>
    </row>
    <row r="635" ht="21.0" customHeight="1">
      <c r="A635" s="221" t="s">
        <v>319</v>
      </c>
      <c r="B635" s="216"/>
      <c r="C635" s="218"/>
      <c r="D635" s="39"/>
      <c r="E635" s="218"/>
      <c r="F635" s="219"/>
      <c r="G635" s="40"/>
      <c r="H635" s="39"/>
      <c r="I635" s="40"/>
      <c r="J635" s="40"/>
      <c r="K635" s="40"/>
      <c r="L635" s="40"/>
      <c r="M635" s="40"/>
    </row>
    <row r="636" ht="21.0" customHeight="1">
      <c r="A636" s="221" t="s">
        <v>421</v>
      </c>
      <c r="B636" s="216"/>
      <c r="C636" s="218"/>
      <c r="D636" s="39"/>
      <c r="E636" s="218"/>
      <c r="F636" s="219"/>
      <c r="G636" s="40"/>
      <c r="H636" s="39"/>
      <c r="I636" s="40"/>
      <c r="J636" s="40"/>
      <c r="K636" s="40"/>
      <c r="L636" s="40"/>
      <c r="M636" s="40"/>
    </row>
    <row r="637" ht="21.0" customHeight="1">
      <c r="A637" s="221" t="s">
        <v>321</v>
      </c>
      <c r="B637" s="216"/>
      <c r="C637" s="218"/>
      <c r="D637" s="39"/>
      <c r="E637" s="218"/>
      <c r="F637" s="219"/>
      <c r="G637" s="40"/>
      <c r="H637" s="39"/>
      <c r="I637" s="40"/>
      <c r="J637" s="40"/>
      <c r="K637" s="40"/>
      <c r="L637" s="40"/>
      <c r="M637" s="40"/>
    </row>
    <row r="638" ht="21.0" customHeight="1">
      <c r="A638" s="221" t="s">
        <v>323</v>
      </c>
      <c r="B638" s="216"/>
      <c r="C638" s="218"/>
      <c r="D638" s="39"/>
      <c r="E638" s="218"/>
      <c r="F638" s="219"/>
      <c r="G638" s="40"/>
      <c r="H638" s="39"/>
      <c r="I638" s="40"/>
      <c r="J638" s="40"/>
      <c r="K638" s="40"/>
      <c r="L638" s="40"/>
      <c r="M638" s="40"/>
    </row>
    <row r="639" ht="21.0" customHeight="1">
      <c r="A639" s="221" t="s">
        <v>422</v>
      </c>
      <c r="B639" s="216"/>
      <c r="C639" s="218"/>
      <c r="D639" s="39"/>
      <c r="E639" s="218"/>
      <c r="F639" s="219"/>
      <c r="G639" s="40"/>
      <c r="H639" s="39"/>
      <c r="I639" s="40"/>
      <c r="J639" s="40"/>
      <c r="K639" s="40"/>
      <c r="L639" s="40"/>
      <c r="M639" s="40"/>
    </row>
    <row r="640" ht="21.0" customHeight="1">
      <c r="A640" s="221" t="s">
        <v>423</v>
      </c>
      <c r="B640" s="216"/>
      <c r="C640" s="218"/>
      <c r="D640" s="39"/>
      <c r="E640" s="218"/>
      <c r="F640" s="219"/>
      <c r="G640" s="40"/>
      <c r="H640" s="39"/>
      <c r="I640" s="40"/>
      <c r="J640" s="40"/>
      <c r="K640" s="40"/>
      <c r="L640" s="40"/>
      <c r="M640" s="40"/>
    </row>
    <row r="641" ht="21.0" customHeight="1">
      <c r="A641" s="221" t="s">
        <v>325</v>
      </c>
      <c r="B641" s="216"/>
      <c r="C641" s="218"/>
      <c r="D641" s="39"/>
      <c r="E641" s="218"/>
      <c r="F641" s="219"/>
      <c r="G641" s="40"/>
      <c r="H641" s="39"/>
      <c r="I641" s="40"/>
      <c r="J641" s="40"/>
      <c r="K641" s="40"/>
      <c r="L641" s="40"/>
      <c r="M641" s="40"/>
    </row>
    <row r="642" ht="21.0" customHeight="1">
      <c r="A642" s="221" t="s">
        <v>326</v>
      </c>
      <c r="B642" s="216"/>
      <c r="C642" s="218"/>
      <c r="D642" s="39"/>
      <c r="E642" s="218"/>
      <c r="F642" s="219"/>
      <c r="G642" s="40"/>
      <c r="H642" s="39"/>
      <c r="I642" s="40"/>
      <c r="J642" s="40"/>
      <c r="K642" s="40"/>
      <c r="L642" s="40"/>
      <c r="M642" s="40"/>
    </row>
    <row r="643" ht="21.0" customHeight="1">
      <c r="A643" s="221" t="s">
        <v>424</v>
      </c>
      <c r="B643" s="216"/>
      <c r="C643" s="218"/>
      <c r="D643" s="39"/>
      <c r="E643" s="218"/>
      <c r="F643" s="219"/>
      <c r="G643" s="40"/>
      <c r="H643" s="39"/>
      <c r="I643" s="40"/>
      <c r="J643" s="40"/>
      <c r="K643" s="40"/>
      <c r="L643" s="40"/>
      <c r="M643" s="40"/>
    </row>
    <row r="644" ht="21.0" customHeight="1">
      <c r="A644" s="221" t="s">
        <v>425</v>
      </c>
      <c r="B644" s="216"/>
      <c r="C644" s="218"/>
      <c r="D644" s="39"/>
      <c r="E644" s="218"/>
      <c r="F644" s="219"/>
      <c r="G644" s="40"/>
      <c r="H644" s="39"/>
      <c r="I644" s="40"/>
      <c r="J644" s="40"/>
      <c r="K644" s="40"/>
      <c r="L644" s="40"/>
      <c r="M644" s="40"/>
    </row>
    <row r="645" ht="21.0" customHeight="1">
      <c r="A645" s="228" t="s">
        <v>426</v>
      </c>
      <c r="B645" s="216"/>
      <c r="C645" s="218"/>
      <c r="D645" s="39"/>
      <c r="E645" s="218"/>
      <c r="F645" s="219"/>
      <c r="G645" s="40"/>
      <c r="H645" s="39"/>
      <c r="I645" s="40"/>
      <c r="J645" s="40"/>
      <c r="K645" s="40"/>
      <c r="L645" s="40"/>
      <c r="M645" s="40"/>
    </row>
    <row r="646" ht="21.0" customHeight="1">
      <c r="A646" s="221" t="s">
        <v>427</v>
      </c>
      <c r="B646" s="216"/>
      <c r="C646" s="218"/>
      <c r="D646" s="39"/>
      <c r="E646" s="218"/>
      <c r="F646" s="219"/>
      <c r="G646" s="40"/>
      <c r="H646" s="39"/>
      <c r="I646" s="40"/>
      <c r="J646" s="40"/>
      <c r="K646" s="40"/>
      <c r="L646" s="40"/>
      <c r="M646" s="40"/>
    </row>
    <row r="647" ht="21.0" customHeight="1">
      <c r="A647" s="233"/>
      <c r="B647" s="216"/>
      <c r="C647" s="218"/>
      <c r="D647" s="39"/>
      <c r="E647" s="218"/>
      <c r="F647" s="219"/>
      <c r="G647" s="40"/>
      <c r="H647" s="39"/>
      <c r="I647" s="40"/>
      <c r="J647" s="40"/>
      <c r="K647" s="40"/>
      <c r="L647" s="40"/>
      <c r="M647" s="40"/>
    </row>
    <row r="648" ht="21.0" customHeight="1">
      <c r="A648" s="233"/>
      <c r="B648" s="216"/>
      <c r="C648" s="218"/>
      <c r="D648" s="39"/>
      <c r="E648" s="218"/>
      <c r="F648" s="219"/>
      <c r="G648" s="40"/>
      <c r="H648" s="39"/>
      <c r="I648" s="40"/>
      <c r="J648" s="40"/>
      <c r="K648" s="40"/>
      <c r="L648" s="40"/>
      <c r="M648" s="40"/>
    </row>
    <row r="649" ht="21.0" customHeight="1">
      <c r="A649" s="233"/>
      <c r="B649" s="216"/>
      <c r="C649" s="218"/>
      <c r="D649" s="39"/>
      <c r="E649" s="218"/>
      <c r="F649" s="219"/>
      <c r="G649" s="40"/>
      <c r="H649" s="39"/>
      <c r="I649" s="40"/>
      <c r="J649" s="40"/>
      <c r="K649" s="40"/>
      <c r="L649" s="40"/>
      <c r="M649" s="40"/>
    </row>
    <row r="650" ht="21.0" customHeight="1">
      <c r="A650" s="217" t="s">
        <v>428</v>
      </c>
      <c r="B650" s="216" t="s">
        <v>32</v>
      </c>
      <c r="C650" s="218"/>
      <c r="D650" s="39"/>
      <c r="E650" s="218"/>
      <c r="F650" s="219"/>
      <c r="G650" s="40"/>
      <c r="H650" s="39"/>
      <c r="I650" s="40"/>
      <c r="J650" s="40"/>
      <c r="K650" s="40"/>
      <c r="L650" s="40"/>
      <c r="M650" s="40"/>
    </row>
    <row r="651" ht="21.0" customHeight="1">
      <c r="A651" s="217" t="s">
        <v>417</v>
      </c>
      <c r="B651" s="216" t="s">
        <v>32</v>
      </c>
      <c r="C651" s="218"/>
      <c r="D651" s="39"/>
      <c r="E651" s="218"/>
      <c r="F651" s="219"/>
      <c r="G651" s="40"/>
      <c r="H651" s="39"/>
      <c r="I651" s="40"/>
      <c r="J651" s="40"/>
      <c r="K651" s="40"/>
      <c r="L651" s="40"/>
      <c r="M651" s="40"/>
    </row>
    <row r="652" ht="21.0" customHeight="1">
      <c r="A652" s="221" t="s">
        <v>281</v>
      </c>
      <c r="B652" s="216" t="s">
        <v>32</v>
      </c>
      <c r="C652" s="218"/>
      <c r="D652" s="39"/>
      <c r="E652" s="218"/>
      <c r="F652" s="219"/>
      <c r="G652" s="40"/>
      <c r="H652" s="39"/>
      <c r="I652" s="40"/>
      <c r="J652" s="40"/>
      <c r="K652" s="40"/>
      <c r="L652" s="40"/>
      <c r="M652" s="40"/>
    </row>
    <row r="653" ht="21.0" customHeight="1">
      <c r="A653" s="221" t="s">
        <v>282</v>
      </c>
      <c r="B653" s="216" t="s">
        <v>32</v>
      </c>
      <c r="C653" s="218"/>
      <c r="D653" s="39"/>
      <c r="E653" s="218"/>
      <c r="F653" s="219"/>
      <c r="G653" s="40"/>
      <c r="H653" s="39"/>
      <c r="I653" s="40"/>
      <c r="J653" s="40"/>
      <c r="K653" s="40"/>
      <c r="L653" s="40"/>
      <c r="M653" s="40"/>
    </row>
    <row r="654" ht="21.0" customHeight="1">
      <c r="A654" s="221" t="s">
        <v>283</v>
      </c>
      <c r="B654" s="216" t="s">
        <v>32</v>
      </c>
      <c r="C654" s="218"/>
      <c r="D654" s="39"/>
      <c r="E654" s="218"/>
      <c r="F654" s="219"/>
      <c r="G654" s="40"/>
      <c r="H654" s="39"/>
      <c r="I654" s="40"/>
      <c r="J654" s="40"/>
      <c r="K654" s="40"/>
      <c r="L654" s="40"/>
      <c r="M654" s="40"/>
    </row>
    <row r="655" ht="21.0" customHeight="1">
      <c r="A655" s="221" t="s">
        <v>284</v>
      </c>
      <c r="B655" s="216" t="s">
        <v>32</v>
      </c>
      <c r="C655" s="218"/>
      <c r="D655" s="39"/>
      <c r="E655" s="218"/>
      <c r="F655" s="219"/>
      <c r="G655" s="58">
        <v>1.0</v>
      </c>
      <c r="H655" s="38">
        <v>2000.0</v>
      </c>
      <c r="I655" s="40"/>
      <c r="J655" s="40"/>
      <c r="K655" s="40"/>
      <c r="L655" s="40"/>
      <c r="M655" s="40"/>
    </row>
    <row r="656" ht="21.0" customHeight="1">
      <c r="A656" s="221" t="s">
        <v>285</v>
      </c>
      <c r="B656" s="216" t="s">
        <v>32</v>
      </c>
      <c r="C656" s="218"/>
      <c r="D656" s="39"/>
      <c r="E656" s="218"/>
      <c r="F656" s="219"/>
      <c r="G656" s="40"/>
      <c r="H656" s="39"/>
      <c r="I656" s="40"/>
      <c r="J656" s="40"/>
      <c r="K656" s="40"/>
      <c r="L656" s="40"/>
      <c r="M656" s="40"/>
    </row>
    <row r="657" ht="21.0" customHeight="1">
      <c r="A657" s="221" t="s">
        <v>286</v>
      </c>
      <c r="B657" s="216" t="s">
        <v>32</v>
      </c>
      <c r="C657" s="218"/>
      <c r="D657" s="39"/>
      <c r="E657" s="218"/>
      <c r="F657" s="219"/>
      <c r="G657" s="40"/>
      <c r="H657" s="39"/>
      <c r="I657" s="40"/>
      <c r="J657" s="40"/>
      <c r="K657" s="40"/>
      <c r="L657" s="40"/>
      <c r="M657" s="40"/>
    </row>
    <row r="658" ht="21.0" customHeight="1">
      <c r="A658" s="221" t="s">
        <v>313</v>
      </c>
      <c r="B658" s="216" t="s">
        <v>32</v>
      </c>
      <c r="C658" s="218"/>
      <c r="D658" s="39"/>
      <c r="E658" s="218"/>
      <c r="F658" s="219"/>
      <c r="G658" s="40"/>
      <c r="H658" s="39"/>
      <c r="I658" s="40"/>
      <c r="J658" s="40"/>
      <c r="K658" s="40"/>
      <c r="L658" s="40"/>
      <c r="M658" s="40"/>
    </row>
    <row r="659" ht="21.0" customHeight="1">
      <c r="A659" s="221" t="s">
        <v>429</v>
      </c>
      <c r="B659" s="216" t="s">
        <v>32</v>
      </c>
      <c r="C659" s="218"/>
      <c r="D659" s="39"/>
      <c r="E659" s="218"/>
      <c r="F659" s="219"/>
      <c r="G659" s="40"/>
      <c r="H659" s="39"/>
      <c r="I659" s="40"/>
      <c r="J659" s="40"/>
      <c r="K659" s="40"/>
      <c r="L659" s="40"/>
      <c r="M659" s="40"/>
    </row>
    <row r="660" ht="21.0" customHeight="1">
      <c r="A660" s="221" t="s">
        <v>430</v>
      </c>
      <c r="B660" s="216" t="s">
        <v>32</v>
      </c>
      <c r="C660" s="218"/>
      <c r="D660" s="39"/>
      <c r="E660" s="218"/>
      <c r="F660" s="219"/>
      <c r="G660" s="40"/>
      <c r="H660" s="39"/>
      <c r="I660" s="40"/>
      <c r="J660" s="40"/>
      <c r="K660" s="40"/>
      <c r="L660" s="40"/>
      <c r="M660" s="40"/>
    </row>
    <row r="661" ht="21.0" customHeight="1">
      <c r="A661" s="221" t="s">
        <v>431</v>
      </c>
      <c r="B661" s="216"/>
      <c r="C661" s="218"/>
      <c r="D661" s="39"/>
      <c r="E661" s="218"/>
      <c r="F661" s="219"/>
      <c r="G661" s="40"/>
      <c r="H661" s="39"/>
      <c r="I661" s="40"/>
      <c r="J661" s="40"/>
      <c r="K661" s="40"/>
      <c r="L661" s="40"/>
      <c r="M661" s="40"/>
    </row>
    <row r="662" ht="21.0" customHeight="1">
      <c r="A662" s="221" t="s">
        <v>432</v>
      </c>
      <c r="B662" s="216"/>
      <c r="C662" s="218"/>
      <c r="D662" s="39"/>
      <c r="E662" s="218"/>
      <c r="F662" s="219"/>
      <c r="G662" s="40"/>
      <c r="H662" s="39"/>
      <c r="I662" s="40"/>
      <c r="J662" s="40"/>
      <c r="K662" s="40"/>
      <c r="L662" s="40"/>
      <c r="M662" s="40"/>
    </row>
    <row r="663" ht="21.0" customHeight="1">
      <c r="A663" s="221" t="s">
        <v>433</v>
      </c>
      <c r="B663" s="216"/>
      <c r="C663" s="218"/>
      <c r="D663" s="39"/>
      <c r="E663" s="218"/>
      <c r="F663" s="219"/>
      <c r="G663" s="40"/>
      <c r="H663" s="39"/>
      <c r="I663" s="40"/>
      <c r="J663" s="40"/>
      <c r="K663" s="40"/>
      <c r="L663" s="40"/>
      <c r="M663" s="40"/>
    </row>
    <row r="664" ht="21.0" customHeight="1">
      <c r="A664" s="233"/>
      <c r="B664" s="216"/>
      <c r="C664" s="218"/>
      <c r="D664" s="39"/>
      <c r="E664" s="218"/>
      <c r="F664" s="219"/>
      <c r="G664" s="40"/>
      <c r="H664" s="39"/>
      <c r="I664" s="40"/>
      <c r="J664" s="40"/>
      <c r="K664" s="40"/>
      <c r="L664" s="40"/>
      <c r="M664" s="40"/>
    </row>
    <row r="665" ht="39.0" customHeight="1">
      <c r="A665" s="217" t="s">
        <v>434</v>
      </c>
      <c r="B665" s="216"/>
      <c r="C665" s="218"/>
      <c r="D665" s="39"/>
      <c r="E665" s="218"/>
      <c r="F665" s="219"/>
      <c r="G665" s="40"/>
      <c r="H665" s="39"/>
      <c r="I665" s="40"/>
      <c r="J665" s="40"/>
      <c r="K665" s="40"/>
      <c r="L665" s="40"/>
      <c r="M665" s="40"/>
    </row>
    <row r="666" ht="21.0" customHeight="1">
      <c r="A666" s="221" t="s">
        <v>435</v>
      </c>
      <c r="B666" s="216"/>
      <c r="C666" s="218"/>
      <c r="D666" s="39"/>
      <c r="E666" s="218"/>
      <c r="F666" s="219"/>
      <c r="G666" s="40"/>
      <c r="H666" s="39"/>
      <c r="I666" s="40"/>
      <c r="J666" s="40"/>
      <c r="K666" s="40"/>
      <c r="L666" s="40"/>
      <c r="M666" s="40"/>
    </row>
    <row r="667" ht="21.0" customHeight="1">
      <c r="A667" s="221" t="s">
        <v>436</v>
      </c>
      <c r="B667" s="216"/>
      <c r="C667" s="218"/>
      <c r="D667" s="39"/>
      <c r="E667" s="218"/>
      <c r="F667" s="219"/>
      <c r="G667" s="40"/>
      <c r="H667" s="39"/>
      <c r="I667" s="40"/>
      <c r="J667" s="40"/>
      <c r="K667" s="40"/>
      <c r="L667" s="40"/>
      <c r="M667" s="40"/>
    </row>
    <row r="668" ht="21.0" customHeight="1">
      <c r="A668" s="221" t="s">
        <v>437</v>
      </c>
      <c r="B668" s="216"/>
      <c r="C668" s="218"/>
      <c r="D668" s="39"/>
      <c r="E668" s="218"/>
      <c r="F668" s="219"/>
      <c r="G668" s="40"/>
      <c r="H668" s="39"/>
      <c r="I668" s="40"/>
      <c r="J668" s="40"/>
      <c r="K668" s="40"/>
      <c r="L668" s="40"/>
      <c r="M668" s="40"/>
    </row>
    <row r="669" ht="21.0" customHeight="1">
      <c r="A669" s="221" t="s">
        <v>438</v>
      </c>
      <c r="B669" s="216"/>
      <c r="C669" s="218"/>
      <c r="D669" s="39"/>
      <c r="E669" s="218"/>
      <c r="F669" s="219"/>
      <c r="G669" s="40"/>
      <c r="H669" s="39"/>
      <c r="I669" s="40"/>
      <c r="J669" s="40"/>
      <c r="K669" s="40"/>
      <c r="L669" s="40"/>
      <c r="M669" s="40"/>
    </row>
    <row r="670" ht="21.0" customHeight="1">
      <c r="A670" s="221" t="s">
        <v>439</v>
      </c>
      <c r="B670" s="216"/>
      <c r="C670" s="218"/>
      <c r="D670" s="39"/>
      <c r="E670" s="218"/>
      <c r="F670" s="219"/>
      <c r="G670" s="40"/>
      <c r="H670" s="39"/>
      <c r="I670" s="40"/>
      <c r="J670" s="40"/>
      <c r="K670" s="40"/>
      <c r="L670" s="40"/>
      <c r="M670" s="40"/>
    </row>
    <row r="671" ht="21.0" customHeight="1">
      <c r="A671" s="221" t="s">
        <v>440</v>
      </c>
      <c r="B671" s="216"/>
      <c r="C671" s="218"/>
      <c r="D671" s="39"/>
      <c r="E671" s="218"/>
      <c r="F671" s="219"/>
      <c r="G671" s="40"/>
      <c r="H671" s="39"/>
      <c r="I671" s="40"/>
      <c r="J671" s="40"/>
      <c r="K671" s="40"/>
      <c r="L671" s="40"/>
      <c r="M671" s="40"/>
    </row>
    <row r="672" ht="21.0" customHeight="1">
      <c r="A672" s="221" t="s">
        <v>441</v>
      </c>
      <c r="B672" s="216"/>
      <c r="C672" s="218"/>
      <c r="D672" s="39"/>
      <c r="E672" s="218"/>
      <c r="F672" s="219"/>
      <c r="G672" s="40"/>
      <c r="H672" s="39"/>
      <c r="I672" s="40"/>
      <c r="J672" s="40"/>
      <c r="K672" s="40"/>
      <c r="L672" s="40"/>
      <c r="M672" s="40"/>
    </row>
    <row r="673" ht="21.0" customHeight="1">
      <c r="A673" s="221" t="s">
        <v>442</v>
      </c>
      <c r="B673" s="216"/>
      <c r="C673" s="218"/>
      <c r="D673" s="39"/>
      <c r="E673" s="218"/>
      <c r="F673" s="219"/>
      <c r="G673" s="40"/>
      <c r="H673" s="39"/>
      <c r="I673" s="40"/>
      <c r="J673" s="40"/>
      <c r="K673" s="40"/>
      <c r="L673" s="40"/>
      <c r="M673" s="40"/>
    </row>
    <row r="674" ht="21.0" customHeight="1">
      <c r="A674" s="221" t="s">
        <v>443</v>
      </c>
      <c r="B674" s="216"/>
      <c r="C674" s="218"/>
      <c r="D674" s="39"/>
      <c r="E674" s="218"/>
      <c r="F674" s="219"/>
      <c r="G674" s="40"/>
      <c r="H674" s="39"/>
      <c r="I674" s="40"/>
      <c r="J674" s="40"/>
      <c r="K674" s="40"/>
      <c r="L674" s="40"/>
      <c r="M674" s="40"/>
    </row>
    <row r="675" ht="21.0" customHeight="1">
      <c r="A675" s="221" t="s">
        <v>444</v>
      </c>
      <c r="B675" s="216"/>
      <c r="C675" s="218"/>
      <c r="D675" s="39"/>
      <c r="E675" s="218"/>
      <c r="F675" s="219"/>
      <c r="G675" s="40"/>
      <c r="H675" s="39"/>
      <c r="I675" s="40"/>
      <c r="J675" s="40"/>
      <c r="K675" s="40"/>
      <c r="L675" s="40"/>
      <c r="M675" s="40"/>
    </row>
    <row r="676" ht="21.0" customHeight="1">
      <c r="A676" s="221" t="s">
        <v>445</v>
      </c>
      <c r="B676" s="216"/>
      <c r="C676" s="218"/>
      <c r="D676" s="39"/>
      <c r="E676" s="218"/>
      <c r="F676" s="219"/>
      <c r="G676" s="40"/>
      <c r="H676" s="39"/>
      <c r="I676" s="40"/>
      <c r="J676" s="40"/>
      <c r="K676" s="40"/>
      <c r="L676" s="40"/>
      <c r="M676" s="40"/>
    </row>
    <row r="677" ht="21.0" customHeight="1">
      <c r="A677" s="221" t="s">
        <v>446</v>
      </c>
      <c r="B677" s="216"/>
      <c r="C677" s="218"/>
      <c r="D677" s="39"/>
      <c r="E677" s="218"/>
      <c r="F677" s="219"/>
      <c r="G677" s="40"/>
      <c r="H677" s="39"/>
      <c r="I677" s="40"/>
      <c r="J677" s="40"/>
      <c r="K677" s="40"/>
      <c r="L677" s="40"/>
      <c r="M677" s="40"/>
    </row>
    <row r="678" ht="21.0" customHeight="1">
      <c r="A678" s="221" t="s">
        <v>447</v>
      </c>
      <c r="B678" s="216"/>
      <c r="C678" s="218"/>
      <c r="D678" s="39"/>
      <c r="E678" s="218"/>
      <c r="F678" s="219"/>
      <c r="G678" s="40"/>
      <c r="H678" s="39"/>
      <c r="I678" s="40"/>
      <c r="J678" s="40"/>
      <c r="K678" s="40"/>
      <c r="L678" s="40"/>
      <c r="M678" s="40"/>
    </row>
    <row r="679" ht="21.0" customHeight="1">
      <c r="A679" s="221" t="s">
        <v>448</v>
      </c>
      <c r="B679" s="216"/>
      <c r="C679" s="218"/>
      <c r="D679" s="39"/>
      <c r="E679" s="218"/>
      <c r="F679" s="219"/>
      <c r="G679" s="40"/>
      <c r="H679" s="39"/>
      <c r="I679" s="40"/>
      <c r="J679" s="40"/>
      <c r="K679" s="40"/>
      <c r="L679" s="40"/>
      <c r="M679" s="40"/>
    </row>
    <row r="680" ht="21.0" customHeight="1">
      <c r="A680" s="221" t="s">
        <v>449</v>
      </c>
      <c r="B680" s="216"/>
      <c r="C680" s="218"/>
      <c r="D680" s="39"/>
      <c r="E680" s="218"/>
      <c r="F680" s="219"/>
      <c r="G680" s="40"/>
      <c r="H680" s="39"/>
      <c r="I680" s="40"/>
      <c r="J680" s="40"/>
      <c r="K680" s="40"/>
      <c r="L680" s="40"/>
      <c r="M680" s="40"/>
    </row>
    <row r="681" ht="21.0" customHeight="1">
      <c r="A681" s="221" t="s">
        <v>450</v>
      </c>
      <c r="B681" s="216"/>
      <c r="C681" s="218"/>
      <c r="D681" s="39"/>
      <c r="E681" s="218"/>
      <c r="F681" s="219"/>
      <c r="G681" s="40"/>
      <c r="H681" s="39"/>
      <c r="I681" s="40"/>
      <c r="J681" s="40"/>
      <c r="K681" s="40"/>
      <c r="L681" s="40"/>
      <c r="M681" s="40"/>
    </row>
    <row r="682" ht="21.0" customHeight="1">
      <c r="A682" s="221" t="s">
        <v>451</v>
      </c>
      <c r="B682" s="216"/>
      <c r="C682" s="218"/>
      <c r="D682" s="39"/>
      <c r="E682" s="218"/>
      <c r="F682" s="219"/>
      <c r="G682" s="40"/>
      <c r="H682" s="39"/>
      <c r="I682" s="40"/>
      <c r="J682" s="40"/>
      <c r="K682" s="40"/>
      <c r="L682" s="40"/>
      <c r="M682" s="40"/>
    </row>
    <row r="683" ht="21.0" customHeight="1">
      <c r="A683" s="221" t="s">
        <v>452</v>
      </c>
      <c r="B683" s="216"/>
      <c r="C683" s="218"/>
      <c r="D683" s="39"/>
      <c r="E683" s="218"/>
      <c r="F683" s="219"/>
      <c r="G683" s="40"/>
      <c r="H683" s="39"/>
      <c r="I683" s="40"/>
      <c r="J683" s="40"/>
      <c r="K683" s="40"/>
      <c r="L683" s="40"/>
      <c r="M683" s="40"/>
    </row>
    <row r="684" ht="21.0" customHeight="1">
      <c r="A684" s="221" t="s">
        <v>453</v>
      </c>
      <c r="B684" s="216"/>
      <c r="C684" s="218"/>
      <c r="D684" s="39"/>
      <c r="E684" s="218"/>
      <c r="F684" s="219"/>
      <c r="G684" s="40"/>
      <c r="H684" s="39"/>
      <c r="I684" s="40"/>
      <c r="J684" s="40"/>
      <c r="K684" s="40"/>
      <c r="L684" s="40"/>
      <c r="M684" s="40"/>
    </row>
    <row r="685" ht="21.0" customHeight="1">
      <c r="A685" s="221" t="s">
        <v>454</v>
      </c>
      <c r="B685" s="216"/>
      <c r="C685" s="218"/>
      <c r="D685" s="39"/>
      <c r="E685" s="218"/>
      <c r="F685" s="219"/>
      <c r="G685" s="58">
        <v>1.0</v>
      </c>
      <c r="H685" s="38">
        <v>500.0</v>
      </c>
      <c r="I685" s="40"/>
      <c r="J685" s="40"/>
      <c r="K685" s="40"/>
      <c r="L685" s="40"/>
      <c r="M685" s="40"/>
    </row>
    <row r="686" ht="21.0" customHeight="1">
      <c r="A686" s="221" t="s">
        <v>455</v>
      </c>
      <c r="B686" s="216"/>
      <c r="C686" s="218"/>
      <c r="D686" s="39"/>
      <c r="E686" s="218"/>
      <c r="F686" s="219"/>
      <c r="G686" s="40"/>
      <c r="H686" s="39"/>
      <c r="I686" s="40"/>
      <c r="J686" s="40"/>
      <c r="K686" s="40"/>
      <c r="L686" s="40"/>
      <c r="M686" s="40"/>
    </row>
    <row r="687" ht="21.0" customHeight="1">
      <c r="A687" s="221" t="s">
        <v>456</v>
      </c>
      <c r="B687" s="216"/>
      <c r="C687" s="218"/>
      <c r="D687" s="39"/>
      <c r="E687" s="218"/>
      <c r="F687" s="219"/>
      <c r="G687" s="40"/>
      <c r="H687" s="39"/>
      <c r="I687" s="40"/>
      <c r="J687" s="40"/>
      <c r="K687" s="40"/>
      <c r="L687" s="40"/>
      <c r="M687" s="40"/>
    </row>
    <row r="688" ht="21.0" customHeight="1">
      <c r="A688" s="221" t="s">
        <v>457</v>
      </c>
      <c r="B688" s="216"/>
      <c r="C688" s="218"/>
      <c r="D688" s="39"/>
      <c r="E688" s="218"/>
      <c r="F688" s="219"/>
      <c r="G688" s="40"/>
      <c r="H688" s="39"/>
      <c r="I688" s="40"/>
      <c r="J688" s="40"/>
      <c r="K688" s="40"/>
      <c r="L688" s="40"/>
      <c r="M688" s="40"/>
    </row>
    <row r="689" ht="21.0" customHeight="1">
      <c r="A689" s="221" t="s">
        <v>458</v>
      </c>
      <c r="B689" s="216"/>
      <c r="C689" s="218"/>
      <c r="D689" s="39"/>
      <c r="E689" s="218"/>
      <c r="F689" s="219"/>
      <c r="G689" s="40"/>
      <c r="H689" s="39"/>
      <c r="I689" s="40"/>
      <c r="J689" s="40"/>
      <c r="K689" s="40"/>
      <c r="L689" s="40"/>
      <c r="M689" s="40"/>
    </row>
    <row r="690" ht="21.0" customHeight="1">
      <c r="A690" s="221" t="s">
        <v>459</v>
      </c>
      <c r="B690" s="216"/>
      <c r="C690" s="218"/>
      <c r="D690" s="39"/>
      <c r="E690" s="218"/>
      <c r="F690" s="219"/>
      <c r="G690" s="40"/>
      <c r="H690" s="39"/>
      <c r="I690" s="40"/>
      <c r="J690" s="40"/>
      <c r="K690" s="40"/>
      <c r="L690" s="40"/>
      <c r="M690" s="40"/>
    </row>
    <row r="691" ht="21.0" customHeight="1">
      <c r="A691" s="221" t="s">
        <v>460</v>
      </c>
      <c r="B691" s="216"/>
      <c r="C691" s="218"/>
      <c r="D691" s="39"/>
      <c r="E691" s="218"/>
      <c r="F691" s="219"/>
      <c r="G691" s="40"/>
      <c r="H691" s="39"/>
      <c r="I691" s="40"/>
      <c r="J691" s="40"/>
      <c r="K691" s="40"/>
      <c r="L691" s="40"/>
      <c r="M691" s="40"/>
    </row>
    <row r="692" ht="21.0" customHeight="1">
      <c r="A692" s="221" t="s">
        <v>461</v>
      </c>
      <c r="B692" s="216"/>
      <c r="C692" s="218"/>
      <c r="D692" s="39"/>
      <c r="E692" s="218"/>
      <c r="F692" s="219"/>
      <c r="G692" s="40"/>
      <c r="H692" s="39"/>
      <c r="I692" s="40"/>
      <c r="J692" s="40"/>
      <c r="K692" s="40"/>
      <c r="L692" s="40"/>
      <c r="M692" s="40"/>
    </row>
    <row r="693" ht="21.0" customHeight="1">
      <c r="A693" s="221" t="s">
        <v>462</v>
      </c>
      <c r="B693" s="216"/>
      <c r="C693" s="218"/>
      <c r="D693" s="39"/>
      <c r="E693" s="218"/>
      <c r="F693" s="219"/>
      <c r="G693" s="40"/>
      <c r="H693" s="39"/>
      <c r="I693" s="40"/>
      <c r="J693" s="40"/>
      <c r="K693" s="40"/>
      <c r="L693" s="40"/>
      <c r="M693" s="40"/>
    </row>
    <row r="694" ht="21.0" customHeight="1">
      <c r="A694" s="221" t="s">
        <v>463</v>
      </c>
      <c r="B694" s="216"/>
      <c r="C694" s="218"/>
      <c r="D694" s="39"/>
      <c r="E694" s="218"/>
      <c r="F694" s="219"/>
      <c r="G694" s="40"/>
      <c r="H694" s="39"/>
      <c r="I694" s="40"/>
      <c r="J694" s="40"/>
      <c r="K694" s="40"/>
      <c r="L694" s="40"/>
      <c r="M694" s="40"/>
    </row>
    <row r="695" ht="21.0" customHeight="1">
      <c r="A695" s="221" t="s">
        <v>328</v>
      </c>
      <c r="B695" s="216"/>
      <c r="C695" s="218"/>
      <c r="D695" s="39"/>
      <c r="E695" s="218"/>
      <c r="F695" s="219"/>
      <c r="G695" s="40"/>
      <c r="H695" s="39"/>
      <c r="I695" s="40"/>
      <c r="J695" s="40"/>
      <c r="K695" s="40"/>
      <c r="L695" s="40"/>
      <c r="M695" s="40"/>
    </row>
    <row r="696" ht="21.0" customHeight="1">
      <c r="A696" s="221" t="s">
        <v>327</v>
      </c>
      <c r="B696" s="216"/>
      <c r="C696" s="218"/>
      <c r="D696" s="39"/>
      <c r="E696" s="218"/>
      <c r="F696" s="219"/>
      <c r="G696" s="40"/>
      <c r="H696" s="39"/>
      <c r="I696" s="40"/>
      <c r="J696" s="40"/>
      <c r="K696" s="40"/>
      <c r="L696" s="40"/>
      <c r="M696" s="40"/>
    </row>
    <row r="697" ht="21.0" customHeight="1">
      <c r="A697" s="221" t="s">
        <v>464</v>
      </c>
      <c r="B697" s="216"/>
      <c r="C697" s="218"/>
      <c r="D697" s="39"/>
      <c r="E697" s="218"/>
      <c r="F697" s="219"/>
      <c r="G697" s="40"/>
      <c r="H697" s="39"/>
      <c r="I697" s="40"/>
      <c r="J697" s="40"/>
      <c r="K697" s="40"/>
      <c r="L697" s="40"/>
      <c r="M697" s="40"/>
    </row>
    <row r="698" ht="21.0" customHeight="1">
      <c r="A698" s="221" t="s">
        <v>465</v>
      </c>
      <c r="B698" s="216"/>
      <c r="C698" s="218"/>
      <c r="D698" s="39"/>
      <c r="E698" s="218"/>
      <c r="F698" s="219"/>
      <c r="G698" s="40"/>
      <c r="H698" s="39"/>
      <c r="I698" s="40"/>
      <c r="J698" s="40"/>
      <c r="K698" s="40"/>
      <c r="L698" s="40"/>
      <c r="M698" s="40"/>
    </row>
    <row r="699" ht="21.0" customHeight="1">
      <c r="A699" s="221" t="s">
        <v>466</v>
      </c>
      <c r="B699" s="216"/>
      <c r="C699" s="218"/>
      <c r="D699" s="39"/>
      <c r="E699" s="218"/>
      <c r="F699" s="219"/>
      <c r="G699" s="40"/>
      <c r="H699" s="39"/>
      <c r="I699" s="40"/>
      <c r="J699" s="40"/>
      <c r="K699" s="40"/>
      <c r="L699" s="40"/>
      <c r="M699" s="40"/>
    </row>
    <row r="700" ht="21.0" customHeight="1">
      <c r="A700" s="240" t="s">
        <v>467</v>
      </c>
      <c r="B700" s="216"/>
      <c r="C700" s="218"/>
      <c r="D700" s="39"/>
      <c r="E700" s="218"/>
      <c r="F700" s="219"/>
      <c r="G700" s="58">
        <v>1.0</v>
      </c>
      <c r="H700" s="38">
        <v>1000.0</v>
      </c>
      <c r="I700" s="40"/>
      <c r="J700" s="40"/>
      <c r="K700" s="40"/>
      <c r="L700" s="40"/>
      <c r="M700" s="40"/>
    </row>
    <row r="701" ht="21.0" customHeight="1">
      <c r="A701" s="221" t="s">
        <v>468</v>
      </c>
      <c r="B701" s="216"/>
      <c r="C701" s="218"/>
      <c r="D701" s="39"/>
      <c r="E701" s="218"/>
      <c r="F701" s="219"/>
      <c r="G701" s="40"/>
      <c r="H701" s="39"/>
      <c r="I701" s="40"/>
      <c r="J701" s="40"/>
      <c r="K701" s="40"/>
      <c r="L701" s="40"/>
      <c r="M701" s="40"/>
    </row>
    <row r="702" ht="21.0" customHeight="1">
      <c r="A702" s="221" t="s">
        <v>469</v>
      </c>
      <c r="B702" s="216"/>
      <c r="C702" s="218"/>
      <c r="D702" s="39"/>
      <c r="E702" s="218"/>
      <c r="F702" s="219"/>
      <c r="G702" s="40"/>
      <c r="H702" s="39"/>
      <c r="I702" s="40"/>
      <c r="J702" s="40"/>
      <c r="K702" s="40"/>
      <c r="L702" s="40"/>
      <c r="M702" s="40"/>
    </row>
    <row r="703" ht="21.0" customHeight="1">
      <c r="A703" s="221" t="s">
        <v>470</v>
      </c>
      <c r="B703" s="216"/>
      <c r="C703" s="218"/>
      <c r="D703" s="39"/>
      <c r="E703" s="218"/>
      <c r="F703" s="219"/>
      <c r="G703" s="40"/>
      <c r="H703" s="39"/>
      <c r="I703" s="40"/>
      <c r="J703" s="40"/>
      <c r="K703" s="40"/>
      <c r="L703" s="40"/>
      <c r="M703" s="40"/>
    </row>
    <row r="704" ht="21.0" customHeight="1">
      <c r="A704" s="221" t="s">
        <v>471</v>
      </c>
      <c r="B704" s="216"/>
      <c r="C704" s="218"/>
      <c r="D704" s="39"/>
      <c r="E704" s="218"/>
      <c r="F704" s="219"/>
      <c r="G704" s="40"/>
      <c r="H704" s="39"/>
      <c r="I704" s="40"/>
      <c r="J704" s="40"/>
      <c r="K704" s="40"/>
      <c r="L704" s="40"/>
      <c r="M704" s="40"/>
    </row>
    <row r="705" ht="21.0" customHeight="1">
      <c r="A705" s="221" t="s">
        <v>472</v>
      </c>
      <c r="B705" s="216"/>
      <c r="C705" s="218"/>
      <c r="D705" s="39"/>
      <c r="E705" s="218"/>
      <c r="F705" s="219"/>
      <c r="G705" s="40"/>
      <c r="H705" s="39"/>
      <c r="I705" s="40"/>
      <c r="J705" s="40"/>
      <c r="K705" s="40"/>
      <c r="L705" s="40"/>
      <c r="M705" s="40"/>
    </row>
    <row r="706" ht="21.0" customHeight="1">
      <c r="A706" s="221" t="s">
        <v>473</v>
      </c>
      <c r="B706" s="216"/>
      <c r="C706" s="218"/>
      <c r="D706" s="39"/>
      <c r="E706" s="218"/>
      <c r="F706" s="219"/>
      <c r="G706" s="40"/>
      <c r="H706" s="39"/>
      <c r="I706" s="40"/>
      <c r="J706" s="40"/>
      <c r="K706" s="40"/>
      <c r="L706" s="40"/>
      <c r="M706" s="40"/>
    </row>
    <row r="707" ht="21.0" customHeight="1">
      <c r="A707" s="221" t="s">
        <v>474</v>
      </c>
      <c r="B707" s="216"/>
      <c r="C707" s="218"/>
      <c r="D707" s="39"/>
      <c r="E707" s="218"/>
      <c r="F707" s="219"/>
      <c r="G707" s="40"/>
      <c r="H707" s="39"/>
      <c r="I707" s="40"/>
      <c r="J707" s="40"/>
      <c r="K707" s="40"/>
      <c r="L707" s="40"/>
      <c r="M707" s="40"/>
    </row>
    <row r="708" ht="21.0" customHeight="1">
      <c r="A708" s="221" t="s">
        <v>475</v>
      </c>
      <c r="B708" s="216"/>
      <c r="C708" s="218"/>
      <c r="D708" s="39"/>
      <c r="E708" s="218"/>
      <c r="F708" s="219"/>
      <c r="G708" s="40"/>
      <c r="H708" s="39"/>
      <c r="I708" s="40"/>
      <c r="J708" s="40"/>
      <c r="K708" s="40"/>
      <c r="L708" s="40"/>
      <c r="M708" s="40"/>
    </row>
    <row r="709" ht="21.0" customHeight="1">
      <c r="A709" s="221" t="s">
        <v>476</v>
      </c>
      <c r="B709" s="216"/>
      <c r="C709" s="218"/>
      <c r="D709" s="39"/>
      <c r="E709" s="218"/>
      <c r="F709" s="219"/>
      <c r="G709" s="40"/>
      <c r="H709" s="39"/>
      <c r="I709" s="40"/>
      <c r="J709" s="40"/>
      <c r="K709" s="40"/>
      <c r="L709" s="40"/>
      <c r="M709" s="40"/>
    </row>
    <row r="710" ht="21.0" customHeight="1">
      <c r="A710" s="221" t="s">
        <v>477</v>
      </c>
      <c r="B710" s="216"/>
      <c r="C710" s="218"/>
      <c r="D710" s="39"/>
      <c r="E710" s="218"/>
      <c r="F710" s="219"/>
      <c r="G710" s="40"/>
      <c r="H710" s="39"/>
      <c r="I710" s="40"/>
      <c r="J710" s="40"/>
      <c r="K710" s="40"/>
      <c r="L710" s="40"/>
      <c r="M710" s="40"/>
    </row>
    <row r="711" ht="21.0" customHeight="1">
      <c r="A711" s="221" t="s">
        <v>478</v>
      </c>
      <c r="B711" s="216"/>
      <c r="C711" s="218"/>
      <c r="D711" s="39"/>
      <c r="E711" s="218"/>
      <c r="F711" s="219"/>
      <c r="G711" s="40"/>
      <c r="H711" s="39"/>
      <c r="I711" s="40"/>
      <c r="J711" s="40"/>
      <c r="K711" s="40"/>
      <c r="L711" s="40"/>
      <c r="M711" s="40"/>
    </row>
    <row r="712" ht="21.0" customHeight="1">
      <c r="A712" s="241" t="s">
        <v>479</v>
      </c>
      <c r="B712" s="216"/>
      <c r="C712" s="218"/>
      <c r="D712" s="39"/>
      <c r="E712" s="218"/>
      <c r="F712" s="219"/>
      <c r="G712" s="58">
        <v>2.0</v>
      </c>
      <c r="H712" s="38">
        <v>200.0</v>
      </c>
      <c r="I712" s="40"/>
      <c r="J712" s="40"/>
      <c r="K712" s="40"/>
      <c r="L712" s="40"/>
      <c r="M712" s="40"/>
    </row>
    <row r="713" ht="21.0" customHeight="1">
      <c r="A713" s="217" t="s">
        <v>417</v>
      </c>
      <c r="B713" s="216"/>
      <c r="C713" s="218"/>
      <c r="D713" s="39"/>
      <c r="E713" s="218"/>
      <c r="F713" s="219"/>
      <c r="G713" s="40"/>
      <c r="H713" s="39"/>
      <c r="I713" s="40"/>
      <c r="J713" s="40"/>
      <c r="K713" s="40"/>
      <c r="L713" s="40"/>
      <c r="M713" s="40"/>
    </row>
    <row r="714" ht="21.0" customHeight="1">
      <c r="A714" s="221" t="s">
        <v>480</v>
      </c>
      <c r="B714" s="216"/>
      <c r="C714" s="218"/>
      <c r="D714" s="39"/>
      <c r="E714" s="218"/>
      <c r="F714" s="219"/>
      <c r="G714" s="40"/>
      <c r="H714" s="39"/>
      <c r="I714" s="40"/>
      <c r="J714" s="40"/>
      <c r="K714" s="40"/>
      <c r="L714" s="40"/>
      <c r="M714" s="40"/>
    </row>
    <row r="715" ht="21.0" customHeight="1">
      <c r="A715" s="221"/>
      <c r="B715" s="216"/>
      <c r="C715" s="218"/>
      <c r="D715" s="39"/>
      <c r="E715" s="218"/>
      <c r="F715" s="219"/>
      <c r="G715" s="40"/>
      <c r="H715" s="39"/>
      <c r="I715" s="40"/>
      <c r="J715" s="40"/>
      <c r="K715" s="40"/>
      <c r="L715" s="40"/>
      <c r="M715" s="40"/>
    </row>
    <row r="716" ht="21.0" customHeight="1">
      <c r="A716" s="233"/>
      <c r="B716" s="216"/>
      <c r="C716" s="218"/>
      <c r="D716" s="39"/>
      <c r="E716" s="218"/>
      <c r="F716" s="219"/>
      <c r="G716" s="40"/>
      <c r="H716" s="39"/>
      <c r="I716" s="40"/>
      <c r="J716" s="40"/>
      <c r="K716" s="40"/>
      <c r="L716" s="40"/>
      <c r="M716" s="40"/>
    </row>
    <row r="717" ht="21.0" customHeight="1">
      <c r="A717" s="217" t="s">
        <v>481</v>
      </c>
      <c r="B717" s="216"/>
      <c r="C717" s="218"/>
      <c r="D717" s="39"/>
      <c r="E717" s="218"/>
      <c r="F717" s="219"/>
      <c r="G717" s="40"/>
      <c r="H717" s="39"/>
      <c r="I717" s="40"/>
      <c r="J717" s="40"/>
      <c r="K717" s="40"/>
      <c r="L717" s="40"/>
      <c r="M717" s="40"/>
    </row>
    <row r="718" ht="21.0" customHeight="1">
      <c r="A718" s="217" t="s">
        <v>417</v>
      </c>
      <c r="B718" s="216"/>
      <c r="C718" s="218"/>
      <c r="D718" s="39"/>
      <c r="E718" s="219"/>
      <c r="F718" s="219"/>
      <c r="G718" s="40"/>
      <c r="H718" s="39"/>
      <c r="I718" s="40"/>
      <c r="J718" s="40"/>
      <c r="K718" s="40"/>
      <c r="L718" s="40"/>
      <c r="M718" s="40"/>
    </row>
    <row r="719" ht="21.0" customHeight="1">
      <c r="A719" s="221" t="s">
        <v>482</v>
      </c>
      <c r="B719" s="216"/>
      <c r="C719" s="218"/>
      <c r="D719" s="39"/>
      <c r="E719" s="219"/>
      <c r="F719" s="219"/>
      <c r="G719" s="40"/>
      <c r="H719" s="39"/>
      <c r="I719" s="40"/>
      <c r="J719" s="40"/>
      <c r="K719" s="40"/>
      <c r="L719" s="40"/>
      <c r="M719" s="40"/>
    </row>
    <row r="720" ht="21.0" customHeight="1">
      <c r="A720" s="221" t="s">
        <v>483</v>
      </c>
      <c r="B720" s="216"/>
      <c r="C720" s="218"/>
      <c r="D720" s="39"/>
      <c r="E720" s="219"/>
      <c r="F720" s="219"/>
      <c r="G720" s="40"/>
      <c r="H720" s="39"/>
      <c r="I720" s="40"/>
      <c r="J720" s="40"/>
      <c r="K720" s="40"/>
      <c r="L720" s="40"/>
      <c r="M720" s="40"/>
    </row>
    <row r="721" ht="21.0" customHeight="1">
      <c r="A721" s="228" t="s">
        <v>484</v>
      </c>
      <c r="B721" s="216"/>
      <c r="C721" s="218"/>
      <c r="D721" s="39"/>
      <c r="E721" s="219"/>
      <c r="F721" s="219"/>
      <c r="G721" s="40"/>
      <c r="H721" s="39"/>
      <c r="I721" s="40"/>
      <c r="J721" s="40"/>
      <c r="K721" s="40"/>
      <c r="L721" s="40"/>
      <c r="M721" s="40"/>
    </row>
    <row r="722" ht="21.0" customHeight="1">
      <c r="A722" s="221" t="s">
        <v>301</v>
      </c>
      <c r="B722" s="216"/>
      <c r="C722" s="218"/>
      <c r="D722" s="39"/>
      <c r="E722" s="219"/>
      <c r="F722" s="219"/>
      <c r="G722" s="40"/>
      <c r="H722" s="39"/>
      <c r="I722" s="40"/>
      <c r="J722" s="40"/>
      <c r="K722" s="40"/>
      <c r="L722" s="40"/>
      <c r="M722" s="40"/>
    </row>
    <row r="723" ht="21.0" customHeight="1">
      <c r="A723" s="221" t="s">
        <v>485</v>
      </c>
      <c r="B723" s="216"/>
      <c r="C723" s="218"/>
      <c r="D723" s="39"/>
      <c r="E723" s="219"/>
      <c r="F723" s="219"/>
      <c r="G723" s="40"/>
      <c r="H723" s="39"/>
      <c r="I723" s="40"/>
      <c r="J723" s="40"/>
      <c r="K723" s="40"/>
      <c r="L723" s="40"/>
      <c r="M723" s="40"/>
    </row>
    <row r="724" ht="21.0" customHeight="1">
      <c r="A724" s="221" t="s">
        <v>486</v>
      </c>
      <c r="B724" s="216"/>
      <c r="C724" s="218"/>
      <c r="D724" s="39"/>
      <c r="E724" s="219"/>
      <c r="F724" s="219"/>
      <c r="G724" s="40"/>
      <c r="H724" s="39"/>
      <c r="I724" s="40"/>
      <c r="J724" s="40"/>
      <c r="K724" s="40"/>
      <c r="L724" s="40"/>
      <c r="M724" s="40"/>
    </row>
    <row r="725" ht="28.5" customHeight="1">
      <c r="A725" s="241" t="s">
        <v>487</v>
      </c>
      <c r="B725" s="216"/>
      <c r="C725" s="218"/>
      <c r="D725" s="39"/>
      <c r="E725" s="219"/>
      <c r="F725" s="219"/>
      <c r="G725" s="40"/>
      <c r="H725" s="39"/>
      <c r="I725" s="40"/>
      <c r="J725" s="40"/>
      <c r="K725" s="40"/>
      <c r="L725" s="40"/>
      <c r="M725" s="40"/>
    </row>
    <row r="726" ht="21.0" customHeight="1">
      <c r="A726" s="221" t="s">
        <v>488</v>
      </c>
      <c r="B726" s="216"/>
      <c r="C726" s="218"/>
      <c r="D726" s="39"/>
      <c r="E726" s="219"/>
      <c r="F726" s="219"/>
      <c r="G726" s="40"/>
      <c r="H726" s="39"/>
      <c r="I726" s="40"/>
      <c r="J726" s="40"/>
      <c r="K726" s="40"/>
      <c r="L726" s="40"/>
      <c r="M726" s="40"/>
    </row>
    <row r="727" ht="21.0" customHeight="1">
      <c r="A727" s="221" t="s">
        <v>489</v>
      </c>
      <c r="B727" s="216"/>
      <c r="C727" s="218"/>
      <c r="D727" s="39"/>
      <c r="E727" s="219"/>
      <c r="F727" s="219"/>
      <c r="G727" s="40"/>
      <c r="H727" s="39"/>
      <c r="I727" s="40"/>
      <c r="J727" s="40"/>
      <c r="K727" s="40"/>
      <c r="L727" s="40"/>
      <c r="M727" s="40"/>
    </row>
    <row r="728" ht="21.0" customHeight="1">
      <c r="A728" s="221" t="s">
        <v>490</v>
      </c>
      <c r="B728" s="216"/>
      <c r="C728" s="218"/>
      <c r="D728" s="39"/>
      <c r="E728" s="219"/>
      <c r="F728" s="219"/>
      <c r="G728" s="40"/>
      <c r="H728" s="39"/>
      <c r="I728" s="40"/>
      <c r="J728" s="40"/>
      <c r="K728" s="40"/>
      <c r="L728" s="40"/>
      <c r="M728" s="40"/>
    </row>
    <row r="729" ht="21.0" customHeight="1">
      <c r="A729" s="221" t="s">
        <v>491</v>
      </c>
      <c r="B729" s="216"/>
      <c r="C729" s="218"/>
      <c r="D729" s="39"/>
      <c r="E729" s="219"/>
      <c r="F729" s="219"/>
      <c r="G729" s="40"/>
      <c r="H729" s="39"/>
      <c r="I729" s="40"/>
      <c r="J729" s="40"/>
      <c r="K729" s="40"/>
      <c r="L729" s="40"/>
      <c r="M729" s="40"/>
    </row>
    <row r="730" ht="21.0" customHeight="1">
      <c r="A730" s="221" t="s">
        <v>492</v>
      </c>
      <c r="B730" s="216"/>
      <c r="C730" s="218"/>
      <c r="D730" s="39"/>
      <c r="E730" s="219"/>
      <c r="F730" s="219"/>
      <c r="G730" s="40"/>
      <c r="H730" s="39"/>
      <c r="I730" s="40"/>
      <c r="J730" s="40"/>
      <c r="K730" s="40"/>
      <c r="L730" s="40"/>
      <c r="M730" s="40"/>
    </row>
    <row r="731" ht="21.0" customHeight="1">
      <c r="A731" s="221" t="s">
        <v>493</v>
      </c>
      <c r="B731" s="216"/>
      <c r="C731" s="218"/>
      <c r="D731" s="39"/>
      <c r="E731" s="219"/>
      <c r="F731" s="219"/>
      <c r="G731" s="40"/>
      <c r="H731" s="39"/>
      <c r="I731" s="40"/>
      <c r="J731" s="40"/>
      <c r="K731" s="40"/>
      <c r="L731" s="40"/>
      <c r="M731" s="40"/>
    </row>
    <row r="732" ht="21.0" customHeight="1">
      <c r="A732" s="221" t="s">
        <v>494</v>
      </c>
      <c r="B732" s="216"/>
      <c r="C732" s="218"/>
      <c r="D732" s="39"/>
      <c r="E732" s="219"/>
      <c r="F732" s="219"/>
      <c r="G732" s="40"/>
      <c r="H732" s="39"/>
      <c r="I732" s="40"/>
      <c r="J732" s="40"/>
      <c r="K732" s="40"/>
      <c r="L732" s="40"/>
      <c r="M732" s="40"/>
    </row>
    <row r="733" ht="42.75" customHeight="1">
      <c r="A733" s="217" t="s">
        <v>495</v>
      </c>
      <c r="B733" s="216"/>
      <c r="C733" s="218"/>
      <c r="D733" s="39"/>
      <c r="E733" s="219"/>
      <c r="F733" s="219"/>
      <c r="G733" s="40"/>
      <c r="H733" s="39"/>
      <c r="I733" s="40"/>
      <c r="J733" s="40"/>
      <c r="K733" s="40"/>
      <c r="L733" s="40"/>
      <c r="M733" s="40"/>
    </row>
    <row r="734" ht="21.0" customHeight="1">
      <c r="A734" s="217" t="s">
        <v>417</v>
      </c>
      <c r="B734" s="216"/>
      <c r="C734" s="218"/>
      <c r="D734" s="39"/>
      <c r="E734" s="219"/>
      <c r="F734" s="219"/>
      <c r="G734" s="40"/>
      <c r="H734" s="39"/>
      <c r="I734" s="40"/>
      <c r="J734" s="40"/>
      <c r="K734" s="40"/>
      <c r="L734" s="40"/>
      <c r="M734" s="40"/>
    </row>
    <row r="735" ht="21.0" customHeight="1">
      <c r="A735" s="221" t="s">
        <v>496</v>
      </c>
      <c r="B735" s="216"/>
      <c r="C735" s="218"/>
      <c r="D735" s="39"/>
      <c r="E735" s="219"/>
      <c r="F735" s="219"/>
      <c r="G735" s="40"/>
      <c r="H735" s="39"/>
      <c r="I735" s="40"/>
      <c r="J735" s="40"/>
      <c r="K735" s="40"/>
      <c r="L735" s="40"/>
      <c r="M735" s="40"/>
    </row>
    <row r="736" ht="21.0" customHeight="1">
      <c r="A736" s="221" t="s">
        <v>497</v>
      </c>
      <c r="B736" s="216"/>
      <c r="C736" s="218"/>
      <c r="D736" s="39"/>
      <c r="E736" s="219"/>
      <c r="F736" s="219"/>
      <c r="G736" s="40"/>
      <c r="H736" s="39"/>
      <c r="I736" s="40"/>
      <c r="J736" s="40"/>
      <c r="K736" s="40"/>
      <c r="L736" s="40"/>
      <c r="M736" s="40"/>
    </row>
    <row r="737" ht="21.0" customHeight="1">
      <c r="A737" s="221" t="s">
        <v>498</v>
      </c>
      <c r="B737" s="216"/>
      <c r="C737" s="218"/>
      <c r="D737" s="39"/>
      <c r="E737" s="219"/>
      <c r="F737" s="219"/>
      <c r="G737" s="40"/>
      <c r="H737" s="39"/>
      <c r="I737" s="40"/>
      <c r="J737" s="40"/>
      <c r="K737" s="40"/>
      <c r="L737" s="40"/>
      <c r="M737" s="40"/>
    </row>
    <row r="738" ht="21.0" customHeight="1">
      <c r="A738" s="221" t="s">
        <v>499</v>
      </c>
      <c r="B738" s="216"/>
      <c r="C738" s="218"/>
      <c r="D738" s="39"/>
      <c r="E738" s="219"/>
      <c r="F738" s="219"/>
      <c r="G738" s="40"/>
      <c r="H738" s="39"/>
      <c r="I738" s="40"/>
      <c r="J738" s="40"/>
      <c r="K738" s="40"/>
      <c r="L738" s="40"/>
      <c r="M738" s="40"/>
    </row>
    <row r="739" ht="21.0" customHeight="1">
      <c r="A739" s="221" t="s">
        <v>500</v>
      </c>
      <c r="B739" s="216"/>
      <c r="C739" s="218"/>
      <c r="D739" s="39"/>
      <c r="E739" s="219"/>
      <c r="F739" s="219"/>
      <c r="G739" s="40"/>
      <c r="H739" s="39"/>
      <c r="I739" s="40"/>
      <c r="J739" s="40"/>
      <c r="K739" s="40"/>
      <c r="L739" s="40"/>
      <c r="M739" s="40"/>
    </row>
    <row r="740" ht="21.0" customHeight="1">
      <c r="A740" s="221" t="s">
        <v>501</v>
      </c>
      <c r="B740" s="216"/>
      <c r="C740" s="218"/>
      <c r="D740" s="39"/>
      <c r="E740" s="219"/>
      <c r="F740" s="219"/>
      <c r="G740" s="40"/>
      <c r="H740" s="39"/>
      <c r="I740" s="40"/>
      <c r="J740" s="40"/>
      <c r="K740" s="40"/>
      <c r="L740" s="40"/>
      <c r="M740" s="40"/>
    </row>
    <row r="741" ht="21.0" customHeight="1">
      <c r="A741" s="221" t="s">
        <v>502</v>
      </c>
      <c r="B741" s="216"/>
      <c r="C741" s="218"/>
      <c r="D741" s="39"/>
      <c r="E741" s="219"/>
      <c r="F741" s="219"/>
      <c r="G741" s="40"/>
      <c r="H741" s="39"/>
      <c r="I741" s="40"/>
      <c r="J741" s="40"/>
      <c r="K741" s="40"/>
      <c r="L741" s="40"/>
      <c r="M741" s="40"/>
    </row>
    <row r="742" ht="21.0" customHeight="1">
      <c r="A742" s="221" t="s">
        <v>503</v>
      </c>
      <c r="B742" s="216"/>
      <c r="C742" s="218"/>
      <c r="D742" s="39"/>
      <c r="E742" s="219"/>
      <c r="F742" s="219"/>
      <c r="G742" s="40"/>
      <c r="H742" s="39"/>
      <c r="I742" s="40"/>
      <c r="J742" s="40"/>
      <c r="K742" s="40"/>
      <c r="L742" s="40"/>
      <c r="M742" s="40"/>
    </row>
    <row r="743" ht="21.0" customHeight="1">
      <c r="A743" s="221" t="s">
        <v>504</v>
      </c>
      <c r="B743" s="216"/>
      <c r="C743" s="218"/>
      <c r="D743" s="39"/>
      <c r="E743" s="219"/>
      <c r="F743" s="219"/>
      <c r="G743" s="40"/>
      <c r="H743" s="39"/>
      <c r="I743" s="40"/>
      <c r="J743" s="40"/>
      <c r="K743" s="40"/>
      <c r="L743" s="40"/>
      <c r="M743" s="40"/>
    </row>
    <row r="744" ht="21.0" customHeight="1">
      <c r="A744" s="221" t="s">
        <v>505</v>
      </c>
      <c r="B744" s="216"/>
      <c r="C744" s="218"/>
      <c r="D744" s="39"/>
      <c r="E744" s="219"/>
      <c r="F744" s="219"/>
      <c r="G744" s="40"/>
      <c r="H744" s="39"/>
      <c r="I744" s="40"/>
      <c r="J744" s="40"/>
      <c r="K744" s="40"/>
      <c r="L744" s="40"/>
      <c r="M744" s="40"/>
    </row>
    <row r="745" ht="21.0" customHeight="1">
      <c r="A745" s="221" t="s">
        <v>506</v>
      </c>
      <c r="B745" s="216"/>
      <c r="C745" s="218"/>
      <c r="D745" s="39"/>
      <c r="E745" s="219"/>
      <c r="F745" s="219"/>
      <c r="G745" s="40"/>
      <c r="H745" s="39"/>
      <c r="I745" s="40"/>
      <c r="J745" s="40"/>
      <c r="K745" s="40"/>
      <c r="L745" s="40"/>
      <c r="M745" s="40"/>
    </row>
    <row r="746" ht="21.0" customHeight="1">
      <c r="A746" s="221" t="s">
        <v>507</v>
      </c>
      <c r="B746" s="216"/>
      <c r="C746" s="218"/>
      <c r="D746" s="39"/>
      <c r="E746" s="219"/>
      <c r="F746" s="219"/>
      <c r="G746" s="40"/>
      <c r="H746" s="39"/>
      <c r="I746" s="40"/>
      <c r="J746" s="40"/>
      <c r="K746" s="40"/>
      <c r="L746" s="40"/>
      <c r="M746" s="40"/>
    </row>
    <row r="747" ht="21.0" customHeight="1">
      <c r="A747" s="221" t="s">
        <v>508</v>
      </c>
      <c r="B747" s="216"/>
      <c r="C747" s="218"/>
      <c r="D747" s="39"/>
      <c r="E747" s="219"/>
      <c r="F747" s="219"/>
      <c r="G747" s="40"/>
      <c r="H747" s="39"/>
      <c r="I747" s="40"/>
      <c r="J747" s="40"/>
      <c r="K747" s="40"/>
      <c r="L747" s="40"/>
      <c r="M747" s="40"/>
    </row>
    <row r="748" ht="21.0" customHeight="1">
      <c r="A748" s="221" t="s">
        <v>509</v>
      </c>
      <c r="B748" s="216"/>
      <c r="C748" s="218"/>
      <c r="D748" s="39"/>
      <c r="E748" s="219"/>
      <c r="F748" s="219"/>
      <c r="G748" s="40"/>
      <c r="H748" s="39"/>
      <c r="I748" s="40"/>
      <c r="J748" s="40"/>
      <c r="K748" s="40"/>
      <c r="L748" s="40"/>
      <c r="M748" s="40"/>
    </row>
    <row r="749" ht="21.0" customHeight="1">
      <c r="A749" s="221" t="s">
        <v>510</v>
      </c>
      <c r="B749" s="216"/>
      <c r="C749" s="218"/>
      <c r="D749" s="39"/>
      <c r="E749" s="219"/>
      <c r="F749" s="219"/>
      <c r="G749" s="40"/>
      <c r="H749" s="39"/>
      <c r="I749" s="40"/>
      <c r="J749" s="40"/>
      <c r="K749" s="40"/>
      <c r="L749" s="40"/>
      <c r="M749" s="40"/>
    </row>
    <row r="750" ht="21.0" customHeight="1">
      <c r="A750" s="221" t="s">
        <v>511</v>
      </c>
      <c r="B750" s="216"/>
      <c r="C750" s="218"/>
      <c r="D750" s="39"/>
      <c r="E750" s="219"/>
      <c r="F750" s="219"/>
      <c r="G750" s="40"/>
      <c r="H750" s="39"/>
      <c r="I750" s="40"/>
      <c r="J750" s="40"/>
      <c r="K750" s="40"/>
      <c r="L750" s="40"/>
      <c r="M750" s="40"/>
    </row>
    <row r="751" ht="21.0" customHeight="1">
      <c r="A751" s="221" t="s">
        <v>512</v>
      </c>
      <c r="B751" s="216"/>
      <c r="C751" s="218"/>
      <c r="D751" s="39"/>
      <c r="E751" s="219"/>
      <c r="F751" s="219"/>
      <c r="G751" s="40"/>
      <c r="H751" s="39"/>
      <c r="I751" s="40"/>
      <c r="J751" s="40"/>
      <c r="K751" s="40"/>
      <c r="L751" s="40"/>
      <c r="M751" s="40"/>
    </row>
    <row r="752" ht="21.0" customHeight="1">
      <c r="A752" s="221" t="s">
        <v>513</v>
      </c>
      <c r="B752" s="216"/>
      <c r="C752" s="218"/>
      <c r="D752" s="39"/>
      <c r="E752" s="219"/>
      <c r="F752" s="219"/>
      <c r="G752" s="40"/>
      <c r="H752" s="39"/>
      <c r="I752" s="40"/>
      <c r="J752" s="40"/>
      <c r="K752" s="40"/>
      <c r="L752" s="40"/>
      <c r="M752" s="40"/>
    </row>
    <row r="753" ht="21.0" customHeight="1">
      <c r="A753" s="221" t="s">
        <v>514</v>
      </c>
      <c r="B753" s="216"/>
      <c r="C753" s="218"/>
      <c r="D753" s="39"/>
      <c r="E753" s="219"/>
      <c r="F753" s="219"/>
      <c r="G753" s="40"/>
      <c r="H753" s="39"/>
      <c r="I753" s="40"/>
      <c r="J753" s="40"/>
      <c r="K753" s="40"/>
      <c r="L753" s="40"/>
      <c r="M753" s="40"/>
    </row>
    <row r="754" ht="24.0" customHeight="1">
      <c r="A754" s="217" t="s">
        <v>515</v>
      </c>
      <c r="B754" s="216" t="s">
        <v>32</v>
      </c>
      <c r="C754" s="213"/>
      <c r="D754" s="213">
        <f>SUM(D759:D780)</f>
        <v>0</v>
      </c>
      <c r="E754" s="213"/>
      <c r="F754" s="213"/>
      <c r="G754" s="40"/>
      <c r="H754" s="39"/>
      <c r="I754" s="40"/>
      <c r="J754" s="40"/>
      <c r="K754" s="40"/>
      <c r="L754" s="40"/>
      <c r="M754" s="40"/>
    </row>
    <row r="755" ht="30.75" customHeight="1">
      <c r="A755" s="217" t="s">
        <v>165</v>
      </c>
      <c r="B755" s="216" t="s">
        <v>32</v>
      </c>
      <c r="C755" s="218"/>
      <c r="D755" s="39"/>
      <c r="E755" s="219"/>
      <c r="F755" s="219"/>
      <c r="G755" s="40"/>
      <c r="H755" s="39"/>
      <c r="I755" s="40"/>
      <c r="J755" s="40"/>
      <c r="K755" s="40"/>
      <c r="L755" s="40"/>
      <c r="M755" s="40"/>
    </row>
    <row r="756" ht="48.0" customHeight="1">
      <c r="A756" s="221" t="s">
        <v>516</v>
      </c>
      <c r="B756" s="216" t="s">
        <v>32</v>
      </c>
      <c r="C756" s="218"/>
      <c r="D756" s="39"/>
      <c r="E756" s="219"/>
      <c r="F756" s="219"/>
      <c r="G756" s="40"/>
      <c r="H756" s="39"/>
      <c r="I756" s="40"/>
      <c r="J756" s="40"/>
      <c r="K756" s="40"/>
      <c r="L756" s="40"/>
      <c r="M756" s="40"/>
    </row>
    <row r="757" ht="30.75" customHeight="1">
      <c r="A757" s="217" t="s">
        <v>168</v>
      </c>
      <c r="B757" s="216" t="s">
        <v>32</v>
      </c>
      <c r="C757" s="218"/>
      <c r="D757" s="39"/>
      <c r="E757" s="219"/>
      <c r="F757" s="219"/>
      <c r="G757" s="40"/>
      <c r="H757" s="39"/>
      <c r="I757" s="40"/>
      <c r="J757" s="40"/>
      <c r="K757" s="40"/>
      <c r="L757" s="40"/>
      <c r="M757" s="40"/>
    </row>
    <row r="758" ht="51.75" customHeight="1">
      <c r="A758" s="221" t="s">
        <v>517</v>
      </c>
      <c r="B758" s="216" t="s">
        <v>32</v>
      </c>
      <c r="C758" s="218"/>
      <c r="D758" s="39"/>
      <c r="E758" s="219"/>
      <c r="F758" s="219"/>
      <c r="G758" s="40"/>
      <c r="H758" s="39"/>
      <c r="I758" s="40"/>
      <c r="J758" s="40"/>
      <c r="K758" s="40"/>
      <c r="L758" s="40"/>
      <c r="M758" s="40"/>
    </row>
    <row r="759" ht="30.75" customHeight="1">
      <c r="A759" s="217" t="s">
        <v>170</v>
      </c>
      <c r="B759" s="216" t="s">
        <v>32</v>
      </c>
      <c r="C759" s="218"/>
      <c r="D759" s="39"/>
      <c r="E759" s="219"/>
      <c r="F759" s="219"/>
      <c r="G759" s="40"/>
      <c r="H759" s="39"/>
      <c r="I759" s="40"/>
      <c r="J759" s="40"/>
      <c r="K759" s="40"/>
      <c r="L759" s="40"/>
      <c r="M759" s="40"/>
    </row>
    <row r="760" ht="41.25" customHeight="1">
      <c r="A760" s="217" t="s">
        <v>518</v>
      </c>
      <c r="B760" s="216" t="s">
        <v>32</v>
      </c>
      <c r="C760" s="218"/>
      <c r="D760" s="39"/>
      <c r="E760" s="219"/>
      <c r="F760" s="219"/>
      <c r="G760" s="40"/>
      <c r="H760" s="39"/>
      <c r="I760" s="40"/>
      <c r="J760" s="40"/>
      <c r="K760" s="40"/>
      <c r="L760" s="40"/>
      <c r="M760" s="40"/>
    </row>
    <row r="761" ht="21.0" customHeight="1">
      <c r="A761" s="221" t="s">
        <v>417</v>
      </c>
      <c r="B761" s="216" t="s">
        <v>32</v>
      </c>
      <c r="C761" s="218"/>
      <c r="D761" s="39"/>
      <c r="E761" s="219"/>
      <c r="F761" s="219"/>
      <c r="G761" s="40"/>
      <c r="H761" s="39"/>
      <c r="I761" s="40"/>
      <c r="J761" s="40"/>
      <c r="K761" s="40"/>
      <c r="L761" s="40"/>
      <c r="M761" s="40"/>
    </row>
    <row r="762" ht="21.0" customHeight="1">
      <c r="A762" s="221" t="s">
        <v>519</v>
      </c>
      <c r="B762" s="216" t="s">
        <v>32</v>
      </c>
      <c r="C762" s="218"/>
      <c r="D762" s="39"/>
      <c r="E762" s="219"/>
      <c r="F762" s="219"/>
      <c r="G762" s="40"/>
      <c r="H762" s="39"/>
      <c r="I762" s="40"/>
      <c r="J762" s="40"/>
      <c r="K762" s="40"/>
      <c r="L762" s="40"/>
      <c r="M762" s="40"/>
    </row>
    <row r="763" ht="21.0" customHeight="1">
      <c r="A763" s="217" t="s">
        <v>520</v>
      </c>
      <c r="B763" s="216" t="s">
        <v>32</v>
      </c>
      <c r="C763" s="218"/>
      <c r="D763" s="39"/>
      <c r="E763" s="219"/>
      <c r="F763" s="219"/>
      <c r="G763" s="40"/>
      <c r="H763" s="39"/>
      <c r="I763" s="40"/>
      <c r="J763" s="40"/>
      <c r="K763" s="40"/>
      <c r="L763" s="40"/>
      <c r="M763" s="40"/>
    </row>
    <row r="764" ht="21.0" customHeight="1">
      <c r="A764" s="221" t="s">
        <v>519</v>
      </c>
      <c r="B764" s="216" t="s">
        <v>32</v>
      </c>
      <c r="C764" s="218"/>
      <c r="D764" s="39"/>
      <c r="E764" s="219"/>
      <c r="F764" s="219"/>
      <c r="G764" s="40"/>
      <c r="H764" s="39"/>
      <c r="I764" s="40"/>
      <c r="J764" s="40"/>
      <c r="K764" s="40"/>
      <c r="L764" s="40"/>
      <c r="M764" s="40"/>
    </row>
    <row r="765" ht="21.0" customHeight="1">
      <c r="A765" s="217" t="s">
        <v>521</v>
      </c>
      <c r="B765" s="216" t="s">
        <v>32</v>
      </c>
      <c r="C765" s="218"/>
      <c r="D765" s="39"/>
      <c r="E765" s="219"/>
      <c r="F765" s="219"/>
      <c r="G765" s="40"/>
      <c r="H765" s="39"/>
      <c r="I765" s="40"/>
      <c r="J765" s="40"/>
      <c r="K765" s="40"/>
      <c r="L765" s="40"/>
      <c r="M765" s="40"/>
    </row>
    <row r="766" ht="21.0" customHeight="1">
      <c r="A766" s="221" t="s">
        <v>519</v>
      </c>
      <c r="B766" s="216" t="s">
        <v>32</v>
      </c>
      <c r="C766" s="218"/>
      <c r="D766" s="39"/>
      <c r="E766" s="219"/>
      <c r="F766" s="219"/>
      <c r="G766" s="40"/>
      <c r="H766" s="39"/>
      <c r="I766" s="40"/>
      <c r="J766" s="40"/>
      <c r="K766" s="40"/>
      <c r="L766" s="40"/>
      <c r="M766" s="40"/>
    </row>
    <row r="767" ht="21.0" customHeight="1">
      <c r="A767" s="217" t="s">
        <v>273</v>
      </c>
      <c r="B767" s="216" t="s">
        <v>32</v>
      </c>
      <c r="C767" s="218"/>
      <c r="D767" s="39"/>
      <c r="E767" s="219"/>
      <c r="F767" s="219"/>
      <c r="G767" s="40"/>
      <c r="H767" s="39"/>
      <c r="I767" s="40"/>
      <c r="J767" s="40"/>
      <c r="K767" s="40"/>
      <c r="L767" s="40"/>
      <c r="M767" s="40"/>
    </row>
    <row r="768" ht="21.0" customHeight="1">
      <c r="A768" s="221" t="s">
        <v>519</v>
      </c>
      <c r="B768" s="216" t="s">
        <v>24</v>
      </c>
      <c r="C768" s="218"/>
      <c r="D768" s="39"/>
      <c r="E768" s="219"/>
      <c r="F768" s="219"/>
      <c r="G768" s="40"/>
      <c r="H768" s="39"/>
      <c r="I768" s="40"/>
      <c r="J768" s="40"/>
      <c r="K768" s="40"/>
      <c r="L768" s="40"/>
      <c r="M768" s="40"/>
    </row>
    <row r="769" ht="21.0" customHeight="1">
      <c r="A769" s="217" t="s">
        <v>522</v>
      </c>
      <c r="B769" s="216" t="s">
        <v>32</v>
      </c>
      <c r="C769" s="218"/>
      <c r="D769" s="39"/>
      <c r="E769" s="219"/>
      <c r="F769" s="219"/>
      <c r="G769" s="40"/>
      <c r="H769" s="39"/>
      <c r="I769" s="40"/>
      <c r="J769" s="40"/>
      <c r="K769" s="40"/>
      <c r="L769" s="40"/>
      <c r="M769" s="40"/>
    </row>
    <row r="770" ht="21.0" customHeight="1">
      <c r="A770" s="221" t="s">
        <v>519</v>
      </c>
      <c r="B770" s="216" t="s">
        <v>32</v>
      </c>
      <c r="C770" s="218"/>
      <c r="D770" s="39"/>
      <c r="E770" s="219"/>
      <c r="F770" s="219"/>
      <c r="G770" s="40"/>
      <c r="H770" s="39"/>
      <c r="I770" s="40"/>
      <c r="J770" s="40"/>
      <c r="K770" s="40"/>
      <c r="L770" s="40"/>
      <c r="M770" s="40"/>
    </row>
    <row r="771" ht="21.0" customHeight="1">
      <c r="A771" s="217" t="s">
        <v>523</v>
      </c>
      <c r="B771" s="216" t="s">
        <v>32</v>
      </c>
      <c r="C771" s="218"/>
      <c r="D771" s="39"/>
      <c r="E771" s="219"/>
      <c r="F771" s="219"/>
      <c r="G771" s="40"/>
      <c r="H771" s="39"/>
      <c r="I771" s="40"/>
      <c r="J771" s="40"/>
      <c r="K771" s="40"/>
      <c r="L771" s="40"/>
      <c r="M771" s="40"/>
    </row>
    <row r="772" ht="21.0" customHeight="1">
      <c r="A772" s="221" t="s">
        <v>519</v>
      </c>
      <c r="B772" s="216" t="s">
        <v>32</v>
      </c>
      <c r="C772" s="218"/>
      <c r="D772" s="39"/>
      <c r="E772" s="219"/>
      <c r="F772" s="219"/>
      <c r="G772" s="40"/>
      <c r="H772" s="39"/>
      <c r="I772" s="40"/>
      <c r="J772" s="40"/>
      <c r="K772" s="40"/>
      <c r="L772" s="40"/>
      <c r="M772" s="40"/>
    </row>
    <row r="773" ht="21.0" customHeight="1">
      <c r="A773" s="217" t="s">
        <v>524</v>
      </c>
      <c r="B773" s="216" t="s">
        <v>32</v>
      </c>
      <c r="C773" s="218"/>
      <c r="D773" s="39"/>
      <c r="E773" s="219"/>
      <c r="F773" s="219"/>
      <c r="G773" s="40"/>
      <c r="H773" s="39"/>
      <c r="I773" s="40"/>
      <c r="J773" s="40"/>
      <c r="K773" s="40"/>
      <c r="L773" s="40"/>
      <c r="M773" s="40"/>
    </row>
    <row r="774" ht="21.0" customHeight="1">
      <c r="A774" s="221" t="s">
        <v>519</v>
      </c>
      <c r="B774" s="216" t="s">
        <v>32</v>
      </c>
      <c r="C774" s="218"/>
      <c r="D774" s="39"/>
      <c r="E774" s="219"/>
      <c r="F774" s="219"/>
      <c r="G774" s="40"/>
      <c r="H774" s="39"/>
      <c r="I774" s="40"/>
      <c r="J774" s="40"/>
      <c r="K774" s="40"/>
      <c r="L774" s="40"/>
      <c r="M774" s="40"/>
    </row>
    <row r="775" ht="21.0" customHeight="1">
      <c r="A775" s="217" t="s">
        <v>525</v>
      </c>
      <c r="B775" s="216" t="s">
        <v>32</v>
      </c>
      <c r="C775" s="218"/>
      <c r="D775" s="39"/>
      <c r="E775" s="219"/>
      <c r="F775" s="219"/>
      <c r="G775" s="40"/>
      <c r="H775" s="39"/>
      <c r="I775" s="40"/>
      <c r="J775" s="40"/>
      <c r="K775" s="40"/>
      <c r="L775" s="40"/>
      <c r="M775" s="40"/>
    </row>
    <row r="776" ht="21.0" customHeight="1">
      <c r="A776" s="221" t="s">
        <v>519</v>
      </c>
      <c r="B776" s="216" t="s">
        <v>32</v>
      </c>
      <c r="C776" s="218"/>
      <c r="D776" s="39"/>
      <c r="E776" s="219"/>
      <c r="F776" s="219"/>
      <c r="G776" s="40"/>
      <c r="H776" s="39"/>
      <c r="I776" s="40"/>
      <c r="J776" s="40"/>
      <c r="K776" s="40"/>
      <c r="L776" s="40"/>
      <c r="M776" s="40"/>
    </row>
    <row r="777" ht="21.0" customHeight="1">
      <c r="A777" s="242" t="s">
        <v>526</v>
      </c>
      <c r="B777" s="216" t="s">
        <v>32</v>
      </c>
      <c r="C777" s="218"/>
      <c r="D777" s="39"/>
      <c r="E777" s="219"/>
      <c r="F777" s="219"/>
      <c r="G777" s="40"/>
      <c r="H777" s="39"/>
      <c r="I777" s="40"/>
      <c r="J777" s="40"/>
      <c r="K777" s="40"/>
      <c r="L777" s="40"/>
      <c r="M777" s="40"/>
    </row>
    <row r="778" ht="27.0" customHeight="1">
      <c r="A778" s="221" t="s">
        <v>519</v>
      </c>
      <c r="B778" s="216" t="s">
        <v>24</v>
      </c>
      <c r="C778" s="218"/>
      <c r="D778" s="39"/>
      <c r="E778" s="219"/>
      <c r="F778" s="219"/>
      <c r="G778" s="40"/>
      <c r="H778" s="39"/>
      <c r="I778" s="40"/>
      <c r="J778" s="40"/>
      <c r="K778" s="40"/>
      <c r="L778" s="40"/>
      <c r="M778" s="40"/>
    </row>
    <row r="779" ht="21.0" customHeight="1">
      <c r="A779" s="211" t="s">
        <v>527</v>
      </c>
      <c r="B779" s="216"/>
      <c r="C779" s="218"/>
      <c r="D779" s="39"/>
      <c r="E779" s="219"/>
      <c r="F779" s="219"/>
      <c r="G779" s="40"/>
      <c r="H779" s="39"/>
      <c r="I779" s="40"/>
      <c r="J779" s="40"/>
      <c r="K779" s="40"/>
      <c r="L779" s="40"/>
      <c r="M779" s="40"/>
    </row>
    <row r="780" ht="21.0" customHeight="1">
      <c r="A780" s="233"/>
      <c r="B780" s="216"/>
      <c r="C780" s="218"/>
      <c r="D780" s="39"/>
      <c r="E780" s="219"/>
      <c r="F780" s="219"/>
      <c r="G780" s="40"/>
      <c r="H780" s="39"/>
      <c r="I780" s="40"/>
      <c r="J780" s="40"/>
      <c r="K780" s="40"/>
      <c r="L780" s="40"/>
      <c r="M780" s="40"/>
    </row>
    <row r="781" ht="21.0" customHeight="1">
      <c r="A781" s="243" t="s">
        <v>71</v>
      </c>
      <c r="B781" s="216"/>
      <c r="C781" s="213"/>
      <c r="D781" s="213">
        <f t="shared" ref="D781:F781" si="2">D11</f>
        <v>2954.5</v>
      </c>
      <c r="E781" s="213">
        <f t="shared" si="2"/>
        <v>0</v>
      </c>
      <c r="F781" s="213">
        <f t="shared" si="2"/>
        <v>3274.715</v>
      </c>
      <c r="G781" s="40"/>
      <c r="H781" s="62">
        <f>H622+H12</f>
        <v>10338.98182</v>
      </c>
      <c r="I781" s="40"/>
      <c r="J781" s="40"/>
      <c r="K781" s="40"/>
      <c r="L781" s="62">
        <f>J781+H781</f>
        <v>10338.98182</v>
      </c>
      <c r="M781" s="40"/>
    </row>
    <row r="782" ht="14.25" customHeight="1">
      <c r="A782" s="244"/>
      <c r="B782" s="244"/>
      <c r="C782" s="244"/>
      <c r="D782" s="244"/>
      <c r="E782" s="10"/>
      <c r="F782" s="10"/>
      <c r="G782" s="10"/>
      <c r="H782" s="86"/>
      <c r="I782" s="10"/>
      <c r="J782" s="10"/>
      <c r="K782" s="10"/>
      <c r="L782" s="10"/>
      <c r="M782" s="10"/>
    </row>
    <row r="783" ht="15.75" customHeight="1">
      <c r="A783" s="245" t="s">
        <v>72</v>
      </c>
      <c r="B783" s="246"/>
      <c r="C783" s="247" t="s">
        <v>528</v>
      </c>
      <c r="D783" s="82"/>
      <c r="E783" s="248"/>
      <c r="F783" s="197"/>
      <c r="G783" s="249" t="s">
        <v>74</v>
      </c>
      <c r="H783" s="198"/>
      <c r="I783" s="87"/>
      <c r="J783" s="87"/>
      <c r="K783" s="87"/>
      <c r="L783" s="87"/>
      <c r="M783" s="87"/>
    </row>
    <row r="784" ht="15.75" customHeight="1">
      <c r="A784" s="250"/>
      <c r="B784" s="248"/>
      <c r="C784" s="250"/>
      <c r="D784" s="82"/>
      <c r="E784" s="248"/>
      <c r="F784" s="197"/>
      <c r="G784" s="251"/>
      <c r="H784" s="198"/>
      <c r="I784" s="87"/>
      <c r="J784" s="87"/>
      <c r="K784" s="87"/>
      <c r="L784" s="87"/>
      <c r="M784" s="87"/>
    </row>
    <row r="785" ht="12.75" customHeight="1">
      <c r="A785" s="250"/>
      <c r="B785" s="250"/>
      <c r="C785" s="250"/>
      <c r="D785" s="82"/>
      <c r="E785" s="248"/>
      <c r="F785" s="197"/>
      <c r="G785" s="251"/>
      <c r="H785" s="198"/>
      <c r="I785" s="87"/>
      <c r="J785" s="87"/>
      <c r="K785" s="87"/>
      <c r="L785" s="87"/>
      <c r="M785" s="87"/>
    </row>
    <row r="786" ht="23.25" customHeight="1">
      <c r="A786" s="250"/>
      <c r="B786" s="250"/>
      <c r="C786" s="250"/>
      <c r="D786" s="82"/>
      <c r="E786" s="248"/>
      <c r="F786" s="82"/>
      <c r="G786" s="251"/>
      <c r="H786" s="252"/>
      <c r="I786" s="87"/>
      <c r="J786" s="87"/>
      <c r="K786" s="87"/>
      <c r="L786" s="87"/>
      <c r="M786" s="87"/>
    </row>
    <row r="787" ht="15.75" customHeight="1">
      <c r="A787" s="250"/>
      <c r="B787" s="250"/>
      <c r="C787" s="250"/>
      <c r="D787" s="82"/>
      <c r="E787" s="248"/>
      <c r="F787" s="82"/>
      <c r="G787" s="251"/>
      <c r="H787" s="252"/>
      <c r="I787" s="87"/>
      <c r="J787" s="87"/>
      <c r="K787" s="87"/>
      <c r="L787" s="87"/>
      <c r="M787" s="87"/>
    </row>
    <row r="788" ht="21.75" customHeight="1">
      <c r="A788" s="76" t="s">
        <v>75</v>
      </c>
      <c r="B788" s="248"/>
      <c r="C788" s="76" t="s">
        <v>76</v>
      </c>
      <c r="D788" s="82"/>
      <c r="E788" s="248"/>
      <c r="F788" s="82"/>
      <c r="G788" s="78" t="s">
        <v>77</v>
      </c>
      <c r="H788" s="252"/>
      <c r="I788" s="87"/>
      <c r="J788" s="87"/>
      <c r="K788" s="87"/>
      <c r="L788" s="87"/>
      <c r="M788" s="87"/>
    </row>
    <row r="789" ht="14.25" customHeight="1">
      <c r="A789" s="247" t="s">
        <v>78</v>
      </c>
      <c r="B789" s="248"/>
      <c r="C789" s="247" t="s">
        <v>79</v>
      </c>
      <c r="D789" s="253"/>
      <c r="E789" s="248"/>
      <c r="F789" s="82"/>
      <c r="G789" s="254" t="s">
        <v>80</v>
      </c>
      <c r="H789" s="252"/>
      <c r="I789" s="87"/>
      <c r="J789" s="87"/>
      <c r="K789" s="87"/>
      <c r="L789" s="87"/>
      <c r="M789" s="87"/>
    </row>
    <row r="790" ht="15.75" customHeight="1">
      <c r="A790" s="255"/>
      <c r="B790" s="255"/>
      <c r="C790" s="255"/>
      <c r="D790" s="255"/>
      <c r="E790" s="10"/>
      <c r="F790" s="83"/>
      <c r="G790" s="83"/>
      <c r="H790" s="256"/>
      <c r="I790" s="10"/>
      <c r="J790" s="10"/>
      <c r="K790" s="10"/>
      <c r="L790" s="10"/>
      <c r="M790" s="10"/>
    </row>
    <row r="791" ht="15.75" customHeight="1">
      <c r="A791" s="255"/>
      <c r="B791" s="255"/>
      <c r="C791" s="255"/>
      <c r="D791" s="255"/>
      <c r="E791" s="10"/>
      <c r="F791" s="10"/>
      <c r="G791" s="10"/>
      <c r="H791" s="86"/>
      <c r="I791" s="10"/>
      <c r="J791" s="10"/>
      <c r="K791" s="10"/>
      <c r="L791" s="10"/>
      <c r="M791" s="10"/>
    </row>
    <row r="792" ht="15.75" customHeight="1">
      <c r="A792" s="255"/>
      <c r="B792" s="255"/>
      <c r="C792" s="255"/>
      <c r="D792" s="255"/>
      <c r="E792" s="10"/>
      <c r="F792" s="10"/>
      <c r="G792" s="10"/>
      <c r="H792" s="86"/>
      <c r="I792" s="10"/>
      <c r="J792" s="10"/>
      <c r="K792" s="10"/>
      <c r="L792" s="10"/>
      <c r="M792" s="10"/>
    </row>
    <row r="793" ht="15.75" customHeight="1">
      <c r="A793" s="255"/>
      <c r="B793" s="255"/>
      <c r="C793" s="255"/>
      <c r="D793" s="255"/>
      <c r="E793" s="10"/>
      <c r="F793" s="10"/>
      <c r="G793" s="10"/>
      <c r="H793" s="86"/>
      <c r="I793" s="10"/>
      <c r="J793" s="10"/>
      <c r="K793" s="10"/>
      <c r="L793" s="10"/>
      <c r="M793" s="10"/>
    </row>
    <row r="794" ht="15.75" customHeight="1">
      <c r="A794" s="255"/>
      <c r="B794" s="255"/>
      <c r="C794" s="255"/>
      <c r="D794" s="255"/>
      <c r="E794" s="10"/>
      <c r="F794" s="10"/>
      <c r="G794" s="10"/>
      <c r="H794" s="86"/>
      <c r="I794" s="10"/>
      <c r="J794" s="10"/>
      <c r="K794" s="10"/>
      <c r="L794" s="10"/>
      <c r="M794" s="10"/>
    </row>
    <row r="795" ht="15.75" customHeight="1">
      <c r="A795" s="255"/>
      <c r="B795" s="255"/>
      <c r="C795" s="255"/>
      <c r="D795" s="255"/>
      <c r="E795" s="10"/>
      <c r="F795" s="10"/>
      <c r="G795" s="10"/>
      <c r="H795" s="86"/>
      <c r="I795" s="10"/>
      <c r="J795" s="10"/>
      <c r="K795" s="10"/>
      <c r="L795" s="10"/>
      <c r="M795" s="10"/>
    </row>
    <row r="796" ht="15.75" customHeight="1">
      <c r="A796" s="255"/>
      <c r="B796" s="255"/>
      <c r="C796" s="255"/>
      <c r="D796" s="255"/>
      <c r="E796" s="10"/>
      <c r="F796" s="10"/>
      <c r="G796" s="10"/>
      <c r="H796" s="86"/>
      <c r="I796" s="10"/>
      <c r="J796" s="10"/>
      <c r="K796" s="10"/>
      <c r="L796" s="10"/>
      <c r="M796" s="10"/>
    </row>
    <row r="797" ht="15.75" customHeight="1">
      <c r="A797" s="255"/>
      <c r="B797" s="255"/>
      <c r="C797" s="255"/>
      <c r="D797" s="255"/>
      <c r="E797" s="10"/>
      <c r="F797" s="10"/>
      <c r="G797" s="10"/>
      <c r="H797" s="86"/>
      <c r="I797" s="10"/>
      <c r="J797" s="10"/>
      <c r="K797" s="10"/>
      <c r="L797" s="10"/>
      <c r="M797" s="10"/>
    </row>
    <row r="798" ht="15.75" customHeight="1">
      <c r="A798" s="255"/>
      <c r="B798" s="255"/>
      <c r="C798" s="255"/>
      <c r="D798" s="255"/>
      <c r="E798" s="10"/>
      <c r="F798" s="10"/>
      <c r="G798" s="10"/>
      <c r="H798" s="86"/>
      <c r="I798" s="10"/>
      <c r="J798" s="10"/>
      <c r="K798" s="10"/>
      <c r="L798" s="10"/>
      <c r="M798" s="10"/>
    </row>
    <row r="799" ht="15.75" customHeight="1">
      <c r="A799" s="255"/>
      <c r="B799" s="255"/>
      <c r="C799" s="255"/>
      <c r="D799" s="255"/>
      <c r="E799" s="10"/>
      <c r="F799" s="10"/>
      <c r="G799" s="10"/>
      <c r="H799" s="86"/>
      <c r="I799" s="10"/>
      <c r="J799" s="10"/>
      <c r="K799" s="10"/>
      <c r="L799" s="10"/>
      <c r="M799" s="10"/>
    </row>
    <row r="800" ht="15.75" customHeight="1">
      <c r="A800" s="255"/>
      <c r="B800" s="255"/>
      <c r="C800" s="255"/>
      <c r="D800" s="255"/>
      <c r="E800" s="10"/>
      <c r="F800" s="10"/>
      <c r="G800" s="10"/>
      <c r="H800" s="86"/>
      <c r="I800" s="10"/>
      <c r="J800" s="10"/>
      <c r="K800" s="10"/>
      <c r="L800" s="10"/>
      <c r="M800" s="10"/>
    </row>
    <row r="801" ht="15.75" customHeight="1">
      <c r="A801" s="255"/>
      <c r="B801" s="255"/>
      <c r="C801" s="255"/>
      <c r="D801" s="255"/>
      <c r="E801" s="10"/>
      <c r="F801" s="10"/>
      <c r="G801" s="10"/>
      <c r="H801" s="86"/>
      <c r="I801" s="10"/>
      <c r="J801" s="10"/>
      <c r="K801" s="10"/>
      <c r="L801" s="10"/>
      <c r="M801" s="10"/>
    </row>
    <row r="802" ht="15.75" customHeight="1">
      <c r="A802" s="255"/>
      <c r="B802" s="255"/>
      <c r="C802" s="255"/>
      <c r="D802" s="255"/>
      <c r="E802" s="10"/>
      <c r="F802" s="10"/>
      <c r="G802" s="10"/>
      <c r="H802" s="86"/>
      <c r="I802" s="10"/>
      <c r="J802" s="10"/>
      <c r="K802" s="10"/>
      <c r="L802" s="10"/>
      <c r="M802" s="10"/>
    </row>
    <row r="803" ht="15.75" customHeight="1">
      <c r="A803" s="255"/>
      <c r="B803" s="255"/>
      <c r="C803" s="255"/>
      <c r="D803" s="255"/>
      <c r="E803" s="10"/>
      <c r="F803" s="10"/>
      <c r="G803" s="10"/>
      <c r="H803" s="86"/>
      <c r="I803" s="10"/>
      <c r="J803" s="10"/>
      <c r="K803" s="10"/>
      <c r="L803" s="10"/>
      <c r="M803" s="10"/>
    </row>
    <row r="804" ht="15.75" customHeight="1">
      <c r="A804" s="255"/>
      <c r="B804" s="255"/>
      <c r="C804" s="255"/>
      <c r="D804" s="255"/>
      <c r="E804" s="10"/>
      <c r="F804" s="10"/>
      <c r="G804" s="10"/>
      <c r="H804" s="86"/>
      <c r="I804" s="10"/>
      <c r="J804" s="10"/>
      <c r="K804" s="10"/>
      <c r="L804" s="10"/>
      <c r="M804" s="10"/>
    </row>
    <row r="805" ht="15.75" customHeight="1">
      <c r="A805" s="255"/>
      <c r="B805" s="255"/>
      <c r="C805" s="255"/>
      <c r="D805" s="255"/>
      <c r="E805" s="10"/>
      <c r="F805" s="10"/>
      <c r="G805" s="10"/>
      <c r="H805" s="86"/>
      <c r="I805" s="10"/>
      <c r="J805" s="10"/>
      <c r="K805" s="10"/>
      <c r="L805" s="10"/>
      <c r="M805" s="10"/>
    </row>
    <row r="806" ht="15.75" customHeight="1">
      <c r="A806" s="255"/>
      <c r="B806" s="255"/>
      <c r="C806" s="255"/>
      <c r="D806" s="255"/>
      <c r="E806" s="10"/>
      <c r="F806" s="10"/>
      <c r="G806" s="10"/>
      <c r="H806" s="86"/>
      <c r="I806" s="10"/>
      <c r="J806" s="10"/>
      <c r="K806" s="10"/>
      <c r="L806" s="10"/>
      <c r="M806" s="10"/>
    </row>
    <row r="807" ht="15.75" customHeight="1">
      <c r="A807" s="255"/>
      <c r="B807" s="255"/>
      <c r="C807" s="255"/>
      <c r="D807" s="255"/>
      <c r="E807" s="10"/>
      <c r="F807" s="10"/>
      <c r="G807" s="10"/>
      <c r="H807" s="86"/>
      <c r="I807" s="10"/>
      <c r="J807" s="10"/>
      <c r="K807" s="10"/>
      <c r="L807" s="10"/>
      <c r="M807" s="10"/>
    </row>
    <row r="808" ht="15.75" customHeight="1">
      <c r="A808" s="255"/>
      <c r="B808" s="255"/>
      <c r="C808" s="255"/>
      <c r="D808" s="255"/>
      <c r="E808" s="10"/>
      <c r="F808" s="10"/>
      <c r="G808" s="10"/>
      <c r="H808" s="86"/>
      <c r="I808" s="10"/>
      <c r="J808" s="10"/>
      <c r="K808" s="10"/>
      <c r="L808" s="10"/>
      <c r="M808" s="10"/>
    </row>
    <row r="809" ht="15.75" customHeight="1">
      <c r="A809" s="255"/>
      <c r="B809" s="255"/>
      <c r="C809" s="255"/>
      <c r="D809" s="255"/>
      <c r="E809" s="10"/>
      <c r="F809" s="10"/>
      <c r="G809" s="10"/>
      <c r="H809" s="86"/>
      <c r="I809" s="10"/>
      <c r="J809" s="10"/>
      <c r="K809" s="10"/>
      <c r="L809" s="10"/>
      <c r="M809" s="10"/>
    </row>
    <row r="810" ht="15.75" customHeight="1">
      <c r="A810" s="255"/>
      <c r="B810" s="255"/>
      <c r="C810" s="255"/>
      <c r="D810" s="255"/>
      <c r="E810" s="10"/>
      <c r="F810" s="10"/>
      <c r="G810" s="10"/>
      <c r="H810" s="86"/>
      <c r="I810" s="10"/>
      <c r="J810" s="10"/>
      <c r="K810" s="10"/>
      <c r="L810" s="10"/>
      <c r="M810" s="10"/>
    </row>
    <row r="811" ht="15.75" customHeight="1">
      <c r="A811" s="255"/>
      <c r="B811" s="255"/>
      <c r="C811" s="255"/>
      <c r="D811" s="255"/>
      <c r="E811" s="10"/>
      <c r="F811" s="10"/>
      <c r="G811" s="10"/>
      <c r="H811" s="86"/>
      <c r="I811" s="10"/>
      <c r="J811" s="10"/>
      <c r="K811" s="10"/>
      <c r="L811" s="10"/>
      <c r="M811" s="10"/>
    </row>
    <row r="812" ht="15.75" customHeight="1">
      <c r="A812" s="255"/>
      <c r="B812" s="255"/>
      <c r="C812" s="255"/>
      <c r="D812" s="255"/>
      <c r="E812" s="10"/>
      <c r="F812" s="10"/>
      <c r="G812" s="10"/>
      <c r="H812" s="86"/>
      <c r="I812" s="10"/>
      <c r="J812" s="10"/>
      <c r="K812" s="10"/>
      <c r="L812" s="10"/>
      <c r="M812" s="10"/>
    </row>
    <row r="813" ht="15.75" customHeight="1">
      <c r="A813" s="255"/>
      <c r="B813" s="255"/>
      <c r="C813" s="255"/>
      <c r="D813" s="255"/>
      <c r="E813" s="10"/>
      <c r="F813" s="10"/>
      <c r="G813" s="10"/>
      <c r="H813" s="86"/>
      <c r="I813" s="10"/>
      <c r="J813" s="10"/>
      <c r="K813" s="10"/>
      <c r="L813" s="10"/>
      <c r="M813" s="10"/>
    </row>
    <row r="814" ht="15.75" customHeight="1">
      <c r="A814" s="255"/>
      <c r="B814" s="255"/>
      <c r="C814" s="255"/>
      <c r="D814" s="255"/>
      <c r="E814" s="10"/>
      <c r="F814" s="10"/>
      <c r="G814" s="10"/>
      <c r="H814" s="86"/>
      <c r="I814" s="10"/>
      <c r="J814" s="10"/>
      <c r="K814" s="10"/>
      <c r="L814" s="10"/>
      <c r="M814" s="10"/>
    </row>
    <row r="815" ht="15.75" customHeight="1">
      <c r="A815" s="255"/>
      <c r="B815" s="255"/>
      <c r="C815" s="255"/>
      <c r="D815" s="255"/>
      <c r="E815" s="10"/>
      <c r="F815" s="10"/>
      <c r="G815" s="10"/>
      <c r="H815" s="86"/>
      <c r="I815" s="10"/>
      <c r="J815" s="10"/>
      <c r="K815" s="10"/>
      <c r="L815" s="10"/>
      <c r="M815" s="10"/>
    </row>
    <row r="816" ht="15.75" customHeight="1">
      <c r="A816" s="255"/>
      <c r="B816" s="255"/>
      <c r="C816" s="255"/>
      <c r="D816" s="255"/>
      <c r="E816" s="10"/>
      <c r="F816" s="10"/>
      <c r="G816" s="10"/>
      <c r="H816" s="86"/>
      <c r="I816" s="10"/>
      <c r="J816" s="10"/>
      <c r="K816" s="10"/>
      <c r="L816" s="10"/>
      <c r="M816" s="10"/>
    </row>
    <row r="817" ht="15.75" customHeight="1">
      <c r="A817" s="255"/>
      <c r="B817" s="255"/>
      <c r="C817" s="255"/>
      <c r="D817" s="255"/>
      <c r="E817" s="10"/>
      <c r="F817" s="10"/>
      <c r="G817" s="10"/>
      <c r="H817" s="86"/>
      <c r="I817" s="10"/>
      <c r="J817" s="10"/>
      <c r="K817" s="10"/>
      <c r="L817" s="10"/>
      <c r="M817" s="10"/>
    </row>
    <row r="818" ht="15.75" customHeight="1">
      <c r="A818" s="255"/>
      <c r="B818" s="255"/>
      <c r="C818" s="255"/>
      <c r="D818" s="255"/>
      <c r="E818" s="10"/>
      <c r="F818" s="10"/>
      <c r="G818" s="10"/>
      <c r="H818" s="86"/>
      <c r="I818" s="10"/>
      <c r="J818" s="10"/>
      <c r="K818" s="10"/>
      <c r="L818" s="10"/>
      <c r="M818" s="10"/>
    </row>
    <row r="819" ht="15.75" customHeight="1">
      <c r="A819" s="255"/>
      <c r="B819" s="255"/>
      <c r="C819" s="255"/>
      <c r="D819" s="255"/>
      <c r="E819" s="10"/>
      <c r="F819" s="10"/>
      <c r="G819" s="10"/>
      <c r="H819" s="86"/>
      <c r="I819" s="10"/>
      <c r="J819" s="10"/>
      <c r="K819" s="10"/>
      <c r="L819" s="10"/>
      <c r="M819" s="10"/>
    </row>
    <row r="820" ht="15.75" customHeight="1">
      <c r="A820" s="255"/>
      <c r="B820" s="255"/>
      <c r="C820" s="255"/>
      <c r="D820" s="255"/>
      <c r="E820" s="10"/>
      <c r="F820" s="10"/>
      <c r="G820" s="10"/>
      <c r="H820" s="86"/>
      <c r="I820" s="10"/>
      <c r="J820" s="10"/>
      <c r="K820" s="10"/>
      <c r="L820" s="10"/>
      <c r="M820" s="10"/>
    </row>
    <row r="821" ht="15.75" customHeight="1">
      <c r="A821" s="255"/>
      <c r="B821" s="255"/>
      <c r="C821" s="255"/>
      <c r="D821" s="255"/>
      <c r="E821" s="10"/>
      <c r="F821" s="10"/>
      <c r="G821" s="10"/>
      <c r="H821" s="86"/>
      <c r="I821" s="10"/>
      <c r="J821" s="10"/>
      <c r="K821" s="10"/>
      <c r="L821" s="10"/>
      <c r="M821" s="10"/>
    </row>
    <row r="822" ht="15.75" customHeight="1">
      <c r="A822" s="255"/>
      <c r="B822" s="255"/>
      <c r="C822" s="255"/>
      <c r="D822" s="255"/>
      <c r="E822" s="10"/>
      <c r="F822" s="10"/>
      <c r="G822" s="10"/>
      <c r="H822" s="86"/>
      <c r="I822" s="10"/>
      <c r="J822" s="10"/>
      <c r="K822" s="10"/>
      <c r="L822" s="10"/>
      <c r="M822" s="10"/>
    </row>
    <row r="823" ht="15.75" customHeight="1">
      <c r="A823" s="255"/>
      <c r="B823" s="255"/>
      <c r="C823" s="255"/>
      <c r="D823" s="255"/>
      <c r="E823" s="10"/>
      <c r="F823" s="10"/>
      <c r="G823" s="10"/>
      <c r="H823" s="86"/>
      <c r="I823" s="10"/>
      <c r="J823" s="10"/>
      <c r="K823" s="10"/>
      <c r="L823" s="10"/>
      <c r="M823" s="10"/>
    </row>
    <row r="824" ht="15.75" customHeight="1">
      <c r="A824" s="255"/>
      <c r="B824" s="255"/>
      <c r="C824" s="255"/>
      <c r="D824" s="255"/>
      <c r="E824" s="10"/>
      <c r="F824" s="10"/>
      <c r="G824" s="10"/>
      <c r="H824" s="86"/>
      <c r="I824" s="10"/>
      <c r="J824" s="10"/>
      <c r="K824" s="10"/>
      <c r="L824" s="10"/>
      <c r="M824" s="10"/>
    </row>
    <row r="825" ht="15.75" customHeight="1">
      <c r="A825" s="255"/>
      <c r="B825" s="255"/>
      <c r="C825" s="255"/>
      <c r="D825" s="255"/>
      <c r="E825" s="10"/>
      <c r="F825" s="10"/>
      <c r="G825" s="10"/>
      <c r="H825" s="86"/>
      <c r="I825" s="10"/>
      <c r="J825" s="10"/>
      <c r="K825" s="10"/>
      <c r="L825" s="10"/>
      <c r="M825" s="10"/>
    </row>
    <row r="826" ht="15.75" customHeight="1">
      <c r="A826" s="255"/>
      <c r="B826" s="255"/>
      <c r="C826" s="255"/>
      <c r="D826" s="255"/>
      <c r="E826" s="10"/>
      <c r="F826" s="10"/>
      <c r="G826" s="10"/>
      <c r="H826" s="86"/>
      <c r="I826" s="10"/>
      <c r="J826" s="10"/>
      <c r="K826" s="10"/>
      <c r="L826" s="10"/>
      <c r="M826" s="10"/>
    </row>
    <row r="827" ht="15.75" customHeight="1">
      <c r="A827" s="255"/>
      <c r="B827" s="255"/>
      <c r="C827" s="255"/>
      <c r="D827" s="255"/>
      <c r="E827" s="10"/>
      <c r="F827" s="10"/>
      <c r="G827" s="10"/>
      <c r="H827" s="86"/>
      <c r="I827" s="10"/>
      <c r="J827" s="10"/>
      <c r="K827" s="10"/>
      <c r="L827" s="10"/>
      <c r="M827" s="10"/>
    </row>
    <row r="828" ht="15.75" customHeight="1">
      <c r="A828" s="255"/>
      <c r="B828" s="255"/>
      <c r="C828" s="255"/>
      <c r="D828" s="255"/>
      <c r="E828" s="10"/>
      <c r="F828" s="10"/>
      <c r="G828" s="10"/>
      <c r="H828" s="86"/>
      <c r="I828" s="10"/>
      <c r="J828" s="10"/>
      <c r="K828" s="10"/>
      <c r="L828" s="10"/>
      <c r="M828" s="10"/>
    </row>
    <row r="829" ht="15.75" customHeight="1">
      <c r="A829" s="255"/>
      <c r="B829" s="255"/>
      <c r="C829" s="255"/>
      <c r="D829" s="255"/>
      <c r="E829" s="10"/>
      <c r="F829" s="10"/>
      <c r="G829" s="10"/>
      <c r="H829" s="86"/>
      <c r="I829" s="10"/>
      <c r="J829" s="10"/>
      <c r="K829" s="10"/>
      <c r="L829" s="10"/>
      <c r="M829" s="10"/>
    </row>
    <row r="830" ht="15.75" customHeight="1">
      <c r="A830" s="255"/>
      <c r="B830" s="255"/>
      <c r="C830" s="255"/>
      <c r="D830" s="255"/>
      <c r="E830" s="10"/>
      <c r="F830" s="10"/>
      <c r="G830" s="10"/>
      <c r="H830" s="86"/>
      <c r="I830" s="10"/>
      <c r="J830" s="10"/>
      <c r="K830" s="10"/>
      <c r="L830" s="10"/>
      <c r="M830" s="10"/>
    </row>
    <row r="831" ht="15.75" customHeight="1">
      <c r="A831" s="255"/>
      <c r="B831" s="255"/>
      <c r="C831" s="255"/>
      <c r="D831" s="255"/>
      <c r="E831" s="10"/>
      <c r="F831" s="10"/>
      <c r="G831" s="10"/>
      <c r="H831" s="86"/>
      <c r="I831" s="10"/>
      <c r="J831" s="10"/>
      <c r="K831" s="10"/>
      <c r="L831" s="10"/>
      <c r="M831" s="10"/>
    </row>
    <row r="832" ht="15.75" customHeight="1">
      <c r="A832" s="255"/>
      <c r="B832" s="255"/>
      <c r="C832" s="255"/>
      <c r="D832" s="255"/>
      <c r="E832" s="10"/>
      <c r="F832" s="10"/>
      <c r="G832" s="10"/>
      <c r="H832" s="86"/>
      <c r="I832" s="10"/>
      <c r="J832" s="10"/>
      <c r="K832" s="10"/>
      <c r="L832" s="10"/>
      <c r="M832" s="10"/>
    </row>
    <row r="833" ht="15.75" customHeight="1">
      <c r="A833" s="255"/>
      <c r="B833" s="255"/>
      <c r="C833" s="255"/>
      <c r="D833" s="255"/>
      <c r="E833" s="10"/>
      <c r="F833" s="10"/>
      <c r="G833" s="10"/>
      <c r="H833" s="86"/>
      <c r="I833" s="10"/>
      <c r="J833" s="10"/>
      <c r="K833" s="10"/>
      <c r="L833" s="10"/>
      <c r="M833" s="10"/>
    </row>
    <row r="834" ht="15.75" customHeight="1">
      <c r="A834" s="255"/>
      <c r="B834" s="255"/>
      <c r="C834" s="255"/>
      <c r="D834" s="255"/>
      <c r="E834" s="10"/>
      <c r="F834" s="10"/>
      <c r="G834" s="10"/>
      <c r="H834" s="86"/>
      <c r="I834" s="10"/>
      <c r="J834" s="10"/>
      <c r="K834" s="10"/>
      <c r="L834" s="10"/>
      <c r="M834" s="10"/>
    </row>
    <row r="835" ht="15.75" customHeight="1">
      <c r="A835" s="255"/>
      <c r="B835" s="255"/>
      <c r="C835" s="255"/>
      <c r="D835" s="255"/>
      <c r="E835" s="10"/>
      <c r="F835" s="10"/>
      <c r="G835" s="10"/>
      <c r="H835" s="86"/>
      <c r="I835" s="10"/>
      <c r="J835" s="10"/>
      <c r="K835" s="10"/>
      <c r="L835" s="10"/>
      <c r="M835" s="10"/>
    </row>
    <row r="836" ht="15.75" customHeight="1">
      <c r="A836" s="255"/>
      <c r="B836" s="255"/>
      <c r="C836" s="255"/>
      <c r="D836" s="255"/>
      <c r="E836" s="10"/>
      <c r="F836" s="10"/>
      <c r="G836" s="10"/>
      <c r="H836" s="86"/>
      <c r="I836" s="10"/>
      <c r="J836" s="10"/>
      <c r="K836" s="10"/>
      <c r="L836" s="10"/>
      <c r="M836" s="10"/>
    </row>
    <row r="837" ht="15.75" customHeight="1">
      <c r="A837" s="255"/>
      <c r="B837" s="255"/>
      <c r="C837" s="255"/>
      <c r="D837" s="255"/>
      <c r="E837" s="10"/>
      <c r="F837" s="10"/>
      <c r="G837" s="10"/>
      <c r="H837" s="86"/>
      <c r="I837" s="10"/>
      <c r="J837" s="10"/>
      <c r="K837" s="10"/>
      <c r="L837" s="10"/>
      <c r="M837" s="10"/>
    </row>
    <row r="838" ht="15.75" customHeight="1">
      <c r="A838" s="255"/>
      <c r="B838" s="255"/>
      <c r="C838" s="255"/>
      <c r="D838" s="255"/>
      <c r="E838" s="10"/>
      <c r="F838" s="10"/>
      <c r="G838" s="10"/>
      <c r="H838" s="86"/>
      <c r="I838" s="10"/>
      <c r="J838" s="10"/>
      <c r="K838" s="10"/>
      <c r="L838" s="10"/>
      <c r="M838" s="10"/>
    </row>
    <row r="839" ht="15.75" customHeight="1">
      <c r="A839" s="255"/>
      <c r="B839" s="255"/>
      <c r="C839" s="255"/>
      <c r="D839" s="255"/>
      <c r="E839" s="10"/>
      <c r="F839" s="10"/>
      <c r="G839" s="10"/>
      <c r="H839" s="86"/>
      <c r="I839" s="10"/>
      <c r="J839" s="10"/>
      <c r="K839" s="10"/>
      <c r="L839" s="10"/>
      <c r="M839" s="10"/>
    </row>
    <row r="840" ht="15.75" customHeight="1">
      <c r="A840" s="255"/>
      <c r="B840" s="255"/>
      <c r="C840" s="255"/>
      <c r="D840" s="255"/>
      <c r="E840" s="10"/>
      <c r="F840" s="10"/>
      <c r="G840" s="10"/>
      <c r="H840" s="86"/>
      <c r="I840" s="10"/>
      <c r="J840" s="10"/>
      <c r="K840" s="10"/>
      <c r="L840" s="10"/>
      <c r="M840" s="10"/>
    </row>
    <row r="841" ht="15.75" customHeight="1">
      <c r="A841" s="255"/>
      <c r="B841" s="255"/>
      <c r="C841" s="255"/>
      <c r="D841" s="255"/>
      <c r="E841" s="10"/>
      <c r="F841" s="10"/>
      <c r="G841" s="10"/>
      <c r="H841" s="86"/>
      <c r="I841" s="10"/>
      <c r="J841" s="10"/>
      <c r="K841" s="10"/>
      <c r="L841" s="10"/>
      <c r="M841" s="10"/>
    </row>
    <row r="842" ht="15.75" customHeight="1">
      <c r="A842" s="255"/>
      <c r="B842" s="255"/>
      <c r="C842" s="255"/>
      <c r="D842" s="255"/>
      <c r="E842" s="10"/>
      <c r="F842" s="10"/>
      <c r="G842" s="10"/>
      <c r="H842" s="86"/>
      <c r="I842" s="10"/>
      <c r="J842" s="10"/>
      <c r="K842" s="10"/>
      <c r="L842" s="10"/>
      <c r="M842" s="10"/>
    </row>
    <row r="843" ht="15.75" customHeight="1">
      <c r="A843" s="255"/>
      <c r="B843" s="255"/>
      <c r="C843" s="255"/>
      <c r="D843" s="255"/>
      <c r="E843" s="10"/>
      <c r="F843" s="10"/>
      <c r="G843" s="10"/>
      <c r="H843" s="86"/>
      <c r="I843" s="10"/>
      <c r="J843" s="10"/>
      <c r="K843" s="10"/>
      <c r="L843" s="10"/>
      <c r="M843" s="10"/>
    </row>
    <row r="844" ht="15.75" customHeight="1">
      <c r="A844" s="255"/>
      <c r="B844" s="255"/>
      <c r="C844" s="255"/>
      <c r="D844" s="255"/>
      <c r="E844" s="10"/>
      <c r="F844" s="10"/>
      <c r="G844" s="10"/>
      <c r="H844" s="86"/>
      <c r="I844" s="10"/>
      <c r="J844" s="10"/>
      <c r="K844" s="10"/>
      <c r="L844" s="10"/>
      <c r="M844" s="10"/>
    </row>
    <row r="845" ht="15.75" customHeight="1">
      <c r="A845" s="255"/>
      <c r="B845" s="255"/>
      <c r="C845" s="255"/>
      <c r="D845" s="255"/>
      <c r="E845" s="10"/>
      <c r="F845" s="10"/>
      <c r="G845" s="10"/>
      <c r="H845" s="86"/>
      <c r="I845" s="10"/>
      <c r="J845" s="10"/>
      <c r="K845" s="10"/>
      <c r="L845" s="10"/>
      <c r="M845" s="10"/>
    </row>
    <row r="846" ht="15.75" customHeight="1">
      <c r="A846" s="255"/>
      <c r="B846" s="255"/>
      <c r="C846" s="255"/>
      <c r="D846" s="255"/>
      <c r="E846" s="10"/>
      <c r="F846" s="10"/>
      <c r="G846" s="10"/>
      <c r="H846" s="86"/>
      <c r="I846" s="10"/>
      <c r="J846" s="10"/>
      <c r="K846" s="10"/>
      <c r="L846" s="10"/>
      <c r="M846" s="10"/>
    </row>
    <row r="847" ht="15.75" customHeight="1">
      <c r="A847" s="255"/>
      <c r="B847" s="255"/>
      <c r="C847" s="255"/>
      <c r="D847" s="255"/>
      <c r="E847" s="10"/>
      <c r="F847" s="10"/>
      <c r="G847" s="10"/>
      <c r="H847" s="86"/>
      <c r="I847" s="10"/>
      <c r="J847" s="10"/>
      <c r="K847" s="10"/>
      <c r="L847" s="10"/>
      <c r="M847" s="10"/>
    </row>
    <row r="848" ht="15.75" customHeight="1">
      <c r="A848" s="255"/>
      <c r="B848" s="255"/>
      <c r="C848" s="255"/>
      <c r="D848" s="255"/>
      <c r="E848" s="10"/>
      <c r="F848" s="10"/>
      <c r="G848" s="10"/>
      <c r="H848" s="86"/>
      <c r="I848" s="10"/>
      <c r="J848" s="10"/>
      <c r="K848" s="10"/>
      <c r="L848" s="10"/>
      <c r="M848" s="10"/>
    </row>
    <row r="849" ht="15.75" customHeight="1">
      <c r="A849" s="255"/>
      <c r="B849" s="255"/>
      <c r="C849" s="255"/>
      <c r="D849" s="255"/>
      <c r="E849" s="10"/>
      <c r="F849" s="10"/>
      <c r="G849" s="10"/>
      <c r="H849" s="86"/>
      <c r="I849" s="10"/>
      <c r="J849" s="10"/>
      <c r="K849" s="10"/>
      <c r="L849" s="10"/>
      <c r="M849" s="10"/>
    </row>
    <row r="850" ht="15.75" customHeight="1">
      <c r="A850" s="255"/>
      <c r="B850" s="255"/>
      <c r="C850" s="255"/>
      <c r="D850" s="255"/>
      <c r="E850" s="10"/>
      <c r="F850" s="10"/>
      <c r="G850" s="10"/>
      <c r="H850" s="86"/>
      <c r="I850" s="10"/>
      <c r="J850" s="10"/>
      <c r="K850" s="10"/>
      <c r="L850" s="10"/>
      <c r="M850" s="10"/>
    </row>
    <row r="851" ht="15.75" customHeight="1">
      <c r="A851" s="255"/>
      <c r="B851" s="255"/>
      <c r="C851" s="255"/>
      <c r="D851" s="255"/>
      <c r="E851" s="10"/>
      <c r="F851" s="10"/>
      <c r="G851" s="10"/>
      <c r="H851" s="86"/>
      <c r="I851" s="10"/>
      <c r="J851" s="10"/>
      <c r="K851" s="10"/>
      <c r="L851" s="10"/>
      <c r="M851" s="10"/>
    </row>
    <row r="852" ht="15.75" customHeight="1">
      <c r="A852" s="255"/>
      <c r="B852" s="255"/>
      <c r="C852" s="255"/>
      <c r="D852" s="255"/>
      <c r="E852" s="10"/>
      <c r="F852" s="10"/>
      <c r="G852" s="10"/>
      <c r="H852" s="86"/>
      <c r="I852" s="10"/>
      <c r="J852" s="10"/>
      <c r="K852" s="10"/>
      <c r="L852" s="10"/>
      <c r="M852" s="10"/>
    </row>
    <row r="853" ht="15.75" customHeight="1">
      <c r="A853" s="255"/>
      <c r="B853" s="255"/>
      <c r="C853" s="255"/>
      <c r="D853" s="255"/>
      <c r="E853" s="10"/>
      <c r="F853" s="10"/>
      <c r="G853" s="10"/>
      <c r="H853" s="86"/>
      <c r="I853" s="10"/>
      <c r="J853" s="10"/>
      <c r="K853" s="10"/>
      <c r="L853" s="10"/>
      <c r="M853" s="10"/>
    </row>
    <row r="854" ht="15.75" customHeight="1">
      <c r="A854" s="255"/>
      <c r="B854" s="255"/>
      <c r="C854" s="255"/>
      <c r="D854" s="255"/>
      <c r="E854" s="10"/>
      <c r="F854" s="10"/>
      <c r="G854" s="10"/>
      <c r="H854" s="86"/>
      <c r="I854" s="10"/>
      <c r="J854" s="10"/>
      <c r="K854" s="10"/>
      <c r="L854" s="10"/>
      <c r="M854" s="10"/>
    </row>
    <row r="855" ht="15.75" customHeight="1">
      <c r="A855" s="255"/>
      <c r="B855" s="255"/>
      <c r="C855" s="255"/>
      <c r="D855" s="255"/>
      <c r="E855" s="10"/>
      <c r="F855" s="10"/>
      <c r="G855" s="10"/>
      <c r="H855" s="86"/>
      <c r="I855" s="10"/>
      <c r="J855" s="10"/>
      <c r="K855" s="10"/>
      <c r="L855" s="10"/>
      <c r="M855" s="10"/>
    </row>
    <row r="856" ht="15.75" customHeight="1">
      <c r="A856" s="255"/>
      <c r="B856" s="255"/>
      <c r="C856" s="255"/>
      <c r="D856" s="255"/>
      <c r="E856" s="10"/>
      <c r="F856" s="10"/>
      <c r="G856" s="10"/>
      <c r="H856" s="86"/>
      <c r="I856" s="10"/>
      <c r="J856" s="10"/>
      <c r="K856" s="10"/>
      <c r="L856" s="10"/>
      <c r="M856" s="10"/>
    </row>
    <row r="857" ht="15.75" customHeight="1">
      <c r="A857" s="255"/>
      <c r="B857" s="255"/>
      <c r="C857" s="255"/>
      <c r="D857" s="255"/>
      <c r="E857" s="10"/>
      <c r="F857" s="10"/>
      <c r="G857" s="10"/>
      <c r="H857" s="86"/>
      <c r="I857" s="10"/>
      <c r="J857" s="10"/>
      <c r="K857" s="10"/>
      <c r="L857" s="10"/>
      <c r="M857" s="10"/>
    </row>
    <row r="858" ht="15.75" customHeight="1">
      <c r="A858" s="255"/>
      <c r="B858" s="255"/>
      <c r="C858" s="255"/>
      <c r="D858" s="255"/>
      <c r="E858" s="10"/>
      <c r="F858" s="10"/>
      <c r="G858" s="10"/>
      <c r="H858" s="86"/>
      <c r="I858" s="10"/>
      <c r="J858" s="10"/>
      <c r="K858" s="10"/>
      <c r="L858" s="10"/>
      <c r="M858" s="10"/>
    </row>
    <row r="859" ht="15.75" customHeight="1">
      <c r="A859" s="255"/>
      <c r="B859" s="255"/>
      <c r="C859" s="255"/>
      <c r="D859" s="255"/>
      <c r="E859" s="10"/>
      <c r="F859" s="10"/>
      <c r="G859" s="10"/>
      <c r="H859" s="86"/>
      <c r="I859" s="10"/>
      <c r="J859" s="10"/>
      <c r="K859" s="10"/>
      <c r="L859" s="10"/>
      <c r="M859" s="10"/>
    </row>
    <row r="860" ht="15.75" customHeight="1">
      <c r="A860" s="255"/>
      <c r="B860" s="255"/>
      <c r="C860" s="255"/>
      <c r="D860" s="255"/>
      <c r="E860" s="10"/>
      <c r="F860" s="10"/>
      <c r="G860" s="10"/>
      <c r="H860" s="86"/>
      <c r="I860" s="10"/>
      <c r="J860" s="10"/>
      <c r="K860" s="10"/>
      <c r="L860" s="10"/>
      <c r="M860" s="10"/>
    </row>
    <row r="861" ht="15.75" customHeight="1">
      <c r="A861" s="255"/>
      <c r="B861" s="255"/>
      <c r="C861" s="255"/>
      <c r="D861" s="255"/>
      <c r="E861" s="10"/>
      <c r="F861" s="10"/>
      <c r="G861" s="10"/>
      <c r="H861" s="86"/>
      <c r="I861" s="10"/>
      <c r="J861" s="10"/>
      <c r="K861" s="10"/>
      <c r="L861" s="10"/>
      <c r="M861" s="10"/>
    </row>
    <row r="862" ht="15.75" customHeight="1">
      <c r="A862" s="255"/>
      <c r="B862" s="255"/>
      <c r="C862" s="255"/>
      <c r="D862" s="255"/>
      <c r="E862" s="10"/>
      <c r="F862" s="10"/>
      <c r="G862" s="10"/>
      <c r="H862" s="86"/>
      <c r="I862" s="10"/>
      <c r="J862" s="10"/>
      <c r="K862" s="10"/>
      <c r="L862" s="10"/>
      <c r="M862" s="10"/>
    </row>
    <row r="863" ht="15.75" customHeight="1">
      <c r="A863" s="255"/>
      <c r="B863" s="255"/>
      <c r="C863" s="255"/>
      <c r="D863" s="255"/>
      <c r="E863" s="10"/>
      <c r="F863" s="10"/>
      <c r="G863" s="10"/>
      <c r="H863" s="86"/>
      <c r="I863" s="10"/>
      <c r="J863" s="10"/>
      <c r="K863" s="10"/>
      <c r="L863" s="10"/>
      <c r="M863" s="10"/>
    </row>
    <row r="864" ht="15.75" customHeight="1">
      <c r="A864" s="255"/>
      <c r="B864" s="255"/>
      <c r="C864" s="255"/>
      <c r="D864" s="255"/>
      <c r="E864" s="10"/>
      <c r="F864" s="10"/>
      <c r="G864" s="10"/>
      <c r="H864" s="86"/>
      <c r="I864" s="10"/>
      <c r="J864" s="10"/>
      <c r="K864" s="10"/>
      <c r="L864" s="10"/>
      <c r="M864" s="10"/>
    </row>
    <row r="865" ht="15.75" customHeight="1">
      <c r="A865" s="255"/>
      <c r="B865" s="255"/>
      <c r="C865" s="255"/>
      <c r="D865" s="255"/>
      <c r="E865" s="10"/>
      <c r="F865" s="10"/>
      <c r="G865" s="10"/>
      <c r="H865" s="86"/>
      <c r="I865" s="10"/>
      <c r="J865" s="10"/>
      <c r="K865" s="10"/>
      <c r="L865" s="10"/>
      <c r="M865" s="10"/>
    </row>
    <row r="866" ht="15.75" customHeight="1">
      <c r="A866" s="255"/>
      <c r="B866" s="255"/>
      <c r="C866" s="255"/>
      <c r="D866" s="255"/>
      <c r="E866" s="10"/>
      <c r="F866" s="10"/>
      <c r="G866" s="10"/>
      <c r="H866" s="86"/>
      <c r="I866" s="10"/>
      <c r="J866" s="10"/>
      <c r="K866" s="10"/>
      <c r="L866" s="10"/>
      <c r="M866" s="10"/>
    </row>
    <row r="867" ht="15.75" customHeight="1">
      <c r="A867" s="255"/>
      <c r="B867" s="255"/>
      <c r="C867" s="255"/>
      <c r="D867" s="255"/>
      <c r="E867" s="10"/>
      <c r="F867" s="10"/>
      <c r="G867" s="10"/>
      <c r="H867" s="86"/>
      <c r="I867" s="10"/>
      <c r="J867" s="10"/>
      <c r="K867" s="10"/>
      <c r="L867" s="10"/>
      <c r="M867" s="10"/>
    </row>
    <row r="868" ht="15.75" customHeight="1">
      <c r="A868" s="255"/>
      <c r="B868" s="255"/>
      <c r="C868" s="255"/>
      <c r="D868" s="255"/>
      <c r="E868" s="10"/>
      <c r="F868" s="10"/>
      <c r="G868" s="10"/>
      <c r="H868" s="86"/>
      <c r="I868" s="10"/>
      <c r="J868" s="10"/>
      <c r="K868" s="10"/>
      <c r="L868" s="10"/>
      <c r="M868" s="10"/>
    </row>
    <row r="869" ht="15.75" customHeight="1">
      <c r="A869" s="255"/>
      <c r="B869" s="255"/>
      <c r="C869" s="255"/>
      <c r="D869" s="255"/>
      <c r="E869" s="10"/>
      <c r="F869" s="10"/>
      <c r="G869" s="10"/>
      <c r="H869" s="86"/>
      <c r="I869" s="10"/>
      <c r="J869" s="10"/>
      <c r="K869" s="10"/>
      <c r="L869" s="10"/>
      <c r="M869" s="10"/>
    </row>
    <row r="870" ht="15.75" customHeight="1">
      <c r="A870" s="255"/>
      <c r="B870" s="255"/>
      <c r="C870" s="255"/>
      <c r="D870" s="255"/>
      <c r="E870" s="10"/>
      <c r="F870" s="10"/>
      <c r="G870" s="10"/>
      <c r="H870" s="86"/>
      <c r="I870" s="10"/>
      <c r="J870" s="10"/>
      <c r="K870" s="10"/>
      <c r="L870" s="10"/>
      <c r="M870" s="10"/>
    </row>
    <row r="871" ht="15.75" customHeight="1">
      <c r="A871" s="255"/>
      <c r="B871" s="255"/>
      <c r="C871" s="255"/>
      <c r="D871" s="255"/>
      <c r="E871" s="10"/>
      <c r="F871" s="10"/>
      <c r="G871" s="10"/>
      <c r="H871" s="86"/>
      <c r="I871" s="10"/>
      <c r="J871" s="10"/>
      <c r="K871" s="10"/>
      <c r="L871" s="10"/>
      <c r="M871" s="10"/>
    </row>
    <row r="872" ht="15.75" customHeight="1">
      <c r="A872" s="255"/>
      <c r="B872" s="255"/>
      <c r="C872" s="255"/>
      <c r="D872" s="255"/>
      <c r="E872" s="10"/>
      <c r="F872" s="10"/>
      <c r="G872" s="10"/>
      <c r="H872" s="86"/>
      <c r="I872" s="10"/>
      <c r="J872" s="10"/>
      <c r="K872" s="10"/>
      <c r="L872" s="10"/>
      <c r="M872" s="10"/>
    </row>
    <row r="873" ht="15.75" customHeight="1">
      <c r="A873" s="255"/>
      <c r="B873" s="255"/>
      <c r="C873" s="255"/>
      <c r="D873" s="255"/>
      <c r="E873" s="10"/>
      <c r="F873" s="10"/>
      <c r="G873" s="10"/>
      <c r="H873" s="86"/>
      <c r="I873" s="10"/>
      <c r="J873" s="10"/>
      <c r="K873" s="10"/>
      <c r="L873" s="10"/>
      <c r="M873" s="10"/>
    </row>
    <row r="874" ht="15.75" customHeight="1">
      <c r="A874" s="255"/>
      <c r="B874" s="255"/>
      <c r="C874" s="255"/>
      <c r="D874" s="255"/>
      <c r="E874" s="10"/>
      <c r="F874" s="10"/>
      <c r="G874" s="10"/>
      <c r="H874" s="86"/>
      <c r="I874" s="10"/>
      <c r="J874" s="10"/>
      <c r="K874" s="10"/>
      <c r="L874" s="10"/>
      <c r="M874" s="10"/>
    </row>
    <row r="875" ht="15.75" customHeight="1">
      <c r="A875" s="255"/>
      <c r="B875" s="255"/>
      <c r="C875" s="255"/>
      <c r="D875" s="255"/>
      <c r="E875" s="10"/>
      <c r="F875" s="10"/>
      <c r="G875" s="10"/>
      <c r="H875" s="86"/>
      <c r="I875" s="10"/>
      <c r="J875" s="10"/>
      <c r="K875" s="10"/>
      <c r="L875" s="10"/>
      <c r="M875" s="10"/>
    </row>
    <row r="876" ht="15.75" customHeight="1">
      <c r="A876" s="255"/>
      <c r="B876" s="255"/>
      <c r="C876" s="255"/>
      <c r="D876" s="255"/>
      <c r="E876" s="10"/>
      <c r="F876" s="10"/>
      <c r="G876" s="10"/>
      <c r="H876" s="86"/>
      <c r="I876" s="10"/>
      <c r="J876" s="10"/>
      <c r="K876" s="10"/>
      <c r="L876" s="10"/>
      <c r="M876" s="10"/>
    </row>
    <row r="877" ht="15.75" customHeight="1">
      <c r="A877" s="255"/>
      <c r="B877" s="255"/>
      <c r="C877" s="255"/>
      <c r="D877" s="255"/>
      <c r="E877" s="10"/>
      <c r="F877" s="10"/>
      <c r="G877" s="10"/>
      <c r="H877" s="86"/>
      <c r="I877" s="10"/>
      <c r="J877" s="10"/>
      <c r="K877" s="10"/>
      <c r="L877" s="10"/>
      <c r="M877" s="10"/>
    </row>
    <row r="878" ht="15.75" customHeight="1">
      <c r="A878" s="255"/>
      <c r="B878" s="255"/>
      <c r="C878" s="255"/>
      <c r="D878" s="255"/>
      <c r="E878" s="10"/>
      <c r="F878" s="10"/>
      <c r="G878" s="10"/>
      <c r="H878" s="86"/>
      <c r="I878" s="10"/>
      <c r="J878" s="10"/>
      <c r="K878" s="10"/>
      <c r="L878" s="10"/>
      <c r="M878" s="10"/>
    </row>
    <row r="879" ht="15.75" customHeight="1">
      <c r="A879" s="255"/>
      <c r="B879" s="255"/>
      <c r="C879" s="255"/>
      <c r="D879" s="255"/>
      <c r="E879" s="10"/>
      <c r="F879" s="10"/>
      <c r="G879" s="10"/>
      <c r="H879" s="86"/>
      <c r="I879" s="10"/>
      <c r="J879" s="10"/>
      <c r="K879" s="10"/>
      <c r="L879" s="10"/>
      <c r="M879" s="10"/>
    </row>
    <row r="880" ht="15.75" customHeight="1">
      <c r="A880" s="255"/>
      <c r="B880" s="255"/>
      <c r="C880" s="255"/>
      <c r="D880" s="255"/>
      <c r="E880" s="10"/>
      <c r="F880" s="10"/>
      <c r="G880" s="10"/>
      <c r="H880" s="86"/>
      <c r="I880" s="10"/>
      <c r="J880" s="10"/>
      <c r="K880" s="10"/>
      <c r="L880" s="10"/>
      <c r="M880" s="10"/>
    </row>
    <row r="881" ht="15.75" customHeight="1">
      <c r="A881" s="255"/>
      <c r="B881" s="255"/>
      <c r="C881" s="255"/>
      <c r="D881" s="255"/>
      <c r="E881" s="10"/>
      <c r="F881" s="10"/>
      <c r="G881" s="10"/>
      <c r="H881" s="86"/>
      <c r="I881" s="10"/>
      <c r="J881" s="10"/>
      <c r="K881" s="10"/>
      <c r="L881" s="10"/>
      <c r="M881" s="10"/>
    </row>
    <row r="882" ht="15.75" customHeight="1">
      <c r="A882" s="255"/>
      <c r="B882" s="255"/>
      <c r="C882" s="255"/>
      <c r="D882" s="255"/>
      <c r="E882" s="10"/>
      <c r="F882" s="10"/>
      <c r="G882" s="10"/>
      <c r="H882" s="86"/>
      <c r="I882" s="10"/>
      <c r="J882" s="10"/>
      <c r="K882" s="10"/>
      <c r="L882" s="10"/>
      <c r="M882" s="10"/>
    </row>
    <row r="883" ht="15.75" customHeight="1">
      <c r="A883" s="255"/>
      <c r="B883" s="255"/>
      <c r="C883" s="255"/>
      <c r="D883" s="255"/>
      <c r="E883" s="10"/>
      <c r="F883" s="10"/>
      <c r="G883" s="10"/>
      <c r="H883" s="86"/>
      <c r="I883" s="10"/>
      <c r="J883" s="10"/>
      <c r="K883" s="10"/>
      <c r="L883" s="10"/>
      <c r="M883" s="10"/>
    </row>
    <row r="884" ht="15.75" customHeight="1">
      <c r="A884" s="255"/>
      <c r="B884" s="255"/>
      <c r="C884" s="255"/>
      <c r="D884" s="255"/>
      <c r="E884" s="10"/>
      <c r="F884" s="10"/>
      <c r="G884" s="10"/>
      <c r="H884" s="86"/>
      <c r="I884" s="10"/>
      <c r="J884" s="10"/>
      <c r="K884" s="10"/>
      <c r="L884" s="10"/>
      <c r="M884" s="10"/>
    </row>
    <row r="885" ht="15.75" customHeight="1">
      <c r="A885" s="255"/>
      <c r="B885" s="255"/>
      <c r="C885" s="255"/>
      <c r="D885" s="255"/>
      <c r="E885" s="10"/>
      <c r="F885" s="10"/>
      <c r="G885" s="10"/>
      <c r="H885" s="86"/>
      <c r="I885" s="10"/>
      <c r="J885" s="10"/>
      <c r="K885" s="10"/>
      <c r="L885" s="10"/>
      <c r="M885" s="10"/>
    </row>
    <row r="886" ht="15.75" customHeight="1">
      <c r="A886" s="255"/>
      <c r="B886" s="255"/>
      <c r="C886" s="255"/>
      <c r="D886" s="255"/>
      <c r="E886" s="10"/>
      <c r="F886" s="10"/>
      <c r="G886" s="10"/>
      <c r="H886" s="86"/>
      <c r="I886" s="10"/>
      <c r="J886" s="10"/>
      <c r="K886" s="10"/>
      <c r="L886" s="10"/>
      <c r="M886" s="10"/>
    </row>
    <row r="887" ht="15.75" customHeight="1">
      <c r="A887" s="255"/>
      <c r="B887" s="255"/>
      <c r="C887" s="255"/>
      <c r="D887" s="255"/>
      <c r="E887" s="10"/>
      <c r="F887" s="10"/>
      <c r="G887" s="10"/>
      <c r="H887" s="86"/>
      <c r="I887" s="10"/>
      <c r="J887" s="10"/>
      <c r="K887" s="10"/>
      <c r="L887" s="10"/>
      <c r="M887" s="10"/>
    </row>
    <row r="888" ht="15.75" customHeight="1">
      <c r="A888" s="255"/>
      <c r="B888" s="255"/>
      <c r="C888" s="255"/>
      <c r="D888" s="255"/>
      <c r="E888" s="10"/>
      <c r="F888" s="10"/>
      <c r="G888" s="10"/>
      <c r="H888" s="86"/>
      <c r="I888" s="10"/>
      <c r="J888" s="10"/>
      <c r="K888" s="10"/>
      <c r="L888" s="10"/>
      <c r="M888" s="10"/>
    </row>
    <row r="889" ht="15.75" customHeight="1">
      <c r="A889" s="255"/>
      <c r="B889" s="255"/>
      <c r="C889" s="255"/>
      <c r="D889" s="255"/>
      <c r="E889" s="10"/>
      <c r="F889" s="10"/>
      <c r="G889" s="10"/>
      <c r="H889" s="86"/>
      <c r="I889" s="10"/>
      <c r="J889" s="10"/>
      <c r="K889" s="10"/>
      <c r="L889" s="10"/>
      <c r="M889" s="10"/>
    </row>
    <row r="890" ht="15.75" customHeight="1">
      <c r="A890" s="255"/>
      <c r="B890" s="255"/>
      <c r="C890" s="255"/>
      <c r="D890" s="255"/>
      <c r="E890" s="10"/>
      <c r="F890" s="10"/>
      <c r="G890" s="10"/>
      <c r="H890" s="86"/>
      <c r="I890" s="10"/>
      <c r="J890" s="10"/>
      <c r="K890" s="10"/>
      <c r="L890" s="10"/>
      <c r="M890" s="10"/>
    </row>
    <row r="891" ht="15.75" customHeight="1">
      <c r="A891" s="255"/>
      <c r="B891" s="255"/>
      <c r="C891" s="255"/>
      <c r="D891" s="255"/>
      <c r="E891" s="10"/>
      <c r="F891" s="10"/>
      <c r="G891" s="10"/>
      <c r="H891" s="86"/>
      <c r="I891" s="10"/>
      <c r="J891" s="10"/>
      <c r="K891" s="10"/>
      <c r="L891" s="10"/>
      <c r="M891" s="10"/>
    </row>
    <row r="892" ht="15.75" customHeight="1">
      <c r="A892" s="255"/>
      <c r="B892" s="255"/>
      <c r="C892" s="255"/>
      <c r="D892" s="255"/>
      <c r="E892" s="10"/>
      <c r="F892" s="10"/>
      <c r="G892" s="10"/>
      <c r="H892" s="86"/>
      <c r="I892" s="10"/>
      <c r="J892" s="10"/>
      <c r="K892" s="10"/>
      <c r="L892" s="10"/>
      <c r="M892" s="10"/>
    </row>
    <row r="893" ht="15.75" customHeight="1">
      <c r="A893" s="255"/>
      <c r="B893" s="255"/>
      <c r="C893" s="255"/>
      <c r="D893" s="255"/>
      <c r="E893" s="10"/>
      <c r="F893" s="10"/>
      <c r="G893" s="10"/>
      <c r="H893" s="86"/>
      <c r="I893" s="10"/>
      <c r="J893" s="10"/>
      <c r="K893" s="10"/>
      <c r="L893" s="10"/>
      <c r="M893" s="10"/>
    </row>
    <row r="894" ht="15.75" customHeight="1">
      <c r="A894" s="255"/>
      <c r="B894" s="255"/>
      <c r="C894" s="255"/>
      <c r="D894" s="255"/>
      <c r="E894" s="10"/>
      <c r="F894" s="10"/>
      <c r="G894" s="10"/>
      <c r="H894" s="86"/>
      <c r="I894" s="10"/>
      <c r="J894" s="10"/>
      <c r="K894" s="10"/>
      <c r="L894" s="10"/>
      <c r="M894" s="10"/>
    </row>
    <row r="895" ht="15.75" customHeight="1">
      <c r="A895" s="255"/>
      <c r="B895" s="255"/>
      <c r="C895" s="255"/>
      <c r="D895" s="255"/>
      <c r="E895" s="10"/>
      <c r="F895" s="10"/>
      <c r="G895" s="10"/>
      <c r="H895" s="86"/>
      <c r="I895" s="10"/>
      <c r="J895" s="10"/>
      <c r="K895" s="10"/>
      <c r="L895" s="10"/>
      <c r="M895" s="10"/>
    </row>
    <row r="896" ht="15.75" customHeight="1">
      <c r="A896" s="255"/>
      <c r="B896" s="255"/>
      <c r="C896" s="255"/>
      <c r="D896" s="255"/>
      <c r="E896" s="10"/>
      <c r="F896" s="10"/>
      <c r="G896" s="10"/>
      <c r="H896" s="86"/>
      <c r="I896" s="10"/>
      <c r="J896" s="10"/>
      <c r="K896" s="10"/>
      <c r="L896" s="10"/>
      <c r="M896" s="10"/>
    </row>
    <row r="897" ht="15.75" customHeight="1">
      <c r="A897" s="255"/>
      <c r="B897" s="255"/>
      <c r="C897" s="255"/>
      <c r="D897" s="255"/>
      <c r="E897" s="10"/>
      <c r="F897" s="10"/>
      <c r="G897" s="10"/>
      <c r="H897" s="86"/>
      <c r="I897" s="10"/>
      <c r="J897" s="10"/>
      <c r="K897" s="10"/>
      <c r="L897" s="10"/>
      <c r="M897" s="10"/>
    </row>
    <row r="898" ht="15.75" customHeight="1">
      <c r="A898" s="255"/>
      <c r="B898" s="255"/>
      <c r="C898" s="255"/>
      <c r="D898" s="255"/>
      <c r="E898" s="10"/>
      <c r="F898" s="10"/>
      <c r="G898" s="10"/>
      <c r="H898" s="86"/>
      <c r="I898" s="10"/>
      <c r="J898" s="10"/>
      <c r="K898" s="10"/>
      <c r="L898" s="10"/>
      <c r="M898" s="10"/>
    </row>
    <row r="899" ht="15.75" customHeight="1">
      <c r="A899" s="255"/>
      <c r="B899" s="255"/>
      <c r="C899" s="255"/>
      <c r="D899" s="255"/>
      <c r="E899" s="10"/>
      <c r="F899" s="10"/>
      <c r="G899" s="10"/>
      <c r="H899" s="86"/>
      <c r="I899" s="10"/>
      <c r="J899" s="10"/>
      <c r="K899" s="10"/>
      <c r="L899" s="10"/>
      <c r="M899" s="10"/>
    </row>
    <row r="900" ht="15.75" customHeight="1">
      <c r="A900" s="255"/>
      <c r="B900" s="255"/>
      <c r="C900" s="255"/>
      <c r="D900" s="255"/>
      <c r="E900" s="10"/>
      <c r="F900" s="10"/>
      <c r="G900" s="10"/>
      <c r="H900" s="86"/>
      <c r="I900" s="10"/>
      <c r="J900" s="10"/>
      <c r="K900" s="10"/>
      <c r="L900" s="10"/>
      <c r="M900" s="10"/>
    </row>
    <row r="901" ht="15.75" customHeight="1">
      <c r="A901" s="255"/>
      <c r="B901" s="255"/>
      <c r="C901" s="255"/>
      <c r="D901" s="255"/>
      <c r="E901" s="10"/>
      <c r="F901" s="10"/>
      <c r="G901" s="10"/>
      <c r="H901" s="86"/>
      <c r="I901" s="10"/>
      <c r="J901" s="10"/>
      <c r="K901" s="10"/>
      <c r="L901" s="10"/>
      <c r="M901" s="10"/>
    </row>
    <row r="902" ht="15.75" customHeight="1">
      <c r="A902" s="255"/>
      <c r="B902" s="255"/>
      <c r="C902" s="255"/>
      <c r="D902" s="255"/>
      <c r="E902" s="10"/>
      <c r="F902" s="10"/>
      <c r="G902" s="10"/>
      <c r="H902" s="86"/>
      <c r="I902" s="10"/>
      <c r="J902" s="10"/>
      <c r="K902" s="10"/>
      <c r="L902" s="10"/>
      <c r="M902" s="10"/>
    </row>
    <row r="903" ht="15.75" customHeight="1">
      <c r="A903" s="255"/>
      <c r="B903" s="255"/>
      <c r="C903" s="255"/>
      <c r="D903" s="255"/>
      <c r="E903" s="10"/>
      <c r="F903" s="10"/>
      <c r="G903" s="10"/>
      <c r="H903" s="86"/>
      <c r="I903" s="10"/>
      <c r="J903" s="10"/>
      <c r="K903" s="10"/>
      <c r="L903" s="10"/>
      <c r="M903" s="10"/>
    </row>
    <row r="904" ht="15.75" customHeight="1">
      <c r="A904" s="255"/>
      <c r="B904" s="255"/>
      <c r="C904" s="255"/>
      <c r="D904" s="255"/>
      <c r="E904" s="10"/>
      <c r="F904" s="10"/>
      <c r="G904" s="10"/>
      <c r="H904" s="86"/>
      <c r="I904" s="10"/>
      <c r="J904" s="10"/>
      <c r="K904" s="10"/>
      <c r="L904" s="10"/>
      <c r="M904" s="10"/>
    </row>
    <row r="905" ht="15.75" customHeight="1">
      <c r="A905" s="255"/>
      <c r="B905" s="255"/>
      <c r="C905" s="255"/>
      <c r="D905" s="255"/>
      <c r="E905" s="10"/>
      <c r="F905" s="10"/>
      <c r="G905" s="10"/>
      <c r="H905" s="86"/>
      <c r="I905" s="10"/>
      <c r="J905" s="10"/>
      <c r="K905" s="10"/>
      <c r="L905" s="10"/>
      <c r="M905" s="10"/>
    </row>
    <row r="906" ht="15.75" customHeight="1">
      <c r="A906" s="255"/>
      <c r="B906" s="255"/>
      <c r="C906" s="255"/>
      <c r="D906" s="255"/>
      <c r="E906" s="10"/>
      <c r="F906" s="10"/>
      <c r="G906" s="10"/>
      <c r="H906" s="86"/>
      <c r="I906" s="10"/>
      <c r="J906" s="10"/>
      <c r="K906" s="10"/>
      <c r="L906" s="10"/>
      <c r="M906" s="10"/>
    </row>
    <row r="907" ht="15.75" customHeight="1">
      <c r="A907" s="255"/>
      <c r="B907" s="255"/>
      <c r="C907" s="255"/>
      <c r="D907" s="255"/>
      <c r="E907" s="10"/>
      <c r="F907" s="10"/>
      <c r="G907" s="10"/>
      <c r="H907" s="86"/>
      <c r="I907" s="10"/>
      <c r="J907" s="10"/>
      <c r="K907" s="10"/>
      <c r="L907" s="10"/>
      <c r="M907" s="10"/>
    </row>
    <row r="908" ht="15.75" customHeight="1">
      <c r="A908" s="255"/>
      <c r="B908" s="255"/>
      <c r="C908" s="255"/>
      <c r="D908" s="255"/>
      <c r="E908" s="10"/>
      <c r="F908" s="10"/>
      <c r="G908" s="10"/>
      <c r="H908" s="86"/>
      <c r="I908" s="10"/>
      <c r="J908" s="10"/>
      <c r="K908" s="10"/>
      <c r="L908" s="10"/>
      <c r="M908" s="10"/>
    </row>
    <row r="909" ht="15.75" customHeight="1">
      <c r="A909" s="255"/>
      <c r="B909" s="255"/>
      <c r="C909" s="255"/>
      <c r="D909" s="255"/>
      <c r="E909" s="10"/>
      <c r="F909" s="10"/>
      <c r="G909" s="10"/>
      <c r="H909" s="86"/>
      <c r="I909" s="10"/>
      <c r="J909" s="10"/>
      <c r="K909" s="10"/>
      <c r="L909" s="10"/>
      <c r="M909" s="10"/>
    </row>
    <row r="910" ht="15.75" customHeight="1">
      <c r="A910" s="255"/>
      <c r="B910" s="255"/>
      <c r="C910" s="255"/>
      <c r="D910" s="255"/>
      <c r="E910" s="10"/>
      <c r="F910" s="10"/>
      <c r="G910" s="10"/>
      <c r="H910" s="86"/>
      <c r="I910" s="10"/>
      <c r="J910" s="10"/>
      <c r="K910" s="10"/>
      <c r="L910" s="10"/>
      <c r="M910" s="10"/>
    </row>
    <row r="911" ht="15.75" customHeight="1">
      <c r="A911" s="255"/>
      <c r="B911" s="255"/>
      <c r="C911" s="255"/>
      <c r="D911" s="255"/>
      <c r="E911" s="10"/>
      <c r="F911" s="10"/>
      <c r="G911" s="10"/>
      <c r="H911" s="86"/>
      <c r="I911" s="10"/>
      <c r="J911" s="10"/>
      <c r="K911" s="10"/>
      <c r="L911" s="10"/>
      <c r="M911" s="10"/>
    </row>
    <row r="912" ht="15.75" customHeight="1">
      <c r="A912" s="255"/>
      <c r="B912" s="255"/>
      <c r="C912" s="255"/>
      <c r="D912" s="255"/>
      <c r="E912" s="10"/>
      <c r="F912" s="10"/>
      <c r="G912" s="10"/>
      <c r="H912" s="86"/>
      <c r="I912" s="10"/>
      <c r="J912" s="10"/>
      <c r="K912" s="10"/>
      <c r="L912" s="10"/>
      <c r="M912" s="10"/>
    </row>
    <row r="913" ht="15.75" customHeight="1">
      <c r="A913" s="255"/>
      <c r="B913" s="255"/>
      <c r="C913" s="255"/>
      <c r="D913" s="255"/>
      <c r="E913" s="10"/>
      <c r="F913" s="10"/>
      <c r="G913" s="10"/>
      <c r="H913" s="86"/>
      <c r="I913" s="10"/>
      <c r="J913" s="10"/>
      <c r="K913" s="10"/>
      <c r="L913" s="10"/>
      <c r="M913" s="10"/>
    </row>
    <row r="914" ht="15.75" customHeight="1">
      <c r="A914" s="255"/>
      <c r="B914" s="255"/>
      <c r="C914" s="255"/>
      <c r="D914" s="255"/>
      <c r="E914" s="10"/>
      <c r="F914" s="10"/>
      <c r="G914" s="10"/>
      <c r="H914" s="86"/>
      <c r="I914" s="10"/>
      <c r="J914" s="10"/>
      <c r="K914" s="10"/>
      <c r="L914" s="10"/>
      <c r="M914" s="10"/>
    </row>
    <row r="915" ht="15.75" customHeight="1">
      <c r="A915" s="255"/>
      <c r="B915" s="255"/>
      <c r="C915" s="255"/>
      <c r="D915" s="255"/>
      <c r="E915" s="10"/>
      <c r="F915" s="10"/>
      <c r="G915" s="10"/>
      <c r="H915" s="86"/>
      <c r="I915" s="10"/>
      <c r="J915" s="10"/>
      <c r="K915" s="10"/>
      <c r="L915" s="10"/>
      <c r="M915" s="10"/>
    </row>
    <row r="916" ht="15.75" customHeight="1">
      <c r="A916" s="255"/>
      <c r="B916" s="255"/>
      <c r="C916" s="255"/>
      <c r="D916" s="255"/>
      <c r="E916" s="10"/>
      <c r="F916" s="10"/>
      <c r="G916" s="10"/>
      <c r="H916" s="86"/>
      <c r="I916" s="10"/>
      <c r="J916" s="10"/>
      <c r="K916" s="10"/>
      <c r="L916" s="10"/>
      <c r="M916" s="10"/>
    </row>
    <row r="917" ht="15.75" customHeight="1">
      <c r="A917" s="255"/>
      <c r="B917" s="255"/>
      <c r="C917" s="255"/>
      <c r="D917" s="255"/>
      <c r="E917" s="10"/>
      <c r="F917" s="10"/>
      <c r="G917" s="10"/>
      <c r="H917" s="86"/>
      <c r="I917" s="10"/>
      <c r="J917" s="10"/>
      <c r="K917" s="10"/>
      <c r="L917" s="10"/>
      <c r="M917" s="10"/>
    </row>
    <row r="918" ht="15.75" customHeight="1">
      <c r="A918" s="255"/>
      <c r="B918" s="255"/>
      <c r="C918" s="255"/>
      <c r="D918" s="255"/>
      <c r="E918" s="10"/>
      <c r="F918" s="10"/>
      <c r="G918" s="10"/>
      <c r="H918" s="86"/>
      <c r="I918" s="10"/>
      <c r="J918" s="10"/>
      <c r="K918" s="10"/>
      <c r="L918" s="10"/>
      <c r="M918" s="10"/>
    </row>
    <row r="919" ht="15.75" customHeight="1">
      <c r="A919" s="255"/>
      <c r="B919" s="255"/>
      <c r="C919" s="255"/>
      <c r="D919" s="255"/>
      <c r="E919" s="10"/>
      <c r="F919" s="10"/>
      <c r="G919" s="10"/>
      <c r="H919" s="86"/>
      <c r="I919" s="10"/>
      <c r="J919" s="10"/>
      <c r="K919" s="10"/>
      <c r="L919" s="10"/>
      <c r="M919" s="10"/>
    </row>
    <row r="920" ht="15.75" customHeight="1">
      <c r="A920" s="255"/>
      <c r="B920" s="255"/>
      <c r="C920" s="255"/>
      <c r="D920" s="255"/>
      <c r="E920" s="10"/>
      <c r="F920" s="10"/>
      <c r="G920" s="10"/>
      <c r="H920" s="86"/>
      <c r="I920" s="10"/>
      <c r="J920" s="10"/>
      <c r="K920" s="10"/>
      <c r="L920" s="10"/>
      <c r="M920" s="10"/>
    </row>
    <row r="921" ht="15.75" customHeight="1">
      <c r="A921" s="255"/>
      <c r="B921" s="255"/>
      <c r="C921" s="255"/>
      <c r="D921" s="255"/>
      <c r="E921" s="10"/>
      <c r="F921" s="10"/>
      <c r="G921" s="10"/>
      <c r="H921" s="86"/>
      <c r="I921" s="10"/>
      <c r="J921" s="10"/>
      <c r="K921" s="10"/>
      <c r="L921" s="10"/>
      <c r="M921" s="10"/>
    </row>
    <row r="922" ht="15.75" customHeight="1">
      <c r="A922" s="255"/>
      <c r="B922" s="255"/>
      <c r="C922" s="255"/>
      <c r="D922" s="255"/>
      <c r="E922" s="10"/>
      <c r="F922" s="10"/>
      <c r="G922" s="10"/>
      <c r="H922" s="86"/>
      <c r="I922" s="10"/>
      <c r="J922" s="10"/>
      <c r="K922" s="10"/>
      <c r="L922" s="10"/>
      <c r="M922" s="10"/>
    </row>
    <row r="923" ht="15.75" customHeight="1">
      <c r="A923" s="255"/>
      <c r="B923" s="255"/>
      <c r="C923" s="255"/>
      <c r="D923" s="255"/>
      <c r="E923" s="10"/>
      <c r="F923" s="10"/>
      <c r="G923" s="10"/>
      <c r="H923" s="86"/>
      <c r="I923" s="10"/>
      <c r="J923" s="10"/>
      <c r="K923" s="10"/>
      <c r="L923" s="10"/>
      <c r="M923" s="10"/>
    </row>
    <row r="924" ht="15.75" customHeight="1">
      <c r="A924" s="255"/>
      <c r="B924" s="255"/>
      <c r="C924" s="255"/>
      <c r="D924" s="255"/>
      <c r="E924" s="10"/>
      <c r="F924" s="10"/>
      <c r="G924" s="10"/>
      <c r="H924" s="86"/>
      <c r="I924" s="10"/>
      <c r="J924" s="10"/>
      <c r="K924" s="10"/>
      <c r="L924" s="10"/>
      <c r="M924" s="10"/>
    </row>
    <row r="925" ht="15.75" customHeight="1">
      <c r="A925" s="255"/>
      <c r="B925" s="255"/>
      <c r="C925" s="255"/>
      <c r="D925" s="255"/>
      <c r="E925" s="10"/>
      <c r="F925" s="10"/>
      <c r="G925" s="10"/>
      <c r="H925" s="86"/>
      <c r="I925" s="10"/>
      <c r="J925" s="10"/>
      <c r="K925" s="10"/>
      <c r="L925" s="10"/>
      <c r="M925" s="10"/>
    </row>
    <row r="926" ht="15.75" customHeight="1">
      <c r="A926" s="255"/>
      <c r="B926" s="255"/>
      <c r="C926" s="255"/>
      <c r="D926" s="255"/>
      <c r="E926" s="10"/>
      <c r="F926" s="10"/>
      <c r="G926" s="10"/>
      <c r="H926" s="86"/>
      <c r="I926" s="10"/>
      <c r="J926" s="10"/>
      <c r="K926" s="10"/>
      <c r="L926" s="10"/>
      <c r="M926" s="10"/>
    </row>
    <row r="927" ht="15.75" customHeight="1">
      <c r="A927" s="255"/>
      <c r="B927" s="255"/>
      <c r="C927" s="255"/>
      <c r="D927" s="255"/>
      <c r="E927" s="10"/>
      <c r="F927" s="10"/>
      <c r="G927" s="10"/>
      <c r="H927" s="86"/>
      <c r="I927" s="10"/>
      <c r="J927" s="10"/>
      <c r="K927" s="10"/>
      <c r="L927" s="10"/>
      <c r="M927" s="10"/>
    </row>
    <row r="928" ht="15.75" customHeight="1">
      <c r="A928" s="255"/>
      <c r="B928" s="255"/>
      <c r="C928" s="255"/>
      <c r="D928" s="255"/>
      <c r="E928" s="10"/>
      <c r="F928" s="10"/>
      <c r="G928" s="10"/>
      <c r="H928" s="86"/>
      <c r="I928" s="10"/>
      <c r="J928" s="10"/>
      <c r="K928" s="10"/>
      <c r="L928" s="10"/>
      <c r="M928" s="10"/>
    </row>
    <row r="929" ht="15.75" customHeight="1">
      <c r="A929" s="255"/>
      <c r="B929" s="255"/>
      <c r="C929" s="255"/>
      <c r="D929" s="255"/>
      <c r="E929" s="10"/>
      <c r="F929" s="10"/>
      <c r="G929" s="10"/>
      <c r="H929" s="86"/>
      <c r="I929" s="10"/>
      <c r="J929" s="10"/>
      <c r="K929" s="10"/>
      <c r="L929" s="10"/>
      <c r="M929" s="10"/>
    </row>
    <row r="930" ht="15.75" customHeight="1">
      <c r="A930" s="255"/>
      <c r="B930" s="255"/>
      <c r="C930" s="255"/>
      <c r="D930" s="255"/>
      <c r="E930" s="10"/>
      <c r="F930" s="10"/>
      <c r="G930" s="10"/>
      <c r="H930" s="86"/>
      <c r="I930" s="10"/>
      <c r="J930" s="10"/>
      <c r="K930" s="10"/>
      <c r="L930" s="10"/>
      <c r="M930" s="10"/>
    </row>
    <row r="931" ht="15.75" customHeight="1">
      <c r="A931" s="255"/>
      <c r="B931" s="255"/>
      <c r="C931" s="255"/>
      <c r="D931" s="255"/>
      <c r="E931" s="10"/>
      <c r="F931" s="10"/>
      <c r="G931" s="10"/>
      <c r="H931" s="86"/>
      <c r="I931" s="10"/>
      <c r="J931" s="10"/>
      <c r="K931" s="10"/>
      <c r="L931" s="10"/>
      <c r="M931" s="10"/>
    </row>
    <row r="932" ht="15.75" customHeight="1">
      <c r="A932" s="255"/>
      <c r="B932" s="255"/>
      <c r="C932" s="255"/>
      <c r="D932" s="255"/>
      <c r="E932" s="10"/>
      <c r="F932" s="10"/>
      <c r="G932" s="10"/>
      <c r="H932" s="86"/>
      <c r="I932" s="10"/>
      <c r="J932" s="10"/>
      <c r="K932" s="10"/>
      <c r="L932" s="10"/>
      <c r="M932" s="10"/>
    </row>
    <row r="933" ht="15.75" customHeight="1">
      <c r="A933" s="255"/>
      <c r="B933" s="255"/>
      <c r="C933" s="255"/>
      <c r="D933" s="255"/>
      <c r="E933" s="10"/>
      <c r="F933" s="10"/>
      <c r="G933" s="10"/>
      <c r="H933" s="86"/>
      <c r="I933" s="10"/>
      <c r="J933" s="10"/>
      <c r="K933" s="10"/>
      <c r="L933" s="10"/>
      <c r="M933" s="10"/>
    </row>
    <row r="934" ht="15.75" customHeight="1">
      <c r="A934" s="255"/>
      <c r="B934" s="255"/>
      <c r="C934" s="255"/>
      <c r="D934" s="255"/>
      <c r="E934" s="10"/>
      <c r="F934" s="10"/>
      <c r="G934" s="10"/>
      <c r="H934" s="86"/>
      <c r="I934" s="10"/>
      <c r="J934" s="10"/>
      <c r="K934" s="10"/>
      <c r="L934" s="10"/>
      <c r="M934" s="10"/>
    </row>
    <row r="935" ht="15.75" customHeight="1">
      <c r="A935" s="255"/>
      <c r="B935" s="255"/>
      <c r="C935" s="255"/>
      <c r="D935" s="255"/>
      <c r="E935" s="10"/>
      <c r="F935" s="10"/>
      <c r="G935" s="10"/>
      <c r="H935" s="86"/>
      <c r="I935" s="10"/>
      <c r="J935" s="10"/>
      <c r="K935" s="10"/>
      <c r="L935" s="10"/>
      <c r="M935" s="10"/>
    </row>
    <row r="936" ht="15.75" customHeight="1">
      <c r="A936" s="255"/>
      <c r="B936" s="255"/>
      <c r="C936" s="255"/>
      <c r="D936" s="255"/>
      <c r="E936" s="10"/>
      <c r="F936" s="10"/>
      <c r="G936" s="10"/>
      <c r="H936" s="86"/>
      <c r="I936" s="10"/>
      <c r="J936" s="10"/>
      <c r="K936" s="10"/>
      <c r="L936" s="10"/>
      <c r="M936" s="10"/>
    </row>
    <row r="937" ht="15.75" customHeight="1">
      <c r="A937" s="255"/>
      <c r="B937" s="255"/>
      <c r="C937" s="255"/>
      <c r="D937" s="255"/>
      <c r="E937" s="10"/>
      <c r="F937" s="10"/>
      <c r="G937" s="10"/>
      <c r="H937" s="86"/>
      <c r="I937" s="10"/>
      <c r="J937" s="10"/>
      <c r="K937" s="10"/>
      <c r="L937" s="10"/>
      <c r="M937" s="10"/>
    </row>
    <row r="938" ht="15.75" customHeight="1">
      <c r="A938" s="255"/>
      <c r="B938" s="255"/>
      <c r="C938" s="255"/>
      <c r="D938" s="255"/>
      <c r="E938" s="10"/>
      <c r="F938" s="10"/>
      <c r="G938" s="10"/>
      <c r="H938" s="86"/>
      <c r="I938" s="10"/>
      <c r="J938" s="10"/>
      <c r="K938" s="10"/>
      <c r="L938" s="10"/>
      <c r="M938" s="10"/>
    </row>
    <row r="939" ht="15.75" customHeight="1">
      <c r="A939" s="255"/>
      <c r="B939" s="255"/>
      <c r="C939" s="255"/>
      <c r="D939" s="255"/>
      <c r="E939" s="10"/>
      <c r="F939" s="10"/>
      <c r="G939" s="10"/>
      <c r="H939" s="86"/>
      <c r="I939" s="10"/>
      <c r="J939" s="10"/>
      <c r="K939" s="10"/>
      <c r="L939" s="10"/>
      <c r="M939" s="10"/>
    </row>
    <row r="940" ht="15.75" customHeight="1">
      <c r="A940" s="255"/>
      <c r="B940" s="255"/>
      <c r="C940" s="255"/>
      <c r="D940" s="255"/>
      <c r="E940" s="10"/>
      <c r="F940" s="10"/>
      <c r="G940" s="10"/>
      <c r="H940" s="86"/>
      <c r="I940" s="10"/>
      <c r="J940" s="10"/>
      <c r="K940" s="10"/>
      <c r="L940" s="10"/>
      <c r="M940" s="10"/>
    </row>
    <row r="941" ht="15.75" customHeight="1">
      <c r="A941" s="255"/>
      <c r="B941" s="255"/>
      <c r="C941" s="255"/>
      <c r="D941" s="255"/>
      <c r="E941" s="10"/>
      <c r="F941" s="10"/>
      <c r="G941" s="10"/>
      <c r="H941" s="86"/>
      <c r="I941" s="10"/>
      <c r="J941" s="10"/>
      <c r="K941" s="10"/>
      <c r="L941" s="10"/>
      <c r="M941" s="10"/>
    </row>
    <row r="942" ht="15.75" customHeight="1">
      <c r="A942" s="255"/>
      <c r="B942" s="255"/>
      <c r="C942" s="255"/>
      <c r="D942" s="255"/>
      <c r="E942" s="10"/>
      <c r="F942" s="10"/>
      <c r="G942" s="10"/>
      <c r="H942" s="86"/>
      <c r="I942" s="10"/>
      <c r="J942" s="10"/>
      <c r="K942" s="10"/>
      <c r="L942" s="10"/>
      <c r="M942" s="10"/>
    </row>
    <row r="943" ht="15.75" customHeight="1">
      <c r="A943" s="255"/>
      <c r="B943" s="255"/>
      <c r="C943" s="255"/>
      <c r="D943" s="255"/>
      <c r="E943" s="10"/>
      <c r="F943" s="10"/>
      <c r="G943" s="10"/>
      <c r="H943" s="86"/>
      <c r="I943" s="10"/>
      <c r="J943" s="10"/>
      <c r="K943" s="10"/>
      <c r="L943" s="10"/>
      <c r="M943" s="10"/>
    </row>
    <row r="944" ht="15.75" customHeight="1">
      <c r="A944" s="255"/>
      <c r="B944" s="255"/>
      <c r="C944" s="255"/>
      <c r="D944" s="255"/>
      <c r="E944" s="10"/>
      <c r="F944" s="10"/>
      <c r="G944" s="10"/>
      <c r="H944" s="86"/>
      <c r="I944" s="10"/>
      <c r="J944" s="10"/>
      <c r="K944" s="10"/>
      <c r="L944" s="10"/>
      <c r="M944" s="10"/>
    </row>
    <row r="945" ht="15.75" customHeight="1">
      <c r="A945" s="255"/>
      <c r="B945" s="255"/>
      <c r="C945" s="255"/>
      <c r="D945" s="255"/>
      <c r="E945" s="10"/>
      <c r="F945" s="10"/>
      <c r="G945" s="10"/>
      <c r="H945" s="86"/>
      <c r="I945" s="10"/>
      <c r="J945" s="10"/>
      <c r="K945" s="10"/>
      <c r="L945" s="10"/>
      <c r="M945" s="10"/>
    </row>
    <row r="946" ht="15.75" customHeight="1">
      <c r="A946" s="255"/>
      <c r="B946" s="255"/>
      <c r="C946" s="255"/>
      <c r="D946" s="255"/>
      <c r="E946" s="10"/>
      <c r="F946" s="10"/>
      <c r="G946" s="10"/>
      <c r="H946" s="86"/>
      <c r="I946" s="10"/>
      <c r="J946" s="10"/>
      <c r="K946" s="10"/>
      <c r="L946" s="10"/>
      <c r="M946" s="10"/>
    </row>
    <row r="947" ht="15.75" customHeight="1">
      <c r="A947" s="255"/>
      <c r="B947" s="255"/>
      <c r="C947" s="255"/>
      <c r="D947" s="255"/>
      <c r="E947" s="10"/>
      <c r="F947" s="10"/>
      <c r="G947" s="10"/>
      <c r="H947" s="86"/>
      <c r="I947" s="10"/>
      <c r="J947" s="10"/>
      <c r="K947" s="10"/>
      <c r="L947" s="10"/>
      <c r="M947" s="10"/>
    </row>
    <row r="948" ht="15.75" customHeight="1">
      <c r="A948" s="255"/>
      <c r="B948" s="255"/>
      <c r="C948" s="255"/>
      <c r="D948" s="255"/>
      <c r="E948" s="10"/>
      <c r="F948" s="10"/>
      <c r="G948" s="10"/>
      <c r="H948" s="86"/>
      <c r="I948" s="10"/>
      <c r="J948" s="10"/>
      <c r="K948" s="10"/>
      <c r="L948" s="10"/>
      <c r="M948" s="10"/>
    </row>
    <row r="949" ht="15.75" customHeight="1">
      <c r="A949" s="255"/>
      <c r="B949" s="255"/>
      <c r="C949" s="255"/>
      <c r="D949" s="255"/>
      <c r="E949" s="10"/>
      <c r="F949" s="10"/>
      <c r="G949" s="10"/>
      <c r="H949" s="86"/>
      <c r="I949" s="10"/>
      <c r="J949" s="10"/>
      <c r="K949" s="10"/>
      <c r="L949" s="10"/>
      <c r="M949" s="10"/>
    </row>
    <row r="950" ht="15.75" customHeight="1">
      <c r="A950" s="255"/>
      <c r="B950" s="255"/>
      <c r="C950" s="255"/>
      <c r="D950" s="255"/>
      <c r="E950" s="10"/>
      <c r="F950" s="10"/>
      <c r="G950" s="10"/>
      <c r="H950" s="86"/>
      <c r="I950" s="10"/>
      <c r="J950" s="10"/>
      <c r="K950" s="10"/>
      <c r="L950" s="10"/>
      <c r="M950" s="10"/>
    </row>
    <row r="951" ht="15.75" customHeight="1">
      <c r="A951" s="255"/>
      <c r="B951" s="255"/>
      <c r="C951" s="255"/>
      <c r="D951" s="255"/>
      <c r="E951" s="10"/>
      <c r="F951" s="10"/>
      <c r="G951" s="10"/>
      <c r="H951" s="86"/>
      <c r="I951" s="10"/>
      <c r="J951" s="10"/>
      <c r="K951" s="10"/>
      <c r="L951" s="10"/>
      <c r="M951" s="10"/>
    </row>
    <row r="952" ht="15.75" customHeight="1">
      <c r="A952" s="255"/>
      <c r="B952" s="255"/>
      <c r="C952" s="255"/>
      <c r="D952" s="255"/>
      <c r="E952" s="10"/>
      <c r="F952" s="10"/>
      <c r="G952" s="10"/>
      <c r="H952" s="86"/>
      <c r="I952" s="10"/>
      <c r="J952" s="10"/>
      <c r="K952" s="10"/>
      <c r="L952" s="10"/>
      <c r="M952" s="10"/>
    </row>
    <row r="953" ht="15.75" customHeight="1">
      <c r="A953" s="255"/>
      <c r="B953" s="255"/>
      <c r="C953" s="255"/>
      <c r="D953" s="255"/>
      <c r="E953" s="10"/>
      <c r="F953" s="10"/>
      <c r="G953" s="10"/>
      <c r="H953" s="86"/>
      <c r="I953" s="10"/>
      <c r="J953" s="10"/>
      <c r="K953" s="10"/>
      <c r="L953" s="10"/>
      <c r="M953" s="10"/>
    </row>
    <row r="954" ht="15.75" customHeight="1">
      <c r="A954" s="255"/>
      <c r="B954" s="255"/>
      <c r="C954" s="255"/>
      <c r="D954" s="255"/>
      <c r="E954" s="10"/>
      <c r="F954" s="10"/>
      <c r="G954" s="10"/>
      <c r="H954" s="86"/>
      <c r="I954" s="10"/>
      <c r="J954" s="10"/>
      <c r="K954" s="10"/>
      <c r="L954" s="10"/>
      <c r="M954" s="10"/>
    </row>
    <row r="955" ht="15.75" customHeight="1">
      <c r="A955" s="255"/>
      <c r="B955" s="255"/>
      <c r="C955" s="255"/>
      <c r="D955" s="255"/>
      <c r="E955" s="10"/>
      <c r="F955" s="10"/>
      <c r="G955" s="10"/>
      <c r="H955" s="86"/>
      <c r="I955" s="10"/>
      <c r="J955" s="10"/>
      <c r="K955" s="10"/>
      <c r="L955" s="10"/>
      <c r="M955" s="10"/>
    </row>
    <row r="956" ht="15.75" customHeight="1">
      <c r="A956" s="255"/>
      <c r="B956" s="255"/>
      <c r="C956" s="255"/>
      <c r="D956" s="255"/>
      <c r="E956" s="10"/>
      <c r="F956" s="10"/>
      <c r="G956" s="10"/>
      <c r="H956" s="86"/>
      <c r="I956" s="10"/>
      <c r="J956" s="10"/>
      <c r="K956" s="10"/>
      <c r="L956" s="10"/>
      <c r="M956" s="10"/>
    </row>
    <row r="957" ht="15.75" customHeight="1">
      <c r="A957" s="255"/>
      <c r="B957" s="255"/>
      <c r="C957" s="255"/>
      <c r="D957" s="255"/>
      <c r="E957" s="10"/>
      <c r="F957" s="10"/>
      <c r="G957" s="10"/>
      <c r="H957" s="86"/>
      <c r="I957" s="10"/>
      <c r="J957" s="10"/>
      <c r="K957" s="10"/>
      <c r="L957" s="10"/>
      <c r="M957" s="10"/>
    </row>
    <row r="958" ht="15.75" customHeight="1">
      <c r="A958" s="255"/>
      <c r="B958" s="255"/>
      <c r="C958" s="255"/>
      <c r="D958" s="255"/>
      <c r="E958" s="10"/>
      <c r="F958" s="10"/>
      <c r="G958" s="10"/>
      <c r="H958" s="86"/>
      <c r="I958" s="10"/>
      <c r="J958" s="10"/>
      <c r="K958" s="10"/>
      <c r="L958" s="10"/>
      <c r="M958" s="10"/>
    </row>
    <row r="959" ht="15.75" customHeight="1">
      <c r="A959" s="255"/>
      <c r="B959" s="255"/>
      <c r="C959" s="255"/>
      <c r="D959" s="255"/>
      <c r="E959" s="10"/>
      <c r="F959" s="10"/>
      <c r="G959" s="10"/>
      <c r="H959" s="86"/>
      <c r="I959" s="10"/>
      <c r="J959" s="10"/>
      <c r="K959" s="10"/>
      <c r="L959" s="10"/>
      <c r="M959" s="10"/>
    </row>
    <row r="960" ht="15.75" customHeight="1">
      <c r="A960" s="255"/>
      <c r="B960" s="255"/>
      <c r="C960" s="255"/>
      <c r="D960" s="255"/>
      <c r="E960" s="10"/>
      <c r="F960" s="10"/>
      <c r="G960" s="10"/>
      <c r="H960" s="86"/>
      <c r="I960" s="10"/>
      <c r="J960" s="10"/>
      <c r="K960" s="10"/>
      <c r="L960" s="10"/>
      <c r="M960" s="10"/>
    </row>
    <row r="961" ht="15.75" customHeight="1">
      <c r="A961" s="255"/>
      <c r="B961" s="255"/>
      <c r="C961" s="255"/>
      <c r="D961" s="255"/>
      <c r="E961" s="10"/>
      <c r="F961" s="10"/>
      <c r="G961" s="10"/>
      <c r="H961" s="86"/>
      <c r="I961" s="10"/>
      <c r="J961" s="10"/>
      <c r="K961" s="10"/>
      <c r="L961" s="10"/>
      <c r="M961" s="10"/>
    </row>
    <row r="962" ht="15.75" customHeight="1">
      <c r="A962" s="255"/>
      <c r="B962" s="255"/>
      <c r="C962" s="255"/>
      <c r="D962" s="255"/>
      <c r="E962" s="10"/>
      <c r="F962" s="10"/>
      <c r="G962" s="10"/>
      <c r="H962" s="86"/>
      <c r="I962" s="10"/>
      <c r="J962" s="10"/>
      <c r="K962" s="10"/>
      <c r="L962" s="10"/>
      <c r="M962" s="10"/>
    </row>
    <row r="963" ht="15.75" customHeight="1">
      <c r="A963" s="255"/>
      <c r="B963" s="255"/>
      <c r="C963" s="255"/>
      <c r="D963" s="255"/>
      <c r="E963" s="10"/>
      <c r="F963" s="10"/>
      <c r="G963" s="10"/>
      <c r="H963" s="86"/>
      <c r="I963" s="10"/>
      <c r="J963" s="10"/>
      <c r="K963" s="10"/>
      <c r="L963" s="10"/>
      <c r="M963" s="10"/>
    </row>
    <row r="964" ht="15.75" customHeight="1">
      <c r="A964" s="255"/>
      <c r="B964" s="255"/>
      <c r="C964" s="255"/>
      <c r="D964" s="255"/>
      <c r="E964" s="10"/>
      <c r="F964" s="10"/>
      <c r="G964" s="10"/>
      <c r="H964" s="86"/>
      <c r="I964" s="10"/>
      <c r="J964" s="10"/>
      <c r="K964" s="10"/>
      <c r="L964" s="10"/>
      <c r="M964" s="10"/>
    </row>
    <row r="965" ht="15.75" customHeight="1">
      <c r="A965" s="255"/>
      <c r="B965" s="255"/>
      <c r="C965" s="255"/>
      <c r="D965" s="255"/>
      <c r="E965" s="10"/>
      <c r="F965" s="10"/>
      <c r="G965" s="10"/>
      <c r="H965" s="86"/>
      <c r="I965" s="10"/>
      <c r="J965" s="10"/>
      <c r="K965" s="10"/>
      <c r="L965" s="10"/>
      <c r="M965" s="10"/>
    </row>
    <row r="966" ht="15.75" customHeight="1">
      <c r="A966" s="255"/>
      <c r="B966" s="255"/>
      <c r="C966" s="255"/>
      <c r="D966" s="255"/>
      <c r="E966" s="10"/>
      <c r="F966" s="10"/>
      <c r="G966" s="10"/>
      <c r="H966" s="86"/>
      <c r="I966" s="10"/>
      <c r="J966" s="10"/>
      <c r="K966" s="10"/>
      <c r="L966" s="10"/>
      <c r="M966" s="10"/>
    </row>
    <row r="967" ht="15.75" customHeight="1">
      <c r="A967" s="255"/>
      <c r="B967" s="255"/>
      <c r="C967" s="255"/>
      <c r="D967" s="255"/>
      <c r="E967" s="10"/>
      <c r="F967" s="10"/>
      <c r="G967" s="10"/>
      <c r="H967" s="86"/>
      <c r="I967" s="10"/>
      <c r="J967" s="10"/>
      <c r="K967" s="10"/>
      <c r="L967" s="10"/>
      <c r="M967" s="10"/>
    </row>
    <row r="968" ht="15.75" customHeight="1">
      <c r="A968" s="255"/>
      <c r="B968" s="255"/>
      <c r="C968" s="255"/>
      <c r="D968" s="255"/>
      <c r="E968" s="10"/>
      <c r="F968" s="10"/>
      <c r="G968" s="10"/>
      <c r="H968" s="86"/>
      <c r="I968" s="10"/>
      <c r="J968" s="10"/>
      <c r="K968" s="10"/>
      <c r="L968" s="10"/>
      <c r="M968" s="10"/>
    </row>
    <row r="969" ht="15.75" customHeight="1">
      <c r="A969" s="255"/>
      <c r="B969" s="255"/>
      <c r="C969" s="255"/>
      <c r="D969" s="255"/>
      <c r="E969" s="10"/>
      <c r="F969" s="10"/>
      <c r="G969" s="10"/>
      <c r="H969" s="86"/>
      <c r="I969" s="10"/>
      <c r="J969" s="10"/>
      <c r="K969" s="10"/>
      <c r="L969" s="10"/>
      <c r="M969" s="10"/>
    </row>
    <row r="970" ht="15.75" customHeight="1">
      <c r="A970" s="255"/>
      <c r="B970" s="255"/>
      <c r="C970" s="255"/>
      <c r="D970" s="255"/>
      <c r="E970" s="10"/>
      <c r="F970" s="10"/>
      <c r="G970" s="10"/>
      <c r="H970" s="86"/>
      <c r="I970" s="10"/>
      <c r="J970" s="10"/>
      <c r="K970" s="10"/>
      <c r="L970" s="10"/>
      <c r="M970" s="10"/>
    </row>
    <row r="971" ht="15.75" customHeight="1">
      <c r="A971" s="255"/>
      <c r="B971" s="255"/>
      <c r="C971" s="255"/>
      <c r="D971" s="255"/>
      <c r="E971" s="10"/>
      <c r="F971" s="10"/>
      <c r="G971" s="10"/>
      <c r="H971" s="86"/>
      <c r="I971" s="10"/>
      <c r="J971" s="10"/>
      <c r="K971" s="10"/>
      <c r="L971" s="10"/>
      <c r="M971" s="10"/>
    </row>
    <row r="972" ht="15.75" customHeight="1">
      <c r="A972" s="255"/>
      <c r="B972" s="255"/>
      <c r="C972" s="255"/>
      <c r="D972" s="255"/>
      <c r="E972" s="10"/>
      <c r="F972" s="10"/>
      <c r="G972" s="10"/>
      <c r="H972" s="86"/>
      <c r="I972" s="10"/>
      <c r="J972" s="10"/>
      <c r="K972" s="10"/>
      <c r="L972" s="10"/>
      <c r="M972" s="10"/>
    </row>
    <row r="973" ht="15.75" customHeight="1">
      <c r="A973" s="255"/>
      <c r="B973" s="255"/>
      <c r="C973" s="255"/>
      <c r="D973" s="255"/>
      <c r="E973" s="10"/>
      <c r="F973" s="10"/>
      <c r="G973" s="10"/>
      <c r="H973" s="86"/>
      <c r="I973" s="10"/>
      <c r="J973" s="10"/>
      <c r="K973" s="10"/>
      <c r="L973" s="10"/>
      <c r="M973" s="10"/>
    </row>
    <row r="974" ht="15.75" customHeight="1">
      <c r="A974" s="255"/>
      <c r="B974" s="255"/>
      <c r="C974" s="255"/>
      <c r="D974" s="255"/>
      <c r="E974" s="10"/>
      <c r="F974" s="10"/>
      <c r="G974" s="10"/>
      <c r="H974" s="86"/>
      <c r="I974" s="10"/>
      <c r="J974" s="10"/>
      <c r="K974" s="10"/>
      <c r="L974" s="10"/>
      <c r="M974" s="10"/>
    </row>
    <row r="975" ht="15.75" customHeight="1">
      <c r="A975" s="255"/>
      <c r="B975" s="255"/>
      <c r="C975" s="255"/>
      <c r="D975" s="255"/>
      <c r="E975" s="10"/>
      <c r="F975" s="10"/>
      <c r="G975" s="10"/>
      <c r="H975" s="86"/>
      <c r="I975" s="10"/>
      <c r="J975" s="10"/>
      <c r="K975" s="10"/>
      <c r="L975" s="10"/>
      <c r="M975" s="10"/>
    </row>
    <row r="976" ht="15.75" customHeight="1">
      <c r="A976" s="255"/>
      <c r="B976" s="255"/>
      <c r="C976" s="255"/>
      <c r="D976" s="255"/>
      <c r="E976" s="10"/>
      <c r="F976" s="10"/>
      <c r="G976" s="10"/>
      <c r="H976" s="86"/>
      <c r="I976" s="10"/>
      <c r="J976" s="10"/>
      <c r="K976" s="10"/>
      <c r="L976" s="10"/>
      <c r="M976" s="10"/>
    </row>
    <row r="977" ht="15.75" customHeight="1">
      <c r="A977" s="255"/>
      <c r="B977" s="255"/>
      <c r="C977" s="255"/>
      <c r="D977" s="255"/>
      <c r="E977" s="10"/>
      <c r="F977" s="10"/>
      <c r="G977" s="10"/>
      <c r="H977" s="86"/>
      <c r="I977" s="10"/>
      <c r="J977" s="10"/>
      <c r="K977" s="10"/>
      <c r="L977" s="10"/>
      <c r="M977" s="10"/>
    </row>
    <row r="978" ht="15.75" customHeight="1">
      <c r="A978" s="255"/>
      <c r="B978" s="255"/>
      <c r="C978" s="255"/>
      <c r="D978" s="255"/>
      <c r="E978" s="10"/>
      <c r="F978" s="10"/>
      <c r="G978" s="10"/>
      <c r="H978" s="86"/>
      <c r="I978" s="10"/>
      <c r="J978" s="10"/>
      <c r="K978" s="10"/>
      <c r="L978" s="10"/>
      <c r="M978" s="10"/>
    </row>
    <row r="979" ht="15.75" customHeight="1">
      <c r="A979" s="255"/>
      <c r="B979" s="255"/>
      <c r="C979" s="255"/>
      <c r="D979" s="255"/>
      <c r="E979" s="10"/>
      <c r="F979" s="10"/>
      <c r="G979" s="10"/>
      <c r="H979" s="86"/>
      <c r="I979" s="10"/>
      <c r="J979" s="10"/>
      <c r="K979" s="10"/>
      <c r="L979" s="10"/>
      <c r="M979" s="10"/>
    </row>
    <row r="980" ht="15.75" customHeight="1">
      <c r="A980" s="255"/>
      <c r="B980" s="255"/>
      <c r="C980" s="255"/>
      <c r="D980" s="255"/>
      <c r="E980" s="10"/>
      <c r="F980" s="10"/>
      <c r="G980" s="10"/>
      <c r="H980" s="86"/>
      <c r="I980" s="10"/>
      <c r="J980" s="10"/>
      <c r="K980" s="10"/>
      <c r="L980" s="10"/>
      <c r="M980" s="10"/>
    </row>
    <row r="981" ht="15.75" customHeight="1">
      <c r="A981" s="255"/>
      <c r="B981" s="255"/>
      <c r="C981" s="255"/>
      <c r="D981" s="255"/>
      <c r="E981" s="10"/>
      <c r="F981" s="10"/>
      <c r="G981" s="10"/>
      <c r="H981" s="86"/>
      <c r="I981" s="10"/>
      <c r="J981" s="10"/>
      <c r="K981" s="10"/>
      <c r="L981" s="10"/>
      <c r="M981" s="10"/>
    </row>
    <row r="982" ht="15.75" customHeight="1">
      <c r="A982" s="255"/>
      <c r="B982" s="255"/>
      <c r="C982" s="255"/>
      <c r="D982" s="255"/>
      <c r="E982" s="10"/>
      <c r="F982" s="10"/>
      <c r="G982" s="10"/>
      <c r="H982" s="86"/>
      <c r="I982" s="10"/>
      <c r="J982" s="10"/>
      <c r="K982" s="10"/>
      <c r="L982" s="10"/>
      <c r="M982" s="10"/>
    </row>
    <row r="983" ht="15.75" customHeight="1">
      <c r="A983" s="255"/>
      <c r="B983" s="255"/>
      <c r="C983" s="255"/>
      <c r="D983" s="255"/>
      <c r="E983" s="10"/>
      <c r="F983" s="10"/>
      <c r="G983" s="10"/>
      <c r="H983" s="86"/>
      <c r="I983" s="10"/>
      <c r="J983" s="10"/>
      <c r="K983" s="10"/>
      <c r="L983" s="10"/>
      <c r="M983" s="10"/>
    </row>
    <row r="984" ht="15.75" customHeight="1">
      <c r="A984" s="255"/>
      <c r="B984" s="255"/>
      <c r="C984" s="255"/>
      <c r="D984" s="255"/>
      <c r="E984" s="10"/>
      <c r="F984" s="10"/>
      <c r="G984" s="10"/>
      <c r="H984" s="86"/>
      <c r="I984" s="10"/>
      <c r="J984" s="10"/>
      <c r="K984" s="10"/>
      <c r="L984" s="10"/>
      <c r="M984" s="10"/>
    </row>
    <row r="985" ht="15.75" customHeight="1">
      <c r="A985" s="255"/>
      <c r="B985" s="255"/>
      <c r="C985" s="255"/>
      <c r="D985" s="255"/>
      <c r="E985" s="10"/>
      <c r="F985" s="10"/>
      <c r="G985" s="10"/>
      <c r="H985" s="86"/>
      <c r="I985" s="10"/>
      <c r="J985" s="10"/>
      <c r="K985" s="10"/>
      <c r="L985" s="10"/>
      <c r="M985" s="10"/>
    </row>
    <row r="986" ht="15.75" customHeight="1">
      <c r="A986" s="255"/>
      <c r="B986" s="255"/>
      <c r="C986" s="255"/>
      <c r="D986" s="255"/>
      <c r="E986" s="10"/>
      <c r="F986" s="10"/>
      <c r="G986" s="10"/>
      <c r="H986" s="86"/>
      <c r="I986" s="10"/>
      <c r="J986" s="10"/>
      <c r="K986" s="10"/>
      <c r="L986" s="10"/>
      <c r="M986" s="10"/>
    </row>
    <row r="987" ht="15.75" customHeight="1">
      <c r="A987" s="255"/>
      <c r="B987" s="255"/>
      <c r="C987" s="255"/>
      <c r="D987" s="255"/>
      <c r="E987" s="10"/>
      <c r="F987" s="10"/>
      <c r="G987" s="10"/>
      <c r="H987" s="86"/>
      <c r="I987" s="10"/>
      <c r="J987" s="10"/>
      <c r="K987" s="10"/>
      <c r="L987" s="10"/>
      <c r="M987" s="10"/>
    </row>
    <row r="988" ht="15.75" customHeight="1">
      <c r="A988" s="255"/>
      <c r="B988" s="255"/>
      <c r="C988" s="255"/>
      <c r="D988" s="255"/>
      <c r="E988" s="10"/>
      <c r="F988" s="10"/>
      <c r="G988" s="10"/>
      <c r="H988" s="86"/>
      <c r="I988" s="10"/>
      <c r="J988" s="10"/>
      <c r="K988" s="10"/>
      <c r="L988" s="10"/>
      <c r="M988" s="10"/>
    </row>
    <row r="989" ht="15.75" customHeight="1">
      <c r="A989" s="255"/>
      <c r="B989" s="255"/>
      <c r="C989" s="255"/>
      <c r="D989" s="255"/>
      <c r="E989" s="10"/>
      <c r="F989" s="10"/>
      <c r="G989" s="10"/>
      <c r="H989" s="86"/>
      <c r="I989" s="10"/>
      <c r="J989" s="10"/>
      <c r="K989" s="10"/>
      <c r="L989" s="10"/>
      <c r="M989" s="10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4.71"/>
    <col customWidth="1" min="2" max="2" width="33.0"/>
    <col customWidth="1" min="3" max="3" width="21.57"/>
    <col customWidth="1" min="4" max="4" width="17.43"/>
    <col customWidth="1" min="5" max="6" width="18.57"/>
    <col customWidth="1" min="7" max="7" width="24.43"/>
    <col customWidth="1" min="8" max="8" width="20.57"/>
    <col customWidth="1" min="9" max="9" width="19.0"/>
    <col customWidth="1" min="10" max="10" width="18.43"/>
    <col customWidth="1" min="11" max="11" width="20.0"/>
    <col customWidth="1" min="12" max="12" width="18.43"/>
    <col customWidth="1" min="13" max="13" width="26.0"/>
  </cols>
  <sheetData>
    <row r="1" ht="21.0" customHeight="1">
      <c r="A1" s="1" t="s">
        <v>0</v>
      </c>
      <c r="B1" s="196"/>
      <c r="C1" s="198"/>
      <c r="D1" s="198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25.5" customHeight="1">
      <c r="A2" s="1" t="s">
        <v>1</v>
      </c>
      <c r="B2" s="197"/>
      <c r="C2" s="197"/>
      <c r="D2" s="197"/>
      <c r="E2" s="197"/>
      <c r="F2" s="197"/>
      <c r="G2" s="197"/>
      <c r="H2" s="201"/>
      <c r="K2" s="197"/>
      <c r="L2" s="197"/>
      <c r="M2" s="197"/>
      <c r="N2" s="197"/>
    </row>
    <row r="3" ht="22.5" customHeight="1">
      <c r="A3" s="9" t="s">
        <v>529</v>
      </c>
      <c r="B3" s="82"/>
      <c r="C3" s="82"/>
      <c r="D3" s="82"/>
      <c r="E3" s="10"/>
      <c r="F3" s="10"/>
      <c r="G3" s="10"/>
      <c r="K3" s="10"/>
      <c r="L3" s="10"/>
      <c r="M3" s="10"/>
      <c r="N3" s="10"/>
    </row>
    <row r="4" ht="22.5" customHeight="1">
      <c r="A4" s="9" t="s">
        <v>3</v>
      </c>
      <c r="B4" s="82"/>
      <c r="C4" s="82"/>
      <c r="D4" s="82"/>
      <c r="E4" s="10"/>
      <c r="F4" s="10"/>
      <c r="G4" s="10"/>
      <c r="K4" s="10"/>
      <c r="L4" s="10"/>
      <c r="M4" s="10"/>
      <c r="N4" s="10"/>
    </row>
    <row r="5" ht="22.5" customHeight="1">
      <c r="A5" s="9" t="s">
        <v>4</v>
      </c>
      <c r="B5" s="82"/>
      <c r="C5" s="82"/>
      <c r="D5" s="82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14.25" customHeight="1">
      <c r="A6" s="257"/>
      <c r="B6" s="257"/>
      <c r="C6" s="258"/>
      <c r="D6" s="259"/>
      <c r="E6" s="260"/>
      <c r="F6" s="260"/>
      <c r="G6" s="260"/>
      <c r="H6" s="66"/>
      <c r="I6" s="10"/>
      <c r="J6" s="10"/>
      <c r="K6" s="10"/>
      <c r="L6" s="10"/>
      <c r="M6" s="10"/>
      <c r="N6" s="10"/>
    </row>
    <row r="7">
      <c r="A7" s="261" t="s">
        <v>5</v>
      </c>
      <c r="B7" s="262" t="s">
        <v>6</v>
      </c>
      <c r="C7" s="263" t="s">
        <v>530</v>
      </c>
      <c r="D7" s="18"/>
      <c r="E7" s="205" t="s">
        <v>8</v>
      </c>
      <c r="F7" s="14"/>
      <c r="G7" s="16" t="s">
        <v>9</v>
      </c>
      <c r="H7" s="17"/>
      <c r="I7" s="17"/>
      <c r="J7" s="17"/>
      <c r="K7" s="17"/>
      <c r="L7" s="18"/>
      <c r="M7" s="206" t="s">
        <v>531</v>
      </c>
      <c r="N7" s="10"/>
    </row>
    <row r="8" ht="26.25" customHeight="1">
      <c r="A8" s="19"/>
      <c r="B8" s="19"/>
      <c r="C8" s="12" t="s">
        <v>14</v>
      </c>
      <c r="D8" s="264" t="s">
        <v>532</v>
      </c>
      <c r="E8" s="20"/>
      <c r="F8" s="21"/>
      <c r="G8" s="16" t="s">
        <v>11</v>
      </c>
      <c r="H8" s="18"/>
      <c r="I8" s="16" t="s">
        <v>12</v>
      </c>
      <c r="J8" s="18"/>
      <c r="K8" s="16" t="s">
        <v>13</v>
      </c>
      <c r="L8" s="18"/>
      <c r="M8" s="19"/>
      <c r="N8" s="10"/>
    </row>
    <row r="9" ht="24.0" customHeight="1">
      <c r="A9" s="19"/>
      <c r="B9" s="19"/>
      <c r="C9" s="19"/>
      <c r="D9" s="19"/>
      <c r="E9" s="205" t="s">
        <v>16</v>
      </c>
      <c r="F9" s="14"/>
      <c r="G9" s="24" t="s">
        <v>17</v>
      </c>
      <c r="H9" s="208" t="s">
        <v>18</v>
      </c>
      <c r="I9" s="24" t="s">
        <v>17</v>
      </c>
      <c r="J9" s="208" t="s">
        <v>18</v>
      </c>
      <c r="K9" s="24" t="s">
        <v>17</v>
      </c>
      <c r="L9" s="208" t="s">
        <v>18</v>
      </c>
      <c r="M9" s="19"/>
      <c r="N9" s="10"/>
    </row>
    <row r="10" ht="70.5" customHeight="1">
      <c r="A10" s="26"/>
      <c r="B10" s="26"/>
      <c r="C10" s="26"/>
      <c r="D10" s="26"/>
      <c r="E10" s="209" t="s">
        <v>17</v>
      </c>
      <c r="F10" s="210" t="s">
        <v>18</v>
      </c>
      <c r="G10" s="26"/>
      <c r="H10" s="26"/>
      <c r="I10" s="26"/>
      <c r="J10" s="26"/>
      <c r="K10" s="26"/>
      <c r="L10" s="26"/>
      <c r="M10" s="26"/>
      <c r="N10" s="10"/>
    </row>
    <row r="11" ht="49.5" customHeight="1">
      <c r="A11" s="265" t="s">
        <v>163</v>
      </c>
      <c r="B11" s="219"/>
      <c r="C11" s="266"/>
      <c r="D11" s="267">
        <f>D12</f>
        <v>634.31872</v>
      </c>
      <c r="E11" s="267"/>
      <c r="F11" s="267">
        <f>F12</f>
        <v>50.5</v>
      </c>
      <c r="G11" s="40"/>
      <c r="H11" s="40"/>
      <c r="I11" s="40"/>
      <c r="J11" s="40"/>
      <c r="K11" s="40"/>
      <c r="L11" s="40"/>
      <c r="M11" s="40"/>
      <c r="N11" s="10"/>
    </row>
    <row r="12" ht="31.5" customHeight="1">
      <c r="A12" s="265" t="s">
        <v>164</v>
      </c>
      <c r="B12" s="219"/>
      <c r="C12" s="266"/>
      <c r="D12" s="267">
        <f>SUM(D14:D39)</f>
        <v>634.31872</v>
      </c>
      <c r="E12" s="267"/>
      <c r="F12" s="267">
        <f>SUM(F14:F40)</f>
        <v>50.5</v>
      </c>
      <c r="G12" s="40"/>
      <c r="H12" s="40"/>
      <c r="I12" s="40"/>
      <c r="J12" s="40"/>
      <c r="K12" s="40"/>
      <c r="L12" s="40"/>
      <c r="M12" s="40"/>
      <c r="N12" s="10"/>
    </row>
    <row r="13" ht="33.0" customHeight="1">
      <c r="A13" s="55" t="s">
        <v>533</v>
      </c>
      <c r="B13" s="40"/>
      <c r="C13" s="218"/>
      <c r="D13" s="226"/>
      <c r="E13" s="268"/>
      <c r="F13" s="268"/>
      <c r="G13" s="40"/>
      <c r="H13" s="40"/>
      <c r="I13" s="40"/>
      <c r="J13" s="40"/>
      <c r="K13" s="40"/>
      <c r="L13" s="40"/>
      <c r="M13" s="40"/>
      <c r="N13" s="10"/>
    </row>
    <row r="14" ht="43.5" customHeight="1">
      <c r="A14" s="43" t="s">
        <v>186</v>
      </c>
      <c r="B14" s="36" t="s">
        <v>534</v>
      </c>
      <c r="C14" s="269">
        <v>11.0</v>
      </c>
      <c r="D14" s="270">
        <v>141.02561</v>
      </c>
      <c r="E14" s="271"/>
      <c r="F14" s="271"/>
      <c r="G14" s="40"/>
      <c r="H14" s="40"/>
      <c r="I14" s="40"/>
      <c r="J14" s="40"/>
      <c r="K14" s="40"/>
      <c r="L14" s="40"/>
      <c r="M14" s="40"/>
      <c r="N14" s="10"/>
    </row>
    <row r="15" ht="30.0" customHeight="1">
      <c r="A15" s="43" t="s">
        <v>187</v>
      </c>
      <c r="B15" s="36" t="s">
        <v>534</v>
      </c>
      <c r="C15" s="269">
        <v>11.0</v>
      </c>
      <c r="D15" s="270">
        <v>141.02561</v>
      </c>
      <c r="E15" s="271"/>
      <c r="F15" s="271"/>
      <c r="G15" s="40"/>
      <c r="H15" s="40"/>
      <c r="I15" s="40"/>
      <c r="J15" s="40"/>
      <c r="K15" s="40"/>
      <c r="L15" s="40"/>
      <c r="M15" s="40"/>
      <c r="N15" s="10"/>
    </row>
    <row r="16" ht="33.0" customHeight="1">
      <c r="A16" s="55" t="s">
        <v>535</v>
      </c>
      <c r="B16" s="40"/>
      <c r="C16" s="222"/>
      <c r="D16" s="226"/>
      <c r="E16" s="268"/>
      <c r="F16" s="268"/>
      <c r="G16" s="40"/>
      <c r="H16" s="40"/>
      <c r="I16" s="40"/>
      <c r="J16" s="40"/>
      <c r="K16" s="40"/>
      <c r="L16" s="40"/>
      <c r="M16" s="40"/>
      <c r="N16" s="10"/>
    </row>
    <row r="17" ht="36.0" customHeight="1">
      <c r="A17" s="43" t="s">
        <v>536</v>
      </c>
      <c r="B17" s="36" t="s">
        <v>108</v>
      </c>
      <c r="C17" s="269"/>
      <c r="D17" s="270"/>
      <c r="E17" s="268"/>
      <c r="F17" s="268"/>
      <c r="G17" s="40"/>
      <c r="H17" s="40"/>
      <c r="I17" s="40"/>
      <c r="J17" s="40"/>
      <c r="K17" s="40"/>
      <c r="L17" s="40"/>
      <c r="M17" s="40"/>
      <c r="N17" s="10"/>
    </row>
    <row r="18" ht="36.0" customHeight="1">
      <c r="A18" s="43" t="s">
        <v>537</v>
      </c>
      <c r="B18" s="36" t="s">
        <v>108</v>
      </c>
      <c r="C18" s="269">
        <v>100.0</v>
      </c>
      <c r="D18" s="270">
        <v>7.619</v>
      </c>
      <c r="E18" s="272"/>
      <c r="F18" s="272"/>
      <c r="G18" s="40"/>
      <c r="H18" s="40"/>
      <c r="I18" s="40"/>
      <c r="J18" s="40"/>
      <c r="K18" s="40"/>
      <c r="L18" s="40"/>
      <c r="M18" s="40"/>
      <c r="N18" s="10"/>
    </row>
    <row r="19" ht="36.0" customHeight="1">
      <c r="A19" s="273" t="s">
        <v>185</v>
      </c>
      <c r="B19" s="36" t="s">
        <v>108</v>
      </c>
      <c r="C19" s="269"/>
      <c r="D19" s="270"/>
      <c r="E19" s="271"/>
      <c r="F19" s="271"/>
      <c r="G19" s="40"/>
      <c r="H19" s="40"/>
      <c r="I19" s="40"/>
      <c r="J19" s="40"/>
      <c r="K19" s="40"/>
      <c r="L19" s="40"/>
      <c r="M19" s="40"/>
      <c r="N19" s="10"/>
    </row>
    <row r="20" ht="36.0" customHeight="1">
      <c r="A20" s="273" t="s">
        <v>200</v>
      </c>
      <c r="B20" s="36" t="s">
        <v>108</v>
      </c>
      <c r="C20" s="269"/>
      <c r="D20" s="270"/>
      <c r="E20" s="271"/>
      <c r="F20" s="271"/>
      <c r="G20" s="40"/>
      <c r="H20" s="40"/>
      <c r="I20" s="40"/>
      <c r="J20" s="40"/>
      <c r="K20" s="40"/>
      <c r="L20" s="40"/>
      <c r="M20" s="40"/>
      <c r="N20" s="10"/>
    </row>
    <row r="21" ht="36.0" customHeight="1">
      <c r="A21" s="273" t="s">
        <v>538</v>
      </c>
      <c r="B21" s="36"/>
      <c r="C21" s="269">
        <v>125.0</v>
      </c>
      <c r="D21" s="270">
        <v>12.5</v>
      </c>
      <c r="E21" s="271"/>
      <c r="F21" s="271"/>
      <c r="G21" s="40"/>
      <c r="H21" s="40"/>
      <c r="I21" s="40"/>
      <c r="J21" s="40"/>
      <c r="K21" s="40"/>
      <c r="L21" s="40"/>
      <c r="M21" s="40"/>
      <c r="N21" s="10"/>
    </row>
    <row r="22" ht="36.0" customHeight="1">
      <c r="A22" s="43" t="s">
        <v>538</v>
      </c>
      <c r="B22" s="36" t="s">
        <v>108</v>
      </c>
      <c r="C22" s="218"/>
      <c r="D22" s="226"/>
      <c r="E22" s="268"/>
      <c r="F22" s="268"/>
      <c r="G22" s="40"/>
      <c r="H22" s="40"/>
      <c r="I22" s="40"/>
      <c r="J22" s="40"/>
      <c r="K22" s="40"/>
      <c r="L22" s="40"/>
      <c r="M22" s="40"/>
      <c r="N22" s="10"/>
    </row>
    <row r="23" ht="14.25" customHeight="1">
      <c r="A23" s="55"/>
      <c r="B23" s="40"/>
      <c r="C23" s="218"/>
      <c r="D23" s="226"/>
      <c r="E23" s="268"/>
      <c r="F23" s="268"/>
      <c r="G23" s="40"/>
      <c r="H23" s="40"/>
      <c r="I23" s="40"/>
      <c r="J23" s="40"/>
      <c r="K23" s="40"/>
      <c r="L23" s="40"/>
      <c r="M23" s="40"/>
      <c r="N23" s="10"/>
    </row>
    <row r="24" ht="24.0" customHeight="1">
      <c r="A24" s="55" t="s">
        <v>539</v>
      </c>
      <c r="B24" s="40"/>
      <c r="C24" s="218"/>
      <c r="D24" s="226"/>
      <c r="E24" s="268"/>
      <c r="F24" s="268"/>
      <c r="G24" s="40"/>
      <c r="H24" s="40"/>
      <c r="I24" s="40"/>
      <c r="J24" s="40"/>
      <c r="K24" s="40"/>
      <c r="L24" s="40"/>
      <c r="M24" s="40"/>
      <c r="N24" s="10"/>
    </row>
    <row r="25" ht="36.0" customHeight="1">
      <c r="A25" s="43" t="s">
        <v>540</v>
      </c>
      <c r="B25" s="36" t="s">
        <v>534</v>
      </c>
      <c r="C25" s="269">
        <v>3000.0</v>
      </c>
      <c r="D25" s="270">
        <v>38.1</v>
      </c>
      <c r="E25" s="274">
        <f>60+41</f>
        <v>101</v>
      </c>
      <c r="F25" s="271">
        <f>30+20.5</f>
        <v>50.5</v>
      </c>
      <c r="G25" s="275"/>
      <c r="H25" s="40"/>
      <c r="I25" s="40"/>
      <c r="J25" s="40"/>
      <c r="K25" s="40"/>
      <c r="L25" s="40"/>
      <c r="M25" s="275"/>
      <c r="N25" s="10"/>
    </row>
    <row r="26" ht="33.0" customHeight="1">
      <c r="A26" s="43" t="s">
        <v>541</v>
      </c>
      <c r="B26" s="36" t="s">
        <v>534</v>
      </c>
      <c r="C26" s="269">
        <v>2250.0</v>
      </c>
      <c r="D26" s="270">
        <v>33.3333</v>
      </c>
      <c r="E26" s="271"/>
      <c r="F26" s="271"/>
      <c r="G26" s="40"/>
      <c r="H26" s="40"/>
      <c r="I26" s="40"/>
      <c r="J26" s="40"/>
      <c r="K26" s="40"/>
      <c r="L26" s="40"/>
      <c r="M26" s="40"/>
      <c r="N26" s="10"/>
    </row>
    <row r="27" ht="43.5" customHeight="1">
      <c r="A27" s="43" t="s">
        <v>542</v>
      </c>
      <c r="B27" s="36" t="s">
        <v>254</v>
      </c>
      <c r="C27" s="218"/>
      <c r="D27" s="226"/>
      <c r="E27" s="268"/>
      <c r="F27" s="268"/>
      <c r="G27" s="40"/>
      <c r="H27" s="40"/>
      <c r="I27" s="40"/>
      <c r="J27" s="40"/>
      <c r="K27" s="40"/>
      <c r="L27" s="40"/>
      <c r="M27" s="40"/>
      <c r="N27" s="10"/>
    </row>
    <row r="28" ht="33.75" customHeight="1">
      <c r="A28" s="273" t="s">
        <v>252</v>
      </c>
      <c r="B28" s="276" t="s">
        <v>534</v>
      </c>
      <c r="C28" s="218"/>
      <c r="D28" s="226"/>
      <c r="E28" s="274"/>
      <c r="F28" s="274"/>
      <c r="G28" s="40"/>
      <c r="H28" s="40"/>
      <c r="I28" s="40"/>
      <c r="J28" s="40"/>
      <c r="K28" s="40"/>
      <c r="L28" s="40"/>
      <c r="M28" s="40"/>
      <c r="N28" s="10"/>
    </row>
    <row r="29" ht="33.75" customHeight="1">
      <c r="A29" s="55" t="s">
        <v>543</v>
      </c>
      <c r="B29" s="40"/>
      <c r="C29" s="218"/>
      <c r="D29" s="226"/>
      <c r="E29" s="268"/>
      <c r="F29" s="268"/>
      <c r="G29" s="40"/>
      <c r="H29" s="40"/>
      <c r="I29" s="40"/>
      <c r="J29" s="40"/>
      <c r="K29" s="40"/>
      <c r="L29" s="40"/>
      <c r="M29" s="40"/>
      <c r="N29" s="10"/>
    </row>
    <row r="30" ht="36.0" customHeight="1">
      <c r="A30" s="43" t="s">
        <v>544</v>
      </c>
      <c r="B30" s="36" t="s">
        <v>108</v>
      </c>
      <c r="C30" s="269">
        <v>300.0</v>
      </c>
      <c r="D30" s="270">
        <v>27.501</v>
      </c>
      <c r="E30" s="274"/>
      <c r="F30" s="274"/>
      <c r="G30" s="40"/>
      <c r="H30" s="40"/>
      <c r="I30" s="40"/>
      <c r="J30" s="40"/>
      <c r="K30" s="40"/>
      <c r="L30" s="40"/>
      <c r="M30" s="40"/>
      <c r="N30" s="10"/>
    </row>
    <row r="31" ht="36.0" customHeight="1">
      <c r="A31" s="43" t="s">
        <v>545</v>
      </c>
      <c r="B31" s="36" t="s">
        <v>108</v>
      </c>
      <c r="C31" s="269">
        <v>100.0</v>
      </c>
      <c r="D31" s="270">
        <v>62.5</v>
      </c>
      <c r="E31" s="274"/>
      <c r="F31" s="274"/>
      <c r="G31" s="40"/>
      <c r="H31" s="40"/>
      <c r="I31" s="40"/>
      <c r="J31" s="40"/>
      <c r="K31" s="40"/>
      <c r="L31" s="40"/>
      <c r="M31" s="40"/>
      <c r="N31" s="10"/>
    </row>
    <row r="32" ht="42.0" customHeight="1">
      <c r="A32" s="43" t="s">
        <v>546</v>
      </c>
      <c r="B32" s="36" t="s">
        <v>547</v>
      </c>
      <c r="C32" s="269">
        <v>10.0</v>
      </c>
      <c r="D32" s="270">
        <v>29.5238</v>
      </c>
      <c r="E32" s="274"/>
      <c r="F32" s="274"/>
      <c r="G32" s="40"/>
      <c r="H32" s="40"/>
      <c r="I32" s="40"/>
      <c r="J32" s="40"/>
      <c r="K32" s="40"/>
      <c r="L32" s="40"/>
      <c r="M32" s="40"/>
      <c r="N32" s="10"/>
    </row>
    <row r="33" ht="28.5" customHeight="1">
      <c r="A33" s="43" t="s">
        <v>548</v>
      </c>
      <c r="B33" s="36" t="s">
        <v>32</v>
      </c>
      <c r="C33" s="218"/>
      <c r="D33" s="226"/>
      <c r="E33" s="274"/>
      <c r="F33" s="274"/>
      <c r="G33" s="40"/>
      <c r="H33" s="40"/>
      <c r="I33" s="40"/>
      <c r="J33" s="40"/>
      <c r="K33" s="40"/>
      <c r="L33" s="40"/>
      <c r="M33" s="40"/>
      <c r="N33" s="10"/>
    </row>
    <row r="34" ht="28.5" customHeight="1">
      <c r="A34" s="43" t="s">
        <v>549</v>
      </c>
      <c r="B34" s="36" t="s">
        <v>32</v>
      </c>
      <c r="C34" s="277"/>
      <c r="D34" s="278"/>
      <c r="E34" s="274"/>
      <c r="F34" s="274"/>
      <c r="G34" s="40"/>
      <c r="H34" s="40"/>
      <c r="I34" s="40"/>
      <c r="J34" s="40"/>
      <c r="K34" s="40"/>
      <c r="L34" s="40"/>
      <c r="M34" s="40"/>
      <c r="N34" s="10"/>
    </row>
    <row r="35" ht="25.5" customHeight="1">
      <c r="A35" s="273" t="s">
        <v>550</v>
      </c>
      <c r="B35" s="276" t="s">
        <v>32</v>
      </c>
      <c r="C35" s="269">
        <v>100.0</v>
      </c>
      <c r="D35" s="270">
        <v>12.5</v>
      </c>
      <c r="E35" s="274"/>
      <c r="F35" s="274"/>
      <c r="G35" s="40"/>
      <c r="H35" s="40"/>
      <c r="I35" s="40"/>
      <c r="J35" s="40"/>
      <c r="K35" s="40"/>
      <c r="L35" s="40"/>
      <c r="M35" s="40"/>
      <c r="N35" s="10"/>
    </row>
    <row r="36" ht="24.0" customHeight="1">
      <c r="A36" s="43" t="s">
        <v>551</v>
      </c>
      <c r="B36" s="36" t="s">
        <v>32</v>
      </c>
      <c r="C36" s="269">
        <v>20.0</v>
      </c>
      <c r="D36" s="270">
        <v>76.1904</v>
      </c>
      <c r="E36" s="274"/>
      <c r="F36" s="274"/>
      <c r="G36" s="40"/>
      <c r="H36" s="40"/>
      <c r="I36" s="40"/>
      <c r="J36" s="40"/>
      <c r="K36" s="40"/>
      <c r="L36" s="40"/>
      <c r="M36" s="40"/>
      <c r="N36" s="10"/>
    </row>
    <row r="37" ht="24.0" customHeight="1">
      <c r="A37" s="43" t="s">
        <v>552</v>
      </c>
      <c r="B37" s="36" t="s">
        <v>32</v>
      </c>
      <c r="C37" s="269">
        <v>10.0</v>
      </c>
      <c r="D37" s="270">
        <v>40.0</v>
      </c>
      <c r="E37" s="274"/>
      <c r="F37" s="274"/>
      <c r="G37" s="40"/>
      <c r="H37" s="40"/>
      <c r="I37" s="40"/>
      <c r="J37" s="40"/>
      <c r="K37" s="40"/>
      <c r="L37" s="40"/>
      <c r="M37" s="40"/>
      <c r="N37" s="10"/>
    </row>
    <row r="38" ht="27.0" customHeight="1">
      <c r="A38" s="43" t="s">
        <v>553</v>
      </c>
      <c r="B38" s="36" t="s">
        <v>32</v>
      </c>
      <c r="C38" s="279"/>
      <c r="D38" s="280"/>
      <c r="E38" s="274"/>
      <c r="F38" s="274"/>
      <c r="G38" s="40"/>
      <c r="H38" s="40"/>
      <c r="I38" s="40"/>
      <c r="J38" s="40"/>
      <c r="K38" s="40"/>
      <c r="L38" s="40"/>
      <c r="M38" s="40"/>
      <c r="N38" s="10"/>
    </row>
    <row r="39" ht="21.0" customHeight="1">
      <c r="A39" s="43" t="s">
        <v>554</v>
      </c>
      <c r="B39" s="36" t="s">
        <v>32</v>
      </c>
      <c r="C39" s="269">
        <v>2.0</v>
      </c>
      <c r="D39" s="270">
        <v>12.5</v>
      </c>
      <c r="E39" s="274"/>
      <c r="F39" s="274"/>
      <c r="G39" s="40"/>
      <c r="H39" s="40"/>
      <c r="I39" s="40"/>
      <c r="J39" s="40"/>
      <c r="K39" s="40"/>
      <c r="L39" s="40"/>
      <c r="M39" s="40"/>
      <c r="N39" s="10"/>
    </row>
    <row r="40" ht="36.0" customHeight="1">
      <c r="A40" s="273" t="s">
        <v>555</v>
      </c>
      <c r="B40" s="36" t="s">
        <v>32</v>
      </c>
      <c r="C40" s="269"/>
      <c r="D40" s="270"/>
      <c r="E40" s="274"/>
      <c r="F40" s="274"/>
      <c r="G40" s="40"/>
      <c r="H40" s="40"/>
      <c r="I40" s="40"/>
      <c r="J40" s="40"/>
      <c r="K40" s="40"/>
      <c r="L40" s="40"/>
      <c r="M40" s="40"/>
      <c r="N40" s="10"/>
    </row>
    <row r="41" ht="55.5" customHeight="1">
      <c r="A41" s="55" t="s">
        <v>556</v>
      </c>
      <c r="B41" s="40"/>
      <c r="C41" s="218"/>
      <c r="D41" s="226"/>
      <c r="E41" s="274"/>
      <c r="F41" s="274"/>
      <c r="G41" s="40"/>
      <c r="H41" s="40"/>
      <c r="I41" s="40"/>
      <c r="J41" s="40"/>
      <c r="K41" s="40"/>
      <c r="L41" s="40"/>
      <c r="M41" s="40"/>
      <c r="N41" s="10"/>
    </row>
    <row r="42" ht="36.0" customHeight="1">
      <c r="A42" s="40"/>
      <c r="B42" s="40"/>
      <c r="C42" s="218"/>
      <c r="D42" s="226"/>
      <c r="E42" s="274"/>
      <c r="F42" s="274"/>
      <c r="G42" s="40"/>
      <c r="H42" s="40"/>
      <c r="I42" s="40"/>
      <c r="J42" s="40"/>
      <c r="K42" s="40"/>
      <c r="L42" s="40"/>
      <c r="M42" s="40"/>
      <c r="N42" s="10"/>
    </row>
    <row r="43" ht="50.25" customHeight="1">
      <c r="A43" s="55" t="s">
        <v>412</v>
      </c>
      <c r="B43" s="53"/>
      <c r="C43" s="266"/>
      <c r="D43" s="267">
        <f>SUM(D44:D58)</f>
        <v>2750</v>
      </c>
      <c r="E43" s="62"/>
      <c r="F43" s="62">
        <f>SUM(F44:F58)</f>
        <v>2762</v>
      </c>
      <c r="G43" s="53"/>
      <c r="H43" s="53">
        <f>H44+H58</f>
        <v>4380</v>
      </c>
      <c r="I43" s="53"/>
      <c r="J43" s="53"/>
      <c r="K43" s="53"/>
      <c r="L43" s="53"/>
      <c r="M43" s="53"/>
      <c r="N43" s="281"/>
    </row>
    <row r="44" ht="45.0" customHeight="1">
      <c r="A44" s="55" t="s">
        <v>557</v>
      </c>
      <c r="B44" s="40"/>
      <c r="C44" s="218"/>
      <c r="D44" s="226"/>
      <c r="E44" s="268"/>
      <c r="F44" s="268"/>
      <c r="G44" s="40"/>
      <c r="H44" s="40">
        <f>sum(H52:H54)</f>
        <v>4380</v>
      </c>
      <c r="I44" s="40"/>
      <c r="J44" s="40"/>
      <c r="K44" s="40"/>
      <c r="L44" s="40"/>
      <c r="M44" s="40"/>
      <c r="N44" s="10"/>
    </row>
    <row r="45" ht="48.0" customHeight="1">
      <c r="A45" s="55" t="s">
        <v>558</v>
      </c>
      <c r="B45" s="40"/>
      <c r="C45" s="218"/>
      <c r="D45" s="226"/>
      <c r="E45" s="268"/>
      <c r="F45" s="268"/>
      <c r="G45" s="40"/>
      <c r="H45" s="40"/>
      <c r="I45" s="40"/>
      <c r="J45" s="40"/>
      <c r="K45" s="40"/>
      <c r="L45" s="40"/>
      <c r="M45" s="40"/>
      <c r="N45" s="10"/>
    </row>
    <row r="46" ht="22.5" customHeight="1">
      <c r="A46" s="43" t="s">
        <v>559</v>
      </c>
      <c r="B46" s="36" t="s">
        <v>32</v>
      </c>
      <c r="C46" s="269">
        <v>1.0</v>
      </c>
      <c r="D46" s="270">
        <v>100.0</v>
      </c>
      <c r="E46" s="274">
        <v>1.0</v>
      </c>
      <c r="F46" s="274">
        <v>100.0</v>
      </c>
      <c r="G46" s="232"/>
      <c r="H46" s="40"/>
      <c r="I46" s="40"/>
      <c r="J46" s="40"/>
      <c r="K46" s="40"/>
      <c r="L46" s="40"/>
      <c r="M46" s="58"/>
      <c r="N46" s="10"/>
    </row>
    <row r="47" ht="22.5" customHeight="1">
      <c r="A47" s="43" t="s">
        <v>324</v>
      </c>
      <c r="B47" s="36"/>
      <c r="C47" s="269">
        <v>1.0</v>
      </c>
      <c r="D47" s="270">
        <v>100.0</v>
      </c>
      <c r="E47" s="274">
        <v>1.0</v>
      </c>
      <c r="F47" s="274">
        <v>47.0</v>
      </c>
      <c r="G47" s="40"/>
      <c r="H47" s="40"/>
      <c r="I47" s="40"/>
      <c r="J47" s="40"/>
      <c r="K47" s="40"/>
      <c r="L47" s="40"/>
      <c r="M47" s="58"/>
      <c r="N47" s="10"/>
    </row>
    <row r="48" ht="27.75" customHeight="1">
      <c r="A48" s="43" t="s">
        <v>560</v>
      </c>
      <c r="B48" s="36"/>
      <c r="C48" s="222"/>
      <c r="D48" s="226"/>
      <c r="E48" s="274"/>
      <c r="F48" s="274"/>
      <c r="G48" s="40"/>
      <c r="H48" s="40"/>
      <c r="I48" s="40"/>
      <c r="J48" s="40"/>
      <c r="K48" s="40"/>
      <c r="L48" s="40"/>
      <c r="M48" s="40"/>
      <c r="N48" s="10"/>
    </row>
    <row r="49" ht="22.5" customHeight="1">
      <c r="A49" s="55" t="s">
        <v>561</v>
      </c>
      <c r="B49" s="40"/>
      <c r="C49" s="218"/>
      <c r="D49" s="226"/>
      <c r="E49" s="274"/>
      <c r="F49" s="274"/>
      <c r="G49" s="40"/>
      <c r="H49" s="40"/>
      <c r="I49" s="40"/>
      <c r="J49" s="40"/>
      <c r="K49" s="40"/>
      <c r="L49" s="40"/>
      <c r="M49" s="40"/>
      <c r="N49" s="10"/>
    </row>
    <row r="50" ht="21.0" customHeight="1">
      <c r="A50" s="43" t="s">
        <v>562</v>
      </c>
      <c r="B50" s="36" t="s">
        <v>32</v>
      </c>
      <c r="C50" s="277"/>
      <c r="D50" s="270">
        <v>250.0</v>
      </c>
      <c r="E50" s="274">
        <v>1.0</v>
      </c>
      <c r="F50" s="274">
        <v>300.0</v>
      </c>
      <c r="G50" s="40"/>
      <c r="H50" s="40"/>
      <c r="I50" s="40"/>
      <c r="J50" s="40"/>
      <c r="K50" s="40"/>
      <c r="L50" s="40"/>
      <c r="M50" s="58"/>
      <c r="N50" s="10"/>
    </row>
    <row r="51" ht="27.0" customHeight="1">
      <c r="A51" s="43" t="s">
        <v>563</v>
      </c>
      <c r="B51" s="36" t="s">
        <v>32</v>
      </c>
      <c r="C51" s="277"/>
      <c r="D51" s="270">
        <v>2000.0</v>
      </c>
      <c r="E51" s="274">
        <v>1.0</v>
      </c>
      <c r="F51" s="274">
        <v>2000.0</v>
      </c>
      <c r="G51" s="40"/>
      <c r="H51" s="40"/>
      <c r="I51" s="40"/>
      <c r="J51" s="40"/>
      <c r="K51" s="40"/>
      <c r="L51" s="40"/>
      <c r="M51" s="58"/>
      <c r="N51" s="10"/>
    </row>
    <row r="52" ht="22.5" customHeight="1">
      <c r="A52" s="43" t="s">
        <v>564</v>
      </c>
      <c r="B52" s="36" t="s">
        <v>32</v>
      </c>
      <c r="C52" s="218"/>
      <c r="D52" s="226"/>
      <c r="E52" s="274"/>
      <c r="F52" s="274"/>
      <c r="G52" s="40"/>
      <c r="H52" s="40"/>
      <c r="I52" s="40"/>
      <c r="J52" s="40"/>
      <c r="K52" s="40"/>
      <c r="L52" s="40"/>
      <c r="M52" s="40"/>
      <c r="N52" s="10"/>
    </row>
    <row r="53" ht="22.5" customHeight="1">
      <c r="A53" s="275" t="s">
        <v>565</v>
      </c>
      <c r="B53" s="36" t="s">
        <v>32</v>
      </c>
      <c r="C53" s="218"/>
      <c r="D53" s="282"/>
      <c r="E53" s="274"/>
      <c r="F53" s="274"/>
      <c r="G53" s="232">
        <v>1.0</v>
      </c>
      <c r="H53" s="232">
        <v>2200.0</v>
      </c>
      <c r="I53" s="40"/>
      <c r="J53" s="40"/>
      <c r="K53" s="40">
        <f t="shared" ref="K53:L53" si="1">G53+I53</f>
        <v>1</v>
      </c>
      <c r="L53" s="40">
        <f t="shared" si="1"/>
        <v>2200</v>
      </c>
      <c r="M53" s="232" t="s">
        <v>127</v>
      </c>
      <c r="N53" s="10"/>
    </row>
    <row r="54" ht="22.5" customHeight="1">
      <c r="A54" s="275" t="s">
        <v>284</v>
      </c>
      <c r="B54" s="36" t="s">
        <v>32</v>
      </c>
      <c r="C54" s="218"/>
      <c r="D54" s="282"/>
      <c r="E54" s="274"/>
      <c r="F54" s="274"/>
      <c r="G54" s="232">
        <v>1.0</v>
      </c>
      <c r="H54" s="232">
        <v>2180.0</v>
      </c>
      <c r="I54" s="40"/>
      <c r="J54" s="40"/>
      <c r="K54" s="40">
        <f t="shared" ref="K54:L54" si="2">G54+I54</f>
        <v>1</v>
      </c>
      <c r="L54" s="40">
        <f t="shared" si="2"/>
        <v>2180</v>
      </c>
      <c r="M54" s="232" t="s">
        <v>127</v>
      </c>
      <c r="N54" s="10"/>
    </row>
    <row r="55" ht="22.5" customHeight="1">
      <c r="A55" s="43" t="s">
        <v>566</v>
      </c>
      <c r="B55" s="36" t="s">
        <v>32</v>
      </c>
      <c r="C55" s="218"/>
      <c r="D55" s="282">
        <v>300.0</v>
      </c>
      <c r="E55" s="274">
        <v>1.0</v>
      </c>
      <c r="F55" s="274">
        <v>315.0</v>
      </c>
      <c r="G55" s="40"/>
      <c r="H55" s="40"/>
      <c r="I55" s="40"/>
      <c r="J55" s="40"/>
      <c r="K55" s="40"/>
      <c r="L55" s="40"/>
      <c r="M55" s="58"/>
      <c r="N55" s="10"/>
    </row>
    <row r="56" ht="21.0" customHeight="1">
      <c r="A56" s="55" t="s">
        <v>567</v>
      </c>
      <c r="B56" s="40"/>
      <c r="C56" s="218"/>
      <c r="D56" s="226"/>
      <c r="E56" s="268"/>
      <c r="F56" s="268"/>
      <c r="G56" s="40"/>
      <c r="H56" s="40"/>
      <c r="I56" s="40"/>
      <c r="J56" s="40"/>
      <c r="K56" s="40"/>
      <c r="L56" s="40"/>
      <c r="M56" s="40"/>
      <c r="N56" s="10"/>
    </row>
    <row r="57" ht="18.0" customHeight="1">
      <c r="A57" s="43" t="s">
        <v>545</v>
      </c>
      <c r="B57" s="36" t="s">
        <v>108</v>
      </c>
      <c r="C57" s="218"/>
      <c r="D57" s="226"/>
      <c r="E57" s="268"/>
      <c r="F57" s="268"/>
      <c r="G57" s="40"/>
      <c r="H57" s="40"/>
      <c r="I57" s="40"/>
      <c r="J57" s="40"/>
      <c r="K57" s="40"/>
      <c r="L57" s="40"/>
      <c r="M57" s="40"/>
      <c r="N57" s="10"/>
    </row>
    <row r="58" ht="27.0" customHeight="1">
      <c r="A58" s="55" t="s">
        <v>568</v>
      </c>
      <c r="B58" s="40"/>
      <c r="C58" s="218"/>
      <c r="D58" s="226">
        <v>0.0</v>
      </c>
      <c r="E58" s="268"/>
      <c r="F58" s="268"/>
      <c r="G58" s="40"/>
      <c r="H58" s="40"/>
      <c r="I58" s="40"/>
      <c r="J58" s="40"/>
      <c r="K58" s="40"/>
      <c r="L58" s="40"/>
      <c r="M58" s="40"/>
      <c r="N58" s="10"/>
    </row>
    <row r="59" ht="27.0" customHeight="1">
      <c r="A59" s="55"/>
      <c r="B59" s="40"/>
      <c r="C59" s="218"/>
      <c r="D59" s="226"/>
      <c r="E59" s="268"/>
      <c r="F59" s="268"/>
      <c r="G59" s="40"/>
      <c r="H59" s="40"/>
      <c r="I59" s="40"/>
      <c r="J59" s="40"/>
      <c r="K59" s="40"/>
      <c r="L59" s="40"/>
      <c r="M59" s="40"/>
      <c r="N59" s="10"/>
    </row>
    <row r="60" ht="27.0" customHeight="1">
      <c r="A60" s="56" t="s">
        <v>71</v>
      </c>
      <c r="B60" s="40"/>
      <c r="C60" s="218"/>
      <c r="D60" s="283">
        <f t="shared" ref="D60:E60" si="3">D12+D43</f>
        <v>3384.31872</v>
      </c>
      <c r="E60" s="283">
        <f t="shared" si="3"/>
        <v>0</v>
      </c>
      <c r="F60" s="283">
        <f>sum(F12,F41,F43)</f>
        <v>2812.5</v>
      </c>
      <c r="G60" s="283"/>
      <c r="H60" s="283">
        <f>sum(H12,H41,H43)</f>
        <v>4380</v>
      </c>
      <c r="I60" s="40"/>
      <c r="J60" s="283">
        <f>sum(J12,J41,J43)</f>
        <v>0</v>
      </c>
      <c r="K60" s="283"/>
      <c r="L60" s="267">
        <f>H60+J60</f>
        <v>4380</v>
      </c>
      <c r="M60" s="283"/>
      <c r="N60" s="10"/>
    </row>
    <row r="61" ht="15.75" customHeight="1">
      <c r="A61" s="284" t="s">
        <v>72</v>
      </c>
      <c r="B61" s="285"/>
      <c r="C61" s="286" t="s">
        <v>528</v>
      </c>
      <c r="D61" s="82"/>
      <c r="E61" s="82"/>
      <c r="F61" s="82"/>
      <c r="G61" s="83"/>
      <c r="H61" s="87"/>
      <c r="I61" s="87"/>
      <c r="J61" s="87"/>
      <c r="K61" s="87"/>
      <c r="L61" s="10"/>
      <c r="M61" s="10"/>
      <c r="N61" s="87"/>
    </row>
    <row r="62" ht="14.25" customHeight="1">
      <c r="A62" s="10"/>
      <c r="B62" s="10"/>
      <c r="C62" s="10"/>
      <c r="D62" s="287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ht="15.75" customHeight="1">
      <c r="A63" s="253"/>
      <c r="B63" s="82"/>
      <c r="C63" s="253"/>
      <c r="D63" s="82"/>
      <c r="E63" s="82"/>
      <c r="F63" s="82"/>
      <c r="G63" s="10"/>
      <c r="H63" s="87"/>
      <c r="I63" s="87"/>
      <c r="J63" s="87"/>
      <c r="K63" s="87"/>
      <c r="L63" s="288" t="s">
        <v>74</v>
      </c>
      <c r="M63" s="197"/>
      <c r="N63" s="87"/>
    </row>
    <row r="64" ht="12.75" customHeight="1">
      <c r="A64" s="253"/>
      <c r="B64" s="253"/>
      <c r="C64" s="253"/>
      <c r="D64" s="82"/>
      <c r="E64" s="82"/>
      <c r="F64" s="82"/>
      <c r="G64" s="10"/>
      <c r="H64" s="87"/>
      <c r="I64" s="87"/>
      <c r="J64" s="87"/>
      <c r="K64" s="87"/>
      <c r="L64" s="199"/>
      <c r="M64" s="197"/>
      <c r="N64" s="87"/>
    </row>
    <row r="65" ht="23.25" customHeight="1">
      <c r="A65" s="253"/>
      <c r="B65" s="253"/>
      <c r="C65" s="253"/>
      <c r="D65" s="82"/>
      <c r="E65" s="82"/>
      <c r="F65" s="82"/>
      <c r="G65" s="10"/>
      <c r="H65" s="87"/>
      <c r="I65" s="87"/>
      <c r="J65" s="87"/>
      <c r="K65" s="87"/>
      <c r="L65" s="199"/>
      <c r="M65" s="197"/>
      <c r="N65" s="87"/>
    </row>
    <row r="66" ht="15.75" customHeight="1">
      <c r="A66" s="253"/>
      <c r="B66" s="253"/>
      <c r="C66" s="253"/>
      <c r="D66" s="82"/>
      <c r="E66" s="82"/>
      <c r="F66" s="82"/>
      <c r="G66" s="10"/>
      <c r="H66" s="87"/>
      <c r="I66" s="87"/>
      <c r="J66" s="87"/>
      <c r="K66" s="87"/>
      <c r="L66" s="199"/>
      <c r="M66" s="82"/>
      <c r="N66" s="87"/>
    </row>
    <row r="67" ht="21.75" customHeight="1">
      <c r="A67" s="289" t="s">
        <v>75</v>
      </c>
      <c r="B67" s="82"/>
      <c r="C67" s="289" t="s">
        <v>76</v>
      </c>
      <c r="D67" s="82"/>
      <c r="E67" s="82"/>
      <c r="F67" s="82"/>
      <c r="G67" s="10"/>
      <c r="H67" s="87"/>
      <c r="I67" s="87"/>
      <c r="J67" s="87"/>
      <c r="K67" s="87"/>
      <c r="L67" s="77" t="s">
        <v>77</v>
      </c>
      <c r="M67" s="82"/>
      <c r="N67" s="87"/>
    </row>
    <row r="68" ht="14.25" customHeight="1">
      <c r="A68" s="286" t="s">
        <v>78</v>
      </c>
      <c r="B68" s="82"/>
      <c r="C68" s="286" t="s">
        <v>79</v>
      </c>
      <c r="D68" s="253"/>
      <c r="E68" s="82"/>
      <c r="F68" s="82"/>
      <c r="G68" s="83"/>
      <c r="H68" s="87"/>
      <c r="I68" s="87"/>
      <c r="J68" s="87"/>
      <c r="K68" s="87"/>
      <c r="L68" s="290" t="s">
        <v>80</v>
      </c>
      <c r="M68" s="82"/>
      <c r="N68" s="10"/>
    </row>
    <row r="69" ht="14.25" customHeight="1">
      <c r="A69" s="291"/>
      <c r="B69" s="291"/>
      <c r="C69" s="10"/>
      <c r="D69" s="287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ht="14.25" customHeight="1">
      <c r="A70" s="291"/>
      <c r="B70" s="291"/>
      <c r="C70" s="10"/>
      <c r="D70" s="287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ht="14.25" customHeight="1">
      <c r="A71" s="10"/>
      <c r="B71" s="10"/>
      <c r="C71" s="10"/>
      <c r="D71" s="287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ht="14.25" customHeight="1">
      <c r="A72" s="10"/>
      <c r="B72" s="10"/>
      <c r="C72" s="10"/>
      <c r="D72" s="287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ht="14.25" customHeight="1">
      <c r="A73" s="10"/>
      <c r="B73" s="10"/>
      <c r="C73" s="10"/>
      <c r="D73" s="287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ht="14.25" customHeight="1">
      <c r="A74" s="10"/>
      <c r="B74" s="10"/>
      <c r="C74" s="10"/>
      <c r="D74" s="287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ht="14.25" customHeight="1">
      <c r="A75" s="10"/>
      <c r="B75" s="10"/>
      <c r="C75" s="10"/>
      <c r="D75" s="287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ht="14.25" customHeight="1">
      <c r="A76" s="10"/>
      <c r="B76" s="10"/>
      <c r="C76" s="10"/>
      <c r="D76" s="287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ht="14.25" customHeight="1">
      <c r="A77" s="10"/>
      <c r="B77" s="10"/>
      <c r="C77" s="10"/>
      <c r="D77" s="287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ht="14.25" customHeight="1">
      <c r="A78" s="10"/>
      <c r="B78" s="10"/>
      <c r="C78" s="10"/>
      <c r="D78" s="287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ht="14.25" customHeight="1">
      <c r="A79" s="10"/>
      <c r="B79" s="10"/>
      <c r="C79" s="10"/>
      <c r="D79" s="287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ht="14.25" customHeight="1">
      <c r="A80" s="10"/>
      <c r="B80" s="10"/>
      <c r="C80" s="10"/>
      <c r="D80" s="287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ht="14.25" customHeight="1">
      <c r="A81" s="10"/>
      <c r="B81" s="10"/>
      <c r="C81" s="10"/>
      <c r="D81" s="287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ht="14.25" customHeight="1">
      <c r="A82" s="10"/>
      <c r="B82" s="10"/>
      <c r="C82" s="10"/>
      <c r="D82" s="287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ht="14.25" customHeight="1">
      <c r="A83" s="10"/>
      <c r="B83" s="10"/>
      <c r="C83" s="10"/>
      <c r="D83" s="287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ht="14.25" customHeight="1">
      <c r="A84" s="10"/>
      <c r="B84" s="10"/>
      <c r="C84" s="10"/>
      <c r="D84" s="287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ht="14.25" customHeight="1">
      <c r="A85" s="10"/>
      <c r="B85" s="10"/>
      <c r="C85" s="10"/>
      <c r="D85" s="287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ht="14.25" customHeight="1">
      <c r="A86" s="10"/>
      <c r="B86" s="10"/>
      <c r="C86" s="10"/>
      <c r="D86" s="287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ht="14.25" customHeight="1">
      <c r="A87" s="10"/>
      <c r="B87" s="10"/>
      <c r="C87" s="10"/>
      <c r="D87" s="287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ht="14.25" customHeight="1">
      <c r="A88" s="10"/>
      <c r="B88" s="10"/>
      <c r="C88" s="10"/>
      <c r="D88" s="287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ht="14.25" customHeight="1">
      <c r="A89" s="10"/>
      <c r="B89" s="10"/>
      <c r="C89" s="10"/>
      <c r="D89" s="287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ht="14.25" customHeight="1">
      <c r="A90" s="10"/>
      <c r="B90" s="10"/>
      <c r="C90" s="10"/>
      <c r="D90" s="287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ht="14.25" customHeight="1">
      <c r="A91" s="10"/>
      <c r="B91" s="10"/>
      <c r="C91" s="10"/>
      <c r="D91" s="287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ht="14.25" customHeight="1">
      <c r="A92" s="10"/>
      <c r="B92" s="10"/>
      <c r="C92" s="10"/>
      <c r="D92" s="287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ht="14.25" customHeight="1">
      <c r="A93" s="10"/>
      <c r="B93" s="10"/>
      <c r="C93" s="10"/>
      <c r="D93" s="287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ht="14.25" customHeight="1">
      <c r="A94" s="10"/>
      <c r="B94" s="10"/>
      <c r="C94" s="10"/>
      <c r="D94" s="287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ht="14.25" customHeight="1">
      <c r="A95" s="10"/>
      <c r="B95" s="10"/>
      <c r="C95" s="10"/>
      <c r="D95" s="287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ht="14.25" customHeight="1">
      <c r="A96" s="10"/>
      <c r="B96" s="10"/>
      <c r="C96" s="10"/>
      <c r="D96" s="287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ht="14.25" customHeight="1">
      <c r="A97" s="10"/>
      <c r="B97" s="10"/>
      <c r="C97" s="10"/>
      <c r="D97" s="287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ht="14.25" customHeight="1">
      <c r="A98" s="10"/>
      <c r="B98" s="10"/>
      <c r="C98" s="10"/>
      <c r="D98" s="287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ht="14.25" customHeight="1">
      <c r="A99" s="10"/>
      <c r="B99" s="10"/>
      <c r="C99" s="10"/>
      <c r="D99" s="287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ht="14.25" customHeight="1">
      <c r="A100" s="10"/>
      <c r="B100" s="10"/>
      <c r="C100" s="10"/>
      <c r="D100" s="287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ht="14.25" customHeight="1">
      <c r="A101" s="10"/>
      <c r="B101" s="10"/>
      <c r="C101" s="10"/>
      <c r="D101" s="287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ht="14.25" customHeight="1">
      <c r="A102" s="10"/>
      <c r="B102" s="10"/>
      <c r="C102" s="10"/>
      <c r="D102" s="287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ht="14.25" customHeight="1">
      <c r="A103" s="10"/>
      <c r="B103" s="10"/>
      <c r="C103" s="10"/>
      <c r="D103" s="287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ht="14.25" customHeight="1">
      <c r="A104" s="10"/>
      <c r="B104" s="10"/>
      <c r="C104" s="10"/>
      <c r="D104" s="287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ht="14.25" customHeight="1">
      <c r="A105" s="10"/>
      <c r="B105" s="10"/>
      <c r="C105" s="10"/>
      <c r="D105" s="287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ht="14.25" customHeight="1">
      <c r="A106" s="10"/>
      <c r="B106" s="10"/>
      <c r="C106" s="10"/>
      <c r="D106" s="287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ht="14.25" customHeight="1">
      <c r="A107" s="10"/>
      <c r="B107" s="10"/>
      <c r="C107" s="10"/>
      <c r="D107" s="287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ht="14.25" customHeight="1">
      <c r="A108" s="10"/>
      <c r="B108" s="10"/>
      <c r="C108" s="10"/>
      <c r="D108" s="287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ht="14.25" customHeight="1">
      <c r="A109" s="10"/>
      <c r="B109" s="10"/>
      <c r="C109" s="10"/>
      <c r="D109" s="287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ht="14.25" customHeight="1">
      <c r="A110" s="10"/>
      <c r="B110" s="10"/>
      <c r="C110" s="10"/>
      <c r="D110" s="287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ht="14.25" customHeight="1">
      <c r="A111" s="10"/>
      <c r="B111" s="10"/>
      <c r="C111" s="10"/>
      <c r="D111" s="287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ht="14.25" customHeight="1">
      <c r="A112" s="10"/>
      <c r="B112" s="10"/>
      <c r="C112" s="10"/>
      <c r="D112" s="287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ht="14.25" customHeight="1">
      <c r="A113" s="10"/>
      <c r="B113" s="10"/>
      <c r="C113" s="10"/>
      <c r="D113" s="287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ht="14.25" customHeight="1">
      <c r="A114" s="10"/>
      <c r="B114" s="10"/>
      <c r="C114" s="10"/>
      <c r="D114" s="287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ht="14.25" customHeight="1">
      <c r="A115" s="10"/>
      <c r="B115" s="10"/>
      <c r="C115" s="10"/>
      <c r="D115" s="287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ht="14.25" customHeight="1">
      <c r="A116" s="10"/>
      <c r="B116" s="10"/>
      <c r="C116" s="10"/>
      <c r="D116" s="287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ht="14.25" customHeight="1">
      <c r="A117" s="10"/>
      <c r="B117" s="10"/>
      <c r="C117" s="10"/>
      <c r="D117" s="287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ht="14.25" customHeight="1">
      <c r="A118" s="10"/>
      <c r="B118" s="10"/>
      <c r="C118" s="10"/>
      <c r="D118" s="287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ht="14.25" customHeight="1">
      <c r="A119" s="10"/>
      <c r="B119" s="10"/>
      <c r="C119" s="10"/>
      <c r="D119" s="287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ht="14.25" customHeight="1">
      <c r="A120" s="10"/>
      <c r="B120" s="10"/>
      <c r="C120" s="10"/>
      <c r="D120" s="287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ht="14.25" customHeight="1">
      <c r="A121" s="10"/>
      <c r="B121" s="10"/>
      <c r="C121" s="10"/>
      <c r="D121" s="287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ht="14.25" customHeight="1">
      <c r="A122" s="10"/>
      <c r="B122" s="10"/>
      <c r="C122" s="10"/>
      <c r="D122" s="287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ht="14.25" customHeight="1">
      <c r="A123" s="10"/>
      <c r="B123" s="10"/>
      <c r="C123" s="10"/>
      <c r="D123" s="287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ht="14.25" customHeight="1">
      <c r="A124" s="10"/>
      <c r="B124" s="10"/>
      <c r="C124" s="10"/>
      <c r="D124" s="287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ht="14.25" customHeight="1">
      <c r="A125" s="10"/>
      <c r="B125" s="10"/>
      <c r="C125" s="10"/>
      <c r="D125" s="287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ht="14.25" customHeight="1">
      <c r="A126" s="10"/>
      <c r="B126" s="10"/>
      <c r="C126" s="10"/>
      <c r="D126" s="287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ht="14.25" customHeight="1">
      <c r="A127" s="10"/>
      <c r="B127" s="10"/>
      <c r="C127" s="10"/>
      <c r="D127" s="287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ht="14.25" customHeight="1">
      <c r="A128" s="10"/>
      <c r="B128" s="10"/>
      <c r="C128" s="10"/>
      <c r="D128" s="287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ht="14.25" customHeight="1">
      <c r="A129" s="10"/>
      <c r="B129" s="10"/>
      <c r="C129" s="10"/>
      <c r="D129" s="287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ht="14.25" customHeight="1">
      <c r="A130" s="10"/>
      <c r="B130" s="10"/>
      <c r="C130" s="10"/>
      <c r="D130" s="287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ht="14.25" customHeight="1">
      <c r="A131" s="10"/>
      <c r="B131" s="10"/>
      <c r="C131" s="10"/>
      <c r="D131" s="287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ht="14.25" customHeight="1">
      <c r="A132" s="10"/>
      <c r="B132" s="10"/>
      <c r="C132" s="10"/>
      <c r="D132" s="287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ht="14.25" customHeight="1">
      <c r="A133" s="10"/>
      <c r="B133" s="10"/>
      <c r="C133" s="10"/>
      <c r="D133" s="287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ht="14.25" customHeight="1">
      <c r="A134" s="10"/>
      <c r="B134" s="10"/>
      <c r="C134" s="10"/>
      <c r="D134" s="287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ht="14.25" customHeight="1">
      <c r="A135" s="10"/>
      <c r="B135" s="10"/>
      <c r="C135" s="10"/>
      <c r="D135" s="287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ht="14.25" customHeight="1">
      <c r="A136" s="10"/>
      <c r="B136" s="10"/>
      <c r="C136" s="10"/>
      <c r="D136" s="287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ht="14.25" customHeight="1">
      <c r="A137" s="10"/>
      <c r="B137" s="10"/>
      <c r="C137" s="10"/>
      <c r="D137" s="287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ht="14.25" customHeight="1">
      <c r="A138" s="10"/>
      <c r="B138" s="10"/>
      <c r="C138" s="10"/>
      <c r="D138" s="287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ht="14.25" customHeight="1">
      <c r="A139" s="10"/>
      <c r="B139" s="10"/>
      <c r="C139" s="10"/>
      <c r="D139" s="287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ht="14.25" customHeight="1">
      <c r="A140" s="10"/>
      <c r="B140" s="10"/>
      <c r="C140" s="10"/>
      <c r="D140" s="287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ht="14.25" customHeight="1">
      <c r="A141" s="10"/>
      <c r="B141" s="10"/>
      <c r="C141" s="10"/>
      <c r="D141" s="287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ht="14.25" customHeight="1">
      <c r="A142" s="10"/>
      <c r="B142" s="10"/>
      <c r="C142" s="10"/>
      <c r="D142" s="287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ht="14.25" customHeight="1">
      <c r="A143" s="10"/>
      <c r="B143" s="10"/>
      <c r="C143" s="10"/>
      <c r="D143" s="287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ht="14.25" customHeight="1">
      <c r="A144" s="10"/>
      <c r="B144" s="10"/>
      <c r="C144" s="10"/>
      <c r="D144" s="287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ht="14.25" customHeight="1">
      <c r="A145" s="10"/>
      <c r="B145" s="10"/>
      <c r="C145" s="10"/>
      <c r="D145" s="287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ht="14.25" customHeight="1">
      <c r="A146" s="10"/>
      <c r="B146" s="10"/>
      <c r="C146" s="10"/>
      <c r="D146" s="287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ht="14.25" customHeight="1">
      <c r="A147" s="10"/>
      <c r="B147" s="10"/>
      <c r="C147" s="10"/>
      <c r="D147" s="287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ht="14.25" customHeight="1">
      <c r="A148" s="10"/>
      <c r="B148" s="10"/>
      <c r="C148" s="10"/>
      <c r="D148" s="287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ht="14.25" customHeight="1">
      <c r="A149" s="10"/>
      <c r="B149" s="10"/>
      <c r="C149" s="10"/>
      <c r="D149" s="287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ht="14.25" customHeight="1">
      <c r="A150" s="10"/>
      <c r="B150" s="10"/>
      <c r="C150" s="10"/>
      <c r="D150" s="287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ht="14.25" customHeight="1">
      <c r="A151" s="10"/>
      <c r="B151" s="10"/>
      <c r="C151" s="10"/>
      <c r="D151" s="287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ht="14.25" customHeight="1">
      <c r="A152" s="10"/>
      <c r="B152" s="10"/>
      <c r="C152" s="10"/>
      <c r="D152" s="287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ht="14.25" customHeight="1">
      <c r="A153" s="10"/>
      <c r="B153" s="10"/>
      <c r="C153" s="10"/>
      <c r="D153" s="287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ht="14.25" customHeight="1">
      <c r="A154" s="10"/>
      <c r="B154" s="10"/>
      <c r="C154" s="10"/>
      <c r="D154" s="287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ht="14.25" customHeight="1">
      <c r="A155" s="10"/>
      <c r="B155" s="10"/>
      <c r="C155" s="10"/>
      <c r="D155" s="287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ht="14.25" customHeight="1">
      <c r="A156" s="10"/>
      <c r="B156" s="10"/>
      <c r="C156" s="10"/>
      <c r="D156" s="287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ht="14.25" customHeight="1">
      <c r="A157" s="10"/>
      <c r="B157" s="10"/>
      <c r="C157" s="10"/>
      <c r="D157" s="287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ht="14.25" customHeight="1">
      <c r="A158" s="10"/>
      <c r="B158" s="10"/>
      <c r="C158" s="10"/>
      <c r="D158" s="287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ht="14.25" customHeight="1">
      <c r="A159" s="10"/>
      <c r="B159" s="10"/>
      <c r="C159" s="10"/>
      <c r="D159" s="287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ht="14.25" customHeight="1">
      <c r="A160" s="10"/>
      <c r="B160" s="10"/>
      <c r="C160" s="10"/>
      <c r="D160" s="287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ht="14.25" customHeight="1">
      <c r="A161" s="10"/>
      <c r="B161" s="10"/>
      <c r="C161" s="10"/>
      <c r="D161" s="287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ht="14.25" customHeight="1">
      <c r="A162" s="10"/>
      <c r="B162" s="10"/>
      <c r="C162" s="10"/>
      <c r="D162" s="287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ht="14.25" customHeight="1">
      <c r="A163" s="10"/>
      <c r="B163" s="10"/>
      <c r="C163" s="10"/>
      <c r="D163" s="287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ht="14.25" customHeight="1">
      <c r="A164" s="10"/>
      <c r="B164" s="10"/>
      <c r="C164" s="10"/>
      <c r="D164" s="287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ht="14.25" customHeight="1">
      <c r="A165" s="10"/>
      <c r="B165" s="10"/>
      <c r="C165" s="10"/>
      <c r="D165" s="287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ht="14.25" customHeight="1">
      <c r="A166" s="10"/>
      <c r="B166" s="10"/>
      <c r="C166" s="10"/>
      <c r="D166" s="287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ht="14.25" customHeight="1">
      <c r="A167" s="10"/>
      <c r="B167" s="10"/>
      <c r="C167" s="10"/>
      <c r="D167" s="287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ht="14.25" customHeight="1">
      <c r="A168" s="10"/>
      <c r="B168" s="10"/>
      <c r="C168" s="10"/>
      <c r="D168" s="287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ht="14.25" customHeight="1">
      <c r="A169" s="10"/>
      <c r="B169" s="10"/>
      <c r="C169" s="10"/>
      <c r="D169" s="287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ht="14.25" customHeight="1">
      <c r="A170" s="10"/>
      <c r="B170" s="10"/>
      <c r="C170" s="10"/>
      <c r="D170" s="287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ht="14.25" customHeight="1">
      <c r="A171" s="10"/>
      <c r="B171" s="10"/>
      <c r="C171" s="10"/>
      <c r="D171" s="287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ht="14.25" customHeight="1">
      <c r="A172" s="10"/>
      <c r="B172" s="10"/>
      <c r="C172" s="10"/>
      <c r="D172" s="287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4.25" customHeight="1">
      <c r="A173" s="10"/>
      <c r="B173" s="10"/>
      <c r="C173" s="10"/>
      <c r="D173" s="287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4.25" customHeight="1">
      <c r="A174" s="10"/>
      <c r="B174" s="10"/>
      <c r="C174" s="10"/>
      <c r="D174" s="287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4.25" customHeight="1">
      <c r="A175" s="10"/>
      <c r="B175" s="10"/>
      <c r="C175" s="10"/>
      <c r="D175" s="287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4.25" customHeight="1">
      <c r="A176" s="10"/>
      <c r="B176" s="10"/>
      <c r="C176" s="10"/>
      <c r="D176" s="287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4.25" customHeight="1">
      <c r="A177" s="10"/>
      <c r="B177" s="10"/>
      <c r="C177" s="10"/>
      <c r="D177" s="287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4.25" customHeight="1">
      <c r="A178" s="10"/>
      <c r="B178" s="10"/>
      <c r="C178" s="10"/>
      <c r="D178" s="287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4.25" customHeight="1">
      <c r="A179" s="10"/>
      <c r="B179" s="10"/>
      <c r="C179" s="10"/>
      <c r="D179" s="287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4.25" customHeight="1">
      <c r="A180" s="10"/>
      <c r="B180" s="10"/>
      <c r="C180" s="10"/>
      <c r="D180" s="287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4.25" customHeight="1">
      <c r="A181" s="10"/>
      <c r="B181" s="10"/>
      <c r="C181" s="10"/>
      <c r="D181" s="287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4.25" customHeight="1">
      <c r="A182" s="10"/>
      <c r="B182" s="10"/>
      <c r="C182" s="10"/>
      <c r="D182" s="287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4.25" customHeight="1">
      <c r="A183" s="10"/>
      <c r="B183" s="10"/>
      <c r="C183" s="10"/>
      <c r="D183" s="287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4.25" customHeight="1">
      <c r="A184" s="10"/>
      <c r="B184" s="10"/>
      <c r="C184" s="10"/>
      <c r="D184" s="287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4.25" customHeight="1">
      <c r="A185" s="10"/>
      <c r="B185" s="10"/>
      <c r="C185" s="10"/>
      <c r="D185" s="287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4.25" customHeight="1">
      <c r="A186" s="10"/>
      <c r="B186" s="10"/>
      <c r="C186" s="10"/>
      <c r="D186" s="287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4.25" customHeight="1">
      <c r="A187" s="10"/>
      <c r="B187" s="10"/>
      <c r="C187" s="10"/>
      <c r="D187" s="287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4.25" customHeight="1">
      <c r="A188" s="10"/>
      <c r="B188" s="10"/>
      <c r="C188" s="10"/>
      <c r="D188" s="287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4.25" customHeight="1">
      <c r="A189" s="10"/>
      <c r="B189" s="10"/>
      <c r="C189" s="10"/>
      <c r="D189" s="287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4.25" customHeight="1">
      <c r="A190" s="10"/>
      <c r="B190" s="10"/>
      <c r="C190" s="10"/>
      <c r="D190" s="287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4.25" customHeight="1">
      <c r="A191" s="10"/>
      <c r="B191" s="10"/>
      <c r="C191" s="10"/>
      <c r="D191" s="287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4.25" customHeight="1">
      <c r="A192" s="10"/>
      <c r="B192" s="10"/>
      <c r="C192" s="10"/>
      <c r="D192" s="287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4.25" customHeight="1">
      <c r="A193" s="10"/>
      <c r="B193" s="10"/>
      <c r="C193" s="10"/>
      <c r="D193" s="287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4.25" customHeight="1">
      <c r="A194" s="10"/>
      <c r="B194" s="10"/>
      <c r="C194" s="10"/>
      <c r="D194" s="287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4.25" customHeight="1">
      <c r="A195" s="10"/>
      <c r="B195" s="10"/>
      <c r="C195" s="10"/>
      <c r="D195" s="287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4.25" customHeight="1">
      <c r="A196" s="10"/>
      <c r="B196" s="10"/>
      <c r="C196" s="10"/>
      <c r="D196" s="287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4.25" customHeight="1">
      <c r="A197" s="10"/>
      <c r="B197" s="10"/>
      <c r="C197" s="10"/>
      <c r="D197" s="287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4.25" customHeight="1">
      <c r="A198" s="10"/>
      <c r="B198" s="10"/>
      <c r="C198" s="10"/>
      <c r="D198" s="287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4.25" customHeight="1">
      <c r="A199" s="10"/>
      <c r="B199" s="10"/>
      <c r="C199" s="10"/>
      <c r="D199" s="287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4.25" customHeight="1">
      <c r="A200" s="10"/>
      <c r="B200" s="10"/>
      <c r="C200" s="10"/>
      <c r="D200" s="287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4.25" customHeight="1">
      <c r="A201" s="10"/>
      <c r="B201" s="10"/>
      <c r="C201" s="10"/>
      <c r="D201" s="287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4.25" customHeight="1">
      <c r="A202" s="10"/>
      <c r="B202" s="10"/>
      <c r="C202" s="10"/>
      <c r="D202" s="287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4.25" customHeight="1">
      <c r="A203" s="10"/>
      <c r="B203" s="10"/>
      <c r="C203" s="10"/>
      <c r="D203" s="287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4.25" customHeight="1">
      <c r="A204" s="10"/>
      <c r="B204" s="10"/>
      <c r="C204" s="10"/>
      <c r="D204" s="287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4.25" customHeight="1">
      <c r="A205" s="10"/>
      <c r="B205" s="10"/>
      <c r="C205" s="10"/>
      <c r="D205" s="287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4.25" customHeight="1">
      <c r="A206" s="10"/>
      <c r="B206" s="10"/>
      <c r="C206" s="10"/>
      <c r="D206" s="287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4.25" customHeight="1">
      <c r="A207" s="10"/>
      <c r="B207" s="10"/>
      <c r="C207" s="10"/>
      <c r="D207" s="287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4.25" customHeight="1">
      <c r="A208" s="10"/>
      <c r="B208" s="10"/>
      <c r="C208" s="10"/>
      <c r="D208" s="287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4.25" customHeight="1">
      <c r="A209" s="10"/>
      <c r="B209" s="10"/>
      <c r="C209" s="10"/>
      <c r="D209" s="287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4.25" customHeight="1">
      <c r="A210" s="10"/>
      <c r="B210" s="10"/>
      <c r="C210" s="10"/>
      <c r="D210" s="287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4.25" customHeight="1">
      <c r="A211" s="10"/>
      <c r="B211" s="10"/>
      <c r="C211" s="10"/>
      <c r="D211" s="287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4.25" customHeight="1">
      <c r="A212" s="10"/>
      <c r="B212" s="10"/>
      <c r="C212" s="10"/>
      <c r="D212" s="287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4.25" customHeight="1">
      <c r="A213" s="10"/>
      <c r="B213" s="10"/>
      <c r="C213" s="10"/>
      <c r="D213" s="287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4.25" customHeight="1">
      <c r="A214" s="10"/>
      <c r="B214" s="10"/>
      <c r="C214" s="10"/>
      <c r="D214" s="287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4.2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</row>
    <row r="216" ht="14.2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</row>
    <row r="217" ht="14.2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</row>
    <row r="218" ht="14.2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</row>
    <row r="219" ht="14.2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</row>
    <row r="220" ht="14.2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</row>
    <row r="221" ht="14.2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</row>
    <row r="222" ht="14.2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</row>
    <row r="223" ht="14.2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</row>
    <row r="224" ht="14.2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</row>
    <row r="225" ht="14.2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</row>
    <row r="226" ht="14.2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</row>
    <row r="227" ht="14.2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</row>
    <row r="228" ht="14.2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</row>
    <row r="229" ht="14.2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</row>
    <row r="230" ht="14.2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</row>
    <row r="231" ht="14.2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</row>
    <row r="232" ht="14.2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</row>
    <row r="233" ht="14.2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</row>
    <row r="234" ht="14.2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</row>
    <row r="235" ht="14.2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</row>
    <row r="236" ht="14.2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</row>
    <row r="237" ht="14.2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</row>
    <row r="238" ht="14.2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</row>
    <row r="239" ht="14.2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</row>
    <row r="240" ht="14.2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</row>
    <row r="241" ht="14.2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</row>
    <row r="242" ht="14.2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</row>
    <row r="243" ht="14.2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</row>
    <row r="244" ht="14.2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</row>
    <row r="245" ht="14.2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</row>
    <row r="246" ht="14.2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</row>
    <row r="247" ht="14.2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</row>
    <row r="248" ht="14.2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</row>
    <row r="249" ht="14.2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</row>
    <row r="250" ht="14.2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</row>
    <row r="251" ht="14.2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</row>
    <row r="252" ht="14.2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</row>
    <row r="253" ht="14.2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</row>
    <row r="254" ht="14.2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</row>
    <row r="255" ht="14.2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</row>
    <row r="256" ht="14.2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</row>
    <row r="257" ht="14.2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</row>
    <row r="258" ht="14.2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</row>
    <row r="259" ht="14.2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</row>
    <row r="260" ht="14.2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</row>
    <row r="261" ht="14.2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</row>
    <row r="262" ht="14.2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</row>
    <row r="263" ht="14.2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</row>
    <row r="264" ht="14.2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</row>
    <row r="265" ht="14.2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</row>
    <row r="266" ht="14.2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</row>
    <row r="267" ht="14.2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</row>
    <row r="268" ht="14.2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</row>
    <row r="269" ht="14.2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</row>
    <row r="270" ht="14.2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</row>
    <row r="271" ht="14.2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</row>
    <row r="272" ht="14.2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</row>
    <row r="273" ht="14.2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</row>
    <row r="274" ht="14.2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</row>
    <row r="275" ht="14.2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</row>
    <row r="276" ht="14.2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</row>
    <row r="277" ht="14.2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</row>
    <row r="278" ht="14.2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</row>
    <row r="279" ht="14.2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</row>
    <row r="280" ht="14.2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</row>
    <row r="281" ht="14.2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</row>
    <row r="282" ht="14.2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</row>
    <row r="283" ht="14.2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</row>
    <row r="284" ht="14.2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</row>
    <row r="285" ht="14.2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</row>
    <row r="286" ht="14.2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</row>
    <row r="287" ht="14.2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</row>
    <row r="288" ht="14.2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</row>
    <row r="289" ht="14.2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</row>
    <row r="290" ht="14.2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</row>
    <row r="291" ht="14.2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</row>
    <row r="292" ht="14.2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</row>
    <row r="293" ht="14.2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</row>
    <row r="294" ht="14.2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</row>
    <row r="295" ht="14.2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</row>
    <row r="296" ht="14.2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</row>
    <row r="297" ht="14.2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</row>
    <row r="298" ht="14.2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</row>
    <row r="299" ht="14.2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</row>
    <row r="300" ht="14.2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</row>
    <row r="301" ht="14.2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</row>
    <row r="302" ht="14.2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</row>
    <row r="303" ht="14.2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</row>
    <row r="304" ht="14.2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</row>
    <row r="305" ht="14.2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</row>
    <row r="306" ht="14.2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</row>
    <row r="307" ht="14.2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</row>
    <row r="308" ht="14.2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</row>
    <row r="309" ht="14.2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</row>
    <row r="310" ht="14.2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</row>
    <row r="311" ht="14.2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</row>
    <row r="312" ht="14.2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</row>
    <row r="313" ht="14.2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</row>
    <row r="314" ht="14.2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</row>
    <row r="315" ht="14.2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</row>
    <row r="316" ht="14.2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</row>
    <row r="317" ht="14.2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</row>
    <row r="318" ht="14.2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</row>
    <row r="319" ht="14.2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</row>
    <row r="320" ht="14.2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</row>
    <row r="321" ht="14.2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</row>
    <row r="322" ht="14.2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</row>
    <row r="323" ht="14.2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</row>
    <row r="324" ht="14.2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</row>
    <row r="325" ht="14.2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</row>
    <row r="326" ht="14.2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</row>
    <row r="327" ht="14.2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</row>
    <row r="328" ht="14.2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</row>
    <row r="329" ht="14.2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</row>
    <row r="330" ht="14.2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</row>
    <row r="331" ht="14.2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</row>
    <row r="332" ht="14.2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</row>
    <row r="333" ht="14.2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</row>
    <row r="334" ht="14.2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</row>
    <row r="335" ht="14.2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</row>
    <row r="336" ht="14.2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</row>
    <row r="337" ht="14.2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</row>
    <row r="338" ht="14.2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</row>
    <row r="339" ht="14.2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</row>
    <row r="340" ht="14.2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</row>
    <row r="341" ht="14.2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</row>
    <row r="342" ht="14.2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</row>
    <row r="343" ht="14.2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</row>
    <row r="344" ht="14.2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</row>
    <row r="345" ht="14.2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</row>
    <row r="346" ht="14.2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</row>
    <row r="347" ht="14.2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</row>
    <row r="348" ht="14.2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</row>
    <row r="349" ht="14.2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</row>
    <row r="350" ht="14.2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</row>
    <row r="351" ht="14.2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</row>
    <row r="352" ht="14.2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</row>
    <row r="353" ht="14.2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</row>
    <row r="354" ht="14.2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</row>
    <row r="355" ht="14.2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</row>
    <row r="356" ht="14.2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</row>
    <row r="357" ht="14.2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</row>
    <row r="358" ht="14.2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</row>
    <row r="359" ht="14.2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</row>
    <row r="360" ht="14.2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</row>
    <row r="361" ht="14.2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</row>
    <row r="362" ht="14.2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</row>
    <row r="363" ht="14.2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</row>
    <row r="364" ht="14.2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</row>
    <row r="365" ht="14.2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</row>
    <row r="366" ht="14.2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</row>
    <row r="367" ht="14.2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</row>
    <row r="368" ht="14.2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</row>
    <row r="369" ht="14.2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</row>
    <row r="370" ht="14.2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</row>
    <row r="371" ht="14.2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</row>
    <row r="372" ht="14.2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</row>
    <row r="373" ht="14.2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</row>
    <row r="374" ht="14.2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</row>
    <row r="375" ht="14.2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</row>
    <row r="376" ht="14.2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</row>
    <row r="377" ht="14.2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</row>
    <row r="378" ht="14.2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</row>
    <row r="379" ht="14.2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</row>
    <row r="380" ht="14.2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</row>
    <row r="381" ht="14.2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</row>
    <row r="382" ht="14.2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</row>
    <row r="383" ht="14.2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</row>
    <row r="384" ht="14.2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</row>
    <row r="385" ht="14.2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</row>
    <row r="386" ht="14.2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</row>
    <row r="387" ht="14.2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</row>
    <row r="388" ht="14.2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</row>
    <row r="389" ht="14.2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</row>
    <row r="390" ht="14.2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</row>
    <row r="391" ht="14.2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</row>
    <row r="392" ht="14.2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</row>
    <row r="393" ht="14.2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</row>
    <row r="394" ht="14.2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</row>
    <row r="395" ht="14.2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</row>
    <row r="396" ht="14.2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</row>
    <row r="397" ht="14.2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</row>
    <row r="398" ht="14.2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</row>
    <row r="399" ht="14.2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</row>
    <row r="400" ht="14.2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</row>
    <row r="401" ht="14.2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</row>
    <row r="402" ht="14.2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</row>
    <row r="403" ht="14.2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</row>
    <row r="404" ht="14.2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</row>
    <row r="405" ht="14.2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</row>
    <row r="406" ht="14.2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</row>
    <row r="407" ht="14.2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</row>
    <row r="408" ht="14.2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</row>
    <row r="409" ht="14.2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</row>
    <row r="410" ht="14.2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</row>
    <row r="411" ht="14.2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</row>
    <row r="412" ht="14.2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</row>
    <row r="413" ht="14.2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</row>
    <row r="414" ht="14.2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</row>
    <row r="415" ht="14.2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</row>
    <row r="416" ht="14.2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</row>
    <row r="417" ht="14.2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</row>
    <row r="418" ht="14.2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</row>
    <row r="419" ht="14.2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</row>
    <row r="420" ht="14.2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</row>
    <row r="421" ht="14.2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</row>
    <row r="422" ht="14.2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</row>
    <row r="423" ht="14.2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</row>
    <row r="424" ht="14.2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</row>
    <row r="425" ht="14.2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</row>
    <row r="426" ht="14.2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</row>
    <row r="427" ht="14.2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</row>
    <row r="428" ht="14.2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</row>
    <row r="429" ht="14.2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</row>
    <row r="430" ht="14.2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</row>
    <row r="431" ht="14.2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</row>
    <row r="432" ht="14.2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</row>
    <row r="433" ht="14.2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</row>
    <row r="434" ht="14.2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</row>
    <row r="435" ht="14.2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</row>
    <row r="436" ht="14.2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</row>
    <row r="437" ht="14.2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</row>
    <row r="438" ht="14.2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</row>
    <row r="439" ht="14.2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</row>
    <row r="440" ht="14.2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</row>
    <row r="441" ht="14.2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</row>
    <row r="442" ht="14.2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</row>
    <row r="443" ht="14.2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</row>
    <row r="444" ht="14.2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</row>
    <row r="445" ht="14.2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</row>
    <row r="446" ht="14.2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</row>
    <row r="447" ht="14.2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</row>
    <row r="448" ht="14.2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</row>
    <row r="449" ht="14.2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</row>
    <row r="450" ht="14.2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</row>
    <row r="451" ht="14.2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</row>
    <row r="452" ht="14.2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</row>
    <row r="453" ht="14.2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</row>
    <row r="454" ht="14.2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</row>
    <row r="455" ht="14.2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</row>
    <row r="456" ht="14.2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</row>
    <row r="457" ht="14.2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</row>
    <row r="458" ht="14.2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</row>
    <row r="459" ht="14.2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</row>
    <row r="460" ht="14.2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</row>
    <row r="461" ht="14.2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</row>
    <row r="462" ht="14.2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</row>
    <row r="463" ht="14.2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</row>
    <row r="464" ht="14.2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</row>
    <row r="465" ht="14.2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</row>
    <row r="466" ht="14.2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</row>
    <row r="467" ht="14.2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</row>
    <row r="468" ht="14.2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</row>
    <row r="469" ht="14.2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</row>
    <row r="470" ht="14.2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</row>
    <row r="471" ht="14.2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</row>
    <row r="472" ht="14.2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</row>
    <row r="473" ht="14.2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</row>
    <row r="474" ht="14.2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</row>
    <row r="475" ht="14.2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</row>
    <row r="476" ht="14.2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</row>
    <row r="477" ht="14.2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</row>
    <row r="478" ht="14.2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</row>
    <row r="479" ht="14.2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</row>
    <row r="480" ht="14.2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</row>
    <row r="481" ht="14.2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</row>
    <row r="482" ht="14.2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</row>
    <row r="483" ht="14.2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</row>
    <row r="484" ht="14.2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</row>
    <row r="485" ht="14.2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</row>
    <row r="486" ht="14.2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</row>
    <row r="487" ht="14.2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</row>
    <row r="488" ht="14.2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</row>
    <row r="489" ht="14.2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</row>
    <row r="490" ht="14.2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</row>
    <row r="491" ht="14.2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</row>
    <row r="492" ht="14.2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</row>
    <row r="493" ht="14.2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</row>
    <row r="494" ht="14.2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</row>
    <row r="495" ht="14.2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</row>
    <row r="496" ht="14.2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</row>
    <row r="497" ht="14.2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</row>
    <row r="498" ht="14.2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</row>
    <row r="499" ht="14.2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</row>
    <row r="500" ht="14.2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</row>
    <row r="501" ht="14.2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</row>
    <row r="502" ht="14.2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</row>
    <row r="503" ht="14.2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</row>
    <row r="504" ht="14.2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</row>
    <row r="505" ht="14.2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</row>
    <row r="506" ht="14.2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</row>
    <row r="507" ht="14.2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</row>
    <row r="508" ht="14.2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</row>
    <row r="509" ht="14.2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</row>
    <row r="510" ht="14.2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</row>
    <row r="511" ht="14.2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</row>
    <row r="512" ht="14.2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</row>
    <row r="513" ht="14.2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</row>
    <row r="514" ht="14.2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</row>
    <row r="515" ht="14.2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</row>
    <row r="516" ht="14.2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</row>
    <row r="517" ht="14.2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</row>
    <row r="518" ht="14.2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</row>
    <row r="519" ht="14.2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</row>
    <row r="520" ht="14.2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</row>
    <row r="521" ht="14.2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</row>
    <row r="522" ht="14.2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</row>
    <row r="523" ht="14.2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</row>
    <row r="524" ht="14.2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</row>
    <row r="525" ht="14.2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</row>
    <row r="526" ht="14.2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</row>
    <row r="527" ht="14.2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</row>
    <row r="528" ht="14.2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</row>
    <row r="529" ht="14.2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</row>
    <row r="530" ht="14.2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</row>
    <row r="531" ht="14.2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</row>
    <row r="532" ht="14.2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</row>
    <row r="533" ht="14.2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</row>
    <row r="534" ht="14.2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</row>
    <row r="535" ht="14.2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</row>
    <row r="536" ht="14.2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</row>
    <row r="537" ht="14.2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</row>
    <row r="538" ht="14.2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</row>
    <row r="539" ht="14.2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</row>
    <row r="540" ht="14.2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</row>
    <row r="541" ht="14.2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</row>
    <row r="542" ht="14.2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</row>
    <row r="543" ht="14.2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</row>
    <row r="544" ht="14.2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</row>
    <row r="545" ht="14.2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</row>
    <row r="546" ht="14.2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</row>
    <row r="547" ht="14.2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</row>
    <row r="548" ht="14.2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</row>
    <row r="549" ht="14.2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</row>
    <row r="550" ht="14.2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</row>
    <row r="551" ht="14.2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</row>
    <row r="552" ht="14.2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</row>
    <row r="553" ht="14.2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</row>
    <row r="554" ht="14.2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</row>
    <row r="555" ht="14.2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</row>
    <row r="556" ht="14.2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</row>
    <row r="557" ht="14.2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</row>
    <row r="558" ht="14.2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</row>
    <row r="559" ht="14.2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</row>
    <row r="560" ht="14.2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</row>
    <row r="561" ht="14.2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</row>
    <row r="562" ht="14.2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</row>
    <row r="563" ht="14.2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</row>
    <row r="564" ht="14.2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</row>
    <row r="565" ht="14.2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</row>
    <row r="566" ht="14.2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</row>
    <row r="567" ht="14.2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</row>
    <row r="568" ht="14.2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</row>
    <row r="569" ht="14.2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</row>
    <row r="570" ht="14.2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</row>
    <row r="571" ht="14.2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</row>
    <row r="572" ht="14.2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</row>
    <row r="573" ht="14.2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</row>
    <row r="574" ht="14.2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</row>
    <row r="575" ht="14.2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</row>
    <row r="576" ht="14.2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</row>
    <row r="577" ht="14.2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</row>
    <row r="578" ht="14.2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</row>
    <row r="579" ht="14.2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</row>
    <row r="580" ht="14.2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</row>
    <row r="581" ht="14.2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</row>
    <row r="582" ht="14.2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</row>
    <row r="583" ht="14.2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</row>
    <row r="584" ht="14.2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</row>
    <row r="585" ht="14.2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</row>
    <row r="586" ht="14.2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</row>
    <row r="587" ht="14.2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</row>
    <row r="588" ht="14.2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</row>
    <row r="589" ht="14.2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</row>
    <row r="590" ht="14.2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</row>
    <row r="591" ht="14.2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</row>
    <row r="592" ht="14.2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</row>
    <row r="593" ht="14.2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</row>
    <row r="594" ht="14.2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</row>
    <row r="595" ht="14.2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</row>
    <row r="596" ht="14.2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</row>
    <row r="597" ht="14.2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</row>
    <row r="598" ht="14.2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</row>
    <row r="599" ht="14.2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</row>
    <row r="600" ht="14.2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</row>
    <row r="601" ht="14.2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</row>
    <row r="602" ht="14.2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</row>
    <row r="603" ht="14.2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</row>
    <row r="604" ht="14.2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</row>
    <row r="605" ht="14.2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</row>
    <row r="606" ht="14.2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</row>
    <row r="607" ht="14.2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</row>
    <row r="608" ht="14.2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</row>
    <row r="609" ht="14.2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</row>
    <row r="610" ht="14.2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</row>
    <row r="611" ht="14.2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</row>
    <row r="612" ht="14.2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</row>
    <row r="613" ht="14.2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</row>
    <row r="614" ht="14.2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</row>
    <row r="615" ht="14.2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</row>
    <row r="616" ht="14.2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</row>
    <row r="617" ht="14.2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</row>
    <row r="618" ht="14.2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</row>
    <row r="619" ht="14.2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</row>
    <row r="620" ht="14.2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</row>
    <row r="621" ht="14.2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</row>
    <row r="622" ht="14.2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</row>
    <row r="623" ht="14.2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</row>
    <row r="624" ht="14.2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</row>
    <row r="625" ht="14.2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</row>
    <row r="626" ht="14.2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</row>
    <row r="627" ht="14.2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</row>
    <row r="628" ht="14.2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</row>
    <row r="629" ht="14.2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</row>
    <row r="630" ht="14.2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</row>
    <row r="631" ht="14.2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</row>
    <row r="632" ht="14.2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</row>
    <row r="633" ht="14.2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</row>
    <row r="634" ht="14.2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</row>
    <row r="635" ht="14.2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</row>
    <row r="636" ht="14.2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</row>
    <row r="637" ht="14.2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</row>
    <row r="638" ht="14.2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</row>
    <row r="639" ht="14.2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</row>
    <row r="640" ht="14.2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</row>
    <row r="641" ht="14.2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</row>
    <row r="642" ht="14.2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</row>
    <row r="643" ht="14.2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</row>
    <row r="644" ht="14.2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</row>
    <row r="645" ht="14.2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</row>
    <row r="646" ht="14.2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</row>
    <row r="647" ht="14.2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</row>
    <row r="648" ht="14.2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</row>
    <row r="649" ht="14.2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</row>
    <row r="650" ht="14.2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</row>
    <row r="651" ht="14.2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</row>
    <row r="652" ht="14.2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</row>
    <row r="653" ht="14.2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</row>
    <row r="654" ht="14.2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</row>
    <row r="655" ht="14.2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</row>
    <row r="656" ht="14.2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</row>
    <row r="657" ht="14.2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</row>
    <row r="658" ht="14.2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</row>
    <row r="659" ht="14.2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</row>
    <row r="660" ht="14.2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</row>
    <row r="661" ht="14.2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</row>
    <row r="662" ht="14.2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</row>
    <row r="663" ht="14.2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</row>
    <row r="664" ht="14.2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</row>
    <row r="665" ht="14.2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</row>
    <row r="666" ht="14.2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</row>
    <row r="667" ht="14.2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</row>
    <row r="668" ht="14.2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</row>
    <row r="669" ht="14.2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</row>
    <row r="670" ht="14.2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</row>
    <row r="671" ht="14.2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</row>
    <row r="672" ht="14.2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</row>
    <row r="673" ht="14.2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</row>
    <row r="674" ht="14.2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</row>
    <row r="675" ht="14.2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</row>
    <row r="676" ht="14.2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</row>
    <row r="677" ht="14.2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</row>
    <row r="678" ht="14.2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</row>
    <row r="679" ht="14.2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</row>
    <row r="680" ht="14.2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</row>
    <row r="681" ht="14.2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</row>
    <row r="682" ht="14.2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</row>
    <row r="683" ht="14.2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</row>
    <row r="684" ht="14.2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</row>
    <row r="685" ht="14.2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</row>
    <row r="686" ht="14.2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</row>
    <row r="687" ht="14.2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</row>
    <row r="688" ht="14.2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</row>
    <row r="689" ht="14.2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</row>
    <row r="690" ht="14.2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</row>
    <row r="691" ht="14.2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</row>
    <row r="692" ht="14.2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</row>
    <row r="693" ht="14.2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</row>
    <row r="694" ht="14.2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</row>
    <row r="695" ht="14.2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</row>
    <row r="696" ht="14.2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</row>
    <row r="697" ht="14.2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</row>
    <row r="698" ht="14.2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</row>
    <row r="699" ht="14.2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</row>
    <row r="700" ht="14.2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</row>
    <row r="701" ht="14.2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</row>
    <row r="702" ht="14.2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</row>
    <row r="703" ht="14.2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</row>
    <row r="704" ht="14.2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</row>
    <row r="705" ht="14.2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</row>
    <row r="706" ht="14.2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</row>
    <row r="707" ht="14.2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</row>
    <row r="708" ht="14.2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</row>
    <row r="709" ht="14.2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</row>
    <row r="710" ht="14.2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</row>
    <row r="711" ht="14.2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</row>
    <row r="712" ht="14.2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</row>
    <row r="713" ht="14.2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</row>
    <row r="714" ht="14.2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</row>
    <row r="715" ht="14.2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</row>
    <row r="716" ht="14.2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</row>
    <row r="717" ht="14.2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</row>
    <row r="718" ht="14.2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</row>
    <row r="719" ht="14.2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</row>
    <row r="720" ht="14.2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</row>
    <row r="721" ht="14.2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</row>
    <row r="722" ht="14.2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</row>
    <row r="723" ht="14.2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</row>
    <row r="724" ht="14.2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</row>
    <row r="725" ht="14.2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</row>
    <row r="726" ht="14.2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</row>
    <row r="727" ht="14.2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</row>
    <row r="728" ht="14.2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</row>
    <row r="729" ht="14.2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</row>
    <row r="730" ht="14.2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</row>
    <row r="731" ht="14.2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</row>
    <row r="732" ht="14.2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</row>
    <row r="733" ht="14.2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</row>
    <row r="734" ht="14.2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</row>
    <row r="735" ht="14.2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</row>
    <row r="736" ht="14.2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</row>
    <row r="737" ht="14.2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</row>
    <row r="738" ht="14.2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</row>
    <row r="739" ht="14.2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</row>
    <row r="740" ht="14.2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</row>
    <row r="741" ht="14.2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</row>
    <row r="742" ht="14.2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</row>
    <row r="743" ht="14.2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</row>
    <row r="744" ht="14.2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</row>
    <row r="745" ht="14.2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</row>
    <row r="746" ht="14.2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</row>
    <row r="747" ht="14.2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</row>
    <row r="748" ht="14.2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</row>
    <row r="749" ht="14.2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</row>
    <row r="750" ht="14.2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</row>
    <row r="751" ht="14.2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</row>
    <row r="752" ht="14.2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</row>
    <row r="753" ht="14.2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</row>
    <row r="754" ht="14.2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</row>
    <row r="755" ht="14.2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</row>
    <row r="756" ht="14.2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</row>
    <row r="757" ht="14.2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</row>
    <row r="758" ht="14.2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</row>
    <row r="759" ht="14.2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</row>
    <row r="760" ht="14.2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</row>
    <row r="761" ht="14.2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</row>
    <row r="762" ht="14.2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</row>
    <row r="763" ht="14.2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</row>
    <row r="764" ht="14.2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</row>
    <row r="765" ht="14.2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</row>
    <row r="766" ht="14.2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</row>
    <row r="767" ht="14.2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</row>
    <row r="768" ht="14.2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</row>
    <row r="769" ht="14.2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</row>
    <row r="770" ht="14.2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</row>
    <row r="771" ht="14.2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</row>
    <row r="772" ht="14.2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</row>
    <row r="773" ht="14.2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</row>
    <row r="774" ht="14.2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</row>
    <row r="775" ht="14.2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</row>
    <row r="776" ht="14.2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</row>
    <row r="777" ht="14.2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</row>
    <row r="778" ht="14.2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</row>
    <row r="779" ht="14.2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</row>
    <row r="780" ht="14.2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</row>
    <row r="781" ht="14.2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</row>
    <row r="782" ht="14.2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</row>
    <row r="783" ht="14.2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</row>
    <row r="784" ht="14.2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</row>
    <row r="785" ht="14.2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</row>
    <row r="786" ht="14.2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</row>
    <row r="787" ht="14.2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</row>
    <row r="788" ht="14.2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</row>
    <row r="789" ht="14.2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</row>
    <row r="790" ht="14.2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</row>
    <row r="791" ht="14.2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</row>
    <row r="792" ht="14.2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</row>
    <row r="793" ht="14.2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</row>
    <row r="794" ht="14.2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</row>
    <row r="795" ht="14.2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</row>
    <row r="796" ht="14.2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</row>
    <row r="797" ht="14.2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</row>
    <row r="798" ht="14.2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</row>
    <row r="799" ht="14.2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</row>
    <row r="800" ht="14.2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</row>
    <row r="801" ht="14.2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</row>
    <row r="802" ht="14.2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</row>
    <row r="803" ht="14.2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</row>
    <row r="804" ht="14.2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</row>
    <row r="805" ht="14.2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</row>
    <row r="806" ht="14.2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</row>
    <row r="807" ht="14.2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</row>
    <row r="808" ht="14.2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</row>
    <row r="809" ht="14.2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</row>
    <row r="810" ht="14.2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</row>
    <row r="811" ht="14.2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</row>
    <row r="812" ht="14.2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</row>
    <row r="813" ht="14.2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</row>
    <row r="814" ht="14.2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</row>
    <row r="815" ht="14.2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</row>
    <row r="816" ht="14.2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</row>
    <row r="817" ht="14.2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</row>
    <row r="818" ht="14.2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</row>
    <row r="819" ht="14.2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</row>
    <row r="820" ht="14.2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</row>
    <row r="821" ht="14.2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</row>
    <row r="822" ht="14.2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</row>
    <row r="823" ht="14.2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</row>
    <row r="824" ht="14.2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</row>
    <row r="825" ht="14.2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</row>
    <row r="826" ht="14.2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</row>
    <row r="827" ht="14.2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</row>
    <row r="828" ht="14.2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</row>
    <row r="829" ht="14.2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</row>
    <row r="830" ht="14.2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</row>
    <row r="831" ht="14.2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</row>
    <row r="832" ht="14.2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</row>
    <row r="833" ht="14.2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</row>
    <row r="834" ht="14.2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</row>
    <row r="835" ht="14.2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</row>
    <row r="836" ht="14.2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</row>
    <row r="837" ht="14.2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</row>
    <row r="838" ht="14.2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</row>
    <row r="839" ht="14.2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</row>
    <row r="840" ht="14.2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</row>
    <row r="841" ht="14.2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</row>
    <row r="842" ht="14.2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</row>
    <row r="843" ht="14.2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</row>
    <row r="844" ht="14.2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</row>
    <row r="845" ht="14.2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</row>
    <row r="846" ht="14.2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</row>
    <row r="847" ht="14.2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</row>
    <row r="848" ht="14.2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</row>
    <row r="849" ht="14.2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</row>
    <row r="850" ht="14.2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</row>
    <row r="851" ht="14.2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</row>
    <row r="852" ht="14.2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</row>
    <row r="853" ht="14.2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</row>
    <row r="854" ht="14.2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</row>
    <row r="855" ht="14.2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</row>
    <row r="856" ht="14.2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</row>
    <row r="857" ht="14.2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</row>
    <row r="858" ht="14.2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</row>
    <row r="859" ht="14.2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</row>
    <row r="860" ht="14.2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</row>
    <row r="861" ht="14.2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</row>
    <row r="862" ht="14.2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</row>
    <row r="863" ht="14.2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</row>
    <row r="864" ht="14.2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</row>
    <row r="865" ht="14.2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</row>
    <row r="866" ht="14.2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</row>
    <row r="867" ht="14.2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</row>
    <row r="868" ht="14.2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</row>
    <row r="869" ht="14.2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</row>
    <row r="870" ht="14.2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</row>
    <row r="871" ht="14.2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</row>
    <row r="872" ht="14.2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</row>
    <row r="873" ht="14.2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</row>
    <row r="874" ht="14.2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</row>
    <row r="875" ht="14.2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</row>
    <row r="876" ht="14.2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</row>
    <row r="877" ht="14.2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</row>
    <row r="878" ht="14.2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</row>
    <row r="879" ht="14.2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</row>
    <row r="880" ht="14.2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</row>
    <row r="881" ht="14.2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</row>
    <row r="882" ht="14.2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</row>
    <row r="883" ht="14.2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</row>
    <row r="884" ht="14.2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</row>
    <row r="885" ht="14.2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</row>
    <row r="886" ht="14.2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</row>
    <row r="887" ht="14.2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</row>
    <row r="888" ht="14.2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</row>
    <row r="889" ht="14.2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</row>
    <row r="890" ht="14.2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</row>
    <row r="891" ht="14.2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</row>
    <row r="892" ht="14.2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</row>
    <row r="893" ht="14.2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</row>
    <row r="894" ht="14.2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</row>
    <row r="895" ht="14.2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</row>
    <row r="896" ht="14.2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</row>
    <row r="897" ht="14.2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</row>
    <row r="898" ht="14.2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</row>
    <row r="899" ht="14.2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</row>
    <row r="900" ht="14.2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</row>
    <row r="901" ht="14.2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</row>
    <row r="902" ht="14.2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</row>
    <row r="903" ht="14.2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</row>
    <row r="904" ht="14.2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</row>
    <row r="905" ht="14.2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</row>
    <row r="906" ht="14.2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</row>
    <row r="907" ht="14.2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</row>
    <row r="908" ht="14.2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</row>
    <row r="909" ht="14.2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</row>
    <row r="910" ht="14.2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</row>
    <row r="911" ht="14.2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</row>
    <row r="912" ht="14.2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</row>
    <row r="913" ht="14.2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</row>
    <row r="914" ht="14.2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</row>
    <row r="915" ht="14.2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</row>
    <row r="916" ht="14.2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</row>
    <row r="917" ht="14.2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</row>
    <row r="918" ht="14.2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</row>
    <row r="919" ht="14.2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</row>
    <row r="920" ht="14.2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</row>
    <row r="921" ht="14.2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</row>
    <row r="922" ht="14.2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</row>
    <row r="923" ht="14.2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</row>
    <row r="924" ht="14.2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</row>
    <row r="925" ht="14.2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</row>
    <row r="926" ht="14.2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</row>
    <row r="927" ht="14.2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</row>
    <row r="928" ht="14.2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</row>
    <row r="929" ht="14.2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</row>
    <row r="930" ht="14.2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</row>
    <row r="931" ht="14.2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</row>
    <row r="932" ht="14.2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</row>
    <row r="933" ht="14.2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</row>
    <row r="934" ht="14.2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</row>
    <row r="935" ht="14.2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</row>
    <row r="936" ht="14.2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</row>
    <row r="937" ht="14.2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</row>
    <row r="938" ht="14.2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</row>
    <row r="939" ht="14.2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</row>
    <row r="940" ht="14.2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</row>
    <row r="941" ht="14.2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</row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86.71"/>
    <col customWidth="1" min="2" max="2" width="20.86"/>
    <col customWidth="1" min="3" max="4" width="17.86"/>
    <col customWidth="1" min="5" max="6" width="18.29"/>
    <col customWidth="1" min="7" max="13" width="25.0"/>
  </cols>
  <sheetData>
    <row r="1" ht="24.75" customHeight="1">
      <c r="A1" s="292" t="s">
        <v>0</v>
      </c>
      <c r="B1" s="293"/>
      <c r="C1" s="294"/>
      <c r="D1" s="294"/>
      <c r="E1" s="294"/>
      <c r="F1" s="294"/>
      <c r="G1" s="295"/>
      <c r="H1" s="295"/>
      <c r="I1" s="295"/>
      <c r="J1" s="295"/>
      <c r="K1" s="296"/>
      <c r="L1" s="295"/>
      <c r="M1" s="295"/>
    </row>
    <row r="2" ht="36.0" customHeight="1">
      <c r="A2" s="297" t="s">
        <v>1</v>
      </c>
      <c r="B2" s="298"/>
      <c r="C2" s="298"/>
      <c r="D2" s="298"/>
      <c r="E2" s="298"/>
      <c r="F2" s="298"/>
      <c r="G2" s="298"/>
      <c r="H2" s="299"/>
      <c r="K2" s="296"/>
      <c r="L2" s="298"/>
      <c r="M2" s="298"/>
    </row>
    <row r="3" ht="27.0" customHeight="1">
      <c r="A3" s="300" t="s">
        <v>569</v>
      </c>
      <c r="B3" s="301"/>
      <c r="C3" s="302"/>
      <c r="D3" s="302"/>
      <c r="E3" s="303"/>
      <c r="F3" s="303"/>
      <c r="G3" s="304"/>
      <c r="K3" s="304"/>
      <c r="L3" s="304"/>
      <c r="M3" s="304"/>
    </row>
    <row r="4" ht="39.0" customHeight="1">
      <c r="A4" s="300" t="s">
        <v>3</v>
      </c>
      <c r="B4" s="301"/>
      <c r="C4" s="302"/>
      <c r="D4" s="302"/>
      <c r="E4" s="303"/>
      <c r="F4" s="303"/>
      <c r="G4" s="304"/>
      <c r="K4" s="304"/>
      <c r="L4" s="304"/>
      <c r="M4" s="304"/>
    </row>
    <row r="5" ht="51.0" customHeight="1">
      <c r="A5" s="300" t="s">
        <v>4</v>
      </c>
      <c r="B5" s="301"/>
      <c r="C5" s="302"/>
      <c r="D5" s="302"/>
      <c r="E5" s="303"/>
      <c r="F5" s="303"/>
      <c r="G5" s="304"/>
      <c r="H5" s="304"/>
      <c r="I5" s="304"/>
      <c r="J5" s="304"/>
      <c r="K5" s="304"/>
      <c r="L5" s="304"/>
      <c r="M5" s="304"/>
    </row>
    <row r="6" ht="14.25" customHeight="1">
      <c r="A6" s="305"/>
      <c r="B6" s="305"/>
      <c r="C6" s="306"/>
      <c r="D6" s="306"/>
      <c r="E6" s="305"/>
      <c r="F6" s="305"/>
      <c r="G6" s="307"/>
      <c r="H6" s="307"/>
      <c r="I6" s="307"/>
      <c r="J6" s="307"/>
      <c r="K6" s="307"/>
      <c r="L6" s="307"/>
      <c r="M6" s="307"/>
    </row>
    <row r="7" ht="21.0" customHeight="1">
      <c r="A7" s="308" t="s">
        <v>5</v>
      </c>
      <c r="B7" s="309" t="s">
        <v>6</v>
      </c>
      <c r="C7" s="310" t="s">
        <v>7</v>
      </c>
      <c r="D7" s="14"/>
      <c r="E7" s="311" t="s">
        <v>8</v>
      </c>
      <c r="F7" s="14"/>
      <c r="G7" s="312" t="s">
        <v>9</v>
      </c>
      <c r="H7" s="17"/>
      <c r="I7" s="17"/>
      <c r="J7" s="17"/>
      <c r="K7" s="17"/>
      <c r="L7" s="18"/>
      <c r="M7" s="313" t="s">
        <v>570</v>
      </c>
    </row>
    <row r="8" ht="1.5" customHeight="1">
      <c r="A8" s="19"/>
      <c r="B8" s="19"/>
      <c r="C8" s="20"/>
      <c r="D8" s="21"/>
      <c r="E8" s="20"/>
      <c r="F8" s="21"/>
      <c r="G8" s="312" t="s">
        <v>11</v>
      </c>
      <c r="H8" s="18"/>
      <c r="I8" s="312" t="s">
        <v>12</v>
      </c>
      <c r="J8" s="18"/>
      <c r="K8" s="312" t="s">
        <v>13</v>
      </c>
      <c r="L8" s="18"/>
      <c r="M8" s="19"/>
    </row>
    <row r="9" ht="30.0" customHeight="1">
      <c r="A9" s="19"/>
      <c r="B9" s="19"/>
      <c r="C9" s="314" t="s">
        <v>16</v>
      </c>
      <c r="D9" s="21"/>
      <c r="E9" s="311" t="s">
        <v>16</v>
      </c>
      <c r="F9" s="14"/>
      <c r="G9" s="315" t="s">
        <v>17</v>
      </c>
      <c r="H9" s="316" t="s">
        <v>18</v>
      </c>
      <c r="I9" s="315" t="s">
        <v>17</v>
      </c>
      <c r="J9" s="316" t="s">
        <v>18</v>
      </c>
      <c r="K9" s="315" t="s">
        <v>17</v>
      </c>
      <c r="L9" s="316" t="s">
        <v>18</v>
      </c>
      <c r="M9" s="19"/>
    </row>
    <row r="10" ht="81.0" customHeight="1">
      <c r="A10" s="26"/>
      <c r="B10" s="26"/>
      <c r="C10" s="317" t="s">
        <v>571</v>
      </c>
      <c r="D10" s="317" t="s">
        <v>572</v>
      </c>
      <c r="E10" s="318" t="s">
        <v>17</v>
      </c>
      <c r="F10" s="319" t="s">
        <v>18</v>
      </c>
      <c r="G10" s="26"/>
      <c r="H10" s="26"/>
      <c r="I10" s="26"/>
      <c r="J10" s="26"/>
      <c r="K10" s="26"/>
      <c r="L10" s="26"/>
      <c r="M10" s="26"/>
    </row>
    <row r="11" ht="27.75" customHeight="1">
      <c r="A11" s="320" t="s">
        <v>573</v>
      </c>
      <c r="B11" s="321"/>
      <c r="C11" s="322"/>
      <c r="D11" s="322">
        <f>SUM(D14:D34)</f>
        <v>4052.89</v>
      </c>
      <c r="E11" s="322"/>
      <c r="F11" s="322">
        <f>SUM(F14:F25)</f>
        <v>3222.2</v>
      </c>
      <c r="G11" s="323"/>
      <c r="H11" s="322">
        <f>SUM(H14:H25)</f>
        <v>2280.005</v>
      </c>
      <c r="I11" s="323"/>
      <c r="J11" s="323"/>
      <c r="K11" s="323"/>
      <c r="L11" s="323"/>
      <c r="M11" s="323"/>
    </row>
    <row r="12" ht="49.5" customHeight="1">
      <c r="A12" s="324" t="s">
        <v>574</v>
      </c>
      <c r="B12" s="321"/>
      <c r="C12" s="322"/>
      <c r="D12" s="322"/>
      <c r="E12" s="322"/>
      <c r="F12" s="322"/>
      <c r="G12" s="325"/>
      <c r="H12" s="325"/>
      <c r="I12" s="325"/>
      <c r="J12" s="325"/>
      <c r="K12" s="325"/>
      <c r="L12" s="325"/>
      <c r="M12" s="325"/>
    </row>
    <row r="13" ht="34.5" customHeight="1">
      <c r="A13" s="320" t="s">
        <v>575</v>
      </c>
      <c r="B13" s="321"/>
      <c r="C13" s="326"/>
      <c r="D13" s="326"/>
      <c r="E13" s="326"/>
      <c r="F13" s="326"/>
      <c r="G13" s="325"/>
      <c r="H13" s="325"/>
      <c r="I13" s="325"/>
      <c r="J13" s="325"/>
      <c r="K13" s="325"/>
      <c r="L13" s="325"/>
      <c r="M13" s="325"/>
    </row>
    <row r="14" ht="39.0" customHeight="1">
      <c r="A14" s="321" t="s">
        <v>576</v>
      </c>
      <c r="B14" s="327" t="s">
        <v>32</v>
      </c>
      <c r="C14" s="328">
        <v>500.0</v>
      </c>
      <c r="D14" s="328">
        <v>1388.49</v>
      </c>
      <c r="E14" s="329">
        <v>500.0</v>
      </c>
      <c r="F14" s="328">
        <v>1200.0</v>
      </c>
      <c r="G14" s="330">
        <v>1280.0</v>
      </c>
      <c r="H14" s="325">
        <f t="shared" ref="H14:H15" si="1">G14*0.5</f>
        <v>640</v>
      </c>
      <c r="I14" s="325"/>
      <c r="J14" s="325"/>
      <c r="K14" s="325"/>
      <c r="L14" s="325"/>
      <c r="M14" s="325"/>
    </row>
    <row r="15" ht="36.0" customHeight="1">
      <c r="A15" s="321" t="s">
        <v>577</v>
      </c>
      <c r="B15" s="327" t="s">
        <v>32</v>
      </c>
      <c r="C15" s="328">
        <v>60.0</v>
      </c>
      <c r="D15" s="328">
        <v>74.4</v>
      </c>
      <c r="E15" s="329">
        <v>30.0</v>
      </c>
      <c r="F15" s="328">
        <v>37.2</v>
      </c>
      <c r="G15" s="330">
        <v>120.0</v>
      </c>
      <c r="H15" s="325">
        <f t="shared" si="1"/>
        <v>60</v>
      </c>
      <c r="I15" s="325"/>
      <c r="J15" s="325"/>
      <c r="K15" s="325"/>
      <c r="L15" s="325"/>
      <c r="M15" s="325"/>
    </row>
    <row r="16" ht="39.0" customHeight="1">
      <c r="A16" s="331" t="s">
        <v>578</v>
      </c>
      <c r="B16" s="327" t="s">
        <v>32</v>
      </c>
      <c r="C16" s="326"/>
      <c r="D16" s="326"/>
      <c r="E16" s="321"/>
      <c r="F16" s="326"/>
      <c r="G16" s="330">
        <v>11667.0</v>
      </c>
      <c r="H16" s="325">
        <f>G16*0.015</f>
        <v>175.005</v>
      </c>
      <c r="I16" s="325"/>
      <c r="J16" s="325"/>
      <c r="K16" s="325"/>
      <c r="L16" s="325"/>
      <c r="M16" s="325"/>
    </row>
    <row r="17" ht="39.0" customHeight="1">
      <c r="A17" s="332" t="s">
        <v>579</v>
      </c>
      <c r="B17" s="321"/>
      <c r="C17" s="326"/>
      <c r="D17" s="326"/>
      <c r="E17" s="321"/>
      <c r="F17" s="326"/>
      <c r="G17" s="325"/>
      <c r="H17" s="325"/>
      <c r="I17" s="325"/>
      <c r="J17" s="325"/>
      <c r="K17" s="325"/>
      <c r="L17" s="325"/>
      <c r="M17" s="325"/>
    </row>
    <row r="18" ht="40.5" customHeight="1">
      <c r="A18" s="321" t="s">
        <v>580</v>
      </c>
      <c r="B18" s="321"/>
      <c r="C18" s="328">
        <v>100.0</v>
      </c>
      <c r="D18" s="328">
        <v>60.0</v>
      </c>
      <c r="E18" s="333">
        <v>100.0</v>
      </c>
      <c r="F18" s="328">
        <v>60.0</v>
      </c>
      <c r="G18" s="330">
        <v>500.0</v>
      </c>
      <c r="H18" s="325">
        <f>G18*0.5</f>
        <v>250</v>
      </c>
      <c r="I18" s="325"/>
      <c r="J18" s="325"/>
      <c r="K18" s="325"/>
      <c r="L18" s="325"/>
      <c r="M18" s="325"/>
    </row>
    <row r="19" ht="48.0" customHeight="1">
      <c r="A19" s="334" t="s">
        <v>581</v>
      </c>
      <c r="B19" s="327" t="s">
        <v>32</v>
      </c>
      <c r="C19" s="326"/>
      <c r="D19" s="326"/>
      <c r="E19" s="321"/>
      <c r="F19" s="326"/>
      <c r="G19" s="325"/>
      <c r="H19" s="325"/>
      <c r="I19" s="325"/>
      <c r="J19" s="325"/>
      <c r="K19" s="325"/>
      <c r="L19" s="325"/>
      <c r="M19" s="325"/>
    </row>
    <row r="20" ht="14.25" customHeight="1">
      <c r="A20" s="321"/>
      <c r="B20" s="321"/>
      <c r="C20" s="326"/>
      <c r="D20" s="326"/>
      <c r="E20" s="321"/>
      <c r="F20" s="326"/>
      <c r="G20" s="325"/>
      <c r="H20" s="325"/>
      <c r="I20" s="325"/>
      <c r="J20" s="325"/>
      <c r="K20" s="325"/>
      <c r="L20" s="325"/>
      <c r="M20" s="325"/>
    </row>
    <row r="21" ht="21.75" customHeight="1">
      <c r="A21" s="324" t="s">
        <v>582</v>
      </c>
      <c r="B21" s="321"/>
      <c r="C21" s="326"/>
      <c r="D21" s="326"/>
      <c r="E21" s="321"/>
      <c r="F21" s="326"/>
      <c r="G21" s="335"/>
      <c r="H21" s="335"/>
      <c r="I21" s="335"/>
      <c r="J21" s="335"/>
      <c r="K21" s="335"/>
      <c r="L21" s="335"/>
      <c r="M21" s="335"/>
    </row>
    <row r="22" ht="30.0" customHeight="1">
      <c r="A22" s="321" t="s">
        <v>576</v>
      </c>
      <c r="B22" s="327" t="s">
        <v>32</v>
      </c>
      <c r="C22" s="326"/>
      <c r="D22" s="326"/>
      <c r="E22" s="321"/>
      <c r="F22" s="326"/>
      <c r="G22" s="325"/>
      <c r="H22" s="325"/>
      <c r="I22" s="325"/>
      <c r="J22" s="325"/>
      <c r="K22" s="325"/>
      <c r="L22" s="325"/>
      <c r="M22" s="325"/>
    </row>
    <row r="23" ht="30.0" customHeight="1">
      <c r="A23" s="321" t="s">
        <v>583</v>
      </c>
      <c r="B23" s="327" t="s">
        <v>32</v>
      </c>
      <c r="C23" s="328">
        <v>5.0</v>
      </c>
      <c r="D23" s="328">
        <v>275.0</v>
      </c>
      <c r="E23" s="333">
        <v>5.0</v>
      </c>
      <c r="F23" s="328">
        <v>275.0</v>
      </c>
      <c r="G23" s="325"/>
      <c r="H23" s="325"/>
      <c r="I23" s="325"/>
      <c r="J23" s="325"/>
      <c r="K23" s="325"/>
      <c r="L23" s="325"/>
      <c r="M23" s="325"/>
    </row>
    <row r="24" ht="36.75" customHeight="1">
      <c r="A24" s="321" t="s">
        <v>584</v>
      </c>
      <c r="B24" s="327" t="s">
        <v>32</v>
      </c>
      <c r="C24" s="326"/>
      <c r="D24" s="326"/>
      <c r="E24" s="321"/>
      <c r="F24" s="326"/>
      <c r="G24" s="325"/>
      <c r="H24" s="325"/>
      <c r="I24" s="325"/>
      <c r="J24" s="325"/>
      <c r="K24" s="325"/>
      <c r="L24" s="325"/>
      <c r="M24" s="325"/>
    </row>
    <row r="25" ht="19.5" customHeight="1">
      <c r="A25" s="321" t="s">
        <v>585</v>
      </c>
      <c r="B25" s="327" t="s">
        <v>32</v>
      </c>
      <c r="C25" s="328">
        <v>41.0</v>
      </c>
      <c r="D25" s="328">
        <v>2255.0</v>
      </c>
      <c r="E25" s="333">
        <v>30.0</v>
      </c>
      <c r="F25" s="328">
        <f>E25*55</f>
        <v>1650</v>
      </c>
      <c r="G25" s="330">
        <v>21.0</v>
      </c>
      <c r="H25" s="325">
        <f>G25*55</f>
        <v>1155</v>
      </c>
      <c r="I25" s="325"/>
      <c r="J25" s="325"/>
      <c r="K25" s="325"/>
      <c r="L25" s="325"/>
      <c r="M25" s="325"/>
    </row>
    <row r="26" ht="14.25" customHeight="1">
      <c r="A26" s="321"/>
      <c r="B26" s="321"/>
      <c r="C26" s="326"/>
      <c r="D26" s="326"/>
      <c r="E26" s="321"/>
      <c r="F26" s="326"/>
      <c r="G26" s="325"/>
      <c r="H26" s="325"/>
      <c r="I26" s="325"/>
      <c r="J26" s="325"/>
      <c r="K26" s="325"/>
      <c r="L26" s="325"/>
      <c r="M26" s="325"/>
    </row>
    <row r="27" ht="39.75" customHeight="1">
      <c r="A27" s="336" t="s">
        <v>586</v>
      </c>
      <c r="B27" s="321"/>
      <c r="C27" s="326"/>
      <c r="D27" s="326"/>
      <c r="E27" s="326"/>
      <c r="F27" s="326"/>
      <c r="G27" s="325"/>
      <c r="H27" s="325"/>
      <c r="I27" s="325"/>
      <c r="J27" s="325"/>
      <c r="K27" s="325"/>
      <c r="L27" s="325"/>
      <c r="M27" s="325"/>
    </row>
    <row r="28" ht="14.25" hidden="1" customHeight="1">
      <c r="A28" s="337" t="s">
        <v>587</v>
      </c>
      <c r="B28" s="327" t="s">
        <v>32</v>
      </c>
      <c r="C28" s="326"/>
      <c r="D28" s="326"/>
      <c r="E28" s="326"/>
      <c r="F28" s="326"/>
      <c r="G28" s="325"/>
      <c r="H28" s="325"/>
      <c r="I28" s="325"/>
      <c r="J28" s="325"/>
      <c r="K28" s="325"/>
      <c r="L28" s="325"/>
      <c r="M28" s="325"/>
    </row>
    <row r="29" ht="14.25" hidden="1" customHeight="1">
      <c r="A29" s="321" t="s">
        <v>588</v>
      </c>
      <c r="B29" s="321"/>
      <c r="C29" s="326"/>
      <c r="D29" s="326"/>
      <c r="E29" s="326"/>
      <c r="F29" s="326"/>
      <c r="G29" s="325"/>
      <c r="H29" s="325"/>
      <c r="I29" s="325"/>
      <c r="J29" s="325"/>
      <c r="K29" s="325"/>
      <c r="L29" s="325"/>
      <c r="M29" s="325"/>
    </row>
    <row r="30" ht="47.25" customHeight="1">
      <c r="A30" s="321" t="s">
        <v>589</v>
      </c>
      <c r="B30" s="338" t="s">
        <v>590</v>
      </c>
      <c r="C30" s="326"/>
      <c r="D30" s="326"/>
      <c r="E30" s="326"/>
      <c r="F30" s="326"/>
      <c r="G30" s="325"/>
      <c r="H30" s="325"/>
      <c r="I30" s="325"/>
      <c r="J30" s="325"/>
      <c r="K30" s="325"/>
      <c r="L30" s="325"/>
      <c r="M30" s="325"/>
    </row>
    <row r="31" ht="25.5" customHeight="1">
      <c r="A31" s="321" t="s">
        <v>591</v>
      </c>
      <c r="B31" s="327" t="s">
        <v>32</v>
      </c>
      <c r="C31" s="326"/>
      <c r="D31" s="326"/>
      <c r="E31" s="326"/>
      <c r="F31" s="326"/>
      <c r="G31" s="325"/>
      <c r="H31" s="325"/>
      <c r="I31" s="325"/>
      <c r="J31" s="325"/>
      <c r="K31" s="325"/>
      <c r="L31" s="325"/>
      <c r="M31" s="325"/>
    </row>
    <row r="32" ht="31.5" customHeight="1">
      <c r="A32" s="321" t="s">
        <v>592</v>
      </c>
      <c r="B32" s="327" t="s">
        <v>32</v>
      </c>
      <c r="C32" s="326"/>
      <c r="D32" s="326"/>
      <c r="E32" s="326"/>
      <c r="F32" s="326"/>
      <c r="G32" s="325"/>
      <c r="H32" s="325"/>
      <c r="I32" s="325"/>
      <c r="J32" s="325"/>
      <c r="K32" s="325"/>
      <c r="L32" s="325"/>
      <c r="M32" s="325"/>
    </row>
    <row r="33" ht="30.0" customHeight="1">
      <c r="A33" s="321" t="s">
        <v>593</v>
      </c>
      <c r="B33" s="321"/>
      <c r="C33" s="326"/>
      <c r="D33" s="326"/>
      <c r="E33" s="326"/>
      <c r="F33" s="326"/>
      <c r="G33" s="325"/>
      <c r="H33" s="325"/>
      <c r="I33" s="325"/>
      <c r="J33" s="325"/>
      <c r="K33" s="325"/>
      <c r="L33" s="325"/>
      <c r="M33" s="325"/>
    </row>
    <row r="34" ht="22.5" customHeight="1">
      <c r="A34" s="321" t="s">
        <v>594</v>
      </c>
      <c r="B34" s="327" t="s">
        <v>32</v>
      </c>
      <c r="C34" s="326"/>
      <c r="D34" s="326"/>
      <c r="E34" s="339"/>
      <c r="F34" s="339"/>
      <c r="G34" s="325"/>
      <c r="H34" s="325"/>
      <c r="I34" s="325"/>
      <c r="J34" s="325"/>
      <c r="K34" s="325"/>
      <c r="L34" s="325"/>
      <c r="M34" s="325"/>
    </row>
    <row r="35" ht="55.5" customHeight="1">
      <c r="A35" s="324" t="s">
        <v>412</v>
      </c>
      <c r="B35" s="321"/>
      <c r="C35" s="322"/>
      <c r="D35" s="322"/>
      <c r="E35" s="322"/>
      <c r="F35" s="322">
        <f>F36</f>
        <v>3500</v>
      </c>
      <c r="G35" s="325"/>
      <c r="H35" s="322">
        <f>H36</f>
        <v>16600</v>
      </c>
      <c r="I35" s="325"/>
      <c r="J35" s="325"/>
      <c r="K35" s="325"/>
      <c r="L35" s="325"/>
      <c r="M35" s="325"/>
    </row>
    <row r="36" ht="42.75" customHeight="1">
      <c r="A36" s="324" t="s">
        <v>413</v>
      </c>
      <c r="B36" s="321"/>
      <c r="C36" s="322"/>
      <c r="D36" s="322"/>
      <c r="E36" s="322"/>
      <c r="F36" s="322">
        <f>SUM(F39:F49)</f>
        <v>3500</v>
      </c>
      <c r="G36" s="325"/>
      <c r="H36" s="322">
        <f>SUM(H39:H49)</f>
        <v>16600</v>
      </c>
      <c r="I36" s="325"/>
      <c r="J36" s="325"/>
      <c r="K36" s="325"/>
      <c r="L36" s="325"/>
      <c r="M36" s="325"/>
    </row>
    <row r="37" ht="34.5" customHeight="1">
      <c r="A37" s="321" t="s">
        <v>595</v>
      </c>
      <c r="B37" s="321"/>
      <c r="C37" s="326"/>
      <c r="D37" s="326"/>
      <c r="E37" s="326"/>
      <c r="F37" s="326"/>
      <c r="G37" s="325"/>
      <c r="H37" s="325"/>
      <c r="I37" s="325"/>
      <c r="J37" s="325"/>
      <c r="K37" s="325"/>
      <c r="L37" s="325"/>
      <c r="M37" s="325"/>
    </row>
    <row r="38" ht="34.5" customHeight="1">
      <c r="A38" s="321" t="s">
        <v>596</v>
      </c>
      <c r="B38" s="321"/>
      <c r="C38" s="326"/>
      <c r="D38" s="326"/>
      <c r="E38" s="326"/>
      <c r="F38" s="326"/>
      <c r="G38" s="325"/>
      <c r="H38" s="325"/>
      <c r="I38" s="325"/>
      <c r="J38" s="325"/>
      <c r="K38" s="325"/>
      <c r="L38" s="325"/>
      <c r="M38" s="325"/>
    </row>
    <row r="39" ht="34.5" customHeight="1">
      <c r="A39" s="321" t="s">
        <v>594</v>
      </c>
      <c r="B39" s="327" t="s">
        <v>32</v>
      </c>
      <c r="C39" s="326"/>
      <c r="D39" s="326"/>
      <c r="E39" s="339"/>
      <c r="F39" s="339"/>
      <c r="G39" s="325"/>
      <c r="H39" s="325"/>
      <c r="I39" s="325"/>
      <c r="J39" s="325"/>
      <c r="K39" s="325"/>
      <c r="L39" s="325"/>
      <c r="M39" s="325"/>
    </row>
    <row r="40" ht="36.0" customHeight="1">
      <c r="A40" s="321" t="s">
        <v>597</v>
      </c>
      <c r="B40" s="327" t="s">
        <v>32</v>
      </c>
      <c r="C40" s="340"/>
      <c r="D40" s="340"/>
      <c r="E40" s="339"/>
      <c r="F40" s="339"/>
      <c r="G40" s="325"/>
      <c r="H40" s="325"/>
      <c r="I40" s="325"/>
      <c r="J40" s="325"/>
      <c r="K40" s="325"/>
      <c r="L40" s="325"/>
      <c r="M40" s="325"/>
    </row>
    <row r="41" ht="34.5" customHeight="1">
      <c r="A41" s="321" t="s">
        <v>598</v>
      </c>
      <c r="B41" s="327" t="s">
        <v>32</v>
      </c>
      <c r="C41" s="326"/>
      <c r="D41" s="326"/>
      <c r="E41" s="340"/>
      <c r="F41" s="340"/>
      <c r="G41" s="325"/>
      <c r="H41" s="325"/>
      <c r="I41" s="325"/>
      <c r="J41" s="325"/>
      <c r="K41" s="325"/>
      <c r="L41" s="325"/>
      <c r="M41" s="325"/>
    </row>
    <row r="42" ht="33.0" customHeight="1">
      <c r="A42" s="341" t="s">
        <v>599</v>
      </c>
      <c r="B42" s="327" t="s">
        <v>32</v>
      </c>
      <c r="C42" s="340"/>
      <c r="D42" s="340"/>
      <c r="E42" s="340"/>
      <c r="F42" s="340"/>
      <c r="G42" s="325"/>
      <c r="H42" s="325"/>
      <c r="I42" s="325"/>
      <c r="J42" s="325"/>
      <c r="K42" s="325"/>
      <c r="L42" s="325"/>
      <c r="M42" s="325"/>
    </row>
    <row r="43" ht="31.5" customHeight="1">
      <c r="A43" s="321" t="s">
        <v>600</v>
      </c>
      <c r="B43" s="327" t="s">
        <v>32</v>
      </c>
      <c r="C43" s="326"/>
      <c r="D43" s="326"/>
      <c r="E43" s="328"/>
      <c r="F43" s="328"/>
      <c r="G43" s="325"/>
      <c r="H43" s="325"/>
      <c r="I43" s="325"/>
      <c r="J43" s="325"/>
      <c r="K43" s="325"/>
      <c r="L43" s="325"/>
      <c r="M43" s="325"/>
    </row>
    <row r="44" ht="40.5" customHeight="1">
      <c r="A44" s="321" t="s">
        <v>601</v>
      </c>
      <c r="B44" s="327" t="s">
        <v>32</v>
      </c>
      <c r="C44" s="326"/>
      <c r="D44" s="326"/>
      <c r="E44" s="339"/>
      <c r="F44" s="339"/>
      <c r="G44" s="325"/>
      <c r="H44" s="325"/>
      <c r="I44" s="325"/>
      <c r="J44" s="325"/>
      <c r="K44" s="325"/>
      <c r="L44" s="325"/>
      <c r="M44" s="325"/>
    </row>
    <row r="45" ht="28.5" customHeight="1">
      <c r="A45" s="321" t="s">
        <v>602</v>
      </c>
      <c r="B45" s="327" t="s">
        <v>32</v>
      </c>
      <c r="C45" s="340"/>
      <c r="D45" s="340"/>
      <c r="E45" s="328"/>
      <c r="F45" s="328"/>
      <c r="G45" s="330">
        <v>3.0</v>
      </c>
      <c r="H45" s="325">
        <f>G45*2700</f>
        <v>8100</v>
      </c>
      <c r="I45" s="325"/>
      <c r="J45" s="325"/>
      <c r="K45" s="325"/>
      <c r="L45" s="325"/>
      <c r="M45" s="330" t="s">
        <v>603</v>
      </c>
    </row>
    <row r="46" ht="31.5" customHeight="1">
      <c r="A46" s="341" t="s">
        <v>604</v>
      </c>
      <c r="B46" s="327"/>
      <c r="C46" s="340"/>
      <c r="D46" s="340"/>
      <c r="E46" s="326"/>
      <c r="F46" s="326"/>
      <c r="G46" s="325"/>
      <c r="H46" s="325"/>
      <c r="I46" s="325"/>
      <c r="J46" s="325"/>
      <c r="K46" s="325"/>
      <c r="L46" s="325"/>
      <c r="M46" s="325"/>
    </row>
    <row r="47" ht="14.25" hidden="1" customHeight="1">
      <c r="A47" s="341" t="s">
        <v>605</v>
      </c>
      <c r="B47" s="327"/>
      <c r="C47" s="326"/>
      <c r="D47" s="326"/>
      <c r="E47" s="340"/>
      <c r="F47" s="340"/>
      <c r="G47" s="325"/>
      <c r="H47" s="325"/>
      <c r="I47" s="325"/>
      <c r="J47" s="325"/>
      <c r="K47" s="325"/>
      <c r="L47" s="325"/>
      <c r="M47" s="325"/>
    </row>
    <row r="48" ht="33.0" customHeight="1">
      <c r="A48" s="321" t="s">
        <v>606</v>
      </c>
      <c r="B48" s="327" t="s">
        <v>607</v>
      </c>
      <c r="C48" s="326"/>
      <c r="D48" s="326"/>
      <c r="E48" s="326">
        <v>1.0</v>
      </c>
      <c r="F48" s="326">
        <v>1000.0</v>
      </c>
      <c r="G48" s="330">
        <v>4.0</v>
      </c>
      <c r="H48" s="325">
        <f>G48*1500</f>
        <v>6000</v>
      </c>
      <c r="I48" s="325"/>
      <c r="J48" s="325"/>
      <c r="K48" s="325"/>
      <c r="L48" s="325"/>
      <c r="M48" s="330" t="s">
        <v>608</v>
      </c>
    </row>
    <row r="49" ht="27.0" customHeight="1">
      <c r="A49" s="321" t="s">
        <v>609</v>
      </c>
      <c r="B49" s="327" t="s">
        <v>32</v>
      </c>
      <c r="C49" s="326"/>
      <c r="D49" s="326"/>
      <c r="E49" s="326">
        <v>1.0</v>
      </c>
      <c r="F49" s="326">
        <v>2500.0</v>
      </c>
      <c r="G49" s="330">
        <v>1.0</v>
      </c>
      <c r="H49" s="330">
        <v>2500.0</v>
      </c>
      <c r="I49" s="325"/>
      <c r="J49" s="325"/>
      <c r="K49" s="325"/>
      <c r="L49" s="325"/>
      <c r="M49" s="330" t="s">
        <v>610</v>
      </c>
    </row>
    <row r="50" ht="34.5" customHeight="1">
      <c r="A50" s="342" t="s">
        <v>71</v>
      </c>
      <c r="B50" s="321"/>
      <c r="C50" s="343"/>
      <c r="D50" s="343">
        <f>sum(D11,D35)</f>
        <v>4052.89</v>
      </c>
      <c r="E50" s="343">
        <f>E35+E11</f>
        <v>0</v>
      </c>
      <c r="F50" s="343">
        <f>sum(F11,F35)</f>
        <v>6722.2</v>
      </c>
      <c r="G50" s="344"/>
      <c r="H50" s="343">
        <f>sum(H11,H35)</f>
        <v>18880.005</v>
      </c>
      <c r="I50" s="344"/>
      <c r="J50" s="343">
        <f>sum(J11,J35)</f>
        <v>0</v>
      </c>
      <c r="K50" s="344"/>
      <c r="L50" s="345">
        <f>H50+J50</f>
        <v>18880.005</v>
      </c>
      <c r="M50" s="344"/>
    </row>
    <row r="51" ht="14.25" hidden="1" customHeight="1">
      <c r="A51" s="346"/>
      <c r="B51" s="305"/>
      <c r="C51" s="306"/>
      <c r="D51" s="306"/>
      <c r="E51" s="305"/>
      <c r="F51" s="305"/>
      <c r="G51" s="344"/>
      <c r="H51" s="344"/>
      <c r="I51" s="344"/>
      <c r="J51" s="344"/>
      <c r="K51" s="344"/>
      <c r="L51" s="344"/>
      <c r="M51" s="344"/>
    </row>
    <row r="52" ht="14.25" hidden="1" customHeight="1">
      <c r="A52" s="245" t="s">
        <v>72</v>
      </c>
      <c r="B52" s="246"/>
      <c r="C52" s="304"/>
      <c r="D52" s="304"/>
      <c r="E52" s="304"/>
      <c r="F52" s="304"/>
      <c r="G52" s="344"/>
      <c r="H52" s="344"/>
      <c r="I52" s="344"/>
      <c r="J52" s="344"/>
      <c r="K52" s="344"/>
      <c r="L52" s="344"/>
      <c r="M52" s="344"/>
    </row>
    <row r="53" ht="14.25" hidden="1" customHeight="1">
      <c r="A53" s="250"/>
      <c r="B53" s="248"/>
      <c r="C53" s="304"/>
      <c r="D53" s="304"/>
      <c r="E53" s="304"/>
      <c r="F53" s="304"/>
      <c r="G53" s="344"/>
      <c r="H53" s="344"/>
      <c r="I53" s="344"/>
      <c r="J53" s="344"/>
      <c r="K53" s="344"/>
      <c r="L53" s="344"/>
      <c r="M53" s="344"/>
    </row>
    <row r="54" ht="14.25" hidden="1" customHeight="1">
      <c r="A54" s="250"/>
      <c r="B54" s="250"/>
      <c r="C54" s="304"/>
      <c r="D54" s="304"/>
      <c r="E54" s="304"/>
      <c r="F54" s="304"/>
      <c r="G54" s="344"/>
      <c r="H54" s="344"/>
      <c r="I54" s="344"/>
      <c r="J54" s="344"/>
      <c r="K54" s="344"/>
      <c r="L54" s="344"/>
      <c r="M54" s="344"/>
    </row>
    <row r="55" ht="14.25" hidden="1" customHeight="1">
      <c r="A55" s="250"/>
      <c r="B55" s="250"/>
      <c r="C55" s="304"/>
      <c r="D55" s="304"/>
      <c r="E55" s="304"/>
      <c r="F55" s="304"/>
      <c r="G55" s="344"/>
      <c r="H55" s="344"/>
      <c r="I55" s="344"/>
      <c r="J55" s="344"/>
      <c r="K55" s="344"/>
      <c r="L55" s="344"/>
      <c r="M55" s="344"/>
    </row>
    <row r="56" ht="14.25" hidden="1" customHeight="1">
      <c r="A56" s="250"/>
      <c r="B56" s="250"/>
      <c r="C56" s="304"/>
      <c r="D56" s="304"/>
      <c r="E56" s="304"/>
      <c r="F56" s="304"/>
      <c r="G56" s="344"/>
      <c r="H56" s="344"/>
      <c r="I56" s="344"/>
      <c r="J56" s="344"/>
      <c r="K56" s="344"/>
      <c r="L56" s="344"/>
      <c r="M56" s="344"/>
    </row>
    <row r="57" ht="14.25" hidden="1" customHeight="1">
      <c r="A57" s="76" t="s">
        <v>75</v>
      </c>
      <c r="B57" s="76"/>
      <c r="C57" s="304"/>
      <c r="D57" s="304"/>
      <c r="E57" s="304"/>
      <c r="F57" s="304"/>
      <c r="G57" s="344"/>
      <c r="H57" s="344"/>
      <c r="I57" s="344"/>
      <c r="J57" s="344"/>
      <c r="K57" s="344"/>
      <c r="L57" s="344"/>
      <c r="M57" s="344"/>
    </row>
    <row r="58" ht="14.25" hidden="1" customHeight="1">
      <c r="A58" s="247" t="s">
        <v>78</v>
      </c>
      <c r="B58" s="247"/>
      <c r="C58" s="347"/>
      <c r="D58" s="347"/>
      <c r="E58" s="304"/>
      <c r="F58" s="304"/>
      <c r="G58" s="348"/>
      <c r="H58" s="348"/>
      <c r="I58" s="348"/>
      <c r="J58" s="348"/>
      <c r="K58" s="348"/>
      <c r="L58" s="348"/>
      <c r="M58" s="348"/>
    </row>
    <row r="59" ht="14.25" customHeight="1">
      <c r="A59" s="79"/>
      <c r="B59" s="80"/>
      <c r="C59" s="349"/>
      <c r="D59" s="349"/>
      <c r="E59" s="304"/>
      <c r="F59" s="304"/>
      <c r="G59" s="304"/>
      <c r="H59" s="304"/>
      <c r="I59" s="304"/>
      <c r="J59" s="304"/>
      <c r="K59" s="304"/>
      <c r="L59" s="304"/>
      <c r="M59" s="304"/>
    </row>
    <row r="60" ht="15.75" customHeight="1">
      <c r="A60" s="350"/>
      <c r="B60" s="351"/>
      <c r="C60" s="307"/>
      <c r="D60" s="307"/>
      <c r="E60" s="248"/>
      <c r="F60" s="304"/>
      <c r="G60" s="307"/>
      <c r="H60" s="307"/>
      <c r="I60" s="307"/>
      <c r="J60" s="307"/>
      <c r="K60" s="307"/>
      <c r="L60" s="307"/>
      <c r="M60" s="307"/>
    </row>
    <row r="61" ht="25.5" customHeight="1">
      <c r="A61" s="67" t="s">
        <v>72</v>
      </c>
      <c r="B61" s="304"/>
      <c r="C61" s="298"/>
      <c r="D61" s="298"/>
      <c r="E61" s="248"/>
      <c r="F61" s="304"/>
      <c r="G61" s="298"/>
      <c r="H61" s="298"/>
      <c r="I61" s="298"/>
      <c r="J61" s="298"/>
      <c r="K61" s="298"/>
      <c r="L61" s="249" t="s">
        <v>74</v>
      </c>
      <c r="M61" s="298"/>
    </row>
    <row r="62" ht="12.75" customHeight="1">
      <c r="A62" s="250"/>
      <c r="B62" s="304"/>
      <c r="C62" s="298"/>
      <c r="D62" s="298"/>
      <c r="E62" s="248"/>
      <c r="F62" s="304"/>
      <c r="G62" s="298"/>
      <c r="H62" s="298"/>
      <c r="I62" s="298"/>
      <c r="J62" s="298"/>
      <c r="K62" s="298"/>
      <c r="L62" s="251"/>
      <c r="M62" s="298"/>
    </row>
    <row r="63" ht="23.25" customHeight="1">
      <c r="A63" s="250"/>
      <c r="B63" s="347"/>
      <c r="C63" s="298"/>
      <c r="D63" s="298"/>
      <c r="E63" s="248"/>
      <c r="F63" s="304"/>
      <c r="G63" s="298"/>
      <c r="H63" s="298"/>
      <c r="I63" s="298"/>
      <c r="J63" s="298"/>
      <c r="K63" s="298"/>
      <c r="L63" s="251"/>
      <c r="M63" s="298"/>
    </row>
    <row r="64" ht="15.75" customHeight="1">
      <c r="A64" s="296"/>
      <c r="B64" s="347"/>
      <c r="C64" s="304"/>
      <c r="D64" s="304"/>
      <c r="E64" s="248"/>
      <c r="F64" s="304"/>
      <c r="G64" s="304"/>
      <c r="H64" s="304"/>
      <c r="I64" s="298"/>
      <c r="J64" s="304"/>
      <c r="K64" s="304"/>
      <c r="L64" s="251"/>
      <c r="M64" s="304"/>
    </row>
    <row r="65" ht="21.75" customHeight="1">
      <c r="A65" s="250"/>
      <c r="B65" s="347"/>
      <c r="C65" s="304"/>
      <c r="D65" s="304"/>
      <c r="E65" s="248"/>
      <c r="F65" s="304"/>
      <c r="G65" s="304"/>
      <c r="H65" s="304"/>
      <c r="I65" s="298"/>
      <c r="J65" s="304"/>
      <c r="K65" s="304"/>
      <c r="L65" s="251"/>
      <c r="M65" s="304"/>
    </row>
    <row r="66" ht="24.0" customHeight="1">
      <c r="A66" s="76" t="s">
        <v>75</v>
      </c>
      <c r="B66" s="304"/>
      <c r="C66" s="304"/>
      <c r="D66" s="304"/>
      <c r="E66" s="304"/>
      <c r="F66" s="304"/>
      <c r="G66" s="304"/>
      <c r="H66" s="304"/>
      <c r="I66" s="298"/>
      <c r="J66" s="304"/>
      <c r="K66" s="304"/>
      <c r="L66" s="78" t="s">
        <v>77</v>
      </c>
      <c r="M66" s="304"/>
    </row>
    <row r="67" ht="24.0" customHeight="1">
      <c r="A67" s="247" t="s">
        <v>78</v>
      </c>
      <c r="B67" s="304"/>
      <c r="C67" s="304"/>
      <c r="D67" s="304"/>
      <c r="E67" s="305"/>
      <c r="F67" s="305"/>
      <c r="G67" s="304"/>
      <c r="H67" s="304"/>
      <c r="I67" s="298"/>
      <c r="J67" s="304"/>
      <c r="K67" s="304"/>
      <c r="L67" s="254" t="s">
        <v>80</v>
      </c>
      <c r="M67" s="304"/>
    </row>
    <row r="68" ht="14.25" customHeight="1">
      <c r="A68" s="79"/>
      <c r="B68" s="80"/>
      <c r="C68" s="352"/>
      <c r="D68" s="352"/>
      <c r="E68" s="305"/>
      <c r="F68" s="305"/>
      <c r="G68" s="352"/>
      <c r="H68" s="352"/>
      <c r="I68" s="352"/>
      <c r="J68" s="352"/>
      <c r="K68" s="352"/>
      <c r="L68" s="352"/>
      <c r="M68" s="352"/>
    </row>
    <row r="69" ht="14.25" customHeight="1">
      <c r="A69" s="353"/>
      <c r="B69" s="349"/>
      <c r="C69" s="307"/>
      <c r="D69" s="307"/>
      <c r="E69" s="305"/>
      <c r="F69" s="305"/>
      <c r="G69" s="307"/>
      <c r="H69" s="307"/>
      <c r="I69" s="307"/>
      <c r="J69" s="307"/>
      <c r="K69" s="307"/>
      <c r="L69" s="307"/>
      <c r="M69" s="307"/>
    </row>
    <row r="70" ht="14.25" customHeight="1">
      <c r="A70" s="307"/>
      <c r="B70" s="354"/>
      <c r="C70" s="307"/>
      <c r="D70" s="307"/>
      <c r="E70" s="305"/>
      <c r="F70" s="305"/>
      <c r="G70" s="307"/>
      <c r="H70" s="307"/>
      <c r="I70" s="307"/>
      <c r="J70" s="307"/>
      <c r="K70" s="307"/>
      <c r="L70" s="307"/>
      <c r="M70" s="307"/>
    </row>
    <row r="71" ht="14.25" customHeight="1">
      <c r="A71" s="307"/>
      <c r="B71" s="354"/>
      <c r="C71" s="307"/>
      <c r="D71" s="307"/>
      <c r="E71" s="305"/>
      <c r="F71" s="305"/>
      <c r="G71" s="307"/>
      <c r="H71" s="307"/>
      <c r="I71" s="307"/>
      <c r="J71" s="307"/>
      <c r="K71" s="307"/>
      <c r="L71" s="307"/>
      <c r="M71" s="307"/>
    </row>
    <row r="72" ht="14.25" customHeight="1">
      <c r="A72" s="307"/>
      <c r="B72" s="354"/>
      <c r="C72" s="307"/>
      <c r="D72" s="307"/>
      <c r="E72" s="305"/>
      <c r="F72" s="305"/>
      <c r="G72" s="307"/>
      <c r="H72" s="307"/>
      <c r="I72" s="307"/>
      <c r="J72" s="307"/>
      <c r="K72" s="307"/>
      <c r="L72" s="307"/>
      <c r="M72" s="307"/>
    </row>
    <row r="73" ht="14.25" customHeight="1">
      <c r="A73" s="305"/>
      <c r="B73" s="305"/>
      <c r="C73" s="306"/>
      <c r="D73" s="306"/>
      <c r="E73" s="305"/>
      <c r="F73" s="305"/>
      <c r="G73" s="307"/>
      <c r="H73" s="307"/>
      <c r="I73" s="307"/>
      <c r="J73" s="307"/>
      <c r="K73" s="307"/>
      <c r="L73" s="307"/>
      <c r="M73" s="307"/>
    </row>
    <row r="74" ht="14.25" customHeight="1">
      <c r="A74" s="305"/>
      <c r="B74" s="305"/>
      <c r="C74" s="306"/>
      <c r="D74" s="306"/>
      <c r="E74" s="305"/>
      <c r="F74" s="305"/>
      <c r="G74" s="307"/>
      <c r="H74" s="307"/>
      <c r="I74" s="307"/>
      <c r="J74" s="307"/>
      <c r="K74" s="307"/>
      <c r="L74" s="307"/>
      <c r="M74" s="307"/>
    </row>
    <row r="75" ht="14.25" customHeight="1">
      <c r="A75" s="305"/>
      <c r="B75" s="305"/>
      <c r="C75" s="306"/>
      <c r="D75" s="306"/>
      <c r="E75" s="305"/>
      <c r="F75" s="305"/>
      <c r="G75" s="307"/>
      <c r="H75" s="307"/>
      <c r="I75" s="307"/>
      <c r="J75" s="307"/>
      <c r="K75" s="307"/>
      <c r="L75" s="307"/>
      <c r="M75" s="307"/>
    </row>
    <row r="76" ht="14.25" customHeight="1">
      <c r="A76" s="305"/>
      <c r="B76" s="305"/>
      <c r="C76" s="306"/>
      <c r="D76" s="306"/>
      <c r="E76" s="305"/>
      <c r="F76" s="305"/>
      <c r="G76" s="307"/>
      <c r="H76" s="307"/>
      <c r="I76" s="307"/>
      <c r="J76" s="307"/>
      <c r="K76" s="307"/>
      <c r="L76" s="307"/>
      <c r="M76" s="307"/>
    </row>
    <row r="77" ht="14.25" customHeight="1">
      <c r="A77" s="305"/>
      <c r="B77" s="305"/>
      <c r="C77" s="306"/>
      <c r="D77" s="306"/>
      <c r="E77" s="305"/>
      <c r="F77" s="305"/>
      <c r="G77" s="307"/>
      <c r="H77" s="307"/>
      <c r="I77" s="307"/>
      <c r="J77" s="307"/>
      <c r="K77" s="307"/>
      <c r="L77" s="307"/>
      <c r="M77" s="307"/>
    </row>
    <row r="78" ht="14.25" customHeight="1">
      <c r="A78" s="305"/>
      <c r="B78" s="305"/>
      <c r="C78" s="306"/>
      <c r="D78" s="306"/>
      <c r="E78" s="305"/>
      <c r="F78" s="305"/>
      <c r="G78" s="307"/>
      <c r="H78" s="307"/>
      <c r="I78" s="307"/>
      <c r="J78" s="307"/>
      <c r="K78" s="307"/>
      <c r="L78" s="307"/>
      <c r="M78" s="307"/>
    </row>
    <row r="79" ht="14.25" customHeight="1">
      <c r="A79" s="305"/>
      <c r="B79" s="305"/>
      <c r="C79" s="306"/>
      <c r="D79" s="306"/>
      <c r="E79" s="305"/>
      <c r="F79" s="305"/>
      <c r="G79" s="307"/>
      <c r="H79" s="307"/>
      <c r="I79" s="307"/>
      <c r="J79" s="307"/>
      <c r="K79" s="307"/>
      <c r="L79" s="307"/>
      <c r="M79" s="307"/>
    </row>
    <row r="80" ht="14.25" customHeight="1">
      <c r="A80" s="305"/>
      <c r="B80" s="305"/>
      <c r="C80" s="306"/>
      <c r="D80" s="306"/>
      <c r="E80" s="305"/>
      <c r="F80" s="305"/>
      <c r="G80" s="307"/>
      <c r="H80" s="307"/>
      <c r="I80" s="307"/>
      <c r="J80" s="307"/>
      <c r="K80" s="307"/>
      <c r="L80" s="307"/>
      <c r="M80" s="307"/>
    </row>
    <row r="81" ht="14.25" customHeight="1">
      <c r="A81" s="305"/>
      <c r="B81" s="305"/>
      <c r="C81" s="306"/>
      <c r="D81" s="306"/>
      <c r="E81" s="305"/>
      <c r="F81" s="305"/>
      <c r="G81" s="307"/>
      <c r="H81" s="307"/>
      <c r="I81" s="307"/>
      <c r="J81" s="307"/>
      <c r="K81" s="307"/>
      <c r="L81" s="307"/>
      <c r="M81" s="307"/>
    </row>
    <row r="82" ht="14.25" customHeight="1">
      <c r="A82" s="305"/>
      <c r="B82" s="305"/>
      <c r="C82" s="306"/>
      <c r="D82" s="306"/>
      <c r="E82" s="305"/>
      <c r="F82" s="305"/>
      <c r="G82" s="307"/>
      <c r="H82" s="307"/>
      <c r="I82" s="307"/>
      <c r="J82" s="307"/>
      <c r="K82" s="307"/>
      <c r="L82" s="307"/>
      <c r="M82" s="307"/>
    </row>
    <row r="83" ht="14.25" customHeight="1">
      <c r="A83" s="305"/>
      <c r="B83" s="305"/>
      <c r="C83" s="306"/>
      <c r="D83" s="306"/>
      <c r="E83" s="305"/>
      <c r="F83" s="305"/>
      <c r="G83" s="307"/>
      <c r="H83" s="307"/>
      <c r="I83" s="307"/>
      <c r="J83" s="307"/>
      <c r="K83" s="307"/>
      <c r="L83" s="307"/>
      <c r="M83" s="307"/>
    </row>
    <row r="84" ht="14.25" customHeight="1">
      <c r="A84" s="305"/>
      <c r="B84" s="305"/>
      <c r="C84" s="306"/>
      <c r="D84" s="306"/>
      <c r="E84" s="305"/>
      <c r="F84" s="305"/>
      <c r="G84" s="307"/>
      <c r="H84" s="307"/>
      <c r="I84" s="307"/>
      <c r="J84" s="307"/>
      <c r="K84" s="307"/>
      <c r="L84" s="307"/>
      <c r="M84" s="307"/>
    </row>
    <row r="85" ht="14.25" customHeight="1">
      <c r="A85" s="305"/>
      <c r="B85" s="305"/>
      <c r="C85" s="306"/>
      <c r="D85" s="306"/>
      <c r="E85" s="305"/>
      <c r="F85" s="305"/>
      <c r="G85" s="307"/>
      <c r="H85" s="307"/>
      <c r="I85" s="307"/>
      <c r="J85" s="307"/>
      <c r="K85" s="307"/>
      <c r="L85" s="307"/>
      <c r="M85" s="307"/>
    </row>
    <row r="86" ht="14.25" customHeight="1">
      <c r="A86" s="305"/>
      <c r="B86" s="305"/>
      <c r="C86" s="306"/>
      <c r="D86" s="306"/>
      <c r="E86" s="305"/>
      <c r="F86" s="305"/>
      <c r="G86" s="307"/>
      <c r="H86" s="307"/>
      <c r="I86" s="307"/>
      <c r="J86" s="307"/>
      <c r="K86" s="307"/>
      <c r="L86" s="307"/>
      <c r="M86" s="307"/>
    </row>
    <row r="87" ht="14.25" customHeight="1">
      <c r="A87" s="305"/>
      <c r="B87" s="305"/>
      <c r="C87" s="306"/>
      <c r="D87" s="306"/>
      <c r="E87" s="305"/>
      <c r="F87" s="305"/>
      <c r="G87" s="307"/>
      <c r="H87" s="307"/>
      <c r="I87" s="307"/>
      <c r="J87" s="307"/>
      <c r="K87" s="307"/>
      <c r="L87" s="307"/>
      <c r="M87" s="307"/>
    </row>
    <row r="88" ht="14.25" customHeight="1">
      <c r="A88" s="305"/>
      <c r="B88" s="305"/>
      <c r="C88" s="306"/>
      <c r="D88" s="306"/>
      <c r="E88" s="305"/>
      <c r="F88" s="305"/>
      <c r="G88" s="307"/>
      <c r="H88" s="307"/>
      <c r="I88" s="307"/>
      <c r="J88" s="307"/>
      <c r="K88" s="307"/>
      <c r="L88" s="307"/>
      <c r="M88" s="307"/>
    </row>
    <row r="89" ht="14.25" customHeight="1">
      <c r="A89" s="305"/>
      <c r="B89" s="305"/>
      <c r="C89" s="306"/>
      <c r="D89" s="306"/>
      <c r="E89" s="305"/>
      <c r="F89" s="305"/>
      <c r="G89" s="307"/>
      <c r="H89" s="307"/>
      <c r="I89" s="307"/>
      <c r="J89" s="307"/>
      <c r="K89" s="307"/>
      <c r="L89" s="307"/>
      <c r="M89" s="307"/>
    </row>
    <row r="90" ht="14.25" customHeight="1">
      <c r="A90" s="305"/>
      <c r="B90" s="305"/>
      <c r="C90" s="306"/>
      <c r="D90" s="306"/>
      <c r="E90" s="305"/>
      <c r="F90" s="305"/>
      <c r="G90" s="307"/>
      <c r="H90" s="307"/>
      <c r="I90" s="307"/>
      <c r="J90" s="307"/>
      <c r="K90" s="307"/>
      <c r="L90" s="307"/>
      <c r="M90" s="307"/>
    </row>
    <row r="91" ht="14.25" customHeight="1">
      <c r="A91" s="305"/>
      <c r="B91" s="305"/>
      <c r="C91" s="306"/>
      <c r="D91" s="306"/>
      <c r="E91" s="305"/>
      <c r="F91" s="305"/>
      <c r="G91" s="307"/>
      <c r="H91" s="307"/>
      <c r="I91" s="307"/>
      <c r="J91" s="307"/>
      <c r="K91" s="307"/>
      <c r="L91" s="307"/>
      <c r="M91" s="307"/>
    </row>
    <row r="92" ht="14.25" customHeight="1">
      <c r="A92" s="305"/>
      <c r="B92" s="305"/>
      <c r="C92" s="306"/>
      <c r="D92" s="306"/>
      <c r="E92" s="305"/>
      <c r="F92" s="305"/>
      <c r="G92" s="307"/>
      <c r="H92" s="307"/>
      <c r="I92" s="307"/>
      <c r="J92" s="307"/>
      <c r="K92" s="307"/>
      <c r="L92" s="307"/>
      <c r="M92" s="307"/>
    </row>
    <row r="93" ht="14.25" customHeight="1">
      <c r="A93" s="305"/>
      <c r="B93" s="305"/>
      <c r="C93" s="306"/>
      <c r="D93" s="306"/>
      <c r="E93" s="305"/>
      <c r="F93" s="305"/>
      <c r="G93" s="307"/>
      <c r="H93" s="307"/>
      <c r="I93" s="307"/>
      <c r="J93" s="307"/>
      <c r="K93" s="307"/>
      <c r="L93" s="307"/>
      <c r="M93" s="307"/>
    </row>
    <row r="94" ht="14.25" customHeight="1">
      <c r="A94" s="305"/>
      <c r="B94" s="305"/>
      <c r="C94" s="306"/>
      <c r="D94" s="306"/>
      <c r="E94" s="305"/>
      <c r="F94" s="305"/>
      <c r="G94" s="307"/>
      <c r="H94" s="307"/>
      <c r="I94" s="307"/>
      <c r="J94" s="307"/>
      <c r="K94" s="307"/>
      <c r="L94" s="307"/>
      <c r="M94" s="307"/>
    </row>
    <row r="95" ht="14.25" customHeight="1">
      <c r="A95" s="305"/>
      <c r="B95" s="305"/>
      <c r="C95" s="306"/>
      <c r="D95" s="306"/>
      <c r="E95" s="305"/>
      <c r="F95" s="305"/>
      <c r="G95" s="307"/>
      <c r="H95" s="307"/>
      <c r="I95" s="307"/>
      <c r="J95" s="307"/>
      <c r="K95" s="307"/>
      <c r="L95" s="307"/>
      <c r="M95" s="307"/>
    </row>
    <row r="96" ht="14.25" customHeight="1">
      <c r="A96" s="305"/>
      <c r="B96" s="305"/>
      <c r="C96" s="306"/>
      <c r="D96" s="306"/>
      <c r="E96" s="305"/>
      <c r="F96" s="305"/>
      <c r="G96" s="307"/>
      <c r="H96" s="307"/>
      <c r="I96" s="307"/>
      <c r="J96" s="307"/>
      <c r="K96" s="307"/>
      <c r="L96" s="307"/>
      <c r="M96" s="307"/>
    </row>
    <row r="97" ht="14.25" customHeight="1">
      <c r="A97" s="305"/>
      <c r="B97" s="305"/>
      <c r="C97" s="306"/>
      <c r="D97" s="306"/>
      <c r="E97" s="305"/>
      <c r="F97" s="305"/>
      <c r="G97" s="307"/>
      <c r="H97" s="307"/>
      <c r="I97" s="307"/>
      <c r="J97" s="307"/>
      <c r="K97" s="307"/>
      <c r="L97" s="307"/>
      <c r="M97" s="307"/>
    </row>
    <row r="98" ht="14.25" customHeight="1">
      <c r="A98" s="305"/>
      <c r="B98" s="305"/>
      <c r="C98" s="306"/>
      <c r="D98" s="306"/>
      <c r="E98" s="305"/>
      <c r="F98" s="305"/>
      <c r="G98" s="307"/>
      <c r="H98" s="307"/>
      <c r="I98" s="307"/>
      <c r="J98" s="307"/>
      <c r="K98" s="307"/>
      <c r="L98" s="307"/>
      <c r="M98" s="307"/>
    </row>
    <row r="99" ht="14.25" customHeight="1">
      <c r="A99" s="305"/>
      <c r="B99" s="305"/>
      <c r="C99" s="306"/>
      <c r="D99" s="306"/>
      <c r="E99" s="305"/>
      <c r="F99" s="305"/>
      <c r="G99" s="307"/>
      <c r="H99" s="307"/>
      <c r="I99" s="307"/>
      <c r="J99" s="307"/>
      <c r="K99" s="307"/>
      <c r="L99" s="307"/>
      <c r="M99" s="307"/>
    </row>
    <row r="100" ht="14.25" customHeight="1">
      <c r="A100" s="305"/>
      <c r="B100" s="305"/>
      <c r="C100" s="306"/>
      <c r="D100" s="306"/>
      <c r="E100" s="305"/>
      <c r="F100" s="305"/>
      <c r="G100" s="307"/>
      <c r="H100" s="307"/>
      <c r="I100" s="307"/>
      <c r="J100" s="307"/>
      <c r="K100" s="307"/>
      <c r="L100" s="307"/>
      <c r="M100" s="307"/>
    </row>
    <row r="101" ht="14.25" customHeight="1">
      <c r="A101" s="305"/>
      <c r="B101" s="305"/>
      <c r="C101" s="306"/>
      <c r="D101" s="306"/>
      <c r="E101" s="305"/>
      <c r="F101" s="305"/>
      <c r="G101" s="307"/>
      <c r="H101" s="307"/>
      <c r="I101" s="307"/>
      <c r="J101" s="307"/>
      <c r="K101" s="307"/>
      <c r="L101" s="307"/>
      <c r="M101" s="307"/>
    </row>
    <row r="102" ht="14.25" customHeight="1">
      <c r="A102" s="305"/>
      <c r="B102" s="305"/>
      <c r="C102" s="306"/>
      <c r="D102" s="306"/>
      <c r="E102" s="305"/>
      <c r="F102" s="305"/>
      <c r="G102" s="307"/>
      <c r="H102" s="307"/>
      <c r="I102" s="307"/>
      <c r="J102" s="307"/>
      <c r="K102" s="307"/>
      <c r="L102" s="307"/>
      <c r="M102" s="307"/>
    </row>
    <row r="103" ht="14.25" customHeight="1">
      <c r="A103" s="305"/>
      <c r="B103" s="305"/>
      <c r="C103" s="306"/>
      <c r="D103" s="306"/>
      <c r="E103" s="305"/>
      <c r="F103" s="305"/>
      <c r="G103" s="307"/>
      <c r="H103" s="307"/>
      <c r="I103" s="307"/>
      <c r="J103" s="307"/>
      <c r="K103" s="307"/>
      <c r="L103" s="307"/>
      <c r="M103" s="307"/>
    </row>
    <row r="104" ht="14.25" customHeight="1">
      <c r="A104" s="305"/>
      <c r="B104" s="305"/>
      <c r="C104" s="306"/>
      <c r="D104" s="306"/>
      <c r="E104" s="305"/>
      <c r="F104" s="305"/>
      <c r="G104" s="307"/>
      <c r="H104" s="307"/>
      <c r="I104" s="307"/>
      <c r="J104" s="307"/>
      <c r="K104" s="307"/>
      <c r="L104" s="307"/>
      <c r="M104" s="307"/>
    </row>
    <row r="105" ht="14.25" customHeight="1">
      <c r="A105" s="305"/>
      <c r="B105" s="305"/>
      <c r="C105" s="306"/>
      <c r="D105" s="306"/>
      <c r="E105" s="305"/>
      <c r="F105" s="305"/>
      <c r="G105" s="307"/>
      <c r="H105" s="307"/>
      <c r="I105" s="307"/>
      <c r="J105" s="307"/>
      <c r="K105" s="307"/>
      <c r="L105" s="307"/>
      <c r="M105" s="307"/>
    </row>
    <row r="106" ht="14.25" customHeight="1">
      <c r="A106" s="305"/>
      <c r="B106" s="305"/>
      <c r="C106" s="306"/>
      <c r="D106" s="306"/>
      <c r="E106" s="305"/>
      <c r="F106" s="305"/>
      <c r="G106" s="307"/>
      <c r="H106" s="307"/>
      <c r="I106" s="307"/>
      <c r="J106" s="307"/>
      <c r="K106" s="307"/>
      <c r="L106" s="307"/>
      <c r="M106" s="307"/>
    </row>
    <row r="107" ht="14.25" customHeight="1">
      <c r="A107" s="305"/>
      <c r="B107" s="305"/>
      <c r="C107" s="306"/>
      <c r="D107" s="306"/>
      <c r="E107" s="305"/>
      <c r="F107" s="305"/>
      <c r="G107" s="307"/>
      <c r="H107" s="307"/>
      <c r="I107" s="307"/>
      <c r="J107" s="307"/>
      <c r="K107" s="307"/>
      <c r="L107" s="307"/>
      <c r="M107" s="307"/>
    </row>
    <row r="108" ht="14.25" customHeight="1">
      <c r="A108" s="305"/>
      <c r="B108" s="305"/>
      <c r="C108" s="306"/>
      <c r="D108" s="306"/>
      <c r="E108" s="305"/>
      <c r="F108" s="305"/>
      <c r="G108" s="307"/>
      <c r="H108" s="307"/>
      <c r="I108" s="307"/>
      <c r="J108" s="307"/>
      <c r="K108" s="307"/>
      <c r="L108" s="307"/>
      <c r="M108" s="307"/>
    </row>
    <row r="109" ht="14.25" customHeight="1">
      <c r="A109" s="305"/>
      <c r="B109" s="305"/>
      <c r="C109" s="306"/>
      <c r="D109" s="306"/>
      <c r="E109" s="305"/>
      <c r="F109" s="305"/>
      <c r="G109" s="307"/>
      <c r="H109" s="307"/>
      <c r="I109" s="307"/>
      <c r="J109" s="307"/>
      <c r="K109" s="307"/>
      <c r="L109" s="307"/>
      <c r="M109" s="307"/>
    </row>
    <row r="110" ht="14.25" customHeight="1">
      <c r="A110" s="305"/>
      <c r="B110" s="305"/>
      <c r="C110" s="306"/>
      <c r="D110" s="306"/>
      <c r="E110" s="305"/>
      <c r="F110" s="305"/>
      <c r="G110" s="307"/>
      <c r="H110" s="307"/>
      <c r="I110" s="307"/>
      <c r="J110" s="307"/>
      <c r="K110" s="307"/>
      <c r="L110" s="307"/>
      <c r="M110" s="307"/>
    </row>
    <row r="111" ht="14.25" customHeight="1">
      <c r="A111" s="305"/>
      <c r="B111" s="305"/>
      <c r="C111" s="306"/>
      <c r="D111" s="306"/>
      <c r="E111" s="305"/>
      <c r="F111" s="305"/>
      <c r="G111" s="307"/>
      <c r="H111" s="307"/>
      <c r="I111" s="307"/>
      <c r="J111" s="307"/>
      <c r="K111" s="307"/>
      <c r="L111" s="307"/>
      <c r="M111" s="307"/>
    </row>
    <row r="112" ht="14.25" customHeight="1">
      <c r="A112" s="305"/>
      <c r="B112" s="305"/>
      <c r="C112" s="306"/>
      <c r="D112" s="306"/>
      <c r="E112" s="305"/>
      <c r="F112" s="305"/>
      <c r="G112" s="307"/>
      <c r="H112" s="307"/>
      <c r="I112" s="307"/>
      <c r="J112" s="307"/>
      <c r="K112" s="307"/>
      <c r="L112" s="307"/>
      <c r="M112" s="307"/>
    </row>
    <row r="113" ht="14.25" customHeight="1">
      <c r="A113" s="305"/>
      <c r="B113" s="305"/>
      <c r="C113" s="306"/>
      <c r="D113" s="306"/>
      <c r="E113" s="305"/>
      <c r="F113" s="305"/>
      <c r="G113" s="307"/>
      <c r="H113" s="307"/>
      <c r="I113" s="307"/>
      <c r="J113" s="307"/>
      <c r="K113" s="307"/>
      <c r="L113" s="307"/>
      <c r="M113" s="307"/>
    </row>
    <row r="114" ht="14.25" customHeight="1">
      <c r="A114" s="305"/>
      <c r="B114" s="305"/>
      <c r="C114" s="306"/>
      <c r="D114" s="306"/>
      <c r="E114" s="305"/>
      <c r="F114" s="305"/>
      <c r="G114" s="307"/>
      <c r="H114" s="307"/>
      <c r="I114" s="307"/>
      <c r="J114" s="307"/>
      <c r="K114" s="307"/>
      <c r="L114" s="307"/>
      <c r="M114" s="307"/>
    </row>
    <row r="115" ht="14.25" customHeight="1">
      <c r="A115" s="305"/>
      <c r="B115" s="305"/>
      <c r="C115" s="306"/>
      <c r="D115" s="306"/>
      <c r="E115" s="305"/>
      <c r="F115" s="305"/>
      <c r="G115" s="307"/>
      <c r="H115" s="307"/>
      <c r="I115" s="307"/>
      <c r="J115" s="307"/>
      <c r="K115" s="307"/>
      <c r="L115" s="307"/>
      <c r="M115" s="307"/>
    </row>
    <row r="116" ht="14.25" customHeight="1">
      <c r="A116" s="305"/>
      <c r="B116" s="305"/>
      <c r="C116" s="306"/>
      <c r="D116" s="306"/>
      <c r="E116" s="305"/>
      <c r="F116" s="305"/>
      <c r="G116" s="307"/>
      <c r="H116" s="307"/>
      <c r="I116" s="307"/>
      <c r="J116" s="307"/>
      <c r="K116" s="307"/>
      <c r="L116" s="307"/>
      <c r="M116" s="307"/>
    </row>
    <row r="117" ht="14.25" customHeight="1">
      <c r="A117" s="305"/>
      <c r="B117" s="305"/>
      <c r="C117" s="306"/>
      <c r="D117" s="306"/>
      <c r="E117" s="305"/>
      <c r="F117" s="305"/>
      <c r="G117" s="307"/>
      <c r="H117" s="307"/>
      <c r="I117" s="307"/>
      <c r="J117" s="307"/>
      <c r="K117" s="307"/>
      <c r="L117" s="307"/>
      <c r="M117" s="307"/>
    </row>
    <row r="118" ht="14.25" customHeight="1">
      <c r="A118" s="305"/>
      <c r="B118" s="305"/>
      <c r="C118" s="306"/>
      <c r="D118" s="306"/>
      <c r="E118" s="305"/>
      <c r="F118" s="305"/>
      <c r="G118" s="307"/>
      <c r="H118" s="307"/>
      <c r="I118" s="307"/>
      <c r="J118" s="307"/>
      <c r="K118" s="307"/>
      <c r="L118" s="307"/>
      <c r="M118" s="307"/>
    </row>
    <row r="119" ht="14.25" customHeight="1">
      <c r="A119" s="305"/>
      <c r="B119" s="305"/>
      <c r="C119" s="306"/>
      <c r="D119" s="306"/>
      <c r="E119" s="305"/>
      <c r="F119" s="305"/>
      <c r="G119" s="307"/>
      <c r="H119" s="307"/>
      <c r="I119" s="307"/>
      <c r="J119" s="307"/>
      <c r="K119" s="307"/>
      <c r="L119" s="307"/>
      <c r="M119" s="307"/>
    </row>
    <row r="120" ht="14.25" customHeight="1">
      <c r="A120" s="305"/>
      <c r="B120" s="305"/>
      <c r="C120" s="306"/>
      <c r="D120" s="306"/>
      <c r="E120" s="305"/>
      <c r="F120" s="305"/>
      <c r="G120" s="307"/>
      <c r="H120" s="307"/>
      <c r="I120" s="307"/>
      <c r="J120" s="307"/>
      <c r="K120" s="307"/>
      <c r="L120" s="307"/>
      <c r="M120" s="307"/>
    </row>
    <row r="121" ht="14.25" customHeight="1">
      <c r="A121" s="305"/>
      <c r="B121" s="305"/>
      <c r="C121" s="306"/>
      <c r="D121" s="306"/>
      <c r="E121" s="305"/>
      <c r="F121" s="305"/>
      <c r="G121" s="307"/>
      <c r="H121" s="307"/>
      <c r="I121" s="307"/>
      <c r="J121" s="307"/>
      <c r="K121" s="307"/>
      <c r="L121" s="307"/>
      <c r="M121" s="307"/>
    </row>
    <row r="122" ht="14.25" customHeight="1">
      <c r="A122" s="305"/>
      <c r="B122" s="305"/>
      <c r="C122" s="306"/>
      <c r="D122" s="306"/>
      <c r="E122" s="305"/>
      <c r="F122" s="305"/>
      <c r="G122" s="307"/>
      <c r="H122" s="307"/>
      <c r="I122" s="307"/>
      <c r="J122" s="307"/>
      <c r="K122" s="307"/>
      <c r="L122" s="307"/>
      <c r="M122" s="307"/>
    </row>
    <row r="123" ht="14.25" customHeight="1">
      <c r="A123" s="305"/>
      <c r="B123" s="305"/>
      <c r="C123" s="306"/>
      <c r="D123" s="306"/>
      <c r="E123" s="305"/>
      <c r="F123" s="305"/>
      <c r="G123" s="307"/>
      <c r="H123" s="307"/>
      <c r="I123" s="307"/>
      <c r="J123" s="307"/>
      <c r="K123" s="307"/>
      <c r="L123" s="307"/>
      <c r="M123" s="307"/>
    </row>
    <row r="124" ht="14.25" customHeight="1">
      <c r="A124" s="305"/>
      <c r="B124" s="305"/>
      <c r="C124" s="306"/>
      <c r="D124" s="306"/>
      <c r="E124" s="305"/>
      <c r="F124" s="305"/>
      <c r="G124" s="307"/>
      <c r="H124" s="307"/>
      <c r="I124" s="307"/>
      <c r="J124" s="307"/>
      <c r="K124" s="307"/>
      <c r="L124" s="307"/>
      <c r="M124" s="307"/>
    </row>
    <row r="125" ht="14.25" customHeight="1">
      <c r="A125" s="305"/>
      <c r="B125" s="305"/>
      <c r="C125" s="306"/>
      <c r="D125" s="306"/>
      <c r="E125" s="305"/>
      <c r="F125" s="305"/>
      <c r="G125" s="307"/>
      <c r="H125" s="307"/>
      <c r="I125" s="307"/>
      <c r="J125" s="307"/>
      <c r="K125" s="307"/>
      <c r="L125" s="307"/>
      <c r="M125" s="307"/>
    </row>
    <row r="126" ht="14.25" customHeight="1">
      <c r="A126" s="305"/>
      <c r="B126" s="305"/>
      <c r="C126" s="306"/>
      <c r="D126" s="306"/>
      <c r="E126" s="305"/>
      <c r="F126" s="305"/>
      <c r="G126" s="307"/>
      <c r="H126" s="307"/>
      <c r="I126" s="307"/>
      <c r="J126" s="307"/>
      <c r="K126" s="307"/>
      <c r="L126" s="307"/>
      <c r="M126" s="307"/>
    </row>
    <row r="127" ht="14.25" customHeight="1">
      <c r="A127" s="305"/>
      <c r="B127" s="305"/>
      <c r="C127" s="306"/>
      <c r="D127" s="306"/>
      <c r="E127" s="305"/>
      <c r="F127" s="305"/>
      <c r="G127" s="307"/>
      <c r="H127" s="307"/>
      <c r="I127" s="307"/>
      <c r="J127" s="307"/>
      <c r="K127" s="307"/>
      <c r="L127" s="307"/>
      <c r="M127" s="307"/>
    </row>
    <row r="128" ht="14.25" customHeight="1">
      <c r="A128" s="305"/>
      <c r="B128" s="305"/>
      <c r="C128" s="306"/>
      <c r="D128" s="306"/>
      <c r="E128" s="305"/>
      <c r="F128" s="305"/>
      <c r="G128" s="307"/>
      <c r="H128" s="307"/>
      <c r="I128" s="307"/>
      <c r="J128" s="307"/>
      <c r="K128" s="307"/>
      <c r="L128" s="307"/>
      <c r="M128" s="307"/>
    </row>
    <row r="129" ht="14.25" customHeight="1">
      <c r="A129" s="305"/>
      <c r="B129" s="305"/>
      <c r="C129" s="306"/>
      <c r="D129" s="306"/>
      <c r="E129" s="305"/>
      <c r="F129" s="305"/>
      <c r="G129" s="307"/>
      <c r="H129" s="307"/>
      <c r="I129" s="307"/>
      <c r="J129" s="307"/>
      <c r="K129" s="307"/>
      <c r="L129" s="307"/>
      <c r="M129" s="307"/>
    </row>
    <row r="130" ht="14.25" customHeight="1">
      <c r="A130" s="305"/>
      <c r="B130" s="305"/>
      <c r="C130" s="306"/>
      <c r="D130" s="306"/>
      <c r="E130" s="305"/>
      <c r="F130" s="305"/>
      <c r="G130" s="307"/>
      <c r="H130" s="307"/>
      <c r="I130" s="307"/>
      <c r="J130" s="307"/>
      <c r="K130" s="307"/>
      <c r="L130" s="307"/>
      <c r="M130" s="307"/>
    </row>
    <row r="131" ht="14.25" customHeight="1">
      <c r="A131" s="305"/>
      <c r="B131" s="305"/>
      <c r="C131" s="306"/>
      <c r="D131" s="306"/>
      <c r="E131" s="305"/>
      <c r="F131" s="305"/>
      <c r="G131" s="307"/>
      <c r="H131" s="307"/>
      <c r="I131" s="307"/>
      <c r="J131" s="307"/>
      <c r="K131" s="307"/>
      <c r="L131" s="307"/>
      <c r="M131" s="307"/>
    </row>
    <row r="132" ht="14.25" customHeight="1">
      <c r="A132" s="305"/>
      <c r="B132" s="305"/>
      <c r="C132" s="306"/>
      <c r="D132" s="306"/>
      <c r="E132" s="305"/>
      <c r="F132" s="305"/>
      <c r="G132" s="307"/>
      <c r="H132" s="307"/>
      <c r="I132" s="307"/>
      <c r="J132" s="307"/>
      <c r="K132" s="307"/>
      <c r="L132" s="307"/>
      <c r="M132" s="307"/>
    </row>
    <row r="133" ht="14.25" customHeight="1">
      <c r="A133" s="305"/>
      <c r="B133" s="305"/>
      <c r="C133" s="306"/>
      <c r="D133" s="306"/>
      <c r="E133" s="305"/>
      <c r="F133" s="305"/>
      <c r="G133" s="307"/>
      <c r="H133" s="307"/>
      <c r="I133" s="307"/>
      <c r="J133" s="307"/>
      <c r="K133" s="307"/>
      <c r="L133" s="307"/>
      <c r="M133" s="307"/>
    </row>
    <row r="134" ht="14.25" customHeight="1">
      <c r="A134" s="305"/>
      <c r="B134" s="305"/>
      <c r="C134" s="306"/>
      <c r="D134" s="306"/>
      <c r="E134" s="305"/>
      <c r="F134" s="305"/>
      <c r="G134" s="307"/>
      <c r="H134" s="307"/>
      <c r="I134" s="307"/>
      <c r="J134" s="307"/>
      <c r="K134" s="307"/>
      <c r="L134" s="307"/>
      <c r="M134" s="307"/>
    </row>
    <row r="135" ht="14.25" customHeight="1">
      <c r="A135" s="305"/>
      <c r="B135" s="305"/>
      <c r="C135" s="306"/>
      <c r="D135" s="306"/>
      <c r="E135" s="305"/>
      <c r="F135" s="305"/>
      <c r="G135" s="307"/>
      <c r="H135" s="307"/>
      <c r="I135" s="307"/>
      <c r="J135" s="307"/>
      <c r="K135" s="307"/>
      <c r="L135" s="307"/>
      <c r="M135" s="307"/>
    </row>
    <row r="136" ht="14.25" customHeight="1">
      <c r="A136" s="305"/>
      <c r="B136" s="305"/>
      <c r="C136" s="306"/>
      <c r="D136" s="306"/>
      <c r="E136" s="305"/>
      <c r="F136" s="305"/>
      <c r="G136" s="307"/>
      <c r="H136" s="307"/>
      <c r="I136" s="307"/>
      <c r="J136" s="307"/>
      <c r="K136" s="307"/>
      <c r="L136" s="307"/>
      <c r="M136" s="307"/>
    </row>
    <row r="137" ht="14.25" customHeight="1">
      <c r="A137" s="305"/>
      <c r="B137" s="305"/>
      <c r="C137" s="306"/>
      <c r="D137" s="306"/>
      <c r="E137" s="305"/>
      <c r="F137" s="305"/>
      <c r="G137" s="307"/>
      <c r="H137" s="307"/>
      <c r="I137" s="307"/>
      <c r="J137" s="307"/>
      <c r="K137" s="307"/>
      <c r="L137" s="307"/>
      <c r="M137" s="307"/>
    </row>
    <row r="138" ht="14.25" customHeight="1">
      <c r="A138" s="305"/>
      <c r="B138" s="305"/>
      <c r="C138" s="306"/>
      <c r="D138" s="306"/>
      <c r="E138" s="305"/>
      <c r="F138" s="305"/>
      <c r="G138" s="307"/>
      <c r="H138" s="307"/>
      <c r="I138" s="307"/>
      <c r="J138" s="307"/>
      <c r="K138" s="307"/>
      <c r="L138" s="307"/>
      <c r="M138" s="307"/>
    </row>
    <row r="139" ht="14.25" customHeight="1">
      <c r="A139" s="305"/>
      <c r="B139" s="305"/>
      <c r="C139" s="306"/>
      <c r="D139" s="306"/>
      <c r="E139" s="305"/>
      <c r="F139" s="305"/>
      <c r="G139" s="307"/>
      <c r="H139" s="307"/>
      <c r="I139" s="307"/>
      <c r="J139" s="307"/>
      <c r="K139" s="307"/>
      <c r="L139" s="307"/>
      <c r="M139" s="307"/>
    </row>
    <row r="140" ht="14.25" customHeight="1">
      <c r="A140" s="305"/>
      <c r="B140" s="305"/>
      <c r="C140" s="306"/>
      <c r="D140" s="306"/>
      <c r="E140" s="305"/>
      <c r="F140" s="305"/>
      <c r="G140" s="307"/>
      <c r="H140" s="307"/>
      <c r="I140" s="307"/>
      <c r="J140" s="307"/>
      <c r="K140" s="307"/>
      <c r="L140" s="307"/>
      <c r="M140" s="307"/>
    </row>
    <row r="141" ht="14.25" customHeight="1">
      <c r="A141" s="305"/>
      <c r="B141" s="305"/>
      <c r="C141" s="306"/>
      <c r="D141" s="306"/>
      <c r="E141" s="305"/>
      <c r="F141" s="305"/>
      <c r="G141" s="307"/>
      <c r="H141" s="307"/>
      <c r="I141" s="307"/>
      <c r="J141" s="307"/>
      <c r="K141" s="307"/>
      <c r="L141" s="307"/>
      <c r="M141" s="307"/>
    </row>
    <row r="142" ht="14.25" customHeight="1">
      <c r="A142" s="305"/>
      <c r="B142" s="305"/>
      <c r="C142" s="306"/>
      <c r="D142" s="306"/>
      <c r="E142" s="305"/>
      <c r="F142" s="305"/>
      <c r="G142" s="307"/>
      <c r="H142" s="307"/>
      <c r="I142" s="307"/>
      <c r="J142" s="307"/>
      <c r="K142" s="307"/>
      <c r="L142" s="307"/>
      <c r="M142" s="307"/>
    </row>
    <row r="143" ht="14.25" customHeight="1">
      <c r="A143" s="305"/>
      <c r="B143" s="305"/>
      <c r="C143" s="306"/>
      <c r="D143" s="306"/>
      <c r="E143" s="305"/>
      <c r="F143" s="305"/>
      <c r="G143" s="307"/>
      <c r="H143" s="307"/>
      <c r="I143" s="307"/>
      <c r="J143" s="307"/>
      <c r="K143" s="307"/>
      <c r="L143" s="307"/>
      <c r="M143" s="307"/>
    </row>
    <row r="144" ht="14.25" customHeight="1">
      <c r="A144" s="305"/>
      <c r="B144" s="305"/>
      <c r="C144" s="306"/>
      <c r="D144" s="306"/>
      <c r="E144" s="305"/>
      <c r="F144" s="305"/>
      <c r="G144" s="307"/>
      <c r="H144" s="307"/>
      <c r="I144" s="307"/>
      <c r="J144" s="307"/>
      <c r="K144" s="307"/>
      <c r="L144" s="307"/>
      <c r="M144" s="307"/>
    </row>
    <row r="145" ht="14.25" customHeight="1">
      <c r="A145" s="305"/>
      <c r="B145" s="305"/>
      <c r="C145" s="306"/>
      <c r="D145" s="306"/>
      <c r="E145" s="305"/>
      <c r="F145" s="305"/>
      <c r="G145" s="307"/>
      <c r="H145" s="307"/>
      <c r="I145" s="307"/>
      <c r="J145" s="307"/>
      <c r="K145" s="307"/>
      <c r="L145" s="307"/>
      <c r="M145" s="307"/>
    </row>
    <row r="146" ht="14.25" customHeight="1">
      <c r="A146" s="305"/>
      <c r="B146" s="305"/>
      <c r="C146" s="306"/>
      <c r="D146" s="306"/>
      <c r="E146" s="305"/>
      <c r="F146" s="305"/>
      <c r="G146" s="307"/>
      <c r="H146" s="307"/>
      <c r="I146" s="307"/>
      <c r="J146" s="307"/>
      <c r="K146" s="307"/>
      <c r="L146" s="307"/>
      <c r="M146" s="307"/>
    </row>
    <row r="147" ht="14.25" customHeight="1">
      <c r="A147" s="305"/>
      <c r="B147" s="305"/>
      <c r="C147" s="306"/>
      <c r="D147" s="306"/>
      <c r="E147" s="305"/>
      <c r="F147" s="305"/>
      <c r="G147" s="307"/>
      <c r="H147" s="307"/>
      <c r="I147" s="307"/>
      <c r="J147" s="307"/>
      <c r="K147" s="307"/>
      <c r="L147" s="307"/>
      <c r="M147" s="307"/>
    </row>
    <row r="148" ht="14.25" customHeight="1">
      <c r="A148" s="305"/>
      <c r="B148" s="305"/>
      <c r="C148" s="306"/>
      <c r="D148" s="306"/>
      <c r="E148" s="305"/>
      <c r="F148" s="305"/>
      <c r="G148" s="307"/>
      <c r="H148" s="307"/>
      <c r="I148" s="307"/>
      <c r="J148" s="307"/>
      <c r="K148" s="307"/>
      <c r="L148" s="307"/>
      <c r="M148" s="307"/>
    </row>
    <row r="149" ht="14.25" customHeight="1">
      <c r="A149" s="305"/>
      <c r="B149" s="305"/>
      <c r="C149" s="306"/>
      <c r="D149" s="306"/>
      <c r="E149" s="305"/>
      <c r="F149" s="305"/>
      <c r="G149" s="307"/>
      <c r="H149" s="307"/>
      <c r="I149" s="307"/>
      <c r="J149" s="307"/>
      <c r="K149" s="307"/>
      <c r="L149" s="307"/>
      <c r="M149" s="307"/>
    </row>
    <row r="150" ht="14.25" customHeight="1">
      <c r="A150" s="305"/>
      <c r="B150" s="305"/>
      <c r="C150" s="306"/>
      <c r="D150" s="306"/>
      <c r="E150" s="305"/>
      <c r="F150" s="305"/>
      <c r="G150" s="307"/>
      <c r="H150" s="307"/>
      <c r="I150" s="307"/>
      <c r="J150" s="307"/>
      <c r="K150" s="307"/>
      <c r="L150" s="307"/>
      <c r="M150" s="307"/>
    </row>
    <row r="151" ht="14.25" customHeight="1">
      <c r="A151" s="305"/>
      <c r="B151" s="305"/>
      <c r="C151" s="306"/>
      <c r="D151" s="306"/>
      <c r="E151" s="305"/>
      <c r="F151" s="305"/>
      <c r="G151" s="307"/>
      <c r="H151" s="307"/>
      <c r="I151" s="307"/>
      <c r="J151" s="307"/>
      <c r="K151" s="307"/>
      <c r="L151" s="307"/>
      <c r="M151" s="307"/>
    </row>
    <row r="152" ht="14.25" customHeight="1">
      <c r="A152" s="305"/>
      <c r="B152" s="305"/>
      <c r="C152" s="306"/>
      <c r="D152" s="306"/>
      <c r="E152" s="305"/>
      <c r="F152" s="305"/>
      <c r="G152" s="307"/>
      <c r="H152" s="307"/>
      <c r="I152" s="307"/>
      <c r="J152" s="307"/>
      <c r="K152" s="307"/>
      <c r="L152" s="307"/>
      <c r="M152" s="307"/>
    </row>
    <row r="153" ht="14.25" customHeight="1">
      <c r="A153" s="305"/>
      <c r="B153" s="305"/>
      <c r="C153" s="306"/>
      <c r="D153" s="306"/>
      <c r="E153" s="305"/>
      <c r="F153" s="305"/>
      <c r="G153" s="307"/>
      <c r="H153" s="307"/>
      <c r="I153" s="307"/>
      <c r="J153" s="307"/>
      <c r="K153" s="307"/>
      <c r="L153" s="307"/>
      <c r="M153" s="307"/>
    </row>
    <row r="154" ht="14.25" customHeight="1">
      <c r="A154" s="305"/>
      <c r="B154" s="305"/>
      <c r="C154" s="306"/>
      <c r="D154" s="306"/>
      <c r="E154" s="305"/>
      <c r="F154" s="305"/>
      <c r="G154" s="307"/>
      <c r="H154" s="307"/>
      <c r="I154" s="307"/>
      <c r="J154" s="307"/>
      <c r="K154" s="307"/>
      <c r="L154" s="307"/>
      <c r="M154" s="307"/>
    </row>
    <row r="155" ht="14.25" customHeight="1">
      <c r="A155" s="305"/>
      <c r="B155" s="305"/>
      <c r="C155" s="306"/>
      <c r="D155" s="306"/>
      <c r="E155" s="305"/>
      <c r="F155" s="305"/>
      <c r="G155" s="307"/>
      <c r="H155" s="307"/>
      <c r="I155" s="307"/>
      <c r="J155" s="307"/>
      <c r="K155" s="307"/>
      <c r="L155" s="307"/>
      <c r="M155" s="307"/>
    </row>
    <row r="156" ht="14.25" customHeight="1">
      <c r="A156" s="305"/>
      <c r="B156" s="305"/>
      <c r="C156" s="306"/>
      <c r="D156" s="306"/>
      <c r="E156" s="305"/>
      <c r="F156" s="305"/>
      <c r="G156" s="307"/>
      <c r="H156" s="307"/>
      <c r="I156" s="307"/>
      <c r="J156" s="307"/>
      <c r="K156" s="307"/>
      <c r="L156" s="307"/>
      <c r="M156" s="307"/>
    </row>
    <row r="157" ht="14.25" customHeight="1">
      <c r="A157" s="305"/>
      <c r="B157" s="305"/>
      <c r="C157" s="306"/>
      <c r="D157" s="306"/>
      <c r="E157" s="305"/>
      <c r="F157" s="305"/>
      <c r="G157" s="307"/>
      <c r="H157" s="307"/>
      <c r="I157" s="307"/>
      <c r="J157" s="307"/>
      <c r="K157" s="307"/>
      <c r="L157" s="307"/>
      <c r="M157" s="307"/>
    </row>
    <row r="158" ht="14.25" customHeight="1">
      <c r="A158" s="305"/>
      <c r="B158" s="305"/>
      <c r="C158" s="306"/>
      <c r="D158" s="306"/>
      <c r="E158" s="305"/>
      <c r="F158" s="305"/>
      <c r="G158" s="307"/>
      <c r="H158" s="307"/>
      <c r="I158" s="307"/>
      <c r="J158" s="307"/>
      <c r="K158" s="307"/>
      <c r="L158" s="307"/>
      <c r="M158" s="307"/>
    </row>
    <row r="159" ht="14.25" customHeight="1">
      <c r="A159" s="305"/>
      <c r="B159" s="305"/>
      <c r="C159" s="306"/>
      <c r="D159" s="306"/>
      <c r="E159" s="305"/>
      <c r="F159" s="305"/>
      <c r="G159" s="307"/>
      <c r="H159" s="307"/>
      <c r="I159" s="307"/>
      <c r="J159" s="307"/>
      <c r="K159" s="307"/>
      <c r="L159" s="307"/>
      <c r="M159" s="307"/>
    </row>
    <row r="160" ht="14.25" customHeight="1">
      <c r="A160" s="305"/>
      <c r="B160" s="305"/>
      <c r="C160" s="306"/>
      <c r="D160" s="306"/>
      <c r="E160" s="305"/>
      <c r="F160" s="305"/>
      <c r="G160" s="307"/>
      <c r="H160" s="307"/>
      <c r="I160" s="307"/>
      <c r="J160" s="307"/>
      <c r="K160" s="307"/>
      <c r="L160" s="307"/>
      <c r="M160" s="307"/>
    </row>
    <row r="161" ht="14.25" customHeight="1">
      <c r="A161" s="305"/>
      <c r="B161" s="305"/>
      <c r="C161" s="306"/>
      <c r="D161" s="306"/>
      <c r="E161" s="305"/>
      <c r="F161" s="305"/>
      <c r="G161" s="307"/>
      <c r="H161" s="307"/>
      <c r="I161" s="307"/>
      <c r="J161" s="307"/>
      <c r="K161" s="307"/>
      <c r="L161" s="307"/>
      <c r="M161" s="307"/>
    </row>
    <row r="162" ht="14.25" customHeight="1">
      <c r="A162" s="305"/>
      <c r="B162" s="305"/>
      <c r="C162" s="306"/>
      <c r="D162" s="306"/>
      <c r="E162" s="305"/>
      <c r="F162" s="305"/>
      <c r="G162" s="307"/>
      <c r="H162" s="307"/>
      <c r="I162" s="307"/>
      <c r="J162" s="307"/>
      <c r="K162" s="307"/>
      <c r="L162" s="307"/>
      <c r="M162" s="307"/>
    </row>
    <row r="163" ht="14.25" customHeight="1">
      <c r="A163" s="305"/>
      <c r="B163" s="305"/>
      <c r="C163" s="306"/>
      <c r="D163" s="306"/>
      <c r="E163" s="305"/>
      <c r="F163" s="305"/>
      <c r="G163" s="307"/>
      <c r="H163" s="307"/>
      <c r="I163" s="307"/>
      <c r="J163" s="307"/>
      <c r="K163" s="307"/>
      <c r="L163" s="307"/>
      <c r="M163" s="307"/>
    </row>
    <row r="164" ht="14.25" customHeight="1">
      <c r="A164" s="305"/>
      <c r="B164" s="305"/>
      <c r="C164" s="306"/>
      <c r="D164" s="306"/>
      <c r="E164" s="305"/>
      <c r="F164" s="305"/>
      <c r="G164" s="307"/>
      <c r="H164" s="307"/>
      <c r="I164" s="307"/>
      <c r="J164" s="307"/>
      <c r="K164" s="307"/>
      <c r="L164" s="307"/>
      <c r="M164" s="307"/>
    </row>
    <row r="165" ht="14.25" customHeight="1">
      <c r="A165" s="305"/>
      <c r="B165" s="305"/>
      <c r="C165" s="306"/>
      <c r="D165" s="306"/>
      <c r="E165" s="305"/>
      <c r="F165" s="305"/>
      <c r="G165" s="307"/>
      <c r="H165" s="307"/>
      <c r="I165" s="307"/>
      <c r="J165" s="307"/>
      <c r="K165" s="307"/>
      <c r="L165" s="307"/>
      <c r="M165" s="307"/>
    </row>
    <row r="166" ht="14.25" customHeight="1">
      <c r="A166" s="305"/>
      <c r="B166" s="305"/>
      <c r="C166" s="306"/>
      <c r="D166" s="306"/>
      <c r="E166" s="305"/>
      <c r="F166" s="305"/>
      <c r="G166" s="307"/>
      <c r="H166" s="307"/>
      <c r="I166" s="307"/>
      <c r="J166" s="307"/>
      <c r="K166" s="307"/>
      <c r="L166" s="307"/>
      <c r="M166" s="307"/>
    </row>
    <row r="167" ht="14.25" customHeight="1">
      <c r="A167" s="305"/>
      <c r="B167" s="305"/>
      <c r="C167" s="306"/>
      <c r="D167" s="306"/>
      <c r="E167" s="305"/>
      <c r="F167" s="305"/>
      <c r="G167" s="307"/>
      <c r="H167" s="307"/>
      <c r="I167" s="307"/>
      <c r="J167" s="307"/>
      <c r="K167" s="307"/>
      <c r="L167" s="307"/>
      <c r="M167" s="307"/>
    </row>
    <row r="168" ht="14.25" customHeight="1">
      <c r="A168" s="305"/>
      <c r="B168" s="305"/>
      <c r="C168" s="306"/>
      <c r="D168" s="306"/>
      <c r="E168" s="305"/>
      <c r="F168" s="305"/>
      <c r="G168" s="307"/>
      <c r="H168" s="307"/>
      <c r="I168" s="307"/>
      <c r="J168" s="307"/>
      <c r="K168" s="307"/>
      <c r="L168" s="307"/>
      <c r="M168" s="307"/>
    </row>
    <row r="169" ht="14.25" customHeight="1">
      <c r="A169" s="305"/>
      <c r="B169" s="305"/>
      <c r="C169" s="306"/>
      <c r="D169" s="306"/>
      <c r="E169" s="305"/>
      <c r="F169" s="305"/>
      <c r="G169" s="307"/>
      <c r="H169" s="307"/>
      <c r="I169" s="307"/>
      <c r="J169" s="307"/>
      <c r="K169" s="307"/>
      <c r="L169" s="307"/>
      <c r="M169" s="307"/>
    </row>
    <row r="170" ht="14.25" customHeight="1">
      <c r="A170" s="305"/>
      <c r="B170" s="305"/>
      <c r="C170" s="306"/>
      <c r="D170" s="306"/>
      <c r="E170" s="305"/>
      <c r="F170" s="305"/>
      <c r="G170" s="307"/>
      <c r="H170" s="307"/>
      <c r="I170" s="307"/>
      <c r="J170" s="307"/>
      <c r="K170" s="307"/>
      <c r="L170" s="307"/>
      <c r="M170" s="307"/>
    </row>
    <row r="171" ht="14.25" customHeight="1">
      <c r="A171" s="305"/>
      <c r="B171" s="305"/>
      <c r="C171" s="306"/>
      <c r="D171" s="306"/>
      <c r="E171" s="305"/>
      <c r="F171" s="305"/>
      <c r="G171" s="307"/>
      <c r="H171" s="307"/>
      <c r="I171" s="307"/>
      <c r="J171" s="307"/>
      <c r="K171" s="307"/>
      <c r="L171" s="307"/>
      <c r="M171" s="307"/>
    </row>
    <row r="172" ht="14.25" customHeight="1">
      <c r="A172" s="305"/>
      <c r="B172" s="305"/>
      <c r="C172" s="306"/>
      <c r="D172" s="306"/>
      <c r="E172" s="305"/>
      <c r="F172" s="305"/>
      <c r="G172" s="307"/>
      <c r="H172" s="307"/>
      <c r="I172" s="307"/>
      <c r="J172" s="307"/>
      <c r="K172" s="307"/>
      <c r="L172" s="307"/>
      <c r="M172" s="307"/>
    </row>
    <row r="173" ht="14.25" customHeight="1">
      <c r="A173" s="305"/>
      <c r="B173" s="305"/>
      <c r="C173" s="306"/>
      <c r="D173" s="306"/>
      <c r="E173" s="305"/>
      <c r="F173" s="305"/>
      <c r="G173" s="307"/>
      <c r="H173" s="307"/>
      <c r="I173" s="307"/>
      <c r="J173" s="307"/>
      <c r="K173" s="307"/>
      <c r="L173" s="307"/>
      <c r="M173" s="307"/>
    </row>
    <row r="174" ht="14.25" customHeight="1">
      <c r="A174" s="305"/>
      <c r="B174" s="305"/>
      <c r="C174" s="306"/>
      <c r="D174" s="306"/>
      <c r="E174" s="305"/>
      <c r="F174" s="305"/>
      <c r="G174" s="307"/>
      <c r="H174" s="307"/>
      <c r="I174" s="307"/>
      <c r="J174" s="307"/>
      <c r="K174" s="307"/>
      <c r="L174" s="307"/>
      <c r="M174" s="307"/>
    </row>
    <row r="175" ht="14.25" customHeight="1">
      <c r="A175" s="305"/>
      <c r="B175" s="305"/>
      <c r="C175" s="306"/>
      <c r="D175" s="306"/>
      <c r="E175" s="305"/>
      <c r="F175" s="305"/>
      <c r="G175" s="307"/>
      <c r="H175" s="307"/>
      <c r="I175" s="307"/>
      <c r="J175" s="307"/>
      <c r="K175" s="307"/>
      <c r="L175" s="307"/>
      <c r="M175" s="307"/>
    </row>
    <row r="176" ht="14.25" customHeight="1">
      <c r="A176" s="305"/>
      <c r="B176" s="305"/>
      <c r="C176" s="306"/>
      <c r="D176" s="306"/>
      <c r="E176" s="305"/>
      <c r="F176" s="305"/>
      <c r="G176" s="307"/>
      <c r="H176" s="307"/>
      <c r="I176" s="307"/>
      <c r="J176" s="307"/>
      <c r="K176" s="307"/>
      <c r="L176" s="307"/>
      <c r="M176" s="307"/>
    </row>
    <row r="177" ht="14.25" customHeight="1">
      <c r="A177" s="305"/>
      <c r="B177" s="305"/>
      <c r="C177" s="306"/>
      <c r="D177" s="306"/>
      <c r="E177" s="305"/>
      <c r="F177" s="305"/>
      <c r="G177" s="307"/>
      <c r="H177" s="307"/>
      <c r="I177" s="307"/>
      <c r="J177" s="307"/>
      <c r="K177" s="307"/>
      <c r="L177" s="307"/>
      <c r="M177" s="307"/>
    </row>
    <row r="178" ht="14.25" customHeight="1">
      <c r="A178" s="305"/>
      <c r="B178" s="305"/>
      <c r="C178" s="306"/>
      <c r="D178" s="306"/>
      <c r="E178" s="305"/>
      <c r="F178" s="305"/>
      <c r="G178" s="307"/>
      <c r="H178" s="307"/>
      <c r="I178" s="307"/>
      <c r="J178" s="307"/>
      <c r="K178" s="307"/>
      <c r="L178" s="307"/>
      <c r="M178" s="307"/>
    </row>
    <row r="179" ht="14.25" customHeight="1">
      <c r="A179" s="305"/>
      <c r="B179" s="305"/>
      <c r="C179" s="306"/>
      <c r="D179" s="306"/>
      <c r="E179" s="305"/>
      <c r="F179" s="305"/>
      <c r="G179" s="307"/>
      <c r="H179" s="307"/>
      <c r="I179" s="307"/>
      <c r="J179" s="307"/>
      <c r="K179" s="307"/>
      <c r="L179" s="307"/>
      <c r="M179" s="307"/>
    </row>
    <row r="180" ht="14.25" customHeight="1">
      <c r="A180" s="305"/>
      <c r="B180" s="305"/>
      <c r="C180" s="306"/>
      <c r="D180" s="306"/>
      <c r="E180" s="305"/>
      <c r="F180" s="305"/>
      <c r="G180" s="307"/>
      <c r="H180" s="307"/>
      <c r="I180" s="307"/>
      <c r="J180" s="307"/>
      <c r="K180" s="307"/>
      <c r="L180" s="307"/>
      <c r="M180" s="307"/>
    </row>
    <row r="181" ht="14.25" customHeight="1">
      <c r="A181" s="305"/>
      <c r="B181" s="305"/>
      <c r="C181" s="306"/>
      <c r="D181" s="306"/>
      <c r="E181" s="305"/>
      <c r="F181" s="305"/>
      <c r="G181" s="307"/>
      <c r="H181" s="307"/>
      <c r="I181" s="307"/>
      <c r="J181" s="307"/>
      <c r="K181" s="307"/>
      <c r="L181" s="307"/>
      <c r="M181" s="307"/>
    </row>
    <row r="182" ht="14.25" customHeight="1">
      <c r="A182" s="305"/>
      <c r="B182" s="305"/>
      <c r="C182" s="306"/>
      <c r="D182" s="306"/>
      <c r="E182" s="305"/>
      <c r="F182" s="305"/>
      <c r="G182" s="307"/>
      <c r="H182" s="307"/>
      <c r="I182" s="307"/>
      <c r="J182" s="307"/>
      <c r="K182" s="307"/>
      <c r="L182" s="307"/>
      <c r="M182" s="307"/>
    </row>
    <row r="183" ht="14.25" customHeight="1">
      <c r="A183" s="305"/>
      <c r="B183" s="305"/>
      <c r="C183" s="306"/>
      <c r="D183" s="306"/>
      <c r="E183" s="305"/>
      <c r="F183" s="305"/>
      <c r="G183" s="307"/>
      <c r="H183" s="307"/>
      <c r="I183" s="307"/>
      <c r="J183" s="307"/>
      <c r="K183" s="307"/>
      <c r="L183" s="307"/>
      <c r="M183" s="307"/>
    </row>
    <row r="184" ht="14.25" customHeight="1">
      <c r="A184" s="305"/>
      <c r="B184" s="305"/>
      <c r="C184" s="306"/>
      <c r="D184" s="306"/>
      <c r="E184" s="305"/>
      <c r="F184" s="305"/>
      <c r="G184" s="307"/>
      <c r="H184" s="307"/>
      <c r="I184" s="307"/>
      <c r="J184" s="307"/>
      <c r="K184" s="307"/>
      <c r="L184" s="307"/>
      <c r="M184" s="307"/>
    </row>
    <row r="185" ht="14.25" customHeight="1">
      <c r="A185" s="305"/>
      <c r="B185" s="305"/>
      <c r="C185" s="306"/>
      <c r="D185" s="306"/>
      <c r="E185" s="305"/>
      <c r="F185" s="305"/>
      <c r="G185" s="307"/>
      <c r="H185" s="307"/>
      <c r="I185" s="307"/>
      <c r="J185" s="307"/>
      <c r="K185" s="307"/>
      <c r="L185" s="307"/>
      <c r="M185" s="307"/>
    </row>
    <row r="186" ht="14.25" customHeight="1">
      <c r="A186" s="305"/>
      <c r="B186" s="305"/>
      <c r="C186" s="306"/>
      <c r="D186" s="306"/>
      <c r="E186" s="305"/>
      <c r="F186" s="305"/>
      <c r="G186" s="307"/>
      <c r="H186" s="307"/>
      <c r="I186" s="307"/>
      <c r="J186" s="307"/>
      <c r="K186" s="307"/>
      <c r="L186" s="307"/>
      <c r="M186" s="307"/>
    </row>
    <row r="187" ht="14.25" customHeight="1">
      <c r="A187" s="305"/>
      <c r="B187" s="305"/>
      <c r="C187" s="306"/>
      <c r="D187" s="306"/>
      <c r="E187" s="305"/>
      <c r="F187" s="305"/>
      <c r="G187" s="307"/>
      <c r="H187" s="307"/>
      <c r="I187" s="307"/>
      <c r="J187" s="307"/>
      <c r="K187" s="307"/>
      <c r="L187" s="307"/>
      <c r="M187" s="307"/>
    </row>
    <row r="188" ht="14.25" customHeight="1">
      <c r="A188" s="305"/>
      <c r="B188" s="305"/>
      <c r="C188" s="306"/>
      <c r="D188" s="306"/>
      <c r="E188" s="305"/>
      <c r="F188" s="305"/>
      <c r="G188" s="307"/>
      <c r="H188" s="307"/>
      <c r="I188" s="307"/>
      <c r="J188" s="307"/>
      <c r="K188" s="307"/>
      <c r="L188" s="307"/>
      <c r="M188" s="307"/>
    </row>
    <row r="189" ht="14.25" customHeight="1">
      <c r="A189" s="305"/>
      <c r="B189" s="305"/>
      <c r="C189" s="306"/>
      <c r="D189" s="306"/>
      <c r="E189" s="305"/>
      <c r="F189" s="305"/>
      <c r="G189" s="307"/>
      <c r="H189" s="307"/>
      <c r="I189" s="307"/>
      <c r="J189" s="307"/>
      <c r="K189" s="307"/>
      <c r="L189" s="307"/>
      <c r="M189" s="307"/>
    </row>
    <row r="190" ht="14.25" customHeight="1">
      <c r="A190" s="305"/>
      <c r="B190" s="305"/>
      <c r="C190" s="306"/>
      <c r="D190" s="306"/>
      <c r="E190" s="305"/>
      <c r="F190" s="305"/>
      <c r="G190" s="307"/>
      <c r="H190" s="307"/>
      <c r="I190" s="307"/>
      <c r="J190" s="307"/>
      <c r="K190" s="307"/>
      <c r="L190" s="307"/>
      <c r="M190" s="307"/>
    </row>
    <row r="191" ht="14.25" customHeight="1">
      <c r="A191" s="305"/>
      <c r="B191" s="305"/>
      <c r="C191" s="306"/>
      <c r="D191" s="306"/>
      <c r="E191" s="305"/>
      <c r="F191" s="305"/>
      <c r="G191" s="307"/>
      <c r="H191" s="307"/>
      <c r="I191" s="307"/>
      <c r="J191" s="307"/>
      <c r="K191" s="307"/>
      <c r="L191" s="307"/>
      <c r="M191" s="307"/>
    </row>
    <row r="192" ht="14.25" customHeight="1">
      <c r="A192" s="305"/>
      <c r="B192" s="305"/>
      <c r="C192" s="306"/>
      <c r="D192" s="306"/>
      <c r="E192" s="305"/>
      <c r="F192" s="305"/>
      <c r="G192" s="307"/>
      <c r="H192" s="307"/>
      <c r="I192" s="307"/>
      <c r="J192" s="307"/>
      <c r="K192" s="307"/>
      <c r="L192" s="307"/>
      <c r="M192" s="307"/>
    </row>
    <row r="193" ht="14.25" customHeight="1">
      <c r="A193" s="305"/>
      <c r="B193" s="305"/>
      <c r="C193" s="306"/>
      <c r="D193" s="306"/>
      <c r="E193" s="305"/>
      <c r="F193" s="305"/>
      <c r="G193" s="307"/>
      <c r="H193" s="307"/>
      <c r="I193" s="307"/>
      <c r="J193" s="307"/>
      <c r="K193" s="307"/>
      <c r="L193" s="307"/>
      <c r="M193" s="307"/>
    </row>
    <row r="194" ht="14.25" customHeight="1">
      <c r="A194" s="305"/>
      <c r="B194" s="305"/>
      <c r="C194" s="306"/>
      <c r="D194" s="306"/>
      <c r="E194" s="305"/>
      <c r="F194" s="305"/>
      <c r="G194" s="307"/>
      <c r="H194" s="307"/>
      <c r="I194" s="307"/>
      <c r="J194" s="307"/>
      <c r="K194" s="307"/>
      <c r="L194" s="307"/>
      <c r="M194" s="307"/>
    </row>
    <row r="195" ht="14.25" customHeight="1">
      <c r="A195" s="305"/>
      <c r="B195" s="305"/>
      <c r="C195" s="306"/>
      <c r="D195" s="306"/>
      <c r="E195" s="305"/>
      <c r="F195" s="305"/>
      <c r="G195" s="307"/>
      <c r="H195" s="307"/>
      <c r="I195" s="307"/>
      <c r="J195" s="307"/>
      <c r="K195" s="307"/>
      <c r="L195" s="307"/>
      <c r="M195" s="307"/>
    </row>
    <row r="196" ht="14.25" customHeight="1">
      <c r="A196" s="305"/>
      <c r="B196" s="305"/>
      <c r="C196" s="306"/>
      <c r="D196" s="306"/>
      <c r="E196" s="305"/>
      <c r="F196" s="305"/>
      <c r="G196" s="307"/>
      <c r="H196" s="307"/>
      <c r="I196" s="307"/>
      <c r="J196" s="307"/>
      <c r="K196" s="307"/>
      <c r="L196" s="307"/>
      <c r="M196" s="307"/>
    </row>
    <row r="197" ht="14.25" customHeight="1">
      <c r="A197" s="305"/>
      <c r="B197" s="305"/>
      <c r="C197" s="306"/>
      <c r="D197" s="306"/>
      <c r="E197" s="305"/>
      <c r="F197" s="305"/>
      <c r="G197" s="307"/>
      <c r="H197" s="307"/>
      <c r="I197" s="307"/>
      <c r="J197" s="307"/>
      <c r="K197" s="307"/>
      <c r="L197" s="307"/>
      <c r="M197" s="307"/>
    </row>
    <row r="198" ht="14.25" customHeight="1">
      <c r="A198" s="305"/>
      <c r="B198" s="305"/>
      <c r="C198" s="306"/>
      <c r="D198" s="306"/>
      <c r="E198" s="305"/>
      <c r="F198" s="305"/>
      <c r="G198" s="307"/>
      <c r="H198" s="307"/>
      <c r="I198" s="307"/>
      <c r="J198" s="307"/>
      <c r="K198" s="307"/>
      <c r="L198" s="307"/>
      <c r="M198" s="307"/>
    </row>
    <row r="199" ht="14.25" customHeight="1">
      <c r="A199" s="305"/>
      <c r="B199" s="305"/>
      <c r="C199" s="306"/>
      <c r="D199" s="306"/>
      <c r="E199" s="305"/>
      <c r="F199" s="305"/>
      <c r="G199" s="307"/>
      <c r="H199" s="307"/>
      <c r="I199" s="307"/>
      <c r="J199" s="307"/>
      <c r="K199" s="307"/>
      <c r="L199" s="307"/>
      <c r="M199" s="307"/>
    </row>
    <row r="200" ht="14.25" customHeight="1">
      <c r="A200" s="305"/>
      <c r="B200" s="305"/>
      <c r="C200" s="306"/>
      <c r="D200" s="306"/>
      <c r="E200" s="305"/>
      <c r="F200" s="305"/>
      <c r="G200" s="307"/>
      <c r="H200" s="307"/>
      <c r="I200" s="307"/>
      <c r="J200" s="307"/>
      <c r="K200" s="307"/>
      <c r="L200" s="307"/>
      <c r="M200" s="307"/>
    </row>
    <row r="201" ht="14.25" customHeight="1">
      <c r="A201" s="305"/>
      <c r="B201" s="305"/>
      <c r="C201" s="306"/>
      <c r="D201" s="306"/>
      <c r="E201" s="305"/>
      <c r="F201" s="305"/>
      <c r="G201" s="307"/>
      <c r="H201" s="307"/>
      <c r="I201" s="307"/>
      <c r="J201" s="307"/>
      <c r="K201" s="307"/>
      <c r="L201" s="307"/>
      <c r="M201" s="307"/>
    </row>
    <row r="202" ht="14.25" customHeight="1">
      <c r="A202" s="305"/>
      <c r="B202" s="305"/>
      <c r="C202" s="306"/>
      <c r="D202" s="306"/>
      <c r="E202" s="305"/>
      <c r="F202" s="305"/>
      <c r="G202" s="307"/>
      <c r="H202" s="307"/>
      <c r="I202" s="307"/>
      <c r="J202" s="307"/>
      <c r="K202" s="307"/>
      <c r="L202" s="307"/>
      <c r="M202" s="307"/>
    </row>
    <row r="203" ht="14.25" customHeight="1">
      <c r="A203" s="305"/>
      <c r="B203" s="305"/>
      <c r="C203" s="306"/>
      <c r="D203" s="306"/>
      <c r="E203" s="305"/>
      <c r="F203" s="305"/>
      <c r="G203" s="307"/>
      <c r="H203" s="307"/>
      <c r="I203" s="307"/>
      <c r="J203" s="307"/>
      <c r="K203" s="307"/>
      <c r="L203" s="307"/>
      <c r="M203" s="307"/>
    </row>
    <row r="204" ht="14.25" customHeight="1">
      <c r="A204" s="305"/>
      <c r="B204" s="305"/>
      <c r="C204" s="306"/>
      <c r="D204" s="306"/>
      <c r="E204" s="305"/>
      <c r="F204" s="305"/>
      <c r="G204" s="307"/>
      <c r="H204" s="307"/>
      <c r="I204" s="307"/>
      <c r="J204" s="307"/>
      <c r="K204" s="307"/>
      <c r="L204" s="307"/>
      <c r="M204" s="307"/>
    </row>
    <row r="205" ht="14.25" customHeight="1">
      <c r="A205" s="305"/>
      <c r="B205" s="305"/>
      <c r="C205" s="306"/>
      <c r="D205" s="306"/>
      <c r="E205" s="305"/>
      <c r="F205" s="305"/>
      <c r="G205" s="307"/>
      <c r="H205" s="307"/>
      <c r="I205" s="307"/>
      <c r="J205" s="307"/>
      <c r="K205" s="307"/>
      <c r="L205" s="307"/>
      <c r="M205" s="307"/>
    </row>
    <row r="206" ht="14.25" customHeight="1">
      <c r="A206" s="305"/>
      <c r="B206" s="305"/>
      <c r="C206" s="306"/>
      <c r="D206" s="306"/>
      <c r="E206" s="305"/>
      <c r="F206" s="305"/>
      <c r="G206" s="307"/>
      <c r="H206" s="307"/>
      <c r="I206" s="307"/>
      <c r="J206" s="307"/>
      <c r="K206" s="307"/>
      <c r="L206" s="307"/>
      <c r="M206" s="307"/>
    </row>
    <row r="207" ht="14.25" customHeight="1">
      <c r="A207" s="305"/>
      <c r="B207" s="305"/>
      <c r="C207" s="306"/>
      <c r="D207" s="306"/>
      <c r="E207" s="305"/>
      <c r="F207" s="305"/>
      <c r="G207" s="307"/>
      <c r="H207" s="307"/>
      <c r="I207" s="307"/>
      <c r="J207" s="307"/>
      <c r="K207" s="307"/>
      <c r="L207" s="307"/>
      <c r="M207" s="307"/>
    </row>
    <row r="208" ht="14.25" customHeight="1">
      <c r="A208" s="305"/>
      <c r="B208" s="305"/>
      <c r="C208" s="306"/>
      <c r="D208" s="306"/>
      <c r="E208" s="305"/>
      <c r="F208" s="305"/>
      <c r="G208" s="307"/>
      <c r="H208" s="307"/>
      <c r="I208" s="307"/>
      <c r="J208" s="307"/>
      <c r="K208" s="307"/>
      <c r="L208" s="307"/>
      <c r="M208" s="307"/>
    </row>
    <row r="209" ht="14.25" customHeight="1">
      <c r="A209" s="305"/>
      <c r="B209" s="305"/>
      <c r="C209" s="306"/>
      <c r="D209" s="306"/>
      <c r="E209" s="305"/>
      <c r="F209" s="305"/>
      <c r="G209" s="307"/>
      <c r="H209" s="307"/>
      <c r="I209" s="307"/>
      <c r="J209" s="307"/>
      <c r="K209" s="307"/>
      <c r="L209" s="307"/>
      <c r="M209" s="307"/>
    </row>
    <row r="210" ht="14.25" customHeight="1">
      <c r="A210" s="305"/>
      <c r="B210" s="305"/>
      <c r="C210" s="306"/>
      <c r="D210" s="306"/>
      <c r="E210" s="305"/>
      <c r="F210" s="305"/>
      <c r="G210" s="307"/>
      <c r="H210" s="307"/>
      <c r="I210" s="307"/>
      <c r="J210" s="307"/>
      <c r="K210" s="307"/>
      <c r="L210" s="307"/>
      <c r="M210" s="307"/>
    </row>
    <row r="211" ht="14.25" customHeight="1">
      <c r="A211" s="305"/>
      <c r="B211" s="305"/>
      <c r="C211" s="306"/>
      <c r="D211" s="306"/>
      <c r="E211" s="305"/>
      <c r="F211" s="305"/>
      <c r="G211" s="307"/>
      <c r="H211" s="307"/>
      <c r="I211" s="307"/>
      <c r="J211" s="307"/>
      <c r="K211" s="307"/>
      <c r="L211" s="307"/>
      <c r="M211" s="307"/>
    </row>
    <row r="212" ht="14.25" customHeight="1">
      <c r="A212" s="305"/>
      <c r="B212" s="305"/>
      <c r="C212" s="306"/>
      <c r="D212" s="306"/>
      <c r="E212" s="305"/>
      <c r="F212" s="305"/>
      <c r="G212" s="307"/>
      <c r="H212" s="307"/>
      <c r="I212" s="307"/>
      <c r="J212" s="307"/>
      <c r="K212" s="307"/>
      <c r="L212" s="307"/>
      <c r="M212" s="307"/>
    </row>
    <row r="213" ht="14.25" customHeight="1">
      <c r="A213" s="305"/>
      <c r="B213" s="305"/>
      <c r="C213" s="306"/>
      <c r="D213" s="306"/>
      <c r="E213" s="305"/>
      <c r="F213" s="305"/>
      <c r="G213" s="307"/>
      <c r="H213" s="307"/>
      <c r="I213" s="307"/>
      <c r="J213" s="307"/>
      <c r="K213" s="307"/>
      <c r="L213" s="307"/>
      <c r="M213" s="307"/>
    </row>
    <row r="214" ht="14.25" customHeight="1">
      <c r="A214" s="305"/>
      <c r="B214" s="305"/>
      <c r="C214" s="306"/>
      <c r="D214" s="306"/>
      <c r="E214" s="305"/>
      <c r="F214" s="305"/>
      <c r="G214" s="307"/>
      <c r="H214" s="307"/>
      <c r="I214" s="307"/>
      <c r="J214" s="307"/>
      <c r="K214" s="307"/>
      <c r="L214" s="307"/>
      <c r="M214" s="307"/>
    </row>
    <row r="215" ht="14.25" customHeight="1">
      <c r="A215" s="305"/>
      <c r="B215" s="305"/>
      <c r="C215" s="306"/>
      <c r="D215" s="306"/>
      <c r="E215" s="305"/>
      <c r="F215" s="305"/>
      <c r="G215" s="307"/>
      <c r="H215" s="307"/>
      <c r="I215" s="307"/>
      <c r="J215" s="307"/>
      <c r="K215" s="307"/>
      <c r="L215" s="307"/>
      <c r="M215" s="307"/>
    </row>
    <row r="216" ht="14.25" customHeight="1">
      <c r="A216" s="305"/>
      <c r="B216" s="305"/>
      <c r="C216" s="306"/>
      <c r="D216" s="306"/>
      <c r="E216" s="305"/>
      <c r="F216" s="305"/>
      <c r="G216" s="307"/>
      <c r="H216" s="307"/>
      <c r="I216" s="307"/>
      <c r="J216" s="307"/>
      <c r="K216" s="307"/>
      <c r="L216" s="307"/>
      <c r="M216" s="307"/>
    </row>
    <row r="217" ht="14.25" customHeight="1">
      <c r="A217" s="305"/>
      <c r="B217" s="305"/>
      <c r="C217" s="306"/>
      <c r="D217" s="306"/>
      <c r="E217" s="305"/>
      <c r="F217" s="305"/>
      <c r="G217" s="307"/>
      <c r="H217" s="307"/>
      <c r="I217" s="307"/>
      <c r="J217" s="307"/>
      <c r="K217" s="307"/>
      <c r="L217" s="307"/>
      <c r="M217" s="307"/>
    </row>
    <row r="218" ht="14.25" customHeight="1">
      <c r="A218" s="305"/>
      <c r="B218" s="305"/>
      <c r="C218" s="306"/>
      <c r="D218" s="306"/>
      <c r="E218" s="305"/>
      <c r="F218" s="305"/>
      <c r="G218" s="307"/>
      <c r="H218" s="307"/>
      <c r="I218" s="307"/>
      <c r="J218" s="307"/>
      <c r="K218" s="307"/>
      <c r="L218" s="307"/>
      <c r="M218" s="307"/>
    </row>
    <row r="219" ht="14.25" customHeight="1">
      <c r="A219" s="305"/>
      <c r="B219" s="305"/>
      <c r="C219" s="306"/>
      <c r="D219" s="306"/>
      <c r="E219" s="305"/>
      <c r="F219" s="305"/>
      <c r="G219" s="307"/>
      <c r="H219" s="307"/>
      <c r="I219" s="307"/>
      <c r="J219" s="307"/>
      <c r="K219" s="307"/>
      <c r="L219" s="307"/>
      <c r="M219" s="307"/>
    </row>
    <row r="220" ht="14.25" customHeight="1">
      <c r="A220" s="305"/>
      <c r="B220" s="305"/>
      <c r="C220" s="306"/>
      <c r="D220" s="306"/>
      <c r="E220" s="305"/>
      <c r="F220" s="305"/>
      <c r="G220" s="307"/>
      <c r="H220" s="307"/>
      <c r="I220" s="307"/>
      <c r="J220" s="307"/>
      <c r="K220" s="307"/>
      <c r="L220" s="307"/>
      <c r="M220" s="307"/>
    </row>
    <row r="221" ht="14.25" customHeight="1">
      <c r="A221" s="305"/>
      <c r="B221" s="305"/>
      <c r="C221" s="306"/>
      <c r="D221" s="306"/>
      <c r="E221" s="305"/>
      <c r="F221" s="305"/>
      <c r="G221" s="307"/>
      <c r="H221" s="307"/>
      <c r="I221" s="307"/>
      <c r="J221" s="307"/>
      <c r="K221" s="307"/>
      <c r="L221" s="307"/>
      <c r="M221" s="307"/>
    </row>
    <row r="222" ht="14.25" customHeight="1">
      <c r="A222" s="305"/>
      <c r="B222" s="305"/>
      <c r="C222" s="306"/>
      <c r="D222" s="306"/>
      <c r="E222" s="305"/>
      <c r="F222" s="305"/>
      <c r="G222" s="307"/>
      <c r="H222" s="307"/>
      <c r="I222" s="307"/>
      <c r="J222" s="307"/>
      <c r="K222" s="307"/>
      <c r="L222" s="307"/>
      <c r="M222" s="307"/>
    </row>
    <row r="223" ht="14.25" customHeight="1">
      <c r="A223" s="305"/>
      <c r="B223" s="305"/>
      <c r="C223" s="306"/>
      <c r="D223" s="306"/>
      <c r="E223" s="305"/>
      <c r="F223" s="305"/>
      <c r="G223" s="307"/>
      <c r="H223" s="307"/>
      <c r="I223" s="307"/>
      <c r="J223" s="307"/>
      <c r="K223" s="307"/>
      <c r="L223" s="307"/>
      <c r="M223" s="307"/>
    </row>
    <row r="224" ht="14.25" customHeight="1">
      <c r="A224" s="305"/>
      <c r="B224" s="305"/>
      <c r="C224" s="306"/>
      <c r="D224" s="306"/>
      <c r="E224" s="305"/>
      <c r="F224" s="305"/>
      <c r="G224" s="307"/>
      <c r="H224" s="307"/>
      <c r="I224" s="307"/>
      <c r="J224" s="307"/>
      <c r="K224" s="307"/>
      <c r="L224" s="307"/>
      <c r="M224" s="307"/>
    </row>
    <row r="225" ht="14.25" customHeight="1">
      <c r="A225" s="305"/>
      <c r="B225" s="305"/>
      <c r="C225" s="306"/>
      <c r="D225" s="306"/>
      <c r="E225" s="305"/>
      <c r="F225" s="305"/>
      <c r="G225" s="307"/>
      <c r="H225" s="307"/>
      <c r="I225" s="307"/>
      <c r="J225" s="307"/>
      <c r="K225" s="307"/>
      <c r="L225" s="307"/>
      <c r="M225" s="307"/>
    </row>
    <row r="226" ht="14.25" customHeight="1">
      <c r="A226" s="305"/>
      <c r="B226" s="305"/>
      <c r="C226" s="306"/>
      <c r="D226" s="306"/>
      <c r="E226" s="305"/>
      <c r="F226" s="305"/>
      <c r="G226" s="307"/>
      <c r="H226" s="307"/>
      <c r="I226" s="307"/>
      <c r="J226" s="307"/>
      <c r="K226" s="307"/>
      <c r="L226" s="307"/>
      <c r="M226" s="307"/>
    </row>
    <row r="227" ht="14.25" customHeight="1">
      <c r="A227" s="305"/>
      <c r="B227" s="305"/>
      <c r="C227" s="306"/>
      <c r="D227" s="306"/>
      <c r="E227" s="305"/>
      <c r="F227" s="305"/>
      <c r="G227" s="307"/>
      <c r="H227" s="307"/>
      <c r="I227" s="307"/>
      <c r="J227" s="307"/>
      <c r="K227" s="307"/>
      <c r="L227" s="307"/>
      <c r="M227" s="307"/>
    </row>
    <row r="228" ht="14.25" customHeight="1">
      <c r="A228" s="305"/>
      <c r="B228" s="305"/>
      <c r="C228" s="306"/>
      <c r="D228" s="306"/>
      <c r="E228" s="305"/>
      <c r="F228" s="305"/>
      <c r="G228" s="307"/>
      <c r="H228" s="307"/>
      <c r="I228" s="307"/>
      <c r="J228" s="307"/>
      <c r="K228" s="307"/>
      <c r="L228" s="307"/>
      <c r="M228" s="307"/>
    </row>
    <row r="229" ht="14.25" customHeight="1">
      <c r="A229" s="305"/>
      <c r="B229" s="305"/>
      <c r="C229" s="306"/>
      <c r="D229" s="306"/>
      <c r="E229" s="305"/>
      <c r="F229" s="305"/>
      <c r="G229" s="307"/>
      <c r="H229" s="307"/>
      <c r="I229" s="307"/>
      <c r="J229" s="307"/>
      <c r="K229" s="307"/>
      <c r="L229" s="307"/>
      <c r="M229" s="307"/>
    </row>
    <row r="230" ht="14.25" customHeight="1">
      <c r="A230" s="305"/>
      <c r="B230" s="305"/>
      <c r="C230" s="306"/>
      <c r="D230" s="306"/>
      <c r="E230" s="305"/>
      <c r="F230" s="305"/>
      <c r="G230" s="307"/>
      <c r="H230" s="307"/>
      <c r="I230" s="307"/>
      <c r="J230" s="307"/>
      <c r="K230" s="307"/>
      <c r="L230" s="307"/>
      <c r="M230" s="307"/>
    </row>
    <row r="231" ht="14.25" customHeight="1">
      <c r="A231" s="305"/>
      <c r="B231" s="305"/>
      <c r="C231" s="306"/>
      <c r="D231" s="306"/>
      <c r="E231" s="305"/>
      <c r="F231" s="305"/>
      <c r="G231" s="307"/>
      <c r="H231" s="307"/>
      <c r="I231" s="307"/>
      <c r="J231" s="307"/>
      <c r="K231" s="307"/>
      <c r="L231" s="307"/>
      <c r="M231" s="307"/>
    </row>
    <row r="232" ht="14.25" customHeight="1">
      <c r="A232" s="305"/>
      <c r="B232" s="305"/>
      <c r="C232" s="306"/>
      <c r="D232" s="306"/>
      <c r="E232" s="305"/>
      <c r="F232" s="305"/>
      <c r="G232" s="307"/>
      <c r="H232" s="307"/>
      <c r="I232" s="307"/>
      <c r="J232" s="307"/>
      <c r="K232" s="307"/>
      <c r="L232" s="307"/>
      <c r="M232" s="307"/>
    </row>
    <row r="233" ht="14.25" customHeight="1">
      <c r="A233" s="305"/>
      <c r="B233" s="305"/>
      <c r="C233" s="306"/>
      <c r="D233" s="306"/>
      <c r="E233" s="305"/>
      <c r="F233" s="305"/>
      <c r="G233" s="307"/>
      <c r="H233" s="307"/>
      <c r="I233" s="307"/>
      <c r="J233" s="307"/>
      <c r="K233" s="307"/>
      <c r="L233" s="307"/>
      <c r="M233" s="307"/>
    </row>
    <row r="234" ht="14.25" customHeight="1">
      <c r="A234" s="305"/>
      <c r="B234" s="305"/>
      <c r="C234" s="306"/>
      <c r="D234" s="306"/>
      <c r="E234" s="305"/>
      <c r="F234" s="305"/>
      <c r="G234" s="307"/>
      <c r="H234" s="307"/>
      <c r="I234" s="307"/>
      <c r="J234" s="307"/>
      <c r="K234" s="307"/>
      <c r="L234" s="307"/>
      <c r="M234" s="307"/>
    </row>
    <row r="235" ht="14.25" customHeight="1">
      <c r="A235" s="305"/>
      <c r="B235" s="305"/>
      <c r="C235" s="306"/>
      <c r="D235" s="306"/>
      <c r="E235" s="305"/>
      <c r="F235" s="305"/>
      <c r="G235" s="307"/>
      <c r="H235" s="307"/>
      <c r="I235" s="307"/>
      <c r="J235" s="307"/>
      <c r="K235" s="307"/>
      <c r="L235" s="307"/>
      <c r="M235" s="307"/>
    </row>
    <row r="236" ht="14.25" customHeight="1">
      <c r="A236" s="305"/>
      <c r="B236" s="305"/>
      <c r="C236" s="306"/>
      <c r="D236" s="306"/>
      <c r="E236" s="305"/>
      <c r="F236" s="305"/>
      <c r="G236" s="307"/>
      <c r="H236" s="307"/>
      <c r="I236" s="307"/>
      <c r="J236" s="307"/>
      <c r="K236" s="307"/>
      <c r="L236" s="307"/>
      <c r="M236" s="307"/>
    </row>
    <row r="237" ht="14.25" customHeight="1">
      <c r="A237" s="305"/>
      <c r="B237" s="305"/>
      <c r="C237" s="306"/>
      <c r="D237" s="306"/>
      <c r="E237" s="305"/>
      <c r="F237" s="305"/>
      <c r="G237" s="307"/>
      <c r="H237" s="307"/>
      <c r="I237" s="307"/>
      <c r="J237" s="307"/>
      <c r="K237" s="307"/>
      <c r="L237" s="307"/>
      <c r="M237" s="307"/>
    </row>
    <row r="238" ht="14.25" customHeight="1">
      <c r="A238" s="305"/>
      <c r="B238" s="305"/>
      <c r="C238" s="306"/>
      <c r="D238" s="306"/>
      <c r="E238" s="305"/>
      <c r="F238" s="305"/>
      <c r="G238" s="307"/>
      <c r="H238" s="307"/>
      <c r="I238" s="307"/>
      <c r="J238" s="307"/>
      <c r="K238" s="307"/>
      <c r="L238" s="307"/>
      <c r="M238" s="307"/>
    </row>
    <row r="239" ht="14.25" customHeight="1">
      <c r="A239" s="305"/>
      <c r="B239" s="305"/>
      <c r="C239" s="306"/>
      <c r="D239" s="306"/>
      <c r="E239" s="305"/>
      <c r="F239" s="305"/>
      <c r="G239" s="307"/>
      <c r="H239" s="307"/>
      <c r="I239" s="307"/>
      <c r="J239" s="307"/>
      <c r="K239" s="307"/>
      <c r="L239" s="307"/>
      <c r="M239" s="307"/>
    </row>
    <row r="240" ht="14.25" customHeight="1">
      <c r="A240" s="305"/>
      <c r="B240" s="305"/>
      <c r="C240" s="306"/>
      <c r="D240" s="306"/>
      <c r="E240" s="305"/>
      <c r="F240" s="305"/>
      <c r="G240" s="307"/>
      <c r="H240" s="307"/>
      <c r="I240" s="307"/>
      <c r="J240" s="307"/>
      <c r="K240" s="307"/>
      <c r="L240" s="307"/>
      <c r="M240" s="307"/>
    </row>
    <row r="241" ht="14.25" customHeight="1">
      <c r="A241" s="305"/>
      <c r="B241" s="305"/>
      <c r="C241" s="306"/>
      <c r="D241" s="306"/>
      <c r="E241" s="305"/>
      <c r="F241" s="305"/>
      <c r="G241" s="307"/>
      <c r="H241" s="307"/>
      <c r="I241" s="307"/>
      <c r="J241" s="307"/>
      <c r="K241" s="307"/>
      <c r="L241" s="307"/>
      <c r="M241" s="307"/>
    </row>
    <row r="242" ht="14.25" customHeight="1">
      <c r="A242" s="305"/>
      <c r="B242" s="305"/>
      <c r="C242" s="306"/>
      <c r="D242" s="306"/>
      <c r="E242" s="305"/>
      <c r="F242" s="305"/>
      <c r="G242" s="307"/>
      <c r="H242" s="307"/>
      <c r="I242" s="307"/>
      <c r="J242" s="307"/>
      <c r="K242" s="307"/>
      <c r="L242" s="307"/>
      <c r="M242" s="307"/>
    </row>
    <row r="243" ht="14.25" customHeight="1">
      <c r="A243" s="305"/>
      <c r="B243" s="305"/>
      <c r="C243" s="306"/>
      <c r="D243" s="306"/>
      <c r="E243" s="305"/>
      <c r="F243" s="305"/>
      <c r="G243" s="307"/>
      <c r="H243" s="307"/>
      <c r="I243" s="307"/>
      <c r="J243" s="307"/>
      <c r="K243" s="307"/>
      <c r="L243" s="307"/>
      <c r="M243" s="307"/>
    </row>
    <row r="244" ht="14.25" customHeight="1">
      <c r="A244" s="305"/>
      <c r="B244" s="305"/>
      <c r="C244" s="306"/>
      <c r="D244" s="306"/>
      <c r="E244" s="305"/>
      <c r="F244" s="305"/>
      <c r="G244" s="307"/>
      <c r="H244" s="307"/>
      <c r="I244" s="307"/>
      <c r="J244" s="307"/>
      <c r="K244" s="307"/>
      <c r="L244" s="307"/>
      <c r="M244" s="307"/>
    </row>
    <row r="245" ht="14.25" customHeight="1">
      <c r="A245" s="305"/>
      <c r="B245" s="305"/>
      <c r="C245" s="306"/>
      <c r="D245" s="306"/>
      <c r="E245" s="305"/>
      <c r="F245" s="305"/>
      <c r="G245" s="307"/>
      <c r="H245" s="307"/>
      <c r="I245" s="307"/>
      <c r="J245" s="307"/>
      <c r="K245" s="307"/>
      <c r="L245" s="307"/>
      <c r="M245" s="307"/>
    </row>
    <row r="246" ht="14.25" customHeight="1">
      <c r="A246" s="305"/>
      <c r="B246" s="305"/>
      <c r="C246" s="306"/>
      <c r="D246" s="306"/>
      <c r="E246" s="305"/>
      <c r="F246" s="305"/>
      <c r="G246" s="307"/>
      <c r="H246" s="307"/>
      <c r="I246" s="307"/>
      <c r="J246" s="307"/>
      <c r="K246" s="307"/>
      <c r="L246" s="307"/>
      <c r="M246" s="307"/>
    </row>
    <row r="247" ht="14.25" customHeight="1">
      <c r="A247" s="305"/>
      <c r="B247" s="305"/>
      <c r="C247" s="306"/>
      <c r="D247" s="306"/>
      <c r="E247" s="305"/>
      <c r="F247" s="305"/>
      <c r="G247" s="307"/>
      <c r="H247" s="307"/>
      <c r="I247" s="307"/>
      <c r="J247" s="307"/>
      <c r="K247" s="307"/>
      <c r="L247" s="307"/>
      <c r="M247" s="307"/>
    </row>
    <row r="248" ht="14.25" customHeight="1">
      <c r="A248" s="305"/>
      <c r="B248" s="305"/>
      <c r="C248" s="306"/>
      <c r="D248" s="306"/>
      <c r="E248" s="305"/>
      <c r="F248" s="305"/>
      <c r="G248" s="307"/>
      <c r="H248" s="307"/>
      <c r="I248" s="307"/>
      <c r="J248" s="307"/>
      <c r="K248" s="307"/>
      <c r="L248" s="307"/>
      <c r="M248" s="307"/>
    </row>
    <row r="249" ht="14.25" customHeight="1">
      <c r="A249" s="305"/>
      <c r="B249" s="305"/>
      <c r="C249" s="306"/>
      <c r="D249" s="306"/>
      <c r="E249" s="305"/>
      <c r="F249" s="305"/>
      <c r="G249" s="307"/>
      <c r="H249" s="307"/>
      <c r="I249" s="307"/>
      <c r="J249" s="307"/>
      <c r="K249" s="307"/>
      <c r="L249" s="307"/>
      <c r="M249" s="307"/>
    </row>
    <row r="250" ht="14.25" customHeight="1">
      <c r="A250" s="305"/>
      <c r="B250" s="305"/>
      <c r="C250" s="306"/>
      <c r="D250" s="306"/>
      <c r="E250" s="305"/>
      <c r="F250" s="305"/>
      <c r="G250" s="307"/>
      <c r="H250" s="307"/>
      <c r="I250" s="307"/>
      <c r="J250" s="307"/>
      <c r="K250" s="307"/>
      <c r="L250" s="307"/>
      <c r="M250" s="307"/>
    </row>
    <row r="251" ht="14.25" customHeight="1">
      <c r="A251" s="305"/>
      <c r="B251" s="305"/>
      <c r="C251" s="306"/>
      <c r="D251" s="306"/>
      <c r="E251" s="305"/>
      <c r="F251" s="305"/>
      <c r="G251" s="307"/>
      <c r="H251" s="307"/>
      <c r="I251" s="307"/>
      <c r="J251" s="307"/>
      <c r="K251" s="307"/>
      <c r="L251" s="307"/>
      <c r="M251" s="307"/>
    </row>
    <row r="252" ht="14.25" customHeight="1">
      <c r="A252" s="305"/>
      <c r="B252" s="305"/>
      <c r="C252" s="306"/>
      <c r="D252" s="306"/>
      <c r="E252" s="305"/>
      <c r="F252" s="305"/>
      <c r="G252" s="307"/>
      <c r="H252" s="307"/>
      <c r="I252" s="307"/>
      <c r="J252" s="307"/>
      <c r="K252" s="307"/>
      <c r="L252" s="307"/>
      <c r="M252" s="307"/>
    </row>
    <row r="253" ht="14.25" customHeight="1">
      <c r="A253" s="305"/>
      <c r="B253" s="305"/>
      <c r="C253" s="306"/>
      <c r="D253" s="306"/>
      <c r="E253" s="305"/>
      <c r="F253" s="305"/>
      <c r="G253" s="307"/>
      <c r="H253" s="307"/>
      <c r="I253" s="307"/>
      <c r="J253" s="307"/>
      <c r="K253" s="307"/>
      <c r="L253" s="307"/>
      <c r="M253" s="307"/>
    </row>
    <row r="254" ht="14.25" customHeight="1">
      <c r="A254" s="305"/>
      <c r="B254" s="305"/>
      <c r="C254" s="306"/>
      <c r="D254" s="306"/>
      <c r="E254" s="305"/>
      <c r="F254" s="305"/>
      <c r="G254" s="307"/>
      <c r="H254" s="307"/>
      <c r="I254" s="307"/>
      <c r="J254" s="307"/>
      <c r="K254" s="307"/>
      <c r="L254" s="307"/>
      <c r="M254" s="307"/>
    </row>
    <row r="255" ht="14.25" customHeight="1">
      <c r="A255" s="305"/>
      <c r="B255" s="305"/>
      <c r="C255" s="306"/>
      <c r="D255" s="306"/>
      <c r="E255" s="305"/>
      <c r="F255" s="305"/>
      <c r="G255" s="307"/>
      <c r="H255" s="307"/>
      <c r="I255" s="307"/>
      <c r="J255" s="307"/>
      <c r="K255" s="307"/>
      <c r="L255" s="307"/>
      <c r="M255" s="307"/>
    </row>
    <row r="256" ht="14.25" customHeight="1">
      <c r="A256" s="305"/>
      <c r="B256" s="305"/>
      <c r="C256" s="306"/>
      <c r="D256" s="306"/>
      <c r="E256" s="305"/>
      <c r="F256" s="305"/>
      <c r="G256" s="307"/>
      <c r="H256" s="307"/>
      <c r="I256" s="307"/>
      <c r="J256" s="307"/>
      <c r="K256" s="307"/>
      <c r="L256" s="307"/>
      <c r="M256" s="307"/>
    </row>
    <row r="257" ht="14.25" customHeight="1">
      <c r="A257" s="305"/>
      <c r="B257" s="305"/>
      <c r="C257" s="306"/>
      <c r="D257" s="306"/>
      <c r="E257" s="305"/>
      <c r="F257" s="305"/>
      <c r="G257" s="307"/>
      <c r="H257" s="307"/>
      <c r="I257" s="307"/>
      <c r="J257" s="307"/>
      <c r="K257" s="307"/>
      <c r="L257" s="307"/>
      <c r="M257" s="307"/>
    </row>
    <row r="258" ht="14.25" customHeight="1">
      <c r="A258" s="305"/>
      <c r="B258" s="305"/>
      <c r="C258" s="306"/>
      <c r="D258" s="306"/>
      <c r="E258" s="305"/>
      <c r="F258" s="305"/>
      <c r="G258" s="307"/>
      <c r="H258" s="307"/>
      <c r="I258" s="307"/>
      <c r="J258" s="307"/>
      <c r="K258" s="307"/>
      <c r="L258" s="307"/>
      <c r="M258" s="307"/>
    </row>
    <row r="259" ht="14.25" customHeight="1">
      <c r="A259" s="305"/>
      <c r="B259" s="305"/>
      <c r="C259" s="306"/>
      <c r="D259" s="306"/>
      <c r="E259" s="305"/>
      <c r="F259" s="305"/>
      <c r="G259" s="307"/>
      <c r="H259" s="307"/>
      <c r="I259" s="307"/>
      <c r="J259" s="307"/>
      <c r="K259" s="307"/>
      <c r="L259" s="307"/>
      <c r="M259" s="307"/>
    </row>
    <row r="260" ht="14.25" customHeight="1">
      <c r="A260" s="305"/>
      <c r="B260" s="305"/>
      <c r="C260" s="306"/>
      <c r="D260" s="306"/>
      <c r="E260" s="305"/>
      <c r="F260" s="305"/>
      <c r="G260" s="307"/>
      <c r="H260" s="307"/>
      <c r="I260" s="307"/>
      <c r="J260" s="307"/>
      <c r="K260" s="307"/>
      <c r="L260" s="307"/>
      <c r="M260" s="307"/>
    </row>
    <row r="261" ht="14.25" customHeight="1">
      <c r="A261" s="305"/>
      <c r="B261" s="305"/>
      <c r="C261" s="306"/>
      <c r="D261" s="306"/>
      <c r="E261" s="305"/>
      <c r="F261" s="305"/>
      <c r="G261" s="307"/>
      <c r="H261" s="307"/>
      <c r="I261" s="307"/>
      <c r="J261" s="307"/>
      <c r="K261" s="307"/>
      <c r="L261" s="307"/>
      <c r="M261" s="307"/>
    </row>
    <row r="262" ht="14.25" customHeight="1">
      <c r="A262" s="305"/>
      <c r="B262" s="305"/>
      <c r="C262" s="306"/>
      <c r="D262" s="306"/>
      <c r="E262" s="305"/>
      <c r="F262" s="305"/>
      <c r="G262" s="307"/>
      <c r="H262" s="307"/>
      <c r="I262" s="307"/>
      <c r="J262" s="307"/>
      <c r="K262" s="307"/>
      <c r="L262" s="307"/>
      <c r="M262" s="307"/>
    </row>
    <row r="263" ht="14.25" customHeight="1">
      <c r="A263" s="305"/>
      <c r="B263" s="305"/>
      <c r="C263" s="306"/>
      <c r="D263" s="306"/>
      <c r="E263" s="305"/>
      <c r="F263" s="305"/>
      <c r="G263" s="307"/>
      <c r="H263" s="307"/>
      <c r="I263" s="307"/>
      <c r="J263" s="307"/>
      <c r="K263" s="307"/>
      <c r="L263" s="307"/>
      <c r="M263" s="307"/>
    </row>
    <row r="264" ht="14.25" customHeight="1">
      <c r="A264" s="305"/>
      <c r="B264" s="305"/>
      <c r="C264" s="306"/>
      <c r="D264" s="306"/>
      <c r="E264" s="305"/>
      <c r="F264" s="305"/>
      <c r="G264" s="307"/>
      <c r="H264" s="307"/>
      <c r="I264" s="307"/>
      <c r="J264" s="307"/>
      <c r="K264" s="307"/>
      <c r="L264" s="307"/>
      <c r="M264" s="307"/>
    </row>
    <row r="265" ht="14.25" customHeight="1">
      <c r="A265" s="305"/>
      <c r="B265" s="305"/>
      <c r="C265" s="306"/>
      <c r="D265" s="306"/>
      <c r="E265" s="305"/>
      <c r="F265" s="305"/>
      <c r="G265" s="307"/>
      <c r="H265" s="307"/>
      <c r="I265" s="307"/>
      <c r="J265" s="307"/>
      <c r="K265" s="307"/>
      <c r="L265" s="307"/>
      <c r="M265" s="307"/>
    </row>
    <row r="266" ht="14.25" customHeight="1">
      <c r="A266" s="305"/>
      <c r="B266" s="305"/>
      <c r="C266" s="306"/>
      <c r="D266" s="306"/>
      <c r="E266" s="305"/>
      <c r="F266" s="305"/>
      <c r="G266" s="307"/>
      <c r="H266" s="307"/>
      <c r="I266" s="307"/>
      <c r="J266" s="307"/>
      <c r="K266" s="307"/>
      <c r="L266" s="307"/>
      <c r="M266" s="307"/>
    </row>
    <row r="267" ht="14.25" customHeight="1">
      <c r="A267" s="305"/>
      <c r="B267" s="305"/>
      <c r="C267" s="306"/>
      <c r="D267" s="306"/>
      <c r="E267" s="305"/>
      <c r="F267" s="305"/>
      <c r="G267" s="307"/>
      <c r="H267" s="307"/>
      <c r="I267" s="307"/>
      <c r="J267" s="307"/>
      <c r="K267" s="307"/>
      <c r="L267" s="307"/>
      <c r="M267" s="307"/>
    </row>
    <row r="268" ht="14.25" customHeight="1">
      <c r="A268" s="305"/>
      <c r="B268" s="305"/>
      <c r="C268" s="306"/>
      <c r="D268" s="306"/>
      <c r="E268" s="305"/>
      <c r="F268" s="305"/>
    </row>
    <row r="269" ht="14.25" customHeight="1">
      <c r="A269" s="305"/>
      <c r="B269" s="305"/>
      <c r="C269" s="306"/>
      <c r="D269" s="306"/>
      <c r="E269" s="305"/>
      <c r="F269" s="305"/>
    </row>
    <row r="270" ht="14.25" customHeight="1">
      <c r="A270" s="305"/>
      <c r="B270" s="305"/>
      <c r="C270" s="306"/>
      <c r="D270" s="306"/>
      <c r="E270" s="305"/>
      <c r="F270" s="305"/>
    </row>
    <row r="271" ht="14.25" customHeight="1">
      <c r="A271" s="305"/>
      <c r="B271" s="305"/>
      <c r="C271" s="306"/>
      <c r="D271" s="306"/>
      <c r="E271" s="305"/>
      <c r="F271" s="305"/>
    </row>
    <row r="272" ht="14.25" customHeight="1">
      <c r="A272" s="305"/>
      <c r="B272" s="305"/>
      <c r="C272" s="306"/>
      <c r="D272" s="306"/>
      <c r="E272" s="305"/>
      <c r="F272" s="305"/>
    </row>
    <row r="273" ht="14.25" customHeight="1">
      <c r="A273" s="305"/>
      <c r="B273" s="305"/>
      <c r="C273" s="306"/>
      <c r="D273" s="306"/>
      <c r="E273" s="305"/>
      <c r="F273" s="305"/>
    </row>
    <row r="274" ht="14.25" customHeight="1">
      <c r="A274" s="305"/>
      <c r="B274" s="305"/>
      <c r="C274" s="306"/>
      <c r="D274" s="306"/>
      <c r="E274" s="305"/>
      <c r="F274" s="305"/>
    </row>
    <row r="275" ht="14.25" customHeight="1">
      <c r="A275" s="305"/>
      <c r="B275" s="305"/>
      <c r="C275" s="306"/>
      <c r="D275" s="306"/>
      <c r="E275" s="305"/>
      <c r="F275" s="305"/>
    </row>
    <row r="276" ht="14.25" customHeight="1">
      <c r="A276" s="305"/>
      <c r="B276" s="305"/>
      <c r="C276" s="306"/>
      <c r="D276" s="306"/>
      <c r="E276" s="305"/>
      <c r="F276" s="305"/>
    </row>
    <row r="277" ht="14.25" customHeight="1">
      <c r="A277" s="305"/>
      <c r="B277" s="305"/>
      <c r="C277" s="306"/>
      <c r="D277" s="306"/>
      <c r="E277" s="305"/>
      <c r="F277" s="305"/>
    </row>
    <row r="278" ht="14.25" customHeight="1">
      <c r="A278" s="305"/>
      <c r="B278" s="305"/>
      <c r="C278" s="306"/>
      <c r="D278" s="306"/>
      <c r="E278" s="305"/>
      <c r="F278" s="305"/>
    </row>
    <row r="279" ht="14.25" customHeight="1">
      <c r="A279" s="305"/>
      <c r="B279" s="305"/>
      <c r="C279" s="306"/>
      <c r="D279" s="306"/>
      <c r="E279" s="305"/>
      <c r="F279" s="305"/>
    </row>
    <row r="280" ht="14.25" customHeight="1">
      <c r="A280" s="305"/>
      <c r="B280" s="305"/>
      <c r="C280" s="306"/>
      <c r="D280" s="306"/>
      <c r="E280" s="305"/>
      <c r="F280" s="305"/>
    </row>
    <row r="281" ht="14.25" customHeight="1">
      <c r="A281" s="305"/>
      <c r="B281" s="305"/>
      <c r="C281" s="306"/>
      <c r="D281" s="306"/>
      <c r="E281" s="305"/>
      <c r="F281" s="305"/>
    </row>
    <row r="282" ht="14.25" customHeight="1">
      <c r="A282" s="305"/>
      <c r="B282" s="305"/>
      <c r="C282" s="306"/>
      <c r="D282" s="306"/>
      <c r="E282" s="305"/>
      <c r="F282" s="305"/>
    </row>
    <row r="283" ht="14.25" customHeight="1">
      <c r="A283" s="305"/>
      <c r="B283" s="305"/>
      <c r="C283" s="306"/>
      <c r="D283" s="306"/>
      <c r="E283" s="305"/>
      <c r="F283" s="305"/>
    </row>
    <row r="284" ht="14.25" customHeight="1">
      <c r="A284" s="305"/>
      <c r="B284" s="305"/>
      <c r="C284" s="306"/>
      <c r="D284" s="306"/>
      <c r="E284" s="305"/>
      <c r="F284" s="305"/>
    </row>
    <row r="285" ht="14.25" customHeight="1">
      <c r="A285" s="305"/>
      <c r="B285" s="305"/>
      <c r="C285" s="306"/>
      <c r="D285" s="306"/>
      <c r="E285" s="305"/>
      <c r="F285" s="305"/>
    </row>
    <row r="286" ht="14.25" customHeight="1">
      <c r="A286" s="305"/>
      <c r="B286" s="305"/>
      <c r="C286" s="306"/>
      <c r="D286" s="306"/>
      <c r="E286" s="305"/>
      <c r="F286" s="305"/>
    </row>
    <row r="287" ht="14.25" customHeight="1">
      <c r="A287" s="305"/>
      <c r="B287" s="305"/>
      <c r="C287" s="306"/>
      <c r="D287" s="306"/>
      <c r="E287" s="305"/>
      <c r="F287" s="305"/>
    </row>
    <row r="288" ht="14.25" customHeight="1">
      <c r="A288" s="305"/>
      <c r="B288" s="305"/>
      <c r="C288" s="306"/>
      <c r="D288" s="306"/>
      <c r="E288" s="305"/>
      <c r="F288" s="305"/>
    </row>
    <row r="289" ht="14.25" customHeight="1">
      <c r="A289" s="305"/>
      <c r="B289" s="305"/>
      <c r="C289" s="306"/>
      <c r="D289" s="306"/>
      <c r="E289" s="305"/>
      <c r="F289" s="305"/>
    </row>
    <row r="290" ht="14.25" customHeight="1">
      <c r="A290" s="305"/>
      <c r="B290" s="305"/>
      <c r="C290" s="306"/>
      <c r="D290" s="306"/>
      <c r="E290" s="305"/>
      <c r="F290" s="305"/>
    </row>
    <row r="291" ht="14.25" customHeight="1">
      <c r="A291" s="305"/>
      <c r="B291" s="305"/>
      <c r="C291" s="306"/>
      <c r="D291" s="306"/>
      <c r="E291" s="305"/>
      <c r="F291" s="305"/>
    </row>
    <row r="292" ht="14.25" customHeight="1">
      <c r="A292" s="305"/>
      <c r="B292" s="305"/>
      <c r="C292" s="306"/>
      <c r="D292" s="306"/>
      <c r="E292" s="305"/>
      <c r="F292" s="305"/>
    </row>
    <row r="293" ht="14.25" customHeight="1">
      <c r="A293" s="305"/>
      <c r="B293" s="305"/>
      <c r="C293" s="306"/>
      <c r="D293" s="306"/>
      <c r="E293" s="305"/>
      <c r="F293" s="305"/>
    </row>
    <row r="294" ht="14.25" customHeight="1">
      <c r="A294" s="305"/>
      <c r="B294" s="305"/>
      <c r="C294" s="306"/>
      <c r="D294" s="306"/>
      <c r="E294" s="305"/>
      <c r="F294" s="305"/>
    </row>
    <row r="295" ht="14.25" customHeight="1">
      <c r="A295" s="305"/>
      <c r="B295" s="305"/>
      <c r="C295" s="306"/>
      <c r="D295" s="306"/>
      <c r="E295" s="305"/>
      <c r="F295" s="305"/>
    </row>
    <row r="296" ht="14.25" customHeight="1">
      <c r="A296" s="305"/>
      <c r="B296" s="305"/>
      <c r="C296" s="306"/>
      <c r="D296" s="306"/>
      <c r="E296" s="305"/>
      <c r="F296" s="305"/>
    </row>
    <row r="297" ht="14.25" customHeight="1">
      <c r="A297" s="305"/>
      <c r="B297" s="305"/>
      <c r="C297" s="306"/>
      <c r="D297" s="306"/>
      <c r="E297" s="305"/>
      <c r="F297" s="305"/>
    </row>
    <row r="298" ht="14.25" customHeight="1">
      <c r="A298" s="305"/>
      <c r="B298" s="305"/>
      <c r="C298" s="306"/>
      <c r="D298" s="306"/>
      <c r="E298" s="305"/>
      <c r="F298" s="305"/>
    </row>
    <row r="299" ht="14.25" customHeight="1">
      <c r="A299" s="305"/>
      <c r="B299" s="305"/>
      <c r="C299" s="306"/>
      <c r="D299" s="306"/>
      <c r="E299" s="305"/>
      <c r="F299" s="305"/>
    </row>
    <row r="300" ht="14.25" customHeight="1">
      <c r="A300" s="305"/>
      <c r="B300" s="305"/>
      <c r="C300" s="306"/>
      <c r="D300" s="306"/>
      <c r="E300" s="305"/>
      <c r="F300" s="305"/>
    </row>
    <row r="301" ht="14.25" customHeight="1">
      <c r="A301" s="305"/>
      <c r="B301" s="305"/>
      <c r="C301" s="306"/>
      <c r="D301" s="306"/>
      <c r="E301" s="305"/>
      <c r="F301" s="305"/>
    </row>
    <row r="302" ht="14.25" customHeight="1">
      <c r="A302" s="305"/>
      <c r="B302" s="305"/>
      <c r="C302" s="306"/>
      <c r="D302" s="306"/>
      <c r="E302" s="305"/>
      <c r="F302" s="305"/>
    </row>
    <row r="303" ht="14.25" customHeight="1">
      <c r="A303" s="305"/>
      <c r="B303" s="305"/>
      <c r="C303" s="306"/>
      <c r="D303" s="306"/>
      <c r="E303" s="305"/>
      <c r="F303" s="305"/>
    </row>
    <row r="304" ht="14.25" customHeight="1">
      <c r="A304" s="305"/>
      <c r="B304" s="305"/>
      <c r="C304" s="306"/>
      <c r="D304" s="306"/>
      <c r="E304" s="305"/>
      <c r="F304" s="305"/>
    </row>
    <row r="305" ht="14.25" customHeight="1">
      <c r="A305" s="305"/>
      <c r="B305" s="305"/>
      <c r="C305" s="306"/>
      <c r="D305" s="306"/>
      <c r="E305" s="305"/>
      <c r="F305" s="305"/>
    </row>
    <row r="306" ht="14.25" customHeight="1">
      <c r="A306" s="305"/>
      <c r="B306" s="305"/>
      <c r="C306" s="306"/>
      <c r="D306" s="306"/>
      <c r="E306" s="305"/>
      <c r="F306" s="305"/>
    </row>
    <row r="307" ht="14.25" customHeight="1">
      <c r="A307" s="305"/>
      <c r="B307" s="305"/>
      <c r="C307" s="306"/>
      <c r="D307" s="306"/>
      <c r="E307" s="305"/>
      <c r="F307" s="305"/>
    </row>
    <row r="308" ht="14.25" customHeight="1">
      <c r="A308" s="305"/>
      <c r="B308" s="305"/>
      <c r="C308" s="306"/>
      <c r="D308" s="306"/>
      <c r="E308" s="305"/>
      <c r="F308" s="305"/>
    </row>
    <row r="309" ht="14.25" customHeight="1">
      <c r="A309" s="305"/>
      <c r="B309" s="305"/>
      <c r="C309" s="306"/>
      <c r="D309" s="306"/>
      <c r="E309" s="305"/>
      <c r="F309" s="305"/>
    </row>
    <row r="310" ht="14.25" customHeight="1">
      <c r="A310" s="305"/>
      <c r="B310" s="305"/>
      <c r="C310" s="306"/>
      <c r="D310" s="306"/>
      <c r="E310" s="305"/>
      <c r="F310" s="305"/>
    </row>
    <row r="311" ht="14.25" customHeight="1">
      <c r="A311" s="305"/>
      <c r="B311" s="305"/>
      <c r="C311" s="306"/>
      <c r="D311" s="306"/>
      <c r="E311" s="305"/>
      <c r="F311" s="305"/>
    </row>
    <row r="312" ht="14.25" customHeight="1">
      <c r="A312" s="305"/>
      <c r="B312" s="305"/>
      <c r="C312" s="306"/>
      <c r="D312" s="306"/>
      <c r="E312" s="305"/>
      <c r="F312" s="305"/>
    </row>
    <row r="313" ht="14.25" customHeight="1">
      <c r="A313" s="305"/>
      <c r="B313" s="305"/>
      <c r="C313" s="306"/>
      <c r="D313" s="306"/>
      <c r="E313" s="305"/>
      <c r="F313" s="305"/>
    </row>
    <row r="314" ht="14.25" customHeight="1">
      <c r="A314" s="305"/>
      <c r="B314" s="305"/>
      <c r="C314" s="306"/>
      <c r="D314" s="306"/>
      <c r="E314" s="305"/>
      <c r="F314" s="305"/>
    </row>
    <row r="315" ht="14.25" customHeight="1">
      <c r="A315" s="305"/>
      <c r="B315" s="305"/>
      <c r="C315" s="306"/>
      <c r="D315" s="306"/>
      <c r="E315" s="305"/>
      <c r="F315" s="305"/>
    </row>
    <row r="316" ht="14.25" customHeight="1">
      <c r="A316" s="305"/>
      <c r="B316" s="305"/>
      <c r="C316" s="306"/>
      <c r="D316" s="306"/>
      <c r="E316" s="305"/>
      <c r="F316" s="305"/>
    </row>
    <row r="317" ht="14.25" customHeight="1">
      <c r="A317" s="305"/>
      <c r="B317" s="305"/>
      <c r="C317" s="306"/>
      <c r="D317" s="306"/>
      <c r="E317" s="305"/>
      <c r="F317" s="305"/>
    </row>
    <row r="318" ht="14.25" customHeight="1">
      <c r="A318" s="305"/>
      <c r="B318" s="305"/>
      <c r="C318" s="306"/>
      <c r="D318" s="306"/>
      <c r="E318" s="305"/>
      <c r="F318" s="305"/>
    </row>
    <row r="319" ht="14.25" customHeight="1">
      <c r="A319" s="305"/>
      <c r="B319" s="305"/>
      <c r="C319" s="306"/>
      <c r="D319" s="306"/>
      <c r="E319" s="305"/>
      <c r="F319" s="305"/>
    </row>
    <row r="320" ht="14.25" customHeight="1">
      <c r="A320" s="305"/>
      <c r="B320" s="305"/>
      <c r="C320" s="306"/>
      <c r="D320" s="306"/>
      <c r="E320" s="305"/>
      <c r="F320" s="305"/>
    </row>
    <row r="321" ht="14.25" customHeight="1">
      <c r="A321" s="305"/>
      <c r="B321" s="305"/>
      <c r="C321" s="306"/>
      <c r="D321" s="306"/>
      <c r="E321" s="305"/>
      <c r="F321" s="305"/>
    </row>
    <row r="322" ht="14.25" customHeight="1">
      <c r="A322" s="305"/>
      <c r="B322" s="305"/>
      <c r="C322" s="306"/>
      <c r="D322" s="306"/>
      <c r="E322" s="305"/>
      <c r="F322" s="305"/>
    </row>
    <row r="323" ht="14.25" customHeight="1">
      <c r="A323" s="305"/>
      <c r="B323" s="305"/>
      <c r="C323" s="306"/>
      <c r="D323" s="306"/>
      <c r="E323" s="305"/>
      <c r="F323" s="305"/>
    </row>
    <row r="324" ht="14.25" customHeight="1">
      <c r="A324" s="305"/>
      <c r="B324" s="305"/>
      <c r="C324" s="306"/>
      <c r="D324" s="306"/>
      <c r="E324" s="305"/>
      <c r="F324" s="305"/>
    </row>
    <row r="325" ht="14.25" customHeight="1">
      <c r="A325" s="305"/>
      <c r="B325" s="305"/>
      <c r="C325" s="306"/>
      <c r="D325" s="306"/>
      <c r="E325" s="305"/>
      <c r="F325" s="305"/>
    </row>
    <row r="326" ht="14.25" customHeight="1">
      <c r="A326" s="305"/>
      <c r="B326" s="305"/>
      <c r="C326" s="306"/>
      <c r="D326" s="306"/>
      <c r="E326" s="305"/>
      <c r="F326" s="305"/>
    </row>
    <row r="327" ht="14.25" customHeight="1">
      <c r="A327" s="305"/>
      <c r="B327" s="305"/>
      <c r="C327" s="306"/>
      <c r="D327" s="306"/>
      <c r="E327" s="305"/>
      <c r="F327" s="305"/>
    </row>
    <row r="328" ht="14.25" customHeight="1">
      <c r="A328" s="305"/>
      <c r="B328" s="305"/>
      <c r="C328" s="306"/>
      <c r="D328" s="306"/>
      <c r="E328" s="305"/>
      <c r="F328" s="305"/>
    </row>
    <row r="329" ht="14.25" customHeight="1">
      <c r="A329" s="305"/>
      <c r="B329" s="305"/>
      <c r="C329" s="306"/>
      <c r="D329" s="306"/>
      <c r="E329" s="305"/>
      <c r="F329" s="305"/>
    </row>
    <row r="330" ht="14.25" customHeight="1">
      <c r="A330" s="305"/>
      <c r="B330" s="305"/>
      <c r="C330" s="306"/>
      <c r="D330" s="306"/>
      <c r="E330" s="305"/>
      <c r="F330" s="305"/>
    </row>
    <row r="331" ht="14.25" customHeight="1">
      <c r="A331" s="305"/>
      <c r="B331" s="305"/>
      <c r="C331" s="306"/>
      <c r="D331" s="306"/>
      <c r="E331" s="305"/>
      <c r="F331" s="305"/>
    </row>
    <row r="332" ht="14.25" customHeight="1">
      <c r="A332" s="305"/>
      <c r="B332" s="305"/>
      <c r="C332" s="306"/>
      <c r="D332" s="306"/>
      <c r="E332" s="305"/>
      <c r="F332" s="305"/>
    </row>
    <row r="333" ht="14.25" customHeight="1">
      <c r="A333" s="305"/>
      <c r="B333" s="305"/>
      <c r="C333" s="306"/>
      <c r="D333" s="306"/>
      <c r="E333" s="305"/>
      <c r="F333" s="305"/>
    </row>
    <row r="334" ht="14.25" customHeight="1">
      <c r="A334" s="305"/>
      <c r="B334" s="305"/>
      <c r="C334" s="306"/>
      <c r="D334" s="306"/>
      <c r="E334" s="305"/>
      <c r="F334" s="305"/>
    </row>
    <row r="335" ht="14.25" customHeight="1">
      <c r="A335" s="305"/>
      <c r="B335" s="305"/>
      <c r="C335" s="306"/>
      <c r="D335" s="306"/>
      <c r="E335" s="305"/>
      <c r="F335" s="305"/>
    </row>
    <row r="336" ht="14.25" customHeight="1">
      <c r="A336" s="305"/>
      <c r="B336" s="305"/>
      <c r="C336" s="306"/>
      <c r="D336" s="306"/>
      <c r="E336" s="305"/>
      <c r="F336" s="305"/>
    </row>
    <row r="337" ht="14.25" customHeight="1">
      <c r="A337" s="305"/>
      <c r="B337" s="305"/>
      <c r="C337" s="306"/>
      <c r="D337" s="306"/>
      <c r="E337" s="305"/>
      <c r="F337" s="305"/>
    </row>
    <row r="338" ht="14.25" customHeight="1">
      <c r="A338" s="305"/>
      <c r="B338" s="305"/>
      <c r="C338" s="306"/>
      <c r="D338" s="306"/>
      <c r="E338" s="305"/>
      <c r="F338" s="305"/>
    </row>
    <row r="339" ht="14.25" customHeight="1">
      <c r="A339" s="305"/>
      <c r="B339" s="305"/>
      <c r="C339" s="306"/>
      <c r="D339" s="306"/>
      <c r="E339" s="305"/>
      <c r="F339" s="305"/>
    </row>
    <row r="340" ht="14.25" customHeight="1">
      <c r="A340" s="305"/>
      <c r="B340" s="305"/>
      <c r="C340" s="306"/>
      <c r="D340" s="306"/>
      <c r="E340" s="305"/>
      <c r="F340" s="305"/>
    </row>
    <row r="341" ht="14.25" customHeight="1">
      <c r="A341" s="305"/>
      <c r="B341" s="305"/>
      <c r="C341" s="306"/>
      <c r="D341" s="306"/>
      <c r="E341" s="305"/>
      <c r="F341" s="305"/>
    </row>
    <row r="342" ht="14.25" customHeight="1">
      <c r="A342" s="305"/>
      <c r="B342" s="305"/>
      <c r="C342" s="306"/>
      <c r="D342" s="306"/>
      <c r="E342" s="305"/>
      <c r="F342" s="305"/>
    </row>
    <row r="343" ht="14.25" customHeight="1">
      <c r="A343" s="305"/>
      <c r="B343" s="305"/>
      <c r="C343" s="306"/>
      <c r="D343" s="306"/>
      <c r="E343" s="305"/>
      <c r="F343" s="305"/>
    </row>
    <row r="344" ht="14.25" customHeight="1">
      <c r="A344" s="305"/>
      <c r="B344" s="305"/>
      <c r="C344" s="306"/>
      <c r="D344" s="306"/>
      <c r="E344" s="305"/>
      <c r="F344" s="305"/>
    </row>
    <row r="345" ht="14.25" customHeight="1">
      <c r="A345" s="305"/>
      <c r="B345" s="305"/>
      <c r="C345" s="306"/>
      <c r="D345" s="306"/>
      <c r="E345" s="305"/>
      <c r="F345" s="305"/>
    </row>
    <row r="346" ht="14.25" customHeight="1">
      <c r="A346" s="305"/>
      <c r="B346" s="305"/>
      <c r="C346" s="306"/>
      <c r="D346" s="306"/>
      <c r="E346" s="305"/>
      <c r="F346" s="305"/>
    </row>
    <row r="347" ht="14.25" customHeight="1">
      <c r="A347" s="305"/>
      <c r="B347" s="305"/>
      <c r="C347" s="306"/>
      <c r="D347" s="306"/>
      <c r="E347" s="305"/>
      <c r="F347" s="305"/>
    </row>
    <row r="348" ht="14.25" customHeight="1">
      <c r="A348" s="305"/>
      <c r="B348" s="305"/>
      <c r="C348" s="306"/>
      <c r="D348" s="306"/>
      <c r="E348" s="305"/>
      <c r="F348" s="305"/>
    </row>
    <row r="349" ht="14.25" customHeight="1">
      <c r="A349" s="305"/>
      <c r="B349" s="305"/>
      <c r="C349" s="306"/>
      <c r="D349" s="306"/>
      <c r="E349" s="305"/>
      <c r="F349" s="305"/>
    </row>
    <row r="350" ht="14.25" customHeight="1">
      <c r="A350" s="305"/>
      <c r="B350" s="305"/>
      <c r="C350" s="306"/>
      <c r="D350" s="306"/>
      <c r="E350" s="305"/>
      <c r="F350" s="305"/>
    </row>
    <row r="351" ht="14.25" customHeight="1">
      <c r="A351" s="305"/>
      <c r="B351" s="305"/>
      <c r="C351" s="306"/>
      <c r="D351" s="306"/>
      <c r="E351" s="305"/>
      <c r="F351" s="305"/>
    </row>
    <row r="352" ht="14.25" customHeight="1">
      <c r="A352" s="305"/>
      <c r="B352" s="305"/>
      <c r="C352" s="306"/>
      <c r="D352" s="306"/>
      <c r="E352" s="305"/>
      <c r="F352" s="305"/>
    </row>
    <row r="353" ht="14.25" customHeight="1">
      <c r="A353" s="305"/>
      <c r="B353" s="305"/>
      <c r="C353" s="306"/>
      <c r="D353" s="306"/>
      <c r="E353" s="305"/>
      <c r="F353" s="305"/>
    </row>
    <row r="354" ht="14.25" customHeight="1">
      <c r="A354" s="305"/>
      <c r="B354" s="305"/>
      <c r="C354" s="306"/>
      <c r="D354" s="306"/>
      <c r="E354" s="305"/>
      <c r="F354" s="305"/>
    </row>
    <row r="355" ht="14.25" customHeight="1">
      <c r="A355" s="305"/>
      <c r="B355" s="305"/>
      <c r="C355" s="306"/>
      <c r="D355" s="306"/>
      <c r="E355" s="305"/>
      <c r="F355" s="305"/>
    </row>
    <row r="356" ht="14.25" customHeight="1">
      <c r="A356" s="305"/>
      <c r="B356" s="305"/>
      <c r="C356" s="306"/>
      <c r="D356" s="306"/>
      <c r="E356" s="305"/>
      <c r="F356" s="305"/>
    </row>
    <row r="357" ht="14.25" customHeight="1">
      <c r="A357" s="305"/>
      <c r="B357" s="305"/>
      <c r="C357" s="306"/>
      <c r="D357" s="306"/>
      <c r="E357" s="305"/>
      <c r="F357" s="305"/>
    </row>
    <row r="358" ht="14.25" customHeight="1">
      <c r="A358" s="305"/>
      <c r="B358" s="305"/>
      <c r="C358" s="306"/>
      <c r="D358" s="306"/>
      <c r="E358" s="305"/>
      <c r="F358" s="305"/>
    </row>
    <row r="359" ht="14.25" customHeight="1">
      <c r="A359" s="305"/>
      <c r="B359" s="305"/>
      <c r="C359" s="306"/>
      <c r="D359" s="306"/>
      <c r="E359" s="305"/>
      <c r="F359" s="305"/>
    </row>
    <row r="360" ht="14.25" customHeight="1">
      <c r="A360" s="305"/>
      <c r="B360" s="305"/>
      <c r="C360" s="306"/>
      <c r="D360" s="306"/>
      <c r="E360" s="305"/>
      <c r="F360" s="305"/>
    </row>
    <row r="361" ht="14.25" customHeight="1">
      <c r="A361" s="305"/>
      <c r="B361" s="305"/>
      <c r="C361" s="306"/>
      <c r="D361" s="306"/>
      <c r="E361" s="305"/>
      <c r="F361" s="305"/>
    </row>
    <row r="362" ht="14.25" customHeight="1">
      <c r="A362" s="305"/>
      <c r="B362" s="305"/>
      <c r="C362" s="306"/>
      <c r="D362" s="306"/>
      <c r="E362" s="305"/>
      <c r="F362" s="305"/>
    </row>
    <row r="363" ht="14.25" customHeight="1">
      <c r="A363" s="305"/>
      <c r="B363" s="305"/>
      <c r="C363" s="306"/>
      <c r="D363" s="306"/>
      <c r="E363" s="305"/>
      <c r="F363" s="305"/>
    </row>
    <row r="364" ht="14.25" customHeight="1">
      <c r="A364" s="305"/>
      <c r="B364" s="305"/>
      <c r="C364" s="306"/>
      <c r="D364" s="306"/>
      <c r="E364" s="305"/>
      <c r="F364" s="305"/>
    </row>
    <row r="365" ht="14.25" customHeight="1">
      <c r="A365" s="305"/>
      <c r="B365" s="305"/>
      <c r="C365" s="306"/>
      <c r="D365" s="306"/>
      <c r="E365" s="305"/>
      <c r="F365" s="305"/>
    </row>
    <row r="366" ht="14.25" customHeight="1">
      <c r="A366" s="305"/>
      <c r="B366" s="305"/>
      <c r="C366" s="306"/>
      <c r="D366" s="306"/>
      <c r="E366" s="305"/>
      <c r="F366" s="305"/>
    </row>
    <row r="367" ht="14.25" customHeight="1">
      <c r="A367" s="305"/>
      <c r="B367" s="305"/>
      <c r="C367" s="306"/>
      <c r="D367" s="306"/>
      <c r="E367" s="305"/>
      <c r="F367" s="305"/>
    </row>
    <row r="368" ht="14.25" customHeight="1">
      <c r="A368" s="305"/>
      <c r="B368" s="305"/>
      <c r="C368" s="306"/>
      <c r="D368" s="306"/>
      <c r="E368" s="305"/>
      <c r="F368" s="305"/>
    </row>
    <row r="369" ht="14.25" customHeight="1">
      <c r="A369" s="305"/>
      <c r="B369" s="305"/>
      <c r="C369" s="306"/>
      <c r="D369" s="306"/>
      <c r="E369" s="305"/>
      <c r="F369" s="305"/>
    </row>
    <row r="370" ht="14.25" customHeight="1">
      <c r="A370" s="305"/>
      <c r="B370" s="305"/>
      <c r="C370" s="306"/>
      <c r="D370" s="306"/>
      <c r="E370" s="305"/>
      <c r="F370" s="305"/>
    </row>
    <row r="371" ht="14.25" customHeight="1">
      <c r="A371" s="305"/>
      <c r="B371" s="305"/>
      <c r="C371" s="306"/>
      <c r="D371" s="306"/>
      <c r="E371" s="305"/>
      <c r="F371" s="305"/>
    </row>
    <row r="372" ht="14.25" customHeight="1">
      <c r="A372" s="305"/>
      <c r="B372" s="305"/>
      <c r="C372" s="306"/>
      <c r="D372" s="306"/>
      <c r="E372" s="305"/>
      <c r="F372" s="305"/>
    </row>
    <row r="373" ht="14.25" customHeight="1">
      <c r="A373" s="305"/>
      <c r="B373" s="305"/>
      <c r="C373" s="306"/>
      <c r="D373" s="306"/>
      <c r="E373" s="305"/>
      <c r="F373" s="305"/>
    </row>
    <row r="374" ht="14.25" customHeight="1">
      <c r="A374" s="305"/>
      <c r="B374" s="305"/>
      <c r="C374" s="306"/>
      <c r="D374" s="306"/>
      <c r="E374" s="305"/>
      <c r="F374" s="305"/>
    </row>
    <row r="375" ht="14.25" customHeight="1">
      <c r="A375" s="305"/>
      <c r="B375" s="305"/>
      <c r="C375" s="306"/>
      <c r="D375" s="306"/>
      <c r="E375" s="305"/>
      <c r="F375" s="305"/>
    </row>
    <row r="376" ht="14.25" customHeight="1">
      <c r="A376" s="305"/>
      <c r="B376" s="305"/>
      <c r="C376" s="306"/>
      <c r="D376" s="306"/>
      <c r="E376" s="305"/>
      <c r="F376" s="305"/>
    </row>
    <row r="377" ht="14.25" customHeight="1">
      <c r="A377" s="305"/>
      <c r="B377" s="305"/>
      <c r="C377" s="306"/>
      <c r="D377" s="306"/>
      <c r="E377" s="305"/>
      <c r="F377" s="305"/>
    </row>
    <row r="378" ht="14.25" customHeight="1">
      <c r="A378" s="305"/>
      <c r="B378" s="305"/>
      <c r="C378" s="306"/>
      <c r="D378" s="306"/>
      <c r="E378" s="305"/>
      <c r="F378" s="305"/>
    </row>
    <row r="379" ht="14.25" customHeight="1">
      <c r="A379" s="305"/>
      <c r="B379" s="305"/>
      <c r="C379" s="306"/>
      <c r="D379" s="306"/>
      <c r="E379" s="305"/>
      <c r="F379" s="305"/>
    </row>
    <row r="380" ht="14.25" customHeight="1">
      <c r="A380" s="305"/>
      <c r="B380" s="305"/>
      <c r="C380" s="306"/>
      <c r="D380" s="306"/>
      <c r="E380" s="305"/>
      <c r="F380" s="305"/>
    </row>
    <row r="381" ht="14.25" customHeight="1">
      <c r="A381" s="305"/>
      <c r="B381" s="305"/>
      <c r="C381" s="306"/>
      <c r="D381" s="306"/>
      <c r="E381" s="305"/>
      <c r="F381" s="305"/>
    </row>
    <row r="382" ht="14.25" customHeight="1">
      <c r="A382" s="305"/>
      <c r="B382" s="305"/>
      <c r="C382" s="306"/>
      <c r="D382" s="306"/>
      <c r="E382" s="305"/>
      <c r="F382" s="305"/>
    </row>
    <row r="383" ht="14.25" customHeight="1">
      <c r="A383" s="305"/>
      <c r="B383" s="305"/>
      <c r="C383" s="306"/>
      <c r="D383" s="306"/>
      <c r="E383" s="305"/>
      <c r="F383" s="305"/>
    </row>
    <row r="384" ht="14.25" customHeight="1">
      <c r="A384" s="305"/>
      <c r="B384" s="305"/>
      <c r="C384" s="306"/>
      <c r="D384" s="306"/>
      <c r="E384" s="305"/>
      <c r="F384" s="305"/>
    </row>
    <row r="385" ht="14.25" customHeight="1">
      <c r="A385" s="305"/>
      <c r="B385" s="305"/>
      <c r="C385" s="306"/>
      <c r="D385" s="306"/>
      <c r="E385" s="305"/>
      <c r="F385" s="305"/>
    </row>
    <row r="386" ht="14.25" customHeight="1">
      <c r="A386" s="305"/>
      <c r="B386" s="305"/>
      <c r="C386" s="306"/>
      <c r="D386" s="306"/>
      <c r="E386" s="305"/>
      <c r="F386" s="305"/>
    </row>
    <row r="387" ht="14.25" customHeight="1">
      <c r="A387" s="305"/>
      <c r="B387" s="305"/>
      <c r="C387" s="306"/>
      <c r="D387" s="306"/>
      <c r="E387" s="305"/>
      <c r="F387" s="305"/>
    </row>
    <row r="388" ht="14.25" customHeight="1">
      <c r="A388" s="305"/>
      <c r="B388" s="305"/>
      <c r="C388" s="306"/>
      <c r="D388" s="306"/>
      <c r="E388" s="305"/>
      <c r="F388" s="305"/>
    </row>
    <row r="389" ht="14.25" customHeight="1">
      <c r="A389" s="305"/>
      <c r="B389" s="305"/>
      <c r="C389" s="306"/>
      <c r="D389" s="306"/>
      <c r="E389" s="305"/>
      <c r="F389" s="305"/>
    </row>
    <row r="390" ht="14.25" customHeight="1">
      <c r="A390" s="305"/>
      <c r="B390" s="305"/>
      <c r="C390" s="306"/>
      <c r="D390" s="306"/>
      <c r="E390" s="305"/>
      <c r="F390" s="305"/>
    </row>
    <row r="391" ht="14.25" customHeight="1">
      <c r="A391" s="305"/>
      <c r="B391" s="305"/>
      <c r="C391" s="306"/>
      <c r="D391" s="306"/>
      <c r="E391" s="305"/>
      <c r="F391" s="305"/>
    </row>
    <row r="392" ht="14.25" customHeight="1">
      <c r="A392" s="305"/>
      <c r="B392" s="305"/>
      <c r="C392" s="306"/>
      <c r="D392" s="306"/>
      <c r="E392" s="305"/>
      <c r="F392" s="305"/>
    </row>
    <row r="393" ht="14.25" customHeight="1">
      <c r="A393" s="305"/>
      <c r="B393" s="305"/>
      <c r="C393" s="306"/>
      <c r="D393" s="306"/>
      <c r="E393" s="305"/>
      <c r="F393" s="305"/>
    </row>
    <row r="394" ht="14.25" customHeight="1">
      <c r="A394" s="305"/>
      <c r="B394" s="305"/>
      <c r="C394" s="306"/>
      <c r="D394" s="306"/>
      <c r="E394" s="305"/>
      <c r="F394" s="305"/>
    </row>
    <row r="395" ht="14.25" customHeight="1">
      <c r="A395" s="305"/>
      <c r="B395" s="305"/>
      <c r="C395" s="306"/>
      <c r="D395" s="306"/>
      <c r="E395" s="305"/>
      <c r="F395" s="305"/>
    </row>
    <row r="396" ht="14.25" customHeight="1">
      <c r="A396" s="305"/>
      <c r="B396" s="305"/>
      <c r="C396" s="306"/>
      <c r="D396" s="306"/>
      <c r="E396" s="305"/>
      <c r="F396" s="305"/>
    </row>
    <row r="397" ht="14.25" customHeight="1">
      <c r="A397" s="305"/>
      <c r="B397" s="305"/>
      <c r="C397" s="306"/>
      <c r="D397" s="306"/>
      <c r="E397" s="305"/>
      <c r="F397" s="305"/>
    </row>
    <row r="398" ht="14.25" customHeight="1">
      <c r="A398" s="305"/>
      <c r="B398" s="305"/>
      <c r="C398" s="306"/>
      <c r="D398" s="306"/>
      <c r="E398" s="305"/>
      <c r="F398" s="305"/>
    </row>
    <row r="399" ht="14.25" customHeight="1">
      <c r="A399" s="305"/>
      <c r="B399" s="305"/>
      <c r="C399" s="306"/>
      <c r="D399" s="306"/>
      <c r="E399" s="305"/>
      <c r="F399" s="305"/>
    </row>
    <row r="400" ht="14.25" customHeight="1">
      <c r="A400" s="305"/>
      <c r="B400" s="305"/>
      <c r="C400" s="306"/>
      <c r="D400" s="306"/>
      <c r="E400" s="305"/>
      <c r="F400" s="305"/>
    </row>
    <row r="401" ht="14.25" customHeight="1">
      <c r="A401" s="305"/>
      <c r="B401" s="305"/>
      <c r="C401" s="306"/>
      <c r="D401" s="306"/>
      <c r="E401" s="305"/>
      <c r="F401" s="305"/>
    </row>
    <row r="402" ht="14.25" customHeight="1">
      <c r="A402" s="305"/>
      <c r="B402" s="305"/>
      <c r="C402" s="306"/>
      <c r="D402" s="306"/>
      <c r="E402" s="305"/>
      <c r="F402" s="305"/>
    </row>
    <row r="403" ht="14.25" customHeight="1">
      <c r="A403" s="305"/>
      <c r="B403" s="305"/>
      <c r="C403" s="306"/>
      <c r="D403" s="306"/>
      <c r="E403" s="305"/>
      <c r="F403" s="305"/>
    </row>
    <row r="404" ht="14.25" customHeight="1">
      <c r="A404" s="305"/>
      <c r="B404" s="305"/>
      <c r="C404" s="306"/>
      <c r="D404" s="306"/>
      <c r="E404" s="305"/>
      <c r="F404" s="305"/>
    </row>
    <row r="405" ht="14.25" customHeight="1">
      <c r="A405" s="305"/>
      <c r="B405" s="305"/>
      <c r="C405" s="306"/>
      <c r="D405" s="306"/>
      <c r="E405" s="305"/>
      <c r="F405" s="305"/>
    </row>
    <row r="406" ht="14.25" customHeight="1">
      <c r="A406" s="305"/>
      <c r="B406" s="305"/>
      <c r="C406" s="306"/>
      <c r="D406" s="306"/>
      <c r="E406" s="305"/>
      <c r="F406" s="305"/>
    </row>
    <row r="407" ht="14.25" customHeight="1">
      <c r="A407" s="305"/>
      <c r="B407" s="305"/>
      <c r="C407" s="306"/>
      <c r="D407" s="306"/>
      <c r="E407" s="305"/>
      <c r="F407" s="305"/>
    </row>
    <row r="408" ht="14.25" customHeight="1">
      <c r="A408" s="305"/>
      <c r="B408" s="305"/>
      <c r="C408" s="306"/>
      <c r="D408" s="306"/>
      <c r="E408" s="305"/>
      <c r="F408" s="305"/>
    </row>
    <row r="409" ht="14.25" customHeight="1">
      <c r="A409" s="305"/>
      <c r="B409" s="305"/>
      <c r="C409" s="306"/>
      <c r="D409" s="306"/>
      <c r="E409" s="305"/>
      <c r="F409" s="305"/>
    </row>
    <row r="410" ht="14.25" customHeight="1">
      <c r="A410" s="305"/>
      <c r="B410" s="305"/>
      <c r="C410" s="306"/>
      <c r="D410" s="306"/>
      <c r="E410" s="305"/>
      <c r="F410" s="305"/>
    </row>
    <row r="411" ht="14.25" customHeight="1">
      <c r="A411" s="305"/>
      <c r="B411" s="305"/>
      <c r="C411" s="306"/>
      <c r="D411" s="306"/>
      <c r="E411" s="305"/>
      <c r="F411" s="305"/>
    </row>
    <row r="412" ht="14.25" customHeight="1">
      <c r="A412" s="305"/>
      <c r="B412" s="305"/>
      <c r="C412" s="306"/>
      <c r="D412" s="306"/>
      <c r="E412" s="305"/>
      <c r="F412" s="305"/>
    </row>
    <row r="413" ht="14.25" customHeight="1">
      <c r="A413" s="305"/>
      <c r="B413" s="305"/>
      <c r="C413" s="306"/>
      <c r="D413" s="306"/>
      <c r="E413" s="305"/>
      <c r="F413" s="305"/>
    </row>
    <row r="414" ht="14.25" customHeight="1">
      <c r="A414" s="305"/>
      <c r="B414" s="305"/>
      <c r="C414" s="306"/>
      <c r="D414" s="306"/>
      <c r="E414" s="305"/>
      <c r="F414" s="305"/>
    </row>
    <row r="415" ht="14.25" customHeight="1">
      <c r="A415" s="305"/>
      <c r="B415" s="305"/>
      <c r="C415" s="306"/>
      <c r="D415" s="306"/>
      <c r="E415" s="305"/>
      <c r="F415" s="305"/>
    </row>
    <row r="416" ht="14.25" customHeight="1">
      <c r="A416" s="305"/>
      <c r="B416" s="305"/>
      <c r="C416" s="306"/>
      <c r="D416" s="306"/>
      <c r="E416" s="305"/>
      <c r="F416" s="305"/>
    </row>
    <row r="417" ht="14.25" customHeight="1">
      <c r="A417" s="305"/>
      <c r="B417" s="305"/>
      <c r="C417" s="306"/>
      <c r="D417" s="306"/>
      <c r="E417" s="305"/>
      <c r="F417" s="305"/>
    </row>
    <row r="418" ht="14.25" customHeight="1">
      <c r="A418" s="305"/>
      <c r="B418" s="305"/>
      <c r="C418" s="306"/>
      <c r="D418" s="306"/>
      <c r="E418" s="305"/>
      <c r="F418" s="305"/>
    </row>
    <row r="419" ht="14.25" customHeight="1">
      <c r="A419" s="305"/>
      <c r="B419" s="305"/>
      <c r="C419" s="306"/>
      <c r="D419" s="306"/>
      <c r="E419" s="305"/>
      <c r="F419" s="305"/>
    </row>
    <row r="420" ht="14.25" customHeight="1">
      <c r="A420" s="305"/>
      <c r="B420" s="305"/>
      <c r="C420" s="306"/>
      <c r="D420" s="306"/>
      <c r="E420" s="305"/>
      <c r="F420" s="305"/>
    </row>
    <row r="421" ht="14.25" customHeight="1">
      <c r="A421" s="305"/>
      <c r="B421" s="305"/>
      <c r="C421" s="306"/>
      <c r="D421" s="306"/>
      <c r="E421" s="305"/>
      <c r="F421" s="305"/>
    </row>
    <row r="422" ht="14.25" customHeight="1">
      <c r="A422" s="305"/>
      <c r="B422" s="305"/>
      <c r="C422" s="306"/>
      <c r="D422" s="306"/>
      <c r="E422" s="305"/>
      <c r="F422" s="305"/>
    </row>
    <row r="423" ht="14.25" customHeight="1">
      <c r="A423" s="305"/>
      <c r="B423" s="305"/>
      <c r="C423" s="306"/>
      <c r="D423" s="306"/>
      <c r="E423" s="305"/>
      <c r="F423" s="305"/>
    </row>
    <row r="424" ht="14.25" customHeight="1">
      <c r="A424" s="305"/>
      <c r="B424" s="305"/>
      <c r="C424" s="306"/>
      <c r="D424" s="306"/>
      <c r="E424" s="305"/>
      <c r="F424" s="305"/>
    </row>
    <row r="425" ht="14.25" customHeight="1">
      <c r="A425" s="305"/>
      <c r="B425" s="305"/>
      <c r="C425" s="306"/>
      <c r="D425" s="306"/>
      <c r="E425" s="305"/>
      <c r="F425" s="305"/>
    </row>
    <row r="426" ht="14.25" customHeight="1">
      <c r="A426" s="305"/>
      <c r="B426" s="305"/>
      <c r="C426" s="306"/>
      <c r="D426" s="306"/>
      <c r="E426" s="305"/>
      <c r="F426" s="305"/>
    </row>
    <row r="427" ht="14.25" customHeight="1">
      <c r="A427" s="305"/>
      <c r="B427" s="305"/>
      <c r="C427" s="306"/>
      <c r="D427" s="306"/>
      <c r="E427" s="305"/>
      <c r="F427" s="305"/>
    </row>
    <row r="428" ht="14.25" customHeight="1">
      <c r="A428" s="305"/>
      <c r="B428" s="305"/>
      <c r="C428" s="306"/>
      <c r="D428" s="306"/>
      <c r="E428" s="305"/>
      <c r="F428" s="305"/>
    </row>
    <row r="429" ht="14.25" customHeight="1">
      <c r="A429" s="305"/>
      <c r="B429" s="305"/>
      <c r="C429" s="306"/>
      <c r="D429" s="306"/>
      <c r="E429" s="305"/>
      <c r="F429" s="305"/>
    </row>
    <row r="430" ht="14.25" customHeight="1">
      <c r="A430" s="305"/>
      <c r="B430" s="305"/>
      <c r="C430" s="306"/>
      <c r="D430" s="306"/>
      <c r="E430" s="305"/>
      <c r="F430" s="305"/>
    </row>
    <row r="431" ht="14.25" customHeight="1">
      <c r="A431" s="305"/>
      <c r="B431" s="305"/>
      <c r="C431" s="306"/>
      <c r="D431" s="306"/>
      <c r="E431" s="305"/>
      <c r="F431" s="305"/>
    </row>
    <row r="432" ht="14.25" customHeight="1">
      <c r="A432" s="305"/>
      <c r="B432" s="305"/>
      <c r="C432" s="306"/>
      <c r="D432" s="306"/>
      <c r="E432" s="305"/>
      <c r="F432" s="305"/>
    </row>
    <row r="433" ht="14.25" customHeight="1">
      <c r="A433" s="305"/>
      <c r="B433" s="305"/>
      <c r="C433" s="306"/>
      <c r="D433" s="306"/>
      <c r="E433" s="305"/>
      <c r="F433" s="305"/>
    </row>
    <row r="434" ht="14.25" customHeight="1">
      <c r="A434" s="305"/>
      <c r="B434" s="305"/>
      <c r="C434" s="306"/>
      <c r="D434" s="306"/>
      <c r="E434" s="305"/>
      <c r="F434" s="305"/>
    </row>
    <row r="435" ht="14.25" customHeight="1">
      <c r="A435" s="305"/>
      <c r="B435" s="305"/>
      <c r="C435" s="306"/>
      <c r="D435" s="306"/>
      <c r="E435" s="305"/>
      <c r="F435" s="305"/>
    </row>
    <row r="436" ht="14.25" customHeight="1">
      <c r="A436" s="305"/>
      <c r="B436" s="305"/>
      <c r="C436" s="306"/>
      <c r="D436" s="306"/>
      <c r="E436" s="305"/>
      <c r="F436" s="305"/>
    </row>
    <row r="437" ht="14.25" customHeight="1">
      <c r="A437" s="305"/>
      <c r="B437" s="305"/>
      <c r="C437" s="306"/>
      <c r="D437" s="306"/>
      <c r="E437" s="305"/>
      <c r="F437" s="305"/>
    </row>
    <row r="438" ht="14.25" customHeight="1">
      <c r="A438" s="305"/>
      <c r="B438" s="305"/>
      <c r="C438" s="306"/>
      <c r="D438" s="306"/>
      <c r="E438" s="305"/>
      <c r="F438" s="305"/>
    </row>
    <row r="439" ht="14.25" customHeight="1">
      <c r="A439" s="305"/>
      <c r="B439" s="305"/>
      <c r="C439" s="306"/>
      <c r="D439" s="306"/>
      <c r="E439" s="305"/>
      <c r="F439" s="305"/>
    </row>
    <row r="440" ht="14.25" customHeight="1">
      <c r="A440" s="305"/>
      <c r="B440" s="305"/>
      <c r="C440" s="306"/>
      <c r="D440" s="306"/>
      <c r="E440" s="305"/>
      <c r="F440" s="305"/>
    </row>
    <row r="441" ht="14.25" customHeight="1">
      <c r="A441" s="305"/>
      <c r="B441" s="305"/>
      <c r="C441" s="306"/>
      <c r="D441" s="306"/>
      <c r="E441" s="305"/>
      <c r="F441" s="305"/>
    </row>
    <row r="442" ht="14.25" customHeight="1">
      <c r="A442" s="305"/>
      <c r="B442" s="305"/>
      <c r="C442" s="306"/>
      <c r="D442" s="306"/>
      <c r="E442" s="305"/>
      <c r="F442" s="305"/>
    </row>
    <row r="443" ht="14.25" customHeight="1">
      <c r="A443" s="305"/>
      <c r="B443" s="305"/>
      <c r="C443" s="306"/>
      <c r="D443" s="306"/>
      <c r="E443" s="305"/>
      <c r="F443" s="305"/>
    </row>
    <row r="444" ht="14.25" customHeight="1">
      <c r="A444" s="305"/>
      <c r="B444" s="305"/>
      <c r="C444" s="306"/>
      <c r="D444" s="306"/>
      <c r="E444" s="305"/>
      <c r="F444" s="305"/>
    </row>
    <row r="445" ht="14.25" customHeight="1">
      <c r="A445" s="305"/>
      <c r="B445" s="305"/>
      <c r="C445" s="306"/>
      <c r="D445" s="306"/>
      <c r="E445" s="305"/>
      <c r="F445" s="305"/>
    </row>
    <row r="446" ht="14.25" customHeight="1">
      <c r="A446" s="305"/>
      <c r="B446" s="305"/>
      <c r="C446" s="306"/>
      <c r="D446" s="306"/>
      <c r="E446" s="305"/>
      <c r="F446" s="305"/>
    </row>
    <row r="447" ht="14.25" customHeight="1">
      <c r="A447" s="305"/>
      <c r="B447" s="305"/>
      <c r="C447" s="306"/>
      <c r="D447" s="306"/>
      <c r="E447" s="305"/>
      <c r="F447" s="305"/>
    </row>
    <row r="448" ht="14.25" customHeight="1">
      <c r="A448" s="305"/>
      <c r="B448" s="305"/>
      <c r="C448" s="306"/>
      <c r="D448" s="306"/>
      <c r="E448" s="305"/>
      <c r="F448" s="305"/>
    </row>
    <row r="449" ht="14.25" customHeight="1">
      <c r="A449" s="305"/>
      <c r="B449" s="305"/>
      <c r="C449" s="306"/>
      <c r="D449" s="306"/>
      <c r="E449" s="305"/>
      <c r="F449" s="305"/>
    </row>
    <row r="450" ht="14.25" customHeight="1">
      <c r="A450" s="305"/>
      <c r="B450" s="305"/>
      <c r="C450" s="306"/>
      <c r="D450" s="306"/>
      <c r="E450" s="305"/>
      <c r="F450" s="305"/>
    </row>
    <row r="451" ht="14.25" customHeight="1">
      <c r="A451" s="305"/>
      <c r="B451" s="305"/>
      <c r="C451" s="306"/>
      <c r="D451" s="306"/>
      <c r="E451" s="305"/>
      <c r="F451" s="305"/>
    </row>
    <row r="452" ht="14.25" customHeight="1">
      <c r="A452" s="305"/>
      <c r="B452" s="305"/>
      <c r="C452" s="306"/>
      <c r="D452" s="306"/>
      <c r="E452" s="305"/>
      <c r="F452" s="305"/>
    </row>
    <row r="453" ht="14.25" customHeight="1">
      <c r="A453" s="305"/>
      <c r="B453" s="305"/>
      <c r="C453" s="306"/>
      <c r="D453" s="306"/>
      <c r="E453" s="305"/>
      <c r="F453" s="305"/>
    </row>
    <row r="454" ht="14.25" customHeight="1">
      <c r="A454" s="305"/>
      <c r="B454" s="305"/>
      <c r="C454" s="306"/>
      <c r="D454" s="306"/>
      <c r="E454" s="305"/>
      <c r="F454" s="305"/>
    </row>
    <row r="455" ht="14.25" customHeight="1">
      <c r="A455" s="305"/>
      <c r="B455" s="305"/>
      <c r="C455" s="306"/>
      <c r="D455" s="306"/>
      <c r="E455" s="305"/>
      <c r="F455" s="305"/>
    </row>
    <row r="456" ht="14.25" customHeight="1">
      <c r="A456" s="305"/>
      <c r="B456" s="305"/>
      <c r="C456" s="306"/>
      <c r="D456" s="306"/>
      <c r="E456" s="305"/>
      <c r="F456" s="305"/>
    </row>
    <row r="457" ht="14.25" customHeight="1">
      <c r="A457" s="305"/>
      <c r="B457" s="305"/>
      <c r="C457" s="306"/>
      <c r="D457" s="306"/>
      <c r="E457" s="305"/>
      <c r="F457" s="305"/>
    </row>
    <row r="458" ht="14.25" customHeight="1">
      <c r="A458" s="305"/>
      <c r="B458" s="305"/>
      <c r="C458" s="306"/>
      <c r="D458" s="306"/>
      <c r="E458" s="305"/>
      <c r="F458" s="305"/>
    </row>
    <row r="459" ht="14.25" customHeight="1">
      <c r="A459" s="305"/>
      <c r="B459" s="305"/>
      <c r="C459" s="306"/>
      <c r="D459" s="306"/>
      <c r="E459" s="305"/>
      <c r="F459" s="305"/>
    </row>
    <row r="460" ht="14.25" customHeight="1">
      <c r="A460" s="305"/>
      <c r="B460" s="305"/>
      <c r="C460" s="306"/>
      <c r="D460" s="306"/>
      <c r="E460" s="305"/>
      <c r="F460" s="305"/>
    </row>
    <row r="461" ht="14.25" customHeight="1">
      <c r="A461" s="305"/>
      <c r="B461" s="305"/>
      <c r="C461" s="306"/>
      <c r="D461" s="306"/>
      <c r="E461" s="305"/>
      <c r="F461" s="305"/>
    </row>
    <row r="462" ht="14.25" customHeight="1">
      <c r="A462" s="305"/>
      <c r="B462" s="305"/>
      <c r="C462" s="306"/>
      <c r="D462" s="306"/>
      <c r="E462" s="305"/>
      <c r="F462" s="305"/>
    </row>
    <row r="463" ht="14.25" customHeight="1">
      <c r="A463" s="305"/>
      <c r="B463" s="305"/>
      <c r="C463" s="306"/>
      <c r="D463" s="306"/>
      <c r="E463" s="305"/>
      <c r="F463" s="305"/>
    </row>
    <row r="464" ht="14.25" customHeight="1">
      <c r="A464" s="305"/>
      <c r="B464" s="305"/>
      <c r="C464" s="306"/>
      <c r="D464" s="306"/>
      <c r="E464" s="305"/>
      <c r="F464" s="305"/>
    </row>
    <row r="465" ht="14.25" customHeight="1">
      <c r="A465" s="305"/>
      <c r="B465" s="305"/>
      <c r="C465" s="306"/>
      <c r="D465" s="306"/>
      <c r="E465" s="305"/>
      <c r="F465" s="305"/>
    </row>
    <row r="466" ht="14.25" customHeight="1">
      <c r="A466" s="305"/>
      <c r="B466" s="305"/>
      <c r="C466" s="306"/>
      <c r="D466" s="306"/>
      <c r="E466" s="305"/>
      <c r="F466" s="305"/>
    </row>
    <row r="467" ht="14.25" customHeight="1">
      <c r="A467" s="305"/>
      <c r="B467" s="305"/>
      <c r="C467" s="306"/>
      <c r="D467" s="306"/>
      <c r="E467" s="305"/>
      <c r="F467" s="305"/>
    </row>
    <row r="468" ht="14.25" customHeight="1">
      <c r="A468" s="305"/>
      <c r="B468" s="305"/>
      <c r="C468" s="306"/>
      <c r="D468" s="306"/>
      <c r="E468" s="305"/>
      <c r="F468" s="305"/>
    </row>
    <row r="469" ht="14.25" customHeight="1">
      <c r="A469" s="305"/>
      <c r="B469" s="305"/>
      <c r="C469" s="306"/>
      <c r="D469" s="306"/>
      <c r="E469" s="305"/>
      <c r="F469" s="305"/>
    </row>
    <row r="470" ht="14.25" customHeight="1">
      <c r="A470" s="305"/>
      <c r="B470" s="305"/>
      <c r="C470" s="306"/>
      <c r="D470" s="306"/>
      <c r="E470" s="305"/>
      <c r="F470" s="305"/>
    </row>
    <row r="471" ht="14.25" customHeight="1">
      <c r="A471" s="305"/>
      <c r="B471" s="305"/>
      <c r="C471" s="306"/>
      <c r="D471" s="306"/>
      <c r="E471" s="305"/>
      <c r="F471" s="305"/>
    </row>
    <row r="472" ht="14.25" customHeight="1">
      <c r="A472" s="305"/>
      <c r="B472" s="305"/>
      <c r="C472" s="306"/>
      <c r="D472" s="306"/>
      <c r="E472" s="305"/>
      <c r="F472" s="305"/>
    </row>
    <row r="473" ht="14.25" customHeight="1">
      <c r="A473" s="305"/>
      <c r="B473" s="305"/>
      <c r="C473" s="306"/>
      <c r="D473" s="306"/>
      <c r="E473" s="305"/>
      <c r="F473" s="305"/>
    </row>
    <row r="474" ht="14.25" customHeight="1">
      <c r="A474" s="305"/>
      <c r="B474" s="305"/>
      <c r="C474" s="306"/>
      <c r="D474" s="306"/>
      <c r="E474" s="305"/>
      <c r="F474" s="305"/>
    </row>
    <row r="475" ht="14.25" customHeight="1">
      <c r="A475" s="305"/>
      <c r="B475" s="305"/>
      <c r="C475" s="306"/>
      <c r="D475" s="306"/>
      <c r="E475" s="305"/>
      <c r="F475" s="305"/>
    </row>
    <row r="476" ht="14.25" customHeight="1">
      <c r="A476" s="305"/>
      <c r="B476" s="305"/>
      <c r="C476" s="306"/>
      <c r="D476" s="306"/>
      <c r="E476" s="305"/>
      <c r="F476" s="305"/>
    </row>
    <row r="477" ht="14.25" customHeight="1">
      <c r="A477" s="305"/>
      <c r="B477" s="305"/>
      <c r="C477" s="306"/>
      <c r="D477" s="306"/>
      <c r="E477" s="305"/>
      <c r="F477" s="305"/>
    </row>
    <row r="478" ht="14.25" customHeight="1">
      <c r="A478" s="305"/>
      <c r="B478" s="305"/>
      <c r="C478" s="306"/>
      <c r="D478" s="306"/>
      <c r="E478" s="305"/>
      <c r="F478" s="305"/>
    </row>
    <row r="479" ht="14.25" customHeight="1">
      <c r="A479" s="305"/>
      <c r="B479" s="305"/>
      <c r="C479" s="306"/>
      <c r="D479" s="306"/>
      <c r="E479" s="305"/>
      <c r="F479" s="305"/>
    </row>
    <row r="480" ht="14.25" customHeight="1">
      <c r="A480" s="305"/>
      <c r="B480" s="305"/>
      <c r="C480" s="306"/>
      <c r="D480" s="306"/>
      <c r="E480" s="305"/>
      <c r="F480" s="305"/>
    </row>
    <row r="481" ht="14.25" customHeight="1">
      <c r="A481" s="305"/>
      <c r="B481" s="305"/>
      <c r="C481" s="306"/>
      <c r="D481" s="306"/>
      <c r="E481" s="305"/>
      <c r="F481" s="305"/>
    </row>
    <row r="482" ht="14.25" customHeight="1">
      <c r="A482" s="305"/>
      <c r="B482" s="305"/>
      <c r="C482" s="306"/>
      <c r="D482" s="306"/>
      <c r="E482" s="305"/>
      <c r="F482" s="305"/>
    </row>
    <row r="483" ht="14.25" customHeight="1">
      <c r="A483" s="305"/>
      <c r="B483" s="305"/>
      <c r="C483" s="306"/>
      <c r="D483" s="306"/>
      <c r="E483" s="305"/>
      <c r="F483" s="305"/>
    </row>
    <row r="484" ht="14.25" customHeight="1">
      <c r="A484" s="305"/>
      <c r="B484" s="305"/>
      <c r="C484" s="306"/>
      <c r="D484" s="306"/>
      <c r="E484" s="305"/>
      <c r="F484" s="305"/>
    </row>
    <row r="485" ht="14.25" customHeight="1">
      <c r="A485" s="305"/>
      <c r="B485" s="305"/>
      <c r="C485" s="306"/>
      <c r="D485" s="306"/>
      <c r="E485" s="305"/>
      <c r="F485" s="305"/>
    </row>
    <row r="486" ht="14.25" customHeight="1">
      <c r="A486" s="305"/>
      <c r="B486" s="305"/>
      <c r="C486" s="306"/>
      <c r="D486" s="306"/>
      <c r="E486" s="305"/>
      <c r="F486" s="305"/>
    </row>
    <row r="487" ht="14.25" customHeight="1">
      <c r="A487" s="305"/>
      <c r="B487" s="305"/>
      <c r="C487" s="306"/>
      <c r="D487" s="306"/>
      <c r="E487" s="305"/>
      <c r="F487" s="305"/>
    </row>
    <row r="488" ht="14.25" customHeight="1">
      <c r="A488" s="305"/>
      <c r="B488" s="305"/>
      <c r="C488" s="306"/>
      <c r="D488" s="306"/>
      <c r="E488" s="305"/>
      <c r="F488" s="305"/>
    </row>
    <row r="489" ht="14.25" customHeight="1">
      <c r="A489" s="305"/>
      <c r="B489" s="305"/>
      <c r="C489" s="306"/>
      <c r="D489" s="306"/>
      <c r="E489" s="305"/>
      <c r="F489" s="305"/>
    </row>
    <row r="490" ht="14.25" customHeight="1">
      <c r="A490" s="305"/>
      <c r="B490" s="305"/>
      <c r="C490" s="306"/>
      <c r="D490" s="306"/>
      <c r="E490" s="305"/>
      <c r="F490" s="305"/>
    </row>
    <row r="491" ht="14.25" customHeight="1">
      <c r="A491" s="305"/>
      <c r="B491" s="305"/>
      <c r="C491" s="306"/>
      <c r="D491" s="306"/>
      <c r="E491" s="305"/>
      <c r="F491" s="305"/>
    </row>
    <row r="492" ht="14.25" customHeight="1">
      <c r="A492" s="305"/>
      <c r="B492" s="305"/>
      <c r="C492" s="306"/>
      <c r="D492" s="306"/>
      <c r="E492" s="305"/>
      <c r="F492" s="305"/>
    </row>
    <row r="493" ht="14.25" customHeight="1">
      <c r="A493" s="305"/>
      <c r="B493" s="305"/>
      <c r="C493" s="306"/>
      <c r="D493" s="306"/>
      <c r="E493" s="305"/>
      <c r="F493" s="305"/>
    </row>
    <row r="494" ht="14.25" customHeight="1">
      <c r="A494" s="305"/>
      <c r="B494" s="305"/>
      <c r="C494" s="306"/>
      <c r="D494" s="306"/>
      <c r="E494" s="305"/>
      <c r="F494" s="305"/>
    </row>
    <row r="495" ht="14.25" customHeight="1">
      <c r="A495" s="305"/>
      <c r="B495" s="305"/>
      <c r="C495" s="306"/>
      <c r="D495" s="306"/>
      <c r="E495" s="305"/>
      <c r="F495" s="305"/>
    </row>
    <row r="496" ht="14.25" customHeight="1">
      <c r="A496" s="305"/>
      <c r="B496" s="305"/>
      <c r="C496" s="306"/>
      <c r="D496" s="306"/>
      <c r="E496" s="305"/>
      <c r="F496" s="305"/>
    </row>
    <row r="497" ht="14.25" customHeight="1">
      <c r="A497" s="305"/>
      <c r="B497" s="305"/>
      <c r="C497" s="306"/>
      <c r="D497" s="306"/>
      <c r="E497" s="305"/>
      <c r="F497" s="305"/>
    </row>
    <row r="498" ht="14.25" customHeight="1">
      <c r="A498" s="305"/>
      <c r="B498" s="305"/>
      <c r="C498" s="306"/>
      <c r="D498" s="306"/>
      <c r="E498" s="305"/>
      <c r="F498" s="305"/>
    </row>
    <row r="499" ht="14.25" customHeight="1">
      <c r="A499" s="305"/>
      <c r="B499" s="305"/>
      <c r="C499" s="306"/>
      <c r="D499" s="306"/>
      <c r="E499" s="305"/>
      <c r="F499" s="305"/>
    </row>
    <row r="500" ht="14.25" customHeight="1">
      <c r="A500" s="305"/>
      <c r="B500" s="305"/>
      <c r="C500" s="306"/>
      <c r="D500" s="306"/>
      <c r="E500" s="305"/>
      <c r="F500" s="305"/>
    </row>
    <row r="501" ht="14.25" customHeight="1">
      <c r="A501" s="305"/>
      <c r="B501" s="305"/>
      <c r="C501" s="306"/>
      <c r="D501" s="306"/>
      <c r="E501" s="305"/>
      <c r="F501" s="305"/>
    </row>
    <row r="502" ht="14.25" customHeight="1">
      <c r="A502" s="305"/>
      <c r="B502" s="305"/>
      <c r="C502" s="306"/>
      <c r="D502" s="306"/>
      <c r="E502" s="305"/>
      <c r="F502" s="305"/>
    </row>
    <row r="503" ht="14.25" customHeight="1">
      <c r="A503" s="305"/>
      <c r="B503" s="305"/>
      <c r="C503" s="306"/>
      <c r="D503" s="306"/>
      <c r="E503" s="305"/>
      <c r="F503" s="305"/>
    </row>
    <row r="504" ht="14.25" customHeight="1">
      <c r="A504" s="305"/>
      <c r="B504" s="305"/>
      <c r="C504" s="306"/>
      <c r="D504" s="306"/>
      <c r="E504" s="305"/>
      <c r="F504" s="305"/>
    </row>
    <row r="505" ht="14.25" customHeight="1">
      <c r="A505" s="305"/>
      <c r="B505" s="305"/>
      <c r="C505" s="306"/>
      <c r="D505" s="306"/>
      <c r="E505" s="305"/>
      <c r="F505" s="305"/>
    </row>
    <row r="506" ht="14.25" customHeight="1">
      <c r="A506" s="305"/>
      <c r="B506" s="305"/>
      <c r="C506" s="306"/>
      <c r="D506" s="306"/>
      <c r="E506" s="305"/>
      <c r="F506" s="305"/>
    </row>
    <row r="507" ht="14.25" customHeight="1">
      <c r="A507" s="305"/>
      <c r="B507" s="305"/>
      <c r="C507" s="306"/>
      <c r="D507" s="306"/>
      <c r="E507" s="305"/>
      <c r="F507" s="305"/>
    </row>
    <row r="508" ht="14.25" customHeight="1">
      <c r="A508" s="305"/>
      <c r="B508" s="305"/>
      <c r="C508" s="306"/>
      <c r="D508" s="306"/>
      <c r="E508" s="305"/>
      <c r="F508" s="305"/>
    </row>
    <row r="509" ht="14.25" customHeight="1">
      <c r="A509" s="305"/>
      <c r="B509" s="305"/>
      <c r="C509" s="306"/>
      <c r="D509" s="306"/>
      <c r="E509" s="305"/>
      <c r="F509" s="305"/>
    </row>
    <row r="510" ht="14.25" customHeight="1">
      <c r="A510" s="305"/>
      <c r="B510" s="305"/>
      <c r="C510" s="306"/>
      <c r="D510" s="306"/>
      <c r="E510" s="305"/>
      <c r="F510" s="305"/>
    </row>
    <row r="511" ht="14.25" customHeight="1">
      <c r="A511" s="305"/>
      <c r="B511" s="305"/>
      <c r="C511" s="306"/>
      <c r="D511" s="306"/>
      <c r="E511" s="305"/>
      <c r="F511" s="305"/>
    </row>
    <row r="512" ht="14.25" customHeight="1">
      <c r="A512" s="305"/>
      <c r="B512" s="305"/>
      <c r="C512" s="306"/>
      <c r="D512" s="306"/>
      <c r="E512" s="305"/>
      <c r="F512" s="305"/>
    </row>
    <row r="513" ht="14.25" customHeight="1">
      <c r="A513" s="305"/>
      <c r="B513" s="305"/>
      <c r="C513" s="306"/>
      <c r="D513" s="306"/>
      <c r="E513" s="305"/>
      <c r="F513" s="305"/>
    </row>
    <row r="514" ht="14.25" customHeight="1">
      <c r="A514" s="305"/>
      <c r="B514" s="305"/>
      <c r="C514" s="306"/>
      <c r="D514" s="306"/>
      <c r="E514" s="305"/>
      <c r="F514" s="305"/>
    </row>
    <row r="515" ht="14.25" customHeight="1">
      <c r="A515" s="305"/>
      <c r="B515" s="305"/>
      <c r="C515" s="306"/>
      <c r="D515" s="306"/>
      <c r="E515" s="305"/>
      <c r="F515" s="305"/>
    </row>
    <row r="516" ht="14.25" customHeight="1">
      <c r="A516" s="305"/>
      <c r="B516" s="305"/>
      <c r="C516" s="306"/>
      <c r="D516" s="306"/>
      <c r="E516" s="305"/>
      <c r="F516" s="305"/>
    </row>
    <row r="517" ht="14.25" customHeight="1">
      <c r="A517" s="305"/>
      <c r="B517" s="305"/>
      <c r="C517" s="306"/>
      <c r="D517" s="306"/>
      <c r="E517" s="305"/>
      <c r="F517" s="305"/>
    </row>
    <row r="518" ht="14.25" customHeight="1">
      <c r="A518" s="305"/>
      <c r="B518" s="305"/>
      <c r="C518" s="306"/>
      <c r="D518" s="306"/>
      <c r="E518" s="305"/>
      <c r="F518" s="305"/>
    </row>
    <row r="519" ht="14.25" customHeight="1">
      <c r="A519" s="305"/>
      <c r="B519" s="305"/>
      <c r="C519" s="306"/>
      <c r="D519" s="306"/>
      <c r="E519" s="305"/>
      <c r="F519" s="305"/>
    </row>
    <row r="520" ht="14.25" customHeight="1">
      <c r="A520" s="305"/>
      <c r="B520" s="305"/>
      <c r="C520" s="306"/>
      <c r="D520" s="306"/>
      <c r="E520" s="305"/>
      <c r="F520" s="305"/>
    </row>
    <row r="521" ht="14.25" customHeight="1">
      <c r="A521" s="305"/>
      <c r="B521" s="305"/>
      <c r="C521" s="306"/>
      <c r="D521" s="306"/>
      <c r="E521" s="305"/>
      <c r="F521" s="305"/>
    </row>
    <row r="522" ht="14.25" customHeight="1">
      <c r="A522" s="305"/>
      <c r="B522" s="305"/>
      <c r="C522" s="306"/>
      <c r="D522" s="306"/>
      <c r="E522" s="305"/>
      <c r="F522" s="305"/>
    </row>
    <row r="523" ht="14.25" customHeight="1">
      <c r="A523" s="305"/>
      <c r="B523" s="305"/>
      <c r="C523" s="306"/>
      <c r="D523" s="306"/>
      <c r="E523" s="305"/>
      <c r="F523" s="305"/>
    </row>
    <row r="524" ht="14.25" customHeight="1">
      <c r="A524" s="305"/>
      <c r="B524" s="305"/>
      <c r="C524" s="306"/>
      <c r="D524" s="306"/>
      <c r="E524" s="305"/>
      <c r="F524" s="305"/>
    </row>
    <row r="525" ht="14.25" customHeight="1">
      <c r="A525" s="305"/>
      <c r="B525" s="305"/>
      <c r="C525" s="306"/>
      <c r="D525" s="306"/>
      <c r="E525" s="305"/>
      <c r="F525" s="305"/>
    </row>
    <row r="526" ht="14.25" customHeight="1">
      <c r="A526" s="305"/>
      <c r="B526" s="305"/>
      <c r="C526" s="306"/>
      <c r="D526" s="306"/>
      <c r="E526" s="305"/>
      <c r="F526" s="305"/>
    </row>
    <row r="527" ht="14.25" customHeight="1">
      <c r="A527" s="305"/>
      <c r="B527" s="305"/>
      <c r="C527" s="306"/>
      <c r="D527" s="306"/>
      <c r="E527" s="305"/>
      <c r="F527" s="305"/>
    </row>
    <row r="528" ht="14.25" customHeight="1">
      <c r="A528" s="305"/>
      <c r="B528" s="305"/>
      <c r="C528" s="306"/>
      <c r="D528" s="306"/>
      <c r="E528" s="305"/>
      <c r="F528" s="305"/>
    </row>
    <row r="529" ht="14.25" customHeight="1">
      <c r="A529" s="305"/>
      <c r="B529" s="305"/>
      <c r="C529" s="306"/>
      <c r="D529" s="306"/>
      <c r="E529" s="305"/>
      <c r="F529" s="305"/>
    </row>
    <row r="530" ht="14.25" customHeight="1">
      <c r="A530" s="305"/>
      <c r="B530" s="305"/>
      <c r="C530" s="306"/>
      <c r="D530" s="306"/>
      <c r="E530" s="305"/>
      <c r="F530" s="305"/>
    </row>
    <row r="531" ht="14.25" customHeight="1">
      <c r="A531" s="305"/>
      <c r="B531" s="305"/>
      <c r="C531" s="306"/>
      <c r="D531" s="306"/>
      <c r="E531" s="305"/>
      <c r="F531" s="305"/>
    </row>
    <row r="532" ht="14.25" customHeight="1">
      <c r="A532" s="305"/>
      <c r="B532" s="305"/>
      <c r="C532" s="306"/>
      <c r="D532" s="306"/>
      <c r="E532" s="305"/>
      <c r="F532" s="305"/>
    </row>
    <row r="533" ht="14.25" customHeight="1">
      <c r="A533" s="305"/>
      <c r="B533" s="305"/>
      <c r="C533" s="306"/>
      <c r="D533" s="306"/>
      <c r="E533" s="305"/>
      <c r="F533" s="305"/>
    </row>
    <row r="534" ht="14.25" customHeight="1">
      <c r="A534" s="305"/>
      <c r="B534" s="305"/>
      <c r="C534" s="306"/>
      <c r="D534" s="306"/>
      <c r="E534" s="305"/>
      <c r="F534" s="305"/>
    </row>
    <row r="535" ht="14.25" customHeight="1">
      <c r="A535" s="305"/>
      <c r="B535" s="305"/>
      <c r="C535" s="306"/>
      <c r="D535" s="306"/>
      <c r="E535" s="305"/>
      <c r="F535" s="305"/>
    </row>
    <row r="536" ht="14.25" customHeight="1">
      <c r="A536" s="305"/>
      <c r="B536" s="305"/>
      <c r="C536" s="306"/>
      <c r="D536" s="306"/>
      <c r="E536" s="305"/>
      <c r="F536" s="305"/>
    </row>
    <row r="537" ht="14.25" customHeight="1">
      <c r="A537" s="305"/>
      <c r="B537" s="305"/>
      <c r="C537" s="306"/>
      <c r="D537" s="306"/>
      <c r="E537" s="305"/>
      <c r="F537" s="305"/>
    </row>
    <row r="538" ht="14.25" customHeight="1">
      <c r="A538" s="305"/>
      <c r="B538" s="305"/>
      <c r="C538" s="306"/>
      <c r="D538" s="306"/>
      <c r="E538" s="305"/>
      <c r="F538" s="305"/>
    </row>
    <row r="539" ht="14.25" customHeight="1">
      <c r="A539" s="305"/>
      <c r="B539" s="305"/>
      <c r="C539" s="306"/>
      <c r="D539" s="306"/>
      <c r="E539" s="305"/>
      <c r="F539" s="305"/>
    </row>
    <row r="540" ht="14.25" customHeight="1">
      <c r="A540" s="305"/>
      <c r="B540" s="305"/>
      <c r="C540" s="306"/>
      <c r="D540" s="306"/>
      <c r="E540" s="305"/>
      <c r="F540" s="305"/>
    </row>
    <row r="541" ht="14.25" customHeight="1">
      <c r="A541" s="305"/>
      <c r="B541" s="305"/>
      <c r="C541" s="306"/>
      <c r="D541" s="306"/>
      <c r="E541" s="305"/>
      <c r="F541" s="305"/>
    </row>
    <row r="542" ht="14.25" customHeight="1">
      <c r="A542" s="305"/>
      <c r="B542" s="305"/>
      <c r="C542" s="306"/>
      <c r="D542" s="306"/>
      <c r="E542" s="305"/>
      <c r="F542" s="305"/>
    </row>
    <row r="543" ht="14.25" customHeight="1">
      <c r="A543" s="305"/>
      <c r="B543" s="305"/>
      <c r="C543" s="306"/>
      <c r="D543" s="306"/>
      <c r="E543" s="305"/>
      <c r="F543" s="305"/>
    </row>
    <row r="544" ht="14.25" customHeight="1">
      <c r="A544" s="305"/>
      <c r="B544" s="305"/>
      <c r="C544" s="306"/>
      <c r="D544" s="306"/>
      <c r="E544" s="305"/>
      <c r="F544" s="305"/>
    </row>
    <row r="545" ht="14.25" customHeight="1">
      <c r="A545" s="305"/>
      <c r="B545" s="305"/>
      <c r="C545" s="306"/>
      <c r="D545" s="306"/>
      <c r="E545" s="305"/>
      <c r="F545" s="305"/>
    </row>
    <row r="546" ht="14.25" customHeight="1">
      <c r="A546" s="305"/>
      <c r="B546" s="305"/>
      <c r="C546" s="306"/>
      <c r="D546" s="306"/>
      <c r="E546" s="305"/>
      <c r="F546" s="305"/>
    </row>
    <row r="547" ht="14.25" customHeight="1">
      <c r="A547" s="305"/>
      <c r="B547" s="305"/>
      <c r="C547" s="306"/>
      <c r="D547" s="306"/>
      <c r="E547" s="305"/>
      <c r="F547" s="305"/>
    </row>
    <row r="548" ht="14.25" customHeight="1">
      <c r="A548" s="305"/>
      <c r="B548" s="305"/>
      <c r="C548" s="306"/>
      <c r="D548" s="306"/>
      <c r="E548" s="305"/>
      <c r="F548" s="305"/>
    </row>
    <row r="549" ht="14.25" customHeight="1">
      <c r="A549" s="305"/>
      <c r="B549" s="305"/>
      <c r="C549" s="306"/>
      <c r="D549" s="306"/>
      <c r="E549" s="305"/>
      <c r="F549" s="305"/>
    </row>
    <row r="550" ht="14.25" customHeight="1">
      <c r="A550" s="305"/>
      <c r="B550" s="305"/>
      <c r="C550" s="306"/>
      <c r="D550" s="306"/>
      <c r="E550" s="305"/>
      <c r="F550" s="305"/>
    </row>
    <row r="551" ht="14.25" customHeight="1">
      <c r="A551" s="305"/>
      <c r="B551" s="305"/>
      <c r="C551" s="306"/>
      <c r="D551" s="306"/>
      <c r="E551" s="305"/>
      <c r="F551" s="305"/>
    </row>
    <row r="552" ht="14.25" customHeight="1">
      <c r="A552" s="305"/>
      <c r="B552" s="305"/>
      <c r="C552" s="306"/>
      <c r="D552" s="306"/>
      <c r="E552" s="305"/>
      <c r="F552" s="305"/>
    </row>
    <row r="553" ht="14.25" customHeight="1">
      <c r="A553" s="305"/>
      <c r="B553" s="305"/>
      <c r="C553" s="306"/>
      <c r="D553" s="306"/>
      <c r="E553" s="305"/>
      <c r="F553" s="305"/>
    </row>
    <row r="554" ht="14.25" customHeight="1">
      <c r="A554" s="305"/>
      <c r="B554" s="305"/>
      <c r="C554" s="306"/>
      <c r="D554" s="306"/>
      <c r="E554" s="305"/>
      <c r="F554" s="305"/>
    </row>
    <row r="555" ht="14.25" customHeight="1">
      <c r="A555" s="305"/>
      <c r="B555" s="305"/>
      <c r="C555" s="306"/>
      <c r="D555" s="306"/>
      <c r="E555" s="305"/>
      <c r="F555" s="305"/>
    </row>
    <row r="556" ht="14.25" customHeight="1">
      <c r="A556" s="305"/>
      <c r="B556" s="305"/>
      <c r="C556" s="306"/>
      <c r="D556" s="306"/>
      <c r="E556" s="305"/>
      <c r="F556" s="305"/>
    </row>
    <row r="557" ht="14.25" customHeight="1">
      <c r="A557" s="305"/>
      <c r="B557" s="305"/>
      <c r="C557" s="306"/>
      <c r="D557" s="306"/>
      <c r="E557" s="305"/>
      <c r="F557" s="305"/>
    </row>
    <row r="558" ht="14.25" customHeight="1">
      <c r="A558" s="305"/>
      <c r="B558" s="305"/>
      <c r="C558" s="306"/>
      <c r="D558" s="306"/>
      <c r="E558" s="305"/>
      <c r="F558" s="305"/>
    </row>
    <row r="559" ht="14.25" customHeight="1">
      <c r="A559" s="305"/>
      <c r="B559" s="305"/>
      <c r="C559" s="306"/>
      <c r="D559" s="306"/>
      <c r="E559" s="305"/>
      <c r="F559" s="305"/>
    </row>
    <row r="560" ht="14.25" customHeight="1">
      <c r="A560" s="305"/>
      <c r="B560" s="305"/>
      <c r="C560" s="306"/>
      <c r="D560" s="306"/>
      <c r="E560" s="305"/>
      <c r="F560" s="305"/>
    </row>
    <row r="561" ht="14.25" customHeight="1">
      <c r="A561" s="305"/>
      <c r="B561" s="305"/>
      <c r="C561" s="306"/>
      <c r="D561" s="306"/>
      <c r="E561" s="305"/>
      <c r="F561" s="305"/>
    </row>
    <row r="562" ht="14.25" customHeight="1">
      <c r="A562" s="305"/>
      <c r="B562" s="305"/>
      <c r="C562" s="306"/>
      <c r="D562" s="306"/>
      <c r="E562" s="305"/>
      <c r="F562" s="305"/>
    </row>
    <row r="563" ht="14.25" customHeight="1">
      <c r="A563" s="305"/>
      <c r="B563" s="305"/>
      <c r="C563" s="306"/>
      <c r="D563" s="306"/>
      <c r="E563" s="305"/>
      <c r="F563" s="305"/>
    </row>
    <row r="564" ht="14.25" customHeight="1">
      <c r="A564" s="305"/>
      <c r="B564" s="305"/>
      <c r="C564" s="306"/>
      <c r="D564" s="306"/>
      <c r="E564" s="305"/>
      <c r="F564" s="305"/>
    </row>
    <row r="565" ht="14.25" customHeight="1">
      <c r="A565" s="305"/>
      <c r="B565" s="305"/>
      <c r="C565" s="306"/>
      <c r="D565" s="306"/>
      <c r="E565" s="305"/>
      <c r="F565" s="305"/>
    </row>
    <row r="566" ht="14.25" customHeight="1">
      <c r="A566" s="305"/>
      <c r="B566" s="305"/>
      <c r="C566" s="306"/>
      <c r="D566" s="306"/>
      <c r="E566" s="305"/>
      <c r="F566" s="305"/>
    </row>
    <row r="567" ht="14.25" customHeight="1">
      <c r="A567" s="305"/>
      <c r="B567" s="305"/>
      <c r="C567" s="306"/>
      <c r="D567" s="306"/>
      <c r="E567" s="305"/>
      <c r="F567" s="305"/>
    </row>
    <row r="568" ht="14.25" customHeight="1">
      <c r="A568" s="305"/>
      <c r="B568" s="305"/>
      <c r="C568" s="306"/>
      <c r="D568" s="306"/>
      <c r="E568" s="305"/>
      <c r="F568" s="305"/>
    </row>
    <row r="569" ht="14.25" customHeight="1">
      <c r="A569" s="305"/>
      <c r="B569" s="305"/>
      <c r="C569" s="306"/>
      <c r="D569" s="306"/>
      <c r="E569" s="305"/>
      <c r="F569" s="305"/>
    </row>
    <row r="570" ht="14.25" customHeight="1">
      <c r="A570" s="305"/>
      <c r="B570" s="305"/>
      <c r="C570" s="306"/>
      <c r="D570" s="306"/>
      <c r="E570" s="305"/>
      <c r="F570" s="305"/>
    </row>
    <row r="571" ht="14.25" customHeight="1">
      <c r="A571" s="305"/>
      <c r="B571" s="305"/>
      <c r="C571" s="306"/>
      <c r="D571" s="306"/>
      <c r="E571" s="305"/>
      <c r="F571" s="305"/>
    </row>
    <row r="572" ht="14.25" customHeight="1">
      <c r="A572" s="305"/>
      <c r="B572" s="305"/>
      <c r="C572" s="306"/>
      <c r="D572" s="306"/>
      <c r="E572" s="305"/>
      <c r="F572" s="305"/>
    </row>
    <row r="573" ht="14.25" customHeight="1">
      <c r="A573" s="305"/>
      <c r="B573" s="305"/>
      <c r="C573" s="306"/>
      <c r="D573" s="306"/>
      <c r="E573" s="305"/>
      <c r="F573" s="305"/>
    </row>
    <row r="574" ht="14.25" customHeight="1">
      <c r="A574" s="305"/>
      <c r="B574" s="305"/>
      <c r="C574" s="306"/>
      <c r="D574" s="306"/>
      <c r="E574" s="305"/>
      <c r="F574" s="305"/>
    </row>
    <row r="575" ht="14.25" customHeight="1">
      <c r="A575" s="305"/>
      <c r="B575" s="305"/>
      <c r="C575" s="306"/>
      <c r="D575" s="306"/>
      <c r="E575" s="305"/>
      <c r="F575" s="305"/>
    </row>
    <row r="576" ht="14.25" customHeight="1">
      <c r="A576" s="305"/>
      <c r="B576" s="305"/>
      <c r="C576" s="306"/>
      <c r="D576" s="306"/>
      <c r="E576" s="305"/>
      <c r="F576" s="305"/>
    </row>
    <row r="577" ht="14.25" customHeight="1">
      <c r="A577" s="305"/>
      <c r="B577" s="305"/>
      <c r="C577" s="306"/>
      <c r="D577" s="306"/>
      <c r="E577" s="305"/>
      <c r="F577" s="305"/>
    </row>
    <row r="578" ht="14.25" customHeight="1">
      <c r="A578" s="305"/>
      <c r="B578" s="305"/>
      <c r="C578" s="306"/>
      <c r="D578" s="306"/>
      <c r="E578" s="305"/>
      <c r="F578" s="305"/>
    </row>
    <row r="579" ht="14.25" customHeight="1">
      <c r="A579" s="305"/>
      <c r="B579" s="305"/>
      <c r="C579" s="306"/>
      <c r="D579" s="306"/>
      <c r="E579" s="305"/>
      <c r="F579" s="305"/>
    </row>
    <row r="580" ht="14.25" customHeight="1">
      <c r="A580" s="305"/>
      <c r="B580" s="305"/>
      <c r="C580" s="306"/>
      <c r="D580" s="306"/>
      <c r="E580" s="305"/>
      <c r="F580" s="305"/>
    </row>
    <row r="581" ht="14.25" customHeight="1">
      <c r="A581" s="305"/>
      <c r="B581" s="305"/>
      <c r="C581" s="306"/>
      <c r="D581" s="306"/>
      <c r="E581" s="305"/>
      <c r="F581" s="305"/>
    </row>
    <row r="582" ht="14.25" customHeight="1">
      <c r="A582" s="305"/>
      <c r="B582" s="305"/>
      <c r="C582" s="306"/>
      <c r="D582" s="306"/>
      <c r="E582" s="305"/>
      <c r="F582" s="305"/>
    </row>
    <row r="583" ht="14.25" customHeight="1">
      <c r="A583" s="305"/>
      <c r="B583" s="305"/>
      <c r="C583" s="306"/>
      <c r="D583" s="306"/>
      <c r="E583" s="305"/>
      <c r="F583" s="305"/>
    </row>
    <row r="584" ht="14.25" customHeight="1">
      <c r="A584" s="305"/>
      <c r="B584" s="305"/>
      <c r="C584" s="306"/>
      <c r="D584" s="306"/>
      <c r="E584" s="305"/>
      <c r="F584" s="305"/>
    </row>
    <row r="585" ht="14.25" customHeight="1">
      <c r="A585" s="305"/>
      <c r="B585" s="305"/>
      <c r="C585" s="306"/>
      <c r="D585" s="306"/>
      <c r="E585" s="305"/>
      <c r="F585" s="305"/>
    </row>
    <row r="586" ht="14.25" customHeight="1">
      <c r="A586" s="305"/>
      <c r="B586" s="305"/>
      <c r="C586" s="306"/>
      <c r="D586" s="306"/>
      <c r="E586" s="305"/>
      <c r="F586" s="305"/>
    </row>
    <row r="587" ht="14.25" customHeight="1">
      <c r="A587" s="305"/>
      <c r="B587" s="305"/>
      <c r="C587" s="306"/>
      <c r="D587" s="306"/>
      <c r="E587" s="305"/>
      <c r="F587" s="305"/>
    </row>
    <row r="588" ht="14.25" customHeight="1">
      <c r="A588" s="305"/>
      <c r="B588" s="305"/>
      <c r="C588" s="306"/>
      <c r="D588" s="306"/>
      <c r="E588" s="305"/>
      <c r="F588" s="305"/>
    </row>
    <row r="589" ht="14.25" customHeight="1">
      <c r="A589" s="305"/>
      <c r="B589" s="305"/>
      <c r="C589" s="306"/>
      <c r="D589" s="306"/>
      <c r="E589" s="305"/>
      <c r="F589" s="305"/>
    </row>
    <row r="590" ht="14.25" customHeight="1">
      <c r="A590" s="305"/>
      <c r="B590" s="305"/>
      <c r="C590" s="306"/>
      <c r="D590" s="306"/>
      <c r="E590" s="305"/>
      <c r="F590" s="305"/>
    </row>
    <row r="591" ht="14.25" customHeight="1">
      <c r="A591" s="305"/>
      <c r="B591" s="305"/>
      <c r="C591" s="306"/>
      <c r="D591" s="306"/>
      <c r="E591" s="305"/>
      <c r="F591" s="305"/>
    </row>
    <row r="592" ht="14.25" customHeight="1">
      <c r="A592" s="305"/>
      <c r="B592" s="305"/>
      <c r="C592" s="306"/>
      <c r="D592" s="306"/>
      <c r="E592" s="305"/>
      <c r="F592" s="305"/>
    </row>
    <row r="593" ht="14.25" customHeight="1">
      <c r="A593" s="305"/>
      <c r="B593" s="305"/>
      <c r="C593" s="306"/>
      <c r="D593" s="306"/>
      <c r="E593" s="305"/>
      <c r="F593" s="305"/>
    </row>
    <row r="594" ht="14.25" customHeight="1">
      <c r="A594" s="305"/>
      <c r="B594" s="305"/>
      <c r="C594" s="306"/>
      <c r="D594" s="306"/>
      <c r="E594" s="305"/>
      <c r="F594" s="305"/>
    </row>
    <row r="595" ht="14.25" customHeight="1">
      <c r="A595" s="305"/>
      <c r="B595" s="305"/>
      <c r="C595" s="306"/>
      <c r="D595" s="306"/>
      <c r="E595" s="305"/>
      <c r="F595" s="305"/>
    </row>
    <row r="596" ht="14.25" customHeight="1">
      <c r="A596" s="305"/>
      <c r="B596" s="305"/>
      <c r="C596" s="306"/>
      <c r="D596" s="306"/>
      <c r="E596" s="305"/>
      <c r="F596" s="305"/>
    </row>
    <row r="597" ht="14.25" customHeight="1">
      <c r="A597" s="305"/>
      <c r="B597" s="305"/>
      <c r="C597" s="306"/>
      <c r="D597" s="306"/>
      <c r="E597" s="305"/>
      <c r="F597" s="305"/>
    </row>
    <row r="598" ht="14.25" customHeight="1">
      <c r="A598" s="305"/>
      <c r="B598" s="305"/>
      <c r="C598" s="306"/>
      <c r="D598" s="306"/>
      <c r="E598" s="305"/>
      <c r="F598" s="305"/>
    </row>
    <row r="599" ht="14.25" customHeight="1">
      <c r="A599" s="305"/>
      <c r="B599" s="305"/>
      <c r="C599" s="306"/>
      <c r="D599" s="306"/>
      <c r="E599" s="305"/>
      <c r="F599" s="305"/>
    </row>
    <row r="600" ht="14.25" customHeight="1">
      <c r="A600" s="305"/>
      <c r="B600" s="305"/>
      <c r="C600" s="306"/>
      <c r="D600" s="306"/>
      <c r="E600" s="305"/>
      <c r="F600" s="305"/>
    </row>
    <row r="601" ht="14.25" customHeight="1">
      <c r="A601" s="305"/>
      <c r="B601" s="305"/>
      <c r="C601" s="306"/>
      <c r="D601" s="306"/>
      <c r="E601" s="305"/>
      <c r="F601" s="305"/>
    </row>
    <row r="602" ht="14.25" customHeight="1">
      <c r="A602" s="305"/>
      <c r="B602" s="305"/>
      <c r="C602" s="306"/>
      <c r="D602" s="306"/>
      <c r="E602" s="305"/>
      <c r="F602" s="305"/>
    </row>
    <row r="603" ht="14.25" customHeight="1">
      <c r="A603" s="305"/>
      <c r="B603" s="305"/>
      <c r="C603" s="306"/>
      <c r="D603" s="306"/>
      <c r="E603" s="305"/>
      <c r="F603" s="305"/>
    </row>
    <row r="604" ht="14.25" customHeight="1">
      <c r="A604" s="305"/>
      <c r="B604" s="305"/>
      <c r="C604" s="306"/>
      <c r="D604" s="306"/>
      <c r="E604" s="305"/>
      <c r="F604" s="305"/>
    </row>
    <row r="605" ht="14.25" customHeight="1">
      <c r="A605" s="305"/>
      <c r="B605" s="305"/>
      <c r="C605" s="306"/>
      <c r="D605" s="306"/>
      <c r="E605" s="305"/>
      <c r="F605" s="305"/>
    </row>
    <row r="606" ht="14.25" customHeight="1">
      <c r="A606" s="305"/>
      <c r="B606" s="305"/>
      <c r="C606" s="306"/>
      <c r="D606" s="306"/>
      <c r="E606" s="305"/>
      <c r="F606" s="305"/>
    </row>
    <row r="607" ht="14.25" customHeight="1">
      <c r="A607" s="305"/>
      <c r="B607" s="305"/>
      <c r="C607" s="306"/>
      <c r="D607" s="306"/>
      <c r="E607" s="305"/>
      <c r="F607" s="305"/>
    </row>
    <row r="608" ht="14.25" customHeight="1">
      <c r="A608" s="305"/>
      <c r="B608" s="305"/>
      <c r="C608" s="306"/>
      <c r="D608" s="306"/>
      <c r="E608" s="305"/>
      <c r="F608" s="305"/>
    </row>
    <row r="609" ht="14.25" customHeight="1">
      <c r="A609" s="305"/>
      <c r="B609" s="305"/>
      <c r="C609" s="306"/>
      <c r="D609" s="306"/>
      <c r="E609" s="305"/>
      <c r="F609" s="305"/>
    </row>
    <row r="610" ht="14.25" customHeight="1">
      <c r="A610" s="305"/>
      <c r="B610" s="305"/>
      <c r="C610" s="306"/>
      <c r="D610" s="306"/>
      <c r="E610" s="305"/>
      <c r="F610" s="305"/>
    </row>
    <row r="611" ht="14.25" customHeight="1">
      <c r="A611" s="305"/>
      <c r="B611" s="305"/>
      <c r="C611" s="306"/>
      <c r="D611" s="306"/>
      <c r="E611" s="305"/>
      <c r="F611" s="305"/>
    </row>
    <row r="612" ht="14.25" customHeight="1">
      <c r="A612" s="305"/>
      <c r="B612" s="305"/>
      <c r="C612" s="306"/>
      <c r="D612" s="306"/>
      <c r="E612" s="305"/>
      <c r="F612" s="305"/>
    </row>
    <row r="613" ht="14.25" customHeight="1">
      <c r="A613" s="305"/>
      <c r="B613" s="305"/>
      <c r="C613" s="306"/>
      <c r="D613" s="306"/>
      <c r="E613" s="305"/>
      <c r="F613" s="305"/>
    </row>
    <row r="614" ht="14.25" customHeight="1">
      <c r="A614" s="305"/>
      <c r="B614" s="305"/>
      <c r="C614" s="306"/>
      <c r="D614" s="306"/>
      <c r="E614" s="305"/>
      <c r="F614" s="305"/>
    </row>
    <row r="615" ht="14.25" customHeight="1">
      <c r="A615" s="305"/>
      <c r="B615" s="305"/>
      <c r="C615" s="306"/>
      <c r="D615" s="306"/>
      <c r="E615" s="305"/>
      <c r="F615" s="305"/>
    </row>
    <row r="616" ht="14.25" customHeight="1">
      <c r="A616" s="305"/>
      <c r="B616" s="305"/>
      <c r="C616" s="306"/>
      <c r="D616" s="306"/>
      <c r="E616" s="305"/>
      <c r="F616" s="305"/>
    </row>
    <row r="617" ht="14.25" customHeight="1">
      <c r="A617" s="305"/>
      <c r="B617" s="305"/>
      <c r="C617" s="306"/>
      <c r="D617" s="306"/>
      <c r="E617" s="305"/>
      <c r="F617" s="305"/>
    </row>
    <row r="618" ht="14.25" customHeight="1">
      <c r="A618" s="305"/>
      <c r="B618" s="305"/>
      <c r="C618" s="306"/>
      <c r="D618" s="306"/>
      <c r="E618" s="305"/>
      <c r="F618" s="305"/>
    </row>
    <row r="619" ht="14.25" customHeight="1">
      <c r="A619" s="305"/>
      <c r="B619" s="305"/>
      <c r="C619" s="306"/>
      <c r="D619" s="306"/>
      <c r="E619" s="305"/>
      <c r="F619" s="305"/>
    </row>
    <row r="620" ht="14.25" customHeight="1">
      <c r="A620" s="305"/>
      <c r="B620" s="305"/>
      <c r="C620" s="306"/>
      <c r="D620" s="306"/>
      <c r="E620" s="305"/>
      <c r="F620" s="305"/>
    </row>
    <row r="621" ht="14.25" customHeight="1">
      <c r="A621" s="305"/>
      <c r="B621" s="305"/>
      <c r="C621" s="306"/>
      <c r="D621" s="306"/>
      <c r="E621" s="305"/>
      <c r="F621" s="305"/>
    </row>
    <row r="622" ht="14.25" customHeight="1">
      <c r="A622" s="305"/>
      <c r="B622" s="305"/>
      <c r="C622" s="306"/>
      <c r="D622" s="306"/>
      <c r="E622" s="305"/>
      <c r="F622" s="305"/>
    </row>
    <row r="623" ht="14.25" customHeight="1">
      <c r="A623" s="305"/>
      <c r="B623" s="305"/>
      <c r="C623" s="306"/>
      <c r="D623" s="306"/>
      <c r="E623" s="305"/>
      <c r="F623" s="305"/>
    </row>
    <row r="624" ht="14.25" customHeight="1">
      <c r="A624" s="305"/>
      <c r="B624" s="305"/>
      <c r="C624" s="306"/>
      <c r="D624" s="306"/>
      <c r="E624" s="305"/>
      <c r="F624" s="305"/>
    </row>
    <row r="625" ht="14.25" customHeight="1">
      <c r="A625" s="305"/>
      <c r="B625" s="305"/>
      <c r="C625" s="306"/>
      <c r="D625" s="306"/>
      <c r="E625" s="305"/>
      <c r="F625" s="305"/>
    </row>
    <row r="626" ht="14.25" customHeight="1">
      <c r="A626" s="305"/>
      <c r="B626" s="305"/>
      <c r="C626" s="306"/>
      <c r="D626" s="306"/>
      <c r="E626" s="305"/>
      <c r="F626" s="305"/>
    </row>
    <row r="627" ht="14.25" customHeight="1">
      <c r="A627" s="305"/>
      <c r="B627" s="305"/>
      <c r="C627" s="306"/>
      <c r="D627" s="306"/>
      <c r="E627" s="305"/>
      <c r="F627" s="305"/>
    </row>
    <row r="628" ht="14.25" customHeight="1">
      <c r="A628" s="305"/>
      <c r="B628" s="305"/>
      <c r="C628" s="306"/>
      <c r="D628" s="306"/>
      <c r="E628" s="305"/>
      <c r="F628" s="305"/>
    </row>
    <row r="629" ht="14.25" customHeight="1">
      <c r="A629" s="305"/>
      <c r="B629" s="305"/>
      <c r="C629" s="306"/>
      <c r="D629" s="306"/>
      <c r="E629" s="305"/>
      <c r="F629" s="305"/>
    </row>
    <row r="630" ht="14.25" customHeight="1">
      <c r="A630" s="305"/>
      <c r="B630" s="305"/>
      <c r="C630" s="306"/>
      <c r="D630" s="306"/>
      <c r="E630" s="305"/>
      <c r="F630" s="305"/>
    </row>
    <row r="631" ht="14.25" customHeight="1">
      <c r="A631" s="305"/>
      <c r="B631" s="305"/>
      <c r="C631" s="306"/>
      <c r="D631" s="306"/>
      <c r="E631" s="305"/>
      <c r="F631" s="305"/>
    </row>
    <row r="632" ht="14.25" customHeight="1">
      <c r="A632" s="305"/>
      <c r="B632" s="305"/>
      <c r="C632" s="306"/>
      <c r="D632" s="306"/>
      <c r="E632" s="305"/>
      <c r="F632" s="305"/>
    </row>
    <row r="633" ht="14.25" customHeight="1">
      <c r="A633" s="305"/>
      <c r="B633" s="305"/>
      <c r="C633" s="306"/>
      <c r="D633" s="306"/>
      <c r="E633" s="305"/>
      <c r="F633" s="305"/>
    </row>
    <row r="634" ht="14.25" customHeight="1">
      <c r="A634" s="305"/>
      <c r="B634" s="305"/>
      <c r="C634" s="306"/>
      <c r="D634" s="306"/>
      <c r="E634" s="305"/>
      <c r="F634" s="305"/>
    </row>
    <row r="635" ht="14.25" customHeight="1">
      <c r="A635" s="305"/>
      <c r="B635" s="305"/>
      <c r="C635" s="306"/>
      <c r="D635" s="306"/>
      <c r="E635" s="305"/>
      <c r="F635" s="305"/>
    </row>
    <row r="636" ht="14.25" customHeight="1">
      <c r="A636" s="305"/>
      <c r="B636" s="305"/>
      <c r="C636" s="306"/>
      <c r="D636" s="306"/>
      <c r="E636" s="305"/>
      <c r="F636" s="305"/>
    </row>
    <row r="637" ht="14.25" customHeight="1">
      <c r="A637" s="305"/>
      <c r="B637" s="305"/>
      <c r="C637" s="306"/>
      <c r="D637" s="306"/>
      <c r="E637" s="305"/>
      <c r="F637" s="305"/>
    </row>
    <row r="638" ht="14.25" customHeight="1">
      <c r="A638" s="305"/>
      <c r="B638" s="305"/>
      <c r="C638" s="306"/>
      <c r="D638" s="306"/>
      <c r="E638" s="305"/>
      <c r="F638" s="305"/>
    </row>
    <row r="639" ht="14.25" customHeight="1">
      <c r="A639" s="305"/>
      <c r="B639" s="305"/>
      <c r="C639" s="306"/>
      <c r="D639" s="306"/>
      <c r="E639" s="305"/>
      <c r="F639" s="305"/>
    </row>
    <row r="640" ht="14.25" customHeight="1">
      <c r="A640" s="305"/>
      <c r="B640" s="305"/>
      <c r="C640" s="306"/>
      <c r="D640" s="306"/>
      <c r="E640" s="305"/>
      <c r="F640" s="305"/>
    </row>
    <row r="641" ht="14.25" customHeight="1">
      <c r="A641" s="305"/>
      <c r="B641" s="305"/>
      <c r="C641" s="306"/>
      <c r="D641" s="306"/>
      <c r="E641" s="305"/>
      <c r="F641" s="305"/>
    </row>
    <row r="642" ht="14.25" customHeight="1">
      <c r="A642" s="305"/>
      <c r="B642" s="305"/>
      <c r="C642" s="306"/>
      <c r="D642" s="306"/>
      <c r="E642" s="305"/>
      <c r="F642" s="305"/>
    </row>
    <row r="643" ht="14.25" customHeight="1">
      <c r="A643" s="305"/>
      <c r="B643" s="305"/>
      <c r="C643" s="306"/>
      <c r="D643" s="306"/>
      <c r="E643" s="305"/>
      <c r="F643" s="305"/>
    </row>
    <row r="644" ht="14.25" customHeight="1">
      <c r="A644" s="305"/>
      <c r="B644" s="305"/>
      <c r="C644" s="306"/>
      <c r="D644" s="306"/>
      <c r="E644" s="305"/>
      <c r="F644" s="305"/>
    </row>
    <row r="645" ht="14.25" customHeight="1">
      <c r="A645" s="305"/>
      <c r="B645" s="305"/>
      <c r="C645" s="306"/>
      <c r="D645" s="306"/>
      <c r="E645" s="305"/>
      <c r="F645" s="305"/>
    </row>
    <row r="646" ht="14.25" customHeight="1">
      <c r="A646" s="305"/>
      <c r="B646" s="305"/>
      <c r="C646" s="306"/>
      <c r="D646" s="306"/>
      <c r="E646" s="305"/>
      <c r="F646" s="305"/>
    </row>
    <row r="647" ht="14.25" customHeight="1">
      <c r="A647" s="305"/>
      <c r="B647" s="305"/>
      <c r="C647" s="306"/>
      <c r="D647" s="306"/>
      <c r="E647" s="305"/>
      <c r="F647" s="305"/>
    </row>
    <row r="648" ht="14.25" customHeight="1">
      <c r="A648" s="305"/>
      <c r="B648" s="305"/>
      <c r="C648" s="306"/>
      <c r="D648" s="306"/>
      <c r="E648" s="305"/>
      <c r="F648" s="305"/>
    </row>
    <row r="649" ht="14.25" customHeight="1">
      <c r="A649" s="305"/>
      <c r="B649" s="305"/>
      <c r="C649" s="306"/>
      <c r="D649" s="306"/>
      <c r="E649" s="305"/>
      <c r="F649" s="305"/>
    </row>
    <row r="650" ht="14.25" customHeight="1">
      <c r="A650" s="305"/>
      <c r="B650" s="305"/>
      <c r="C650" s="306"/>
      <c r="D650" s="306"/>
      <c r="E650" s="305"/>
      <c r="F650" s="305"/>
    </row>
    <row r="651" ht="14.25" customHeight="1">
      <c r="A651" s="305"/>
      <c r="B651" s="305"/>
      <c r="C651" s="306"/>
      <c r="D651" s="306"/>
      <c r="E651" s="305"/>
      <c r="F651" s="305"/>
    </row>
    <row r="652" ht="14.25" customHeight="1">
      <c r="A652" s="305"/>
      <c r="B652" s="305"/>
      <c r="C652" s="306"/>
      <c r="D652" s="306"/>
      <c r="E652" s="305"/>
      <c r="F652" s="305"/>
    </row>
    <row r="653" ht="14.25" customHeight="1">
      <c r="A653" s="305"/>
      <c r="B653" s="305"/>
      <c r="C653" s="306"/>
      <c r="D653" s="306"/>
      <c r="E653" s="305"/>
      <c r="F653" s="305"/>
    </row>
    <row r="654" ht="14.25" customHeight="1">
      <c r="A654" s="305"/>
      <c r="B654" s="305"/>
      <c r="C654" s="306"/>
      <c r="D654" s="306"/>
      <c r="E654" s="305"/>
      <c r="F654" s="305"/>
    </row>
    <row r="655" ht="14.25" customHeight="1">
      <c r="A655" s="305"/>
      <c r="B655" s="305"/>
      <c r="C655" s="306"/>
      <c r="D655" s="306"/>
      <c r="E655" s="305"/>
      <c r="F655" s="305"/>
    </row>
    <row r="656" ht="14.25" customHeight="1">
      <c r="A656" s="305"/>
      <c r="B656" s="305"/>
      <c r="C656" s="306"/>
      <c r="D656" s="306"/>
      <c r="E656" s="305"/>
      <c r="F656" s="305"/>
    </row>
    <row r="657" ht="14.25" customHeight="1">
      <c r="A657" s="305"/>
      <c r="B657" s="305"/>
      <c r="C657" s="306"/>
      <c r="D657" s="306"/>
      <c r="E657" s="305"/>
      <c r="F657" s="305"/>
    </row>
    <row r="658" ht="14.25" customHeight="1">
      <c r="A658" s="305"/>
      <c r="B658" s="305"/>
      <c r="C658" s="306"/>
      <c r="D658" s="306"/>
      <c r="E658" s="305"/>
      <c r="F658" s="305"/>
    </row>
    <row r="659" ht="14.25" customHeight="1">
      <c r="A659" s="305"/>
      <c r="B659" s="305"/>
      <c r="C659" s="306"/>
      <c r="D659" s="306"/>
      <c r="E659" s="305"/>
      <c r="F659" s="305"/>
    </row>
    <row r="660" ht="14.25" customHeight="1">
      <c r="A660" s="305"/>
      <c r="B660" s="305"/>
      <c r="C660" s="306"/>
      <c r="D660" s="306"/>
      <c r="E660" s="305"/>
      <c r="F660" s="305"/>
    </row>
    <row r="661" ht="14.25" customHeight="1">
      <c r="A661" s="305"/>
      <c r="B661" s="305"/>
      <c r="C661" s="306"/>
      <c r="D661" s="306"/>
      <c r="E661" s="305"/>
      <c r="F661" s="305"/>
    </row>
    <row r="662" ht="14.25" customHeight="1">
      <c r="A662" s="305"/>
      <c r="B662" s="305"/>
      <c r="C662" s="306"/>
      <c r="D662" s="306"/>
      <c r="E662" s="305"/>
      <c r="F662" s="305"/>
    </row>
    <row r="663" ht="14.25" customHeight="1">
      <c r="A663" s="305"/>
      <c r="B663" s="305"/>
      <c r="C663" s="306"/>
      <c r="D663" s="306"/>
      <c r="E663" s="305"/>
      <c r="F663" s="305"/>
    </row>
    <row r="664" ht="14.25" customHeight="1">
      <c r="A664" s="305"/>
      <c r="B664" s="305"/>
      <c r="C664" s="306"/>
      <c r="D664" s="306"/>
      <c r="E664" s="305"/>
      <c r="F664" s="305"/>
    </row>
    <row r="665" ht="14.25" customHeight="1">
      <c r="A665" s="305"/>
      <c r="B665" s="305"/>
      <c r="C665" s="306"/>
      <c r="D665" s="306"/>
      <c r="E665" s="305"/>
      <c r="F665" s="305"/>
    </row>
    <row r="666" ht="14.25" customHeight="1">
      <c r="A666" s="305"/>
      <c r="B666" s="305"/>
      <c r="C666" s="306"/>
      <c r="D666" s="306"/>
      <c r="E666" s="305"/>
      <c r="F666" s="305"/>
    </row>
    <row r="667" ht="14.25" customHeight="1">
      <c r="A667" s="305"/>
      <c r="B667" s="305"/>
      <c r="C667" s="306"/>
      <c r="D667" s="306"/>
      <c r="E667" s="305"/>
      <c r="F667" s="305"/>
    </row>
    <row r="668" ht="14.25" customHeight="1">
      <c r="A668" s="305"/>
      <c r="B668" s="305"/>
      <c r="C668" s="306"/>
      <c r="D668" s="306"/>
      <c r="E668" s="305"/>
      <c r="F668" s="305"/>
    </row>
    <row r="669" ht="14.25" customHeight="1">
      <c r="A669" s="305"/>
      <c r="B669" s="305"/>
      <c r="C669" s="306"/>
      <c r="D669" s="306"/>
      <c r="E669" s="305"/>
      <c r="F669" s="305"/>
    </row>
    <row r="670" ht="14.25" customHeight="1">
      <c r="A670" s="305"/>
      <c r="B670" s="305"/>
      <c r="C670" s="306"/>
      <c r="D670" s="306"/>
      <c r="E670" s="305"/>
      <c r="F670" s="305"/>
    </row>
    <row r="671" ht="14.25" customHeight="1">
      <c r="A671" s="305"/>
      <c r="B671" s="305"/>
      <c r="C671" s="306"/>
      <c r="D671" s="306"/>
      <c r="E671" s="305"/>
      <c r="F671" s="305"/>
    </row>
    <row r="672" ht="14.25" customHeight="1">
      <c r="A672" s="305"/>
      <c r="B672" s="305"/>
      <c r="C672" s="306"/>
      <c r="D672" s="306"/>
      <c r="E672" s="305"/>
      <c r="F672" s="305"/>
    </row>
    <row r="673" ht="14.25" customHeight="1">
      <c r="A673" s="305"/>
      <c r="B673" s="305"/>
      <c r="C673" s="306"/>
      <c r="D673" s="306"/>
      <c r="E673" s="305"/>
      <c r="F673" s="305"/>
    </row>
    <row r="674" ht="14.25" customHeight="1">
      <c r="A674" s="305"/>
      <c r="B674" s="305"/>
      <c r="C674" s="306"/>
      <c r="D674" s="306"/>
      <c r="E674" s="305"/>
      <c r="F674" s="305"/>
    </row>
    <row r="675" ht="14.25" customHeight="1">
      <c r="A675" s="305"/>
      <c r="B675" s="305"/>
      <c r="C675" s="306"/>
      <c r="D675" s="306"/>
      <c r="E675" s="305"/>
      <c r="F675" s="305"/>
    </row>
    <row r="676" ht="14.25" customHeight="1">
      <c r="A676" s="305"/>
      <c r="B676" s="305"/>
      <c r="C676" s="306"/>
      <c r="D676" s="306"/>
      <c r="E676" s="305"/>
      <c r="F676" s="305"/>
    </row>
    <row r="677" ht="14.25" customHeight="1">
      <c r="A677" s="305"/>
      <c r="B677" s="305"/>
      <c r="C677" s="306"/>
      <c r="D677" s="306"/>
      <c r="E677" s="305"/>
      <c r="F677" s="305"/>
    </row>
    <row r="678" ht="14.25" customHeight="1">
      <c r="A678" s="305"/>
      <c r="B678" s="305"/>
      <c r="C678" s="306"/>
      <c r="D678" s="306"/>
      <c r="E678" s="305"/>
      <c r="F678" s="305"/>
    </row>
    <row r="679" ht="14.25" customHeight="1">
      <c r="A679" s="305"/>
      <c r="B679" s="305"/>
      <c r="C679" s="306"/>
      <c r="D679" s="306"/>
      <c r="E679" s="305"/>
      <c r="F679" s="305"/>
    </row>
    <row r="680" ht="14.25" customHeight="1">
      <c r="A680" s="305"/>
      <c r="B680" s="305"/>
      <c r="C680" s="306"/>
      <c r="D680" s="306"/>
      <c r="E680" s="305"/>
      <c r="F680" s="305"/>
    </row>
    <row r="681" ht="14.25" customHeight="1">
      <c r="A681" s="305"/>
      <c r="B681" s="305"/>
      <c r="C681" s="306"/>
      <c r="D681" s="306"/>
      <c r="E681" s="305"/>
      <c r="F681" s="305"/>
    </row>
    <row r="682" ht="14.25" customHeight="1">
      <c r="A682" s="305"/>
      <c r="B682" s="305"/>
      <c r="C682" s="306"/>
      <c r="D682" s="306"/>
      <c r="E682" s="305"/>
      <c r="F682" s="305"/>
    </row>
    <row r="683" ht="14.25" customHeight="1">
      <c r="A683" s="305"/>
      <c r="B683" s="305"/>
      <c r="C683" s="306"/>
      <c r="D683" s="306"/>
      <c r="E683" s="305"/>
      <c r="F683" s="305"/>
    </row>
    <row r="684" ht="14.25" customHeight="1">
      <c r="A684" s="305"/>
      <c r="B684" s="305"/>
      <c r="C684" s="306"/>
      <c r="D684" s="306"/>
      <c r="E684" s="305"/>
      <c r="F684" s="305"/>
    </row>
    <row r="685" ht="14.25" customHeight="1">
      <c r="A685" s="305"/>
      <c r="B685" s="305"/>
      <c r="C685" s="306"/>
      <c r="D685" s="306"/>
      <c r="E685" s="305"/>
      <c r="F685" s="305"/>
    </row>
    <row r="686" ht="14.25" customHeight="1">
      <c r="A686" s="305"/>
      <c r="B686" s="305"/>
      <c r="C686" s="306"/>
      <c r="D686" s="306"/>
      <c r="E686" s="305"/>
      <c r="F686" s="305"/>
    </row>
    <row r="687" ht="14.25" customHeight="1">
      <c r="A687" s="305"/>
      <c r="B687" s="305"/>
      <c r="C687" s="306"/>
      <c r="D687" s="306"/>
      <c r="E687" s="305"/>
      <c r="F687" s="305"/>
    </row>
    <row r="688" ht="14.25" customHeight="1">
      <c r="A688" s="305"/>
      <c r="B688" s="305"/>
      <c r="C688" s="306"/>
      <c r="D688" s="306"/>
      <c r="E688" s="305"/>
      <c r="F688" s="305"/>
    </row>
    <row r="689" ht="14.25" customHeight="1">
      <c r="A689" s="305"/>
      <c r="B689" s="305"/>
      <c r="C689" s="306"/>
      <c r="D689" s="306"/>
      <c r="E689" s="305"/>
      <c r="F689" s="305"/>
    </row>
    <row r="690" ht="14.25" customHeight="1">
      <c r="A690" s="305"/>
      <c r="B690" s="305"/>
      <c r="C690" s="306"/>
      <c r="D690" s="306"/>
      <c r="E690" s="305"/>
      <c r="F690" s="305"/>
    </row>
    <row r="691" ht="14.25" customHeight="1">
      <c r="A691" s="305"/>
      <c r="B691" s="305"/>
      <c r="C691" s="306"/>
      <c r="D691" s="306"/>
      <c r="E691" s="305"/>
      <c r="F691" s="305"/>
    </row>
    <row r="692" ht="14.25" customHeight="1">
      <c r="A692" s="305"/>
      <c r="B692" s="305"/>
      <c r="C692" s="306"/>
      <c r="D692" s="306"/>
      <c r="E692" s="305"/>
      <c r="F692" s="305"/>
    </row>
    <row r="693" ht="14.25" customHeight="1">
      <c r="A693" s="305"/>
      <c r="B693" s="305"/>
      <c r="C693" s="306"/>
      <c r="D693" s="306"/>
      <c r="E693" s="305"/>
      <c r="F693" s="305"/>
    </row>
    <row r="694" ht="14.25" customHeight="1">
      <c r="A694" s="305"/>
      <c r="B694" s="305"/>
      <c r="C694" s="306"/>
      <c r="D694" s="306"/>
      <c r="E694" s="305"/>
      <c r="F694" s="305"/>
    </row>
    <row r="695" ht="14.25" customHeight="1">
      <c r="A695" s="305"/>
      <c r="B695" s="305"/>
      <c r="C695" s="306"/>
      <c r="D695" s="306"/>
      <c r="E695" s="305"/>
      <c r="F695" s="305"/>
    </row>
    <row r="696" ht="14.25" customHeight="1">
      <c r="A696" s="305"/>
      <c r="B696" s="305"/>
      <c r="C696" s="306"/>
      <c r="D696" s="306"/>
      <c r="E696" s="305"/>
      <c r="F696" s="305"/>
    </row>
    <row r="697" ht="14.25" customHeight="1">
      <c r="A697" s="305"/>
      <c r="B697" s="305"/>
      <c r="C697" s="306"/>
      <c r="D697" s="306"/>
      <c r="E697" s="305"/>
      <c r="F697" s="305"/>
    </row>
    <row r="698" ht="14.25" customHeight="1">
      <c r="A698" s="305"/>
      <c r="B698" s="305"/>
      <c r="C698" s="306"/>
      <c r="D698" s="306"/>
      <c r="E698" s="305"/>
      <c r="F698" s="305"/>
    </row>
    <row r="699" ht="14.25" customHeight="1">
      <c r="A699" s="305"/>
      <c r="B699" s="305"/>
      <c r="C699" s="306"/>
      <c r="D699" s="306"/>
      <c r="E699" s="305"/>
      <c r="F699" s="305"/>
    </row>
    <row r="700" ht="14.25" customHeight="1">
      <c r="A700" s="305"/>
      <c r="B700" s="305"/>
      <c r="C700" s="306"/>
      <c r="D700" s="306"/>
      <c r="E700" s="305"/>
      <c r="F700" s="305"/>
    </row>
    <row r="701" ht="14.25" customHeight="1">
      <c r="A701" s="305"/>
      <c r="B701" s="305"/>
      <c r="C701" s="306"/>
      <c r="D701" s="306"/>
      <c r="E701" s="305"/>
      <c r="F701" s="305"/>
    </row>
    <row r="702" ht="14.25" customHeight="1">
      <c r="A702" s="305"/>
      <c r="B702" s="305"/>
      <c r="C702" s="306"/>
      <c r="D702" s="306"/>
      <c r="E702" s="305"/>
      <c r="F702" s="305"/>
    </row>
    <row r="703" ht="14.25" customHeight="1">
      <c r="A703" s="305"/>
      <c r="B703" s="305"/>
      <c r="C703" s="306"/>
      <c r="D703" s="306"/>
      <c r="E703" s="305"/>
      <c r="F703" s="305"/>
    </row>
    <row r="704" ht="14.25" customHeight="1">
      <c r="A704" s="305"/>
      <c r="B704" s="305"/>
      <c r="C704" s="306"/>
      <c r="D704" s="306"/>
      <c r="E704" s="305"/>
      <c r="F704" s="305"/>
    </row>
    <row r="705" ht="14.25" customHeight="1">
      <c r="A705" s="305"/>
      <c r="B705" s="305"/>
      <c r="C705" s="306"/>
      <c r="D705" s="306"/>
      <c r="E705" s="305"/>
      <c r="F705" s="305"/>
    </row>
    <row r="706" ht="14.25" customHeight="1">
      <c r="A706" s="305"/>
      <c r="B706" s="305"/>
      <c r="C706" s="306"/>
      <c r="D706" s="306"/>
      <c r="E706" s="305"/>
      <c r="F706" s="305"/>
    </row>
    <row r="707" ht="14.25" customHeight="1">
      <c r="A707" s="305"/>
      <c r="B707" s="305"/>
      <c r="C707" s="306"/>
      <c r="D707" s="306"/>
      <c r="E707" s="305"/>
      <c r="F707" s="305"/>
    </row>
    <row r="708" ht="14.25" customHeight="1">
      <c r="A708" s="305"/>
      <c r="B708" s="305"/>
      <c r="C708" s="306"/>
      <c r="D708" s="306"/>
      <c r="E708" s="305"/>
      <c r="F708" s="305"/>
    </row>
    <row r="709" ht="14.25" customHeight="1">
      <c r="A709" s="305"/>
      <c r="B709" s="305"/>
      <c r="C709" s="306"/>
      <c r="D709" s="306"/>
      <c r="E709" s="305"/>
      <c r="F709" s="305"/>
    </row>
    <row r="710" ht="14.25" customHeight="1">
      <c r="A710" s="305"/>
      <c r="B710" s="305"/>
      <c r="C710" s="306"/>
      <c r="D710" s="306"/>
      <c r="E710" s="305"/>
      <c r="F710" s="305"/>
    </row>
    <row r="711" ht="14.25" customHeight="1">
      <c r="A711" s="305"/>
      <c r="B711" s="305"/>
      <c r="C711" s="306"/>
      <c r="D711" s="306"/>
      <c r="E711" s="305"/>
      <c r="F711" s="305"/>
    </row>
    <row r="712" ht="14.25" customHeight="1">
      <c r="A712" s="305"/>
      <c r="B712" s="305"/>
      <c r="C712" s="306"/>
      <c r="D712" s="306"/>
      <c r="E712" s="305"/>
      <c r="F712" s="305"/>
    </row>
    <row r="713" ht="14.25" customHeight="1">
      <c r="A713" s="305"/>
      <c r="B713" s="305"/>
      <c r="C713" s="306"/>
      <c r="D713" s="306"/>
      <c r="E713" s="305"/>
      <c r="F713" s="305"/>
    </row>
    <row r="714" ht="14.25" customHeight="1">
      <c r="A714" s="305"/>
      <c r="B714" s="305"/>
      <c r="C714" s="306"/>
      <c r="D714" s="306"/>
      <c r="E714" s="305"/>
      <c r="F714" s="305"/>
    </row>
    <row r="715" ht="14.25" customHeight="1">
      <c r="A715" s="305"/>
      <c r="B715" s="305"/>
      <c r="C715" s="306"/>
      <c r="D715" s="306"/>
      <c r="E715" s="305"/>
      <c r="F715" s="305"/>
    </row>
    <row r="716" ht="14.25" customHeight="1">
      <c r="A716" s="305"/>
      <c r="B716" s="305"/>
      <c r="C716" s="306"/>
      <c r="D716" s="306"/>
      <c r="E716" s="305"/>
      <c r="F716" s="305"/>
    </row>
    <row r="717" ht="14.25" customHeight="1">
      <c r="A717" s="305"/>
      <c r="B717" s="305"/>
      <c r="C717" s="306"/>
      <c r="D717" s="306"/>
      <c r="E717" s="305"/>
      <c r="F717" s="305"/>
    </row>
    <row r="718" ht="14.25" customHeight="1">
      <c r="A718" s="305"/>
      <c r="B718" s="305"/>
      <c r="C718" s="306"/>
      <c r="D718" s="306"/>
      <c r="E718" s="305"/>
      <c r="F718" s="305"/>
    </row>
    <row r="719" ht="14.25" customHeight="1">
      <c r="A719" s="305"/>
      <c r="B719" s="305"/>
      <c r="C719" s="306"/>
      <c r="D719" s="306"/>
      <c r="E719" s="305"/>
      <c r="F719" s="305"/>
    </row>
    <row r="720" ht="14.25" customHeight="1">
      <c r="A720" s="305"/>
      <c r="B720" s="305"/>
      <c r="C720" s="306"/>
      <c r="D720" s="306"/>
      <c r="E720" s="305"/>
      <c r="F720" s="305"/>
    </row>
    <row r="721" ht="14.25" customHeight="1">
      <c r="A721" s="305"/>
      <c r="B721" s="305"/>
      <c r="C721" s="306"/>
      <c r="D721" s="306"/>
      <c r="E721" s="305"/>
      <c r="F721" s="305"/>
    </row>
    <row r="722" ht="14.25" customHeight="1">
      <c r="A722" s="305"/>
      <c r="B722" s="305"/>
      <c r="C722" s="306"/>
      <c r="D722" s="306"/>
      <c r="E722" s="305"/>
      <c r="F722" s="305"/>
    </row>
    <row r="723" ht="14.25" customHeight="1">
      <c r="A723" s="305"/>
      <c r="B723" s="305"/>
      <c r="C723" s="306"/>
      <c r="D723" s="306"/>
      <c r="E723" s="305"/>
      <c r="F723" s="305"/>
    </row>
    <row r="724" ht="14.25" customHeight="1">
      <c r="A724" s="305"/>
      <c r="B724" s="305"/>
      <c r="C724" s="306"/>
      <c r="D724" s="306"/>
      <c r="E724" s="305"/>
      <c r="F724" s="305"/>
    </row>
    <row r="725" ht="14.25" customHeight="1">
      <c r="A725" s="305"/>
      <c r="B725" s="305"/>
      <c r="C725" s="306"/>
      <c r="D725" s="306"/>
      <c r="E725" s="305"/>
      <c r="F725" s="305"/>
    </row>
    <row r="726" ht="14.25" customHeight="1">
      <c r="A726" s="305"/>
      <c r="B726" s="305"/>
      <c r="C726" s="306"/>
      <c r="D726" s="306"/>
      <c r="E726" s="305"/>
      <c r="F726" s="305"/>
    </row>
    <row r="727" ht="14.25" customHeight="1">
      <c r="A727" s="305"/>
      <c r="B727" s="305"/>
      <c r="C727" s="306"/>
      <c r="D727" s="306"/>
      <c r="E727" s="305"/>
      <c r="F727" s="305"/>
    </row>
    <row r="728" ht="14.25" customHeight="1">
      <c r="A728" s="305"/>
      <c r="B728" s="305"/>
      <c r="C728" s="306"/>
      <c r="D728" s="306"/>
      <c r="E728" s="305"/>
      <c r="F728" s="305"/>
    </row>
    <row r="729" ht="14.25" customHeight="1">
      <c r="A729" s="305"/>
      <c r="B729" s="305"/>
      <c r="C729" s="306"/>
      <c r="D729" s="306"/>
      <c r="E729" s="305"/>
      <c r="F729" s="305"/>
    </row>
    <row r="730" ht="14.25" customHeight="1">
      <c r="A730" s="305"/>
      <c r="B730" s="305"/>
      <c r="C730" s="306"/>
      <c r="D730" s="306"/>
      <c r="E730" s="305"/>
      <c r="F730" s="305"/>
    </row>
    <row r="731" ht="14.25" customHeight="1">
      <c r="A731" s="305"/>
      <c r="B731" s="305"/>
      <c r="C731" s="306"/>
      <c r="D731" s="306"/>
      <c r="E731" s="305"/>
      <c r="F731" s="305"/>
    </row>
    <row r="732" ht="14.25" customHeight="1">
      <c r="A732" s="305"/>
      <c r="B732" s="305"/>
      <c r="C732" s="306"/>
      <c r="D732" s="306"/>
      <c r="E732" s="305"/>
      <c r="F732" s="305"/>
    </row>
    <row r="733" ht="14.25" customHeight="1">
      <c r="A733" s="305"/>
      <c r="B733" s="305"/>
      <c r="C733" s="306"/>
      <c r="D733" s="306"/>
      <c r="E733" s="305"/>
      <c r="F733" s="305"/>
    </row>
    <row r="734" ht="14.25" customHeight="1">
      <c r="A734" s="305"/>
      <c r="B734" s="305"/>
      <c r="C734" s="306"/>
      <c r="D734" s="306"/>
      <c r="E734" s="305"/>
      <c r="F734" s="305"/>
    </row>
    <row r="735" ht="14.25" customHeight="1">
      <c r="A735" s="305"/>
      <c r="B735" s="305"/>
      <c r="C735" s="306"/>
      <c r="D735" s="306"/>
      <c r="E735" s="305"/>
      <c r="F735" s="305"/>
    </row>
    <row r="736" ht="14.25" customHeight="1">
      <c r="A736" s="305"/>
      <c r="B736" s="305"/>
      <c r="C736" s="306"/>
      <c r="D736" s="306"/>
      <c r="E736" s="305"/>
      <c r="F736" s="305"/>
    </row>
    <row r="737" ht="14.25" customHeight="1">
      <c r="A737" s="305"/>
      <c r="B737" s="305"/>
      <c r="C737" s="306"/>
      <c r="D737" s="306"/>
      <c r="E737" s="305"/>
      <c r="F737" s="305"/>
    </row>
    <row r="738" ht="14.25" customHeight="1">
      <c r="A738" s="305"/>
      <c r="B738" s="305"/>
      <c r="C738" s="306"/>
      <c r="D738" s="306"/>
      <c r="E738" s="305"/>
      <c r="F738" s="305"/>
    </row>
    <row r="739" ht="14.25" customHeight="1">
      <c r="A739" s="305"/>
      <c r="B739" s="305"/>
      <c r="C739" s="306"/>
      <c r="D739" s="306"/>
      <c r="E739" s="305"/>
      <c r="F739" s="305"/>
    </row>
    <row r="740" ht="14.25" customHeight="1">
      <c r="A740" s="305"/>
      <c r="B740" s="305"/>
      <c r="C740" s="306"/>
      <c r="D740" s="306"/>
      <c r="E740" s="305"/>
      <c r="F740" s="305"/>
    </row>
    <row r="741" ht="14.25" customHeight="1">
      <c r="A741" s="305"/>
      <c r="B741" s="305"/>
      <c r="C741" s="306"/>
      <c r="D741" s="306"/>
      <c r="E741" s="305"/>
      <c r="F741" s="305"/>
    </row>
    <row r="742" ht="14.25" customHeight="1">
      <c r="A742" s="305"/>
      <c r="B742" s="305"/>
      <c r="C742" s="306"/>
      <c r="D742" s="306"/>
      <c r="E742" s="305"/>
      <c r="F742" s="305"/>
    </row>
    <row r="743" ht="14.25" customHeight="1">
      <c r="A743" s="305"/>
      <c r="B743" s="305"/>
      <c r="C743" s="306"/>
      <c r="D743" s="306"/>
      <c r="E743" s="305"/>
      <c r="F743" s="305"/>
    </row>
    <row r="744" ht="14.25" customHeight="1">
      <c r="A744" s="305"/>
      <c r="B744" s="305"/>
      <c r="C744" s="306"/>
      <c r="D744" s="306"/>
      <c r="E744" s="305"/>
      <c r="F744" s="305"/>
    </row>
    <row r="745" ht="14.25" customHeight="1">
      <c r="A745" s="305"/>
      <c r="B745" s="305"/>
      <c r="C745" s="306"/>
      <c r="D745" s="306"/>
      <c r="E745" s="305"/>
      <c r="F745" s="305"/>
    </row>
    <row r="746" ht="14.25" customHeight="1">
      <c r="A746" s="305"/>
      <c r="B746" s="305"/>
      <c r="C746" s="306"/>
      <c r="D746" s="306"/>
      <c r="E746" s="305"/>
      <c r="F746" s="305"/>
    </row>
    <row r="747" ht="14.25" customHeight="1">
      <c r="A747" s="305"/>
      <c r="B747" s="305"/>
      <c r="C747" s="306"/>
      <c r="D747" s="306"/>
      <c r="E747" s="305"/>
      <c r="F747" s="305"/>
    </row>
    <row r="748" ht="14.25" customHeight="1">
      <c r="A748" s="305"/>
      <c r="B748" s="305"/>
      <c r="C748" s="306"/>
      <c r="D748" s="306"/>
      <c r="E748" s="305"/>
      <c r="F748" s="305"/>
    </row>
    <row r="749" ht="14.25" customHeight="1">
      <c r="A749" s="305"/>
      <c r="B749" s="305"/>
      <c r="C749" s="306"/>
      <c r="D749" s="306"/>
      <c r="E749" s="305"/>
      <c r="F749" s="305"/>
    </row>
    <row r="750" ht="14.25" customHeight="1">
      <c r="A750" s="305"/>
      <c r="B750" s="305"/>
      <c r="C750" s="306"/>
      <c r="D750" s="306"/>
      <c r="E750" s="305"/>
      <c r="F750" s="305"/>
    </row>
    <row r="751" ht="14.25" customHeight="1">
      <c r="A751" s="305"/>
      <c r="B751" s="305"/>
      <c r="C751" s="306"/>
      <c r="D751" s="306"/>
      <c r="E751" s="305"/>
      <c r="F751" s="305"/>
    </row>
    <row r="752" ht="14.25" customHeight="1">
      <c r="A752" s="305"/>
      <c r="B752" s="305"/>
      <c r="C752" s="306"/>
      <c r="D752" s="306"/>
      <c r="E752" s="305"/>
      <c r="F752" s="305"/>
    </row>
    <row r="753" ht="14.25" customHeight="1">
      <c r="A753" s="305"/>
      <c r="B753" s="305"/>
      <c r="C753" s="306"/>
      <c r="D753" s="306"/>
      <c r="E753" s="305"/>
      <c r="F753" s="305"/>
    </row>
    <row r="754" ht="14.25" customHeight="1">
      <c r="A754" s="305"/>
      <c r="B754" s="305"/>
      <c r="C754" s="306"/>
      <c r="D754" s="306"/>
      <c r="E754" s="305"/>
      <c r="F754" s="305"/>
    </row>
    <row r="755" ht="14.25" customHeight="1">
      <c r="A755" s="305"/>
      <c r="B755" s="305"/>
      <c r="C755" s="306"/>
      <c r="D755" s="306"/>
      <c r="E755" s="305"/>
      <c r="F755" s="305"/>
    </row>
    <row r="756" ht="14.25" customHeight="1">
      <c r="A756" s="305"/>
      <c r="B756" s="305"/>
      <c r="C756" s="306"/>
      <c r="D756" s="306"/>
      <c r="E756" s="305"/>
      <c r="F756" s="305"/>
    </row>
    <row r="757" ht="14.25" customHeight="1">
      <c r="A757" s="305"/>
      <c r="B757" s="305"/>
      <c r="C757" s="306"/>
      <c r="D757" s="306"/>
      <c r="E757" s="305"/>
      <c r="F757" s="305"/>
    </row>
    <row r="758" ht="14.25" customHeight="1">
      <c r="A758" s="305"/>
      <c r="B758" s="305"/>
      <c r="C758" s="306"/>
      <c r="D758" s="306"/>
      <c r="E758" s="305"/>
      <c r="F758" s="305"/>
    </row>
    <row r="759" ht="14.25" customHeight="1">
      <c r="A759" s="305"/>
      <c r="B759" s="305"/>
      <c r="C759" s="306"/>
      <c r="D759" s="306"/>
      <c r="E759" s="305"/>
      <c r="F759" s="305"/>
    </row>
    <row r="760" ht="14.25" customHeight="1">
      <c r="A760" s="305"/>
      <c r="B760" s="305"/>
      <c r="C760" s="306"/>
      <c r="D760" s="306"/>
      <c r="E760" s="305"/>
      <c r="F760" s="305"/>
    </row>
    <row r="761" ht="14.25" customHeight="1">
      <c r="A761" s="305"/>
      <c r="B761" s="305"/>
      <c r="C761" s="306"/>
      <c r="D761" s="306"/>
      <c r="E761" s="305"/>
      <c r="F761" s="305"/>
    </row>
    <row r="762" ht="14.25" customHeight="1">
      <c r="A762" s="305"/>
      <c r="B762" s="305"/>
      <c r="C762" s="306"/>
      <c r="D762" s="306"/>
      <c r="E762" s="305"/>
      <c r="F762" s="305"/>
    </row>
    <row r="763" ht="14.25" customHeight="1">
      <c r="A763" s="305"/>
      <c r="B763" s="305"/>
      <c r="C763" s="306"/>
      <c r="D763" s="306"/>
      <c r="E763" s="305"/>
      <c r="F763" s="305"/>
    </row>
    <row r="764" ht="14.25" customHeight="1">
      <c r="A764" s="305"/>
      <c r="B764" s="305"/>
      <c r="C764" s="306"/>
      <c r="D764" s="306"/>
      <c r="E764" s="305"/>
      <c r="F764" s="305"/>
    </row>
    <row r="765" ht="14.25" customHeight="1">
      <c r="A765" s="305"/>
      <c r="B765" s="305"/>
      <c r="C765" s="306"/>
      <c r="D765" s="306"/>
      <c r="E765" s="305"/>
      <c r="F765" s="305"/>
    </row>
    <row r="766" ht="14.25" customHeight="1">
      <c r="A766" s="305"/>
      <c r="B766" s="305"/>
      <c r="C766" s="306"/>
      <c r="D766" s="306"/>
      <c r="E766" s="305"/>
      <c r="F766" s="305"/>
    </row>
    <row r="767" ht="14.25" customHeight="1">
      <c r="A767" s="305"/>
      <c r="B767" s="305"/>
      <c r="C767" s="306"/>
      <c r="D767" s="306"/>
      <c r="E767" s="305"/>
      <c r="F767" s="305"/>
    </row>
    <row r="768" ht="14.25" customHeight="1">
      <c r="A768" s="305"/>
      <c r="B768" s="305"/>
      <c r="C768" s="306"/>
      <c r="D768" s="306"/>
      <c r="E768" s="305"/>
      <c r="F768" s="305"/>
    </row>
    <row r="769" ht="14.25" customHeight="1">
      <c r="A769" s="305"/>
      <c r="B769" s="305"/>
      <c r="C769" s="306"/>
      <c r="D769" s="306"/>
      <c r="E769" s="305"/>
      <c r="F769" s="305"/>
    </row>
    <row r="770" ht="14.25" customHeight="1">
      <c r="A770" s="305"/>
      <c r="B770" s="305"/>
      <c r="C770" s="306"/>
      <c r="D770" s="306"/>
      <c r="E770" s="305"/>
      <c r="F770" s="305"/>
    </row>
    <row r="771" ht="14.25" customHeight="1">
      <c r="A771" s="305"/>
      <c r="B771" s="305"/>
      <c r="C771" s="306"/>
      <c r="D771" s="306"/>
      <c r="E771" s="305"/>
      <c r="F771" s="305"/>
    </row>
    <row r="772" ht="14.25" customHeight="1">
      <c r="A772" s="305"/>
      <c r="B772" s="305"/>
      <c r="C772" s="306"/>
      <c r="D772" s="306"/>
      <c r="E772" s="305"/>
      <c r="F772" s="305"/>
    </row>
    <row r="773" ht="14.25" customHeight="1">
      <c r="A773" s="305"/>
      <c r="B773" s="305"/>
      <c r="C773" s="306"/>
      <c r="D773" s="306"/>
      <c r="E773" s="305"/>
      <c r="F773" s="305"/>
    </row>
    <row r="774" ht="14.25" customHeight="1">
      <c r="A774" s="305"/>
      <c r="B774" s="305"/>
      <c r="C774" s="306"/>
      <c r="D774" s="306"/>
      <c r="E774" s="305"/>
      <c r="F774" s="305"/>
    </row>
    <row r="775" ht="14.25" customHeight="1">
      <c r="A775" s="305"/>
      <c r="B775" s="305"/>
      <c r="C775" s="306"/>
      <c r="D775" s="306"/>
      <c r="E775" s="305"/>
      <c r="F775" s="305"/>
    </row>
    <row r="776" ht="14.25" customHeight="1">
      <c r="A776" s="305"/>
      <c r="B776" s="305"/>
      <c r="C776" s="306"/>
      <c r="D776" s="306"/>
      <c r="E776" s="305"/>
      <c r="F776" s="305"/>
    </row>
    <row r="777" ht="14.25" customHeight="1">
      <c r="A777" s="305"/>
      <c r="B777" s="305"/>
      <c r="C777" s="306"/>
      <c r="D777" s="306"/>
      <c r="E777" s="305"/>
      <c r="F777" s="305"/>
    </row>
    <row r="778" ht="14.25" customHeight="1">
      <c r="A778" s="305"/>
      <c r="B778" s="305"/>
      <c r="C778" s="306"/>
      <c r="D778" s="306"/>
      <c r="E778" s="305"/>
      <c r="F778" s="305"/>
    </row>
    <row r="779" ht="14.25" customHeight="1">
      <c r="A779" s="305"/>
      <c r="B779" s="305"/>
      <c r="C779" s="306"/>
      <c r="D779" s="306"/>
      <c r="E779" s="305"/>
      <c r="F779" s="305"/>
    </row>
    <row r="780" ht="14.25" customHeight="1">
      <c r="A780" s="305"/>
      <c r="B780" s="305"/>
      <c r="C780" s="306"/>
      <c r="D780" s="306"/>
      <c r="E780" s="305"/>
      <c r="F780" s="305"/>
    </row>
    <row r="781" ht="14.25" customHeight="1">
      <c r="A781" s="305"/>
      <c r="B781" s="305"/>
      <c r="C781" s="306"/>
      <c r="D781" s="306"/>
      <c r="E781" s="305"/>
      <c r="F781" s="305"/>
    </row>
    <row r="782" ht="14.25" customHeight="1">
      <c r="A782" s="305"/>
      <c r="B782" s="305"/>
      <c r="C782" s="306"/>
      <c r="D782" s="306"/>
      <c r="E782" s="305"/>
      <c r="F782" s="305"/>
    </row>
    <row r="783" ht="14.25" customHeight="1">
      <c r="A783" s="305"/>
      <c r="B783" s="305"/>
      <c r="C783" s="306"/>
      <c r="D783" s="306"/>
      <c r="E783" s="305"/>
      <c r="F783" s="305"/>
    </row>
    <row r="784" ht="14.25" customHeight="1">
      <c r="A784" s="305"/>
      <c r="B784" s="305"/>
      <c r="C784" s="306"/>
      <c r="D784" s="306"/>
      <c r="E784" s="305"/>
      <c r="F784" s="305"/>
    </row>
    <row r="785" ht="14.25" customHeight="1">
      <c r="A785" s="305"/>
      <c r="B785" s="305"/>
      <c r="C785" s="306"/>
      <c r="D785" s="306"/>
      <c r="E785" s="305"/>
      <c r="F785" s="305"/>
    </row>
    <row r="786" ht="14.25" customHeight="1">
      <c r="A786" s="305"/>
      <c r="B786" s="305"/>
      <c r="C786" s="306"/>
      <c r="D786" s="306"/>
      <c r="E786" s="305"/>
      <c r="F786" s="305"/>
    </row>
    <row r="787" ht="14.25" customHeight="1">
      <c r="A787" s="305"/>
      <c r="B787" s="305"/>
      <c r="C787" s="306"/>
      <c r="D787" s="306"/>
      <c r="E787" s="305"/>
      <c r="F787" s="305"/>
    </row>
    <row r="788" ht="14.25" customHeight="1">
      <c r="A788" s="305"/>
      <c r="B788" s="305"/>
      <c r="C788" s="306"/>
      <c r="D788" s="306"/>
      <c r="E788" s="305"/>
      <c r="F788" s="305"/>
    </row>
    <row r="789" ht="14.25" customHeight="1">
      <c r="A789" s="305"/>
      <c r="B789" s="305"/>
      <c r="C789" s="306"/>
      <c r="D789" s="306"/>
      <c r="E789" s="305"/>
      <c r="F789" s="305"/>
    </row>
    <row r="790" ht="14.25" customHeight="1">
      <c r="A790" s="305"/>
      <c r="B790" s="305"/>
      <c r="C790" s="306"/>
      <c r="D790" s="306"/>
      <c r="E790" s="305"/>
      <c r="F790" s="305"/>
    </row>
    <row r="791" ht="14.25" customHeight="1">
      <c r="A791" s="305"/>
      <c r="B791" s="305"/>
      <c r="C791" s="306"/>
      <c r="D791" s="306"/>
      <c r="E791" s="305"/>
      <c r="F791" s="305"/>
    </row>
    <row r="792" ht="14.25" customHeight="1">
      <c r="A792" s="305"/>
      <c r="B792" s="305"/>
      <c r="C792" s="306"/>
      <c r="D792" s="306"/>
      <c r="E792" s="305"/>
      <c r="F792" s="305"/>
    </row>
    <row r="793" ht="14.25" customHeight="1">
      <c r="A793" s="305"/>
      <c r="B793" s="305"/>
      <c r="C793" s="306"/>
      <c r="D793" s="306"/>
      <c r="E793" s="305"/>
      <c r="F793" s="305"/>
    </row>
    <row r="794" ht="14.25" customHeight="1">
      <c r="A794" s="305"/>
      <c r="B794" s="305"/>
      <c r="C794" s="306"/>
      <c r="D794" s="306"/>
      <c r="E794" s="305"/>
      <c r="F794" s="305"/>
    </row>
    <row r="795" ht="14.25" customHeight="1">
      <c r="A795" s="305"/>
      <c r="B795" s="305"/>
      <c r="C795" s="306"/>
      <c r="D795" s="306"/>
      <c r="E795" s="305"/>
      <c r="F795" s="305"/>
    </row>
    <row r="796" ht="14.25" customHeight="1">
      <c r="A796" s="305"/>
      <c r="B796" s="305"/>
      <c r="C796" s="306"/>
      <c r="D796" s="306"/>
      <c r="E796" s="305"/>
      <c r="F796" s="305"/>
    </row>
    <row r="797" ht="14.25" customHeight="1">
      <c r="A797" s="305"/>
      <c r="B797" s="305"/>
      <c r="C797" s="306"/>
      <c r="D797" s="306"/>
      <c r="E797" s="305"/>
      <c r="F797" s="305"/>
    </row>
    <row r="798" ht="14.25" customHeight="1">
      <c r="A798" s="305"/>
      <c r="B798" s="305"/>
      <c r="C798" s="306"/>
      <c r="D798" s="306"/>
      <c r="E798" s="305"/>
      <c r="F798" s="305"/>
    </row>
    <row r="799" ht="14.25" customHeight="1">
      <c r="A799" s="305"/>
      <c r="B799" s="305"/>
      <c r="C799" s="306"/>
      <c r="D799" s="306"/>
      <c r="E799" s="305"/>
      <c r="F799" s="305"/>
    </row>
    <row r="800" ht="14.25" customHeight="1">
      <c r="A800" s="305"/>
      <c r="B800" s="305"/>
      <c r="C800" s="306"/>
      <c r="D800" s="306"/>
      <c r="E800" s="305"/>
      <c r="F800" s="305"/>
    </row>
    <row r="801" ht="14.25" customHeight="1">
      <c r="A801" s="305"/>
      <c r="B801" s="305"/>
      <c r="C801" s="306"/>
      <c r="D801" s="306"/>
      <c r="E801" s="305"/>
      <c r="F801" s="305"/>
    </row>
    <row r="802" ht="14.25" customHeight="1">
      <c r="A802" s="305"/>
      <c r="B802" s="305"/>
      <c r="C802" s="306"/>
      <c r="D802" s="306"/>
      <c r="E802" s="305"/>
      <c r="F802" s="305"/>
    </row>
    <row r="803" ht="14.25" customHeight="1">
      <c r="A803" s="305"/>
      <c r="B803" s="305"/>
      <c r="C803" s="306"/>
      <c r="D803" s="306"/>
      <c r="E803" s="305"/>
      <c r="F803" s="305"/>
    </row>
    <row r="804" ht="14.25" customHeight="1">
      <c r="A804" s="305"/>
      <c r="B804" s="305"/>
      <c r="C804" s="306"/>
      <c r="D804" s="306"/>
      <c r="E804" s="305"/>
      <c r="F804" s="305"/>
    </row>
    <row r="805" ht="14.25" customHeight="1">
      <c r="A805" s="305"/>
      <c r="B805" s="305"/>
      <c r="C805" s="306"/>
      <c r="D805" s="306"/>
      <c r="E805" s="305"/>
      <c r="F805" s="305"/>
    </row>
    <row r="806" ht="14.25" customHeight="1">
      <c r="A806" s="305"/>
      <c r="B806" s="305"/>
      <c r="C806" s="306"/>
      <c r="D806" s="306"/>
      <c r="E806" s="305"/>
      <c r="F806" s="305"/>
    </row>
    <row r="807" ht="14.25" customHeight="1">
      <c r="A807" s="305"/>
      <c r="B807" s="305"/>
      <c r="C807" s="306"/>
      <c r="D807" s="306"/>
      <c r="E807" s="305"/>
      <c r="F807" s="305"/>
    </row>
    <row r="808" ht="14.25" customHeight="1">
      <c r="A808" s="305"/>
      <c r="B808" s="305"/>
      <c r="C808" s="306"/>
      <c r="D808" s="306"/>
      <c r="E808" s="305"/>
      <c r="F808" s="305"/>
    </row>
    <row r="809" ht="14.25" customHeight="1">
      <c r="A809" s="305"/>
      <c r="B809" s="305"/>
      <c r="C809" s="306"/>
      <c r="D809" s="306"/>
      <c r="E809" s="305"/>
      <c r="F809" s="305"/>
    </row>
    <row r="810" ht="14.25" customHeight="1">
      <c r="A810" s="305"/>
      <c r="B810" s="305"/>
      <c r="C810" s="306"/>
      <c r="D810" s="306"/>
      <c r="E810" s="305"/>
      <c r="F810" s="305"/>
    </row>
    <row r="811" ht="14.25" customHeight="1">
      <c r="A811" s="305"/>
      <c r="B811" s="305"/>
      <c r="C811" s="306"/>
      <c r="D811" s="306"/>
      <c r="E811" s="305"/>
      <c r="F811" s="305"/>
    </row>
    <row r="812" ht="14.25" customHeight="1">
      <c r="A812" s="305"/>
      <c r="B812" s="305"/>
      <c r="C812" s="306"/>
      <c r="D812" s="306"/>
      <c r="E812" s="305"/>
      <c r="F812" s="305"/>
    </row>
    <row r="813" ht="14.25" customHeight="1">
      <c r="A813" s="305"/>
      <c r="B813" s="305"/>
      <c r="C813" s="306"/>
      <c r="D813" s="306"/>
      <c r="E813" s="305"/>
      <c r="F813" s="305"/>
    </row>
    <row r="814" ht="14.25" customHeight="1">
      <c r="A814" s="305"/>
      <c r="B814" s="305"/>
      <c r="C814" s="306"/>
      <c r="D814" s="306"/>
      <c r="E814" s="305"/>
      <c r="F814" s="305"/>
    </row>
    <row r="815" ht="14.25" customHeight="1">
      <c r="A815" s="305"/>
      <c r="B815" s="305"/>
      <c r="C815" s="306"/>
      <c r="D815" s="306"/>
      <c r="E815" s="305"/>
      <c r="F815" s="305"/>
    </row>
    <row r="816" ht="14.25" customHeight="1">
      <c r="A816" s="305"/>
      <c r="B816" s="305"/>
      <c r="C816" s="306"/>
      <c r="D816" s="306"/>
      <c r="E816" s="305"/>
      <c r="F816" s="305"/>
    </row>
    <row r="817" ht="14.25" customHeight="1">
      <c r="A817" s="305"/>
      <c r="B817" s="305"/>
      <c r="C817" s="306"/>
      <c r="D817" s="306"/>
      <c r="E817" s="305"/>
      <c r="F817" s="305"/>
    </row>
    <row r="818" ht="14.25" customHeight="1">
      <c r="A818" s="305"/>
      <c r="B818" s="305"/>
      <c r="C818" s="306"/>
      <c r="D818" s="306"/>
      <c r="E818" s="305"/>
      <c r="F818" s="305"/>
    </row>
    <row r="819" ht="14.25" customHeight="1">
      <c r="A819" s="305"/>
      <c r="B819" s="305"/>
      <c r="C819" s="306"/>
      <c r="D819" s="306"/>
      <c r="E819" s="305"/>
      <c r="F819" s="305"/>
    </row>
    <row r="820" ht="14.25" customHeight="1">
      <c r="A820" s="305"/>
      <c r="B820" s="305"/>
      <c r="C820" s="306"/>
      <c r="D820" s="306"/>
      <c r="E820" s="305"/>
      <c r="F820" s="305"/>
    </row>
    <row r="821" ht="14.25" customHeight="1">
      <c r="A821" s="305"/>
      <c r="B821" s="305"/>
      <c r="C821" s="306"/>
      <c r="D821" s="306"/>
      <c r="E821" s="305"/>
      <c r="F821" s="305"/>
    </row>
    <row r="822" ht="14.25" customHeight="1">
      <c r="A822" s="305"/>
      <c r="B822" s="305"/>
      <c r="C822" s="306"/>
      <c r="D822" s="306"/>
      <c r="E822" s="305"/>
      <c r="F822" s="305"/>
    </row>
    <row r="823" ht="14.25" customHeight="1">
      <c r="A823" s="305"/>
      <c r="B823" s="305"/>
      <c r="C823" s="306"/>
      <c r="D823" s="306"/>
      <c r="E823" s="305"/>
      <c r="F823" s="305"/>
    </row>
    <row r="824" ht="14.25" customHeight="1">
      <c r="A824" s="305"/>
      <c r="B824" s="305"/>
      <c r="C824" s="306"/>
      <c r="D824" s="306"/>
      <c r="E824" s="305"/>
      <c r="F824" s="305"/>
    </row>
    <row r="825" ht="14.25" customHeight="1">
      <c r="A825" s="305"/>
      <c r="B825" s="305"/>
      <c r="C825" s="306"/>
      <c r="D825" s="306"/>
      <c r="E825" s="305"/>
      <c r="F825" s="305"/>
    </row>
    <row r="826" ht="14.25" customHeight="1">
      <c r="A826" s="305"/>
      <c r="B826" s="305"/>
      <c r="C826" s="306"/>
      <c r="D826" s="306"/>
      <c r="E826" s="305"/>
      <c r="F826" s="305"/>
    </row>
    <row r="827" ht="14.25" customHeight="1">
      <c r="A827" s="305"/>
      <c r="B827" s="305"/>
      <c r="C827" s="306"/>
      <c r="D827" s="306"/>
      <c r="E827" s="305"/>
      <c r="F827" s="305"/>
    </row>
    <row r="828" ht="14.25" customHeight="1">
      <c r="A828" s="305"/>
      <c r="B828" s="305"/>
      <c r="C828" s="306"/>
      <c r="D828" s="306"/>
      <c r="E828" s="305"/>
      <c r="F828" s="305"/>
    </row>
    <row r="829" ht="14.25" customHeight="1">
      <c r="A829" s="305"/>
      <c r="B829" s="305"/>
      <c r="C829" s="306"/>
      <c r="D829" s="306"/>
      <c r="E829" s="305"/>
      <c r="F829" s="305"/>
    </row>
    <row r="830" ht="14.25" customHeight="1">
      <c r="A830" s="305"/>
      <c r="B830" s="305"/>
      <c r="C830" s="306"/>
      <c r="D830" s="306"/>
      <c r="E830" s="305"/>
      <c r="F830" s="305"/>
    </row>
    <row r="831" ht="14.25" customHeight="1">
      <c r="A831" s="305"/>
      <c r="B831" s="305"/>
      <c r="C831" s="306"/>
      <c r="D831" s="306"/>
      <c r="E831" s="305"/>
      <c r="F831" s="305"/>
    </row>
    <row r="832" ht="14.25" customHeight="1">
      <c r="A832" s="305"/>
      <c r="B832" s="305"/>
      <c r="C832" s="306"/>
      <c r="D832" s="306"/>
      <c r="E832" s="305"/>
      <c r="F832" s="305"/>
    </row>
    <row r="833" ht="14.25" customHeight="1">
      <c r="A833" s="305"/>
      <c r="B833" s="305"/>
      <c r="C833" s="306"/>
      <c r="D833" s="306"/>
      <c r="E833" s="305"/>
      <c r="F833" s="305"/>
    </row>
    <row r="834" ht="14.25" customHeight="1">
      <c r="A834" s="305"/>
      <c r="B834" s="305"/>
      <c r="C834" s="306"/>
      <c r="D834" s="306"/>
      <c r="E834" s="305"/>
      <c r="F834" s="305"/>
    </row>
    <row r="835" ht="14.25" customHeight="1">
      <c r="A835" s="305"/>
      <c r="B835" s="305"/>
      <c r="C835" s="306"/>
      <c r="D835" s="306"/>
      <c r="E835" s="305"/>
      <c r="F835" s="305"/>
    </row>
    <row r="836" ht="14.25" customHeight="1">
      <c r="A836" s="305"/>
      <c r="B836" s="305"/>
      <c r="C836" s="306"/>
      <c r="D836" s="306"/>
      <c r="E836" s="305"/>
      <c r="F836" s="305"/>
    </row>
    <row r="837" ht="14.25" customHeight="1">
      <c r="A837" s="305"/>
      <c r="B837" s="305"/>
      <c r="C837" s="306"/>
      <c r="D837" s="306"/>
      <c r="E837" s="305"/>
      <c r="F837" s="305"/>
    </row>
    <row r="838" ht="14.25" customHeight="1">
      <c r="A838" s="305"/>
      <c r="B838" s="305"/>
      <c r="C838" s="306"/>
      <c r="D838" s="306"/>
      <c r="E838" s="305"/>
      <c r="F838" s="305"/>
    </row>
    <row r="839" ht="14.25" customHeight="1">
      <c r="A839" s="305"/>
      <c r="B839" s="305"/>
      <c r="C839" s="306"/>
      <c r="D839" s="306"/>
      <c r="E839" s="305"/>
      <c r="F839" s="305"/>
    </row>
    <row r="840" ht="14.25" customHeight="1">
      <c r="A840" s="305"/>
      <c r="B840" s="305"/>
      <c r="C840" s="306"/>
      <c r="D840" s="306"/>
      <c r="E840" s="305"/>
      <c r="F840" s="305"/>
    </row>
    <row r="841" ht="14.25" customHeight="1">
      <c r="A841" s="305"/>
      <c r="B841" s="305"/>
      <c r="C841" s="306"/>
      <c r="D841" s="306"/>
      <c r="E841" s="305"/>
      <c r="F841" s="305"/>
    </row>
    <row r="842" ht="14.25" customHeight="1">
      <c r="A842" s="305"/>
      <c r="B842" s="305"/>
      <c r="C842" s="306"/>
      <c r="D842" s="306"/>
      <c r="E842" s="305"/>
      <c r="F842" s="305"/>
    </row>
    <row r="843" ht="14.25" customHeight="1">
      <c r="A843" s="305"/>
      <c r="B843" s="305"/>
      <c r="C843" s="306"/>
      <c r="D843" s="306"/>
      <c r="E843" s="305"/>
      <c r="F843" s="305"/>
    </row>
    <row r="844" ht="14.25" customHeight="1">
      <c r="A844" s="305"/>
      <c r="B844" s="305"/>
      <c r="C844" s="306"/>
      <c r="D844" s="306"/>
      <c r="E844" s="305"/>
      <c r="F844" s="305"/>
    </row>
    <row r="845" ht="14.25" customHeight="1">
      <c r="A845" s="305"/>
      <c r="B845" s="305"/>
      <c r="C845" s="306"/>
      <c r="D845" s="306"/>
      <c r="E845" s="305"/>
      <c r="F845" s="305"/>
    </row>
    <row r="846" ht="14.25" customHeight="1">
      <c r="A846" s="305"/>
      <c r="B846" s="305"/>
      <c r="C846" s="306"/>
      <c r="D846" s="306"/>
      <c r="E846" s="305"/>
      <c r="F846" s="305"/>
    </row>
    <row r="847" ht="14.25" customHeight="1">
      <c r="A847" s="305"/>
      <c r="B847" s="305"/>
      <c r="C847" s="306"/>
      <c r="D847" s="306"/>
      <c r="E847" s="305"/>
      <c r="F847" s="305"/>
    </row>
    <row r="848" ht="14.25" customHeight="1">
      <c r="A848" s="305"/>
      <c r="B848" s="305"/>
      <c r="C848" s="306"/>
      <c r="D848" s="306"/>
      <c r="E848" s="305"/>
      <c r="F848" s="305"/>
    </row>
    <row r="849" ht="14.25" customHeight="1">
      <c r="A849" s="305"/>
      <c r="B849" s="305"/>
      <c r="C849" s="306"/>
      <c r="D849" s="306"/>
      <c r="E849" s="305"/>
      <c r="F849" s="305"/>
    </row>
    <row r="850" ht="14.25" customHeight="1">
      <c r="A850" s="305"/>
      <c r="B850" s="305"/>
      <c r="C850" s="306"/>
      <c r="D850" s="306"/>
      <c r="E850" s="305"/>
      <c r="F850" s="305"/>
    </row>
    <row r="851" ht="14.25" customHeight="1">
      <c r="A851" s="305"/>
      <c r="B851" s="305"/>
      <c r="C851" s="306"/>
      <c r="D851" s="306"/>
      <c r="E851" s="305"/>
      <c r="F851" s="305"/>
    </row>
    <row r="852" ht="14.25" customHeight="1">
      <c r="A852" s="305"/>
      <c r="B852" s="305"/>
      <c r="C852" s="306"/>
      <c r="D852" s="306"/>
      <c r="E852" s="305"/>
      <c r="F852" s="305"/>
    </row>
    <row r="853" ht="14.25" customHeight="1">
      <c r="A853" s="305"/>
      <c r="B853" s="305"/>
      <c r="C853" s="306"/>
      <c r="D853" s="306"/>
      <c r="E853" s="305"/>
      <c r="F853" s="305"/>
    </row>
    <row r="854" ht="14.25" customHeight="1">
      <c r="A854" s="305"/>
      <c r="B854" s="305"/>
      <c r="C854" s="306"/>
      <c r="D854" s="306"/>
      <c r="E854" s="305"/>
      <c r="F854" s="305"/>
    </row>
    <row r="855" ht="14.25" customHeight="1">
      <c r="A855" s="305"/>
      <c r="B855" s="305"/>
      <c r="C855" s="306"/>
      <c r="D855" s="306"/>
      <c r="E855" s="305"/>
      <c r="F855" s="305"/>
    </row>
    <row r="856" ht="14.25" customHeight="1">
      <c r="A856" s="305"/>
      <c r="B856" s="305"/>
      <c r="C856" s="306"/>
      <c r="D856" s="306"/>
      <c r="E856" s="305"/>
      <c r="F856" s="305"/>
    </row>
    <row r="857" ht="14.25" customHeight="1">
      <c r="A857" s="305"/>
      <c r="B857" s="305"/>
      <c r="C857" s="306"/>
      <c r="D857" s="306"/>
      <c r="E857" s="305"/>
      <c r="F857" s="305"/>
    </row>
    <row r="858" ht="14.25" customHeight="1">
      <c r="A858" s="305"/>
      <c r="B858" s="305"/>
      <c r="C858" s="306"/>
      <c r="D858" s="306"/>
      <c r="E858" s="305"/>
      <c r="F858" s="305"/>
    </row>
    <row r="859" ht="14.25" customHeight="1">
      <c r="A859" s="305"/>
      <c r="B859" s="305"/>
      <c r="C859" s="306"/>
      <c r="D859" s="306"/>
      <c r="E859" s="305"/>
      <c r="F859" s="305"/>
    </row>
    <row r="860" ht="14.25" customHeight="1">
      <c r="A860" s="305"/>
      <c r="B860" s="305"/>
      <c r="C860" s="306"/>
      <c r="D860" s="306"/>
      <c r="E860" s="305"/>
      <c r="F860" s="305"/>
    </row>
    <row r="861" ht="14.25" customHeight="1">
      <c r="A861" s="305"/>
      <c r="B861" s="305"/>
      <c r="C861" s="306"/>
      <c r="D861" s="306"/>
      <c r="E861" s="305"/>
      <c r="F861" s="305"/>
    </row>
    <row r="862" ht="14.25" customHeight="1">
      <c r="A862" s="305"/>
      <c r="B862" s="305"/>
      <c r="C862" s="306"/>
      <c r="D862" s="306"/>
      <c r="E862" s="305"/>
      <c r="F862" s="305"/>
    </row>
    <row r="863" ht="14.25" customHeight="1">
      <c r="A863" s="305"/>
      <c r="B863" s="305"/>
      <c r="C863" s="306"/>
      <c r="D863" s="306"/>
      <c r="E863" s="305"/>
      <c r="F863" s="305"/>
    </row>
    <row r="864" ht="14.25" customHeight="1">
      <c r="A864" s="305"/>
      <c r="B864" s="305"/>
      <c r="C864" s="306"/>
      <c r="D864" s="306"/>
      <c r="E864" s="305"/>
      <c r="F864" s="305"/>
    </row>
    <row r="865" ht="14.25" customHeight="1">
      <c r="A865" s="305"/>
      <c r="B865" s="305"/>
      <c r="C865" s="306"/>
      <c r="D865" s="306"/>
      <c r="E865" s="305"/>
      <c r="F865" s="305"/>
    </row>
    <row r="866" ht="14.25" customHeight="1">
      <c r="A866" s="305"/>
      <c r="B866" s="305"/>
      <c r="C866" s="306"/>
      <c r="D866" s="306"/>
      <c r="E866" s="305"/>
      <c r="F866" s="305"/>
    </row>
    <row r="867" ht="14.25" customHeight="1">
      <c r="A867" s="305"/>
      <c r="B867" s="305"/>
      <c r="C867" s="306"/>
      <c r="D867" s="306"/>
      <c r="E867" s="305"/>
      <c r="F867" s="305"/>
    </row>
    <row r="868" ht="14.25" customHeight="1">
      <c r="A868" s="305"/>
      <c r="B868" s="305"/>
      <c r="C868" s="306"/>
      <c r="D868" s="306"/>
      <c r="E868" s="305"/>
      <c r="F868" s="305"/>
    </row>
    <row r="869" ht="14.25" customHeight="1">
      <c r="A869" s="305"/>
      <c r="B869" s="305"/>
      <c r="C869" s="306"/>
      <c r="D869" s="306"/>
      <c r="E869" s="305"/>
      <c r="F869" s="305"/>
    </row>
    <row r="870" ht="14.25" customHeight="1">
      <c r="A870" s="305"/>
      <c r="B870" s="305"/>
      <c r="C870" s="306"/>
      <c r="D870" s="306"/>
      <c r="E870" s="305"/>
      <c r="F870" s="305"/>
    </row>
    <row r="871" ht="14.25" customHeight="1">
      <c r="A871" s="305"/>
      <c r="B871" s="305"/>
      <c r="C871" s="306"/>
      <c r="D871" s="306"/>
      <c r="E871" s="305"/>
      <c r="F871" s="305"/>
    </row>
    <row r="872" ht="14.25" customHeight="1">
      <c r="A872" s="305"/>
      <c r="B872" s="305"/>
      <c r="C872" s="306"/>
      <c r="D872" s="306"/>
      <c r="E872" s="305"/>
      <c r="F872" s="305"/>
    </row>
    <row r="873" ht="14.25" customHeight="1">
      <c r="A873" s="305"/>
      <c r="B873" s="305"/>
      <c r="C873" s="306"/>
      <c r="D873" s="306"/>
      <c r="E873" s="305"/>
      <c r="F873" s="305"/>
    </row>
    <row r="874" ht="14.25" customHeight="1">
      <c r="A874" s="305"/>
      <c r="B874" s="305"/>
      <c r="C874" s="306"/>
      <c r="D874" s="306"/>
      <c r="E874" s="305"/>
      <c r="F874" s="305"/>
    </row>
    <row r="875" ht="14.25" customHeight="1">
      <c r="A875" s="305"/>
      <c r="B875" s="305"/>
      <c r="C875" s="306"/>
      <c r="D875" s="306"/>
      <c r="E875" s="305"/>
      <c r="F875" s="305"/>
    </row>
    <row r="876" ht="14.25" customHeight="1">
      <c r="A876" s="305"/>
      <c r="B876" s="305"/>
      <c r="C876" s="306"/>
      <c r="D876" s="306"/>
      <c r="E876" s="305"/>
      <c r="F876" s="305"/>
    </row>
    <row r="877" ht="14.25" customHeight="1">
      <c r="A877" s="305"/>
      <c r="B877" s="305"/>
      <c r="C877" s="306"/>
      <c r="D877" s="306"/>
      <c r="E877" s="305"/>
      <c r="F877" s="305"/>
    </row>
    <row r="878" ht="14.25" customHeight="1">
      <c r="A878" s="305"/>
      <c r="B878" s="305"/>
      <c r="C878" s="306"/>
      <c r="D878" s="306"/>
      <c r="E878" s="305"/>
      <c r="F878" s="305"/>
    </row>
    <row r="879" ht="14.25" customHeight="1">
      <c r="A879" s="305"/>
      <c r="B879" s="305"/>
      <c r="C879" s="306"/>
      <c r="D879" s="306"/>
      <c r="E879" s="305"/>
      <c r="F879" s="305"/>
    </row>
    <row r="880" ht="14.25" customHeight="1">
      <c r="A880" s="305"/>
      <c r="B880" s="305"/>
      <c r="C880" s="306"/>
      <c r="D880" s="306"/>
      <c r="E880" s="305"/>
      <c r="F880" s="305"/>
    </row>
    <row r="881" ht="14.25" customHeight="1">
      <c r="A881" s="305"/>
      <c r="B881" s="305"/>
      <c r="C881" s="306"/>
      <c r="D881" s="306"/>
      <c r="E881" s="305"/>
      <c r="F881" s="305"/>
    </row>
    <row r="882" ht="14.25" customHeight="1">
      <c r="A882" s="305"/>
      <c r="B882" s="305"/>
      <c r="C882" s="306"/>
      <c r="D882" s="306"/>
      <c r="E882" s="305"/>
      <c r="F882" s="305"/>
    </row>
    <row r="883" ht="14.25" customHeight="1">
      <c r="A883" s="305"/>
      <c r="B883" s="305"/>
      <c r="C883" s="306"/>
      <c r="D883" s="306"/>
      <c r="E883" s="305"/>
      <c r="F883" s="305"/>
    </row>
    <row r="884" ht="14.25" customHeight="1">
      <c r="A884" s="305"/>
      <c r="B884" s="305"/>
      <c r="C884" s="306"/>
      <c r="D884" s="306"/>
      <c r="E884" s="305"/>
      <c r="F884" s="305"/>
    </row>
    <row r="885" ht="14.25" customHeight="1">
      <c r="A885" s="305"/>
      <c r="B885" s="305"/>
      <c r="C885" s="306"/>
      <c r="D885" s="306"/>
      <c r="E885" s="305"/>
      <c r="F885" s="305"/>
    </row>
    <row r="886" ht="14.25" customHeight="1">
      <c r="A886" s="305"/>
      <c r="B886" s="305"/>
      <c r="C886" s="306"/>
      <c r="D886" s="306"/>
      <c r="E886" s="305"/>
      <c r="F886" s="305"/>
    </row>
    <row r="887" ht="14.25" customHeight="1">
      <c r="A887" s="305"/>
      <c r="B887" s="305"/>
      <c r="C887" s="306"/>
      <c r="D887" s="306"/>
      <c r="E887" s="305"/>
      <c r="F887" s="305"/>
    </row>
    <row r="888" ht="14.25" customHeight="1">
      <c r="A888" s="305"/>
      <c r="B888" s="305"/>
      <c r="C888" s="306"/>
      <c r="D888" s="306"/>
      <c r="E888" s="305"/>
      <c r="F888" s="305"/>
    </row>
    <row r="889" ht="14.25" customHeight="1">
      <c r="A889" s="305"/>
      <c r="B889" s="305"/>
      <c r="C889" s="306"/>
      <c r="D889" s="306"/>
      <c r="E889" s="305"/>
      <c r="F889" s="305"/>
    </row>
    <row r="890" ht="14.25" customHeight="1">
      <c r="A890" s="305"/>
      <c r="B890" s="305"/>
      <c r="C890" s="306"/>
      <c r="D890" s="306"/>
      <c r="E890" s="305"/>
      <c r="F890" s="305"/>
    </row>
    <row r="891" ht="14.25" customHeight="1">
      <c r="A891" s="305"/>
      <c r="B891" s="305"/>
      <c r="C891" s="306"/>
      <c r="D891" s="306"/>
      <c r="E891" s="305"/>
      <c r="F891" s="305"/>
    </row>
    <row r="892" ht="14.25" customHeight="1">
      <c r="A892" s="305"/>
      <c r="B892" s="305"/>
      <c r="C892" s="306"/>
      <c r="D892" s="306"/>
      <c r="E892" s="305"/>
      <c r="F892" s="305"/>
    </row>
    <row r="893" ht="14.25" customHeight="1">
      <c r="A893" s="305"/>
      <c r="B893" s="305"/>
      <c r="C893" s="306"/>
      <c r="D893" s="306"/>
      <c r="E893" s="305"/>
      <c r="F893" s="305"/>
    </row>
    <row r="894" ht="14.25" customHeight="1">
      <c r="A894" s="305"/>
      <c r="B894" s="305"/>
      <c r="C894" s="306"/>
      <c r="D894" s="306"/>
      <c r="E894" s="305"/>
      <c r="F894" s="305"/>
    </row>
    <row r="895" ht="14.25" customHeight="1">
      <c r="A895" s="305"/>
      <c r="B895" s="305"/>
      <c r="C895" s="306"/>
      <c r="D895" s="306"/>
      <c r="E895" s="305"/>
      <c r="F895" s="305"/>
    </row>
    <row r="896" ht="14.25" customHeight="1">
      <c r="A896" s="305"/>
      <c r="B896" s="305"/>
      <c r="C896" s="306"/>
      <c r="D896" s="306"/>
      <c r="E896" s="305"/>
      <c r="F896" s="305"/>
    </row>
    <row r="897" ht="14.25" customHeight="1">
      <c r="A897" s="305"/>
      <c r="B897" s="305"/>
      <c r="C897" s="306"/>
      <c r="D897" s="306"/>
      <c r="E897" s="305"/>
      <c r="F897" s="305"/>
    </row>
    <row r="898" ht="14.25" customHeight="1">
      <c r="A898" s="305"/>
      <c r="B898" s="305"/>
      <c r="C898" s="306"/>
      <c r="D898" s="306"/>
      <c r="E898" s="305"/>
      <c r="F898" s="305"/>
    </row>
    <row r="899" ht="14.25" customHeight="1">
      <c r="A899" s="305"/>
      <c r="B899" s="305"/>
      <c r="C899" s="306"/>
      <c r="D899" s="306"/>
      <c r="E899" s="305"/>
      <c r="F899" s="305"/>
    </row>
    <row r="900" ht="14.25" customHeight="1">
      <c r="A900" s="305"/>
      <c r="B900" s="305"/>
      <c r="C900" s="306"/>
      <c r="D900" s="306"/>
      <c r="E900" s="305"/>
      <c r="F900" s="305"/>
    </row>
    <row r="901" ht="14.25" customHeight="1">
      <c r="A901" s="305"/>
      <c r="B901" s="305"/>
      <c r="C901" s="306"/>
      <c r="D901" s="306"/>
      <c r="E901" s="305"/>
      <c r="F901" s="305"/>
    </row>
    <row r="902" ht="14.25" customHeight="1">
      <c r="A902" s="305"/>
      <c r="B902" s="305"/>
      <c r="C902" s="306"/>
      <c r="D902" s="306"/>
      <c r="E902" s="305"/>
      <c r="F902" s="305"/>
    </row>
    <row r="903" ht="14.25" customHeight="1">
      <c r="A903" s="305"/>
      <c r="B903" s="305"/>
      <c r="C903" s="306"/>
      <c r="D903" s="306"/>
      <c r="E903" s="305"/>
      <c r="F903" s="305"/>
    </row>
    <row r="904" ht="14.25" customHeight="1">
      <c r="A904" s="305"/>
      <c r="B904" s="305"/>
      <c r="C904" s="306"/>
      <c r="D904" s="306"/>
      <c r="E904" s="305"/>
      <c r="F904" s="305"/>
    </row>
    <row r="905" ht="14.25" customHeight="1">
      <c r="A905" s="305"/>
      <c r="B905" s="305"/>
      <c r="C905" s="306"/>
      <c r="D905" s="306"/>
      <c r="E905" s="305"/>
      <c r="F905" s="305"/>
    </row>
    <row r="906" ht="14.25" customHeight="1">
      <c r="A906" s="305"/>
      <c r="B906" s="305"/>
      <c r="C906" s="306"/>
      <c r="D906" s="306"/>
      <c r="E906" s="305"/>
      <c r="F906" s="305"/>
    </row>
    <row r="907" ht="14.25" customHeight="1">
      <c r="A907" s="305"/>
      <c r="B907" s="305"/>
      <c r="C907" s="306"/>
      <c r="D907" s="306"/>
      <c r="E907" s="305"/>
      <c r="F907" s="305"/>
    </row>
    <row r="908" ht="14.25" customHeight="1">
      <c r="A908" s="305"/>
      <c r="B908" s="305"/>
      <c r="C908" s="306"/>
      <c r="D908" s="306"/>
      <c r="E908" s="305"/>
      <c r="F908" s="305"/>
    </row>
    <row r="909" ht="14.25" customHeight="1">
      <c r="A909" s="305"/>
      <c r="B909" s="305"/>
      <c r="C909" s="306"/>
      <c r="D909" s="306"/>
      <c r="E909" s="305"/>
      <c r="F909" s="305"/>
    </row>
    <row r="910" ht="14.25" customHeight="1">
      <c r="A910" s="305"/>
      <c r="B910" s="305"/>
      <c r="C910" s="306"/>
      <c r="D910" s="306"/>
      <c r="E910" s="305"/>
      <c r="F910" s="305"/>
    </row>
    <row r="911" ht="14.25" customHeight="1">
      <c r="A911" s="305"/>
      <c r="B911" s="305"/>
      <c r="C911" s="306"/>
      <c r="D911" s="306"/>
      <c r="E911" s="305"/>
      <c r="F911" s="305"/>
    </row>
    <row r="912" ht="14.25" customHeight="1">
      <c r="A912" s="305"/>
      <c r="B912" s="305"/>
      <c r="C912" s="306"/>
      <c r="D912" s="306"/>
      <c r="E912" s="305"/>
      <c r="F912" s="305"/>
    </row>
    <row r="913" ht="14.25" customHeight="1">
      <c r="A913" s="305"/>
      <c r="B913" s="305"/>
      <c r="C913" s="306"/>
      <c r="D913" s="306"/>
      <c r="E913" s="305"/>
      <c r="F913" s="305"/>
    </row>
    <row r="914" ht="14.25" customHeight="1">
      <c r="A914" s="305"/>
      <c r="B914" s="305"/>
      <c r="C914" s="306"/>
      <c r="D914" s="306"/>
      <c r="E914" s="305"/>
      <c r="F914" s="305"/>
    </row>
    <row r="915" ht="14.25" customHeight="1">
      <c r="A915" s="305"/>
      <c r="B915" s="305"/>
      <c r="C915" s="306"/>
      <c r="D915" s="306"/>
      <c r="E915" s="305"/>
      <c r="F915" s="305"/>
    </row>
    <row r="916" ht="14.25" customHeight="1">
      <c r="A916" s="305"/>
      <c r="B916" s="305"/>
      <c r="C916" s="306"/>
      <c r="D916" s="306"/>
      <c r="E916" s="305"/>
      <c r="F916" s="305"/>
    </row>
    <row r="917" ht="14.25" customHeight="1">
      <c r="A917" s="305"/>
      <c r="B917" s="305"/>
      <c r="C917" s="306"/>
      <c r="D917" s="306"/>
      <c r="E917" s="305"/>
      <c r="F917" s="305"/>
    </row>
    <row r="918" ht="14.25" customHeight="1">
      <c r="A918" s="305"/>
      <c r="B918" s="305"/>
      <c r="C918" s="306"/>
      <c r="D918" s="306"/>
      <c r="E918" s="305"/>
      <c r="F918" s="305"/>
    </row>
    <row r="919" ht="14.25" customHeight="1">
      <c r="A919" s="305"/>
      <c r="B919" s="305"/>
      <c r="C919" s="306"/>
      <c r="D919" s="306"/>
      <c r="E919" s="305"/>
      <c r="F919" s="305"/>
    </row>
    <row r="920" ht="14.25" customHeight="1">
      <c r="A920" s="305"/>
      <c r="B920" s="305"/>
      <c r="C920" s="306"/>
      <c r="D920" s="306"/>
      <c r="E920" s="305"/>
      <c r="F920" s="305"/>
    </row>
    <row r="921" ht="14.25" customHeight="1">
      <c r="A921" s="305"/>
      <c r="B921" s="305"/>
      <c r="C921" s="306"/>
      <c r="D921" s="306"/>
      <c r="E921" s="305"/>
      <c r="F921" s="305"/>
    </row>
    <row r="922" ht="14.25" customHeight="1">
      <c r="A922" s="305"/>
      <c r="B922" s="305"/>
      <c r="C922" s="306"/>
      <c r="D922" s="306"/>
      <c r="E922" s="305"/>
      <c r="F922" s="305"/>
    </row>
    <row r="923" ht="14.25" customHeight="1">
      <c r="A923" s="305"/>
      <c r="B923" s="305"/>
      <c r="C923" s="306"/>
      <c r="D923" s="306"/>
      <c r="E923" s="305"/>
      <c r="F923" s="305"/>
    </row>
    <row r="924" ht="14.25" customHeight="1">
      <c r="A924" s="305"/>
      <c r="B924" s="305"/>
      <c r="C924" s="306"/>
      <c r="D924" s="306"/>
      <c r="E924" s="305"/>
      <c r="F924" s="305"/>
    </row>
    <row r="925" ht="14.25" customHeight="1">
      <c r="A925" s="305"/>
      <c r="B925" s="305"/>
      <c r="C925" s="306"/>
      <c r="D925" s="306"/>
      <c r="E925" s="305"/>
      <c r="F925" s="305"/>
    </row>
    <row r="926" ht="14.25" customHeight="1">
      <c r="A926" s="305"/>
      <c r="B926" s="305"/>
      <c r="C926" s="306"/>
      <c r="D926" s="306"/>
      <c r="E926" s="305"/>
      <c r="F926" s="305"/>
    </row>
    <row r="927" ht="14.25" customHeight="1">
      <c r="A927" s="305"/>
      <c r="B927" s="305"/>
      <c r="C927" s="306"/>
      <c r="D927" s="306"/>
      <c r="E927" s="305"/>
      <c r="F927" s="305"/>
    </row>
    <row r="928" ht="14.25" customHeight="1">
      <c r="A928" s="305"/>
      <c r="B928" s="305"/>
      <c r="C928" s="306"/>
      <c r="D928" s="306"/>
      <c r="E928" s="305"/>
      <c r="F928" s="305"/>
    </row>
    <row r="929" ht="14.25" customHeight="1">
      <c r="A929" s="305"/>
      <c r="B929" s="305"/>
      <c r="C929" s="306"/>
      <c r="D929" s="306"/>
      <c r="E929" s="305"/>
      <c r="F929" s="305"/>
    </row>
    <row r="930" ht="14.25" customHeight="1">
      <c r="A930" s="305"/>
      <c r="B930" s="305"/>
      <c r="C930" s="306"/>
      <c r="D930" s="306"/>
      <c r="E930" s="305"/>
      <c r="F930" s="305"/>
    </row>
    <row r="931" ht="14.25" customHeight="1">
      <c r="A931" s="305"/>
      <c r="B931" s="305"/>
      <c r="C931" s="306"/>
      <c r="D931" s="306"/>
      <c r="E931" s="305"/>
      <c r="F931" s="305"/>
    </row>
    <row r="932" ht="14.25" customHeight="1">
      <c r="A932" s="305"/>
      <c r="B932" s="305"/>
      <c r="C932" s="306"/>
      <c r="D932" s="306"/>
      <c r="E932" s="305"/>
      <c r="F932" s="305"/>
    </row>
    <row r="933" ht="14.25" customHeight="1">
      <c r="A933" s="305"/>
      <c r="B933" s="305"/>
      <c r="C933" s="306"/>
      <c r="D933" s="306"/>
      <c r="E933" s="305"/>
      <c r="F933" s="305"/>
    </row>
    <row r="934" ht="14.25" customHeight="1">
      <c r="A934" s="305"/>
      <c r="B934" s="305"/>
      <c r="C934" s="306"/>
      <c r="D934" s="306"/>
      <c r="E934" s="305"/>
      <c r="F934" s="305"/>
    </row>
    <row r="935" ht="14.25" customHeight="1">
      <c r="A935" s="305"/>
      <c r="B935" s="305"/>
      <c r="C935" s="306"/>
      <c r="D935" s="306"/>
      <c r="E935" s="305"/>
      <c r="F935" s="305"/>
    </row>
    <row r="936" ht="14.25" customHeight="1">
      <c r="A936" s="305"/>
      <c r="B936" s="305"/>
      <c r="C936" s="306"/>
      <c r="D936" s="306"/>
      <c r="E936" s="305"/>
      <c r="F936" s="305"/>
    </row>
    <row r="937" ht="14.25" customHeight="1">
      <c r="A937" s="305"/>
      <c r="B937" s="305"/>
      <c r="C937" s="306"/>
      <c r="D937" s="306"/>
      <c r="E937" s="305"/>
      <c r="F937" s="305"/>
    </row>
    <row r="938" ht="14.25" customHeight="1">
      <c r="A938" s="305"/>
      <c r="B938" s="305"/>
      <c r="C938" s="306"/>
      <c r="D938" s="306"/>
      <c r="E938" s="305"/>
      <c r="F938" s="305"/>
    </row>
    <row r="939" ht="14.25" customHeight="1">
      <c r="A939" s="305"/>
      <c r="B939" s="305"/>
      <c r="C939" s="306"/>
      <c r="D939" s="306"/>
      <c r="E939" s="305"/>
      <c r="F939" s="305"/>
    </row>
    <row r="940" ht="14.25" customHeight="1">
      <c r="A940" s="305"/>
      <c r="B940" s="305"/>
      <c r="C940" s="306"/>
      <c r="D940" s="306"/>
      <c r="E940" s="305"/>
      <c r="F940" s="305"/>
    </row>
    <row r="941" ht="14.25" customHeight="1">
      <c r="A941" s="305"/>
      <c r="B941" s="305"/>
      <c r="C941" s="306"/>
      <c r="D941" s="306"/>
      <c r="E941" s="305"/>
      <c r="F941" s="305"/>
    </row>
    <row r="942" ht="14.25" customHeight="1">
      <c r="A942" s="305"/>
      <c r="B942" s="305"/>
      <c r="C942" s="306"/>
      <c r="D942" s="306"/>
      <c r="E942" s="305"/>
      <c r="F942" s="305"/>
    </row>
    <row r="943" ht="14.25" customHeight="1">
      <c r="A943" s="305"/>
      <c r="B943" s="305"/>
      <c r="C943" s="306"/>
      <c r="D943" s="306"/>
      <c r="E943" s="305"/>
      <c r="F943" s="305"/>
    </row>
    <row r="944" ht="14.25" customHeight="1">
      <c r="A944" s="305"/>
      <c r="B944" s="305"/>
      <c r="C944" s="306"/>
      <c r="D944" s="306"/>
      <c r="E944" s="305"/>
      <c r="F944" s="305"/>
    </row>
    <row r="945" ht="14.25" customHeight="1">
      <c r="A945" s="305"/>
      <c r="B945" s="305"/>
      <c r="C945" s="306"/>
      <c r="D945" s="306"/>
      <c r="E945" s="305"/>
      <c r="F945" s="305"/>
    </row>
    <row r="946" ht="14.25" customHeight="1">
      <c r="A946" s="305"/>
      <c r="B946" s="305"/>
      <c r="C946" s="306"/>
      <c r="D946" s="306"/>
      <c r="E946" s="305"/>
      <c r="F946" s="305"/>
    </row>
    <row r="947" ht="14.25" customHeight="1">
      <c r="A947" s="305"/>
      <c r="B947" s="305"/>
      <c r="C947" s="306"/>
      <c r="D947" s="306"/>
      <c r="E947" s="305"/>
      <c r="F947" s="305"/>
    </row>
    <row r="948" ht="14.25" customHeight="1">
      <c r="A948" s="305"/>
      <c r="B948" s="305"/>
      <c r="C948" s="306"/>
      <c r="D948" s="306"/>
      <c r="E948" s="305"/>
      <c r="F948" s="305"/>
    </row>
    <row r="949" ht="14.25" customHeight="1">
      <c r="A949" s="305"/>
      <c r="B949" s="305"/>
      <c r="C949" s="306"/>
      <c r="D949" s="306"/>
      <c r="E949" s="305"/>
      <c r="F949" s="305"/>
    </row>
    <row r="950" ht="14.25" customHeight="1">
      <c r="A950" s="305"/>
      <c r="B950" s="305"/>
      <c r="C950" s="306"/>
      <c r="D950" s="306"/>
      <c r="E950" s="305"/>
      <c r="F950" s="305"/>
    </row>
    <row r="951" ht="14.25" customHeight="1">
      <c r="A951" s="305"/>
      <c r="B951" s="305"/>
      <c r="C951" s="306"/>
      <c r="D951" s="306"/>
      <c r="E951" s="305"/>
      <c r="F951" s="305"/>
    </row>
    <row r="952" ht="14.25" customHeight="1">
      <c r="A952" s="305"/>
      <c r="B952" s="305"/>
      <c r="C952" s="306"/>
      <c r="D952" s="306"/>
      <c r="E952" s="305"/>
      <c r="F952" s="305"/>
    </row>
    <row r="953" ht="14.25" customHeight="1">
      <c r="A953" s="305"/>
      <c r="B953" s="305"/>
      <c r="C953" s="306"/>
      <c r="D953" s="306"/>
      <c r="E953" s="305"/>
      <c r="F953" s="305"/>
    </row>
    <row r="954" ht="14.25" customHeight="1">
      <c r="A954" s="305"/>
      <c r="B954" s="305"/>
      <c r="C954" s="306"/>
      <c r="D954" s="306"/>
      <c r="E954" s="305"/>
      <c r="F954" s="305"/>
    </row>
    <row r="955" ht="14.25" customHeight="1">
      <c r="A955" s="305"/>
      <c r="B955" s="305"/>
      <c r="C955" s="306"/>
      <c r="D955" s="306"/>
      <c r="E955" s="305"/>
      <c r="F955" s="305"/>
    </row>
    <row r="956" ht="14.25" customHeight="1">
      <c r="A956" s="305"/>
      <c r="B956" s="305"/>
      <c r="C956" s="306"/>
      <c r="D956" s="306"/>
      <c r="E956" s="305"/>
      <c r="F956" s="305"/>
    </row>
    <row r="957" ht="14.25" customHeight="1">
      <c r="A957" s="305"/>
      <c r="B957" s="305"/>
      <c r="C957" s="306"/>
      <c r="D957" s="306"/>
      <c r="E957" s="305"/>
      <c r="F957" s="305"/>
    </row>
    <row r="958" ht="14.25" customHeight="1">
      <c r="A958" s="305"/>
      <c r="B958" s="305"/>
      <c r="C958" s="306"/>
      <c r="D958" s="306"/>
      <c r="E958" s="305"/>
      <c r="F958" s="305"/>
    </row>
    <row r="959" ht="14.25" customHeight="1">
      <c r="A959" s="305"/>
      <c r="B959" s="305"/>
      <c r="C959" s="306"/>
      <c r="D959" s="306"/>
      <c r="E959" s="305"/>
      <c r="F959" s="305"/>
    </row>
    <row r="960" ht="14.25" customHeight="1">
      <c r="A960" s="305"/>
      <c r="B960" s="305"/>
      <c r="C960" s="306"/>
      <c r="D960" s="306"/>
      <c r="E960" s="305"/>
      <c r="F960" s="305"/>
    </row>
    <row r="961" ht="14.25" customHeight="1">
      <c r="A961" s="305"/>
      <c r="B961" s="305"/>
      <c r="C961" s="306"/>
      <c r="D961" s="306"/>
      <c r="E961" s="305"/>
      <c r="F961" s="305"/>
    </row>
    <row r="962" ht="14.25" customHeight="1">
      <c r="A962" s="305"/>
      <c r="B962" s="305"/>
      <c r="C962" s="306"/>
      <c r="D962" s="306"/>
      <c r="E962" s="305"/>
      <c r="F962" s="305"/>
    </row>
    <row r="963" ht="14.25" customHeight="1">
      <c r="A963" s="305"/>
      <c r="B963" s="305"/>
      <c r="C963" s="306"/>
      <c r="D963" s="306"/>
      <c r="E963" s="305"/>
      <c r="F963" s="305"/>
    </row>
    <row r="964" ht="14.25" customHeight="1">
      <c r="A964" s="305"/>
      <c r="B964" s="305"/>
      <c r="C964" s="306"/>
      <c r="D964" s="306"/>
      <c r="E964" s="305"/>
      <c r="F964" s="305"/>
    </row>
    <row r="965" ht="14.25" customHeight="1">
      <c r="A965" s="305"/>
      <c r="B965" s="305"/>
      <c r="C965" s="306"/>
      <c r="D965" s="306"/>
      <c r="E965" s="305"/>
      <c r="F965" s="305"/>
    </row>
    <row r="966" ht="14.25" customHeight="1">
      <c r="A966" s="305"/>
      <c r="B966" s="305"/>
      <c r="C966" s="306"/>
      <c r="D966" s="306"/>
      <c r="E966" s="305"/>
      <c r="F966" s="305"/>
    </row>
    <row r="967" ht="14.25" customHeight="1">
      <c r="A967" s="305"/>
      <c r="B967" s="305"/>
      <c r="C967" s="306"/>
      <c r="D967" s="306"/>
      <c r="E967" s="305"/>
      <c r="F967" s="305"/>
    </row>
    <row r="968" ht="14.25" customHeight="1">
      <c r="A968" s="305"/>
      <c r="B968" s="305"/>
      <c r="C968" s="306"/>
      <c r="D968" s="306"/>
      <c r="E968" s="305"/>
      <c r="F968" s="305"/>
    </row>
    <row r="969" ht="14.25" customHeight="1">
      <c r="A969" s="305"/>
      <c r="B969" s="305"/>
      <c r="C969" s="306"/>
      <c r="D969" s="306"/>
      <c r="E969" s="305"/>
      <c r="F969" s="305"/>
    </row>
    <row r="970" ht="14.25" customHeight="1">
      <c r="A970" s="305"/>
      <c r="B970" s="305"/>
      <c r="C970" s="306"/>
      <c r="D970" s="306"/>
      <c r="E970" s="305"/>
      <c r="F970" s="305"/>
    </row>
    <row r="971" ht="14.25" customHeight="1">
      <c r="A971" s="305"/>
      <c r="B971" s="305"/>
      <c r="C971" s="306"/>
      <c r="D971" s="306"/>
      <c r="E971" s="305"/>
      <c r="F971" s="305"/>
    </row>
    <row r="972" ht="14.25" customHeight="1">
      <c r="A972" s="305"/>
      <c r="B972" s="305"/>
      <c r="C972" s="306"/>
      <c r="D972" s="306"/>
      <c r="E972" s="305"/>
      <c r="F972" s="305"/>
    </row>
    <row r="973" ht="14.25" customHeight="1">
      <c r="A973" s="305"/>
      <c r="B973" s="305"/>
      <c r="C973" s="306"/>
      <c r="D973" s="306"/>
      <c r="E973" s="305"/>
      <c r="F973" s="305"/>
    </row>
    <row r="974" ht="14.25" customHeight="1">
      <c r="A974" s="305"/>
      <c r="B974" s="305"/>
      <c r="C974" s="306"/>
      <c r="D974" s="306"/>
      <c r="E974" s="305"/>
      <c r="F974" s="305"/>
    </row>
    <row r="975" ht="14.25" customHeight="1">
      <c r="A975" s="305"/>
      <c r="B975" s="305"/>
      <c r="C975" s="306"/>
      <c r="D975" s="306"/>
      <c r="E975" s="305"/>
      <c r="F975" s="305"/>
    </row>
    <row r="976" ht="14.25" customHeight="1">
      <c r="A976" s="305"/>
      <c r="B976" s="305"/>
      <c r="C976" s="306"/>
      <c r="D976" s="306"/>
      <c r="E976" s="305"/>
      <c r="F976" s="305"/>
    </row>
    <row r="977" ht="14.25" customHeight="1">
      <c r="A977" s="305"/>
      <c r="B977" s="305"/>
      <c r="C977" s="306"/>
      <c r="D977" s="306"/>
      <c r="E977" s="305"/>
      <c r="F977" s="305"/>
    </row>
    <row r="978" ht="14.25" customHeight="1">
      <c r="A978" s="305"/>
      <c r="B978" s="305"/>
      <c r="C978" s="306"/>
      <c r="D978" s="306"/>
      <c r="E978" s="305"/>
      <c r="F978" s="305"/>
    </row>
    <row r="979" ht="14.25" customHeight="1">
      <c r="A979" s="305"/>
      <c r="B979" s="305"/>
      <c r="C979" s="306"/>
      <c r="D979" s="306"/>
      <c r="E979" s="305"/>
      <c r="F979" s="305"/>
    </row>
    <row r="980" ht="14.25" customHeight="1">
      <c r="A980" s="305"/>
      <c r="B980" s="305"/>
      <c r="C980" s="306"/>
      <c r="D980" s="306"/>
      <c r="E980" s="305"/>
      <c r="F980" s="305"/>
    </row>
    <row r="981" ht="14.25" customHeight="1">
      <c r="A981" s="305"/>
      <c r="B981" s="305"/>
      <c r="C981" s="306"/>
      <c r="D981" s="306"/>
      <c r="E981" s="305"/>
      <c r="F981" s="305"/>
    </row>
    <row r="982" ht="14.25" customHeight="1">
      <c r="A982" s="305"/>
      <c r="B982" s="305"/>
      <c r="C982" s="306"/>
      <c r="D982" s="306"/>
      <c r="E982" s="305"/>
      <c r="F982" s="305"/>
    </row>
    <row r="983" ht="14.25" customHeight="1">
      <c r="A983" s="305"/>
      <c r="B983" s="305"/>
      <c r="C983" s="306"/>
      <c r="D983" s="306"/>
      <c r="E983" s="305"/>
      <c r="F983" s="305"/>
    </row>
    <row r="984" ht="14.25" customHeight="1">
      <c r="A984" s="305"/>
      <c r="B984" s="305"/>
      <c r="C984" s="306"/>
      <c r="D984" s="306"/>
      <c r="E984" s="305"/>
      <c r="F984" s="305"/>
    </row>
    <row r="985" ht="14.25" customHeight="1">
      <c r="A985" s="305"/>
      <c r="B985" s="305"/>
      <c r="C985" s="306"/>
      <c r="D985" s="306"/>
      <c r="E985" s="305"/>
      <c r="F985" s="305"/>
    </row>
    <row r="986" ht="14.25" customHeight="1">
      <c r="A986" s="305"/>
      <c r="B986" s="305"/>
      <c r="C986" s="306"/>
      <c r="D986" s="306"/>
      <c r="E986" s="305"/>
      <c r="F986" s="305"/>
    </row>
    <row r="987" ht="14.25" customHeight="1">
      <c r="A987" s="305"/>
      <c r="B987" s="305"/>
      <c r="C987" s="306"/>
      <c r="D987" s="306"/>
      <c r="E987" s="305"/>
      <c r="F987" s="305"/>
    </row>
    <row r="988" ht="14.25" customHeight="1">
      <c r="A988" s="305"/>
      <c r="B988" s="305"/>
      <c r="C988" s="306"/>
      <c r="D988" s="306"/>
      <c r="E988" s="305"/>
      <c r="F988" s="305"/>
    </row>
    <row r="989" ht="14.25" customHeight="1">
      <c r="A989" s="305"/>
      <c r="B989" s="305"/>
      <c r="C989" s="306"/>
      <c r="D989" s="306"/>
      <c r="E989" s="305"/>
      <c r="F989" s="305"/>
    </row>
    <row r="990" ht="14.25" customHeight="1">
      <c r="A990" s="305"/>
      <c r="B990" s="305"/>
      <c r="C990" s="306"/>
      <c r="D990" s="306"/>
      <c r="E990" s="305"/>
      <c r="F990" s="305"/>
    </row>
    <row r="991" ht="14.25" customHeight="1">
      <c r="A991" s="305"/>
      <c r="B991" s="305"/>
      <c r="C991" s="306"/>
      <c r="D991" s="306"/>
      <c r="E991" s="305"/>
      <c r="F991" s="305"/>
    </row>
    <row r="992" ht="14.25" customHeight="1">
      <c r="A992" s="305"/>
      <c r="B992" s="305"/>
      <c r="C992" s="306"/>
      <c r="D992" s="306"/>
      <c r="E992" s="305"/>
      <c r="F992" s="305"/>
    </row>
    <row r="993" ht="14.25" customHeight="1">
      <c r="A993" s="305"/>
      <c r="B993" s="305"/>
      <c r="C993" s="306"/>
      <c r="D993" s="306"/>
      <c r="E993" s="305"/>
      <c r="F993" s="305"/>
    </row>
    <row r="994" ht="14.25" customHeight="1">
      <c r="A994" s="305"/>
      <c r="B994" s="305"/>
      <c r="C994" s="306"/>
      <c r="D994" s="306"/>
      <c r="E994" s="305"/>
      <c r="F994" s="305"/>
    </row>
    <row r="995" ht="14.25" customHeight="1">
      <c r="A995" s="305"/>
      <c r="B995" s="305"/>
      <c r="C995" s="306"/>
      <c r="D995" s="306"/>
      <c r="E995" s="305"/>
      <c r="F995" s="305"/>
    </row>
    <row r="996" ht="14.25" customHeight="1">
      <c r="A996" s="305"/>
      <c r="B996" s="305"/>
      <c r="C996" s="306"/>
      <c r="D996" s="306"/>
      <c r="E996" s="305"/>
      <c r="F996" s="305"/>
    </row>
    <row r="997" ht="14.25" customHeight="1">
      <c r="A997" s="305"/>
      <c r="B997" s="305"/>
      <c r="C997" s="306"/>
      <c r="D997" s="306"/>
      <c r="E997" s="305"/>
      <c r="F997" s="305"/>
    </row>
    <row r="998" ht="14.25" customHeight="1">
      <c r="A998" s="305"/>
      <c r="B998" s="305"/>
      <c r="C998" s="306"/>
      <c r="D998" s="306"/>
      <c r="E998" s="305"/>
      <c r="F998" s="305"/>
    </row>
    <row r="999" ht="14.25" customHeight="1">
      <c r="A999" s="305"/>
      <c r="B999" s="305"/>
      <c r="C999" s="306"/>
      <c r="D999" s="306"/>
      <c r="E999" s="305"/>
      <c r="F999" s="305"/>
    </row>
    <row r="1000" ht="14.25" customHeight="1">
      <c r="A1000" s="305"/>
      <c r="B1000" s="305"/>
      <c r="C1000" s="306"/>
      <c r="D1000" s="306"/>
      <c r="E1000" s="305"/>
      <c r="F1000" s="305"/>
    </row>
    <row r="1001" ht="14.25" customHeight="1">
      <c r="A1001" s="305"/>
      <c r="B1001" s="305"/>
      <c r="C1001" s="306"/>
      <c r="D1001" s="306"/>
      <c r="E1001" s="305"/>
      <c r="F1001" s="305"/>
    </row>
    <row r="1002" ht="14.25" customHeight="1">
      <c r="A1002" s="305"/>
      <c r="B1002" s="305"/>
      <c r="C1002" s="306"/>
      <c r="D1002" s="306"/>
      <c r="E1002" s="305"/>
      <c r="F1002" s="305"/>
    </row>
    <row r="1003" ht="14.25" customHeight="1">
      <c r="A1003" s="305"/>
      <c r="B1003" s="305"/>
      <c r="C1003" s="306"/>
      <c r="D1003" s="306"/>
      <c r="E1003" s="305"/>
      <c r="F1003" s="305"/>
    </row>
    <row r="1004" ht="14.25" customHeight="1">
      <c r="A1004" s="305"/>
      <c r="B1004" s="305"/>
      <c r="C1004" s="306"/>
      <c r="D1004" s="306"/>
      <c r="E1004" s="305"/>
      <c r="F1004" s="305"/>
    </row>
    <row r="1005" ht="14.25" customHeight="1">
      <c r="A1005" s="305"/>
      <c r="B1005" s="305"/>
      <c r="C1005" s="306"/>
      <c r="D1005" s="306"/>
      <c r="E1005" s="305"/>
      <c r="F1005" s="305"/>
    </row>
    <row r="1006" ht="14.25" customHeight="1">
      <c r="A1006" s="305"/>
      <c r="B1006" s="305"/>
      <c r="C1006" s="306"/>
      <c r="D1006" s="306"/>
      <c r="E1006" s="305"/>
      <c r="F1006" s="305"/>
    </row>
    <row r="1007" ht="14.25" customHeight="1">
      <c r="A1007" s="305"/>
      <c r="B1007" s="305"/>
      <c r="C1007" s="306"/>
      <c r="D1007" s="306"/>
      <c r="E1007" s="305"/>
      <c r="F1007" s="305"/>
    </row>
    <row r="1008" ht="14.25" customHeight="1">
      <c r="A1008" s="305"/>
      <c r="B1008" s="305"/>
      <c r="C1008" s="306"/>
      <c r="D1008" s="306"/>
      <c r="E1008" s="305"/>
      <c r="F1008" s="305"/>
    </row>
    <row r="1009" ht="14.25" customHeight="1">
      <c r="A1009" s="305"/>
      <c r="B1009" s="305"/>
      <c r="C1009" s="306"/>
      <c r="D1009" s="306"/>
      <c r="E1009" s="305"/>
      <c r="F1009" s="305"/>
    </row>
    <row r="1010" ht="14.25" customHeight="1">
      <c r="A1010" s="305"/>
      <c r="B1010" s="305"/>
      <c r="C1010" s="306"/>
      <c r="D1010" s="306"/>
      <c r="E1010" s="305"/>
      <c r="F1010" s="305"/>
    </row>
    <row r="1011" ht="14.25" customHeight="1">
      <c r="A1011" s="305"/>
      <c r="B1011" s="305"/>
      <c r="C1011" s="306"/>
      <c r="D1011" s="306"/>
      <c r="E1011" s="305"/>
      <c r="F1011" s="305"/>
    </row>
    <row r="1012" ht="14.25" customHeight="1">
      <c r="A1012" s="305"/>
      <c r="B1012" s="305"/>
      <c r="C1012" s="306"/>
      <c r="D1012" s="306"/>
      <c r="E1012" s="305"/>
      <c r="F1012" s="305"/>
    </row>
    <row r="1013" ht="14.25" customHeight="1">
      <c r="A1013" s="305"/>
      <c r="B1013" s="305"/>
      <c r="C1013" s="306"/>
      <c r="D1013" s="306"/>
      <c r="E1013" s="305"/>
      <c r="F1013" s="305"/>
    </row>
    <row r="1014" ht="14.25" customHeight="1">
      <c r="A1014" s="305"/>
      <c r="B1014" s="305"/>
      <c r="C1014" s="306"/>
      <c r="D1014" s="306"/>
      <c r="E1014" s="305"/>
      <c r="F1014" s="305"/>
    </row>
    <row r="1015" ht="14.25" customHeight="1">
      <c r="A1015" s="305"/>
      <c r="B1015" s="305"/>
      <c r="C1015" s="306"/>
      <c r="D1015" s="306"/>
      <c r="E1015" s="305"/>
      <c r="F1015" s="305"/>
    </row>
    <row r="1016" ht="14.25" customHeight="1">
      <c r="A1016" s="305"/>
      <c r="B1016" s="305"/>
      <c r="C1016" s="306"/>
      <c r="D1016" s="306"/>
      <c r="E1016" s="305"/>
      <c r="F1016" s="305"/>
    </row>
    <row r="1017" ht="14.25" customHeight="1">
      <c r="A1017" s="305"/>
      <c r="B1017" s="305"/>
      <c r="C1017" s="306"/>
      <c r="D1017" s="306"/>
      <c r="E1017" s="305"/>
      <c r="F1017" s="305"/>
    </row>
    <row r="1018" ht="14.25" customHeight="1">
      <c r="A1018" s="305"/>
      <c r="B1018" s="305"/>
      <c r="C1018" s="306"/>
      <c r="D1018" s="306"/>
      <c r="E1018" s="305"/>
      <c r="F1018" s="305"/>
    </row>
    <row r="1019" ht="14.25" customHeight="1">
      <c r="A1019" s="305"/>
      <c r="B1019" s="305"/>
      <c r="C1019" s="306"/>
      <c r="D1019" s="306"/>
      <c r="E1019" s="305"/>
      <c r="F1019" s="305"/>
    </row>
    <row r="1020" ht="14.25" customHeight="1">
      <c r="A1020" s="305"/>
      <c r="B1020" s="305"/>
      <c r="C1020" s="306"/>
      <c r="D1020" s="306"/>
      <c r="E1020" s="305"/>
      <c r="F1020" s="305"/>
    </row>
    <row r="1021" ht="14.25" customHeight="1">
      <c r="A1021" s="305"/>
      <c r="B1021" s="305"/>
      <c r="C1021" s="306"/>
      <c r="D1021" s="306"/>
      <c r="E1021" s="305"/>
      <c r="F1021" s="305"/>
    </row>
    <row r="1022" ht="14.25" customHeight="1">
      <c r="A1022" s="305"/>
      <c r="B1022" s="305"/>
      <c r="C1022" s="306"/>
      <c r="D1022" s="306"/>
      <c r="E1022" s="305"/>
      <c r="F1022" s="305"/>
    </row>
    <row r="1023" ht="14.25" customHeight="1">
      <c r="A1023" s="305"/>
      <c r="B1023" s="305"/>
      <c r="C1023" s="306"/>
      <c r="D1023" s="306"/>
      <c r="E1023" s="305"/>
      <c r="F1023" s="305"/>
    </row>
    <row r="1024" ht="14.25" customHeight="1">
      <c r="A1024" s="305"/>
      <c r="B1024" s="305"/>
      <c r="C1024" s="306"/>
      <c r="D1024" s="306"/>
      <c r="E1024" s="305"/>
      <c r="F1024" s="305"/>
    </row>
    <row r="1025" ht="14.25" customHeight="1">
      <c r="A1025" s="305"/>
      <c r="B1025" s="305"/>
      <c r="C1025" s="306"/>
      <c r="D1025" s="306"/>
      <c r="E1025" s="305"/>
      <c r="F1025" s="305"/>
    </row>
    <row r="1026" ht="14.25" customHeight="1">
      <c r="A1026" s="305"/>
      <c r="B1026" s="305"/>
      <c r="C1026" s="306"/>
      <c r="D1026" s="306"/>
      <c r="E1026" s="305"/>
      <c r="F1026" s="305"/>
    </row>
    <row r="1027" ht="14.25" customHeight="1">
      <c r="A1027" s="305"/>
      <c r="B1027" s="305"/>
      <c r="C1027" s="306"/>
      <c r="D1027" s="306"/>
      <c r="E1027" s="305"/>
      <c r="F1027" s="305"/>
    </row>
    <row r="1028" ht="14.25" customHeight="1">
      <c r="A1028" s="305"/>
      <c r="B1028" s="305"/>
      <c r="C1028" s="306"/>
      <c r="D1028" s="306"/>
      <c r="E1028" s="305"/>
      <c r="F1028" s="305"/>
    </row>
    <row r="1029" ht="14.25" customHeight="1">
      <c r="A1029" s="305"/>
      <c r="B1029" s="305"/>
      <c r="C1029" s="306"/>
      <c r="D1029" s="306"/>
      <c r="E1029" s="305"/>
      <c r="F1029" s="305"/>
    </row>
    <row r="1030" ht="14.25" customHeight="1">
      <c r="A1030" s="305"/>
      <c r="B1030" s="305"/>
      <c r="C1030" s="306"/>
      <c r="D1030" s="306"/>
      <c r="E1030" s="305"/>
      <c r="F1030" s="305"/>
    </row>
    <row r="1031" ht="14.25" customHeight="1">
      <c r="A1031" s="305"/>
      <c r="B1031" s="305"/>
      <c r="C1031" s="306"/>
      <c r="D1031" s="306"/>
      <c r="E1031" s="305"/>
      <c r="F1031" s="305"/>
    </row>
    <row r="1032" ht="14.25" customHeight="1">
      <c r="A1032" s="305"/>
      <c r="B1032" s="305"/>
      <c r="C1032" s="306"/>
      <c r="D1032" s="306"/>
      <c r="E1032" s="305"/>
      <c r="F1032" s="305"/>
    </row>
    <row r="1033" ht="14.25" customHeight="1">
      <c r="A1033" s="305"/>
      <c r="B1033" s="355" t="s">
        <v>32</v>
      </c>
      <c r="C1033" s="306"/>
      <c r="D1033" s="306"/>
      <c r="E1033" s="305"/>
      <c r="F1033" s="305"/>
    </row>
  </sheetData>
  <mergeCells count="18">
    <mergeCell ref="G8:H8"/>
    <mergeCell ref="I8:J8"/>
    <mergeCell ref="C7:D8"/>
    <mergeCell ref="C9:D9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5.14"/>
    <col customWidth="1" min="2" max="2" width="19.71"/>
    <col customWidth="1" hidden="1" min="3" max="3" width="20.29"/>
    <col customWidth="1" hidden="1" min="4" max="4" width="20.57"/>
    <col customWidth="1" min="5" max="5" width="22.0"/>
    <col customWidth="1" min="6" max="6" width="18.43"/>
    <col customWidth="1" min="7" max="7" width="19.71"/>
    <col customWidth="1" min="8" max="8" width="22.71"/>
    <col customWidth="1" hidden="1" min="9" max="9" width="19.14"/>
    <col customWidth="1" hidden="1" min="10" max="10" width="19.43"/>
    <col customWidth="1" hidden="1" min="11" max="11" width="18.0"/>
    <col customWidth="1" hidden="1" min="12" max="12" width="17.43"/>
    <col customWidth="1" hidden="1" min="13" max="13" width="18.86"/>
    <col customWidth="1" hidden="1" min="14" max="14" width="19.71"/>
    <col customWidth="1" hidden="1" min="15" max="15" width="19.14"/>
    <col customWidth="1" hidden="1" min="16" max="16" width="19.43"/>
    <col customWidth="1" min="17" max="23" width="25.0"/>
  </cols>
  <sheetData>
    <row r="1" ht="24.75" customHeight="1">
      <c r="A1" s="297" t="s">
        <v>0</v>
      </c>
      <c r="B1" s="356"/>
      <c r="C1" s="298"/>
      <c r="D1" s="295"/>
      <c r="E1" s="295"/>
      <c r="F1" s="295"/>
      <c r="G1" s="307"/>
      <c r="H1" s="357"/>
      <c r="I1" s="357"/>
      <c r="J1" s="357"/>
      <c r="K1" s="357"/>
      <c r="L1" s="357"/>
      <c r="M1" s="357"/>
      <c r="N1" s="357"/>
      <c r="O1" s="357"/>
      <c r="P1" s="357"/>
      <c r="Q1" s="358"/>
      <c r="R1" s="359" t="s">
        <v>611</v>
      </c>
      <c r="U1" s="296"/>
      <c r="V1" s="295"/>
      <c r="W1" s="295"/>
    </row>
    <row r="2" ht="34.5" customHeight="1">
      <c r="A2" s="297" t="s">
        <v>1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360"/>
      <c r="U2" s="296"/>
      <c r="V2" s="298"/>
      <c r="W2" s="298"/>
    </row>
    <row r="3" ht="36.0" customHeight="1">
      <c r="A3" s="361" t="s">
        <v>612</v>
      </c>
      <c r="B3" s="304"/>
      <c r="C3" s="304"/>
      <c r="D3" s="304"/>
      <c r="E3" s="304"/>
      <c r="F3" s="304"/>
      <c r="G3" s="307"/>
      <c r="H3" s="307"/>
      <c r="I3" s="307"/>
      <c r="J3" s="307"/>
      <c r="K3" s="307"/>
      <c r="L3" s="307"/>
      <c r="M3" s="307"/>
      <c r="N3" s="357"/>
      <c r="O3" s="307"/>
      <c r="P3" s="307"/>
      <c r="Q3" s="323"/>
      <c r="U3" s="304"/>
      <c r="V3" s="304"/>
      <c r="W3" s="304"/>
    </row>
    <row r="4" ht="28.5" customHeight="1">
      <c r="A4" s="361" t="s">
        <v>3</v>
      </c>
      <c r="B4" s="304"/>
      <c r="C4" s="304"/>
      <c r="D4" s="304"/>
      <c r="E4" s="304"/>
      <c r="F4" s="304"/>
      <c r="G4" s="307"/>
      <c r="H4" s="307"/>
      <c r="I4" s="307"/>
      <c r="J4" s="307"/>
      <c r="K4" s="307"/>
      <c r="L4" s="307"/>
      <c r="M4" s="307"/>
      <c r="N4" s="357"/>
      <c r="O4" s="307"/>
      <c r="P4" s="307"/>
      <c r="Q4" s="323"/>
      <c r="R4" s="362"/>
      <c r="U4" s="304"/>
      <c r="V4" s="304"/>
      <c r="W4" s="304"/>
    </row>
    <row r="5" ht="30.0" customHeight="1">
      <c r="A5" s="361" t="s">
        <v>4</v>
      </c>
      <c r="B5" s="304"/>
      <c r="C5" s="304"/>
      <c r="D5" s="304"/>
      <c r="E5" s="304"/>
      <c r="F5" s="304"/>
      <c r="G5" s="307"/>
      <c r="H5" s="307"/>
      <c r="I5" s="307"/>
      <c r="J5" s="307"/>
      <c r="K5" s="307"/>
      <c r="L5" s="307"/>
      <c r="M5" s="307"/>
      <c r="N5" s="357"/>
      <c r="O5" s="307"/>
      <c r="P5" s="307"/>
      <c r="Q5" s="323"/>
      <c r="R5" s="363"/>
      <c r="S5" s="304"/>
      <c r="T5" s="304"/>
      <c r="U5" s="304"/>
      <c r="V5" s="304"/>
      <c r="W5" s="304"/>
    </row>
    <row r="6" ht="15.75" customHeight="1">
      <c r="A6" s="307"/>
      <c r="B6" s="354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57"/>
      <c r="O6" s="307"/>
      <c r="P6" s="307"/>
      <c r="Q6" s="307"/>
      <c r="R6" s="364"/>
      <c r="S6" s="307"/>
      <c r="T6" s="307"/>
      <c r="U6" s="307"/>
      <c r="V6" s="307"/>
      <c r="W6" s="307"/>
    </row>
    <row r="7" ht="33.75" customHeight="1">
      <c r="A7" s="365" t="s">
        <v>5</v>
      </c>
      <c r="B7" s="365" t="s">
        <v>6</v>
      </c>
      <c r="C7" s="366" t="s">
        <v>613</v>
      </c>
      <c r="D7" s="18"/>
      <c r="E7" s="367" t="s">
        <v>530</v>
      </c>
      <c r="F7" s="18"/>
      <c r="G7" s="368" t="s">
        <v>8</v>
      </c>
      <c r="H7" s="14"/>
      <c r="I7" s="312"/>
      <c r="J7" s="17"/>
      <c r="K7" s="17"/>
      <c r="L7" s="18"/>
      <c r="M7" s="369"/>
      <c r="N7" s="370"/>
      <c r="O7" s="371" t="s">
        <v>614</v>
      </c>
      <c r="P7" s="372"/>
      <c r="Q7" s="312" t="s">
        <v>9</v>
      </c>
      <c r="R7" s="17"/>
      <c r="S7" s="17"/>
      <c r="T7" s="17"/>
      <c r="U7" s="17"/>
      <c r="V7" s="18"/>
      <c r="W7" s="313" t="s">
        <v>615</v>
      </c>
    </row>
    <row r="8" ht="1.5" customHeight="1">
      <c r="A8" s="19"/>
      <c r="B8" s="19"/>
      <c r="C8" s="366" t="s">
        <v>16</v>
      </c>
      <c r="D8" s="18"/>
      <c r="E8" s="373" t="s">
        <v>14</v>
      </c>
      <c r="F8" s="373" t="s">
        <v>616</v>
      </c>
      <c r="G8" s="20"/>
      <c r="H8" s="21"/>
      <c r="I8" s="312" t="s">
        <v>12</v>
      </c>
      <c r="J8" s="18"/>
      <c r="K8" s="312" t="s">
        <v>13</v>
      </c>
      <c r="L8" s="18"/>
      <c r="M8" s="366" t="s">
        <v>13</v>
      </c>
      <c r="N8" s="18"/>
      <c r="P8" s="374"/>
      <c r="Q8" s="312" t="s">
        <v>11</v>
      </c>
      <c r="R8" s="18"/>
      <c r="S8" s="312" t="s">
        <v>12</v>
      </c>
      <c r="T8" s="18"/>
      <c r="U8" s="312" t="s">
        <v>13</v>
      </c>
      <c r="V8" s="18"/>
      <c r="W8" s="19"/>
    </row>
    <row r="9" ht="19.5" customHeight="1">
      <c r="A9" s="19"/>
      <c r="B9" s="19"/>
      <c r="C9" s="375" t="s">
        <v>571</v>
      </c>
      <c r="D9" s="376" t="s">
        <v>616</v>
      </c>
      <c r="E9" s="19"/>
      <c r="F9" s="19"/>
      <c r="G9" s="311" t="s">
        <v>16</v>
      </c>
      <c r="H9" s="14"/>
      <c r="I9" s="315" t="s">
        <v>17</v>
      </c>
      <c r="J9" s="316" t="s">
        <v>18</v>
      </c>
      <c r="K9" s="315" t="s">
        <v>17</v>
      </c>
      <c r="L9" s="316" t="s">
        <v>18</v>
      </c>
      <c r="M9" s="375" t="s">
        <v>17</v>
      </c>
      <c r="N9" s="377" t="s">
        <v>617</v>
      </c>
      <c r="O9" s="378"/>
      <c r="P9" s="379"/>
      <c r="Q9" s="315" t="s">
        <v>17</v>
      </c>
      <c r="R9" s="380" t="s">
        <v>18</v>
      </c>
      <c r="S9" s="315" t="s">
        <v>17</v>
      </c>
      <c r="T9" s="316" t="s">
        <v>18</v>
      </c>
      <c r="U9" s="315" t="s">
        <v>17</v>
      </c>
      <c r="V9" s="316" t="s">
        <v>18</v>
      </c>
      <c r="W9" s="19"/>
    </row>
    <row r="10" ht="58.5" customHeight="1">
      <c r="A10" s="26"/>
      <c r="B10" s="26"/>
      <c r="C10" s="26"/>
      <c r="D10" s="26"/>
      <c r="E10" s="26"/>
      <c r="F10" s="26"/>
      <c r="G10" s="318" t="s">
        <v>17</v>
      </c>
      <c r="H10" s="319" t="s">
        <v>18</v>
      </c>
      <c r="I10" s="26"/>
      <c r="J10" s="26"/>
      <c r="K10" s="26"/>
      <c r="L10" s="26"/>
      <c r="M10" s="26"/>
      <c r="N10" s="26"/>
      <c r="O10" s="381" t="s">
        <v>17</v>
      </c>
      <c r="P10" s="382" t="s">
        <v>618</v>
      </c>
      <c r="Q10" s="26"/>
      <c r="R10" s="26"/>
      <c r="S10" s="26"/>
      <c r="T10" s="26"/>
      <c r="U10" s="26"/>
      <c r="V10" s="26"/>
      <c r="W10" s="26"/>
    </row>
    <row r="11" ht="43.5" customHeight="1">
      <c r="A11" s="383" t="s">
        <v>619</v>
      </c>
      <c r="B11" s="383"/>
      <c r="C11" s="384"/>
      <c r="D11" s="385">
        <f>D12+D44</f>
        <v>1200</v>
      </c>
      <c r="E11" s="384"/>
      <c r="F11" s="385">
        <v>6950.0</v>
      </c>
      <c r="G11" s="385">
        <f t="shared" ref="G11:H11" si="1">G12</f>
        <v>1079</v>
      </c>
      <c r="H11" s="385">
        <f t="shared" si="1"/>
        <v>1050</v>
      </c>
      <c r="I11" s="304"/>
      <c r="J11" s="304"/>
      <c r="K11" s="304"/>
      <c r="L11" s="304"/>
      <c r="M11" s="386"/>
      <c r="N11" s="345" t="str">
        <f t="shared" ref="N11:N12" si="3">#REF!+#REF!</f>
        <v>#REF!</v>
      </c>
      <c r="O11" s="384"/>
      <c r="P11" s="385">
        <f>P12</f>
        <v>1050</v>
      </c>
      <c r="Q11" s="323"/>
      <c r="R11" s="387">
        <f>R12</f>
        <v>2200</v>
      </c>
      <c r="S11" s="304"/>
      <c r="T11" s="304"/>
      <c r="U11" s="304"/>
      <c r="V11" s="304"/>
      <c r="W11" s="304"/>
    </row>
    <row r="12" ht="19.5" customHeight="1">
      <c r="A12" s="383" t="s">
        <v>620</v>
      </c>
      <c r="B12" s="383"/>
      <c r="C12" s="384"/>
      <c r="D12" s="385">
        <f>SUM(D13:D42)</f>
        <v>1200</v>
      </c>
      <c r="E12" s="384"/>
      <c r="F12" s="385">
        <v>1950.0</v>
      </c>
      <c r="G12" s="385">
        <f t="shared" ref="G12:H12" si="2">SUM(G13:G42)</f>
        <v>1079</v>
      </c>
      <c r="H12" s="385">
        <f t="shared" si="2"/>
        <v>1050</v>
      </c>
      <c r="I12" s="344"/>
      <c r="J12" s="344"/>
      <c r="K12" s="344"/>
      <c r="L12" s="344"/>
      <c r="M12" s="386"/>
      <c r="N12" s="345" t="str">
        <f t="shared" si="3"/>
        <v>#REF!</v>
      </c>
      <c r="O12" s="384"/>
      <c r="P12" s="385">
        <f>SUM(P13:P42)</f>
        <v>1050</v>
      </c>
      <c r="Q12" s="325"/>
      <c r="R12" s="388">
        <f>SUM(R15:R36)</f>
        <v>2200</v>
      </c>
      <c r="S12" s="344"/>
      <c r="T12" s="344"/>
      <c r="U12" s="344"/>
      <c r="V12" s="344"/>
      <c r="W12" s="344"/>
    </row>
    <row r="13" ht="22.5" customHeight="1">
      <c r="A13" s="389" t="s">
        <v>621</v>
      </c>
      <c r="B13" s="390"/>
      <c r="C13" s="391"/>
      <c r="D13" s="392"/>
      <c r="E13" s="391"/>
      <c r="F13" s="392"/>
      <c r="G13" s="392"/>
      <c r="H13" s="392"/>
      <c r="I13" s="344"/>
      <c r="J13" s="344"/>
      <c r="K13" s="344"/>
      <c r="L13" s="344"/>
      <c r="M13" s="386"/>
      <c r="N13" s="345"/>
      <c r="O13" s="391"/>
      <c r="P13" s="392"/>
      <c r="Q13" s="325"/>
      <c r="R13" s="393"/>
      <c r="S13" s="344"/>
      <c r="T13" s="344"/>
      <c r="U13" s="344"/>
      <c r="V13" s="344"/>
      <c r="W13" s="344"/>
    </row>
    <row r="14" ht="22.5" customHeight="1">
      <c r="A14" s="389" t="s">
        <v>622</v>
      </c>
      <c r="B14" s="394" t="s">
        <v>32</v>
      </c>
      <c r="C14" s="391"/>
      <c r="D14" s="392"/>
      <c r="E14" s="391"/>
      <c r="F14" s="392"/>
      <c r="G14" s="392"/>
      <c r="H14" s="392"/>
      <c r="I14" s="344"/>
      <c r="J14" s="344"/>
      <c r="K14" s="344"/>
      <c r="L14" s="344"/>
      <c r="M14" s="386"/>
      <c r="N14" s="345"/>
      <c r="O14" s="391"/>
      <c r="P14" s="392"/>
      <c r="Q14" s="325"/>
      <c r="R14" s="393"/>
      <c r="S14" s="344"/>
      <c r="T14" s="344"/>
      <c r="U14" s="344"/>
      <c r="V14" s="344"/>
      <c r="W14" s="344"/>
    </row>
    <row r="15" ht="22.5" customHeight="1">
      <c r="A15" s="389" t="s">
        <v>623</v>
      </c>
      <c r="B15" s="394" t="s">
        <v>32</v>
      </c>
      <c r="C15" s="391"/>
      <c r="D15" s="392"/>
      <c r="E15" s="391"/>
      <c r="F15" s="392"/>
      <c r="G15" s="392"/>
      <c r="H15" s="392"/>
      <c r="I15" s="344"/>
      <c r="J15" s="344"/>
      <c r="K15" s="344"/>
      <c r="L15" s="344"/>
      <c r="M15" s="386"/>
      <c r="N15" s="345"/>
      <c r="O15" s="391"/>
      <c r="P15" s="392"/>
      <c r="Q15" s="325"/>
      <c r="R15" s="393"/>
      <c r="S15" s="344"/>
      <c r="T15" s="344"/>
      <c r="U15" s="344"/>
      <c r="V15" s="344"/>
      <c r="W15" s="344"/>
    </row>
    <row r="16" ht="19.5" customHeight="1">
      <c r="A16" s="395" t="s">
        <v>343</v>
      </c>
      <c r="B16" s="394" t="s">
        <v>32</v>
      </c>
      <c r="C16" s="391">
        <v>15.0</v>
      </c>
      <c r="D16" s="392"/>
      <c r="E16" s="396">
        <v>30.0</v>
      </c>
      <c r="F16" s="390"/>
      <c r="G16" s="392"/>
      <c r="H16" s="392"/>
      <c r="I16" s="344"/>
      <c r="J16" s="344"/>
      <c r="K16" s="344"/>
      <c r="L16" s="344"/>
      <c r="M16" s="397"/>
      <c r="N16" s="398"/>
      <c r="O16" s="391"/>
      <c r="P16" s="392"/>
      <c r="Q16" s="325"/>
      <c r="R16" s="393"/>
      <c r="S16" s="344"/>
      <c r="T16" s="344"/>
      <c r="U16" s="344"/>
      <c r="V16" s="344"/>
      <c r="W16" s="344"/>
    </row>
    <row r="17" ht="19.5" customHeight="1">
      <c r="A17" s="395" t="s">
        <v>342</v>
      </c>
      <c r="B17" s="394" t="s">
        <v>32</v>
      </c>
      <c r="C17" s="391">
        <v>30.0</v>
      </c>
      <c r="D17" s="392"/>
      <c r="E17" s="396">
        <v>30.0</v>
      </c>
      <c r="F17" s="390"/>
      <c r="G17" s="392"/>
      <c r="H17" s="392"/>
      <c r="I17" s="344"/>
      <c r="J17" s="344"/>
      <c r="K17" s="344"/>
      <c r="L17" s="344"/>
      <c r="M17" s="397"/>
      <c r="N17" s="398"/>
      <c r="O17" s="391"/>
      <c r="P17" s="392"/>
      <c r="Q17" s="325"/>
      <c r="R17" s="393"/>
      <c r="S17" s="344"/>
      <c r="T17" s="344"/>
      <c r="U17" s="344"/>
      <c r="V17" s="344"/>
      <c r="W17" s="344"/>
    </row>
    <row r="18" ht="19.5" customHeight="1">
      <c r="A18" s="395" t="s">
        <v>624</v>
      </c>
      <c r="B18" s="394" t="s">
        <v>32</v>
      </c>
      <c r="C18" s="391">
        <v>2.0</v>
      </c>
      <c r="D18" s="392"/>
      <c r="E18" s="396">
        <v>2.0</v>
      </c>
      <c r="F18" s="390"/>
      <c r="G18" s="391">
        <v>6.0</v>
      </c>
      <c r="H18" s="392"/>
      <c r="I18" s="344"/>
      <c r="J18" s="344"/>
      <c r="K18" s="344"/>
      <c r="L18" s="344"/>
      <c r="M18" s="397" t="str">
        <f t="shared" ref="M18:N18" si="4">#REF!+#REF!</f>
        <v>#REF!</v>
      </c>
      <c r="N18" s="398" t="str">
        <f t="shared" si="4"/>
        <v>#REF!</v>
      </c>
      <c r="O18" s="391">
        <v>6.0</v>
      </c>
      <c r="P18" s="392"/>
      <c r="Q18" s="330">
        <v>6.0</v>
      </c>
      <c r="R18" s="393"/>
      <c r="S18" s="344"/>
      <c r="T18" s="344"/>
      <c r="U18" s="344"/>
      <c r="V18" s="344"/>
      <c r="W18" s="344"/>
    </row>
    <row r="19" ht="19.5" customHeight="1">
      <c r="A19" s="395" t="s">
        <v>625</v>
      </c>
      <c r="B19" s="394" t="s">
        <v>21</v>
      </c>
      <c r="C19" s="391">
        <v>20.0</v>
      </c>
      <c r="D19" s="392">
        <v>400.0</v>
      </c>
      <c r="E19" s="396">
        <v>70.0</v>
      </c>
      <c r="F19" s="399">
        <v>1000.0</v>
      </c>
      <c r="G19" s="391">
        <v>70.0</v>
      </c>
      <c r="H19" s="392">
        <v>550.0</v>
      </c>
      <c r="I19" s="344"/>
      <c r="J19" s="344"/>
      <c r="K19" s="344"/>
      <c r="L19" s="344"/>
      <c r="M19" s="397" t="str">
        <f t="shared" ref="M19:N19" si="5">#REF!+#REF!</f>
        <v>#REF!</v>
      </c>
      <c r="N19" s="398" t="str">
        <f t="shared" si="5"/>
        <v>#REF!</v>
      </c>
      <c r="O19" s="391">
        <v>70.0</v>
      </c>
      <c r="P19" s="392">
        <v>550.0</v>
      </c>
      <c r="Q19" s="330">
        <v>60.0</v>
      </c>
      <c r="R19" s="400">
        <v>700.0</v>
      </c>
      <c r="S19" s="344"/>
      <c r="T19" s="344"/>
      <c r="U19" s="344"/>
      <c r="V19" s="344"/>
      <c r="W19" s="401" t="s">
        <v>626</v>
      </c>
    </row>
    <row r="20" ht="15.75" hidden="1" customHeight="1">
      <c r="A20" s="383"/>
      <c r="B20" s="390"/>
      <c r="C20" s="391"/>
      <c r="D20" s="392"/>
      <c r="E20" s="390"/>
      <c r="F20" s="390"/>
      <c r="G20" s="391"/>
      <c r="H20" s="392"/>
      <c r="I20" s="402"/>
      <c r="J20" s="402"/>
      <c r="K20" s="402"/>
      <c r="L20" s="402"/>
      <c r="M20" s="397" t="str">
        <f t="shared" ref="M20:N20" si="6">#REF!+#REF!</f>
        <v>#REF!</v>
      </c>
      <c r="N20" s="398" t="str">
        <f t="shared" si="6"/>
        <v>#REF!</v>
      </c>
      <c r="O20" s="391"/>
      <c r="P20" s="392"/>
      <c r="Q20" s="335"/>
      <c r="R20" s="403"/>
      <c r="S20" s="402"/>
      <c r="T20" s="402"/>
      <c r="U20" s="402"/>
      <c r="V20" s="402"/>
      <c r="W20" s="404"/>
    </row>
    <row r="21" ht="19.5" customHeight="1">
      <c r="A21" s="389" t="s">
        <v>627</v>
      </c>
      <c r="B21" s="394" t="s">
        <v>32</v>
      </c>
      <c r="C21" s="391"/>
      <c r="D21" s="392"/>
      <c r="E21" s="390"/>
      <c r="F21" s="390"/>
      <c r="G21" s="391"/>
      <c r="H21" s="392"/>
      <c r="I21" s="344"/>
      <c r="J21" s="344"/>
      <c r="K21" s="344"/>
      <c r="L21" s="344"/>
      <c r="M21" s="397" t="str">
        <f t="shared" ref="M21:N21" si="7">#REF!+#REF!</f>
        <v>#REF!</v>
      </c>
      <c r="N21" s="398" t="str">
        <f t="shared" si="7"/>
        <v>#REF!</v>
      </c>
      <c r="O21" s="391"/>
      <c r="P21" s="392"/>
      <c r="Q21" s="325"/>
      <c r="R21" s="393"/>
      <c r="S21" s="344"/>
      <c r="T21" s="344"/>
      <c r="U21" s="344"/>
      <c r="V21" s="344"/>
      <c r="W21" s="405"/>
    </row>
    <row r="22" ht="19.5" customHeight="1">
      <c r="A22" s="395" t="s">
        <v>628</v>
      </c>
      <c r="B22" s="394" t="s">
        <v>32</v>
      </c>
      <c r="C22" s="391"/>
      <c r="D22" s="392"/>
      <c r="E22" s="396"/>
      <c r="F22" s="390"/>
      <c r="G22" s="391"/>
      <c r="H22" s="392"/>
      <c r="I22" s="344"/>
      <c r="J22" s="344"/>
      <c r="K22" s="344"/>
      <c r="L22" s="344"/>
      <c r="M22" s="397" t="str">
        <f t="shared" ref="M22:N22" si="8">#REF!+#REF!</f>
        <v>#REF!</v>
      </c>
      <c r="N22" s="398" t="str">
        <f t="shared" si="8"/>
        <v>#REF!</v>
      </c>
      <c r="O22" s="391"/>
      <c r="P22" s="392"/>
      <c r="Q22" s="325"/>
      <c r="R22" s="393"/>
      <c r="S22" s="344"/>
      <c r="T22" s="344"/>
      <c r="U22" s="344"/>
      <c r="V22" s="344"/>
      <c r="W22" s="405"/>
    </row>
    <row r="23" ht="19.5" customHeight="1">
      <c r="A23" s="395" t="s">
        <v>343</v>
      </c>
      <c r="B23" s="394" t="s">
        <v>32</v>
      </c>
      <c r="C23" s="391">
        <v>15.0</v>
      </c>
      <c r="D23" s="392"/>
      <c r="E23" s="396">
        <v>10.0</v>
      </c>
      <c r="F23" s="390"/>
      <c r="G23" s="391"/>
      <c r="H23" s="392"/>
      <c r="I23" s="344"/>
      <c r="J23" s="344"/>
      <c r="K23" s="344"/>
      <c r="L23" s="344"/>
      <c r="M23" s="397" t="str">
        <f t="shared" ref="M23:N23" si="9">#REF!+#REF!</f>
        <v>#REF!</v>
      </c>
      <c r="N23" s="398" t="str">
        <f t="shared" si="9"/>
        <v>#REF!</v>
      </c>
      <c r="O23" s="391"/>
      <c r="P23" s="392"/>
      <c r="Q23" s="325"/>
      <c r="R23" s="393"/>
      <c r="S23" s="344"/>
      <c r="T23" s="344"/>
      <c r="U23" s="344"/>
      <c r="V23" s="344"/>
      <c r="W23" s="405"/>
    </row>
    <row r="24" ht="19.5" customHeight="1">
      <c r="A24" s="395" t="s">
        <v>342</v>
      </c>
      <c r="B24" s="394" t="s">
        <v>32</v>
      </c>
      <c r="C24" s="391">
        <v>15.0</v>
      </c>
      <c r="D24" s="392"/>
      <c r="E24" s="396">
        <v>10.0</v>
      </c>
      <c r="F24" s="390"/>
      <c r="G24" s="391"/>
      <c r="H24" s="392"/>
      <c r="I24" s="344"/>
      <c r="J24" s="344"/>
      <c r="K24" s="344"/>
      <c r="L24" s="344"/>
      <c r="M24" s="397" t="str">
        <f t="shared" ref="M24:N24" si="10">#REF!+#REF!</f>
        <v>#REF!</v>
      </c>
      <c r="N24" s="398" t="str">
        <f t="shared" si="10"/>
        <v>#REF!</v>
      </c>
      <c r="O24" s="391"/>
      <c r="P24" s="392"/>
      <c r="Q24" s="325"/>
      <c r="R24" s="393"/>
      <c r="S24" s="344"/>
      <c r="T24" s="344"/>
      <c r="U24" s="344"/>
      <c r="V24" s="344"/>
      <c r="W24" s="405"/>
    </row>
    <row r="25" ht="19.5" customHeight="1">
      <c r="A25" s="395" t="s">
        <v>624</v>
      </c>
      <c r="B25" s="394" t="s">
        <v>32</v>
      </c>
      <c r="C25" s="391">
        <v>1.0</v>
      </c>
      <c r="D25" s="392"/>
      <c r="E25" s="396">
        <v>1.0</v>
      </c>
      <c r="F25" s="390"/>
      <c r="G25" s="391">
        <v>3.0</v>
      </c>
      <c r="H25" s="392"/>
      <c r="I25" s="344"/>
      <c r="J25" s="344"/>
      <c r="K25" s="344"/>
      <c r="L25" s="344"/>
      <c r="M25" s="397" t="str">
        <f t="shared" ref="M25:N25" si="11">#REF!+#REF!</f>
        <v>#REF!</v>
      </c>
      <c r="N25" s="398" t="str">
        <f t="shared" si="11"/>
        <v>#REF!</v>
      </c>
      <c r="O25" s="391">
        <v>3.0</v>
      </c>
      <c r="P25" s="392"/>
      <c r="Q25" s="406">
        <v>4.0</v>
      </c>
      <c r="R25" s="393"/>
      <c r="S25" s="344"/>
      <c r="T25" s="344"/>
      <c r="U25" s="344"/>
      <c r="V25" s="344"/>
      <c r="W25" s="405"/>
    </row>
    <row r="26" ht="27.0" customHeight="1">
      <c r="A26" s="389" t="s">
        <v>629</v>
      </c>
      <c r="B26" s="394" t="s">
        <v>21</v>
      </c>
      <c r="C26" s="407">
        <v>1000.0</v>
      </c>
      <c r="D26" s="392">
        <v>400.0</v>
      </c>
      <c r="E26" s="396">
        <v>750.0</v>
      </c>
      <c r="F26" s="396">
        <v>500.0</v>
      </c>
      <c r="G26" s="391">
        <v>1000.0</v>
      </c>
      <c r="H26" s="392">
        <v>500.0</v>
      </c>
      <c r="I26" s="344"/>
      <c r="J26" s="344"/>
      <c r="K26" s="344"/>
      <c r="L26" s="344"/>
      <c r="M26" s="397" t="str">
        <f t="shared" ref="M26:N26" si="12">#REF!+#REF!</f>
        <v>#REF!</v>
      </c>
      <c r="N26" s="398" t="str">
        <f t="shared" si="12"/>
        <v>#REF!</v>
      </c>
      <c r="O26" s="391">
        <v>1000.0</v>
      </c>
      <c r="P26" s="392">
        <v>500.0</v>
      </c>
      <c r="Q26" s="406">
        <v>1000.0</v>
      </c>
      <c r="R26" s="408">
        <v>500.0</v>
      </c>
      <c r="S26" s="344"/>
      <c r="T26" s="344"/>
      <c r="U26" s="344"/>
      <c r="V26" s="344"/>
      <c r="W26" s="401" t="s">
        <v>626</v>
      </c>
    </row>
    <row r="27" ht="15.75" hidden="1" customHeight="1">
      <c r="A27" s="383"/>
      <c r="B27" s="390"/>
      <c r="C27" s="391"/>
      <c r="D27" s="392"/>
      <c r="E27" s="391"/>
      <c r="F27" s="392"/>
      <c r="G27" s="392"/>
      <c r="H27" s="392"/>
      <c r="I27" s="344"/>
      <c r="J27" s="344"/>
      <c r="K27" s="344"/>
      <c r="L27" s="344"/>
      <c r="M27" s="397" t="str">
        <f t="shared" ref="M27:N27" si="13">#REF!+#REF!</f>
        <v>#REF!</v>
      </c>
      <c r="N27" s="398" t="str">
        <f t="shared" si="13"/>
        <v>#REF!</v>
      </c>
      <c r="O27" s="391"/>
      <c r="P27" s="392"/>
      <c r="Q27" s="325"/>
      <c r="R27" s="393"/>
      <c r="S27" s="344"/>
      <c r="T27" s="344"/>
      <c r="U27" s="344"/>
      <c r="V27" s="344"/>
      <c r="W27" s="344"/>
    </row>
    <row r="28" ht="31.5" customHeight="1">
      <c r="A28" s="389" t="s">
        <v>630</v>
      </c>
      <c r="B28" s="394" t="s">
        <v>32</v>
      </c>
      <c r="C28" s="391"/>
      <c r="D28" s="392"/>
      <c r="E28" s="391"/>
      <c r="F28" s="392"/>
      <c r="G28" s="392"/>
      <c r="H28" s="392"/>
      <c r="I28" s="344"/>
      <c r="J28" s="344"/>
      <c r="K28" s="344"/>
      <c r="L28" s="344"/>
      <c r="M28" s="397" t="str">
        <f t="shared" ref="M28:N28" si="14">#REF!+#REF!</f>
        <v>#REF!</v>
      </c>
      <c r="N28" s="398" t="str">
        <f t="shared" si="14"/>
        <v>#REF!</v>
      </c>
      <c r="O28" s="391"/>
      <c r="P28" s="392"/>
      <c r="Q28" s="325"/>
      <c r="R28" s="393"/>
      <c r="S28" s="344"/>
      <c r="T28" s="344"/>
      <c r="U28" s="344"/>
      <c r="V28" s="344"/>
      <c r="W28" s="344"/>
    </row>
    <row r="29" ht="18.0" customHeight="1">
      <c r="A29" s="389" t="s">
        <v>631</v>
      </c>
      <c r="B29" s="394" t="s">
        <v>32</v>
      </c>
      <c r="C29" s="391"/>
      <c r="D29" s="392"/>
      <c r="E29" s="391"/>
      <c r="F29" s="392"/>
      <c r="G29" s="392"/>
      <c r="H29" s="392"/>
      <c r="I29" s="344"/>
      <c r="J29" s="344"/>
      <c r="K29" s="344"/>
      <c r="L29" s="344"/>
      <c r="M29" s="397" t="str">
        <f t="shared" ref="M29:N29" si="15">#REF!+#REF!</f>
        <v>#REF!</v>
      </c>
      <c r="N29" s="398" t="str">
        <f t="shared" si="15"/>
        <v>#REF!</v>
      </c>
      <c r="O29" s="391"/>
      <c r="P29" s="392"/>
      <c r="Q29" s="325"/>
      <c r="R29" s="393"/>
      <c r="S29" s="344"/>
      <c r="T29" s="344"/>
      <c r="U29" s="344"/>
      <c r="V29" s="344"/>
      <c r="W29" s="344"/>
    </row>
    <row r="30" ht="18.0" customHeight="1">
      <c r="A30" s="395" t="s">
        <v>343</v>
      </c>
      <c r="B30" s="394" t="s">
        <v>32</v>
      </c>
      <c r="C30" s="391">
        <v>15.0</v>
      </c>
      <c r="D30" s="392"/>
      <c r="E30" s="396">
        <v>10.0</v>
      </c>
      <c r="F30" s="390"/>
      <c r="G30" s="392"/>
      <c r="H30" s="392"/>
      <c r="I30" s="344"/>
      <c r="J30" s="344"/>
      <c r="K30" s="344"/>
      <c r="L30" s="344"/>
      <c r="M30" s="397" t="str">
        <f t="shared" ref="M30:N30" si="16">#REF!+#REF!</f>
        <v>#REF!</v>
      </c>
      <c r="N30" s="398" t="str">
        <f t="shared" si="16"/>
        <v>#REF!</v>
      </c>
      <c r="O30" s="391"/>
      <c r="P30" s="392"/>
      <c r="Q30" s="325"/>
      <c r="R30" s="393"/>
      <c r="S30" s="344"/>
      <c r="T30" s="344"/>
      <c r="U30" s="344"/>
      <c r="V30" s="344"/>
      <c r="W30" s="344"/>
    </row>
    <row r="31" ht="18.0" customHeight="1">
      <c r="A31" s="395" t="s">
        <v>342</v>
      </c>
      <c r="B31" s="394" t="s">
        <v>32</v>
      </c>
      <c r="C31" s="391">
        <v>15.0</v>
      </c>
      <c r="D31" s="392"/>
      <c r="E31" s="396">
        <v>10.0</v>
      </c>
      <c r="F31" s="390"/>
      <c r="G31" s="392"/>
      <c r="H31" s="392"/>
      <c r="I31" s="344"/>
      <c r="J31" s="344"/>
      <c r="K31" s="344"/>
      <c r="L31" s="344"/>
      <c r="M31" s="397" t="str">
        <f t="shared" ref="M31:N31" si="17">#REF!+#REF!</f>
        <v>#REF!</v>
      </c>
      <c r="N31" s="398" t="str">
        <f t="shared" si="17"/>
        <v>#REF!</v>
      </c>
      <c r="O31" s="391"/>
      <c r="P31" s="392"/>
      <c r="Q31" s="325"/>
      <c r="R31" s="393"/>
      <c r="S31" s="344"/>
      <c r="T31" s="344"/>
      <c r="U31" s="344"/>
      <c r="V31" s="344"/>
      <c r="W31" s="405"/>
    </row>
    <row r="32" ht="18.0" customHeight="1">
      <c r="A32" s="395" t="s">
        <v>624</v>
      </c>
      <c r="B32" s="394" t="s">
        <v>32</v>
      </c>
      <c r="C32" s="391">
        <v>1.0</v>
      </c>
      <c r="D32" s="392"/>
      <c r="E32" s="396">
        <v>1.0</v>
      </c>
      <c r="F32" s="390"/>
      <c r="G32" s="392"/>
      <c r="H32" s="392"/>
      <c r="I32" s="344"/>
      <c r="J32" s="344"/>
      <c r="K32" s="344"/>
      <c r="L32" s="344"/>
      <c r="M32" s="397" t="str">
        <f t="shared" ref="M32:N32" si="18">#REF!+#REF!</f>
        <v>#REF!</v>
      </c>
      <c r="N32" s="398" t="str">
        <f t="shared" si="18"/>
        <v>#REF!</v>
      </c>
      <c r="O32" s="391"/>
      <c r="P32" s="392"/>
      <c r="Q32" s="325"/>
      <c r="R32" s="393"/>
      <c r="S32" s="344"/>
      <c r="T32" s="344"/>
      <c r="U32" s="344"/>
      <c r="V32" s="344"/>
      <c r="W32" s="405"/>
    </row>
    <row r="33" ht="18.0" customHeight="1">
      <c r="A33" s="389" t="s">
        <v>632</v>
      </c>
      <c r="B33" s="394" t="s">
        <v>21</v>
      </c>
      <c r="C33" s="391">
        <v>800.0</v>
      </c>
      <c r="D33" s="392">
        <v>400.0</v>
      </c>
      <c r="E33" s="396">
        <v>500.0</v>
      </c>
      <c r="F33" s="396">
        <v>450.0</v>
      </c>
      <c r="G33" s="392"/>
      <c r="H33" s="392"/>
      <c r="I33" s="344"/>
      <c r="J33" s="344"/>
      <c r="K33" s="344"/>
      <c r="L33" s="344"/>
      <c r="M33" s="397" t="str">
        <f t="shared" ref="M33:N33" si="19">#REF!+#REF!</f>
        <v>#REF!</v>
      </c>
      <c r="N33" s="398" t="str">
        <f t="shared" si="19"/>
        <v>#REF!</v>
      </c>
      <c r="O33" s="391"/>
      <c r="P33" s="392"/>
      <c r="Q33" s="325"/>
      <c r="R33" s="393"/>
      <c r="S33" s="344"/>
      <c r="T33" s="344"/>
      <c r="U33" s="344"/>
      <c r="V33" s="344"/>
      <c r="W33" s="405"/>
    </row>
    <row r="34" ht="18.0" customHeight="1">
      <c r="A34" s="389"/>
      <c r="B34" s="394"/>
      <c r="C34" s="391"/>
      <c r="D34" s="392"/>
      <c r="E34" s="396"/>
      <c r="F34" s="396"/>
      <c r="G34" s="392"/>
      <c r="H34" s="392"/>
      <c r="I34" s="344"/>
      <c r="J34" s="344"/>
      <c r="K34" s="344"/>
      <c r="L34" s="344"/>
      <c r="M34" s="397"/>
      <c r="N34" s="398"/>
      <c r="O34" s="391"/>
      <c r="P34" s="392"/>
      <c r="Q34" s="325"/>
      <c r="R34" s="393"/>
      <c r="S34" s="344"/>
      <c r="T34" s="344"/>
      <c r="U34" s="344"/>
      <c r="V34" s="344"/>
      <c r="W34" s="405"/>
    </row>
    <row r="35" ht="22.5" customHeight="1">
      <c r="A35" s="409" t="s">
        <v>633</v>
      </c>
      <c r="B35" s="410" t="s">
        <v>634</v>
      </c>
      <c r="C35" s="391"/>
      <c r="D35" s="392"/>
      <c r="E35" s="396"/>
      <c r="F35" s="396"/>
      <c r="G35" s="392"/>
      <c r="H35" s="392"/>
      <c r="I35" s="344"/>
      <c r="J35" s="344"/>
      <c r="K35" s="344"/>
      <c r="L35" s="344"/>
      <c r="M35" s="397"/>
      <c r="N35" s="398"/>
      <c r="O35" s="391"/>
      <c r="P35" s="392"/>
      <c r="Q35" s="406">
        <v>200.0</v>
      </c>
      <c r="R35" s="408">
        <v>500.0</v>
      </c>
      <c r="S35" s="344"/>
      <c r="T35" s="344"/>
      <c r="U35" s="344"/>
      <c r="V35" s="344"/>
      <c r="W35" s="401" t="s">
        <v>626</v>
      </c>
    </row>
    <row r="36" ht="31.5" customHeight="1">
      <c r="A36" s="409" t="s">
        <v>635</v>
      </c>
      <c r="B36" s="410" t="s">
        <v>636</v>
      </c>
      <c r="C36" s="391"/>
      <c r="D36" s="392"/>
      <c r="E36" s="396"/>
      <c r="F36" s="396"/>
      <c r="G36" s="392"/>
      <c r="H36" s="392"/>
      <c r="I36" s="344"/>
      <c r="J36" s="344"/>
      <c r="K36" s="344"/>
      <c r="L36" s="344"/>
      <c r="M36" s="397"/>
      <c r="N36" s="398"/>
      <c r="O36" s="391"/>
      <c r="P36" s="392"/>
      <c r="Q36" s="411">
        <v>75000.0</v>
      </c>
      <c r="R36" s="408">
        <v>500.0</v>
      </c>
      <c r="S36" s="344"/>
      <c r="T36" s="344"/>
      <c r="U36" s="344"/>
      <c r="V36" s="344"/>
      <c r="W36" s="401" t="s">
        <v>626</v>
      </c>
    </row>
    <row r="37" ht="15.75" hidden="1" customHeight="1">
      <c r="A37" s="383"/>
      <c r="B37" s="390"/>
      <c r="C37" s="391"/>
      <c r="D37" s="392"/>
      <c r="E37" s="391"/>
      <c r="F37" s="392"/>
      <c r="G37" s="392"/>
      <c r="H37" s="392"/>
      <c r="I37" s="344"/>
      <c r="J37" s="344"/>
      <c r="K37" s="344"/>
      <c r="L37" s="344"/>
      <c r="M37" s="397" t="str">
        <f t="shared" ref="M37:N37" si="20">#REF!+#REF!</f>
        <v>#REF!</v>
      </c>
      <c r="N37" s="398" t="str">
        <f t="shared" si="20"/>
        <v>#REF!</v>
      </c>
      <c r="O37" s="391"/>
      <c r="P37" s="392"/>
      <c r="Q37" s="325"/>
      <c r="R37" s="393"/>
      <c r="S37" s="344"/>
      <c r="T37" s="344"/>
      <c r="U37" s="344"/>
      <c r="V37" s="344"/>
      <c r="W37" s="405"/>
    </row>
    <row r="38" ht="21.0" hidden="1" customHeight="1">
      <c r="A38" s="320" t="s">
        <v>637</v>
      </c>
      <c r="B38" s="394" t="s">
        <v>32</v>
      </c>
      <c r="C38" s="391"/>
      <c r="D38" s="392"/>
      <c r="E38" s="391"/>
      <c r="F38" s="392"/>
      <c r="G38" s="392"/>
      <c r="H38" s="392"/>
      <c r="I38" s="344"/>
      <c r="J38" s="344"/>
      <c r="K38" s="344"/>
      <c r="L38" s="344"/>
      <c r="M38" s="397" t="str">
        <f t="shared" ref="M38:N38" si="21">#REF!+#REF!</f>
        <v>#REF!</v>
      </c>
      <c r="N38" s="398" t="str">
        <f t="shared" si="21"/>
        <v>#REF!</v>
      </c>
      <c r="O38" s="391"/>
      <c r="P38" s="392"/>
      <c r="Q38" s="325"/>
      <c r="R38" s="393"/>
      <c r="S38" s="344"/>
      <c r="T38" s="344"/>
      <c r="U38" s="344"/>
      <c r="V38" s="344"/>
      <c r="W38" s="405"/>
    </row>
    <row r="39" ht="21.0" hidden="1" customHeight="1">
      <c r="A39" s="321" t="s">
        <v>638</v>
      </c>
      <c r="B39" s="327" t="s">
        <v>639</v>
      </c>
      <c r="C39" s="391"/>
      <c r="D39" s="392"/>
      <c r="E39" s="391"/>
      <c r="F39" s="392"/>
      <c r="G39" s="392"/>
      <c r="H39" s="392"/>
      <c r="I39" s="344"/>
      <c r="J39" s="344"/>
      <c r="K39" s="344"/>
      <c r="L39" s="344"/>
      <c r="M39" s="397" t="str">
        <f t="shared" ref="M39:N39" si="22">#REF!+#REF!</f>
        <v>#REF!</v>
      </c>
      <c r="N39" s="398" t="str">
        <f t="shared" si="22"/>
        <v>#REF!</v>
      </c>
      <c r="O39" s="391"/>
      <c r="P39" s="392"/>
      <c r="Q39" s="325"/>
      <c r="R39" s="393"/>
      <c r="S39" s="344"/>
      <c r="T39" s="344"/>
      <c r="U39" s="344"/>
      <c r="V39" s="344"/>
      <c r="W39" s="405"/>
    </row>
    <row r="40" ht="42.75" hidden="1" customHeight="1">
      <c r="A40" s="412" t="s">
        <v>640</v>
      </c>
      <c r="B40" s="327" t="s">
        <v>641</v>
      </c>
      <c r="C40" s="391"/>
      <c r="D40" s="392"/>
      <c r="E40" s="391"/>
      <c r="F40" s="392"/>
      <c r="G40" s="392"/>
      <c r="H40" s="392"/>
      <c r="I40" s="344"/>
      <c r="J40" s="344"/>
      <c r="K40" s="344"/>
      <c r="L40" s="344"/>
      <c r="M40" s="397" t="str">
        <f t="shared" ref="M40:N40" si="23">#REF!+#REF!</f>
        <v>#REF!</v>
      </c>
      <c r="N40" s="398" t="str">
        <f t="shared" si="23"/>
        <v>#REF!</v>
      </c>
      <c r="O40" s="391"/>
      <c r="P40" s="392"/>
      <c r="Q40" s="325"/>
      <c r="R40" s="393"/>
      <c r="S40" s="344"/>
      <c r="T40" s="344"/>
      <c r="U40" s="344"/>
      <c r="V40" s="344"/>
      <c r="W40" s="405"/>
    </row>
    <row r="41" ht="16.5" hidden="1" customHeight="1">
      <c r="A41" s="320"/>
      <c r="B41" s="394"/>
      <c r="C41" s="391"/>
      <c r="D41" s="392"/>
      <c r="E41" s="391"/>
      <c r="F41" s="392"/>
      <c r="G41" s="392"/>
      <c r="H41" s="392"/>
      <c r="I41" s="344"/>
      <c r="J41" s="344"/>
      <c r="K41" s="344"/>
      <c r="L41" s="344"/>
      <c r="M41" s="397" t="str">
        <f t="shared" ref="M41:N41" si="24">#REF!+#REF!</f>
        <v>#REF!</v>
      </c>
      <c r="N41" s="398" t="str">
        <f t="shared" si="24"/>
        <v>#REF!</v>
      </c>
      <c r="O41" s="391"/>
      <c r="P41" s="392"/>
      <c r="Q41" s="325"/>
      <c r="R41" s="393"/>
      <c r="S41" s="344"/>
      <c r="T41" s="344"/>
      <c r="U41" s="344"/>
      <c r="V41" s="344"/>
      <c r="W41" s="405"/>
    </row>
    <row r="42" ht="30.0" hidden="1" customHeight="1">
      <c r="A42" s="320" t="s">
        <v>642</v>
      </c>
      <c r="B42" s="394" t="s">
        <v>32</v>
      </c>
      <c r="C42" s="391"/>
      <c r="D42" s="392"/>
      <c r="E42" s="391"/>
      <c r="F42" s="392"/>
      <c r="G42" s="392"/>
      <c r="H42" s="392"/>
      <c r="I42" s="344"/>
      <c r="J42" s="344"/>
      <c r="K42" s="344"/>
      <c r="L42" s="344"/>
      <c r="M42" s="397" t="str">
        <f t="shared" ref="M42:N42" si="25">#REF!+#REF!</f>
        <v>#REF!</v>
      </c>
      <c r="N42" s="398" t="str">
        <f t="shared" si="25"/>
        <v>#REF!</v>
      </c>
      <c r="O42" s="391"/>
      <c r="P42" s="392"/>
      <c r="Q42" s="325"/>
      <c r="R42" s="393"/>
      <c r="S42" s="344"/>
      <c r="T42" s="344"/>
      <c r="U42" s="344"/>
      <c r="V42" s="344"/>
      <c r="W42" s="405"/>
    </row>
    <row r="43" ht="15.75" hidden="1" customHeight="1">
      <c r="A43" s="383"/>
      <c r="B43" s="390"/>
      <c r="C43" s="391"/>
      <c r="D43" s="392"/>
      <c r="E43" s="391"/>
      <c r="F43" s="392"/>
      <c r="G43" s="392"/>
      <c r="H43" s="392"/>
      <c r="I43" s="344"/>
      <c r="J43" s="344"/>
      <c r="K43" s="344"/>
      <c r="L43" s="344"/>
      <c r="M43" s="397" t="str">
        <f t="shared" ref="M43:N43" si="26">#REF!+#REF!</f>
        <v>#REF!</v>
      </c>
      <c r="N43" s="398" t="str">
        <f t="shared" si="26"/>
        <v>#REF!</v>
      </c>
      <c r="O43" s="391"/>
      <c r="P43" s="392"/>
      <c r="Q43" s="325"/>
      <c r="R43" s="393"/>
      <c r="S43" s="344"/>
      <c r="T43" s="344"/>
      <c r="U43" s="344"/>
      <c r="V43" s="344"/>
      <c r="W43" s="405"/>
    </row>
    <row r="44" ht="37.5" hidden="1" customHeight="1">
      <c r="A44" s="383" t="s">
        <v>643</v>
      </c>
      <c r="B44" s="394" t="s">
        <v>32</v>
      </c>
      <c r="C44" s="391"/>
      <c r="D44" s="392"/>
      <c r="E44" s="391"/>
      <c r="F44" s="392"/>
      <c r="G44" s="392"/>
      <c r="H44" s="392"/>
      <c r="I44" s="344"/>
      <c r="J44" s="344"/>
      <c r="K44" s="344"/>
      <c r="L44" s="344"/>
      <c r="M44" s="397" t="str">
        <f t="shared" ref="M44:N44" si="27">#REF!+#REF!</f>
        <v>#REF!</v>
      </c>
      <c r="N44" s="398" t="str">
        <f t="shared" si="27"/>
        <v>#REF!</v>
      </c>
      <c r="O44" s="391"/>
      <c r="P44" s="392"/>
      <c r="Q44" s="325"/>
      <c r="R44" s="393"/>
      <c r="S44" s="344"/>
      <c r="T44" s="344"/>
      <c r="U44" s="344"/>
      <c r="V44" s="344"/>
      <c r="W44" s="405"/>
    </row>
    <row r="45" ht="15.75" hidden="1" customHeight="1">
      <c r="A45" s="383"/>
      <c r="B45" s="383"/>
      <c r="C45" s="384"/>
      <c r="D45" s="385"/>
      <c r="E45" s="384"/>
      <c r="F45" s="385"/>
      <c r="G45" s="385"/>
      <c r="H45" s="385"/>
      <c r="I45" s="344"/>
      <c r="J45" s="344"/>
      <c r="K45" s="344"/>
      <c r="L45" s="344"/>
      <c r="M45" s="397" t="str">
        <f t="shared" ref="M45:N45" si="28">#REF!+#REF!</f>
        <v>#REF!</v>
      </c>
      <c r="N45" s="398" t="str">
        <f t="shared" si="28"/>
        <v>#REF!</v>
      </c>
      <c r="O45" s="384"/>
      <c r="P45" s="385"/>
      <c r="Q45" s="325"/>
      <c r="R45" s="393"/>
      <c r="S45" s="344"/>
      <c r="T45" s="344"/>
      <c r="U45" s="344"/>
      <c r="V45" s="344"/>
      <c r="W45" s="405"/>
    </row>
    <row r="46" ht="41.25" customHeight="1">
      <c r="A46" s="383" t="s">
        <v>644</v>
      </c>
      <c r="B46" s="394" t="s">
        <v>32</v>
      </c>
      <c r="C46" s="384"/>
      <c r="D46" s="385">
        <f>SUM(D47+D52)</f>
        <v>6142</v>
      </c>
      <c r="E46" s="384"/>
      <c r="F46" s="385">
        <v>5000.0</v>
      </c>
      <c r="G46" s="385"/>
      <c r="H46" s="385"/>
      <c r="I46" s="344"/>
      <c r="J46" s="344"/>
      <c r="K46" s="344"/>
      <c r="L46" s="344"/>
      <c r="M46" s="397" t="str">
        <f t="shared" ref="M46:N46" si="29">#REF!+#REF!</f>
        <v>#REF!</v>
      </c>
      <c r="N46" s="398" t="str">
        <f t="shared" si="29"/>
        <v>#REF!</v>
      </c>
      <c r="O46" s="384"/>
      <c r="P46" s="385">
        <f>SUM(P47+P52)</f>
        <v>0</v>
      </c>
      <c r="Q46" s="325"/>
      <c r="R46" s="393"/>
      <c r="S46" s="344"/>
      <c r="T46" s="344"/>
      <c r="U46" s="344"/>
      <c r="V46" s="344"/>
      <c r="W46" s="405"/>
    </row>
    <row r="47" ht="54.0" customHeight="1">
      <c r="A47" s="383" t="s">
        <v>645</v>
      </c>
      <c r="B47" s="394" t="s">
        <v>32</v>
      </c>
      <c r="C47" s="384"/>
      <c r="D47" s="385">
        <f>SUM(D48:D51)</f>
        <v>4960</v>
      </c>
      <c r="E47" s="384"/>
      <c r="F47" s="385">
        <v>3000.0</v>
      </c>
      <c r="G47" s="385"/>
      <c r="H47" s="385"/>
      <c r="I47" s="344"/>
      <c r="J47" s="344"/>
      <c r="K47" s="344"/>
      <c r="L47" s="344"/>
      <c r="M47" s="397" t="str">
        <f t="shared" ref="M47:N47" si="30">#REF!+#REF!</f>
        <v>#REF!</v>
      </c>
      <c r="N47" s="398" t="str">
        <f t="shared" si="30"/>
        <v>#REF!</v>
      </c>
      <c r="O47" s="384"/>
      <c r="P47" s="385">
        <f>SUM(P48:P50)</f>
        <v>0</v>
      </c>
      <c r="Q47" s="325"/>
      <c r="R47" s="393"/>
      <c r="S47" s="344"/>
      <c r="T47" s="344"/>
      <c r="U47" s="344"/>
      <c r="V47" s="344"/>
      <c r="W47" s="405"/>
    </row>
    <row r="48" ht="25.5" customHeight="1">
      <c r="A48" s="413" t="s">
        <v>646</v>
      </c>
      <c r="B48" s="394" t="s">
        <v>32</v>
      </c>
      <c r="C48" s="384"/>
      <c r="D48" s="385"/>
      <c r="E48" s="384"/>
      <c r="F48" s="385"/>
      <c r="G48" s="385"/>
      <c r="H48" s="385"/>
      <c r="I48" s="344"/>
      <c r="J48" s="344"/>
      <c r="K48" s="344"/>
      <c r="L48" s="344"/>
      <c r="M48" s="397" t="str">
        <f t="shared" ref="M48:N48" si="31">#REF!+#REF!</f>
        <v>#REF!</v>
      </c>
      <c r="N48" s="398" t="str">
        <f t="shared" si="31"/>
        <v>#REF!</v>
      </c>
      <c r="O48" s="384"/>
      <c r="P48" s="385"/>
      <c r="Q48" s="325"/>
      <c r="R48" s="393"/>
      <c r="S48" s="344"/>
      <c r="T48" s="344"/>
      <c r="U48" s="344"/>
      <c r="V48" s="344"/>
      <c r="W48" s="405"/>
    </row>
    <row r="49" ht="27.0" customHeight="1">
      <c r="A49" s="414" t="s">
        <v>647</v>
      </c>
      <c r="B49" s="394" t="s">
        <v>32</v>
      </c>
      <c r="C49" s="391"/>
      <c r="D49" s="392"/>
      <c r="E49" s="391"/>
      <c r="F49" s="392"/>
      <c r="G49" s="392"/>
      <c r="H49" s="392"/>
      <c r="I49" s="344"/>
      <c r="J49" s="344"/>
      <c r="K49" s="344"/>
      <c r="L49" s="344"/>
      <c r="M49" s="397" t="str">
        <f t="shared" ref="M49:N49" si="32">#REF!+#REF!</f>
        <v>#REF!</v>
      </c>
      <c r="N49" s="398" t="str">
        <f t="shared" si="32"/>
        <v>#REF!</v>
      </c>
      <c r="O49" s="391"/>
      <c r="P49" s="392"/>
      <c r="Q49" s="325"/>
      <c r="R49" s="393"/>
      <c r="S49" s="344"/>
      <c r="T49" s="344"/>
      <c r="U49" s="344"/>
      <c r="V49" s="344"/>
      <c r="W49" s="405"/>
    </row>
    <row r="50" ht="27.0" customHeight="1">
      <c r="A50" s="395" t="s">
        <v>648</v>
      </c>
      <c r="B50" s="394" t="s">
        <v>32</v>
      </c>
      <c r="C50" s="391">
        <v>2.0</v>
      </c>
      <c r="D50" s="392">
        <v>1800.0</v>
      </c>
      <c r="E50" s="391">
        <v>1.0</v>
      </c>
      <c r="F50" s="392">
        <v>3000.0</v>
      </c>
      <c r="G50" s="392"/>
      <c r="H50" s="392"/>
      <c r="I50" s="344"/>
      <c r="J50" s="344"/>
      <c r="K50" s="344"/>
      <c r="L50" s="344"/>
      <c r="M50" s="397" t="str">
        <f t="shared" ref="M50:N50" si="33">#REF!+#REF!</f>
        <v>#REF!</v>
      </c>
      <c r="N50" s="398" t="str">
        <f t="shared" si="33"/>
        <v>#REF!</v>
      </c>
      <c r="O50" s="391"/>
      <c r="P50" s="392"/>
      <c r="Q50" s="325"/>
      <c r="R50" s="393"/>
      <c r="S50" s="344"/>
      <c r="T50" s="344"/>
      <c r="U50" s="344"/>
      <c r="V50" s="344"/>
      <c r="W50" s="405"/>
    </row>
    <row r="51" ht="27.0" customHeight="1">
      <c r="A51" s="415" t="s">
        <v>649</v>
      </c>
      <c r="B51" s="394" t="s">
        <v>32</v>
      </c>
      <c r="C51" s="391">
        <v>1.0</v>
      </c>
      <c r="D51" s="392">
        <v>3160.0</v>
      </c>
      <c r="E51" s="384"/>
      <c r="F51" s="385"/>
      <c r="G51" s="385"/>
      <c r="H51" s="385"/>
      <c r="I51" s="344"/>
      <c r="J51" s="344"/>
      <c r="K51" s="344"/>
      <c r="L51" s="344"/>
      <c r="M51" s="397"/>
      <c r="N51" s="398"/>
      <c r="O51" s="384"/>
      <c r="P51" s="385"/>
      <c r="Q51" s="325"/>
      <c r="R51" s="393"/>
      <c r="S51" s="344"/>
      <c r="T51" s="344"/>
      <c r="U51" s="344"/>
      <c r="V51" s="344"/>
      <c r="W51" s="405"/>
    </row>
    <row r="52" ht="31.5" customHeight="1">
      <c r="A52" s="383" t="s">
        <v>650</v>
      </c>
      <c r="B52" s="394" t="s">
        <v>32</v>
      </c>
      <c r="C52" s="384"/>
      <c r="D52" s="385">
        <f>D54</f>
        <v>1182</v>
      </c>
      <c r="E52" s="384"/>
      <c r="F52" s="385">
        <v>2000.0</v>
      </c>
      <c r="G52" s="385"/>
      <c r="H52" s="385"/>
      <c r="I52" s="344"/>
      <c r="J52" s="344"/>
      <c r="K52" s="344"/>
      <c r="L52" s="344"/>
      <c r="M52" s="386"/>
      <c r="N52" s="345" t="str">
        <f>#REF!+#REF!</f>
        <v>#REF!</v>
      </c>
      <c r="O52" s="384"/>
      <c r="P52" s="385" t="str">
        <f>P54</f>
        <v/>
      </c>
      <c r="Q52" s="325"/>
      <c r="R52" s="393"/>
      <c r="S52" s="344"/>
      <c r="T52" s="344"/>
      <c r="U52" s="344"/>
      <c r="V52" s="344"/>
      <c r="W52" s="344"/>
    </row>
    <row r="53" ht="41.25" customHeight="1">
      <c r="A53" s="413" t="s">
        <v>651</v>
      </c>
      <c r="B53" s="394" t="s">
        <v>32</v>
      </c>
      <c r="C53" s="391"/>
      <c r="D53" s="391"/>
      <c r="E53" s="391"/>
      <c r="F53" s="391"/>
      <c r="G53" s="391"/>
      <c r="H53" s="391"/>
      <c r="I53" s="344"/>
      <c r="J53" s="344"/>
      <c r="K53" s="344"/>
      <c r="L53" s="344"/>
      <c r="M53" s="391"/>
      <c r="N53" s="398"/>
      <c r="O53" s="391"/>
      <c r="P53" s="391"/>
      <c r="Q53" s="325"/>
      <c r="R53" s="393"/>
      <c r="S53" s="344"/>
      <c r="T53" s="344"/>
      <c r="U53" s="344"/>
      <c r="V53" s="344"/>
      <c r="W53" s="344"/>
    </row>
    <row r="54" ht="21.75" customHeight="1">
      <c r="A54" s="395" t="s">
        <v>652</v>
      </c>
      <c r="B54" s="394" t="s">
        <v>32</v>
      </c>
      <c r="C54" s="391">
        <v>1.0</v>
      </c>
      <c r="D54" s="398">
        <v>1182.0</v>
      </c>
      <c r="E54" s="321">
        <v>1.0</v>
      </c>
      <c r="F54" s="326">
        <v>2000.0</v>
      </c>
      <c r="G54" s="391"/>
      <c r="H54" s="391"/>
      <c r="I54" s="344"/>
      <c r="J54" s="344"/>
      <c r="K54" s="344"/>
      <c r="L54" s="344"/>
      <c r="M54" s="391"/>
      <c r="N54" s="398" t="str">
        <f>#REF!+#REF!</f>
        <v>#REF!</v>
      </c>
      <c r="O54" s="391"/>
      <c r="P54" s="391"/>
      <c r="Q54" s="325"/>
      <c r="R54" s="393"/>
      <c r="S54" s="344"/>
      <c r="T54" s="344"/>
      <c r="U54" s="344"/>
      <c r="V54" s="344"/>
      <c r="W54" s="344"/>
    </row>
    <row r="55" ht="27.0" customHeight="1">
      <c r="A55" s="321" t="s">
        <v>653</v>
      </c>
      <c r="B55" s="327" t="s">
        <v>32</v>
      </c>
      <c r="C55" s="333"/>
      <c r="D55" s="333"/>
      <c r="E55" s="321"/>
      <c r="F55" s="326"/>
      <c r="G55" s="321"/>
      <c r="H55" s="321"/>
      <c r="I55" s="344"/>
      <c r="J55" s="344"/>
      <c r="K55" s="344"/>
      <c r="L55" s="344"/>
      <c r="M55" s="333"/>
      <c r="N55" s="416"/>
      <c r="O55" s="321"/>
      <c r="P55" s="321"/>
      <c r="Q55" s="325"/>
      <c r="R55" s="393"/>
      <c r="S55" s="344"/>
      <c r="T55" s="344"/>
      <c r="U55" s="344"/>
      <c r="V55" s="344"/>
      <c r="W55" s="344"/>
    </row>
    <row r="56" ht="15.75" customHeight="1">
      <c r="A56" s="390"/>
      <c r="B56" s="417"/>
      <c r="C56" s="418"/>
      <c r="D56" s="418"/>
      <c r="E56" s="418"/>
      <c r="F56" s="418"/>
      <c r="G56" s="418"/>
      <c r="H56" s="418"/>
      <c r="I56" s="344"/>
      <c r="J56" s="344"/>
      <c r="K56" s="344"/>
      <c r="L56" s="344"/>
      <c r="M56" s="418"/>
      <c r="N56" s="419"/>
      <c r="O56" s="418"/>
      <c r="P56" s="418"/>
      <c r="Q56" s="325"/>
      <c r="R56" s="393"/>
      <c r="S56" s="344"/>
      <c r="T56" s="344"/>
      <c r="U56" s="344"/>
      <c r="V56" s="344"/>
      <c r="W56" s="344"/>
    </row>
    <row r="57" ht="25.5" customHeight="1">
      <c r="A57" s="420" t="s">
        <v>71</v>
      </c>
      <c r="B57" s="383"/>
      <c r="C57" s="385"/>
      <c r="D57" s="385">
        <f>D11+D46</f>
        <v>7342</v>
      </c>
      <c r="E57" s="385"/>
      <c r="F57" s="385">
        <v>6950.0</v>
      </c>
      <c r="G57" s="385">
        <f t="shared" ref="G57:H57" si="34">G11+G46</f>
        <v>1079</v>
      </c>
      <c r="H57" s="385">
        <f t="shared" si="34"/>
        <v>1050</v>
      </c>
      <c r="I57" s="344"/>
      <c r="J57" s="344"/>
      <c r="K57" s="344"/>
      <c r="L57" s="344"/>
      <c r="M57" s="386"/>
      <c r="N57" s="345" t="str">
        <f>#REF!+#REF!</f>
        <v>#REF!</v>
      </c>
      <c r="O57" s="385"/>
      <c r="P57" s="385">
        <f>P11+P46</f>
        <v>1050</v>
      </c>
      <c r="Q57" s="325"/>
      <c r="R57" s="421">
        <f>R11</f>
        <v>2200</v>
      </c>
      <c r="S57" s="344"/>
      <c r="T57" s="344"/>
      <c r="U57" s="344"/>
      <c r="V57" s="422">
        <f>R57+T57</f>
        <v>2200</v>
      </c>
      <c r="W57" s="344"/>
    </row>
    <row r="58" ht="14.25" hidden="1" customHeight="1">
      <c r="A58" s="423"/>
      <c r="B58" s="424"/>
      <c r="C58" s="350"/>
      <c r="D58" s="350"/>
      <c r="E58" s="350"/>
      <c r="F58" s="350"/>
      <c r="G58" s="350"/>
      <c r="H58" s="350"/>
      <c r="I58" s="344"/>
      <c r="J58" s="344"/>
      <c r="K58" s="344"/>
      <c r="L58" s="344"/>
      <c r="M58" s="307"/>
      <c r="N58" s="357"/>
      <c r="O58" s="307"/>
      <c r="P58" s="307"/>
      <c r="Q58" s="325"/>
      <c r="R58" s="393"/>
      <c r="S58" s="344"/>
      <c r="T58" s="344"/>
      <c r="U58" s="344"/>
      <c r="V58" s="344"/>
      <c r="W58" s="344"/>
    </row>
    <row r="59" ht="15.75" hidden="1" customHeight="1">
      <c r="A59" s="425"/>
      <c r="B59" s="426"/>
      <c r="C59" s="427"/>
      <c r="D59" s="428"/>
      <c r="E59" s="427"/>
      <c r="F59" s="428"/>
      <c r="G59" s="427"/>
      <c r="H59" s="429"/>
      <c r="I59" s="344"/>
      <c r="J59" s="344"/>
      <c r="K59" s="344"/>
      <c r="L59" s="344"/>
      <c r="M59" s="307"/>
      <c r="N59" s="357"/>
      <c r="O59" s="307"/>
      <c r="P59" s="307"/>
      <c r="Q59" s="325"/>
      <c r="R59" s="393"/>
      <c r="S59" s="344"/>
      <c r="T59" s="344"/>
      <c r="U59" s="344"/>
      <c r="V59" s="344"/>
      <c r="W59" s="344"/>
    </row>
    <row r="60" ht="15.75" hidden="1" customHeight="1">
      <c r="A60" s="425" t="s">
        <v>72</v>
      </c>
      <c r="B60" s="426"/>
      <c r="C60" s="430"/>
      <c r="D60" s="430"/>
      <c r="E60" s="430"/>
      <c r="F60" s="430"/>
      <c r="G60" s="428" t="s">
        <v>528</v>
      </c>
      <c r="H60" s="427"/>
      <c r="I60" s="344"/>
      <c r="J60" s="344"/>
      <c r="K60" s="344"/>
      <c r="L60" s="344"/>
      <c r="M60" s="427"/>
      <c r="N60" s="431"/>
      <c r="O60" s="429"/>
      <c r="P60" s="427"/>
      <c r="Q60" s="325"/>
      <c r="R60" s="393"/>
      <c r="S60" s="344"/>
      <c r="T60" s="344"/>
      <c r="U60" s="344"/>
      <c r="V60" s="344"/>
      <c r="W60" s="344"/>
    </row>
    <row r="61" ht="15.75" hidden="1" customHeight="1">
      <c r="A61" s="432"/>
      <c r="B61" s="429"/>
      <c r="C61" s="432"/>
      <c r="D61" s="433"/>
      <c r="E61" s="430"/>
      <c r="F61" s="430"/>
      <c r="G61" s="432"/>
      <c r="H61" s="427"/>
      <c r="I61" s="344"/>
      <c r="J61" s="344"/>
      <c r="K61" s="344"/>
      <c r="L61" s="344"/>
      <c r="M61" s="427"/>
      <c r="N61" s="431"/>
      <c r="O61" s="429"/>
      <c r="P61" s="427"/>
      <c r="Q61" s="325"/>
      <c r="R61" s="393"/>
      <c r="S61" s="344"/>
      <c r="T61" s="344"/>
      <c r="U61" s="344"/>
      <c r="V61" s="344"/>
      <c r="W61" s="344"/>
    </row>
    <row r="62" ht="15.75" hidden="1" customHeight="1">
      <c r="A62" s="432"/>
      <c r="B62" s="432"/>
      <c r="C62" s="432"/>
      <c r="D62" s="433"/>
      <c r="E62" s="430"/>
      <c r="F62" s="430"/>
      <c r="G62" s="432"/>
      <c r="H62" s="427"/>
      <c r="I62" s="429"/>
      <c r="J62" s="427"/>
      <c r="K62" s="427"/>
      <c r="L62" s="432"/>
      <c r="M62" s="427"/>
      <c r="N62" s="431"/>
      <c r="O62" s="429"/>
      <c r="P62" s="427"/>
      <c r="Q62" s="307"/>
      <c r="R62" s="364"/>
      <c r="S62" s="307"/>
      <c r="T62" s="307"/>
      <c r="U62" s="307"/>
      <c r="V62" s="307"/>
      <c r="W62" s="307"/>
    </row>
    <row r="63" ht="24.75" hidden="1" customHeight="1">
      <c r="A63" s="432"/>
      <c r="B63" s="432"/>
      <c r="C63" s="432"/>
      <c r="D63" s="433"/>
      <c r="E63" s="430"/>
      <c r="F63" s="430"/>
      <c r="G63" s="432"/>
      <c r="H63" s="427"/>
      <c r="I63" s="429"/>
      <c r="J63" s="427"/>
      <c r="K63" s="427"/>
      <c r="L63" s="432"/>
      <c r="M63" s="427"/>
      <c r="N63" s="431"/>
      <c r="O63" s="429"/>
      <c r="P63" s="427"/>
      <c r="Q63" s="360"/>
      <c r="R63" s="434"/>
      <c r="S63" s="298"/>
      <c r="T63" s="298"/>
      <c r="U63" s="298"/>
      <c r="V63" s="249" t="s">
        <v>74</v>
      </c>
      <c r="W63" s="298"/>
    </row>
    <row r="64" ht="23.25" hidden="1" customHeight="1">
      <c r="A64" s="432"/>
      <c r="B64" s="432"/>
      <c r="C64" s="432"/>
      <c r="D64" s="433"/>
      <c r="E64" s="430"/>
      <c r="F64" s="430"/>
      <c r="G64" s="432"/>
      <c r="H64" s="427"/>
      <c r="I64" s="429"/>
      <c r="J64" s="427"/>
      <c r="K64" s="427"/>
      <c r="L64" s="432"/>
      <c r="M64" s="427"/>
      <c r="N64" s="431"/>
      <c r="O64" s="429"/>
      <c r="P64" s="427"/>
      <c r="Q64" s="360"/>
      <c r="R64" s="434"/>
      <c r="S64" s="298"/>
      <c r="T64" s="298"/>
      <c r="U64" s="298"/>
      <c r="V64" s="251"/>
      <c r="W64" s="298"/>
    </row>
    <row r="65" ht="23.25" hidden="1" customHeight="1">
      <c r="A65" s="435" t="s">
        <v>75</v>
      </c>
      <c r="B65" s="427"/>
      <c r="C65" s="429"/>
      <c r="D65" s="433"/>
      <c r="E65" s="427"/>
      <c r="F65" s="430"/>
      <c r="G65" s="435" t="s">
        <v>76</v>
      </c>
      <c r="H65" s="427"/>
      <c r="I65" s="429"/>
      <c r="J65" s="427"/>
      <c r="K65" s="427"/>
      <c r="L65" s="435" t="s">
        <v>77</v>
      </c>
      <c r="M65" s="427"/>
      <c r="N65" s="431"/>
      <c r="O65" s="429"/>
      <c r="P65" s="427"/>
      <c r="Q65" s="360"/>
      <c r="R65" s="434"/>
      <c r="S65" s="298"/>
      <c r="T65" s="298"/>
      <c r="U65" s="298"/>
      <c r="V65" s="251"/>
      <c r="W65" s="298"/>
    </row>
    <row r="66" ht="15.75" hidden="1" customHeight="1">
      <c r="A66" s="428" t="s">
        <v>78</v>
      </c>
      <c r="B66" s="427"/>
      <c r="C66" s="429"/>
      <c r="D66" s="433"/>
      <c r="E66" s="436"/>
      <c r="F66" s="430"/>
      <c r="G66" s="428" t="s">
        <v>79</v>
      </c>
      <c r="H66" s="430"/>
      <c r="I66" s="429"/>
      <c r="J66" s="427"/>
      <c r="K66" s="427"/>
      <c r="L66" s="428" t="s">
        <v>80</v>
      </c>
      <c r="M66" s="427"/>
      <c r="N66" s="431"/>
      <c r="O66" s="429"/>
      <c r="P66" s="427"/>
      <c r="Q66" s="323"/>
      <c r="R66" s="363"/>
      <c r="S66" s="298"/>
      <c r="T66" s="304"/>
      <c r="U66" s="304"/>
      <c r="V66" s="251"/>
      <c r="W66" s="304"/>
    </row>
    <row r="67" ht="15.75" hidden="1" customHeight="1">
      <c r="A67" s="258"/>
      <c r="B67" s="433"/>
      <c r="C67" s="429"/>
      <c r="D67" s="433"/>
      <c r="E67" s="433"/>
      <c r="F67" s="433"/>
      <c r="G67" s="437"/>
      <c r="H67" s="437"/>
      <c r="I67" s="427"/>
      <c r="J67" s="427"/>
      <c r="K67" s="427"/>
      <c r="L67" s="427"/>
      <c r="M67" s="427"/>
      <c r="N67" s="431"/>
      <c r="O67" s="427"/>
      <c r="P67" s="427"/>
      <c r="Q67" s="323"/>
      <c r="R67" s="363"/>
      <c r="S67" s="298"/>
      <c r="T67" s="304"/>
      <c r="U67" s="304"/>
      <c r="V67" s="251"/>
      <c r="W67" s="304"/>
    </row>
    <row r="68" ht="22.5" customHeight="1">
      <c r="A68" s="350"/>
      <c r="B68" s="351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50"/>
      <c r="Q68" s="323"/>
      <c r="R68" s="363"/>
      <c r="S68" s="298"/>
      <c r="T68" s="304"/>
      <c r="U68" s="304"/>
      <c r="V68" s="78"/>
      <c r="W68" s="304"/>
    </row>
    <row r="69" ht="22.5" customHeight="1">
      <c r="A69" s="67" t="s">
        <v>72</v>
      </c>
      <c r="B69" s="304"/>
      <c r="C69" s="296"/>
      <c r="D69" s="298"/>
      <c r="G69" s="438" t="s">
        <v>159</v>
      </c>
      <c r="H69" s="298"/>
      <c r="I69" s="298"/>
      <c r="J69" s="298"/>
      <c r="K69" s="298"/>
      <c r="L69" s="298"/>
      <c r="M69" s="298"/>
      <c r="N69" s="249"/>
      <c r="O69" s="298"/>
      <c r="P69" s="67"/>
      <c r="Q69" s="323"/>
      <c r="R69" s="363"/>
      <c r="S69" s="298"/>
      <c r="T69" s="304"/>
      <c r="U69" s="304"/>
      <c r="V69" s="249" t="s">
        <v>74</v>
      </c>
      <c r="W69" s="298"/>
    </row>
    <row r="70" ht="15.75" customHeight="1">
      <c r="A70" s="250"/>
      <c r="B70" s="304"/>
      <c r="C70" s="296"/>
      <c r="D70" s="298"/>
      <c r="G70" s="296"/>
      <c r="H70" s="298"/>
      <c r="I70" s="298"/>
      <c r="J70" s="298"/>
      <c r="K70" s="298"/>
      <c r="L70" s="298"/>
      <c r="M70" s="298"/>
      <c r="N70" s="251"/>
      <c r="O70" s="298"/>
      <c r="P70" s="250"/>
      <c r="Q70" s="307"/>
      <c r="R70" s="364"/>
      <c r="S70" s="352"/>
      <c r="T70" s="352"/>
      <c r="U70" s="352"/>
      <c r="V70" s="251"/>
      <c r="W70" s="298"/>
    </row>
    <row r="71" ht="12.75" customHeight="1">
      <c r="A71" s="250"/>
      <c r="B71" s="347"/>
      <c r="C71" s="296"/>
      <c r="D71" s="298"/>
      <c r="G71" s="296"/>
      <c r="H71" s="298"/>
      <c r="I71" s="298"/>
      <c r="J71" s="298"/>
      <c r="K71" s="298"/>
      <c r="L71" s="298"/>
      <c r="M71" s="298"/>
      <c r="N71" s="251"/>
      <c r="O71" s="298"/>
      <c r="P71" s="250"/>
      <c r="Q71" s="307"/>
      <c r="R71" s="364"/>
      <c r="S71" s="307"/>
      <c r="T71" s="307"/>
      <c r="U71" s="307"/>
      <c r="V71" s="251"/>
      <c r="W71" s="298"/>
    </row>
    <row r="72" ht="23.25" customHeight="1">
      <c r="A72" s="296"/>
      <c r="B72" s="347"/>
      <c r="C72" s="296"/>
      <c r="D72" s="298"/>
      <c r="G72" s="296"/>
      <c r="H72" s="304"/>
      <c r="I72" s="304"/>
      <c r="J72" s="304"/>
      <c r="K72" s="298"/>
      <c r="L72" s="304"/>
      <c r="M72" s="304"/>
      <c r="N72" s="251"/>
      <c r="O72" s="304"/>
      <c r="P72" s="296"/>
      <c r="Q72" s="307"/>
      <c r="R72" s="364"/>
      <c r="S72" s="307"/>
      <c r="T72" s="307"/>
      <c r="U72" s="307"/>
      <c r="V72" s="251"/>
      <c r="W72" s="304"/>
    </row>
    <row r="73" ht="15.75" customHeight="1">
      <c r="A73" s="250"/>
      <c r="B73" s="347"/>
      <c r="C73" s="296"/>
      <c r="D73" s="298"/>
      <c r="G73" s="296"/>
      <c r="H73" s="304"/>
      <c r="I73" s="304"/>
      <c r="J73" s="304"/>
      <c r="K73" s="298"/>
      <c r="L73" s="304"/>
      <c r="M73" s="304"/>
      <c r="N73" s="251"/>
      <c r="O73" s="304"/>
      <c r="P73" s="250"/>
      <c r="Q73" s="307"/>
      <c r="R73" s="364"/>
      <c r="S73" s="307"/>
      <c r="T73" s="307"/>
      <c r="U73" s="307"/>
      <c r="V73" s="251"/>
      <c r="W73" s="304"/>
    </row>
    <row r="74" ht="21.75" customHeight="1">
      <c r="A74" s="76" t="s">
        <v>75</v>
      </c>
      <c r="B74" s="304"/>
      <c r="C74" s="296"/>
      <c r="D74" s="298"/>
      <c r="G74" s="439" t="s">
        <v>76</v>
      </c>
      <c r="H74" s="304"/>
      <c r="I74" s="304"/>
      <c r="J74" s="304"/>
      <c r="K74" s="298"/>
      <c r="L74" s="304"/>
      <c r="M74" s="304"/>
      <c r="N74" s="78"/>
      <c r="O74" s="304"/>
      <c r="P74" s="76"/>
      <c r="Q74" s="307"/>
      <c r="R74" s="364"/>
      <c r="S74" s="307"/>
      <c r="T74" s="307"/>
      <c r="U74" s="307"/>
      <c r="V74" s="78" t="s">
        <v>77</v>
      </c>
      <c r="W74" s="304"/>
    </row>
    <row r="75" ht="24.0" customHeight="1">
      <c r="A75" s="247" t="s">
        <v>78</v>
      </c>
      <c r="B75" s="304"/>
      <c r="C75" s="296"/>
      <c r="D75" s="296"/>
      <c r="G75" s="438" t="s">
        <v>79</v>
      </c>
      <c r="H75" s="304"/>
      <c r="I75" s="304"/>
      <c r="J75" s="304"/>
      <c r="K75" s="298"/>
      <c r="L75" s="304"/>
      <c r="M75" s="304"/>
      <c r="N75" s="254"/>
      <c r="O75" s="304"/>
      <c r="P75" s="247"/>
      <c r="Q75" s="307"/>
      <c r="R75" s="364"/>
      <c r="S75" s="307"/>
      <c r="T75" s="307"/>
      <c r="U75" s="307"/>
      <c r="V75" s="254" t="s">
        <v>80</v>
      </c>
      <c r="W75" s="304"/>
    </row>
    <row r="76" ht="15.75" customHeight="1">
      <c r="A76" s="79"/>
      <c r="B76" s="80"/>
      <c r="C76" s="349"/>
      <c r="D76" s="349"/>
      <c r="E76" s="304"/>
      <c r="F76" s="304"/>
      <c r="G76" s="307"/>
      <c r="H76" s="307"/>
      <c r="I76" s="307"/>
      <c r="J76" s="307"/>
      <c r="K76" s="307"/>
      <c r="L76" s="307"/>
      <c r="M76" s="307"/>
      <c r="N76" s="357"/>
      <c r="O76" s="307"/>
      <c r="P76" s="307"/>
      <c r="Q76" s="307"/>
      <c r="R76" s="364"/>
      <c r="S76" s="307"/>
      <c r="T76" s="307"/>
      <c r="U76" s="307"/>
      <c r="V76" s="307"/>
      <c r="W76" s="307"/>
    </row>
    <row r="77" ht="15.75" customHeight="1">
      <c r="A77" s="353"/>
      <c r="B77" s="349"/>
      <c r="C77" s="440"/>
      <c r="D77" s="357"/>
      <c r="E77" s="307"/>
      <c r="F77" s="307"/>
      <c r="G77" s="307"/>
      <c r="H77" s="307"/>
      <c r="I77" s="307"/>
      <c r="J77" s="307"/>
      <c r="K77" s="307"/>
      <c r="L77" s="307"/>
      <c r="M77" s="307"/>
      <c r="N77" s="357"/>
      <c r="O77" s="307"/>
      <c r="P77" s="307"/>
      <c r="Q77" s="307"/>
      <c r="R77" s="364"/>
      <c r="S77" s="307"/>
      <c r="T77" s="307"/>
      <c r="U77" s="307"/>
      <c r="V77" s="307"/>
      <c r="W77" s="307"/>
    </row>
    <row r="78" ht="15.75" customHeight="1">
      <c r="A78" s="423"/>
      <c r="B78" s="423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57"/>
      <c r="O78" s="307"/>
      <c r="P78" s="307"/>
      <c r="Q78" s="307"/>
      <c r="R78" s="364"/>
      <c r="S78" s="307"/>
      <c r="T78" s="307"/>
      <c r="U78" s="307"/>
      <c r="V78" s="307"/>
      <c r="W78" s="307"/>
    </row>
    <row r="79" ht="15.75" customHeight="1">
      <c r="A79" s="423"/>
      <c r="B79" s="423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57"/>
      <c r="O79" s="307"/>
      <c r="P79" s="307"/>
      <c r="Q79" s="307"/>
      <c r="R79" s="364"/>
      <c r="S79" s="307"/>
      <c r="T79" s="307"/>
      <c r="U79" s="307"/>
      <c r="V79" s="307"/>
      <c r="W79" s="307"/>
    </row>
    <row r="80" ht="15.75" customHeight="1">
      <c r="A80" s="423"/>
      <c r="B80" s="423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57"/>
      <c r="O80" s="307"/>
      <c r="P80" s="307"/>
      <c r="Q80" s="307"/>
      <c r="R80" s="364"/>
      <c r="S80" s="307"/>
      <c r="T80" s="307"/>
      <c r="U80" s="307"/>
      <c r="V80" s="307"/>
      <c r="W80" s="307"/>
    </row>
    <row r="81" ht="15.75" customHeight="1">
      <c r="A81" s="423"/>
      <c r="B81" s="423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57"/>
      <c r="O81" s="307"/>
      <c r="P81" s="307"/>
      <c r="Q81" s="307"/>
      <c r="R81" s="364"/>
      <c r="S81" s="307"/>
      <c r="T81" s="307"/>
      <c r="U81" s="307"/>
      <c r="V81" s="307"/>
      <c r="W81" s="307"/>
    </row>
    <row r="82" ht="15.75" customHeight="1">
      <c r="A82" s="423"/>
      <c r="B82" s="423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57"/>
      <c r="O82" s="307"/>
      <c r="P82" s="307"/>
      <c r="Q82" s="307"/>
      <c r="R82" s="364"/>
      <c r="S82" s="307"/>
      <c r="T82" s="307"/>
      <c r="U82" s="307"/>
      <c r="V82" s="307"/>
      <c r="W82" s="307"/>
    </row>
    <row r="83" ht="15.75" customHeight="1">
      <c r="A83" s="423"/>
      <c r="B83" s="423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57"/>
      <c r="O83" s="307"/>
      <c r="P83" s="307"/>
      <c r="Q83" s="307"/>
      <c r="R83" s="364"/>
      <c r="S83" s="307"/>
      <c r="T83" s="307"/>
      <c r="U83" s="307"/>
      <c r="V83" s="307"/>
      <c r="W83" s="307"/>
    </row>
    <row r="84" ht="15.75" customHeight="1">
      <c r="A84" s="423"/>
      <c r="B84" s="423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57"/>
      <c r="O84" s="307"/>
      <c r="P84" s="307"/>
      <c r="Q84" s="307"/>
      <c r="R84" s="364"/>
      <c r="S84" s="307"/>
      <c r="T84" s="307"/>
      <c r="U84" s="307"/>
      <c r="V84" s="307"/>
      <c r="W84" s="307"/>
    </row>
    <row r="85" ht="15.75" customHeight="1">
      <c r="A85" s="423"/>
      <c r="B85" s="423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57"/>
      <c r="O85" s="307"/>
      <c r="P85" s="307"/>
      <c r="Q85" s="307"/>
      <c r="R85" s="364"/>
      <c r="S85" s="307"/>
      <c r="T85" s="307"/>
      <c r="U85" s="307"/>
      <c r="V85" s="307"/>
      <c r="W85" s="307"/>
    </row>
    <row r="86" ht="15.75" customHeight="1">
      <c r="A86" s="423"/>
      <c r="B86" s="423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57"/>
      <c r="O86" s="307"/>
      <c r="P86" s="307"/>
      <c r="Q86" s="307"/>
      <c r="R86" s="364"/>
      <c r="S86" s="307"/>
      <c r="T86" s="307"/>
      <c r="U86" s="307"/>
      <c r="V86" s="307"/>
      <c r="W86" s="307"/>
    </row>
    <row r="87" ht="15.75" customHeight="1">
      <c r="A87" s="423"/>
      <c r="B87" s="423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57"/>
      <c r="O87" s="307"/>
      <c r="P87" s="307"/>
      <c r="Q87" s="307"/>
      <c r="R87" s="364"/>
      <c r="S87" s="307"/>
      <c r="T87" s="307"/>
      <c r="U87" s="307"/>
      <c r="V87" s="307"/>
      <c r="W87" s="307"/>
    </row>
    <row r="88" ht="15.75" customHeight="1">
      <c r="A88" s="423"/>
      <c r="B88" s="423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57"/>
      <c r="O88" s="307"/>
      <c r="P88" s="307"/>
      <c r="Q88" s="307"/>
      <c r="R88" s="364"/>
      <c r="S88" s="307"/>
      <c r="T88" s="307"/>
      <c r="U88" s="307"/>
      <c r="V88" s="307"/>
      <c r="W88" s="307"/>
    </row>
    <row r="89" ht="15.75" customHeight="1">
      <c r="A89" s="423"/>
      <c r="B89" s="423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57"/>
      <c r="O89" s="307"/>
      <c r="P89" s="307"/>
      <c r="Q89" s="307"/>
      <c r="R89" s="364"/>
      <c r="S89" s="307"/>
      <c r="T89" s="307"/>
      <c r="U89" s="307"/>
      <c r="V89" s="307"/>
      <c r="W89" s="307"/>
    </row>
    <row r="90" ht="15.75" customHeight="1">
      <c r="A90" s="423"/>
      <c r="B90" s="423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57"/>
      <c r="O90" s="307"/>
      <c r="P90" s="307"/>
      <c r="Q90" s="307"/>
      <c r="R90" s="364"/>
      <c r="S90" s="307"/>
      <c r="T90" s="307"/>
      <c r="U90" s="307"/>
      <c r="V90" s="307"/>
      <c r="W90" s="307"/>
    </row>
    <row r="91" ht="15.75" customHeight="1">
      <c r="A91" s="423"/>
      <c r="B91" s="423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57"/>
      <c r="O91" s="307"/>
      <c r="P91" s="307"/>
      <c r="Q91" s="307"/>
      <c r="R91" s="364"/>
      <c r="S91" s="307"/>
      <c r="T91" s="307"/>
      <c r="U91" s="307"/>
      <c r="V91" s="307"/>
      <c r="W91" s="307"/>
    </row>
    <row r="92" ht="15.75" customHeight="1">
      <c r="A92" s="423"/>
      <c r="B92" s="423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57"/>
      <c r="O92" s="307"/>
      <c r="P92" s="307"/>
      <c r="Q92" s="307"/>
      <c r="R92" s="364"/>
      <c r="S92" s="307"/>
      <c r="T92" s="307"/>
      <c r="U92" s="307"/>
      <c r="V92" s="307"/>
      <c r="W92" s="307"/>
    </row>
    <row r="93" ht="15.75" customHeight="1">
      <c r="A93" s="423"/>
      <c r="B93" s="423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57"/>
      <c r="O93" s="307"/>
      <c r="P93" s="307"/>
      <c r="Q93" s="307"/>
      <c r="R93" s="364"/>
      <c r="S93" s="307"/>
      <c r="T93" s="307"/>
      <c r="U93" s="307"/>
      <c r="V93" s="307"/>
      <c r="W93" s="307"/>
    </row>
    <row r="94" ht="15.75" customHeight="1">
      <c r="A94" s="423"/>
      <c r="B94" s="423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57"/>
      <c r="O94" s="307"/>
      <c r="P94" s="307"/>
      <c r="Q94" s="307"/>
      <c r="R94" s="364"/>
      <c r="S94" s="307"/>
      <c r="T94" s="307"/>
      <c r="U94" s="307"/>
      <c r="V94" s="307"/>
      <c r="W94" s="307"/>
    </row>
    <row r="95" ht="15.75" customHeight="1">
      <c r="A95" s="423"/>
      <c r="B95" s="423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57"/>
      <c r="O95" s="307"/>
      <c r="P95" s="307"/>
      <c r="Q95" s="307"/>
      <c r="R95" s="364"/>
      <c r="S95" s="307"/>
      <c r="T95" s="307"/>
      <c r="U95" s="307"/>
      <c r="V95" s="307"/>
      <c r="W95" s="307"/>
    </row>
    <row r="96" ht="15.75" customHeight="1">
      <c r="A96" s="423"/>
      <c r="B96" s="423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57"/>
      <c r="O96" s="307"/>
      <c r="P96" s="307"/>
      <c r="Q96" s="307"/>
      <c r="R96" s="364"/>
      <c r="S96" s="307"/>
      <c r="T96" s="307"/>
      <c r="U96" s="307"/>
      <c r="V96" s="307"/>
      <c r="W96" s="307"/>
    </row>
    <row r="97" ht="15.75" customHeight="1">
      <c r="A97" s="423"/>
      <c r="B97" s="423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57"/>
      <c r="O97" s="307"/>
      <c r="P97" s="307"/>
      <c r="Q97" s="307"/>
      <c r="R97" s="364"/>
      <c r="S97" s="307"/>
      <c r="T97" s="307"/>
      <c r="U97" s="307"/>
      <c r="V97" s="307"/>
      <c r="W97" s="307"/>
    </row>
    <row r="98" ht="15.75" customHeight="1">
      <c r="A98" s="423"/>
      <c r="B98" s="423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57"/>
      <c r="O98" s="307"/>
      <c r="P98" s="307"/>
      <c r="Q98" s="307"/>
      <c r="R98" s="364"/>
      <c r="S98" s="307"/>
      <c r="T98" s="307"/>
      <c r="U98" s="307"/>
      <c r="V98" s="307"/>
      <c r="W98" s="307"/>
    </row>
    <row r="99" ht="15.75" customHeight="1">
      <c r="A99" s="423"/>
      <c r="B99" s="423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57"/>
      <c r="O99" s="307"/>
      <c r="P99" s="307"/>
      <c r="Q99" s="307"/>
      <c r="R99" s="364"/>
      <c r="S99" s="307"/>
      <c r="T99" s="307"/>
      <c r="U99" s="307"/>
      <c r="V99" s="307"/>
      <c r="W99" s="307"/>
    </row>
    <row r="100" ht="15.75" customHeight="1">
      <c r="A100" s="423"/>
      <c r="B100" s="423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57"/>
      <c r="O100" s="307"/>
      <c r="P100" s="307"/>
      <c r="Q100" s="307"/>
      <c r="R100" s="364"/>
      <c r="S100" s="307"/>
      <c r="T100" s="307"/>
      <c r="U100" s="307"/>
      <c r="V100" s="307"/>
      <c r="W100" s="307"/>
    </row>
    <row r="101" ht="15.75" customHeight="1">
      <c r="A101" s="423"/>
      <c r="B101" s="423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57"/>
      <c r="O101" s="307"/>
      <c r="P101" s="307"/>
      <c r="Q101" s="307"/>
      <c r="R101" s="364"/>
      <c r="S101" s="307"/>
      <c r="T101" s="307"/>
      <c r="U101" s="307"/>
      <c r="V101" s="307"/>
      <c r="W101" s="307"/>
    </row>
    <row r="102" ht="15.75" customHeight="1">
      <c r="A102" s="423"/>
      <c r="B102" s="423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57"/>
      <c r="O102" s="307"/>
      <c r="P102" s="307"/>
      <c r="Q102" s="307"/>
      <c r="R102" s="364"/>
      <c r="S102" s="307"/>
      <c r="T102" s="307"/>
      <c r="U102" s="307"/>
      <c r="V102" s="307"/>
      <c r="W102" s="307"/>
    </row>
    <row r="103" ht="15.75" customHeight="1">
      <c r="A103" s="423"/>
      <c r="B103" s="423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57"/>
      <c r="O103" s="307"/>
      <c r="P103" s="307"/>
      <c r="Q103" s="307"/>
      <c r="R103" s="364"/>
      <c r="S103" s="307"/>
      <c r="T103" s="307"/>
      <c r="U103" s="307"/>
      <c r="V103" s="307"/>
      <c r="W103" s="307"/>
    </row>
    <row r="104" ht="15.75" customHeight="1">
      <c r="A104" s="423"/>
      <c r="B104" s="423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57"/>
      <c r="O104" s="307"/>
      <c r="P104" s="307"/>
      <c r="Q104" s="307"/>
      <c r="R104" s="364"/>
      <c r="S104" s="307"/>
      <c r="T104" s="307"/>
      <c r="U104" s="307"/>
      <c r="V104" s="307"/>
      <c r="W104" s="307"/>
    </row>
    <row r="105" ht="15.75" customHeight="1">
      <c r="A105" s="423"/>
      <c r="B105" s="423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57"/>
      <c r="O105" s="307"/>
      <c r="P105" s="307"/>
      <c r="Q105" s="307"/>
      <c r="R105" s="364"/>
      <c r="S105" s="307"/>
      <c r="T105" s="307"/>
      <c r="U105" s="307"/>
      <c r="V105" s="307"/>
      <c r="W105" s="307"/>
    </row>
    <row r="106" ht="15.75" customHeight="1">
      <c r="A106" s="423"/>
      <c r="B106" s="423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57"/>
      <c r="O106" s="307"/>
      <c r="P106" s="307"/>
      <c r="Q106" s="307"/>
      <c r="R106" s="364"/>
      <c r="S106" s="307"/>
      <c r="T106" s="307"/>
      <c r="U106" s="307"/>
      <c r="V106" s="307"/>
      <c r="W106" s="307"/>
    </row>
    <row r="107" ht="15.75" customHeight="1">
      <c r="A107" s="423"/>
      <c r="B107" s="423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57"/>
      <c r="O107" s="307"/>
      <c r="P107" s="307"/>
      <c r="Q107" s="307"/>
      <c r="R107" s="364"/>
      <c r="S107" s="307"/>
      <c r="T107" s="307"/>
      <c r="U107" s="307"/>
      <c r="V107" s="307"/>
      <c r="W107" s="307"/>
    </row>
    <row r="108" ht="15.75" customHeight="1">
      <c r="A108" s="423"/>
      <c r="B108" s="423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57"/>
      <c r="O108" s="307"/>
      <c r="P108" s="307"/>
      <c r="Q108" s="307"/>
      <c r="R108" s="364"/>
      <c r="S108" s="307"/>
      <c r="T108" s="307"/>
      <c r="U108" s="307"/>
      <c r="V108" s="307"/>
      <c r="W108" s="307"/>
    </row>
    <row r="109" ht="15.75" customHeight="1">
      <c r="A109" s="423"/>
      <c r="B109" s="423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57"/>
      <c r="O109" s="307"/>
      <c r="P109" s="307"/>
      <c r="Q109" s="307"/>
      <c r="R109" s="364"/>
      <c r="S109" s="307"/>
      <c r="T109" s="307"/>
      <c r="U109" s="307"/>
      <c r="V109" s="307"/>
      <c r="W109" s="307"/>
    </row>
    <row r="110" ht="15.75" customHeight="1">
      <c r="A110" s="423"/>
      <c r="B110" s="423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57"/>
      <c r="O110" s="307"/>
      <c r="P110" s="307"/>
      <c r="Q110" s="307"/>
      <c r="R110" s="364"/>
      <c r="S110" s="307"/>
      <c r="T110" s="307"/>
      <c r="U110" s="307"/>
      <c r="V110" s="307"/>
      <c r="W110" s="307"/>
    </row>
    <row r="111" ht="15.75" customHeight="1">
      <c r="A111" s="423"/>
      <c r="B111" s="423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57"/>
      <c r="O111" s="307"/>
      <c r="P111" s="307"/>
      <c r="Q111" s="307"/>
      <c r="R111" s="364"/>
      <c r="S111" s="307"/>
      <c r="T111" s="307"/>
      <c r="U111" s="307"/>
      <c r="V111" s="307"/>
      <c r="W111" s="307"/>
    </row>
    <row r="112" ht="15.75" customHeight="1">
      <c r="A112" s="423"/>
      <c r="B112" s="423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57"/>
      <c r="O112" s="307"/>
      <c r="P112" s="307"/>
      <c r="Q112" s="307"/>
      <c r="R112" s="364"/>
      <c r="S112" s="307"/>
      <c r="T112" s="307"/>
      <c r="U112" s="307"/>
      <c r="V112" s="307"/>
      <c r="W112" s="307"/>
    </row>
    <row r="113" ht="15.75" customHeight="1">
      <c r="A113" s="423"/>
      <c r="B113" s="423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57"/>
      <c r="O113" s="307"/>
      <c r="P113" s="307"/>
      <c r="Q113" s="307"/>
      <c r="R113" s="364"/>
      <c r="S113" s="307"/>
      <c r="T113" s="307"/>
      <c r="U113" s="307"/>
      <c r="V113" s="307"/>
      <c r="W113" s="307"/>
    </row>
    <row r="114" ht="15.75" customHeight="1">
      <c r="A114" s="423"/>
      <c r="B114" s="423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57"/>
      <c r="O114" s="307"/>
      <c r="P114" s="307"/>
      <c r="Q114" s="307"/>
      <c r="R114" s="364"/>
      <c r="S114" s="307"/>
      <c r="T114" s="307"/>
      <c r="U114" s="307"/>
      <c r="V114" s="307"/>
      <c r="W114" s="307"/>
    </row>
    <row r="115" ht="15.75" customHeight="1">
      <c r="A115" s="423"/>
      <c r="B115" s="423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57"/>
      <c r="O115" s="307"/>
      <c r="P115" s="307"/>
      <c r="Q115" s="307"/>
      <c r="R115" s="364"/>
      <c r="S115" s="307"/>
      <c r="T115" s="307"/>
      <c r="U115" s="307"/>
      <c r="V115" s="307"/>
      <c r="W115" s="307"/>
    </row>
    <row r="116" ht="15.75" customHeight="1">
      <c r="A116" s="423"/>
      <c r="B116" s="423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57"/>
      <c r="O116" s="307"/>
      <c r="P116" s="307"/>
      <c r="Q116" s="307"/>
      <c r="R116" s="364"/>
      <c r="S116" s="307"/>
      <c r="T116" s="307"/>
      <c r="U116" s="307"/>
      <c r="V116" s="307"/>
      <c r="W116" s="307"/>
    </row>
    <row r="117" ht="15.75" customHeight="1">
      <c r="A117" s="423"/>
      <c r="B117" s="423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57"/>
      <c r="O117" s="307"/>
      <c r="P117" s="307"/>
      <c r="Q117" s="307"/>
      <c r="R117" s="364"/>
      <c r="S117" s="307"/>
      <c r="T117" s="307"/>
      <c r="U117" s="307"/>
      <c r="V117" s="307"/>
      <c r="W117" s="307"/>
    </row>
    <row r="118" ht="15.75" customHeight="1">
      <c r="A118" s="423"/>
      <c r="B118" s="423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57"/>
      <c r="O118" s="307"/>
      <c r="P118" s="307"/>
      <c r="Q118" s="307"/>
      <c r="R118" s="364"/>
      <c r="S118" s="307"/>
      <c r="T118" s="307"/>
      <c r="U118" s="307"/>
      <c r="V118" s="307"/>
      <c r="W118" s="307"/>
    </row>
    <row r="119" ht="15.75" customHeight="1">
      <c r="A119" s="423"/>
      <c r="B119" s="423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57"/>
      <c r="O119" s="307"/>
      <c r="P119" s="307"/>
      <c r="Q119" s="307"/>
      <c r="R119" s="364"/>
      <c r="S119" s="307"/>
      <c r="T119" s="307"/>
      <c r="U119" s="307"/>
      <c r="V119" s="307"/>
      <c r="W119" s="307"/>
    </row>
    <row r="120" ht="15.75" customHeight="1">
      <c r="A120" s="423"/>
      <c r="B120" s="423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57"/>
      <c r="O120" s="307"/>
      <c r="P120" s="307"/>
      <c r="Q120" s="307"/>
      <c r="R120" s="364"/>
      <c r="S120" s="307"/>
      <c r="T120" s="307"/>
      <c r="U120" s="307"/>
      <c r="V120" s="307"/>
      <c r="W120" s="307"/>
    </row>
    <row r="121" ht="15.75" customHeight="1">
      <c r="A121" s="423"/>
      <c r="B121" s="423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57"/>
      <c r="O121" s="307"/>
      <c r="P121" s="307"/>
      <c r="Q121" s="307"/>
      <c r="R121" s="364"/>
      <c r="S121" s="307"/>
      <c r="T121" s="307"/>
      <c r="U121" s="307"/>
      <c r="V121" s="307"/>
      <c r="W121" s="307"/>
    </row>
    <row r="122" ht="15.75" customHeight="1">
      <c r="A122" s="423"/>
      <c r="B122" s="423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57"/>
      <c r="O122" s="307"/>
      <c r="P122" s="307"/>
      <c r="Q122" s="307"/>
      <c r="R122" s="364"/>
      <c r="S122" s="307"/>
      <c r="T122" s="307"/>
      <c r="U122" s="307"/>
      <c r="V122" s="307"/>
      <c r="W122" s="307"/>
    </row>
    <row r="123" ht="15.75" customHeight="1">
      <c r="A123" s="423"/>
      <c r="B123" s="423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57"/>
      <c r="O123" s="307"/>
      <c r="P123" s="307"/>
      <c r="Q123" s="307"/>
      <c r="R123" s="364"/>
      <c r="S123" s="307"/>
      <c r="T123" s="307"/>
      <c r="U123" s="307"/>
      <c r="V123" s="307"/>
      <c r="W123" s="307"/>
    </row>
    <row r="124" ht="15.75" customHeight="1">
      <c r="A124" s="423"/>
      <c r="B124" s="423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57"/>
      <c r="O124" s="307"/>
      <c r="P124" s="307"/>
      <c r="Q124" s="307"/>
      <c r="R124" s="364"/>
      <c r="S124" s="307"/>
      <c r="T124" s="307"/>
      <c r="U124" s="307"/>
      <c r="V124" s="307"/>
      <c r="W124" s="307"/>
    </row>
    <row r="125" ht="15.75" customHeight="1">
      <c r="A125" s="423"/>
      <c r="B125" s="423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57"/>
      <c r="O125" s="307"/>
      <c r="P125" s="307"/>
      <c r="Q125" s="307"/>
      <c r="R125" s="364"/>
      <c r="S125" s="307"/>
      <c r="T125" s="307"/>
      <c r="U125" s="307"/>
      <c r="V125" s="307"/>
      <c r="W125" s="307"/>
    </row>
    <row r="126" ht="15.75" customHeight="1">
      <c r="A126" s="423"/>
      <c r="B126" s="423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57"/>
      <c r="O126" s="307"/>
      <c r="P126" s="307"/>
      <c r="Q126" s="307"/>
      <c r="R126" s="364"/>
      <c r="S126" s="307"/>
      <c r="T126" s="307"/>
      <c r="U126" s="307"/>
      <c r="V126" s="307"/>
      <c r="W126" s="307"/>
    </row>
    <row r="127" ht="15.75" customHeight="1">
      <c r="A127" s="423"/>
      <c r="B127" s="423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57"/>
      <c r="O127" s="307"/>
      <c r="P127" s="307"/>
      <c r="Q127" s="307"/>
      <c r="R127" s="364"/>
      <c r="S127" s="307"/>
      <c r="T127" s="307"/>
      <c r="U127" s="307"/>
      <c r="V127" s="307"/>
      <c r="W127" s="307"/>
    </row>
    <row r="128" ht="15.75" customHeight="1">
      <c r="A128" s="423"/>
      <c r="B128" s="423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57"/>
      <c r="O128" s="307"/>
      <c r="P128" s="307"/>
      <c r="Q128" s="307"/>
      <c r="R128" s="364"/>
      <c r="S128" s="307"/>
      <c r="T128" s="307"/>
      <c r="U128" s="307"/>
      <c r="V128" s="307"/>
      <c r="W128" s="307"/>
    </row>
    <row r="129" ht="15.75" customHeight="1">
      <c r="A129" s="423"/>
      <c r="B129" s="423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57"/>
      <c r="O129" s="307"/>
      <c r="P129" s="307"/>
      <c r="Q129" s="307"/>
      <c r="R129" s="364"/>
      <c r="S129" s="307"/>
      <c r="T129" s="307"/>
      <c r="U129" s="307"/>
      <c r="V129" s="307"/>
      <c r="W129" s="307"/>
    </row>
    <row r="130" ht="15.75" customHeight="1">
      <c r="A130" s="423"/>
      <c r="B130" s="423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57"/>
      <c r="O130" s="307"/>
      <c r="P130" s="307"/>
      <c r="Q130" s="307"/>
      <c r="R130" s="364"/>
      <c r="S130" s="307"/>
      <c r="T130" s="307"/>
      <c r="U130" s="307"/>
      <c r="V130" s="307"/>
      <c r="W130" s="307"/>
    </row>
    <row r="131" ht="15.75" customHeight="1">
      <c r="A131" s="423"/>
      <c r="B131" s="423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57"/>
      <c r="O131" s="307"/>
      <c r="P131" s="307"/>
      <c r="Q131" s="307"/>
      <c r="R131" s="364"/>
      <c r="S131" s="307"/>
      <c r="T131" s="307"/>
      <c r="U131" s="307"/>
      <c r="V131" s="307"/>
      <c r="W131" s="307"/>
    </row>
    <row r="132" ht="15.75" customHeight="1">
      <c r="A132" s="423"/>
      <c r="B132" s="423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57"/>
      <c r="O132" s="307"/>
      <c r="P132" s="307"/>
      <c r="Q132" s="307"/>
      <c r="R132" s="364"/>
      <c r="S132" s="307"/>
      <c r="T132" s="307"/>
      <c r="U132" s="307"/>
      <c r="V132" s="307"/>
      <c r="W132" s="307"/>
    </row>
    <row r="133" ht="15.75" customHeight="1">
      <c r="A133" s="423"/>
      <c r="B133" s="423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57"/>
      <c r="O133" s="307"/>
      <c r="P133" s="307"/>
      <c r="Q133" s="307"/>
      <c r="R133" s="364"/>
      <c r="S133" s="307"/>
      <c r="T133" s="307"/>
      <c r="U133" s="307"/>
      <c r="V133" s="307"/>
      <c r="W133" s="307"/>
    </row>
    <row r="134" ht="15.75" customHeight="1">
      <c r="A134" s="423"/>
      <c r="B134" s="423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57"/>
      <c r="O134" s="307"/>
      <c r="P134" s="307"/>
      <c r="Q134" s="307"/>
      <c r="R134" s="364"/>
      <c r="S134" s="307"/>
      <c r="T134" s="307"/>
      <c r="U134" s="307"/>
      <c r="V134" s="307"/>
      <c r="W134" s="307"/>
    </row>
    <row r="135" ht="15.75" customHeight="1">
      <c r="A135" s="423"/>
      <c r="B135" s="423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57"/>
      <c r="O135" s="307"/>
      <c r="P135" s="307"/>
      <c r="Q135" s="307"/>
      <c r="R135" s="364"/>
      <c r="S135" s="307"/>
      <c r="T135" s="307"/>
      <c r="U135" s="307"/>
      <c r="V135" s="307"/>
      <c r="W135" s="307"/>
    </row>
    <row r="136" ht="15.75" customHeight="1">
      <c r="A136" s="423"/>
      <c r="B136" s="423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57"/>
      <c r="O136" s="307"/>
      <c r="P136" s="307"/>
      <c r="Q136" s="307"/>
      <c r="R136" s="364"/>
      <c r="S136" s="307"/>
      <c r="T136" s="307"/>
      <c r="U136" s="307"/>
      <c r="V136" s="307"/>
      <c r="W136" s="307"/>
    </row>
    <row r="137" ht="15.75" customHeight="1">
      <c r="A137" s="423"/>
      <c r="B137" s="423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57"/>
      <c r="O137" s="307"/>
      <c r="P137" s="307"/>
      <c r="Q137" s="307"/>
      <c r="R137" s="364"/>
      <c r="S137" s="307"/>
      <c r="T137" s="307"/>
      <c r="U137" s="307"/>
      <c r="V137" s="307"/>
      <c r="W137" s="307"/>
    </row>
    <row r="138" ht="15.75" customHeight="1">
      <c r="A138" s="423"/>
      <c r="B138" s="423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57"/>
      <c r="O138" s="307"/>
      <c r="P138" s="307"/>
      <c r="Q138" s="307"/>
      <c r="R138" s="364"/>
      <c r="S138" s="307"/>
      <c r="T138" s="307"/>
      <c r="U138" s="307"/>
      <c r="V138" s="307"/>
      <c r="W138" s="307"/>
    </row>
    <row r="139" ht="15.75" customHeight="1">
      <c r="A139" s="423"/>
      <c r="B139" s="423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57"/>
      <c r="O139" s="307"/>
      <c r="P139" s="307"/>
      <c r="Q139" s="307"/>
      <c r="R139" s="364"/>
      <c r="S139" s="307"/>
      <c r="T139" s="307"/>
      <c r="U139" s="307"/>
      <c r="V139" s="307"/>
      <c r="W139" s="307"/>
    </row>
    <row r="140" ht="15.75" customHeight="1">
      <c r="A140" s="423"/>
      <c r="B140" s="423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57"/>
      <c r="O140" s="307"/>
      <c r="P140" s="307"/>
      <c r="Q140" s="307"/>
      <c r="R140" s="364"/>
      <c r="S140" s="307"/>
      <c r="T140" s="307"/>
      <c r="U140" s="307"/>
      <c r="V140" s="307"/>
      <c r="W140" s="307"/>
    </row>
    <row r="141" ht="15.75" customHeight="1">
      <c r="A141" s="423"/>
      <c r="B141" s="423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57"/>
      <c r="O141" s="307"/>
      <c r="P141" s="307"/>
      <c r="Q141" s="307"/>
      <c r="R141" s="364"/>
      <c r="S141" s="307"/>
      <c r="T141" s="307"/>
      <c r="U141" s="307"/>
      <c r="V141" s="307"/>
      <c r="W141" s="307"/>
    </row>
    <row r="142" ht="15.75" customHeight="1">
      <c r="A142" s="423"/>
      <c r="B142" s="423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57"/>
      <c r="O142" s="307"/>
      <c r="P142" s="307"/>
      <c r="Q142" s="307"/>
      <c r="R142" s="364"/>
      <c r="S142" s="307"/>
      <c r="T142" s="307"/>
      <c r="U142" s="307"/>
      <c r="V142" s="307"/>
      <c r="W142" s="307"/>
    </row>
    <row r="143" ht="15.75" customHeight="1">
      <c r="A143" s="423"/>
      <c r="B143" s="423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57"/>
      <c r="O143" s="307"/>
      <c r="P143" s="307"/>
      <c r="Q143" s="307"/>
      <c r="R143" s="364"/>
      <c r="S143" s="307"/>
      <c r="T143" s="307"/>
      <c r="U143" s="307"/>
      <c r="V143" s="307"/>
      <c r="W143" s="307"/>
    </row>
    <row r="144" ht="15.75" customHeight="1">
      <c r="A144" s="423"/>
      <c r="B144" s="423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57"/>
      <c r="O144" s="307"/>
      <c r="P144" s="307"/>
      <c r="Q144" s="307"/>
      <c r="R144" s="364"/>
      <c r="S144" s="307"/>
      <c r="T144" s="307"/>
      <c r="U144" s="307"/>
      <c r="V144" s="307"/>
      <c r="W144" s="307"/>
    </row>
    <row r="145" ht="15.75" customHeight="1">
      <c r="A145" s="423"/>
      <c r="B145" s="423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57"/>
      <c r="O145" s="307"/>
      <c r="P145" s="307"/>
      <c r="Q145" s="307"/>
      <c r="R145" s="364"/>
      <c r="S145" s="307"/>
      <c r="T145" s="307"/>
      <c r="U145" s="307"/>
      <c r="V145" s="307"/>
      <c r="W145" s="307"/>
    </row>
    <row r="146" ht="15.75" customHeight="1">
      <c r="A146" s="423"/>
      <c r="B146" s="423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57"/>
      <c r="O146" s="307"/>
      <c r="P146" s="307"/>
      <c r="Q146" s="307"/>
      <c r="R146" s="364"/>
      <c r="S146" s="307"/>
      <c r="T146" s="307"/>
      <c r="U146" s="307"/>
      <c r="V146" s="307"/>
      <c r="W146" s="307"/>
    </row>
    <row r="147" ht="15.75" customHeight="1">
      <c r="A147" s="423"/>
      <c r="B147" s="423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57"/>
      <c r="O147" s="307"/>
      <c r="P147" s="307"/>
      <c r="Q147" s="307"/>
      <c r="R147" s="364"/>
      <c r="S147" s="307"/>
      <c r="T147" s="307"/>
      <c r="U147" s="307"/>
      <c r="V147" s="307"/>
      <c r="W147" s="307"/>
    </row>
    <row r="148" ht="15.75" customHeight="1">
      <c r="A148" s="423"/>
      <c r="B148" s="423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57"/>
      <c r="O148" s="307"/>
      <c r="P148" s="307"/>
      <c r="Q148" s="307"/>
      <c r="R148" s="364"/>
      <c r="S148" s="307"/>
      <c r="T148" s="307"/>
      <c r="U148" s="307"/>
      <c r="V148" s="307"/>
      <c r="W148" s="307"/>
    </row>
    <row r="149" ht="15.75" customHeight="1">
      <c r="A149" s="423"/>
      <c r="B149" s="423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57"/>
      <c r="O149" s="307"/>
      <c r="P149" s="307"/>
      <c r="Q149" s="307"/>
      <c r="R149" s="364"/>
      <c r="S149" s="307"/>
      <c r="T149" s="307"/>
      <c r="U149" s="307"/>
      <c r="V149" s="307"/>
      <c r="W149" s="307"/>
    </row>
    <row r="150" ht="15.75" customHeight="1">
      <c r="A150" s="423"/>
      <c r="B150" s="423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57"/>
      <c r="O150" s="307"/>
      <c r="P150" s="307"/>
      <c r="Q150" s="307"/>
      <c r="R150" s="364"/>
      <c r="S150" s="307"/>
      <c r="T150" s="307"/>
      <c r="U150" s="307"/>
      <c r="V150" s="307"/>
      <c r="W150" s="307"/>
    </row>
    <row r="151" ht="15.75" customHeight="1">
      <c r="A151" s="423"/>
      <c r="B151" s="423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57"/>
      <c r="O151" s="307"/>
      <c r="P151" s="307"/>
      <c r="Q151" s="307"/>
      <c r="R151" s="364"/>
      <c r="S151" s="307"/>
      <c r="T151" s="307"/>
      <c r="U151" s="307"/>
      <c r="V151" s="307"/>
      <c r="W151" s="307"/>
    </row>
    <row r="152" ht="15.75" customHeight="1">
      <c r="A152" s="423"/>
      <c r="B152" s="423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57"/>
      <c r="O152" s="307"/>
      <c r="P152" s="307"/>
      <c r="Q152" s="307"/>
      <c r="R152" s="364"/>
      <c r="S152" s="307"/>
      <c r="T152" s="307"/>
      <c r="U152" s="307"/>
      <c r="V152" s="307"/>
      <c r="W152" s="307"/>
    </row>
    <row r="153" ht="15.75" customHeight="1">
      <c r="A153" s="423"/>
      <c r="B153" s="423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57"/>
      <c r="O153" s="307"/>
      <c r="P153" s="307"/>
      <c r="Q153" s="307"/>
      <c r="R153" s="364"/>
      <c r="S153" s="307"/>
      <c r="T153" s="307"/>
      <c r="U153" s="307"/>
      <c r="V153" s="307"/>
      <c r="W153" s="307"/>
    </row>
    <row r="154" ht="15.75" customHeight="1">
      <c r="A154" s="423"/>
      <c r="B154" s="423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57"/>
      <c r="O154" s="307"/>
      <c r="P154" s="307"/>
      <c r="Q154" s="307"/>
      <c r="R154" s="364"/>
      <c r="S154" s="307"/>
      <c r="T154" s="307"/>
      <c r="U154" s="307"/>
      <c r="V154" s="307"/>
      <c r="W154" s="307"/>
    </row>
    <row r="155" ht="15.75" customHeight="1">
      <c r="A155" s="423"/>
      <c r="B155" s="423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57"/>
      <c r="O155" s="307"/>
      <c r="P155" s="307"/>
      <c r="Q155" s="307"/>
      <c r="R155" s="364"/>
      <c r="S155" s="307"/>
      <c r="T155" s="307"/>
      <c r="U155" s="307"/>
      <c r="V155" s="307"/>
      <c r="W155" s="307"/>
    </row>
    <row r="156" ht="15.75" customHeight="1">
      <c r="A156" s="423"/>
      <c r="B156" s="423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57"/>
      <c r="O156" s="307"/>
      <c r="P156" s="307"/>
      <c r="Q156" s="307"/>
      <c r="R156" s="364"/>
      <c r="S156" s="307"/>
      <c r="T156" s="307"/>
      <c r="U156" s="307"/>
      <c r="V156" s="307"/>
      <c r="W156" s="307"/>
    </row>
    <row r="157" ht="15.75" customHeight="1">
      <c r="A157" s="423"/>
      <c r="B157" s="423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57"/>
      <c r="O157" s="307"/>
      <c r="P157" s="307"/>
      <c r="Q157" s="307"/>
      <c r="R157" s="364"/>
      <c r="S157" s="307"/>
      <c r="T157" s="307"/>
      <c r="U157" s="307"/>
      <c r="V157" s="307"/>
      <c r="W157" s="307"/>
    </row>
    <row r="158" ht="15.75" customHeight="1">
      <c r="A158" s="423"/>
      <c r="B158" s="423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57"/>
      <c r="O158" s="307"/>
      <c r="P158" s="307"/>
      <c r="Q158" s="307"/>
      <c r="R158" s="364"/>
      <c r="S158" s="307"/>
      <c r="T158" s="307"/>
      <c r="U158" s="307"/>
      <c r="V158" s="307"/>
      <c r="W158" s="307"/>
    </row>
    <row r="159" ht="15.75" customHeight="1">
      <c r="A159" s="423"/>
      <c r="B159" s="423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57"/>
      <c r="O159" s="307"/>
      <c r="P159" s="307"/>
      <c r="Q159" s="307"/>
      <c r="R159" s="364"/>
      <c r="S159" s="307"/>
      <c r="T159" s="307"/>
      <c r="U159" s="307"/>
      <c r="V159" s="307"/>
      <c r="W159" s="307"/>
    </row>
    <row r="160" ht="15.75" customHeight="1">
      <c r="A160" s="423"/>
      <c r="B160" s="423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57"/>
      <c r="O160" s="307"/>
      <c r="P160" s="307"/>
      <c r="Q160" s="307"/>
      <c r="R160" s="364"/>
      <c r="S160" s="307"/>
      <c r="T160" s="307"/>
      <c r="U160" s="307"/>
      <c r="V160" s="307"/>
      <c r="W160" s="307"/>
    </row>
    <row r="161" ht="15.75" customHeight="1">
      <c r="A161" s="423"/>
      <c r="B161" s="423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57"/>
      <c r="O161" s="307"/>
      <c r="P161" s="307"/>
      <c r="Q161" s="307"/>
      <c r="R161" s="364"/>
      <c r="S161" s="307"/>
      <c r="T161" s="307"/>
      <c r="U161" s="307"/>
      <c r="V161" s="307"/>
      <c r="W161" s="307"/>
    </row>
    <row r="162" ht="15.75" customHeight="1">
      <c r="A162" s="423"/>
      <c r="B162" s="423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57"/>
      <c r="O162" s="307"/>
      <c r="P162" s="307"/>
      <c r="Q162" s="307"/>
      <c r="R162" s="364"/>
      <c r="S162" s="307"/>
      <c r="T162" s="307"/>
      <c r="U162" s="307"/>
      <c r="V162" s="307"/>
      <c r="W162" s="307"/>
    </row>
    <row r="163" ht="15.75" customHeight="1">
      <c r="A163" s="423"/>
      <c r="B163" s="423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57"/>
      <c r="O163" s="307"/>
      <c r="P163" s="307"/>
      <c r="Q163" s="307"/>
      <c r="R163" s="364"/>
      <c r="S163" s="307"/>
      <c r="T163" s="307"/>
      <c r="U163" s="307"/>
      <c r="V163" s="307"/>
      <c r="W163" s="307"/>
    </row>
    <row r="164" ht="15.75" customHeight="1">
      <c r="A164" s="423"/>
      <c r="B164" s="423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57"/>
      <c r="O164" s="307"/>
      <c r="P164" s="307"/>
      <c r="Q164" s="307"/>
      <c r="R164" s="364"/>
      <c r="S164" s="307"/>
      <c r="T164" s="307"/>
      <c r="U164" s="307"/>
      <c r="V164" s="307"/>
      <c r="W164" s="307"/>
    </row>
    <row r="165" ht="15.75" customHeight="1">
      <c r="A165" s="423"/>
      <c r="B165" s="423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57"/>
      <c r="O165" s="307"/>
      <c r="P165" s="307"/>
      <c r="Q165" s="307"/>
      <c r="R165" s="364"/>
      <c r="S165" s="307"/>
      <c r="T165" s="307"/>
      <c r="U165" s="307"/>
      <c r="V165" s="307"/>
      <c r="W165" s="307"/>
    </row>
    <row r="166" ht="15.75" customHeight="1">
      <c r="A166" s="423"/>
      <c r="B166" s="423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57"/>
      <c r="O166" s="307"/>
      <c r="P166" s="307"/>
      <c r="Q166" s="307"/>
      <c r="R166" s="364"/>
      <c r="S166" s="307"/>
      <c r="T166" s="307"/>
      <c r="U166" s="307"/>
      <c r="V166" s="307"/>
      <c r="W166" s="307"/>
    </row>
    <row r="167" ht="15.75" customHeight="1">
      <c r="A167" s="423"/>
      <c r="B167" s="423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57"/>
      <c r="O167" s="307"/>
      <c r="P167" s="307"/>
      <c r="Q167" s="307"/>
      <c r="R167" s="364"/>
      <c r="S167" s="307"/>
      <c r="T167" s="307"/>
      <c r="U167" s="307"/>
      <c r="V167" s="307"/>
      <c r="W167" s="307"/>
    </row>
    <row r="168" ht="15.75" customHeight="1">
      <c r="A168" s="423"/>
      <c r="B168" s="423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57"/>
      <c r="O168" s="307"/>
      <c r="P168" s="307"/>
      <c r="Q168" s="307"/>
      <c r="R168" s="364"/>
      <c r="S168" s="307"/>
      <c r="T168" s="307"/>
      <c r="U168" s="307"/>
      <c r="V168" s="307"/>
      <c r="W168" s="307"/>
    </row>
    <row r="169" ht="15.75" customHeight="1">
      <c r="A169" s="423"/>
      <c r="B169" s="423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57"/>
      <c r="O169" s="307"/>
      <c r="P169" s="307"/>
      <c r="Q169" s="307"/>
      <c r="R169" s="364"/>
      <c r="S169" s="307"/>
      <c r="T169" s="307"/>
      <c r="U169" s="307"/>
      <c r="V169" s="307"/>
      <c r="W169" s="307"/>
    </row>
    <row r="170" ht="15.75" customHeight="1">
      <c r="A170" s="423"/>
      <c r="B170" s="423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57"/>
      <c r="O170" s="307"/>
      <c r="P170" s="307"/>
      <c r="Q170" s="307"/>
      <c r="R170" s="364"/>
      <c r="S170" s="307"/>
      <c r="T170" s="307"/>
      <c r="U170" s="307"/>
      <c r="V170" s="307"/>
      <c r="W170" s="307"/>
    </row>
    <row r="171" ht="15.75" customHeight="1">
      <c r="A171" s="423"/>
      <c r="B171" s="423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57"/>
      <c r="O171" s="307"/>
      <c r="P171" s="307"/>
      <c r="Q171" s="307"/>
      <c r="R171" s="364"/>
      <c r="S171" s="307"/>
      <c r="T171" s="307"/>
      <c r="U171" s="307"/>
      <c r="V171" s="307"/>
      <c r="W171" s="307"/>
    </row>
    <row r="172" ht="15.75" customHeight="1">
      <c r="A172" s="423"/>
      <c r="B172" s="423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57"/>
      <c r="O172" s="307"/>
      <c r="P172" s="307"/>
      <c r="Q172" s="307"/>
      <c r="R172" s="364"/>
      <c r="S172" s="307"/>
      <c r="T172" s="307"/>
      <c r="U172" s="307"/>
      <c r="V172" s="307"/>
      <c r="W172" s="307"/>
    </row>
    <row r="173" ht="15.75" customHeight="1">
      <c r="A173" s="423"/>
      <c r="B173" s="423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57"/>
      <c r="O173" s="307"/>
      <c r="P173" s="307"/>
      <c r="Q173" s="307"/>
      <c r="R173" s="364"/>
      <c r="S173" s="307"/>
      <c r="T173" s="307"/>
      <c r="U173" s="307"/>
      <c r="V173" s="307"/>
      <c r="W173" s="307"/>
    </row>
    <row r="174" ht="15.75" customHeight="1">
      <c r="A174" s="423"/>
      <c r="B174" s="423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57"/>
      <c r="O174" s="307"/>
      <c r="P174" s="307"/>
      <c r="Q174" s="307"/>
      <c r="R174" s="364"/>
      <c r="S174" s="307"/>
      <c r="T174" s="307"/>
      <c r="U174" s="307"/>
      <c r="V174" s="307"/>
      <c r="W174" s="307"/>
    </row>
    <row r="175" ht="15.75" customHeight="1">
      <c r="A175" s="423"/>
      <c r="B175" s="423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57"/>
      <c r="O175" s="307"/>
      <c r="P175" s="307"/>
      <c r="Q175" s="307"/>
      <c r="R175" s="364"/>
      <c r="S175" s="307"/>
      <c r="T175" s="307"/>
      <c r="U175" s="307"/>
      <c r="V175" s="307"/>
      <c r="W175" s="307"/>
    </row>
    <row r="176" ht="15.75" customHeight="1">
      <c r="A176" s="423"/>
      <c r="B176" s="423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57"/>
      <c r="O176" s="307"/>
      <c r="P176" s="307"/>
      <c r="Q176" s="307"/>
      <c r="R176" s="364"/>
      <c r="S176" s="307"/>
      <c r="T176" s="307"/>
      <c r="U176" s="307"/>
      <c r="V176" s="307"/>
      <c r="W176" s="307"/>
    </row>
    <row r="177" ht="15.75" customHeight="1">
      <c r="A177" s="423"/>
      <c r="B177" s="423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57"/>
      <c r="O177" s="307"/>
      <c r="P177" s="307"/>
      <c r="Q177" s="307"/>
      <c r="R177" s="364"/>
      <c r="S177" s="307"/>
      <c r="T177" s="307"/>
      <c r="U177" s="307"/>
      <c r="V177" s="307"/>
      <c r="W177" s="307"/>
    </row>
    <row r="178" ht="15.75" customHeight="1">
      <c r="A178" s="423"/>
      <c r="B178" s="423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57"/>
      <c r="O178" s="307"/>
      <c r="P178" s="307"/>
      <c r="Q178" s="307"/>
      <c r="R178" s="364"/>
      <c r="S178" s="307"/>
      <c r="T178" s="307"/>
      <c r="U178" s="307"/>
      <c r="V178" s="307"/>
      <c r="W178" s="307"/>
    </row>
    <row r="179" ht="15.75" customHeight="1">
      <c r="A179" s="423"/>
      <c r="B179" s="423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57"/>
      <c r="O179" s="307"/>
      <c r="P179" s="307"/>
      <c r="Q179" s="307"/>
      <c r="R179" s="364"/>
      <c r="S179" s="307"/>
      <c r="T179" s="307"/>
      <c r="U179" s="307"/>
      <c r="V179" s="307"/>
      <c r="W179" s="307"/>
    </row>
    <row r="180" ht="15.75" customHeight="1">
      <c r="A180" s="423"/>
      <c r="B180" s="423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57"/>
      <c r="O180" s="307"/>
      <c r="P180" s="307"/>
      <c r="Q180" s="307"/>
      <c r="R180" s="364"/>
      <c r="S180" s="307"/>
      <c r="T180" s="307"/>
      <c r="U180" s="307"/>
      <c r="V180" s="307"/>
      <c r="W180" s="307"/>
    </row>
    <row r="181" ht="15.75" customHeight="1">
      <c r="A181" s="423"/>
      <c r="B181" s="423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57"/>
      <c r="O181" s="307"/>
      <c r="P181" s="307"/>
      <c r="Q181" s="307"/>
      <c r="R181" s="364"/>
      <c r="S181" s="307"/>
      <c r="T181" s="307"/>
      <c r="U181" s="307"/>
      <c r="V181" s="307"/>
      <c r="W181" s="307"/>
    </row>
    <row r="182" ht="15.75" customHeight="1">
      <c r="A182" s="423"/>
      <c r="B182" s="423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57"/>
      <c r="O182" s="307"/>
      <c r="P182" s="307"/>
      <c r="Q182" s="307"/>
      <c r="R182" s="364"/>
      <c r="S182" s="307"/>
      <c r="T182" s="307"/>
      <c r="U182" s="307"/>
      <c r="V182" s="307"/>
      <c r="W182" s="307"/>
    </row>
    <row r="183" ht="15.75" customHeight="1">
      <c r="A183" s="423"/>
      <c r="B183" s="423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57"/>
      <c r="O183" s="307"/>
      <c r="P183" s="307"/>
      <c r="Q183" s="307"/>
      <c r="R183" s="364"/>
      <c r="S183" s="307"/>
      <c r="T183" s="307"/>
      <c r="U183" s="307"/>
      <c r="V183" s="307"/>
      <c r="W183" s="307"/>
    </row>
    <row r="184" ht="15.75" customHeight="1">
      <c r="A184" s="423"/>
      <c r="B184" s="423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57"/>
      <c r="O184" s="307"/>
      <c r="P184" s="307"/>
      <c r="Q184" s="307"/>
      <c r="R184" s="364"/>
      <c r="S184" s="307"/>
      <c r="T184" s="307"/>
      <c r="U184" s="307"/>
      <c r="V184" s="307"/>
      <c r="W184" s="307"/>
    </row>
    <row r="185" ht="15.75" customHeight="1">
      <c r="A185" s="423"/>
      <c r="B185" s="423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57"/>
      <c r="O185" s="307"/>
      <c r="P185" s="307"/>
      <c r="Q185" s="307"/>
      <c r="R185" s="364"/>
      <c r="S185" s="307"/>
      <c r="T185" s="307"/>
      <c r="U185" s="307"/>
      <c r="V185" s="307"/>
      <c r="W185" s="307"/>
    </row>
    <row r="186" ht="15.75" customHeight="1">
      <c r="A186" s="423"/>
      <c r="B186" s="423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57"/>
      <c r="O186" s="307"/>
      <c r="P186" s="307"/>
      <c r="Q186" s="307"/>
      <c r="R186" s="364"/>
      <c r="S186" s="307"/>
      <c r="T186" s="307"/>
      <c r="U186" s="307"/>
      <c r="V186" s="307"/>
      <c r="W186" s="307"/>
    </row>
    <row r="187" ht="15.75" customHeight="1">
      <c r="A187" s="423"/>
      <c r="B187" s="423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57"/>
      <c r="O187" s="307"/>
      <c r="P187" s="307"/>
      <c r="Q187" s="307"/>
      <c r="R187" s="364"/>
      <c r="S187" s="307"/>
      <c r="T187" s="307"/>
      <c r="U187" s="307"/>
      <c r="V187" s="307"/>
      <c r="W187" s="307"/>
    </row>
    <row r="188" ht="15.75" customHeight="1">
      <c r="A188" s="423"/>
      <c r="B188" s="423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57"/>
      <c r="O188" s="307"/>
      <c r="P188" s="307"/>
      <c r="Q188" s="307"/>
      <c r="R188" s="364"/>
      <c r="S188" s="307"/>
      <c r="T188" s="307"/>
      <c r="U188" s="307"/>
      <c r="V188" s="307"/>
      <c r="W188" s="307"/>
    </row>
    <row r="189" ht="15.75" customHeight="1">
      <c r="A189" s="423"/>
      <c r="B189" s="423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57"/>
      <c r="O189" s="307"/>
      <c r="P189" s="307"/>
      <c r="Q189" s="307"/>
      <c r="R189" s="364"/>
      <c r="S189" s="307"/>
      <c r="T189" s="307"/>
      <c r="U189" s="307"/>
      <c r="V189" s="307"/>
      <c r="W189" s="307"/>
    </row>
    <row r="190" ht="15.75" customHeight="1">
      <c r="A190" s="423"/>
      <c r="B190" s="423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57"/>
      <c r="O190" s="307"/>
      <c r="P190" s="307"/>
      <c r="Q190" s="307"/>
      <c r="R190" s="364"/>
      <c r="S190" s="307"/>
      <c r="T190" s="307"/>
      <c r="U190" s="307"/>
      <c r="V190" s="307"/>
      <c r="W190" s="307"/>
    </row>
    <row r="191" ht="15.75" customHeight="1">
      <c r="A191" s="423"/>
      <c r="B191" s="423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57"/>
      <c r="O191" s="307"/>
      <c r="P191" s="307"/>
      <c r="Q191" s="307"/>
      <c r="R191" s="364"/>
      <c r="S191" s="307"/>
      <c r="T191" s="307"/>
      <c r="U191" s="307"/>
      <c r="V191" s="307"/>
      <c r="W191" s="307"/>
    </row>
    <row r="192" ht="15.75" customHeight="1">
      <c r="A192" s="423"/>
      <c r="B192" s="423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57"/>
      <c r="O192" s="307"/>
      <c r="P192" s="307"/>
      <c r="Q192" s="307"/>
      <c r="R192" s="364"/>
      <c r="S192" s="307"/>
      <c r="T192" s="307"/>
      <c r="U192" s="307"/>
      <c r="V192" s="307"/>
      <c r="W192" s="307"/>
    </row>
    <row r="193" ht="15.75" customHeight="1">
      <c r="A193" s="423"/>
      <c r="B193" s="423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57"/>
      <c r="O193" s="307"/>
      <c r="P193" s="307"/>
      <c r="Q193" s="307"/>
      <c r="R193" s="364"/>
      <c r="S193" s="307"/>
      <c r="T193" s="307"/>
      <c r="U193" s="307"/>
      <c r="V193" s="307"/>
      <c r="W193" s="307"/>
    </row>
    <row r="194" ht="15.75" customHeight="1">
      <c r="A194" s="423"/>
      <c r="B194" s="423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57"/>
      <c r="O194" s="307"/>
      <c r="P194" s="307"/>
      <c r="Q194" s="307"/>
      <c r="R194" s="364"/>
      <c r="S194" s="307"/>
      <c r="T194" s="307"/>
      <c r="U194" s="307"/>
      <c r="V194" s="307"/>
      <c r="W194" s="307"/>
    </row>
    <row r="195" ht="15.75" customHeight="1">
      <c r="A195" s="423"/>
      <c r="B195" s="423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57"/>
      <c r="O195" s="307"/>
      <c r="P195" s="307"/>
      <c r="Q195" s="307"/>
      <c r="R195" s="364"/>
      <c r="S195" s="307"/>
      <c r="T195" s="307"/>
      <c r="U195" s="307"/>
      <c r="V195" s="307"/>
      <c r="W195" s="307"/>
    </row>
    <row r="196" ht="15.75" customHeight="1">
      <c r="A196" s="423"/>
      <c r="B196" s="423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57"/>
      <c r="O196" s="307"/>
      <c r="P196" s="307"/>
      <c r="Q196" s="307"/>
      <c r="R196" s="364"/>
      <c r="S196" s="307"/>
      <c r="T196" s="307"/>
      <c r="U196" s="307"/>
      <c r="V196" s="307"/>
      <c r="W196" s="307"/>
    </row>
    <row r="197" ht="15.75" customHeight="1">
      <c r="A197" s="423"/>
      <c r="B197" s="423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57"/>
      <c r="O197" s="307"/>
      <c r="P197" s="307"/>
      <c r="Q197" s="307"/>
      <c r="R197" s="364"/>
      <c r="S197" s="307"/>
      <c r="T197" s="307"/>
      <c r="U197" s="307"/>
      <c r="V197" s="307"/>
      <c r="W197" s="307"/>
    </row>
    <row r="198" ht="15.75" customHeight="1">
      <c r="A198" s="423"/>
      <c r="B198" s="423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57"/>
      <c r="O198" s="307"/>
      <c r="P198" s="307"/>
      <c r="Q198" s="307"/>
      <c r="R198" s="364"/>
      <c r="S198" s="307"/>
      <c r="T198" s="307"/>
      <c r="U198" s="307"/>
      <c r="V198" s="307"/>
      <c r="W198" s="307"/>
    </row>
    <row r="199" ht="15.75" customHeight="1">
      <c r="A199" s="423"/>
      <c r="B199" s="423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57"/>
      <c r="O199" s="307"/>
      <c r="P199" s="307"/>
      <c r="Q199" s="307"/>
      <c r="R199" s="364"/>
      <c r="S199" s="307"/>
      <c r="T199" s="307"/>
      <c r="U199" s="307"/>
      <c r="V199" s="307"/>
      <c r="W199" s="307"/>
    </row>
    <row r="200" ht="15.75" customHeight="1">
      <c r="A200" s="423"/>
      <c r="B200" s="423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57"/>
      <c r="O200" s="307"/>
      <c r="P200" s="307"/>
      <c r="Q200" s="307"/>
      <c r="R200" s="364"/>
      <c r="S200" s="307"/>
      <c r="T200" s="307"/>
      <c r="U200" s="307"/>
      <c r="V200" s="307"/>
      <c r="W200" s="307"/>
    </row>
    <row r="201" ht="15.75" customHeight="1">
      <c r="A201" s="423"/>
      <c r="B201" s="423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57"/>
      <c r="O201" s="307"/>
      <c r="P201" s="307"/>
      <c r="Q201" s="307"/>
      <c r="R201" s="364"/>
      <c r="S201" s="307"/>
      <c r="T201" s="307"/>
      <c r="U201" s="307"/>
      <c r="V201" s="307"/>
      <c r="W201" s="307"/>
    </row>
    <row r="202" ht="15.75" customHeight="1">
      <c r="A202" s="423"/>
      <c r="B202" s="423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57"/>
      <c r="O202" s="307"/>
      <c r="P202" s="307"/>
      <c r="Q202" s="307"/>
      <c r="R202" s="364"/>
      <c r="S202" s="307"/>
      <c r="T202" s="307"/>
      <c r="U202" s="307"/>
      <c r="V202" s="307"/>
      <c r="W202" s="307"/>
    </row>
    <row r="203" ht="15.75" customHeight="1">
      <c r="A203" s="423"/>
      <c r="B203" s="423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57"/>
      <c r="O203" s="307"/>
      <c r="P203" s="307"/>
      <c r="Q203" s="307"/>
      <c r="R203" s="364"/>
      <c r="S203" s="307"/>
      <c r="T203" s="307"/>
      <c r="U203" s="307"/>
      <c r="V203" s="307"/>
      <c r="W203" s="307"/>
    </row>
    <row r="204" ht="15.75" customHeight="1">
      <c r="A204" s="423"/>
      <c r="B204" s="423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57"/>
      <c r="O204" s="307"/>
      <c r="P204" s="307"/>
      <c r="Q204" s="307"/>
      <c r="R204" s="364"/>
      <c r="S204" s="307"/>
      <c r="T204" s="307"/>
      <c r="U204" s="307"/>
      <c r="V204" s="307"/>
      <c r="W204" s="307"/>
    </row>
    <row r="205" ht="15.75" customHeight="1">
      <c r="A205" s="423"/>
      <c r="B205" s="423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57"/>
      <c r="O205" s="307"/>
      <c r="P205" s="307"/>
      <c r="Q205" s="307"/>
      <c r="R205" s="364"/>
      <c r="S205" s="307"/>
      <c r="T205" s="307"/>
      <c r="U205" s="307"/>
      <c r="V205" s="307"/>
      <c r="W205" s="307"/>
    </row>
    <row r="206" ht="15.75" customHeight="1">
      <c r="A206" s="423"/>
      <c r="B206" s="423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57"/>
      <c r="O206" s="307"/>
      <c r="P206" s="307"/>
      <c r="Q206" s="307"/>
      <c r="R206" s="364"/>
      <c r="S206" s="307"/>
      <c r="T206" s="307"/>
      <c r="U206" s="307"/>
      <c r="V206" s="307"/>
      <c r="W206" s="307"/>
    </row>
    <row r="207" ht="15.75" customHeight="1">
      <c r="A207" s="423"/>
      <c r="B207" s="423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57"/>
      <c r="O207" s="307"/>
      <c r="P207" s="307"/>
      <c r="Q207" s="307"/>
      <c r="R207" s="364"/>
      <c r="S207" s="307"/>
      <c r="T207" s="307"/>
      <c r="U207" s="307"/>
      <c r="V207" s="307"/>
      <c r="W207" s="307"/>
    </row>
    <row r="208" ht="15.75" customHeight="1">
      <c r="A208" s="423"/>
      <c r="B208" s="423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57"/>
      <c r="O208" s="307"/>
      <c r="P208" s="307"/>
      <c r="Q208" s="307"/>
      <c r="R208" s="364"/>
      <c r="S208" s="307"/>
      <c r="T208" s="307"/>
      <c r="U208" s="307"/>
      <c r="V208" s="307"/>
      <c r="W208" s="307"/>
    </row>
    <row r="209" ht="15.75" customHeight="1">
      <c r="A209" s="423"/>
      <c r="B209" s="423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57"/>
      <c r="O209" s="307"/>
      <c r="P209" s="307"/>
      <c r="Q209" s="307"/>
      <c r="R209" s="364"/>
      <c r="S209" s="307"/>
      <c r="T209" s="307"/>
      <c r="U209" s="307"/>
      <c r="V209" s="307"/>
      <c r="W209" s="307"/>
    </row>
    <row r="210" ht="15.75" customHeight="1">
      <c r="A210" s="423"/>
      <c r="B210" s="423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57"/>
      <c r="O210" s="307"/>
      <c r="P210" s="307"/>
      <c r="Q210" s="307"/>
      <c r="R210" s="364"/>
      <c r="S210" s="307"/>
      <c r="T210" s="307"/>
      <c r="U210" s="307"/>
      <c r="V210" s="307"/>
      <c r="W210" s="307"/>
    </row>
    <row r="211" ht="15.75" customHeight="1">
      <c r="A211" s="423"/>
      <c r="B211" s="423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57"/>
      <c r="O211" s="307"/>
      <c r="P211" s="307"/>
      <c r="Q211" s="307"/>
      <c r="R211" s="364"/>
      <c r="S211" s="307"/>
      <c r="T211" s="307"/>
      <c r="U211" s="307"/>
      <c r="V211" s="307"/>
      <c r="W211" s="307"/>
    </row>
    <row r="212" ht="15.75" customHeight="1">
      <c r="A212" s="423"/>
      <c r="B212" s="423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57"/>
      <c r="O212" s="307"/>
      <c r="P212" s="307"/>
      <c r="Q212" s="307"/>
      <c r="R212" s="364"/>
      <c r="S212" s="307"/>
      <c r="T212" s="307"/>
      <c r="U212" s="307"/>
      <c r="V212" s="307"/>
      <c r="W212" s="307"/>
    </row>
    <row r="213" ht="15.75" customHeight="1">
      <c r="A213" s="423"/>
      <c r="B213" s="423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57"/>
      <c r="O213" s="307"/>
      <c r="P213" s="307"/>
      <c r="Q213" s="307"/>
      <c r="R213" s="364"/>
      <c r="S213" s="307"/>
      <c r="T213" s="307"/>
      <c r="U213" s="307"/>
      <c r="V213" s="307"/>
      <c r="W213" s="307"/>
    </row>
    <row r="214" ht="15.75" customHeight="1">
      <c r="A214" s="423"/>
      <c r="B214" s="423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57"/>
      <c r="O214" s="307"/>
      <c r="P214" s="307"/>
      <c r="Q214" s="307"/>
      <c r="R214" s="364"/>
      <c r="S214" s="307"/>
      <c r="T214" s="307"/>
      <c r="U214" s="307"/>
      <c r="V214" s="307"/>
      <c r="W214" s="307"/>
    </row>
    <row r="215" ht="15.75" customHeight="1">
      <c r="A215" s="423"/>
      <c r="B215" s="423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57"/>
      <c r="O215" s="307"/>
      <c r="P215" s="307"/>
      <c r="Q215" s="307"/>
      <c r="R215" s="364"/>
      <c r="S215" s="307"/>
      <c r="T215" s="307"/>
      <c r="U215" s="307"/>
      <c r="V215" s="307"/>
      <c r="W215" s="307"/>
    </row>
    <row r="216" ht="15.75" customHeight="1">
      <c r="A216" s="423"/>
      <c r="B216" s="423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57"/>
      <c r="O216" s="307"/>
      <c r="P216" s="307"/>
      <c r="Q216" s="307"/>
      <c r="R216" s="364"/>
      <c r="S216" s="307"/>
      <c r="T216" s="307"/>
      <c r="U216" s="307"/>
      <c r="V216" s="307"/>
      <c r="W216" s="307"/>
    </row>
    <row r="217" ht="15.75" customHeight="1">
      <c r="A217" s="423"/>
      <c r="B217" s="423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57"/>
      <c r="O217" s="307"/>
      <c r="P217" s="307"/>
      <c r="Q217" s="307"/>
      <c r="R217" s="364"/>
      <c r="S217" s="307"/>
      <c r="T217" s="307"/>
      <c r="U217" s="307"/>
      <c r="V217" s="307"/>
      <c r="W217" s="307"/>
    </row>
    <row r="218" ht="15.75" customHeight="1">
      <c r="A218" s="423"/>
      <c r="B218" s="423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57"/>
      <c r="O218" s="307"/>
      <c r="P218" s="307"/>
      <c r="Q218" s="307"/>
      <c r="R218" s="364"/>
      <c r="S218" s="307"/>
      <c r="T218" s="307"/>
      <c r="U218" s="307"/>
      <c r="V218" s="307"/>
      <c r="W218" s="307"/>
    </row>
    <row r="219" ht="15.75" customHeight="1">
      <c r="A219" s="423"/>
      <c r="B219" s="423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57"/>
      <c r="O219" s="307"/>
      <c r="P219" s="307"/>
      <c r="Q219" s="307"/>
      <c r="R219" s="364"/>
      <c r="S219" s="307"/>
      <c r="T219" s="307"/>
      <c r="U219" s="307"/>
      <c r="V219" s="307"/>
      <c r="W219" s="307"/>
    </row>
    <row r="220" ht="15.75" customHeight="1">
      <c r="A220" s="423"/>
      <c r="B220" s="423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57"/>
      <c r="O220" s="307"/>
      <c r="P220" s="307"/>
      <c r="Q220" s="307"/>
      <c r="R220" s="364"/>
      <c r="S220" s="307"/>
      <c r="T220" s="307"/>
      <c r="U220" s="307"/>
      <c r="V220" s="307"/>
      <c r="W220" s="307"/>
    </row>
    <row r="221" ht="15.75" customHeight="1">
      <c r="A221" s="423"/>
      <c r="B221" s="423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57"/>
      <c r="O221" s="307"/>
      <c r="P221" s="307"/>
      <c r="Q221" s="307"/>
      <c r="R221" s="364"/>
      <c r="S221" s="307"/>
      <c r="T221" s="307"/>
      <c r="U221" s="307"/>
      <c r="V221" s="307"/>
      <c r="W221" s="307"/>
    </row>
    <row r="222" ht="15.75" customHeight="1">
      <c r="A222" s="423"/>
      <c r="B222" s="423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57"/>
      <c r="O222" s="307"/>
      <c r="P222" s="307"/>
      <c r="Q222" s="307"/>
      <c r="R222" s="364"/>
      <c r="S222" s="307"/>
      <c r="T222" s="307"/>
      <c r="U222" s="307"/>
      <c r="V222" s="307"/>
      <c r="W222" s="307"/>
    </row>
    <row r="223" ht="15.75" customHeight="1">
      <c r="A223" s="423"/>
      <c r="B223" s="423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57"/>
      <c r="O223" s="307"/>
      <c r="P223" s="307"/>
      <c r="Q223" s="307"/>
      <c r="R223" s="364"/>
      <c r="S223" s="307"/>
      <c r="T223" s="307"/>
      <c r="U223" s="307"/>
      <c r="V223" s="307"/>
      <c r="W223" s="307"/>
    </row>
    <row r="224" ht="15.75" customHeight="1">
      <c r="A224" s="423"/>
      <c r="B224" s="423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57"/>
      <c r="O224" s="307"/>
      <c r="P224" s="307"/>
      <c r="Q224" s="307"/>
      <c r="R224" s="364"/>
      <c r="S224" s="307"/>
      <c r="T224" s="307"/>
      <c r="U224" s="307"/>
      <c r="V224" s="307"/>
      <c r="W224" s="307"/>
    </row>
    <row r="225" ht="15.75" customHeight="1">
      <c r="A225" s="423"/>
      <c r="B225" s="423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57"/>
      <c r="O225" s="307"/>
      <c r="P225" s="307"/>
      <c r="Q225" s="307"/>
      <c r="R225" s="364"/>
      <c r="S225" s="307"/>
      <c r="T225" s="307"/>
      <c r="U225" s="307"/>
      <c r="V225" s="307"/>
      <c r="W225" s="307"/>
    </row>
    <row r="226" ht="15.75" customHeight="1">
      <c r="A226" s="423"/>
      <c r="B226" s="423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57"/>
      <c r="O226" s="307"/>
      <c r="P226" s="307"/>
      <c r="Q226" s="307"/>
      <c r="R226" s="364"/>
      <c r="S226" s="307"/>
      <c r="T226" s="307"/>
      <c r="U226" s="307"/>
      <c r="V226" s="307"/>
      <c r="W226" s="307"/>
    </row>
    <row r="227" ht="15.75" customHeight="1">
      <c r="A227" s="423"/>
      <c r="B227" s="423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57"/>
      <c r="O227" s="307"/>
      <c r="P227" s="307"/>
      <c r="Q227" s="307"/>
      <c r="R227" s="364"/>
      <c r="S227" s="307"/>
      <c r="T227" s="307"/>
      <c r="U227" s="307"/>
      <c r="V227" s="307"/>
      <c r="W227" s="307"/>
    </row>
    <row r="228" ht="15.75" customHeight="1">
      <c r="A228" s="423"/>
      <c r="B228" s="423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57"/>
      <c r="O228" s="307"/>
      <c r="P228" s="307"/>
      <c r="Q228" s="307"/>
      <c r="R228" s="364"/>
      <c r="S228" s="307"/>
      <c r="T228" s="307"/>
      <c r="U228" s="307"/>
      <c r="V228" s="307"/>
      <c r="W228" s="307"/>
    </row>
    <row r="229" ht="15.75" customHeight="1">
      <c r="A229" s="423"/>
      <c r="B229" s="423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57"/>
      <c r="O229" s="307"/>
      <c r="P229" s="307"/>
      <c r="Q229" s="307"/>
      <c r="R229" s="364"/>
      <c r="S229" s="307"/>
      <c r="T229" s="307"/>
      <c r="U229" s="307"/>
      <c r="V229" s="307"/>
      <c r="W229" s="307"/>
    </row>
    <row r="230" ht="15.75" customHeight="1">
      <c r="A230" s="423"/>
      <c r="B230" s="423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57"/>
      <c r="O230" s="307"/>
      <c r="P230" s="307"/>
      <c r="Q230" s="307"/>
      <c r="R230" s="364"/>
      <c r="S230" s="307"/>
      <c r="T230" s="307"/>
      <c r="U230" s="307"/>
      <c r="V230" s="307"/>
      <c r="W230" s="307"/>
    </row>
    <row r="231" ht="15.75" customHeight="1">
      <c r="A231" s="423"/>
      <c r="B231" s="423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57"/>
      <c r="O231" s="307"/>
      <c r="P231" s="307"/>
      <c r="Q231" s="307"/>
      <c r="R231" s="364"/>
      <c r="S231" s="307"/>
      <c r="T231" s="307"/>
      <c r="U231" s="307"/>
      <c r="V231" s="307"/>
      <c r="W231" s="307"/>
    </row>
    <row r="232" ht="15.75" customHeight="1">
      <c r="A232" s="423"/>
      <c r="B232" s="423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57"/>
      <c r="O232" s="307"/>
      <c r="P232" s="307"/>
      <c r="Q232" s="307"/>
      <c r="R232" s="364"/>
      <c r="S232" s="307"/>
      <c r="T232" s="307"/>
      <c r="U232" s="307"/>
      <c r="V232" s="307"/>
      <c r="W232" s="307"/>
    </row>
    <row r="233" ht="15.75" customHeight="1">
      <c r="A233" s="423"/>
      <c r="B233" s="423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57"/>
      <c r="O233" s="307"/>
      <c r="P233" s="307"/>
      <c r="Q233" s="307"/>
      <c r="R233" s="364"/>
      <c r="S233" s="307"/>
      <c r="T233" s="307"/>
      <c r="U233" s="307"/>
      <c r="V233" s="307"/>
      <c r="W233" s="307"/>
    </row>
    <row r="234" ht="15.75" customHeight="1">
      <c r="A234" s="423"/>
      <c r="B234" s="423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57"/>
      <c r="O234" s="307"/>
      <c r="P234" s="307"/>
      <c r="Q234" s="307"/>
      <c r="R234" s="364"/>
      <c r="S234" s="307"/>
      <c r="T234" s="307"/>
      <c r="U234" s="307"/>
      <c r="V234" s="307"/>
      <c r="W234" s="307"/>
    </row>
    <row r="235" ht="15.75" customHeight="1">
      <c r="A235" s="423"/>
      <c r="B235" s="423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57"/>
      <c r="O235" s="307"/>
      <c r="P235" s="307"/>
      <c r="Q235" s="307"/>
      <c r="R235" s="364"/>
      <c r="S235" s="307"/>
      <c r="T235" s="307"/>
      <c r="U235" s="307"/>
      <c r="V235" s="307"/>
      <c r="W235" s="307"/>
    </row>
    <row r="236" ht="15.75" customHeight="1">
      <c r="A236" s="423"/>
      <c r="B236" s="423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57"/>
      <c r="O236" s="307"/>
      <c r="P236" s="307"/>
      <c r="Q236" s="307"/>
      <c r="R236" s="364"/>
      <c r="S236" s="307"/>
      <c r="T236" s="307"/>
      <c r="U236" s="307"/>
      <c r="V236" s="307"/>
      <c r="W236" s="307"/>
    </row>
    <row r="237" ht="15.75" customHeight="1">
      <c r="A237" s="423"/>
      <c r="B237" s="423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57"/>
      <c r="O237" s="307"/>
      <c r="P237" s="307"/>
      <c r="Q237" s="307"/>
      <c r="R237" s="364"/>
      <c r="S237" s="307"/>
      <c r="T237" s="307"/>
      <c r="U237" s="307"/>
      <c r="V237" s="307"/>
      <c r="W237" s="307"/>
    </row>
    <row r="238" ht="15.75" customHeight="1">
      <c r="A238" s="423"/>
      <c r="B238" s="423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57"/>
      <c r="O238" s="307"/>
      <c r="P238" s="307"/>
      <c r="Q238" s="307"/>
      <c r="R238" s="364"/>
      <c r="S238" s="307"/>
      <c r="T238" s="307"/>
      <c r="U238" s="307"/>
      <c r="V238" s="307"/>
      <c r="W238" s="307"/>
    </row>
    <row r="239" ht="15.75" customHeight="1">
      <c r="A239" s="423"/>
      <c r="B239" s="423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57"/>
      <c r="O239" s="307"/>
      <c r="P239" s="307"/>
      <c r="Q239" s="307"/>
      <c r="R239" s="364"/>
      <c r="S239" s="307"/>
      <c r="T239" s="307"/>
      <c r="U239" s="307"/>
      <c r="V239" s="307"/>
      <c r="W239" s="307"/>
    </row>
    <row r="240" ht="15.75" customHeight="1">
      <c r="A240" s="423"/>
      <c r="B240" s="423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57"/>
      <c r="O240" s="307"/>
      <c r="P240" s="307"/>
      <c r="Q240" s="307"/>
      <c r="R240" s="364"/>
      <c r="S240" s="307"/>
      <c r="T240" s="307"/>
      <c r="U240" s="307"/>
      <c r="V240" s="307"/>
      <c r="W240" s="307"/>
    </row>
    <row r="241" ht="15.75" customHeight="1">
      <c r="A241" s="423"/>
      <c r="B241" s="423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57"/>
      <c r="O241" s="307"/>
      <c r="P241" s="307"/>
      <c r="Q241" s="307"/>
      <c r="R241" s="364"/>
      <c r="S241" s="307"/>
      <c r="T241" s="307"/>
      <c r="U241" s="307"/>
      <c r="V241" s="307"/>
      <c r="W241" s="307"/>
    </row>
    <row r="242" ht="15.75" customHeight="1">
      <c r="A242" s="423"/>
      <c r="B242" s="423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57"/>
      <c r="O242" s="307"/>
      <c r="P242" s="307"/>
      <c r="Q242" s="307"/>
      <c r="R242" s="364"/>
      <c r="S242" s="307"/>
      <c r="T242" s="307"/>
      <c r="U242" s="307"/>
      <c r="V242" s="307"/>
      <c r="W242" s="307"/>
    </row>
    <row r="243" ht="15.75" customHeight="1">
      <c r="A243" s="423"/>
      <c r="B243" s="423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57"/>
      <c r="O243" s="307"/>
      <c r="P243" s="307"/>
      <c r="Q243" s="307"/>
      <c r="R243" s="364"/>
      <c r="S243" s="307"/>
      <c r="T243" s="307"/>
      <c r="U243" s="307"/>
      <c r="V243" s="307"/>
      <c r="W243" s="307"/>
    </row>
    <row r="244" ht="15.75" customHeight="1">
      <c r="A244" s="423"/>
      <c r="B244" s="423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57"/>
      <c r="O244" s="307"/>
      <c r="P244" s="307"/>
      <c r="Q244" s="307"/>
      <c r="R244" s="364"/>
      <c r="S244" s="307"/>
      <c r="T244" s="307"/>
      <c r="U244" s="307"/>
      <c r="V244" s="307"/>
      <c r="W244" s="307"/>
    </row>
    <row r="245" ht="15.75" customHeight="1">
      <c r="A245" s="423"/>
      <c r="B245" s="423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57"/>
      <c r="O245" s="307"/>
      <c r="P245" s="307"/>
      <c r="Q245" s="307"/>
      <c r="R245" s="364"/>
      <c r="S245" s="307"/>
      <c r="T245" s="307"/>
      <c r="U245" s="307"/>
      <c r="V245" s="307"/>
      <c r="W245" s="307"/>
    </row>
    <row r="246" ht="15.75" customHeight="1">
      <c r="A246" s="423"/>
      <c r="B246" s="423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57"/>
      <c r="O246" s="307"/>
      <c r="P246" s="307"/>
      <c r="Q246" s="307"/>
      <c r="R246" s="364"/>
      <c r="S246" s="307"/>
      <c r="T246" s="307"/>
      <c r="U246" s="307"/>
      <c r="V246" s="307"/>
      <c r="W246" s="307"/>
    </row>
    <row r="247" ht="15.75" customHeight="1">
      <c r="A247" s="423"/>
      <c r="B247" s="423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57"/>
      <c r="O247" s="307"/>
      <c r="P247" s="307"/>
      <c r="Q247" s="307"/>
      <c r="R247" s="364"/>
      <c r="S247" s="307"/>
      <c r="T247" s="307"/>
      <c r="U247" s="307"/>
      <c r="V247" s="307"/>
      <c r="W247" s="307"/>
    </row>
    <row r="248" ht="15.75" customHeight="1">
      <c r="A248" s="423"/>
      <c r="B248" s="423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57"/>
      <c r="O248" s="307"/>
      <c r="P248" s="307"/>
      <c r="Q248" s="307"/>
      <c r="R248" s="364"/>
      <c r="S248" s="307"/>
      <c r="T248" s="307"/>
      <c r="U248" s="307"/>
      <c r="V248" s="307"/>
      <c r="W248" s="307"/>
    </row>
    <row r="249" ht="15.75" customHeight="1">
      <c r="A249" s="423"/>
      <c r="B249" s="423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57"/>
      <c r="O249" s="307"/>
      <c r="P249" s="307"/>
      <c r="Q249" s="307"/>
      <c r="R249" s="364"/>
      <c r="S249" s="307"/>
      <c r="T249" s="307"/>
      <c r="U249" s="307"/>
      <c r="V249" s="307"/>
      <c r="W249" s="307"/>
    </row>
    <row r="250" ht="15.75" customHeight="1">
      <c r="A250" s="423"/>
      <c r="B250" s="423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57"/>
      <c r="O250" s="307"/>
      <c r="P250" s="307"/>
      <c r="Q250" s="307"/>
      <c r="R250" s="364"/>
      <c r="S250" s="307"/>
      <c r="T250" s="307"/>
      <c r="U250" s="307"/>
      <c r="V250" s="307"/>
      <c r="W250" s="307"/>
    </row>
    <row r="251" ht="15.75" customHeight="1">
      <c r="A251" s="423"/>
      <c r="B251" s="423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57"/>
      <c r="O251" s="307"/>
      <c r="P251" s="307"/>
      <c r="Q251" s="307"/>
      <c r="R251" s="364"/>
      <c r="S251" s="307"/>
      <c r="T251" s="307"/>
      <c r="U251" s="307"/>
      <c r="V251" s="307"/>
      <c r="W251" s="307"/>
    </row>
    <row r="252" ht="15.75" customHeight="1">
      <c r="A252" s="423"/>
      <c r="B252" s="423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57"/>
      <c r="O252" s="307"/>
      <c r="P252" s="307"/>
      <c r="Q252" s="307"/>
      <c r="R252" s="364"/>
      <c r="S252" s="307"/>
      <c r="T252" s="307"/>
      <c r="U252" s="307"/>
      <c r="V252" s="307"/>
      <c r="W252" s="307"/>
    </row>
    <row r="253" ht="15.75" customHeight="1">
      <c r="A253" s="423"/>
      <c r="B253" s="423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57"/>
      <c r="O253" s="307"/>
      <c r="P253" s="307"/>
      <c r="Q253" s="307"/>
      <c r="R253" s="364"/>
      <c r="S253" s="307"/>
      <c r="T253" s="307"/>
      <c r="U253" s="307"/>
      <c r="V253" s="307"/>
      <c r="W253" s="307"/>
    </row>
    <row r="254" ht="15.75" customHeight="1">
      <c r="A254" s="423"/>
      <c r="B254" s="423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57"/>
      <c r="O254" s="307"/>
      <c r="P254" s="307"/>
      <c r="Q254" s="307"/>
      <c r="R254" s="364"/>
      <c r="S254" s="307"/>
      <c r="T254" s="307"/>
      <c r="U254" s="307"/>
      <c r="V254" s="307"/>
      <c r="W254" s="307"/>
    </row>
    <row r="255" ht="15.75" customHeight="1">
      <c r="A255" s="423"/>
      <c r="B255" s="423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57"/>
      <c r="O255" s="307"/>
      <c r="P255" s="307"/>
      <c r="Q255" s="307"/>
      <c r="R255" s="364"/>
      <c r="S255" s="307"/>
      <c r="T255" s="307"/>
      <c r="U255" s="307"/>
      <c r="V255" s="307"/>
      <c r="W255" s="307"/>
    </row>
    <row r="256" ht="15.75" customHeight="1">
      <c r="A256" s="423"/>
      <c r="B256" s="423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57"/>
      <c r="O256" s="307"/>
      <c r="P256" s="307"/>
      <c r="Q256" s="307"/>
      <c r="R256" s="364"/>
      <c r="S256" s="307"/>
      <c r="T256" s="307"/>
      <c r="U256" s="307"/>
      <c r="V256" s="307"/>
      <c r="W256" s="307"/>
    </row>
    <row r="257" ht="15.75" customHeight="1">
      <c r="A257" s="423"/>
      <c r="B257" s="423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57"/>
      <c r="O257" s="307"/>
      <c r="P257" s="307"/>
      <c r="Q257" s="307"/>
      <c r="R257" s="364"/>
      <c r="S257" s="307"/>
      <c r="T257" s="307"/>
      <c r="U257" s="307"/>
      <c r="V257" s="307"/>
      <c r="W257" s="307"/>
    </row>
    <row r="258" ht="15.75" customHeight="1">
      <c r="A258" s="423"/>
      <c r="B258" s="423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57"/>
      <c r="O258" s="307"/>
      <c r="P258" s="307"/>
      <c r="Q258" s="307"/>
      <c r="R258" s="364"/>
      <c r="S258" s="307"/>
      <c r="T258" s="307"/>
      <c r="U258" s="307"/>
      <c r="V258" s="307"/>
      <c r="W258" s="307"/>
    </row>
    <row r="259" ht="15.75" customHeight="1">
      <c r="A259" s="423"/>
      <c r="B259" s="423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57"/>
      <c r="O259" s="307"/>
      <c r="P259" s="307"/>
      <c r="Q259" s="307"/>
      <c r="R259" s="364"/>
      <c r="S259" s="307"/>
      <c r="T259" s="307"/>
      <c r="U259" s="307"/>
      <c r="V259" s="307"/>
      <c r="W259" s="307"/>
    </row>
    <row r="260" ht="15.75" customHeight="1">
      <c r="A260" s="423"/>
      <c r="B260" s="423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57"/>
      <c r="O260" s="307"/>
      <c r="P260" s="307"/>
      <c r="Q260" s="307"/>
      <c r="R260" s="364"/>
      <c r="S260" s="307"/>
      <c r="T260" s="307"/>
      <c r="U260" s="307"/>
      <c r="V260" s="307"/>
      <c r="W260" s="307"/>
    </row>
    <row r="261" ht="15.75" customHeight="1">
      <c r="A261" s="423"/>
      <c r="B261" s="423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57"/>
      <c r="O261" s="307"/>
      <c r="P261" s="307"/>
      <c r="Q261" s="307"/>
      <c r="R261" s="364"/>
      <c r="S261" s="307"/>
      <c r="T261" s="307"/>
      <c r="U261" s="307"/>
      <c r="V261" s="307"/>
      <c r="W261" s="307"/>
    </row>
    <row r="262" ht="15.75" customHeight="1">
      <c r="A262" s="423"/>
      <c r="B262" s="423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57"/>
      <c r="O262" s="307"/>
      <c r="P262" s="307"/>
      <c r="Q262" s="307"/>
      <c r="R262" s="364"/>
      <c r="S262" s="307"/>
      <c r="T262" s="307"/>
      <c r="U262" s="307"/>
      <c r="V262" s="307"/>
      <c r="W262" s="307"/>
    </row>
    <row r="263" ht="15.75" customHeight="1">
      <c r="A263" s="423"/>
      <c r="B263" s="423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57"/>
      <c r="O263" s="307"/>
      <c r="P263" s="307"/>
      <c r="Q263" s="307"/>
      <c r="R263" s="364"/>
      <c r="S263" s="307"/>
      <c r="T263" s="307"/>
      <c r="U263" s="307"/>
      <c r="V263" s="307"/>
      <c r="W263" s="307"/>
    </row>
    <row r="264" ht="15.75" customHeight="1">
      <c r="A264" s="423"/>
      <c r="B264" s="423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57"/>
      <c r="O264" s="307"/>
      <c r="P264" s="307"/>
      <c r="Q264" s="307"/>
      <c r="R264" s="364"/>
      <c r="S264" s="307"/>
      <c r="T264" s="307"/>
      <c r="U264" s="307"/>
      <c r="V264" s="307"/>
      <c r="W264" s="307"/>
    </row>
    <row r="265" ht="15.75" customHeight="1">
      <c r="A265" s="423"/>
      <c r="B265" s="423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57"/>
      <c r="O265" s="307"/>
      <c r="P265" s="307"/>
      <c r="Q265" s="307"/>
      <c r="R265" s="364"/>
      <c r="S265" s="307"/>
      <c r="T265" s="307"/>
      <c r="U265" s="307"/>
      <c r="V265" s="307"/>
      <c r="W265" s="307"/>
    </row>
    <row r="266" ht="15.75" customHeight="1">
      <c r="A266" s="423"/>
      <c r="B266" s="423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57"/>
      <c r="O266" s="307"/>
      <c r="P266" s="307"/>
      <c r="Q266" s="307"/>
      <c r="R266" s="364"/>
      <c r="S266" s="307"/>
      <c r="T266" s="307"/>
      <c r="U266" s="307"/>
      <c r="V266" s="307"/>
      <c r="W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57"/>
      <c r="O267" s="307"/>
      <c r="P267" s="307"/>
      <c r="Q267" s="307"/>
      <c r="R267" s="364"/>
      <c r="S267" s="307"/>
      <c r="T267" s="307"/>
      <c r="U267" s="307"/>
      <c r="V267" s="307"/>
      <c r="W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57"/>
      <c r="O268" s="307"/>
      <c r="P268" s="307"/>
      <c r="Q268" s="307"/>
      <c r="R268" s="364"/>
      <c r="S268" s="307"/>
      <c r="T268" s="307"/>
      <c r="U268" s="307"/>
      <c r="V268" s="307"/>
      <c r="W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57"/>
      <c r="O269" s="307"/>
      <c r="P269" s="307"/>
      <c r="Q269" s="307"/>
      <c r="R269" s="364"/>
      <c r="S269" s="307"/>
      <c r="T269" s="307"/>
      <c r="U269" s="307"/>
      <c r="V269" s="307"/>
      <c r="W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57"/>
      <c r="O270" s="307"/>
      <c r="P270" s="307"/>
      <c r="Q270" s="441"/>
      <c r="R270" s="362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57"/>
      <c r="O271" s="307"/>
      <c r="P271" s="307"/>
      <c r="Q271" s="441"/>
      <c r="R271" s="362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57"/>
      <c r="O272" s="307"/>
      <c r="P272" s="307"/>
      <c r="Q272" s="441"/>
      <c r="R272" s="362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57"/>
      <c r="O273" s="307"/>
      <c r="P273" s="307"/>
      <c r="Q273" s="441"/>
      <c r="R273" s="362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57"/>
      <c r="O274" s="307"/>
      <c r="P274" s="307"/>
      <c r="Q274" s="441"/>
      <c r="R274" s="362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57"/>
      <c r="O275" s="307"/>
      <c r="P275" s="307"/>
      <c r="Q275" s="441"/>
      <c r="R275" s="362"/>
    </row>
    <row r="276" ht="14.25" customHeight="1">
      <c r="Q276" s="441"/>
      <c r="R276" s="362"/>
    </row>
    <row r="277" ht="14.25" customHeight="1">
      <c r="Q277" s="441"/>
      <c r="R277" s="362"/>
    </row>
    <row r="278" ht="14.25" customHeight="1">
      <c r="Q278" s="441"/>
      <c r="R278" s="362"/>
    </row>
    <row r="279" ht="14.25" customHeight="1">
      <c r="Q279" s="441"/>
      <c r="R279" s="362"/>
    </row>
    <row r="280" ht="14.25" customHeight="1">
      <c r="Q280" s="441"/>
      <c r="R280" s="362"/>
    </row>
    <row r="281" ht="14.25" customHeight="1">
      <c r="Q281" s="441"/>
      <c r="R281" s="362"/>
    </row>
    <row r="282" ht="14.25" customHeight="1">
      <c r="Q282" s="441"/>
      <c r="R282" s="362"/>
    </row>
    <row r="283" ht="14.25" customHeight="1">
      <c r="Q283" s="441"/>
      <c r="R283" s="362"/>
    </row>
    <row r="284" ht="14.25" customHeight="1">
      <c r="Q284" s="441"/>
      <c r="R284" s="362"/>
    </row>
    <row r="285" ht="14.25" customHeight="1">
      <c r="Q285" s="441"/>
      <c r="R285" s="362"/>
    </row>
    <row r="286" ht="14.25" customHeight="1">
      <c r="Q286" s="441"/>
      <c r="R286" s="362"/>
    </row>
    <row r="287" ht="14.25" customHeight="1">
      <c r="Q287" s="441"/>
      <c r="R287" s="362"/>
    </row>
    <row r="288" ht="14.25" customHeight="1">
      <c r="Q288" s="441"/>
      <c r="R288" s="362"/>
    </row>
    <row r="289" ht="14.25" customHeight="1">
      <c r="Q289" s="441"/>
      <c r="R289" s="362"/>
    </row>
    <row r="290" ht="14.25" customHeight="1">
      <c r="Q290" s="441"/>
      <c r="R290" s="362"/>
    </row>
    <row r="291" ht="14.25" customHeight="1">
      <c r="Q291" s="441"/>
      <c r="R291" s="362"/>
    </row>
    <row r="292" ht="14.25" customHeight="1">
      <c r="Q292" s="441"/>
      <c r="R292" s="362"/>
    </row>
    <row r="293" ht="14.25" customHeight="1">
      <c r="Q293" s="441"/>
      <c r="R293" s="362"/>
    </row>
    <row r="294" ht="14.25" customHeight="1">
      <c r="Q294" s="441"/>
      <c r="R294" s="362"/>
    </row>
    <row r="295" ht="14.25" customHeight="1">
      <c r="Q295" s="441"/>
      <c r="R295" s="362"/>
    </row>
    <row r="296" ht="14.25" customHeight="1">
      <c r="Q296" s="441"/>
      <c r="R296" s="362"/>
    </row>
    <row r="297" ht="14.25" customHeight="1">
      <c r="Q297" s="441"/>
      <c r="R297" s="362"/>
    </row>
    <row r="298" ht="14.25" customHeight="1">
      <c r="Q298" s="441"/>
      <c r="R298" s="362"/>
    </row>
    <row r="299" ht="14.25" customHeight="1">
      <c r="Q299" s="441"/>
      <c r="R299" s="362"/>
    </row>
    <row r="300" ht="14.25" customHeight="1">
      <c r="Q300" s="441"/>
      <c r="R300" s="362"/>
    </row>
    <row r="301" ht="14.25" customHeight="1">
      <c r="Q301" s="441"/>
      <c r="R301" s="362"/>
    </row>
    <row r="302" ht="14.25" customHeight="1">
      <c r="Q302" s="441"/>
      <c r="R302" s="362"/>
    </row>
    <row r="303" ht="14.25" customHeight="1">
      <c r="Q303" s="441"/>
      <c r="R303" s="362"/>
    </row>
    <row r="304" ht="14.25" customHeight="1">
      <c r="Q304" s="441"/>
      <c r="R304" s="362"/>
    </row>
    <row r="305" ht="14.25" customHeight="1">
      <c r="Q305" s="441"/>
      <c r="R305" s="362"/>
    </row>
    <row r="306" ht="14.25" customHeight="1">
      <c r="Q306" s="441"/>
      <c r="R306" s="362"/>
    </row>
    <row r="307" ht="14.25" customHeight="1">
      <c r="Q307" s="441"/>
      <c r="R307" s="362"/>
    </row>
    <row r="308" ht="14.25" customHeight="1">
      <c r="Q308" s="441"/>
      <c r="R308" s="362"/>
    </row>
    <row r="309" ht="14.25" customHeight="1">
      <c r="Q309" s="441"/>
      <c r="R309" s="362"/>
    </row>
    <row r="310" ht="14.25" customHeight="1">
      <c r="Q310" s="441"/>
      <c r="R310" s="362"/>
    </row>
    <row r="311" ht="14.25" customHeight="1">
      <c r="Q311" s="441"/>
      <c r="R311" s="362"/>
    </row>
    <row r="312" ht="14.25" customHeight="1">
      <c r="Q312" s="441"/>
      <c r="R312" s="362"/>
    </row>
    <row r="313" ht="14.25" customHeight="1">
      <c r="Q313" s="441"/>
      <c r="R313" s="362"/>
    </row>
    <row r="314" ht="14.25" customHeight="1">
      <c r="Q314" s="441"/>
      <c r="R314" s="362"/>
    </row>
    <row r="315" ht="14.25" customHeight="1">
      <c r="Q315" s="441"/>
      <c r="R315" s="362"/>
    </row>
    <row r="316" ht="14.25" customHeight="1">
      <c r="Q316" s="441"/>
      <c r="R316" s="362"/>
    </row>
    <row r="317" ht="14.25" customHeight="1">
      <c r="Q317" s="441"/>
      <c r="R317" s="362"/>
    </row>
    <row r="318" ht="14.25" customHeight="1">
      <c r="Q318" s="441"/>
      <c r="R318" s="362"/>
    </row>
    <row r="319" ht="14.25" customHeight="1">
      <c r="Q319" s="441"/>
      <c r="R319" s="362"/>
    </row>
    <row r="320" ht="14.25" customHeight="1">
      <c r="Q320" s="441"/>
      <c r="R320" s="362"/>
    </row>
    <row r="321" ht="14.25" customHeight="1">
      <c r="Q321" s="441"/>
      <c r="R321" s="362"/>
    </row>
    <row r="322" ht="14.25" customHeight="1">
      <c r="Q322" s="441"/>
      <c r="R322" s="362"/>
    </row>
    <row r="323" ht="14.25" customHeight="1">
      <c r="Q323" s="441"/>
      <c r="R323" s="362"/>
    </row>
    <row r="324" ht="14.25" customHeight="1">
      <c r="Q324" s="441"/>
      <c r="R324" s="362"/>
    </row>
    <row r="325" ht="14.25" customHeight="1">
      <c r="Q325" s="441"/>
      <c r="R325" s="362"/>
    </row>
    <row r="326" ht="14.25" customHeight="1">
      <c r="Q326" s="441"/>
      <c r="R326" s="362"/>
    </row>
    <row r="327" ht="14.25" customHeight="1">
      <c r="Q327" s="441"/>
      <c r="R327" s="362"/>
    </row>
    <row r="328" ht="14.25" customHeight="1">
      <c r="Q328" s="441"/>
      <c r="R328" s="362"/>
    </row>
    <row r="329" ht="14.25" customHeight="1">
      <c r="Q329" s="441"/>
      <c r="R329" s="362"/>
    </row>
    <row r="330" ht="14.25" customHeight="1">
      <c r="Q330" s="441"/>
      <c r="R330" s="362"/>
    </row>
    <row r="331" ht="14.25" customHeight="1">
      <c r="Q331" s="441"/>
      <c r="R331" s="362"/>
    </row>
    <row r="332" ht="14.25" customHeight="1">
      <c r="Q332" s="441"/>
      <c r="R332" s="362"/>
    </row>
    <row r="333" ht="14.25" customHeight="1">
      <c r="Q333" s="441"/>
      <c r="R333" s="362"/>
    </row>
    <row r="334" ht="14.25" customHeight="1">
      <c r="Q334" s="441"/>
      <c r="R334" s="362"/>
    </row>
    <row r="335" ht="14.25" customHeight="1">
      <c r="Q335" s="441"/>
      <c r="R335" s="362"/>
    </row>
    <row r="336" ht="14.25" customHeight="1">
      <c r="Q336" s="441"/>
      <c r="R336" s="362"/>
    </row>
    <row r="337" ht="14.25" customHeight="1">
      <c r="Q337" s="441"/>
      <c r="R337" s="362"/>
    </row>
    <row r="338" ht="14.25" customHeight="1">
      <c r="Q338" s="441"/>
      <c r="R338" s="362"/>
    </row>
    <row r="339" ht="14.25" customHeight="1">
      <c r="Q339" s="441"/>
      <c r="R339" s="362"/>
    </row>
    <row r="340" ht="14.25" customHeight="1">
      <c r="Q340" s="441"/>
      <c r="R340" s="362"/>
    </row>
    <row r="341" ht="14.25" customHeight="1">
      <c r="Q341" s="441"/>
      <c r="R341" s="362"/>
    </row>
    <row r="342" ht="14.25" customHeight="1">
      <c r="Q342" s="441"/>
      <c r="R342" s="362"/>
    </row>
    <row r="343" ht="14.25" customHeight="1">
      <c r="Q343" s="441"/>
      <c r="R343" s="362"/>
    </row>
    <row r="344" ht="14.25" customHeight="1">
      <c r="Q344" s="441"/>
      <c r="R344" s="362"/>
    </row>
    <row r="345" ht="14.25" customHeight="1">
      <c r="Q345" s="441"/>
      <c r="R345" s="362"/>
    </row>
    <row r="346" ht="14.25" customHeight="1">
      <c r="Q346" s="441"/>
      <c r="R346" s="362"/>
    </row>
    <row r="347" ht="14.25" customHeight="1">
      <c r="Q347" s="441"/>
      <c r="R347" s="362"/>
    </row>
    <row r="348" ht="14.25" customHeight="1">
      <c r="Q348" s="441"/>
      <c r="R348" s="362"/>
    </row>
    <row r="349" ht="14.25" customHeight="1">
      <c r="Q349" s="441"/>
      <c r="R349" s="362"/>
    </row>
    <row r="350" ht="14.25" customHeight="1">
      <c r="Q350" s="441"/>
      <c r="R350" s="362"/>
    </row>
    <row r="351" ht="14.25" customHeight="1">
      <c r="Q351" s="441"/>
      <c r="R351" s="362"/>
    </row>
    <row r="352" ht="14.25" customHeight="1">
      <c r="Q352" s="441"/>
      <c r="R352" s="362"/>
    </row>
    <row r="353" ht="14.25" customHeight="1">
      <c r="Q353" s="441"/>
      <c r="R353" s="362"/>
    </row>
    <row r="354" ht="14.25" customHeight="1">
      <c r="Q354" s="441"/>
      <c r="R354" s="362"/>
    </row>
    <row r="355" ht="14.25" customHeight="1">
      <c r="Q355" s="441"/>
      <c r="R355" s="362"/>
    </row>
    <row r="356" ht="14.25" customHeight="1">
      <c r="Q356" s="441"/>
      <c r="R356" s="362"/>
    </row>
    <row r="357" ht="14.25" customHeight="1">
      <c r="Q357" s="441"/>
      <c r="R357" s="362"/>
    </row>
    <row r="358" ht="14.25" customHeight="1">
      <c r="Q358" s="441"/>
      <c r="R358" s="362"/>
    </row>
    <row r="359" ht="14.25" customHeight="1">
      <c r="Q359" s="441"/>
      <c r="R359" s="362"/>
    </row>
    <row r="360" ht="14.25" customHeight="1">
      <c r="Q360" s="441"/>
      <c r="R360" s="362"/>
    </row>
    <row r="361" ht="14.25" customHeight="1">
      <c r="Q361" s="441"/>
      <c r="R361" s="362"/>
    </row>
    <row r="362" ht="14.25" customHeight="1">
      <c r="Q362" s="441"/>
      <c r="R362" s="362"/>
    </row>
    <row r="363" ht="14.25" customHeight="1">
      <c r="Q363" s="441"/>
      <c r="R363" s="362"/>
    </row>
    <row r="364" ht="14.25" customHeight="1">
      <c r="Q364" s="441"/>
      <c r="R364" s="362"/>
    </row>
    <row r="365" ht="14.25" customHeight="1">
      <c r="Q365" s="441"/>
      <c r="R365" s="362"/>
    </row>
    <row r="366" ht="14.25" customHeight="1">
      <c r="Q366" s="441"/>
      <c r="R366" s="362"/>
    </row>
    <row r="367" ht="14.25" customHeight="1">
      <c r="Q367" s="441"/>
      <c r="R367" s="362"/>
    </row>
    <row r="368" ht="14.25" customHeight="1">
      <c r="Q368" s="441"/>
      <c r="R368" s="362"/>
    </row>
    <row r="369" ht="14.25" customHeight="1">
      <c r="Q369" s="441"/>
      <c r="R369" s="362"/>
    </row>
    <row r="370" ht="14.25" customHeight="1">
      <c r="Q370" s="441"/>
      <c r="R370" s="362"/>
    </row>
    <row r="371" ht="14.25" customHeight="1">
      <c r="Q371" s="441"/>
      <c r="R371" s="362"/>
    </row>
    <row r="372" ht="14.25" customHeight="1">
      <c r="Q372" s="441"/>
      <c r="R372" s="362"/>
    </row>
    <row r="373" ht="14.25" customHeight="1">
      <c r="Q373" s="441"/>
      <c r="R373" s="362"/>
    </row>
    <row r="374" ht="14.25" customHeight="1">
      <c r="Q374" s="441"/>
      <c r="R374" s="362"/>
    </row>
    <row r="375" ht="14.25" customHeight="1">
      <c r="Q375" s="441"/>
      <c r="R375" s="362"/>
    </row>
    <row r="376" ht="14.25" customHeight="1">
      <c r="Q376" s="441"/>
      <c r="R376" s="362"/>
    </row>
    <row r="377" ht="14.25" customHeight="1">
      <c r="Q377" s="441"/>
      <c r="R377" s="362"/>
    </row>
    <row r="378" ht="14.25" customHeight="1">
      <c r="Q378" s="441"/>
      <c r="R378" s="362"/>
    </row>
    <row r="379" ht="14.25" customHeight="1">
      <c r="Q379" s="441"/>
      <c r="R379" s="362"/>
    </row>
    <row r="380" ht="14.25" customHeight="1">
      <c r="Q380" s="441"/>
      <c r="R380" s="362"/>
    </row>
    <row r="381" ht="14.25" customHeight="1">
      <c r="Q381" s="441"/>
      <c r="R381" s="362"/>
    </row>
    <row r="382" ht="14.25" customHeight="1">
      <c r="Q382" s="441"/>
      <c r="R382" s="362"/>
    </row>
    <row r="383" ht="14.25" customHeight="1">
      <c r="Q383" s="441"/>
      <c r="R383" s="362"/>
    </row>
    <row r="384" ht="14.25" customHeight="1">
      <c r="Q384" s="441"/>
      <c r="R384" s="362"/>
    </row>
    <row r="385" ht="14.25" customHeight="1">
      <c r="Q385" s="441"/>
      <c r="R385" s="362"/>
    </row>
    <row r="386" ht="14.25" customHeight="1">
      <c r="Q386" s="441"/>
      <c r="R386" s="362"/>
    </row>
    <row r="387" ht="14.25" customHeight="1">
      <c r="Q387" s="441"/>
      <c r="R387" s="362"/>
    </row>
    <row r="388" ht="14.25" customHeight="1">
      <c r="Q388" s="441"/>
      <c r="R388" s="362"/>
    </row>
    <row r="389" ht="14.25" customHeight="1">
      <c r="Q389" s="441"/>
      <c r="R389" s="362"/>
    </row>
    <row r="390" ht="14.25" customHeight="1">
      <c r="Q390" s="441"/>
      <c r="R390" s="362"/>
    </row>
    <row r="391" ht="14.25" customHeight="1">
      <c r="Q391" s="441"/>
      <c r="R391" s="362"/>
    </row>
    <row r="392" ht="14.25" customHeight="1">
      <c r="Q392" s="441"/>
      <c r="R392" s="362"/>
    </row>
    <row r="393" ht="14.25" customHeight="1">
      <c r="Q393" s="441"/>
      <c r="R393" s="362"/>
    </row>
    <row r="394" ht="14.25" customHeight="1">
      <c r="Q394" s="441"/>
      <c r="R394" s="362"/>
    </row>
    <row r="395" ht="14.25" customHeight="1">
      <c r="Q395" s="441"/>
      <c r="R395" s="362"/>
    </row>
    <row r="396" ht="14.25" customHeight="1">
      <c r="Q396" s="441"/>
      <c r="R396" s="362"/>
    </row>
    <row r="397" ht="14.25" customHeight="1">
      <c r="Q397" s="441"/>
      <c r="R397" s="362"/>
    </row>
    <row r="398" ht="14.25" customHeight="1">
      <c r="Q398" s="441"/>
      <c r="R398" s="362"/>
    </row>
    <row r="399" ht="14.25" customHeight="1">
      <c r="Q399" s="441"/>
      <c r="R399" s="362"/>
    </row>
    <row r="400" ht="14.25" customHeight="1">
      <c r="Q400" s="441"/>
      <c r="R400" s="362"/>
    </row>
    <row r="401" ht="14.25" customHeight="1">
      <c r="Q401" s="441"/>
      <c r="R401" s="362"/>
    </row>
    <row r="402" ht="14.25" customHeight="1">
      <c r="Q402" s="441"/>
      <c r="R402" s="362"/>
    </row>
    <row r="403" ht="14.25" customHeight="1">
      <c r="Q403" s="441"/>
      <c r="R403" s="362"/>
    </row>
    <row r="404" ht="14.25" customHeight="1">
      <c r="Q404" s="441"/>
      <c r="R404" s="362"/>
    </row>
    <row r="405" ht="14.25" customHeight="1">
      <c r="Q405" s="441"/>
      <c r="R405" s="362"/>
    </row>
    <row r="406" ht="14.25" customHeight="1">
      <c r="Q406" s="441"/>
      <c r="R406" s="362"/>
    </row>
    <row r="407" ht="14.25" customHeight="1">
      <c r="Q407" s="441"/>
      <c r="R407" s="362"/>
    </row>
    <row r="408" ht="14.25" customHeight="1">
      <c r="Q408" s="441"/>
      <c r="R408" s="362"/>
    </row>
    <row r="409" ht="14.25" customHeight="1">
      <c r="Q409" s="441"/>
      <c r="R409" s="362"/>
    </row>
    <row r="410" ht="14.25" customHeight="1">
      <c r="Q410" s="441"/>
      <c r="R410" s="362"/>
    </row>
    <row r="411" ht="14.25" customHeight="1">
      <c r="Q411" s="441"/>
      <c r="R411" s="362"/>
    </row>
    <row r="412" ht="14.25" customHeight="1">
      <c r="Q412" s="441"/>
      <c r="R412" s="362"/>
    </row>
    <row r="413" ht="14.25" customHeight="1">
      <c r="Q413" s="441"/>
      <c r="R413" s="362"/>
    </row>
    <row r="414" ht="14.25" customHeight="1">
      <c r="Q414" s="441"/>
      <c r="R414" s="362"/>
    </row>
    <row r="415" ht="14.25" customHeight="1">
      <c r="Q415" s="441"/>
      <c r="R415" s="362"/>
    </row>
    <row r="416" ht="14.25" customHeight="1">
      <c r="Q416" s="441"/>
      <c r="R416" s="362"/>
    </row>
    <row r="417" ht="14.25" customHeight="1">
      <c r="Q417" s="441"/>
      <c r="R417" s="362"/>
    </row>
    <row r="418" ht="14.25" customHeight="1">
      <c r="Q418" s="441"/>
      <c r="R418" s="362"/>
    </row>
    <row r="419" ht="14.25" customHeight="1">
      <c r="Q419" s="441"/>
      <c r="R419" s="362"/>
    </row>
    <row r="420" ht="14.25" customHeight="1">
      <c r="Q420" s="441"/>
      <c r="R420" s="362"/>
    </row>
    <row r="421" ht="14.25" customHeight="1">
      <c r="Q421" s="441"/>
      <c r="R421" s="362"/>
    </row>
    <row r="422" ht="14.25" customHeight="1">
      <c r="Q422" s="441"/>
      <c r="R422" s="362"/>
    </row>
    <row r="423" ht="14.25" customHeight="1">
      <c r="Q423" s="441"/>
      <c r="R423" s="362"/>
    </row>
    <row r="424" ht="14.25" customHeight="1">
      <c r="Q424" s="441"/>
      <c r="R424" s="362"/>
    </row>
    <row r="425" ht="14.25" customHeight="1">
      <c r="Q425" s="441"/>
      <c r="R425" s="362"/>
    </row>
    <row r="426" ht="14.25" customHeight="1">
      <c r="Q426" s="441"/>
      <c r="R426" s="362"/>
    </row>
    <row r="427" ht="14.25" customHeight="1">
      <c r="Q427" s="441"/>
      <c r="R427" s="362"/>
    </row>
    <row r="428" ht="14.25" customHeight="1">
      <c r="Q428" s="441"/>
      <c r="R428" s="362"/>
    </row>
    <row r="429" ht="14.25" customHeight="1">
      <c r="Q429" s="441"/>
      <c r="R429" s="362"/>
    </row>
    <row r="430" ht="14.25" customHeight="1">
      <c r="Q430" s="441"/>
      <c r="R430" s="362"/>
    </row>
    <row r="431" ht="14.25" customHeight="1">
      <c r="Q431" s="441"/>
      <c r="R431" s="362"/>
    </row>
    <row r="432" ht="14.25" customHeight="1">
      <c r="Q432" s="441"/>
      <c r="R432" s="362"/>
    </row>
    <row r="433" ht="14.25" customHeight="1">
      <c r="Q433" s="441"/>
      <c r="R433" s="362"/>
    </row>
    <row r="434" ht="14.25" customHeight="1">
      <c r="Q434" s="441"/>
      <c r="R434" s="362"/>
    </row>
    <row r="435" ht="14.25" customHeight="1">
      <c r="Q435" s="441"/>
      <c r="R435" s="362"/>
    </row>
    <row r="436" ht="14.25" customHeight="1">
      <c r="Q436" s="441"/>
      <c r="R436" s="362"/>
    </row>
    <row r="437" ht="14.25" customHeight="1">
      <c r="Q437" s="441"/>
      <c r="R437" s="362"/>
    </row>
    <row r="438" ht="14.25" customHeight="1">
      <c r="Q438" s="441"/>
      <c r="R438" s="362"/>
    </row>
    <row r="439" ht="14.25" customHeight="1">
      <c r="Q439" s="441"/>
      <c r="R439" s="362"/>
    </row>
    <row r="440" ht="14.25" customHeight="1">
      <c r="Q440" s="441"/>
      <c r="R440" s="362"/>
    </row>
    <row r="441" ht="14.25" customHeight="1">
      <c r="Q441" s="441"/>
      <c r="R441" s="362"/>
    </row>
    <row r="442" ht="14.25" customHeight="1">
      <c r="Q442" s="441"/>
      <c r="R442" s="362"/>
    </row>
    <row r="443" ht="14.25" customHeight="1">
      <c r="Q443" s="441"/>
      <c r="R443" s="362"/>
    </row>
    <row r="444" ht="14.25" customHeight="1">
      <c r="Q444" s="441"/>
      <c r="R444" s="362"/>
    </row>
    <row r="445" ht="14.25" customHeight="1">
      <c r="Q445" s="441"/>
      <c r="R445" s="362"/>
    </row>
    <row r="446" ht="14.25" customHeight="1">
      <c r="Q446" s="441"/>
      <c r="R446" s="362"/>
    </row>
    <row r="447" ht="14.25" customHeight="1">
      <c r="Q447" s="441"/>
      <c r="R447" s="362"/>
    </row>
    <row r="448" ht="14.25" customHeight="1">
      <c r="Q448" s="441"/>
      <c r="R448" s="362"/>
    </row>
    <row r="449" ht="14.25" customHeight="1">
      <c r="Q449" s="441"/>
      <c r="R449" s="362"/>
    </row>
    <row r="450" ht="14.25" customHeight="1">
      <c r="Q450" s="441"/>
      <c r="R450" s="362"/>
    </row>
    <row r="451" ht="14.25" customHeight="1">
      <c r="Q451" s="441"/>
      <c r="R451" s="362"/>
    </row>
    <row r="452" ht="14.25" customHeight="1">
      <c r="Q452" s="441"/>
      <c r="R452" s="362"/>
    </row>
    <row r="453" ht="14.25" customHeight="1">
      <c r="Q453" s="441"/>
      <c r="R453" s="362"/>
    </row>
    <row r="454" ht="14.25" customHeight="1">
      <c r="Q454" s="441"/>
      <c r="R454" s="362"/>
    </row>
    <row r="455" ht="14.25" customHeight="1">
      <c r="Q455" s="441"/>
      <c r="R455" s="362"/>
    </row>
    <row r="456" ht="14.25" customHeight="1">
      <c r="Q456" s="441"/>
      <c r="R456" s="362"/>
    </row>
    <row r="457" ht="14.25" customHeight="1">
      <c r="Q457" s="441"/>
      <c r="R457" s="362"/>
    </row>
    <row r="458" ht="14.25" customHeight="1">
      <c r="Q458" s="441"/>
      <c r="R458" s="362"/>
    </row>
    <row r="459" ht="14.25" customHeight="1">
      <c r="Q459" s="441"/>
      <c r="R459" s="362"/>
    </row>
    <row r="460" ht="14.25" customHeight="1">
      <c r="Q460" s="441"/>
      <c r="R460" s="362"/>
    </row>
    <row r="461" ht="14.25" customHeight="1">
      <c r="Q461" s="441"/>
      <c r="R461" s="362"/>
    </row>
    <row r="462" ht="14.25" customHeight="1">
      <c r="Q462" s="441"/>
      <c r="R462" s="362"/>
    </row>
    <row r="463" ht="14.25" customHeight="1">
      <c r="Q463" s="441"/>
      <c r="R463" s="362"/>
    </row>
    <row r="464" ht="14.25" customHeight="1">
      <c r="Q464" s="441"/>
      <c r="R464" s="362"/>
    </row>
    <row r="465" ht="14.25" customHeight="1">
      <c r="Q465" s="441"/>
      <c r="R465" s="362"/>
    </row>
    <row r="466" ht="14.25" customHeight="1">
      <c r="Q466" s="441"/>
      <c r="R466" s="362"/>
    </row>
    <row r="467" ht="14.25" customHeight="1">
      <c r="Q467" s="441"/>
      <c r="R467" s="362"/>
    </row>
    <row r="468" ht="14.25" customHeight="1">
      <c r="Q468" s="441"/>
      <c r="R468" s="362"/>
    </row>
    <row r="469" ht="14.25" customHeight="1">
      <c r="Q469" s="441"/>
      <c r="R469" s="362"/>
    </row>
    <row r="470" ht="14.25" customHeight="1">
      <c r="Q470" s="441"/>
      <c r="R470" s="362"/>
    </row>
    <row r="471" ht="14.25" customHeight="1">
      <c r="Q471" s="441"/>
      <c r="R471" s="362"/>
    </row>
    <row r="472" ht="14.25" customHeight="1">
      <c r="Q472" s="441"/>
      <c r="R472" s="362"/>
    </row>
    <row r="473" ht="14.25" customHeight="1">
      <c r="Q473" s="441"/>
      <c r="R473" s="362"/>
    </row>
    <row r="474" ht="14.25" customHeight="1">
      <c r="Q474" s="441"/>
      <c r="R474" s="362"/>
    </row>
    <row r="475" ht="14.25" customHeight="1">
      <c r="Q475" s="441"/>
      <c r="R475" s="362"/>
    </row>
    <row r="476" ht="14.25" customHeight="1">
      <c r="Q476" s="441"/>
      <c r="R476" s="362"/>
    </row>
    <row r="477" ht="14.25" customHeight="1">
      <c r="Q477" s="441"/>
      <c r="R477" s="362"/>
    </row>
    <row r="478" ht="14.25" customHeight="1">
      <c r="Q478" s="441"/>
      <c r="R478" s="362"/>
    </row>
    <row r="479" ht="14.25" customHeight="1">
      <c r="Q479" s="441"/>
      <c r="R479" s="362"/>
    </row>
    <row r="480" ht="14.25" customHeight="1">
      <c r="Q480" s="441"/>
      <c r="R480" s="362"/>
    </row>
    <row r="481" ht="14.25" customHeight="1">
      <c r="Q481" s="441"/>
      <c r="R481" s="362"/>
    </row>
    <row r="482" ht="14.25" customHeight="1">
      <c r="Q482" s="441"/>
      <c r="R482" s="362"/>
    </row>
    <row r="483" ht="14.25" customHeight="1">
      <c r="Q483" s="441"/>
      <c r="R483" s="362"/>
    </row>
    <row r="484" ht="14.25" customHeight="1">
      <c r="Q484" s="441"/>
      <c r="R484" s="362"/>
    </row>
    <row r="485" ht="14.25" customHeight="1">
      <c r="Q485" s="441"/>
      <c r="R485" s="362"/>
    </row>
    <row r="486" ht="14.25" customHeight="1">
      <c r="Q486" s="441"/>
      <c r="R486" s="362"/>
    </row>
    <row r="487" ht="14.25" customHeight="1">
      <c r="Q487" s="441"/>
      <c r="R487" s="362"/>
    </row>
    <row r="488" ht="14.25" customHeight="1">
      <c r="Q488" s="441"/>
      <c r="R488" s="362"/>
    </row>
    <row r="489" ht="14.25" customHeight="1">
      <c r="Q489" s="441"/>
      <c r="R489" s="362"/>
    </row>
    <row r="490" ht="14.25" customHeight="1">
      <c r="Q490" s="441"/>
      <c r="R490" s="362"/>
    </row>
    <row r="491" ht="14.25" customHeight="1">
      <c r="Q491" s="441"/>
      <c r="R491" s="362"/>
    </row>
    <row r="492" ht="14.25" customHeight="1">
      <c r="Q492" s="441"/>
      <c r="R492" s="362"/>
    </row>
    <row r="493" ht="14.25" customHeight="1">
      <c r="Q493" s="441"/>
      <c r="R493" s="362"/>
    </row>
    <row r="494" ht="14.25" customHeight="1">
      <c r="Q494" s="441"/>
      <c r="R494" s="362"/>
    </row>
    <row r="495" ht="14.25" customHeight="1">
      <c r="Q495" s="441"/>
      <c r="R495" s="362"/>
    </row>
    <row r="496" ht="14.25" customHeight="1">
      <c r="Q496" s="441"/>
      <c r="R496" s="362"/>
    </row>
    <row r="497" ht="14.25" customHeight="1">
      <c r="Q497" s="441"/>
      <c r="R497" s="362"/>
    </row>
    <row r="498" ht="14.25" customHeight="1">
      <c r="Q498" s="441"/>
      <c r="R498" s="362"/>
    </row>
    <row r="499" ht="14.25" customHeight="1">
      <c r="Q499" s="441"/>
      <c r="R499" s="362"/>
    </row>
    <row r="500" ht="14.25" customHeight="1">
      <c r="Q500" s="441"/>
      <c r="R500" s="362"/>
    </row>
    <row r="501" ht="14.25" customHeight="1">
      <c r="Q501" s="441"/>
      <c r="R501" s="362"/>
    </row>
    <row r="502" ht="14.25" customHeight="1">
      <c r="Q502" s="441"/>
      <c r="R502" s="362"/>
    </row>
    <row r="503" ht="14.25" customHeight="1">
      <c r="Q503" s="441"/>
      <c r="R503" s="362"/>
    </row>
    <row r="504" ht="14.25" customHeight="1">
      <c r="Q504" s="441"/>
      <c r="R504" s="362"/>
    </row>
    <row r="505" ht="14.25" customHeight="1">
      <c r="Q505" s="441"/>
      <c r="R505" s="362"/>
    </row>
    <row r="506" ht="14.25" customHeight="1">
      <c r="Q506" s="441"/>
      <c r="R506" s="362"/>
    </row>
    <row r="507" ht="14.25" customHeight="1">
      <c r="Q507" s="441"/>
      <c r="R507" s="362"/>
    </row>
    <row r="508" ht="14.25" customHeight="1">
      <c r="Q508" s="441"/>
      <c r="R508" s="362"/>
    </row>
    <row r="509" ht="14.25" customHeight="1">
      <c r="Q509" s="441"/>
      <c r="R509" s="362"/>
    </row>
    <row r="510" ht="14.25" customHeight="1">
      <c r="Q510" s="441"/>
      <c r="R510" s="362"/>
    </row>
    <row r="511" ht="14.25" customHeight="1">
      <c r="Q511" s="441"/>
      <c r="R511" s="362"/>
    </row>
    <row r="512" ht="14.25" customHeight="1">
      <c r="Q512" s="441"/>
      <c r="R512" s="362"/>
    </row>
    <row r="513" ht="14.25" customHeight="1">
      <c r="Q513" s="441"/>
      <c r="R513" s="362"/>
    </row>
    <row r="514" ht="14.25" customHeight="1">
      <c r="Q514" s="441"/>
      <c r="R514" s="362"/>
    </row>
    <row r="515" ht="14.25" customHeight="1">
      <c r="Q515" s="441"/>
      <c r="R515" s="362"/>
    </row>
    <row r="516" ht="14.25" customHeight="1">
      <c r="Q516" s="441"/>
      <c r="R516" s="362"/>
    </row>
    <row r="517" ht="14.25" customHeight="1">
      <c r="Q517" s="441"/>
      <c r="R517" s="362"/>
    </row>
    <row r="518" ht="14.25" customHeight="1">
      <c r="Q518" s="441"/>
      <c r="R518" s="362"/>
    </row>
    <row r="519" ht="14.25" customHeight="1">
      <c r="Q519" s="441"/>
      <c r="R519" s="362"/>
    </row>
    <row r="520" ht="14.25" customHeight="1">
      <c r="Q520" s="441"/>
      <c r="R520" s="362"/>
    </row>
    <row r="521" ht="14.25" customHeight="1">
      <c r="Q521" s="441"/>
      <c r="R521" s="362"/>
    </row>
    <row r="522" ht="14.25" customHeight="1">
      <c r="Q522" s="441"/>
      <c r="R522" s="362"/>
    </row>
    <row r="523" ht="14.25" customHeight="1">
      <c r="Q523" s="441"/>
      <c r="R523" s="362"/>
    </row>
    <row r="524" ht="14.25" customHeight="1">
      <c r="Q524" s="441"/>
      <c r="R524" s="362"/>
    </row>
    <row r="525" ht="14.25" customHeight="1">
      <c r="Q525" s="441"/>
      <c r="R525" s="362"/>
    </row>
    <row r="526" ht="14.25" customHeight="1">
      <c r="Q526" s="441"/>
      <c r="R526" s="362"/>
    </row>
    <row r="527" ht="14.25" customHeight="1">
      <c r="Q527" s="441"/>
      <c r="R527" s="362"/>
    </row>
    <row r="528" ht="14.25" customHeight="1">
      <c r="Q528" s="441"/>
      <c r="R528" s="362"/>
    </row>
    <row r="529" ht="14.25" customHeight="1">
      <c r="Q529" s="441"/>
      <c r="R529" s="362"/>
    </row>
    <row r="530" ht="14.25" customHeight="1">
      <c r="Q530" s="441"/>
      <c r="R530" s="362"/>
    </row>
    <row r="531" ht="14.25" customHeight="1">
      <c r="Q531" s="441"/>
      <c r="R531" s="362"/>
    </row>
    <row r="532" ht="14.25" customHeight="1">
      <c r="Q532" s="441"/>
      <c r="R532" s="362"/>
    </row>
    <row r="533" ht="14.25" customHeight="1">
      <c r="Q533" s="441"/>
      <c r="R533" s="362"/>
    </row>
    <row r="534" ht="14.25" customHeight="1">
      <c r="Q534" s="441"/>
      <c r="R534" s="362"/>
    </row>
    <row r="535" ht="14.25" customHeight="1">
      <c r="Q535" s="441"/>
      <c r="R535" s="362"/>
    </row>
    <row r="536" ht="14.25" customHeight="1">
      <c r="Q536" s="441"/>
      <c r="R536" s="362"/>
    </row>
    <row r="537" ht="14.25" customHeight="1">
      <c r="Q537" s="441"/>
      <c r="R537" s="362"/>
    </row>
    <row r="538" ht="14.25" customHeight="1">
      <c r="Q538" s="441"/>
      <c r="R538" s="362"/>
    </row>
    <row r="539" ht="14.25" customHeight="1">
      <c r="Q539" s="441"/>
      <c r="R539" s="362"/>
    </row>
    <row r="540" ht="14.25" customHeight="1">
      <c r="Q540" s="441"/>
      <c r="R540" s="362"/>
    </row>
    <row r="541" ht="14.25" customHeight="1">
      <c r="Q541" s="441"/>
      <c r="R541" s="362"/>
    </row>
    <row r="542" ht="14.25" customHeight="1">
      <c r="Q542" s="441"/>
      <c r="R542" s="362"/>
    </row>
    <row r="543" ht="14.25" customHeight="1">
      <c r="Q543" s="441"/>
      <c r="R543" s="362"/>
    </row>
    <row r="544" ht="14.25" customHeight="1">
      <c r="Q544" s="441"/>
      <c r="R544" s="362"/>
    </row>
    <row r="545" ht="14.25" customHeight="1">
      <c r="Q545" s="441"/>
      <c r="R545" s="362"/>
    </row>
    <row r="546" ht="14.25" customHeight="1">
      <c r="Q546" s="441"/>
      <c r="R546" s="362"/>
    </row>
    <row r="547" ht="14.25" customHeight="1">
      <c r="Q547" s="441"/>
      <c r="R547" s="362"/>
    </row>
    <row r="548" ht="14.25" customHeight="1">
      <c r="Q548" s="441"/>
      <c r="R548" s="362"/>
    </row>
    <row r="549" ht="14.25" customHeight="1">
      <c r="Q549" s="441"/>
      <c r="R549" s="362"/>
    </row>
    <row r="550" ht="14.25" customHeight="1">
      <c r="Q550" s="441"/>
      <c r="R550" s="362"/>
    </row>
    <row r="551" ht="14.25" customHeight="1">
      <c r="Q551" s="441"/>
      <c r="R551" s="362"/>
    </row>
    <row r="552" ht="14.25" customHeight="1">
      <c r="Q552" s="441"/>
      <c r="R552" s="362"/>
    </row>
    <row r="553" ht="14.25" customHeight="1">
      <c r="Q553" s="441"/>
      <c r="R553" s="362"/>
    </row>
    <row r="554" ht="14.25" customHeight="1">
      <c r="Q554" s="441"/>
      <c r="R554" s="362"/>
    </row>
    <row r="555" ht="14.25" customHeight="1">
      <c r="Q555" s="441"/>
      <c r="R555" s="362"/>
    </row>
    <row r="556" ht="14.25" customHeight="1">
      <c r="Q556" s="441"/>
      <c r="R556" s="362"/>
    </row>
    <row r="557" ht="14.25" customHeight="1">
      <c r="Q557" s="441"/>
      <c r="R557" s="362"/>
    </row>
    <row r="558" ht="14.25" customHeight="1">
      <c r="Q558" s="441"/>
      <c r="R558" s="362"/>
    </row>
    <row r="559" ht="14.25" customHeight="1">
      <c r="Q559" s="441"/>
      <c r="R559" s="362"/>
    </row>
    <row r="560" ht="14.25" customHeight="1">
      <c r="Q560" s="441"/>
      <c r="R560" s="362"/>
    </row>
    <row r="561" ht="14.25" customHeight="1">
      <c r="Q561" s="441"/>
      <c r="R561" s="362"/>
    </row>
    <row r="562" ht="14.25" customHeight="1">
      <c r="Q562" s="441"/>
      <c r="R562" s="362"/>
    </row>
    <row r="563" ht="14.25" customHeight="1">
      <c r="Q563" s="441"/>
      <c r="R563" s="362"/>
    </row>
    <row r="564" ht="14.25" customHeight="1">
      <c r="Q564" s="441"/>
      <c r="R564" s="362"/>
    </row>
    <row r="565" ht="14.25" customHeight="1">
      <c r="Q565" s="441"/>
      <c r="R565" s="362"/>
    </row>
    <row r="566" ht="14.25" customHeight="1">
      <c r="Q566" s="441"/>
      <c r="R566" s="362"/>
    </row>
    <row r="567" ht="14.25" customHeight="1">
      <c r="Q567" s="441"/>
      <c r="R567" s="362"/>
    </row>
    <row r="568" ht="14.25" customHeight="1">
      <c r="Q568" s="441"/>
      <c r="R568" s="362"/>
    </row>
    <row r="569" ht="14.25" customHeight="1">
      <c r="Q569" s="441"/>
      <c r="R569" s="362"/>
    </row>
    <row r="570" ht="14.25" customHeight="1">
      <c r="Q570" s="441"/>
      <c r="R570" s="362"/>
    </row>
    <row r="571" ht="14.25" customHeight="1">
      <c r="Q571" s="441"/>
      <c r="R571" s="362"/>
    </row>
    <row r="572" ht="14.25" customHeight="1">
      <c r="Q572" s="441"/>
      <c r="R572" s="362"/>
    </row>
    <row r="573" ht="14.25" customHeight="1">
      <c r="Q573" s="441"/>
      <c r="R573" s="362"/>
    </row>
    <row r="574" ht="14.25" customHeight="1">
      <c r="Q574" s="441"/>
      <c r="R574" s="362"/>
    </row>
    <row r="575" ht="14.25" customHeight="1">
      <c r="Q575" s="441"/>
      <c r="R575" s="362"/>
    </row>
    <row r="576" ht="14.25" customHeight="1">
      <c r="Q576" s="441"/>
      <c r="R576" s="362"/>
    </row>
    <row r="577" ht="14.25" customHeight="1">
      <c r="Q577" s="441"/>
      <c r="R577" s="362"/>
    </row>
    <row r="578" ht="14.25" customHeight="1">
      <c r="Q578" s="441"/>
      <c r="R578" s="362"/>
    </row>
    <row r="579" ht="14.25" customHeight="1">
      <c r="Q579" s="441"/>
      <c r="R579" s="362"/>
    </row>
    <row r="580" ht="14.25" customHeight="1">
      <c r="Q580" s="441"/>
      <c r="R580" s="362"/>
    </row>
    <row r="581" ht="14.25" customHeight="1">
      <c r="Q581" s="441"/>
      <c r="R581" s="362"/>
    </row>
    <row r="582" ht="14.25" customHeight="1">
      <c r="Q582" s="441"/>
      <c r="R582" s="362"/>
    </row>
    <row r="583" ht="14.25" customHeight="1">
      <c r="Q583" s="441"/>
      <c r="R583" s="362"/>
    </row>
    <row r="584" ht="14.25" customHeight="1">
      <c r="Q584" s="441"/>
      <c r="R584" s="362"/>
    </row>
    <row r="585" ht="14.25" customHeight="1">
      <c r="Q585" s="441"/>
      <c r="R585" s="362"/>
    </row>
    <row r="586" ht="14.25" customHeight="1">
      <c r="Q586" s="441"/>
      <c r="R586" s="362"/>
    </row>
    <row r="587" ht="14.25" customHeight="1">
      <c r="Q587" s="441"/>
      <c r="R587" s="362"/>
    </row>
    <row r="588" ht="14.25" customHeight="1">
      <c r="Q588" s="441"/>
      <c r="R588" s="362"/>
    </row>
    <row r="589" ht="14.25" customHeight="1">
      <c r="Q589" s="441"/>
      <c r="R589" s="362"/>
    </row>
    <row r="590" ht="14.25" customHeight="1">
      <c r="Q590" s="441"/>
      <c r="R590" s="362"/>
    </row>
    <row r="591" ht="14.25" customHeight="1">
      <c r="Q591" s="441"/>
      <c r="R591" s="362"/>
    </row>
    <row r="592" ht="14.25" customHeight="1">
      <c r="Q592" s="441"/>
      <c r="R592" s="362"/>
    </row>
    <row r="593" ht="14.25" customHeight="1">
      <c r="Q593" s="441"/>
      <c r="R593" s="362"/>
    </row>
    <row r="594" ht="14.25" customHeight="1">
      <c r="Q594" s="441"/>
      <c r="R594" s="362"/>
    </row>
    <row r="595" ht="14.25" customHeight="1">
      <c r="Q595" s="441"/>
      <c r="R595" s="362"/>
    </row>
    <row r="596" ht="14.25" customHeight="1">
      <c r="Q596" s="441"/>
      <c r="R596" s="362"/>
    </row>
    <row r="597" ht="14.25" customHeight="1">
      <c r="Q597" s="441"/>
      <c r="R597" s="362"/>
    </row>
    <row r="598" ht="14.25" customHeight="1">
      <c r="Q598" s="441"/>
      <c r="R598" s="362"/>
    </row>
    <row r="599" ht="14.25" customHeight="1">
      <c r="Q599" s="441"/>
      <c r="R599" s="362"/>
    </row>
    <row r="600" ht="14.25" customHeight="1">
      <c r="Q600" s="441"/>
      <c r="R600" s="362"/>
    </row>
    <row r="601" ht="14.25" customHeight="1">
      <c r="Q601" s="441"/>
      <c r="R601" s="362"/>
    </row>
    <row r="602" ht="14.25" customHeight="1">
      <c r="Q602" s="441"/>
      <c r="R602" s="362"/>
    </row>
    <row r="603" ht="14.25" customHeight="1">
      <c r="Q603" s="441"/>
      <c r="R603" s="362"/>
    </row>
    <row r="604" ht="14.25" customHeight="1">
      <c r="Q604" s="441"/>
      <c r="R604" s="362"/>
    </row>
    <row r="605" ht="14.25" customHeight="1">
      <c r="Q605" s="441"/>
      <c r="R605" s="362"/>
    </row>
    <row r="606" ht="14.25" customHeight="1">
      <c r="Q606" s="441"/>
      <c r="R606" s="362"/>
    </row>
    <row r="607" ht="14.25" customHeight="1">
      <c r="Q607" s="441"/>
      <c r="R607" s="362"/>
    </row>
    <row r="608" ht="14.25" customHeight="1">
      <c r="Q608" s="441"/>
      <c r="R608" s="362"/>
    </row>
    <row r="609" ht="14.25" customHeight="1">
      <c r="Q609" s="441"/>
      <c r="R609" s="362"/>
    </row>
    <row r="610" ht="14.25" customHeight="1">
      <c r="Q610" s="441"/>
      <c r="R610" s="362"/>
    </row>
    <row r="611" ht="14.25" customHeight="1">
      <c r="Q611" s="441"/>
      <c r="R611" s="362"/>
    </row>
    <row r="612" ht="14.25" customHeight="1">
      <c r="Q612" s="441"/>
      <c r="R612" s="362"/>
    </row>
    <row r="613" ht="14.25" customHeight="1">
      <c r="Q613" s="441"/>
      <c r="R613" s="362"/>
    </row>
    <row r="614" ht="14.25" customHeight="1">
      <c r="Q614" s="441"/>
      <c r="R614" s="362"/>
    </row>
    <row r="615" ht="14.25" customHeight="1">
      <c r="Q615" s="441"/>
      <c r="R615" s="362"/>
    </row>
    <row r="616" ht="14.25" customHeight="1">
      <c r="Q616" s="441"/>
      <c r="R616" s="362"/>
    </row>
    <row r="617" ht="14.25" customHeight="1">
      <c r="Q617" s="441"/>
      <c r="R617" s="362"/>
    </row>
    <row r="618" ht="14.25" customHeight="1">
      <c r="Q618" s="441"/>
      <c r="R618" s="362"/>
    </row>
    <row r="619" ht="14.25" customHeight="1">
      <c r="Q619" s="441"/>
      <c r="R619" s="362"/>
    </row>
    <row r="620" ht="14.25" customHeight="1">
      <c r="Q620" s="441"/>
      <c r="R620" s="362"/>
    </row>
    <row r="621" ht="14.25" customHeight="1">
      <c r="Q621" s="441"/>
      <c r="R621" s="362"/>
    </row>
    <row r="622" ht="14.25" customHeight="1">
      <c r="Q622" s="441"/>
      <c r="R622" s="362"/>
    </row>
    <row r="623" ht="14.25" customHeight="1">
      <c r="Q623" s="441"/>
      <c r="R623" s="362"/>
    </row>
    <row r="624" ht="14.25" customHeight="1">
      <c r="Q624" s="441"/>
      <c r="R624" s="362"/>
    </row>
    <row r="625" ht="14.25" customHeight="1">
      <c r="Q625" s="441"/>
      <c r="R625" s="362"/>
    </row>
    <row r="626" ht="14.25" customHeight="1">
      <c r="Q626" s="441"/>
      <c r="R626" s="362"/>
    </row>
    <row r="627" ht="14.25" customHeight="1">
      <c r="Q627" s="441"/>
      <c r="R627" s="362"/>
    </row>
    <row r="628" ht="14.25" customHeight="1">
      <c r="Q628" s="441"/>
      <c r="R628" s="362"/>
    </row>
    <row r="629" ht="14.25" customHeight="1">
      <c r="Q629" s="441"/>
      <c r="R629" s="362"/>
    </row>
    <row r="630" ht="14.25" customHeight="1">
      <c r="Q630" s="441"/>
      <c r="R630" s="362"/>
    </row>
    <row r="631" ht="14.25" customHeight="1">
      <c r="Q631" s="441"/>
      <c r="R631" s="362"/>
    </row>
    <row r="632" ht="14.25" customHeight="1">
      <c r="Q632" s="441"/>
      <c r="R632" s="362"/>
    </row>
    <row r="633" ht="14.25" customHeight="1">
      <c r="Q633" s="441"/>
      <c r="R633" s="362"/>
    </row>
    <row r="634" ht="14.25" customHeight="1">
      <c r="Q634" s="441"/>
      <c r="R634" s="362"/>
    </row>
    <row r="635" ht="14.25" customHeight="1">
      <c r="Q635" s="441"/>
      <c r="R635" s="362"/>
    </row>
    <row r="636" ht="14.25" customHeight="1">
      <c r="Q636" s="441"/>
      <c r="R636" s="362"/>
    </row>
    <row r="637" ht="14.25" customHeight="1">
      <c r="Q637" s="441"/>
      <c r="R637" s="362"/>
    </row>
    <row r="638" ht="14.25" customHeight="1">
      <c r="Q638" s="441"/>
      <c r="R638" s="362"/>
    </row>
    <row r="639" ht="14.25" customHeight="1">
      <c r="Q639" s="441"/>
      <c r="R639" s="362"/>
    </row>
    <row r="640" ht="14.25" customHeight="1">
      <c r="Q640" s="441"/>
      <c r="R640" s="362"/>
    </row>
    <row r="641" ht="14.25" customHeight="1">
      <c r="Q641" s="441"/>
      <c r="R641" s="362"/>
    </row>
    <row r="642" ht="14.25" customHeight="1">
      <c r="Q642" s="441"/>
      <c r="R642" s="362"/>
    </row>
    <row r="643" ht="14.25" customHeight="1">
      <c r="Q643" s="441"/>
      <c r="R643" s="362"/>
    </row>
    <row r="644" ht="14.25" customHeight="1">
      <c r="Q644" s="441"/>
      <c r="R644" s="362"/>
    </row>
    <row r="645" ht="14.25" customHeight="1">
      <c r="Q645" s="441"/>
      <c r="R645" s="362"/>
    </row>
    <row r="646" ht="14.25" customHeight="1">
      <c r="Q646" s="441"/>
      <c r="R646" s="362"/>
    </row>
    <row r="647" ht="14.25" customHeight="1">
      <c r="Q647" s="441"/>
      <c r="R647" s="362"/>
    </row>
    <row r="648" ht="14.25" customHeight="1">
      <c r="Q648" s="441"/>
      <c r="R648" s="362"/>
    </row>
    <row r="649" ht="14.25" customHeight="1">
      <c r="Q649" s="441"/>
      <c r="R649" s="362"/>
    </row>
    <row r="650" ht="14.25" customHeight="1">
      <c r="Q650" s="441"/>
      <c r="R650" s="362"/>
    </row>
    <row r="651" ht="14.25" customHeight="1">
      <c r="Q651" s="441"/>
      <c r="R651" s="362"/>
    </row>
    <row r="652" ht="14.25" customHeight="1">
      <c r="Q652" s="441"/>
      <c r="R652" s="362"/>
    </row>
    <row r="653" ht="14.25" customHeight="1">
      <c r="Q653" s="441"/>
      <c r="R653" s="362"/>
    </row>
    <row r="654" ht="14.25" customHeight="1">
      <c r="Q654" s="441"/>
      <c r="R654" s="362"/>
    </row>
    <row r="655" ht="14.25" customHeight="1">
      <c r="Q655" s="441"/>
      <c r="R655" s="362"/>
    </row>
    <row r="656" ht="14.25" customHeight="1">
      <c r="Q656" s="441"/>
      <c r="R656" s="362"/>
    </row>
    <row r="657" ht="14.25" customHeight="1">
      <c r="Q657" s="441"/>
      <c r="R657" s="362"/>
    </row>
    <row r="658" ht="14.25" customHeight="1">
      <c r="Q658" s="441"/>
      <c r="R658" s="362"/>
    </row>
    <row r="659" ht="14.25" customHeight="1">
      <c r="Q659" s="441"/>
      <c r="R659" s="362"/>
    </row>
    <row r="660" ht="14.25" customHeight="1">
      <c r="Q660" s="441"/>
      <c r="R660" s="362"/>
    </row>
    <row r="661" ht="14.25" customHeight="1">
      <c r="Q661" s="441"/>
      <c r="R661" s="362"/>
    </row>
    <row r="662" ht="14.25" customHeight="1">
      <c r="Q662" s="441"/>
      <c r="R662" s="362"/>
    </row>
    <row r="663" ht="14.25" customHeight="1">
      <c r="Q663" s="441"/>
      <c r="R663" s="362"/>
    </row>
    <row r="664" ht="14.25" customHeight="1">
      <c r="Q664" s="441"/>
      <c r="R664" s="362"/>
    </row>
    <row r="665" ht="14.25" customHeight="1">
      <c r="Q665" s="441"/>
      <c r="R665" s="362"/>
    </row>
    <row r="666" ht="14.25" customHeight="1">
      <c r="Q666" s="441"/>
      <c r="R666" s="362"/>
    </row>
    <row r="667" ht="14.25" customHeight="1">
      <c r="Q667" s="441"/>
      <c r="R667" s="362"/>
    </row>
    <row r="668" ht="14.25" customHeight="1">
      <c r="Q668" s="441"/>
      <c r="R668" s="362"/>
    </row>
    <row r="669" ht="14.25" customHeight="1">
      <c r="Q669" s="441"/>
      <c r="R669" s="362"/>
    </row>
    <row r="670" ht="14.25" customHeight="1">
      <c r="Q670" s="441"/>
      <c r="R670" s="362"/>
    </row>
    <row r="671" ht="14.25" customHeight="1">
      <c r="Q671" s="441"/>
      <c r="R671" s="362"/>
    </row>
    <row r="672" ht="14.25" customHeight="1">
      <c r="Q672" s="441"/>
      <c r="R672" s="362"/>
    </row>
    <row r="673" ht="14.25" customHeight="1">
      <c r="Q673" s="441"/>
      <c r="R673" s="362"/>
    </row>
    <row r="674" ht="14.25" customHeight="1">
      <c r="Q674" s="441"/>
      <c r="R674" s="362"/>
    </row>
    <row r="675" ht="14.25" customHeight="1">
      <c r="Q675" s="441"/>
      <c r="R675" s="362"/>
    </row>
    <row r="676" ht="14.25" customHeight="1">
      <c r="Q676" s="441"/>
      <c r="R676" s="362"/>
    </row>
    <row r="677" ht="14.25" customHeight="1">
      <c r="Q677" s="441"/>
      <c r="R677" s="362"/>
    </row>
    <row r="678" ht="14.25" customHeight="1">
      <c r="Q678" s="441"/>
      <c r="R678" s="362"/>
    </row>
    <row r="679" ht="14.25" customHeight="1">
      <c r="Q679" s="441"/>
      <c r="R679" s="362"/>
    </row>
    <row r="680" ht="14.25" customHeight="1">
      <c r="Q680" s="441"/>
      <c r="R680" s="362"/>
    </row>
    <row r="681" ht="14.25" customHeight="1">
      <c r="Q681" s="441"/>
      <c r="R681" s="362"/>
    </row>
    <row r="682" ht="14.25" customHeight="1">
      <c r="Q682" s="441"/>
      <c r="R682" s="362"/>
    </row>
    <row r="683" ht="14.25" customHeight="1">
      <c r="Q683" s="441"/>
      <c r="R683" s="362"/>
    </row>
    <row r="684" ht="14.25" customHeight="1">
      <c r="Q684" s="441"/>
      <c r="R684" s="362"/>
    </row>
    <row r="685" ht="14.25" customHeight="1">
      <c r="Q685" s="441"/>
      <c r="R685" s="362"/>
    </row>
    <row r="686" ht="14.25" customHeight="1">
      <c r="Q686" s="441"/>
      <c r="R686" s="362"/>
    </row>
    <row r="687" ht="14.25" customHeight="1">
      <c r="Q687" s="441"/>
      <c r="R687" s="362"/>
    </row>
    <row r="688" ht="14.25" customHeight="1">
      <c r="Q688" s="441"/>
      <c r="R688" s="362"/>
    </row>
    <row r="689" ht="14.25" customHeight="1">
      <c r="Q689" s="441"/>
      <c r="R689" s="362"/>
    </row>
    <row r="690" ht="14.25" customHeight="1">
      <c r="Q690" s="441"/>
      <c r="R690" s="362"/>
    </row>
    <row r="691" ht="14.25" customHeight="1">
      <c r="Q691" s="441"/>
      <c r="R691" s="362"/>
    </row>
    <row r="692" ht="14.25" customHeight="1">
      <c r="Q692" s="441"/>
      <c r="R692" s="362"/>
    </row>
    <row r="693" ht="14.25" customHeight="1">
      <c r="Q693" s="441"/>
      <c r="R693" s="362"/>
    </row>
    <row r="694" ht="14.25" customHeight="1">
      <c r="Q694" s="441"/>
      <c r="R694" s="362"/>
    </row>
    <row r="695" ht="14.25" customHeight="1">
      <c r="Q695" s="441"/>
      <c r="R695" s="362"/>
    </row>
    <row r="696" ht="14.25" customHeight="1">
      <c r="Q696" s="441"/>
      <c r="R696" s="362"/>
    </row>
    <row r="697" ht="14.25" customHeight="1">
      <c r="Q697" s="441"/>
      <c r="R697" s="362"/>
    </row>
    <row r="698" ht="14.25" customHeight="1">
      <c r="Q698" s="441"/>
      <c r="R698" s="362"/>
    </row>
    <row r="699" ht="14.25" customHeight="1">
      <c r="Q699" s="441"/>
      <c r="R699" s="362"/>
    </row>
    <row r="700" ht="14.25" customHeight="1">
      <c r="Q700" s="441"/>
      <c r="R700" s="362"/>
    </row>
    <row r="701" ht="14.25" customHeight="1">
      <c r="Q701" s="441"/>
      <c r="R701" s="362"/>
    </row>
    <row r="702" ht="14.25" customHeight="1">
      <c r="Q702" s="441"/>
      <c r="R702" s="362"/>
    </row>
    <row r="703" ht="14.25" customHeight="1">
      <c r="Q703" s="441"/>
      <c r="R703" s="362"/>
    </row>
    <row r="704" ht="14.25" customHeight="1">
      <c r="Q704" s="441"/>
      <c r="R704" s="362"/>
    </row>
    <row r="705" ht="14.25" customHeight="1">
      <c r="Q705" s="441"/>
      <c r="R705" s="362"/>
    </row>
    <row r="706" ht="14.25" customHeight="1">
      <c r="Q706" s="441"/>
      <c r="R706" s="362"/>
    </row>
    <row r="707" ht="14.25" customHeight="1">
      <c r="Q707" s="441"/>
      <c r="R707" s="362"/>
    </row>
    <row r="708" ht="14.25" customHeight="1">
      <c r="Q708" s="441"/>
      <c r="R708" s="362"/>
    </row>
    <row r="709" ht="14.25" customHeight="1">
      <c r="Q709" s="441"/>
      <c r="R709" s="362"/>
    </row>
    <row r="710" ht="14.25" customHeight="1">
      <c r="Q710" s="441"/>
      <c r="R710" s="362"/>
    </row>
    <row r="711" ht="14.25" customHeight="1">
      <c r="Q711" s="441"/>
      <c r="R711" s="362"/>
    </row>
    <row r="712" ht="14.25" customHeight="1">
      <c r="Q712" s="441"/>
      <c r="R712" s="362"/>
    </row>
    <row r="713" ht="14.25" customHeight="1">
      <c r="Q713" s="441"/>
      <c r="R713" s="362"/>
    </row>
    <row r="714" ht="14.25" customHeight="1">
      <c r="Q714" s="441"/>
      <c r="R714" s="362"/>
    </row>
    <row r="715" ht="14.25" customHeight="1">
      <c r="Q715" s="441"/>
      <c r="R715" s="362"/>
    </row>
    <row r="716" ht="14.25" customHeight="1">
      <c r="Q716" s="441"/>
      <c r="R716" s="362"/>
    </row>
    <row r="717" ht="14.25" customHeight="1">
      <c r="Q717" s="441"/>
      <c r="R717" s="362"/>
    </row>
    <row r="718" ht="14.25" customHeight="1">
      <c r="Q718" s="441"/>
      <c r="R718" s="362"/>
    </row>
    <row r="719" ht="14.25" customHeight="1">
      <c r="Q719" s="441"/>
      <c r="R719" s="362"/>
    </row>
    <row r="720" ht="14.25" customHeight="1">
      <c r="Q720" s="441"/>
      <c r="R720" s="362"/>
    </row>
    <row r="721" ht="14.25" customHeight="1">
      <c r="Q721" s="441"/>
      <c r="R721" s="362"/>
    </row>
    <row r="722" ht="14.25" customHeight="1">
      <c r="Q722" s="441"/>
      <c r="R722" s="362"/>
    </row>
    <row r="723" ht="14.25" customHeight="1">
      <c r="Q723" s="441"/>
      <c r="R723" s="362"/>
    </row>
    <row r="724" ht="14.25" customHeight="1">
      <c r="Q724" s="441"/>
      <c r="R724" s="362"/>
    </row>
    <row r="725" ht="14.25" customHeight="1">
      <c r="Q725" s="441"/>
      <c r="R725" s="362"/>
    </row>
    <row r="726" ht="14.25" customHeight="1">
      <c r="Q726" s="441"/>
      <c r="R726" s="362"/>
    </row>
    <row r="727" ht="14.25" customHeight="1">
      <c r="Q727" s="441"/>
      <c r="R727" s="362"/>
    </row>
    <row r="728" ht="14.25" customHeight="1">
      <c r="Q728" s="441"/>
      <c r="R728" s="362"/>
    </row>
    <row r="729" ht="14.25" customHeight="1">
      <c r="Q729" s="441"/>
      <c r="R729" s="362"/>
    </row>
    <row r="730" ht="14.25" customHeight="1">
      <c r="Q730" s="441"/>
      <c r="R730" s="362"/>
    </row>
    <row r="731" ht="14.25" customHeight="1">
      <c r="Q731" s="441"/>
      <c r="R731" s="362"/>
    </row>
    <row r="732" ht="14.25" customHeight="1">
      <c r="Q732" s="441"/>
      <c r="R732" s="362"/>
    </row>
    <row r="733" ht="14.25" customHeight="1">
      <c r="Q733" s="441"/>
      <c r="R733" s="362"/>
    </row>
    <row r="734" ht="14.25" customHeight="1">
      <c r="Q734" s="441"/>
      <c r="R734" s="362"/>
    </row>
    <row r="735" ht="14.25" customHeight="1">
      <c r="Q735" s="441"/>
      <c r="R735" s="362"/>
    </row>
    <row r="736" ht="14.25" customHeight="1">
      <c r="Q736" s="441"/>
      <c r="R736" s="362"/>
    </row>
    <row r="737" ht="14.25" customHeight="1">
      <c r="Q737" s="441"/>
      <c r="R737" s="362"/>
    </row>
    <row r="738" ht="14.25" customHeight="1">
      <c r="Q738" s="441"/>
      <c r="R738" s="362"/>
    </row>
    <row r="739" ht="14.25" customHeight="1">
      <c r="Q739" s="441"/>
      <c r="R739" s="362"/>
    </row>
    <row r="740" ht="14.25" customHeight="1">
      <c r="Q740" s="441"/>
      <c r="R740" s="362"/>
    </row>
    <row r="741" ht="14.25" customHeight="1">
      <c r="Q741" s="441"/>
      <c r="R741" s="362"/>
    </row>
    <row r="742" ht="14.25" customHeight="1">
      <c r="Q742" s="441"/>
      <c r="R742" s="362"/>
    </row>
    <row r="743" ht="14.25" customHeight="1">
      <c r="Q743" s="441"/>
      <c r="R743" s="362"/>
    </row>
    <row r="744" ht="14.25" customHeight="1">
      <c r="Q744" s="441"/>
      <c r="R744" s="362"/>
    </row>
    <row r="745" ht="14.25" customHeight="1">
      <c r="Q745" s="441"/>
      <c r="R745" s="362"/>
    </row>
    <row r="746" ht="14.25" customHeight="1">
      <c r="Q746" s="441"/>
      <c r="R746" s="362"/>
    </row>
    <row r="747" ht="14.25" customHeight="1">
      <c r="Q747" s="441"/>
      <c r="R747" s="362"/>
    </row>
    <row r="748" ht="14.25" customHeight="1">
      <c r="Q748" s="441"/>
      <c r="R748" s="362"/>
    </row>
    <row r="749" ht="14.25" customHeight="1">
      <c r="Q749" s="441"/>
      <c r="R749" s="362"/>
    </row>
    <row r="750" ht="14.25" customHeight="1">
      <c r="Q750" s="441"/>
      <c r="R750" s="362"/>
    </row>
    <row r="751" ht="14.25" customHeight="1">
      <c r="Q751" s="441"/>
      <c r="R751" s="362"/>
    </row>
    <row r="752" ht="14.25" customHeight="1">
      <c r="Q752" s="441"/>
      <c r="R752" s="362"/>
    </row>
    <row r="753" ht="14.25" customHeight="1">
      <c r="Q753" s="441"/>
      <c r="R753" s="362"/>
    </row>
    <row r="754" ht="14.25" customHeight="1">
      <c r="Q754" s="441"/>
      <c r="R754" s="362"/>
    </row>
    <row r="755" ht="14.25" customHeight="1">
      <c r="Q755" s="441"/>
      <c r="R755" s="362"/>
    </row>
    <row r="756" ht="14.25" customHeight="1">
      <c r="Q756" s="441"/>
      <c r="R756" s="362"/>
    </row>
    <row r="757" ht="14.25" customHeight="1">
      <c r="Q757" s="441"/>
      <c r="R757" s="362"/>
    </row>
    <row r="758" ht="14.25" customHeight="1">
      <c r="Q758" s="441"/>
      <c r="R758" s="362"/>
    </row>
    <row r="759" ht="14.25" customHeight="1">
      <c r="Q759" s="441"/>
      <c r="R759" s="362"/>
    </row>
    <row r="760" ht="14.25" customHeight="1">
      <c r="Q760" s="441"/>
      <c r="R760" s="362"/>
    </row>
    <row r="761" ht="14.25" customHeight="1">
      <c r="Q761" s="441"/>
      <c r="R761" s="362"/>
    </row>
    <row r="762" ht="14.25" customHeight="1">
      <c r="Q762" s="441"/>
      <c r="R762" s="362"/>
    </row>
    <row r="763" ht="14.25" customHeight="1">
      <c r="Q763" s="441"/>
      <c r="R763" s="362"/>
    </row>
    <row r="764" ht="14.25" customHeight="1">
      <c r="Q764" s="441"/>
      <c r="R764" s="362"/>
    </row>
    <row r="765" ht="14.25" customHeight="1">
      <c r="Q765" s="441"/>
      <c r="R765" s="362"/>
    </row>
    <row r="766" ht="14.25" customHeight="1">
      <c r="Q766" s="441"/>
      <c r="R766" s="362"/>
    </row>
    <row r="767" ht="14.25" customHeight="1">
      <c r="Q767" s="441"/>
      <c r="R767" s="362"/>
    </row>
    <row r="768" ht="14.25" customHeight="1">
      <c r="Q768" s="441"/>
      <c r="R768" s="362"/>
    </row>
    <row r="769" ht="14.25" customHeight="1">
      <c r="Q769" s="441"/>
      <c r="R769" s="362"/>
    </row>
    <row r="770" ht="14.25" customHeight="1">
      <c r="Q770" s="441"/>
      <c r="R770" s="362"/>
    </row>
    <row r="771" ht="14.25" customHeight="1">
      <c r="Q771" s="441"/>
      <c r="R771" s="362"/>
    </row>
    <row r="772" ht="14.25" customHeight="1">
      <c r="Q772" s="441"/>
      <c r="R772" s="362"/>
    </row>
    <row r="773" ht="14.25" customHeight="1">
      <c r="Q773" s="441"/>
      <c r="R773" s="362"/>
    </row>
    <row r="774" ht="14.25" customHeight="1">
      <c r="Q774" s="441"/>
      <c r="R774" s="362"/>
    </row>
    <row r="775" ht="14.25" customHeight="1">
      <c r="Q775" s="441"/>
      <c r="R775" s="362"/>
    </row>
    <row r="776" ht="14.25" customHeight="1">
      <c r="Q776" s="441"/>
      <c r="R776" s="362"/>
    </row>
    <row r="777" ht="14.25" customHeight="1">
      <c r="Q777" s="441"/>
      <c r="R777" s="362"/>
    </row>
    <row r="778" ht="14.25" customHeight="1">
      <c r="Q778" s="441"/>
      <c r="R778" s="362"/>
    </row>
    <row r="779" ht="14.25" customHeight="1">
      <c r="Q779" s="441"/>
      <c r="R779" s="362"/>
    </row>
    <row r="780" ht="14.25" customHeight="1">
      <c r="Q780" s="441"/>
      <c r="R780" s="362"/>
    </row>
    <row r="781" ht="14.25" customHeight="1">
      <c r="Q781" s="441"/>
      <c r="R781" s="362"/>
    </row>
    <row r="782" ht="14.25" customHeight="1">
      <c r="Q782" s="441"/>
      <c r="R782" s="362"/>
    </row>
    <row r="783" ht="14.25" customHeight="1">
      <c r="Q783" s="441"/>
      <c r="R783" s="362"/>
    </row>
    <row r="784" ht="14.25" customHeight="1">
      <c r="Q784" s="441"/>
      <c r="R784" s="362"/>
    </row>
    <row r="785" ht="14.25" customHeight="1">
      <c r="Q785" s="441"/>
      <c r="R785" s="362"/>
    </row>
    <row r="786" ht="14.25" customHeight="1">
      <c r="Q786" s="441"/>
      <c r="R786" s="362"/>
    </row>
    <row r="787" ht="14.25" customHeight="1">
      <c r="Q787" s="441"/>
      <c r="R787" s="362"/>
    </row>
    <row r="788" ht="14.25" customHeight="1">
      <c r="Q788" s="441"/>
      <c r="R788" s="362"/>
    </row>
    <row r="789" ht="14.25" customHeight="1">
      <c r="Q789" s="441"/>
      <c r="R789" s="362"/>
    </row>
    <row r="790" ht="14.25" customHeight="1">
      <c r="Q790" s="441"/>
      <c r="R790" s="362"/>
    </row>
    <row r="791" ht="14.25" customHeight="1">
      <c r="Q791" s="441"/>
      <c r="R791" s="362"/>
    </row>
    <row r="792" ht="14.25" customHeight="1">
      <c r="Q792" s="441"/>
      <c r="R792" s="362"/>
    </row>
    <row r="793" ht="14.25" customHeight="1">
      <c r="Q793" s="441"/>
      <c r="R793" s="362"/>
    </row>
    <row r="794" ht="14.25" customHeight="1">
      <c r="Q794" s="441"/>
      <c r="R794" s="362"/>
    </row>
    <row r="795" ht="14.25" customHeight="1">
      <c r="Q795" s="441"/>
      <c r="R795" s="362"/>
    </row>
    <row r="796" ht="14.25" customHeight="1">
      <c r="Q796" s="441"/>
      <c r="R796" s="362"/>
    </row>
    <row r="797" ht="14.25" customHeight="1">
      <c r="Q797" s="441"/>
      <c r="R797" s="362"/>
    </row>
    <row r="798" ht="14.25" customHeight="1">
      <c r="Q798" s="441"/>
      <c r="R798" s="362"/>
    </row>
    <row r="799" ht="14.25" customHeight="1">
      <c r="Q799" s="441"/>
      <c r="R799" s="362"/>
    </row>
    <row r="800" ht="14.25" customHeight="1">
      <c r="Q800" s="441"/>
      <c r="R800" s="362"/>
    </row>
    <row r="801" ht="14.25" customHeight="1">
      <c r="Q801" s="441"/>
      <c r="R801" s="362"/>
    </row>
    <row r="802" ht="14.25" customHeight="1">
      <c r="Q802" s="441"/>
      <c r="R802" s="362"/>
    </row>
    <row r="803" ht="14.25" customHeight="1">
      <c r="Q803" s="441"/>
      <c r="R803" s="362"/>
    </row>
    <row r="804" ht="14.25" customHeight="1">
      <c r="Q804" s="441"/>
      <c r="R804" s="362"/>
    </row>
    <row r="805" ht="14.25" customHeight="1">
      <c r="Q805" s="441"/>
      <c r="R805" s="362"/>
    </row>
    <row r="806" ht="14.25" customHeight="1">
      <c r="Q806" s="441"/>
      <c r="R806" s="362"/>
    </row>
    <row r="807" ht="14.25" customHeight="1">
      <c r="Q807" s="441"/>
      <c r="R807" s="362"/>
    </row>
    <row r="808" ht="14.25" customHeight="1">
      <c r="Q808" s="441"/>
      <c r="R808" s="362"/>
    </row>
    <row r="809" ht="14.25" customHeight="1">
      <c r="Q809" s="441"/>
      <c r="R809" s="362"/>
    </row>
    <row r="810" ht="14.25" customHeight="1">
      <c r="Q810" s="441"/>
      <c r="R810" s="362"/>
    </row>
    <row r="811" ht="14.25" customHeight="1">
      <c r="Q811" s="441"/>
      <c r="R811" s="362"/>
    </row>
    <row r="812" ht="14.25" customHeight="1">
      <c r="Q812" s="441"/>
      <c r="R812" s="362"/>
    </row>
    <row r="813" ht="14.25" customHeight="1">
      <c r="Q813" s="441"/>
      <c r="R813" s="362"/>
    </row>
    <row r="814" ht="14.25" customHeight="1">
      <c r="Q814" s="441"/>
      <c r="R814" s="362"/>
    </row>
    <row r="815" ht="14.25" customHeight="1">
      <c r="Q815" s="441"/>
      <c r="R815" s="362"/>
    </row>
    <row r="816" ht="14.25" customHeight="1">
      <c r="Q816" s="441"/>
      <c r="R816" s="362"/>
    </row>
    <row r="817" ht="14.25" customHeight="1">
      <c r="Q817" s="441"/>
      <c r="R817" s="362"/>
    </row>
    <row r="818" ht="14.25" customHeight="1">
      <c r="Q818" s="441"/>
      <c r="R818" s="362"/>
    </row>
    <row r="819" ht="14.25" customHeight="1">
      <c r="Q819" s="441"/>
      <c r="R819" s="362"/>
    </row>
    <row r="820" ht="14.25" customHeight="1">
      <c r="Q820" s="441"/>
      <c r="R820" s="362"/>
    </row>
    <row r="821" ht="14.25" customHeight="1">
      <c r="Q821" s="441"/>
      <c r="R821" s="362"/>
    </row>
    <row r="822" ht="14.25" customHeight="1">
      <c r="Q822" s="441"/>
      <c r="R822" s="362"/>
    </row>
    <row r="823" ht="14.25" customHeight="1">
      <c r="Q823" s="441"/>
      <c r="R823" s="362"/>
    </row>
    <row r="824" ht="14.25" customHeight="1">
      <c r="Q824" s="441"/>
      <c r="R824" s="362"/>
    </row>
    <row r="825" ht="14.25" customHeight="1">
      <c r="Q825" s="441"/>
      <c r="R825" s="362"/>
    </row>
    <row r="826" ht="14.25" customHeight="1">
      <c r="Q826" s="441"/>
      <c r="R826" s="362"/>
    </row>
    <row r="827" ht="14.25" customHeight="1">
      <c r="Q827" s="441"/>
      <c r="R827" s="362"/>
    </row>
    <row r="828" ht="14.25" customHeight="1">
      <c r="Q828" s="441"/>
      <c r="R828" s="362"/>
    </row>
    <row r="829" ht="14.25" customHeight="1">
      <c r="Q829" s="441"/>
      <c r="R829" s="362"/>
    </row>
    <row r="830" ht="14.25" customHeight="1">
      <c r="Q830" s="441"/>
      <c r="R830" s="362"/>
    </row>
    <row r="831" ht="14.25" customHeight="1">
      <c r="Q831" s="441"/>
      <c r="R831" s="362"/>
    </row>
    <row r="832" ht="14.25" customHeight="1">
      <c r="Q832" s="441"/>
      <c r="R832" s="362"/>
    </row>
    <row r="833" ht="14.25" customHeight="1">
      <c r="Q833" s="441"/>
      <c r="R833" s="362"/>
    </row>
    <row r="834" ht="14.25" customHeight="1">
      <c r="Q834" s="441"/>
      <c r="R834" s="362"/>
    </row>
    <row r="835" ht="14.25" customHeight="1">
      <c r="Q835" s="441"/>
      <c r="R835" s="362"/>
    </row>
    <row r="836" ht="14.25" customHeight="1">
      <c r="Q836" s="441"/>
      <c r="R836" s="362"/>
    </row>
    <row r="837" ht="14.25" customHeight="1">
      <c r="Q837" s="441"/>
      <c r="R837" s="362"/>
    </row>
    <row r="838" ht="14.25" customHeight="1">
      <c r="Q838" s="441"/>
      <c r="R838" s="362"/>
    </row>
    <row r="839" ht="14.25" customHeight="1">
      <c r="Q839" s="441"/>
      <c r="R839" s="362"/>
    </row>
    <row r="840" ht="14.25" customHeight="1">
      <c r="Q840" s="441"/>
      <c r="R840" s="362"/>
    </row>
    <row r="841" ht="14.25" customHeight="1">
      <c r="Q841" s="441"/>
      <c r="R841" s="362"/>
    </row>
    <row r="842" ht="14.25" customHeight="1">
      <c r="Q842" s="441"/>
      <c r="R842" s="362"/>
    </row>
    <row r="843" ht="14.25" customHeight="1">
      <c r="Q843" s="441"/>
      <c r="R843" s="362"/>
    </row>
    <row r="844" ht="14.25" customHeight="1">
      <c r="Q844" s="441"/>
      <c r="R844" s="362"/>
    </row>
    <row r="845" ht="14.25" customHeight="1">
      <c r="Q845" s="441"/>
      <c r="R845" s="362"/>
    </row>
    <row r="846" ht="14.25" customHeight="1">
      <c r="Q846" s="441"/>
      <c r="R846" s="362"/>
    </row>
    <row r="847" ht="14.25" customHeight="1">
      <c r="Q847" s="441"/>
      <c r="R847" s="362"/>
    </row>
    <row r="848" ht="14.25" customHeight="1">
      <c r="Q848" s="441"/>
      <c r="R848" s="362"/>
    </row>
    <row r="849" ht="14.25" customHeight="1">
      <c r="Q849" s="441"/>
      <c r="R849" s="362"/>
    </row>
    <row r="850" ht="14.25" customHeight="1">
      <c r="Q850" s="441"/>
      <c r="R850" s="362"/>
    </row>
    <row r="851" ht="14.25" customHeight="1">
      <c r="Q851" s="441"/>
      <c r="R851" s="362"/>
    </row>
    <row r="852" ht="14.25" customHeight="1">
      <c r="Q852" s="441"/>
      <c r="R852" s="362"/>
    </row>
    <row r="853" ht="14.25" customHeight="1">
      <c r="Q853" s="441"/>
      <c r="R853" s="362"/>
    </row>
    <row r="854" ht="14.25" customHeight="1">
      <c r="Q854" s="441"/>
      <c r="R854" s="362"/>
    </row>
    <row r="855" ht="14.25" customHeight="1">
      <c r="Q855" s="441"/>
      <c r="R855" s="362"/>
    </row>
    <row r="856" ht="14.25" customHeight="1">
      <c r="Q856" s="441"/>
      <c r="R856" s="362"/>
    </row>
    <row r="857" ht="14.25" customHeight="1">
      <c r="Q857" s="441"/>
      <c r="R857" s="362"/>
    </row>
    <row r="858" ht="14.25" customHeight="1">
      <c r="Q858" s="441"/>
      <c r="R858" s="362"/>
    </row>
    <row r="859" ht="14.25" customHeight="1">
      <c r="Q859" s="441"/>
      <c r="R859" s="362"/>
    </row>
    <row r="860" ht="14.25" customHeight="1">
      <c r="Q860" s="441"/>
      <c r="R860" s="362"/>
    </row>
    <row r="861" ht="14.25" customHeight="1">
      <c r="Q861" s="441"/>
      <c r="R861" s="362"/>
    </row>
    <row r="862" ht="14.25" customHeight="1">
      <c r="Q862" s="441"/>
      <c r="R862" s="362"/>
    </row>
    <row r="863" ht="14.25" customHeight="1">
      <c r="Q863" s="441"/>
      <c r="R863" s="362"/>
    </row>
    <row r="864" ht="14.25" customHeight="1">
      <c r="Q864" s="441"/>
      <c r="R864" s="362"/>
    </row>
    <row r="865" ht="14.25" customHeight="1">
      <c r="Q865" s="441"/>
      <c r="R865" s="362"/>
    </row>
    <row r="866" ht="14.25" customHeight="1">
      <c r="Q866" s="441"/>
      <c r="R866" s="362"/>
    </row>
    <row r="867" ht="14.25" customHeight="1">
      <c r="Q867" s="441"/>
      <c r="R867" s="362"/>
    </row>
    <row r="868" ht="14.25" customHeight="1">
      <c r="Q868" s="441"/>
      <c r="R868" s="362"/>
    </row>
    <row r="869" ht="14.25" customHeight="1">
      <c r="Q869" s="441"/>
      <c r="R869" s="362"/>
    </row>
    <row r="870" ht="14.25" customHeight="1">
      <c r="Q870" s="441"/>
      <c r="R870" s="362"/>
    </row>
    <row r="871" ht="14.25" customHeight="1">
      <c r="Q871" s="441"/>
      <c r="R871" s="362"/>
    </row>
    <row r="872" ht="14.25" customHeight="1">
      <c r="Q872" s="441"/>
      <c r="R872" s="362"/>
    </row>
    <row r="873" ht="14.25" customHeight="1">
      <c r="Q873" s="441"/>
      <c r="R873" s="362"/>
    </row>
    <row r="874" ht="14.25" customHeight="1">
      <c r="Q874" s="441"/>
      <c r="R874" s="362"/>
    </row>
    <row r="875" ht="14.25" customHeight="1">
      <c r="Q875" s="441"/>
      <c r="R875" s="362"/>
    </row>
    <row r="876" ht="14.25" customHeight="1">
      <c r="Q876" s="441"/>
      <c r="R876" s="362"/>
    </row>
    <row r="877" ht="14.25" customHeight="1">
      <c r="Q877" s="441"/>
      <c r="R877" s="362"/>
    </row>
    <row r="878" ht="14.25" customHeight="1">
      <c r="Q878" s="441"/>
      <c r="R878" s="362"/>
    </row>
    <row r="879" ht="14.25" customHeight="1">
      <c r="Q879" s="441"/>
      <c r="R879" s="362"/>
    </row>
    <row r="880" ht="14.25" customHeight="1">
      <c r="Q880" s="441"/>
      <c r="R880" s="362"/>
    </row>
    <row r="881" ht="14.25" customHeight="1">
      <c r="Q881" s="441"/>
      <c r="R881" s="362"/>
    </row>
    <row r="882" ht="14.25" customHeight="1">
      <c r="Q882" s="441"/>
      <c r="R882" s="362"/>
    </row>
    <row r="883" ht="14.25" customHeight="1">
      <c r="Q883" s="441"/>
      <c r="R883" s="362"/>
    </row>
    <row r="884" ht="14.25" customHeight="1">
      <c r="Q884" s="441"/>
      <c r="R884" s="362"/>
    </row>
    <row r="885" ht="14.25" customHeight="1">
      <c r="Q885" s="441"/>
      <c r="R885" s="362"/>
    </row>
    <row r="886" ht="14.25" customHeight="1">
      <c r="Q886" s="441"/>
      <c r="R886" s="362"/>
    </row>
    <row r="887" ht="14.25" customHeight="1">
      <c r="Q887" s="441"/>
      <c r="R887" s="362"/>
    </row>
    <row r="888" ht="14.25" customHeight="1">
      <c r="Q888" s="441"/>
      <c r="R888" s="362"/>
    </row>
    <row r="889" ht="14.25" customHeight="1">
      <c r="Q889" s="441"/>
      <c r="R889" s="362"/>
    </row>
    <row r="890" ht="14.25" customHeight="1">
      <c r="Q890" s="441"/>
      <c r="R890" s="362"/>
    </row>
    <row r="891" ht="14.25" customHeight="1">
      <c r="Q891" s="441"/>
      <c r="R891" s="362"/>
    </row>
    <row r="892" ht="14.25" customHeight="1">
      <c r="Q892" s="441"/>
      <c r="R892" s="362"/>
    </row>
    <row r="893" ht="14.25" customHeight="1">
      <c r="Q893" s="441"/>
      <c r="R893" s="362"/>
    </row>
    <row r="894" ht="14.25" customHeight="1">
      <c r="Q894" s="441"/>
      <c r="R894" s="362"/>
    </row>
    <row r="895" ht="14.25" customHeight="1">
      <c r="Q895" s="441"/>
      <c r="R895" s="362"/>
    </row>
    <row r="896" ht="14.25" customHeight="1">
      <c r="Q896" s="441"/>
      <c r="R896" s="362"/>
    </row>
    <row r="897" ht="14.25" customHeight="1">
      <c r="Q897" s="441"/>
      <c r="R897" s="362"/>
    </row>
    <row r="898" ht="14.25" customHeight="1">
      <c r="Q898" s="441"/>
      <c r="R898" s="362"/>
    </row>
    <row r="899" ht="14.25" customHeight="1">
      <c r="Q899" s="441"/>
      <c r="R899" s="362"/>
    </row>
    <row r="900" ht="14.25" customHeight="1">
      <c r="Q900" s="441"/>
      <c r="R900" s="362"/>
    </row>
    <row r="901" ht="14.25" customHeight="1">
      <c r="Q901" s="441"/>
      <c r="R901" s="362"/>
    </row>
    <row r="902" ht="14.25" customHeight="1">
      <c r="Q902" s="441"/>
      <c r="R902" s="362"/>
    </row>
    <row r="903" ht="14.25" customHeight="1">
      <c r="Q903" s="441"/>
      <c r="R903" s="362"/>
    </row>
    <row r="904" ht="14.25" customHeight="1">
      <c r="Q904" s="441"/>
      <c r="R904" s="362"/>
    </row>
    <row r="905" ht="14.25" customHeight="1">
      <c r="Q905" s="441"/>
      <c r="R905" s="362"/>
    </row>
    <row r="906" ht="14.25" customHeight="1">
      <c r="Q906" s="441"/>
      <c r="R906" s="362"/>
    </row>
    <row r="907" ht="14.25" customHeight="1">
      <c r="Q907" s="441"/>
      <c r="R907" s="362"/>
    </row>
    <row r="908" ht="14.25" customHeight="1">
      <c r="Q908" s="441"/>
      <c r="R908" s="362"/>
    </row>
    <row r="909" ht="14.25" customHeight="1">
      <c r="Q909" s="441"/>
      <c r="R909" s="362"/>
    </row>
    <row r="910" ht="14.25" customHeight="1">
      <c r="Q910" s="441"/>
      <c r="R910" s="362"/>
    </row>
    <row r="911" ht="14.25" customHeight="1">
      <c r="Q911" s="441"/>
      <c r="R911" s="362"/>
    </row>
    <row r="912" ht="14.25" customHeight="1">
      <c r="Q912" s="441"/>
      <c r="R912" s="362"/>
    </row>
    <row r="913" ht="14.25" customHeight="1">
      <c r="Q913" s="441"/>
      <c r="R913" s="362"/>
    </row>
    <row r="914" ht="14.25" customHeight="1">
      <c r="Q914" s="441"/>
      <c r="R914" s="362"/>
    </row>
    <row r="915" ht="14.25" customHeight="1">
      <c r="Q915" s="441"/>
      <c r="R915" s="362"/>
    </row>
    <row r="916" ht="14.25" customHeight="1">
      <c r="Q916" s="441"/>
      <c r="R916" s="362"/>
    </row>
    <row r="917" ht="14.25" customHeight="1">
      <c r="Q917" s="441"/>
      <c r="R917" s="362"/>
    </row>
    <row r="918" ht="14.25" customHeight="1">
      <c r="Q918" s="441"/>
      <c r="R918" s="362"/>
    </row>
    <row r="919" ht="14.25" customHeight="1">
      <c r="Q919" s="441"/>
      <c r="R919" s="362"/>
    </row>
    <row r="920" ht="14.25" customHeight="1">
      <c r="Q920" s="441"/>
      <c r="R920" s="362"/>
    </row>
    <row r="921" ht="14.25" customHeight="1">
      <c r="Q921" s="441"/>
      <c r="R921" s="362"/>
    </row>
    <row r="922" ht="14.25" customHeight="1">
      <c r="Q922" s="441"/>
      <c r="R922" s="362"/>
    </row>
    <row r="923" ht="14.25" customHeight="1">
      <c r="Q923" s="441"/>
      <c r="R923" s="362"/>
    </row>
    <row r="924" ht="14.25" customHeight="1">
      <c r="Q924" s="441"/>
      <c r="R924" s="362"/>
    </row>
    <row r="925" ht="14.25" customHeight="1">
      <c r="Q925" s="441"/>
      <c r="R925" s="362"/>
    </row>
    <row r="926" ht="14.25" customHeight="1">
      <c r="Q926" s="441"/>
      <c r="R926" s="362"/>
    </row>
    <row r="927" ht="14.25" customHeight="1">
      <c r="Q927" s="441"/>
      <c r="R927" s="362"/>
    </row>
    <row r="928" ht="14.25" customHeight="1">
      <c r="Q928" s="441"/>
      <c r="R928" s="362"/>
    </row>
    <row r="929" ht="14.25" customHeight="1">
      <c r="Q929" s="441"/>
      <c r="R929" s="362"/>
    </row>
    <row r="930" ht="14.25" customHeight="1">
      <c r="Q930" s="441"/>
      <c r="R930" s="362"/>
    </row>
    <row r="931" ht="14.25" customHeight="1">
      <c r="Q931" s="441"/>
      <c r="R931" s="362"/>
    </row>
    <row r="932" ht="14.25" customHeight="1">
      <c r="Q932" s="441"/>
      <c r="R932" s="362"/>
    </row>
    <row r="933" ht="14.25" customHeight="1">
      <c r="Q933" s="441"/>
      <c r="R933" s="362"/>
    </row>
    <row r="934" ht="14.25" customHeight="1">
      <c r="Q934" s="441"/>
      <c r="R934" s="362"/>
    </row>
    <row r="935" ht="14.25" customHeight="1">
      <c r="Q935" s="441"/>
      <c r="R935" s="362"/>
    </row>
    <row r="936" ht="14.25" customHeight="1">
      <c r="Q936" s="441"/>
      <c r="R936" s="362"/>
    </row>
    <row r="937" ht="14.25" customHeight="1">
      <c r="Q937" s="441"/>
      <c r="R937" s="362"/>
    </row>
    <row r="938" ht="14.25" customHeight="1">
      <c r="Q938" s="441"/>
      <c r="R938" s="362"/>
    </row>
    <row r="939" ht="14.25" customHeight="1">
      <c r="Q939" s="441"/>
      <c r="R939" s="362"/>
    </row>
    <row r="940" ht="14.25" customHeight="1">
      <c r="Q940" s="441"/>
      <c r="R940" s="362"/>
    </row>
    <row r="941" ht="14.25" customHeight="1">
      <c r="Q941" s="441"/>
      <c r="R941" s="362"/>
    </row>
    <row r="942" ht="14.25" customHeight="1">
      <c r="Q942" s="441"/>
      <c r="R942" s="362"/>
    </row>
    <row r="943" ht="14.25" customHeight="1">
      <c r="Q943" s="441"/>
      <c r="R943" s="362"/>
    </row>
    <row r="944" ht="14.25" customHeight="1">
      <c r="Q944" s="441"/>
      <c r="R944" s="362"/>
    </row>
    <row r="945" ht="14.25" customHeight="1">
      <c r="Q945" s="441"/>
      <c r="R945" s="362"/>
    </row>
    <row r="946" ht="14.25" customHeight="1">
      <c r="Q946" s="441"/>
      <c r="R946" s="362"/>
    </row>
    <row r="947" ht="14.25" customHeight="1">
      <c r="Q947" s="441"/>
      <c r="R947" s="362"/>
    </row>
    <row r="948" ht="14.25" customHeight="1">
      <c r="Q948" s="441"/>
      <c r="R948" s="362"/>
    </row>
    <row r="949" ht="14.25" customHeight="1">
      <c r="Q949" s="441"/>
      <c r="R949" s="362"/>
    </row>
    <row r="950" ht="14.25" customHeight="1">
      <c r="Q950" s="441"/>
      <c r="R950" s="362"/>
    </row>
    <row r="951" ht="14.25" customHeight="1">
      <c r="Q951" s="441"/>
      <c r="R951" s="362"/>
    </row>
    <row r="952" ht="14.25" customHeight="1">
      <c r="Q952" s="441"/>
      <c r="R952" s="362"/>
    </row>
    <row r="953" ht="14.25" customHeight="1">
      <c r="Q953" s="441"/>
      <c r="R953" s="362"/>
    </row>
    <row r="954" ht="14.25" customHeight="1">
      <c r="Q954" s="441"/>
      <c r="R954" s="362"/>
    </row>
    <row r="955" ht="14.25" customHeight="1">
      <c r="Q955" s="441"/>
      <c r="R955" s="362"/>
    </row>
    <row r="956" ht="14.25" customHeight="1">
      <c r="Q956" s="441"/>
      <c r="R956" s="362"/>
    </row>
    <row r="957" ht="14.25" customHeight="1">
      <c r="Q957" s="441"/>
      <c r="R957" s="362"/>
    </row>
    <row r="958" ht="14.25" customHeight="1">
      <c r="Q958" s="441"/>
      <c r="R958" s="362"/>
    </row>
    <row r="959" ht="14.25" customHeight="1">
      <c r="Q959" s="441"/>
      <c r="R959" s="362"/>
    </row>
    <row r="960" ht="14.25" customHeight="1">
      <c r="Q960" s="441"/>
      <c r="R960" s="362"/>
    </row>
    <row r="961" ht="14.25" customHeight="1">
      <c r="Q961" s="441"/>
      <c r="R961" s="362"/>
    </row>
    <row r="962" ht="14.25" customHeight="1">
      <c r="Q962" s="441"/>
      <c r="R962" s="362"/>
    </row>
    <row r="963" ht="14.25" customHeight="1">
      <c r="Q963" s="441"/>
      <c r="R963" s="362"/>
    </row>
    <row r="964" ht="14.25" customHeight="1">
      <c r="Q964" s="441"/>
      <c r="R964" s="362"/>
    </row>
    <row r="965" ht="14.25" customHeight="1">
      <c r="Q965" s="441"/>
      <c r="R965" s="362"/>
    </row>
    <row r="966" ht="14.25" customHeight="1">
      <c r="Q966" s="441"/>
      <c r="R966" s="362"/>
    </row>
    <row r="967" ht="14.25" customHeight="1">
      <c r="Q967" s="441"/>
      <c r="R967" s="362"/>
    </row>
    <row r="968" ht="14.25" customHeight="1">
      <c r="Q968" s="441"/>
      <c r="R968" s="362"/>
    </row>
    <row r="969" ht="14.25" customHeight="1">
      <c r="Q969" s="441"/>
      <c r="R969" s="362"/>
    </row>
    <row r="970" ht="14.25" customHeight="1">
      <c r="Q970" s="441"/>
      <c r="R970" s="362"/>
    </row>
    <row r="971" ht="14.25" customHeight="1">
      <c r="Q971" s="441"/>
      <c r="R971" s="362"/>
    </row>
    <row r="972" ht="14.25" customHeight="1">
      <c r="Q972" s="441"/>
      <c r="R972" s="362"/>
    </row>
    <row r="973" ht="14.25" customHeight="1">
      <c r="Q973" s="441"/>
      <c r="R973" s="362"/>
    </row>
    <row r="974" ht="14.25" customHeight="1">
      <c r="Q974" s="441"/>
      <c r="R974" s="362"/>
    </row>
    <row r="975" ht="14.25" customHeight="1">
      <c r="Q975" s="441"/>
      <c r="R975" s="362"/>
    </row>
    <row r="976" ht="14.25" customHeight="1">
      <c r="Q976" s="441"/>
      <c r="R976" s="362"/>
    </row>
    <row r="977" ht="14.25" customHeight="1">
      <c r="Q977" s="441"/>
      <c r="R977" s="362"/>
    </row>
    <row r="978" ht="14.25" customHeight="1">
      <c r="Q978" s="441"/>
      <c r="R978" s="362"/>
    </row>
    <row r="979" ht="14.25" customHeight="1">
      <c r="Q979" s="441"/>
      <c r="R979" s="362"/>
    </row>
    <row r="980" ht="14.25" customHeight="1">
      <c r="Q980" s="441"/>
      <c r="R980" s="362"/>
    </row>
    <row r="981" ht="14.25" customHeight="1">
      <c r="Q981" s="441"/>
      <c r="R981" s="362"/>
    </row>
    <row r="982" ht="14.25" customHeight="1">
      <c r="Q982" s="441"/>
      <c r="R982" s="362"/>
    </row>
    <row r="983" ht="14.25" customHeight="1">
      <c r="Q983" s="441"/>
      <c r="R983" s="362"/>
    </row>
    <row r="984" ht="14.25" customHeight="1">
      <c r="Q984" s="441"/>
      <c r="R984" s="362"/>
    </row>
    <row r="985" ht="14.25" customHeight="1">
      <c r="Q985" s="441"/>
      <c r="R985" s="362"/>
    </row>
    <row r="986" ht="14.25" customHeight="1">
      <c r="Q986" s="441"/>
      <c r="R986" s="362"/>
    </row>
    <row r="987" ht="14.25" customHeight="1">
      <c r="Q987" s="441"/>
      <c r="R987" s="362"/>
    </row>
    <row r="988" ht="14.25" customHeight="1">
      <c r="Q988" s="441"/>
      <c r="R988" s="362"/>
    </row>
    <row r="989" ht="14.25" customHeight="1">
      <c r="Q989" s="441"/>
      <c r="R989" s="362"/>
    </row>
    <row r="990" ht="14.25" customHeight="1">
      <c r="Q990" s="441"/>
      <c r="R990" s="362"/>
    </row>
    <row r="991" ht="14.25" customHeight="1">
      <c r="Q991" s="441"/>
      <c r="R991" s="362"/>
    </row>
    <row r="992" ht="14.25" customHeight="1">
      <c r="Q992" s="441"/>
      <c r="R992" s="362"/>
    </row>
    <row r="993" ht="14.25" customHeight="1">
      <c r="Q993" s="441"/>
      <c r="R993" s="362"/>
    </row>
    <row r="994" ht="14.25" customHeight="1">
      <c r="Q994" s="441"/>
      <c r="R994" s="362"/>
    </row>
    <row r="995" ht="14.25" customHeight="1">
      <c r="Q995" s="441"/>
      <c r="R995" s="362"/>
    </row>
    <row r="996" ht="14.25" customHeight="1">
      <c r="Q996" s="441"/>
      <c r="R996" s="362"/>
    </row>
    <row r="997" ht="14.25" customHeight="1">
      <c r="Q997" s="441"/>
      <c r="R997" s="362"/>
    </row>
    <row r="998" ht="14.25" customHeight="1">
      <c r="Q998" s="441"/>
      <c r="R998" s="362"/>
    </row>
    <row r="999" ht="14.25" customHeight="1">
      <c r="Q999" s="441"/>
      <c r="R999" s="362"/>
    </row>
    <row r="1000" ht="14.25" customHeight="1">
      <c r="Q1000" s="441"/>
      <c r="R1000" s="362"/>
    </row>
    <row r="1001" ht="14.25" customHeight="1">
      <c r="Q1001" s="441"/>
      <c r="R1001" s="362"/>
    </row>
    <row r="1002" ht="14.25" customHeight="1">
      <c r="Q1002" s="441"/>
      <c r="R1002" s="362"/>
    </row>
    <row r="1003" ht="14.25" customHeight="1">
      <c r="Q1003" s="441"/>
      <c r="R1003" s="362"/>
    </row>
  </sheetData>
  <mergeCells count="34">
    <mergeCell ref="I7:L7"/>
    <mergeCell ref="Q7:V7"/>
    <mergeCell ref="J9:J10"/>
    <mergeCell ref="K9:K10"/>
    <mergeCell ref="L9:L10"/>
    <mergeCell ref="M9:M10"/>
    <mergeCell ref="N9:N10"/>
    <mergeCell ref="Q9:Q10"/>
    <mergeCell ref="R9:R10"/>
    <mergeCell ref="S9:S10"/>
    <mergeCell ref="T9:T10"/>
    <mergeCell ref="U9:U10"/>
    <mergeCell ref="R1:T3"/>
    <mergeCell ref="A7:A10"/>
    <mergeCell ref="B7:B10"/>
    <mergeCell ref="E7:F7"/>
    <mergeCell ref="G7:H8"/>
    <mergeCell ref="O7:P9"/>
    <mergeCell ref="W7:W10"/>
    <mergeCell ref="V9:V10"/>
    <mergeCell ref="C7:D7"/>
    <mergeCell ref="C8:D8"/>
    <mergeCell ref="E8:E10"/>
    <mergeCell ref="F8:F10"/>
    <mergeCell ref="I8:J8"/>
    <mergeCell ref="K8:L8"/>
    <mergeCell ref="M8:N8"/>
    <mergeCell ref="Q8:R8"/>
    <mergeCell ref="S8:T8"/>
    <mergeCell ref="U8:V8"/>
    <mergeCell ref="C9:C10"/>
    <mergeCell ref="D9:D10"/>
    <mergeCell ref="G9:H9"/>
    <mergeCell ref="I9:I10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63.43"/>
    <col customWidth="1" min="2" max="2" width="18.0"/>
    <col customWidth="1" min="3" max="3" width="22.86"/>
    <col customWidth="1" min="4" max="4" width="19.29"/>
    <col customWidth="1" min="5" max="6" width="17.29"/>
    <col customWidth="1" min="7" max="13" width="23.86"/>
  </cols>
  <sheetData>
    <row r="1" ht="30.75" customHeight="1">
      <c r="A1" s="292" t="s">
        <v>0</v>
      </c>
      <c r="B1" s="442"/>
      <c r="C1" s="423"/>
      <c r="D1" s="443"/>
      <c r="E1" s="357"/>
      <c r="F1" s="357"/>
      <c r="G1" s="307"/>
      <c r="H1" s="307"/>
      <c r="I1" s="307"/>
      <c r="J1" s="307"/>
      <c r="K1" s="307"/>
      <c r="L1" s="307"/>
      <c r="M1" s="307"/>
    </row>
    <row r="2" ht="27.0" customHeight="1">
      <c r="A2" s="297" t="s">
        <v>1</v>
      </c>
      <c r="B2" s="298"/>
      <c r="C2" s="298"/>
      <c r="D2" s="444"/>
      <c r="E2" s="295"/>
      <c r="F2" s="295"/>
      <c r="G2" s="298"/>
      <c r="H2" s="298"/>
      <c r="I2" s="298"/>
      <c r="J2" s="298"/>
      <c r="K2" s="298"/>
      <c r="L2" s="298"/>
      <c r="M2" s="298"/>
    </row>
    <row r="3" ht="27.0" customHeight="1">
      <c r="A3" s="445" t="s">
        <v>654</v>
      </c>
      <c r="B3" s="423"/>
      <c r="C3" s="423"/>
      <c r="D3" s="443"/>
      <c r="E3" s="357"/>
      <c r="F3" s="357"/>
      <c r="G3" s="307"/>
      <c r="H3" s="307"/>
      <c r="I3" s="307"/>
      <c r="J3" s="307"/>
      <c r="K3" s="307"/>
      <c r="L3" s="307"/>
      <c r="M3" s="307"/>
    </row>
    <row r="4" ht="25.5" customHeight="1">
      <c r="A4" s="445" t="s">
        <v>655</v>
      </c>
      <c r="B4" s="423"/>
      <c r="C4" s="423"/>
      <c r="D4" s="443"/>
      <c r="E4" s="357"/>
      <c r="F4" s="357"/>
      <c r="G4" s="307"/>
      <c r="H4" s="307"/>
      <c r="I4" s="307"/>
      <c r="J4" s="307"/>
      <c r="K4" s="307"/>
      <c r="L4" s="307"/>
      <c r="M4" s="307"/>
    </row>
    <row r="5" ht="25.5" customHeight="1">
      <c r="A5" s="445" t="s">
        <v>4</v>
      </c>
      <c r="B5" s="423"/>
      <c r="C5" s="423"/>
      <c r="D5" s="443"/>
      <c r="E5" s="357"/>
      <c r="F5" s="357"/>
      <c r="G5" s="307"/>
      <c r="H5" s="307"/>
      <c r="I5" s="307"/>
      <c r="J5" s="307"/>
      <c r="K5" s="307"/>
      <c r="L5" s="307"/>
      <c r="M5" s="307"/>
    </row>
    <row r="6" ht="20.25" customHeight="1">
      <c r="A6" s="423"/>
      <c r="B6" s="423"/>
      <c r="C6" s="423"/>
      <c r="D6" s="443"/>
      <c r="E6" s="357"/>
      <c r="F6" s="357"/>
      <c r="G6" s="307"/>
      <c r="H6" s="307"/>
      <c r="I6" s="307"/>
      <c r="J6" s="307"/>
      <c r="K6" s="307"/>
      <c r="L6" s="307"/>
      <c r="M6" s="307"/>
    </row>
    <row r="7" ht="20.25" customHeight="1">
      <c r="A7" s="373" t="s">
        <v>656</v>
      </c>
      <c r="B7" s="373" t="s">
        <v>6</v>
      </c>
      <c r="C7" s="367" t="s">
        <v>530</v>
      </c>
      <c r="D7" s="18"/>
      <c r="E7" s="311" t="s">
        <v>8</v>
      </c>
      <c r="F7" s="14"/>
      <c r="G7" s="312" t="s">
        <v>9</v>
      </c>
      <c r="H7" s="17"/>
      <c r="I7" s="17"/>
      <c r="J7" s="17"/>
      <c r="K7" s="17"/>
      <c r="L7" s="18"/>
      <c r="M7" s="313" t="s">
        <v>657</v>
      </c>
    </row>
    <row r="8" ht="1.5" customHeight="1">
      <c r="A8" s="19"/>
      <c r="B8" s="19"/>
      <c r="C8" s="373" t="s">
        <v>14</v>
      </c>
      <c r="D8" s="446" t="s">
        <v>18</v>
      </c>
      <c r="E8" s="20"/>
      <c r="F8" s="21"/>
      <c r="G8" s="312" t="s">
        <v>11</v>
      </c>
      <c r="H8" s="18"/>
      <c r="I8" s="312" t="s">
        <v>12</v>
      </c>
      <c r="J8" s="18"/>
      <c r="K8" s="312" t="s">
        <v>13</v>
      </c>
      <c r="L8" s="18"/>
      <c r="M8" s="19"/>
    </row>
    <row r="9" ht="36.0" customHeight="1">
      <c r="A9" s="19"/>
      <c r="B9" s="19"/>
      <c r="C9" s="19"/>
      <c r="D9" s="19"/>
      <c r="E9" s="311" t="s">
        <v>16</v>
      </c>
      <c r="F9" s="14"/>
      <c r="G9" s="315" t="s">
        <v>17</v>
      </c>
      <c r="H9" s="316" t="s">
        <v>18</v>
      </c>
      <c r="I9" s="315" t="s">
        <v>17</v>
      </c>
      <c r="J9" s="316" t="s">
        <v>18</v>
      </c>
      <c r="K9" s="315" t="s">
        <v>17</v>
      </c>
      <c r="L9" s="316" t="s">
        <v>18</v>
      </c>
      <c r="M9" s="19"/>
    </row>
    <row r="10" ht="77.25" customHeight="1">
      <c r="A10" s="26"/>
      <c r="B10" s="26"/>
      <c r="C10" s="26"/>
      <c r="D10" s="26"/>
      <c r="E10" s="318" t="s">
        <v>17</v>
      </c>
      <c r="F10" s="319" t="s">
        <v>18</v>
      </c>
      <c r="G10" s="26"/>
      <c r="H10" s="26"/>
      <c r="I10" s="26"/>
      <c r="J10" s="26"/>
      <c r="K10" s="26"/>
      <c r="L10" s="26"/>
      <c r="M10" s="26"/>
    </row>
    <row r="11" ht="24.0" customHeight="1">
      <c r="A11" s="383" t="s">
        <v>619</v>
      </c>
      <c r="B11" s="390"/>
      <c r="C11" s="390"/>
      <c r="D11" s="447"/>
      <c r="E11" s="391"/>
      <c r="F11" s="398"/>
      <c r="G11" s="344"/>
      <c r="H11" s="344"/>
      <c r="I11" s="344"/>
      <c r="J11" s="344"/>
      <c r="K11" s="344"/>
      <c r="L11" s="344"/>
      <c r="M11" s="344"/>
    </row>
    <row r="12" ht="40.5" customHeight="1">
      <c r="A12" s="383" t="s">
        <v>658</v>
      </c>
      <c r="B12" s="390"/>
      <c r="C12" s="390"/>
      <c r="D12" s="447"/>
      <c r="E12" s="391"/>
      <c r="F12" s="398"/>
      <c r="G12" s="344"/>
      <c r="H12" s="344"/>
      <c r="I12" s="344"/>
      <c r="J12" s="344"/>
      <c r="K12" s="344"/>
      <c r="L12" s="344"/>
      <c r="M12" s="344"/>
    </row>
    <row r="13" ht="48.0" customHeight="1">
      <c r="A13" s="390" t="s">
        <v>659</v>
      </c>
      <c r="B13" s="390"/>
      <c r="C13" s="390"/>
      <c r="D13" s="448">
        <v>60.0</v>
      </c>
      <c r="E13" s="391"/>
      <c r="F13" s="398"/>
      <c r="G13" s="344"/>
      <c r="H13" s="344"/>
      <c r="I13" s="344"/>
      <c r="J13" s="344"/>
      <c r="K13" s="344"/>
      <c r="L13" s="344"/>
      <c r="M13" s="344"/>
    </row>
    <row r="14" ht="25.5" customHeight="1">
      <c r="A14" s="449" t="s">
        <v>660</v>
      </c>
      <c r="B14" s="394" t="s">
        <v>32</v>
      </c>
      <c r="C14" s="396">
        <v>1.0</v>
      </c>
      <c r="D14" s="450"/>
      <c r="E14" s="391"/>
      <c r="F14" s="398"/>
      <c r="G14" s="344"/>
      <c r="H14" s="344"/>
      <c r="I14" s="344"/>
      <c r="J14" s="344"/>
      <c r="K14" s="344"/>
      <c r="L14" s="344"/>
      <c r="M14" s="344"/>
    </row>
    <row r="15" ht="20.25" customHeight="1">
      <c r="A15" s="449" t="s">
        <v>661</v>
      </c>
      <c r="B15" s="394" t="s">
        <v>32</v>
      </c>
      <c r="C15" s="396">
        <v>25.0</v>
      </c>
      <c r="D15" s="450"/>
      <c r="E15" s="391"/>
      <c r="F15" s="398"/>
      <c r="G15" s="344"/>
      <c r="H15" s="344"/>
      <c r="I15" s="344"/>
      <c r="J15" s="344"/>
      <c r="K15" s="344"/>
      <c r="L15" s="344"/>
      <c r="M15" s="344"/>
    </row>
    <row r="16" ht="31.5" customHeight="1">
      <c r="A16" s="390" t="s">
        <v>662</v>
      </c>
      <c r="B16" s="390"/>
      <c r="C16" s="396"/>
      <c r="D16" s="448">
        <v>50.0</v>
      </c>
      <c r="E16" s="391">
        <v>4.0</v>
      </c>
      <c r="F16" s="398">
        <v>175.0</v>
      </c>
      <c r="G16" s="344"/>
      <c r="H16" s="344"/>
      <c r="I16" s="344"/>
      <c r="J16" s="344"/>
      <c r="K16" s="344"/>
      <c r="L16" s="344"/>
      <c r="M16" s="344"/>
    </row>
    <row r="17" ht="33.0" customHeight="1">
      <c r="A17" s="449" t="s">
        <v>663</v>
      </c>
      <c r="B17" s="394" t="s">
        <v>32</v>
      </c>
      <c r="C17" s="390">
        <v>1.0</v>
      </c>
      <c r="D17" s="450"/>
      <c r="E17" s="391"/>
      <c r="F17" s="398"/>
      <c r="G17" s="344"/>
      <c r="H17" s="344"/>
      <c r="I17" s="344"/>
      <c r="J17" s="344"/>
      <c r="K17" s="344"/>
      <c r="L17" s="344"/>
      <c r="M17" s="344"/>
    </row>
    <row r="18" ht="24.0" customHeight="1">
      <c r="A18" s="390" t="s">
        <v>664</v>
      </c>
      <c r="B18" s="390"/>
      <c r="C18" s="396"/>
      <c r="D18" s="448">
        <v>90.0</v>
      </c>
      <c r="E18" s="391"/>
      <c r="F18" s="398"/>
      <c r="G18" s="344"/>
      <c r="H18" s="344"/>
      <c r="I18" s="344"/>
      <c r="J18" s="344"/>
      <c r="K18" s="344"/>
      <c r="L18" s="344"/>
      <c r="M18" s="344"/>
    </row>
    <row r="19" ht="20.25" customHeight="1">
      <c r="A19" s="449" t="s">
        <v>665</v>
      </c>
      <c r="B19" s="394" t="s">
        <v>32</v>
      </c>
      <c r="C19" s="390">
        <v>1.0</v>
      </c>
      <c r="D19" s="450"/>
      <c r="E19" s="391"/>
      <c r="F19" s="398"/>
      <c r="G19" s="344"/>
      <c r="H19" s="344"/>
      <c r="I19" s="344"/>
      <c r="J19" s="344"/>
      <c r="K19" s="344"/>
      <c r="L19" s="344"/>
      <c r="M19" s="344"/>
    </row>
    <row r="20" ht="20.25" customHeight="1">
      <c r="A20" s="390"/>
      <c r="B20" s="390"/>
      <c r="C20" s="390"/>
      <c r="D20" s="450"/>
      <c r="E20" s="391"/>
      <c r="F20" s="398"/>
      <c r="G20" s="344"/>
      <c r="H20" s="344"/>
      <c r="I20" s="344"/>
      <c r="J20" s="344"/>
      <c r="K20" s="344"/>
      <c r="L20" s="344"/>
      <c r="M20" s="344"/>
    </row>
    <row r="21" ht="20.25" hidden="1" customHeight="1">
      <c r="A21" s="383" t="s">
        <v>666</v>
      </c>
      <c r="B21" s="390"/>
      <c r="C21" s="390"/>
      <c r="D21" s="450"/>
      <c r="E21" s="391"/>
      <c r="F21" s="398"/>
      <c r="G21" s="344"/>
      <c r="H21" s="344"/>
      <c r="I21" s="344"/>
      <c r="J21" s="344"/>
      <c r="K21" s="344"/>
      <c r="L21" s="344"/>
      <c r="M21" s="344"/>
    </row>
    <row r="22" ht="20.25" hidden="1" customHeight="1">
      <c r="A22" s="390" t="s">
        <v>667</v>
      </c>
      <c r="B22" s="390"/>
      <c r="C22" s="390"/>
      <c r="D22" s="450"/>
      <c r="E22" s="391"/>
      <c r="F22" s="398"/>
      <c r="G22" s="344"/>
      <c r="H22" s="344"/>
      <c r="I22" s="344"/>
      <c r="J22" s="344"/>
      <c r="K22" s="344"/>
      <c r="L22" s="344"/>
      <c r="M22" s="344"/>
    </row>
    <row r="23" ht="20.25" hidden="1" customHeight="1">
      <c r="A23" s="396" t="s">
        <v>668</v>
      </c>
      <c r="B23" s="394" t="s">
        <v>32</v>
      </c>
      <c r="C23" s="390"/>
      <c r="D23" s="450" t="s">
        <v>669</v>
      </c>
      <c r="E23" s="391"/>
      <c r="F23" s="398"/>
      <c r="G23" s="344"/>
      <c r="H23" s="344"/>
      <c r="I23" s="344"/>
      <c r="J23" s="344"/>
      <c r="K23" s="344"/>
      <c r="L23" s="344"/>
      <c r="M23" s="344"/>
    </row>
    <row r="24" ht="20.25" hidden="1" customHeight="1">
      <c r="A24" s="390"/>
      <c r="B24" s="390"/>
      <c r="C24" s="390"/>
      <c r="D24" s="450"/>
      <c r="E24" s="391"/>
      <c r="F24" s="398"/>
      <c r="G24" s="344"/>
      <c r="H24" s="344"/>
      <c r="I24" s="344"/>
      <c r="J24" s="344"/>
      <c r="K24" s="344"/>
      <c r="L24" s="344"/>
      <c r="M24" s="344"/>
    </row>
    <row r="25" ht="20.25" customHeight="1">
      <c r="A25" s="420" t="s">
        <v>71</v>
      </c>
      <c r="B25" s="390"/>
      <c r="C25" s="390"/>
      <c r="D25" s="447">
        <f>SUM(D13:D19)</f>
        <v>200</v>
      </c>
      <c r="E25" s="345"/>
      <c r="F25" s="345">
        <f>F16</f>
        <v>175</v>
      </c>
      <c r="G25" s="344"/>
      <c r="H25" s="344"/>
      <c r="I25" s="344"/>
      <c r="J25" s="344"/>
      <c r="K25" s="344"/>
      <c r="L25" s="344"/>
      <c r="M25" s="344"/>
    </row>
    <row r="26" ht="20.25" customHeight="1">
      <c r="A26" s="423"/>
      <c r="B26" s="426"/>
      <c r="C26" s="426"/>
      <c r="D26" s="451"/>
      <c r="E26" s="357"/>
      <c r="F26" s="357"/>
      <c r="G26" s="304"/>
      <c r="H26" s="304"/>
      <c r="I26" s="307"/>
      <c r="J26" s="307"/>
      <c r="K26" s="307"/>
      <c r="L26" s="307"/>
      <c r="M26" s="307"/>
    </row>
    <row r="27" ht="25.5" customHeight="1">
      <c r="A27" s="67" t="s">
        <v>72</v>
      </c>
      <c r="B27" s="304"/>
      <c r="E27" s="438" t="s">
        <v>159</v>
      </c>
      <c r="F27" s="298"/>
      <c r="G27" s="352"/>
      <c r="H27" s="352"/>
      <c r="I27" s="352"/>
      <c r="J27" s="352"/>
      <c r="K27" s="352"/>
      <c r="L27" s="249" t="s">
        <v>74</v>
      </c>
      <c r="M27" s="298"/>
    </row>
    <row r="28" ht="15.75" customHeight="1">
      <c r="A28" s="250"/>
      <c r="B28" s="304"/>
      <c r="E28" s="296"/>
      <c r="F28" s="298"/>
      <c r="G28" s="307"/>
      <c r="H28" s="307"/>
      <c r="I28" s="307"/>
      <c r="J28" s="307"/>
      <c r="K28" s="307"/>
      <c r="L28" s="251"/>
      <c r="M28" s="298"/>
    </row>
    <row r="29" ht="12.75" customHeight="1">
      <c r="A29" s="250"/>
      <c r="B29" s="347"/>
      <c r="E29" s="296"/>
      <c r="F29" s="298"/>
      <c r="G29" s="307"/>
      <c r="H29" s="307"/>
      <c r="I29" s="307"/>
      <c r="J29" s="307"/>
      <c r="K29" s="307"/>
      <c r="L29" s="251"/>
      <c r="M29" s="298"/>
    </row>
    <row r="30" ht="23.25" customHeight="1">
      <c r="A30" s="296"/>
      <c r="B30" s="347"/>
      <c r="E30" s="296"/>
      <c r="F30" s="304"/>
      <c r="G30" s="307"/>
      <c r="H30" s="307"/>
      <c r="I30" s="307"/>
      <c r="J30" s="307"/>
      <c r="K30" s="307"/>
      <c r="L30" s="251"/>
      <c r="M30" s="304"/>
    </row>
    <row r="31" ht="15.75" customHeight="1">
      <c r="A31" s="250"/>
      <c r="B31" s="347"/>
      <c r="E31" s="296"/>
      <c r="F31" s="304"/>
      <c r="G31" s="307"/>
      <c r="H31" s="307"/>
      <c r="I31" s="307"/>
      <c r="J31" s="307"/>
      <c r="K31" s="307"/>
      <c r="L31" s="251"/>
      <c r="M31" s="304"/>
    </row>
    <row r="32" ht="21.75" customHeight="1">
      <c r="A32" s="76" t="s">
        <v>75</v>
      </c>
      <c r="B32" s="304"/>
      <c r="E32" s="439" t="s">
        <v>76</v>
      </c>
      <c r="F32" s="304"/>
      <c r="G32" s="307"/>
      <c r="H32" s="307"/>
      <c r="I32" s="307"/>
      <c r="J32" s="307"/>
      <c r="K32" s="307"/>
      <c r="L32" s="78" t="s">
        <v>77</v>
      </c>
      <c r="M32" s="304"/>
    </row>
    <row r="33" ht="24.0" customHeight="1">
      <c r="A33" s="247" t="s">
        <v>78</v>
      </c>
      <c r="B33" s="304"/>
      <c r="E33" s="438" t="s">
        <v>79</v>
      </c>
      <c r="F33" s="304"/>
      <c r="G33" s="352"/>
      <c r="H33" s="352"/>
      <c r="I33" s="352"/>
      <c r="J33" s="352"/>
      <c r="K33" s="352"/>
      <c r="L33" s="254" t="s">
        <v>80</v>
      </c>
      <c r="M33" s="304"/>
    </row>
    <row r="34" ht="20.25" customHeight="1">
      <c r="A34" s="76"/>
      <c r="B34" s="304"/>
      <c r="C34" s="304"/>
      <c r="D34" s="304"/>
      <c r="E34" s="357"/>
      <c r="F34" s="357"/>
      <c r="G34" s="307"/>
      <c r="H34" s="307"/>
      <c r="I34" s="307"/>
      <c r="J34" s="307"/>
      <c r="K34" s="307"/>
      <c r="L34" s="307"/>
      <c r="M34" s="307"/>
    </row>
    <row r="35" ht="20.25" customHeight="1">
      <c r="A35" s="247"/>
      <c r="B35" s="304"/>
      <c r="C35" s="426"/>
      <c r="D35" s="451"/>
      <c r="E35" s="357"/>
      <c r="F35" s="357"/>
      <c r="G35" s="307"/>
      <c r="H35" s="307"/>
      <c r="I35" s="307"/>
      <c r="J35" s="307"/>
      <c r="K35" s="307"/>
      <c r="L35" s="307"/>
      <c r="M35" s="307"/>
    </row>
    <row r="36" ht="20.25" customHeight="1">
      <c r="A36" s="79"/>
      <c r="B36" s="80"/>
      <c r="C36" s="307"/>
      <c r="D36" s="452"/>
      <c r="E36" s="357"/>
      <c r="F36" s="357"/>
      <c r="G36" s="307"/>
      <c r="H36" s="307"/>
      <c r="I36" s="307"/>
      <c r="J36" s="307"/>
      <c r="K36" s="307"/>
      <c r="L36" s="307"/>
      <c r="M36" s="307"/>
    </row>
    <row r="37" ht="20.25" customHeight="1">
      <c r="A37" s="353"/>
      <c r="B37" s="349"/>
      <c r="C37" s="307"/>
      <c r="D37" s="452"/>
      <c r="E37" s="357"/>
      <c r="F37" s="357"/>
      <c r="G37" s="307"/>
      <c r="H37" s="307"/>
      <c r="I37" s="307"/>
      <c r="J37" s="307"/>
      <c r="K37" s="307"/>
      <c r="L37" s="307"/>
      <c r="M37" s="307"/>
    </row>
    <row r="38" ht="20.25" customHeight="1">
      <c r="A38" s="307"/>
      <c r="B38" s="354"/>
      <c r="C38" s="307"/>
      <c r="D38" s="452"/>
      <c r="E38" s="357"/>
      <c r="F38" s="357"/>
      <c r="G38" s="307"/>
      <c r="H38" s="307"/>
      <c r="I38" s="307"/>
      <c r="J38" s="307"/>
      <c r="K38" s="307"/>
      <c r="L38" s="307"/>
      <c r="M38" s="307"/>
    </row>
    <row r="39" ht="20.25" customHeight="1">
      <c r="A39" s="307"/>
      <c r="B39" s="354"/>
      <c r="C39" s="307"/>
      <c r="D39" s="452"/>
      <c r="E39" s="357"/>
      <c r="F39" s="357"/>
      <c r="G39" s="307"/>
      <c r="H39" s="307"/>
      <c r="I39" s="307"/>
      <c r="J39" s="307"/>
      <c r="K39" s="307"/>
      <c r="L39" s="307"/>
      <c r="M39" s="307"/>
    </row>
    <row r="40" ht="20.25" customHeight="1">
      <c r="A40" s="307"/>
      <c r="B40" s="354"/>
      <c r="C40" s="307"/>
      <c r="D40" s="452"/>
      <c r="E40" s="357"/>
      <c r="F40" s="357"/>
      <c r="G40" s="307"/>
      <c r="H40" s="307"/>
      <c r="I40" s="307"/>
      <c r="J40" s="307"/>
      <c r="K40" s="307"/>
      <c r="L40" s="307"/>
      <c r="M40" s="307"/>
    </row>
    <row r="41" ht="20.25" customHeight="1">
      <c r="A41" s="307"/>
      <c r="B41" s="354"/>
      <c r="C41" s="307"/>
      <c r="D41" s="452"/>
      <c r="E41" s="357"/>
      <c r="F41" s="357"/>
      <c r="G41" s="307"/>
      <c r="H41" s="307"/>
      <c r="I41" s="307"/>
      <c r="J41" s="307"/>
      <c r="K41" s="307"/>
      <c r="L41" s="307"/>
      <c r="M41" s="307"/>
    </row>
    <row r="42" ht="20.25" customHeight="1">
      <c r="A42" s="307"/>
      <c r="B42" s="426"/>
      <c r="C42" s="307"/>
      <c r="D42" s="452"/>
      <c r="E42" s="357"/>
      <c r="F42" s="357"/>
      <c r="G42" s="307"/>
      <c r="H42" s="307"/>
      <c r="I42" s="307"/>
      <c r="J42" s="307"/>
      <c r="K42" s="307"/>
      <c r="L42" s="307"/>
      <c r="M42" s="307"/>
    </row>
    <row r="43" ht="20.25" customHeight="1">
      <c r="A43" s="307"/>
      <c r="B43" s="307"/>
      <c r="C43" s="307"/>
      <c r="D43" s="452"/>
      <c r="E43" s="357"/>
      <c r="F43" s="357"/>
      <c r="G43" s="307"/>
      <c r="H43" s="307"/>
      <c r="I43" s="307"/>
      <c r="J43" s="307"/>
      <c r="K43" s="307"/>
      <c r="L43" s="307"/>
      <c r="M43" s="307"/>
    </row>
    <row r="44" ht="20.25" customHeight="1">
      <c r="A44" s="307"/>
      <c r="B44" s="307"/>
      <c r="C44" s="307"/>
      <c r="D44" s="452"/>
      <c r="E44" s="357"/>
      <c r="F44" s="357"/>
      <c r="G44" s="307"/>
      <c r="H44" s="307"/>
      <c r="I44" s="307"/>
      <c r="J44" s="307"/>
      <c r="K44" s="307"/>
      <c r="L44" s="307"/>
      <c r="M44" s="307"/>
    </row>
    <row r="45" ht="20.25" customHeight="1">
      <c r="A45" s="307"/>
      <c r="B45" s="307"/>
      <c r="C45" s="307"/>
      <c r="D45" s="452"/>
      <c r="E45" s="357"/>
      <c r="F45" s="357"/>
      <c r="G45" s="307"/>
      <c r="H45" s="307"/>
      <c r="I45" s="307"/>
      <c r="J45" s="307"/>
      <c r="K45" s="307"/>
      <c r="L45" s="307"/>
      <c r="M45" s="307"/>
    </row>
    <row r="46" ht="20.25" customHeight="1">
      <c r="A46" s="307"/>
      <c r="B46" s="307"/>
      <c r="C46" s="307"/>
      <c r="D46" s="452"/>
      <c r="E46" s="357"/>
      <c r="F46" s="357"/>
      <c r="G46" s="307"/>
      <c r="H46" s="307"/>
      <c r="I46" s="307"/>
      <c r="J46" s="307"/>
      <c r="K46" s="307"/>
      <c r="L46" s="307"/>
      <c r="M46" s="307"/>
    </row>
    <row r="47" ht="20.25" customHeight="1">
      <c r="A47" s="307"/>
      <c r="B47" s="307"/>
      <c r="C47" s="307"/>
      <c r="D47" s="452"/>
      <c r="E47" s="357"/>
      <c r="F47" s="357"/>
      <c r="G47" s="307"/>
      <c r="H47" s="307"/>
      <c r="I47" s="307"/>
      <c r="J47" s="307"/>
      <c r="K47" s="307"/>
      <c r="L47" s="307"/>
      <c r="M47" s="307"/>
    </row>
    <row r="48" ht="20.25" customHeight="1">
      <c r="A48" s="307"/>
      <c r="B48" s="307"/>
      <c r="C48" s="307"/>
      <c r="D48" s="452"/>
      <c r="E48" s="357"/>
      <c r="F48" s="357"/>
      <c r="G48" s="307"/>
      <c r="H48" s="307"/>
      <c r="I48" s="307"/>
      <c r="J48" s="307"/>
      <c r="K48" s="307"/>
      <c r="L48" s="307"/>
      <c r="M48" s="307"/>
    </row>
    <row r="49" ht="20.25" customHeight="1">
      <c r="A49" s="307"/>
      <c r="B49" s="307"/>
      <c r="C49" s="307"/>
      <c r="D49" s="452"/>
      <c r="E49" s="357"/>
      <c r="F49" s="357"/>
      <c r="G49" s="307"/>
      <c r="H49" s="307"/>
      <c r="I49" s="307"/>
      <c r="J49" s="307"/>
      <c r="K49" s="307"/>
      <c r="L49" s="307"/>
      <c r="M49" s="307"/>
    </row>
    <row r="50" ht="20.25" customHeight="1">
      <c r="A50" s="307"/>
      <c r="B50" s="307"/>
      <c r="C50" s="307"/>
      <c r="D50" s="452"/>
      <c r="E50" s="357"/>
      <c r="F50" s="357"/>
      <c r="G50" s="307"/>
      <c r="H50" s="307"/>
      <c r="I50" s="307"/>
      <c r="J50" s="307"/>
      <c r="K50" s="307"/>
      <c r="L50" s="307"/>
      <c r="M50" s="307"/>
    </row>
    <row r="51" ht="20.25" customHeight="1">
      <c r="A51" s="307"/>
      <c r="B51" s="307"/>
      <c r="C51" s="307"/>
      <c r="D51" s="452"/>
      <c r="E51" s="357"/>
      <c r="F51" s="357"/>
      <c r="G51" s="307"/>
      <c r="H51" s="307"/>
      <c r="I51" s="307"/>
      <c r="J51" s="307"/>
      <c r="K51" s="307"/>
      <c r="L51" s="307"/>
      <c r="M51" s="307"/>
    </row>
    <row r="52" ht="20.25" customHeight="1">
      <c r="A52" s="307"/>
      <c r="B52" s="307"/>
      <c r="C52" s="307"/>
      <c r="D52" s="452"/>
      <c r="E52" s="357"/>
      <c r="F52" s="357"/>
      <c r="G52" s="307"/>
      <c r="H52" s="307"/>
      <c r="I52" s="307"/>
      <c r="J52" s="307"/>
      <c r="K52" s="307"/>
      <c r="L52" s="307"/>
      <c r="M52" s="307"/>
    </row>
    <row r="53" ht="20.25" customHeight="1">
      <c r="A53" s="307"/>
      <c r="B53" s="307"/>
      <c r="C53" s="307"/>
      <c r="D53" s="452"/>
      <c r="E53" s="357"/>
      <c r="F53" s="357"/>
      <c r="G53" s="307"/>
      <c r="H53" s="307"/>
      <c r="I53" s="307"/>
      <c r="J53" s="307"/>
      <c r="K53" s="307"/>
      <c r="L53" s="307"/>
      <c r="M53" s="307"/>
    </row>
    <row r="54" ht="20.25" customHeight="1">
      <c r="A54" s="307"/>
      <c r="B54" s="307"/>
      <c r="C54" s="307"/>
      <c r="D54" s="452"/>
      <c r="E54" s="357"/>
      <c r="F54" s="357"/>
      <c r="G54" s="307"/>
      <c r="H54" s="307"/>
      <c r="I54" s="307"/>
      <c r="J54" s="307"/>
      <c r="K54" s="307"/>
      <c r="L54" s="307"/>
      <c r="M54" s="307"/>
    </row>
    <row r="55" ht="20.25" customHeight="1">
      <c r="A55" s="307"/>
      <c r="B55" s="307"/>
      <c r="C55" s="307"/>
      <c r="D55" s="452"/>
      <c r="E55" s="357"/>
      <c r="F55" s="357"/>
      <c r="G55" s="307"/>
      <c r="H55" s="307"/>
      <c r="I55" s="307"/>
      <c r="J55" s="307"/>
      <c r="K55" s="307"/>
      <c r="L55" s="307"/>
      <c r="M55" s="307"/>
    </row>
    <row r="56" ht="20.25" customHeight="1">
      <c r="A56" s="307"/>
      <c r="B56" s="307"/>
      <c r="C56" s="307"/>
      <c r="D56" s="452"/>
      <c r="E56" s="357"/>
      <c r="F56" s="357"/>
      <c r="G56" s="307"/>
      <c r="H56" s="307"/>
      <c r="I56" s="307"/>
      <c r="J56" s="307"/>
      <c r="K56" s="307"/>
      <c r="L56" s="307"/>
      <c r="M56" s="307"/>
    </row>
    <row r="57" ht="20.25" customHeight="1">
      <c r="A57" s="307"/>
      <c r="B57" s="307"/>
      <c r="C57" s="307"/>
      <c r="D57" s="452"/>
      <c r="E57" s="357"/>
      <c r="F57" s="357"/>
      <c r="G57" s="307"/>
      <c r="H57" s="307"/>
      <c r="I57" s="307"/>
      <c r="J57" s="307"/>
      <c r="K57" s="307"/>
      <c r="L57" s="307"/>
      <c r="M57" s="307"/>
    </row>
    <row r="58" ht="20.25" customHeight="1">
      <c r="A58" s="307"/>
      <c r="B58" s="307"/>
      <c r="C58" s="307"/>
      <c r="D58" s="452"/>
      <c r="E58" s="357"/>
      <c r="F58" s="357"/>
      <c r="G58" s="307"/>
      <c r="H58" s="307"/>
      <c r="I58" s="307"/>
      <c r="J58" s="307"/>
      <c r="K58" s="307"/>
      <c r="L58" s="307"/>
      <c r="M58" s="307"/>
    </row>
    <row r="59" ht="20.25" customHeight="1">
      <c r="A59" s="307"/>
      <c r="B59" s="307"/>
      <c r="C59" s="307"/>
      <c r="D59" s="452"/>
      <c r="E59" s="357"/>
      <c r="F59" s="357"/>
      <c r="G59" s="307"/>
      <c r="H59" s="307"/>
      <c r="I59" s="307"/>
      <c r="J59" s="307"/>
      <c r="K59" s="307"/>
      <c r="L59" s="307"/>
      <c r="M59" s="307"/>
    </row>
    <row r="60" ht="20.25" customHeight="1">
      <c r="A60" s="307"/>
      <c r="B60" s="307"/>
      <c r="C60" s="307"/>
      <c r="D60" s="452"/>
      <c r="E60" s="357"/>
      <c r="F60" s="357"/>
      <c r="G60" s="307"/>
      <c r="H60" s="307"/>
      <c r="I60" s="307"/>
      <c r="J60" s="307"/>
      <c r="K60" s="307"/>
      <c r="L60" s="307"/>
      <c r="M60" s="307"/>
    </row>
    <row r="61" ht="20.25" customHeight="1">
      <c r="A61" s="307"/>
      <c r="B61" s="307"/>
      <c r="C61" s="307"/>
      <c r="D61" s="452"/>
      <c r="E61" s="357"/>
      <c r="F61" s="357"/>
      <c r="G61" s="307"/>
      <c r="H61" s="307"/>
      <c r="I61" s="307"/>
      <c r="J61" s="307"/>
      <c r="K61" s="307"/>
      <c r="L61" s="307"/>
      <c r="M61" s="307"/>
    </row>
    <row r="62" ht="20.25" customHeight="1">
      <c r="A62" s="307"/>
      <c r="B62" s="307"/>
      <c r="C62" s="307"/>
      <c r="D62" s="452"/>
      <c r="E62" s="357"/>
      <c r="F62" s="357"/>
      <c r="G62" s="307"/>
      <c r="H62" s="307"/>
      <c r="I62" s="307"/>
      <c r="J62" s="307"/>
      <c r="K62" s="307"/>
      <c r="L62" s="307"/>
      <c r="M62" s="307"/>
    </row>
    <row r="63" ht="20.25" customHeight="1">
      <c r="A63" s="307"/>
      <c r="B63" s="307"/>
      <c r="C63" s="307"/>
      <c r="D63" s="452"/>
      <c r="E63" s="357"/>
      <c r="F63" s="357"/>
      <c r="G63" s="307"/>
      <c r="H63" s="307"/>
      <c r="I63" s="307"/>
      <c r="J63" s="307"/>
      <c r="K63" s="307"/>
      <c r="L63" s="307"/>
      <c r="M63" s="307"/>
    </row>
    <row r="64" ht="20.25" customHeight="1">
      <c r="A64" s="307"/>
      <c r="B64" s="307"/>
      <c r="C64" s="307"/>
      <c r="D64" s="452"/>
      <c r="E64" s="357"/>
      <c r="F64" s="357"/>
      <c r="G64" s="307"/>
      <c r="H64" s="307"/>
      <c r="I64" s="307"/>
      <c r="J64" s="307"/>
      <c r="K64" s="307"/>
      <c r="L64" s="307"/>
      <c r="M64" s="307"/>
    </row>
    <row r="65" ht="20.25" customHeight="1">
      <c r="A65" s="307"/>
      <c r="B65" s="307"/>
      <c r="C65" s="307"/>
      <c r="D65" s="452"/>
      <c r="E65" s="357"/>
      <c r="F65" s="357"/>
      <c r="G65" s="307"/>
      <c r="H65" s="307"/>
      <c r="I65" s="307"/>
      <c r="J65" s="307"/>
      <c r="K65" s="307"/>
      <c r="L65" s="307"/>
      <c r="M65" s="307"/>
    </row>
    <row r="66" ht="20.25" customHeight="1">
      <c r="A66" s="307"/>
      <c r="B66" s="307"/>
      <c r="C66" s="307"/>
      <c r="D66" s="452"/>
      <c r="E66" s="357"/>
      <c r="F66" s="357"/>
      <c r="G66" s="307"/>
      <c r="H66" s="307"/>
      <c r="I66" s="307"/>
      <c r="J66" s="307"/>
      <c r="K66" s="307"/>
      <c r="L66" s="307"/>
      <c r="M66" s="307"/>
    </row>
    <row r="67" ht="20.25" customHeight="1">
      <c r="A67" s="307"/>
      <c r="B67" s="307"/>
      <c r="C67" s="307"/>
      <c r="D67" s="452"/>
      <c r="E67" s="357"/>
      <c r="F67" s="357"/>
      <c r="G67" s="307"/>
      <c r="H67" s="307"/>
      <c r="I67" s="307"/>
      <c r="J67" s="307"/>
      <c r="K67" s="307"/>
      <c r="L67" s="307"/>
      <c r="M67" s="307"/>
    </row>
    <row r="68" ht="20.25" customHeight="1">
      <c r="A68" s="307"/>
      <c r="B68" s="307"/>
      <c r="C68" s="307"/>
      <c r="D68" s="452"/>
      <c r="E68" s="357"/>
      <c r="F68" s="357"/>
      <c r="G68" s="307"/>
      <c r="H68" s="307"/>
      <c r="I68" s="307"/>
      <c r="J68" s="307"/>
      <c r="K68" s="307"/>
      <c r="L68" s="307"/>
      <c r="M68" s="307"/>
    </row>
    <row r="69" ht="20.25" customHeight="1">
      <c r="A69" s="307"/>
      <c r="B69" s="307"/>
      <c r="C69" s="307"/>
      <c r="D69" s="452"/>
      <c r="E69" s="357"/>
      <c r="F69" s="357"/>
      <c r="G69" s="307"/>
      <c r="H69" s="307"/>
      <c r="I69" s="307"/>
      <c r="J69" s="307"/>
      <c r="K69" s="307"/>
      <c r="L69" s="307"/>
      <c r="M69" s="307"/>
    </row>
    <row r="70" ht="20.25" customHeight="1">
      <c r="A70" s="307"/>
      <c r="B70" s="307"/>
      <c r="C70" s="307"/>
      <c r="D70" s="452"/>
      <c r="E70" s="357"/>
      <c r="F70" s="357"/>
      <c r="G70" s="307"/>
      <c r="H70" s="307"/>
      <c r="I70" s="307"/>
      <c r="J70" s="307"/>
      <c r="K70" s="307"/>
      <c r="L70" s="307"/>
      <c r="M70" s="307"/>
    </row>
    <row r="71" ht="20.25" customHeight="1">
      <c r="A71" s="307"/>
      <c r="B71" s="307"/>
      <c r="C71" s="307"/>
      <c r="D71" s="452"/>
      <c r="E71" s="357"/>
      <c r="F71" s="357"/>
      <c r="G71" s="307"/>
      <c r="H71" s="307"/>
      <c r="I71" s="307"/>
      <c r="J71" s="307"/>
      <c r="K71" s="307"/>
      <c r="L71" s="307"/>
      <c r="M71" s="307"/>
    </row>
    <row r="72" ht="20.25" customHeight="1">
      <c r="A72" s="307"/>
      <c r="B72" s="307"/>
      <c r="C72" s="307"/>
      <c r="D72" s="452"/>
      <c r="E72" s="357"/>
      <c r="F72" s="357"/>
      <c r="G72" s="307"/>
      <c r="H72" s="307"/>
      <c r="I72" s="307"/>
      <c r="J72" s="307"/>
      <c r="K72" s="307"/>
      <c r="L72" s="307"/>
      <c r="M72" s="307"/>
    </row>
    <row r="73" ht="20.25" customHeight="1">
      <c r="A73" s="307"/>
      <c r="B73" s="307"/>
      <c r="C73" s="307"/>
      <c r="D73" s="452"/>
      <c r="E73" s="357"/>
      <c r="F73" s="357"/>
      <c r="G73" s="307"/>
      <c r="H73" s="307"/>
      <c r="I73" s="307"/>
      <c r="J73" s="307"/>
      <c r="K73" s="307"/>
      <c r="L73" s="307"/>
      <c r="M73" s="307"/>
    </row>
    <row r="74" ht="20.25" customHeight="1">
      <c r="A74" s="307"/>
      <c r="B74" s="307"/>
      <c r="C74" s="307"/>
      <c r="D74" s="452"/>
      <c r="E74" s="357"/>
      <c r="F74" s="357"/>
      <c r="G74" s="307"/>
      <c r="H74" s="307"/>
      <c r="I74" s="307"/>
      <c r="J74" s="307"/>
      <c r="K74" s="307"/>
      <c r="L74" s="307"/>
      <c r="M74" s="307"/>
    </row>
    <row r="75" ht="20.25" customHeight="1">
      <c r="A75" s="307"/>
      <c r="B75" s="307"/>
      <c r="C75" s="307"/>
      <c r="D75" s="452"/>
      <c r="E75" s="357"/>
      <c r="F75" s="357"/>
      <c r="G75" s="307"/>
      <c r="H75" s="307"/>
      <c r="I75" s="307"/>
      <c r="J75" s="307"/>
      <c r="K75" s="307"/>
      <c r="L75" s="307"/>
      <c r="M75" s="307"/>
    </row>
    <row r="76" ht="20.25" customHeight="1">
      <c r="A76" s="307"/>
      <c r="B76" s="307"/>
      <c r="C76" s="307"/>
      <c r="D76" s="452"/>
      <c r="E76" s="357"/>
      <c r="F76" s="357"/>
      <c r="G76" s="307"/>
      <c r="H76" s="307"/>
      <c r="I76" s="307"/>
      <c r="J76" s="307"/>
      <c r="K76" s="307"/>
      <c r="L76" s="307"/>
      <c r="M76" s="307"/>
    </row>
    <row r="77" ht="20.25" customHeight="1">
      <c r="A77" s="307"/>
      <c r="B77" s="307"/>
      <c r="C77" s="307"/>
      <c r="D77" s="452"/>
      <c r="E77" s="357"/>
      <c r="F77" s="357"/>
      <c r="G77" s="307"/>
      <c r="H77" s="307"/>
      <c r="I77" s="307"/>
      <c r="J77" s="307"/>
      <c r="K77" s="307"/>
      <c r="L77" s="307"/>
      <c r="M77" s="307"/>
    </row>
    <row r="78" ht="20.25" customHeight="1">
      <c r="A78" s="307"/>
      <c r="B78" s="307"/>
      <c r="C78" s="307"/>
      <c r="D78" s="452"/>
      <c r="E78" s="357"/>
      <c r="F78" s="357"/>
      <c r="G78" s="307"/>
      <c r="H78" s="307"/>
      <c r="I78" s="307"/>
      <c r="J78" s="307"/>
      <c r="K78" s="307"/>
      <c r="L78" s="307"/>
      <c r="M78" s="307"/>
    </row>
    <row r="79" ht="20.25" customHeight="1">
      <c r="A79" s="307"/>
      <c r="B79" s="307"/>
      <c r="C79" s="307"/>
      <c r="D79" s="452"/>
      <c r="E79" s="357"/>
      <c r="F79" s="357"/>
      <c r="G79" s="307"/>
      <c r="H79" s="307"/>
      <c r="I79" s="307"/>
      <c r="J79" s="307"/>
      <c r="K79" s="307"/>
      <c r="L79" s="307"/>
      <c r="M79" s="307"/>
    </row>
    <row r="80" ht="20.25" customHeight="1">
      <c r="A80" s="307"/>
      <c r="B80" s="307"/>
      <c r="C80" s="307"/>
      <c r="D80" s="452"/>
      <c r="E80" s="357"/>
      <c r="F80" s="357"/>
      <c r="G80" s="307"/>
      <c r="H80" s="307"/>
      <c r="I80" s="307"/>
      <c r="J80" s="307"/>
      <c r="K80" s="307"/>
      <c r="L80" s="307"/>
      <c r="M80" s="307"/>
    </row>
    <row r="81" ht="20.25" customHeight="1">
      <c r="A81" s="307"/>
      <c r="B81" s="307"/>
      <c r="C81" s="307"/>
      <c r="D81" s="452"/>
      <c r="E81" s="357"/>
      <c r="F81" s="357"/>
      <c r="G81" s="307"/>
      <c r="H81" s="307"/>
      <c r="I81" s="307"/>
      <c r="J81" s="307"/>
      <c r="K81" s="307"/>
      <c r="L81" s="307"/>
      <c r="M81" s="307"/>
    </row>
    <row r="82" ht="20.25" customHeight="1">
      <c r="A82" s="307"/>
      <c r="B82" s="307"/>
      <c r="C82" s="307"/>
      <c r="D82" s="452"/>
      <c r="E82" s="357"/>
      <c r="F82" s="357"/>
      <c r="G82" s="307"/>
      <c r="H82" s="307"/>
      <c r="I82" s="307"/>
      <c r="J82" s="307"/>
      <c r="K82" s="307"/>
      <c r="L82" s="307"/>
      <c r="M82" s="307"/>
    </row>
    <row r="83" ht="20.25" customHeight="1">
      <c r="A83" s="307"/>
      <c r="B83" s="307"/>
      <c r="C83" s="307"/>
      <c r="D83" s="452"/>
      <c r="E83" s="357"/>
      <c r="F83" s="357"/>
      <c r="G83" s="307"/>
      <c r="H83" s="307"/>
      <c r="I83" s="307"/>
      <c r="J83" s="307"/>
      <c r="K83" s="307"/>
      <c r="L83" s="307"/>
      <c r="M83" s="307"/>
    </row>
    <row r="84" ht="20.25" customHeight="1">
      <c r="A84" s="307"/>
      <c r="B84" s="307"/>
      <c r="C84" s="307"/>
      <c r="D84" s="452"/>
      <c r="E84" s="357"/>
      <c r="F84" s="357"/>
      <c r="G84" s="307"/>
      <c r="H84" s="307"/>
      <c r="I84" s="307"/>
      <c r="J84" s="307"/>
      <c r="K84" s="307"/>
      <c r="L84" s="307"/>
      <c r="M84" s="307"/>
    </row>
    <row r="85" ht="20.25" customHeight="1">
      <c r="A85" s="307"/>
      <c r="B85" s="307"/>
      <c r="C85" s="307"/>
      <c r="D85" s="452"/>
      <c r="E85" s="357"/>
      <c r="F85" s="357"/>
      <c r="G85" s="307"/>
      <c r="H85" s="307"/>
      <c r="I85" s="307"/>
      <c r="J85" s="307"/>
      <c r="K85" s="307"/>
      <c r="L85" s="307"/>
      <c r="M85" s="307"/>
    </row>
    <row r="86" ht="20.25" customHeight="1">
      <c r="A86" s="307"/>
      <c r="B86" s="307"/>
      <c r="C86" s="307"/>
      <c r="D86" s="452"/>
      <c r="E86" s="357"/>
      <c r="F86" s="357"/>
      <c r="G86" s="307"/>
      <c r="H86" s="307"/>
      <c r="I86" s="307"/>
      <c r="J86" s="307"/>
      <c r="K86" s="307"/>
      <c r="L86" s="307"/>
      <c r="M86" s="307"/>
    </row>
    <row r="87" ht="20.25" customHeight="1">
      <c r="A87" s="307"/>
      <c r="B87" s="307"/>
      <c r="C87" s="307"/>
      <c r="D87" s="452"/>
      <c r="E87" s="357"/>
      <c r="F87" s="357"/>
      <c r="G87" s="307"/>
      <c r="H87" s="307"/>
      <c r="I87" s="307"/>
      <c r="J87" s="307"/>
      <c r="K87" s="307"/>
      <c r="L87" s="307"/>
      <c r="M87" s="307"/>
    </row>
    <row r="88" ht="20.25" customHeight="1">
      <c r="A88" s="307"/>
      <c r="B88" s="307"/>
      <c r="C88" s="307"/>
      <c r="D88" s="452"/>
      <c r="E88" s="357"/>
      <c r="F88" s="357"/>
      <c r="G88" s="307"/>
      <c r="H88" s="307"/>
      <c r="I88" s="307"/>
      <c r="J88" s="307"/>
      <c r="K88" s="307"/>
      <c r="L88" s="307"/>
      <c r="M88" s="307"/>
    </row>
    <row r="89" ht="20.25" customHeight="1">
      <c r="A89" s="307"/>
      <c r="B89" s="307"/>
      <c r="C89" s="307"/>
      <c r="D89" s="452"/>
      <c r="E89" s="357"/>
      <c r="F89" s="357"/>
      <c r="G89" s="307"/>
      <c r="H89" s="307"/>
      <c r="I89" s="307"/>
      <c r="J89" s="307"/>
      <c r="K89" s="307"/>
      <c r="L89" s="307"/>
      <c r="M89" s="307"/>
    </row>
    <row r="90" ht="20.25" customHeight="1">
      <c r="A90" s="307"/>
      <c r="B90" s="307"/>
      <c r="C90" s="307"/>
      <c r="D90" s="452"/>
      <c r="E90" s="357"/>
      <c r="F90" s="357"/>
      <c r="G90" s="307"/>
      <c r="H90" s="307"/>
      <c r="I90" s="307"/>
      <c r="J90" s="307"/>
      <c r="K90" s="307"/>
      <c r="L90" s="307"/>
      <c r="M90" s="307"/>
    </row>
    <row r="91" ht="20.25" customHeight="1">
      <c r="A91" s="307"/>
      <c r="B91" s="307"/>
      <c r="C91" s="307"/>
      <c r="D91" s="452"/>
      <c r="E91" s="357"/>
      <c r="F91" s="357"/>
      <c r="G91" s="307"/>
      <c r="H91" s="307"/>
      <c r="I91" s="307"/>
      <c r="J91" s="307"/>
      <c r="K91" s="307"/>
      <c r="L91" s="307"/>
      <c r="M91" s="307"/>
    </row>
    <row r="92" ht="20.25" customHeight="1">
      <c r="A92" s="307"/>
      <c r="B92" s="307"/>
      <c r="C92" s="307"/>
      <c r="D92" s="452"/>
      <c r="E92" s="357"/>
      <c r="F92" s="357"/>
      <c r="G92" s="307"/>
      <c r="H92" s="307"/>
      <c r="I92" s="307"/>
      <c r="J92" s="307"/>
      <c r="K92" s="307"/>
      <c r="L92" s="307"/>
      <c r="M92" s="307"/>
    </row>
    <row r="93" ht="20.25" customHeight="1">
      <c r="A93" s="307"/>
      <c r="B93" s="307"/>
      <c r="C93" s="307"/>
      <c r="D93" s="452"/>
      <c r="E93" s="357"/>
      <c r="F93" s="357"/>
      <c r="G93" s="307"/>
      <c r="H93" s="307"/>
      <c r="I93" s="307"/>
      <c r="J93" s="307"/>
      <c r="K93" s="307"/>
      <c r="L93" s="307"/>
      <c r="M93" s="307"/>
    </row>
    <row r="94" ht="20.25" customHeight="1">
      <c r="A94" s="307"/>
      <c r="B94" s="307"/>
      <c r="C94" s="307"/>
      <c r="D94" s="452"/>
      <c r="E94" s="357"/>
      <c r="F94" s="357"/>
      <c r="G94" s="307"/>
      <c r="H94" s="307"/>
      <c r="I94" s="307"/>
      <c r="J94" s="307"/>
      <c r="K94" s="307"/>
      <c r="L94" s="307"/>
      <c r="M94" s="307"/>
    </row>
    <row r="95" ht="20.25" customHeight="1">
      <c r="A95" s="307"/>
      <c r="B95" s="307"/>
      <c r="C95" s="307"/>
      <c r="D95" s="452"/>
      <c r="E95" s="357"/>
      <c r="F95" s="357"/>
      <c r="G95" s="307"/>
      <c r="H95" s="307"/>
      <c r="I95" s="307"/>
      <c r="J95" s="307"/>
      <c r="K95" s="307"/>
      <c r="L95" s="307"/>
      <c r="M95" s="307"/>
    </row>
    <row r="96" ht="20.25" customHeight="1">
      <c r="A96" s="307"/>
      <c r="B96" s="307"/>
      <c r="C96" s="307"/>
      <c r="D96" s="452"/>
      <c r="E96" s="357"/>
      <c r="F96" s="357"/>
      <c r="G96" s="307"/>
      <c r="H96" s="307"/>
      <c r="I96" s="307"/>
      <c r="J96" s="307"/>
      <c r="K96" s="307"/>
      <c r="L96" s="307"/>
      <c r="M96" s="307"/>
    </row>
    <row r="97" ht="20.25" customHeight="1">
      <c r="A97" s="307"/>
      <c r="B97" s="307"/>
      <c r="C97" s="307"/>
      <c r="D97" s="452"/>
      <c r="E97" s="357"/>
      <c r="F97" s="357"/>
      <c r="G97" s="307"/>
      <c r="H97" s="307"/>
      <c r="I97" s="307"/>
      <c r="J97" s="307"/>
      <c r="K97" s="307"/>
      <c r="L97" s="307"/>
      <c r="M97" s="307"/>
    </row>
    <row r="98" ht="20.25" customHeight="1">
      <c r="A98" s="307"/>
      <c r="B98" s="307"/>
      <c r="C98" s="307"/>
      <c r="D98" s="452"/>
      <c r="E98" s="357"/>
      <c r="F98" s="357"/>
      <c r="G98" s="307"/>
      <c r="H98" s="307"/>
      <c r="I98" s="307"/>
      <c r="J98" s="307"/>
      <c r="K98" s="307"/>
      <c r="L98" s="307"/>
      <c r="M98" s="307"/>
    </row>
    <row r="99" ht="20.25" customHeight="1">
      <c r="A99" s="307"/>
      <c r="B99" s="307"/>
      <c r="C99" s="307"/>
      <c r="D99" s="452"/>
      <c r="E99" s="357"/>
      <c r="F99" s="357"/>
      <c r="G99" s="307"/>
      <c r="H99" s="307"/>
      <c r="I99" s="307"/>
      <c r="J99" s="307"/>
      <c r="K99" s="307"/>
      <c r="L99" s="307"/>
      <c r="M99" s="307"/>
    </row>
    <row r="100" ht="20.25" customHeight="1">
      <c r="A100" s="307"/>
      <c r="B100" s="307"/>
      <c r="C100" s="307"/>
      <c r="D100" s="452"/>
      <c r="E100" s="357"/>
      <c r="F100" s="357"/>
      <c r="G100" s="307"/>
      <c r="H100" s="307"/>
      <c r="I100" s="307"/>
      <c r="J100" s="307"/>
      <c r="K100" s="307"/>
      <c r="L100" s="307"/>
      <c r="M100" s="307"/>
    </row>
    <row r="101" ht="20.25" customHeight="1">
      <c r="A101" s="307"/>
      <c r="B101" s="307"/>
      <c r="C101" s="307"/>
      <c r="D101" s="452"/>
      <c r="E101" s="357"/>
      <c r="F101" s="357"/>
      <c r="G101" s="307"/>
      <c r="H101" s="307"/>
      <c r="I101" s="307"/>
      <c r="J101" s="307"/>
      <c r="K101" s="307"/>
      <c r="L101" s="307"/>
      <c r="M101" s="307"/>
    </row>
    <row r="102" ht="20.25" customHeight="1">
      <c r="A102" s="307"/>
      <c r="B102" s="307"/>
      <c r="C102" s="307"/>
      <c r="D102" s="452"/>
      <c r="E102" s="357"/>
      <c r="F102" s="357"/>
      <c r="G102" s="307"/>
      <c r="H102" s="307"/>
      <c r="I102" s="307"/>
      <c r="J102" s="307"/>
      <c r="K102" s="307"/>
      <c r="L102" s="307"/>
      <c r="M102" s="307"/>
    </row>
    <row r="103" ht="20.25" customHeight="1">
      <c r="A103" s="307"/>
      <c r="B103" s="307"/>
      <c r="C103" s="307"/>
      <c r="D103" s="452"/>
      <c r="E103" s="357"/>
      <c r="F103" s="357"/>
      <c r="G103" s="307"/>
      <c r="H103" s="307"/>
      <c r="I103" s="307"/>
      <c r="J103" s="307"/>
      <c r="K103" s="307"/>
      <c r="L103" s="307"/>
      <c r="M103" s="307"/>
    </row>
    <row r="104" ht="20.25" customHeight="1">
      <c r="A104" s="307"/>
      <c r="B104" s="307"/>
      <c r="C104" s="307"/>
      <c r="D104" s="452"/>
      <c r="E104" s="357"/>
      <c r="F104" s="357"/>
      <c r="G104" s="307"/>
      <c r="H104" s="307"/>
      <c r="I104" s="307"/>
      <c r="J104" s="307"/>
      <c r="K104" s="307"/>
      <c r="L104" s="307"/>
      <c r="M104" s="307"/>
    </row>
    <row r="105" ht="20.25" customHeight="1">
      <c r="A105" s="307"/>
      <c r="B105" s="307"/>
      <c r="C105" s="307"/>
      <c r="D105" s="452"/>
      <c r="E105" s="357"/>
      <c r="F105" s="357"/>
      <c r="G105" s="307"/>
      <c r="H105" s="307"/>
      <c r="I105" s="307"/>
      <c r="J105" s="307"/>
      <c r="K105" s="307"/>
      <c r="L105" s="307"/>
      <c r="M105" s="307"/>
    </row>
    <row r="106" ht="20.25" customHeight="1">
      <c r="A106" s="307"/>
      <c r="B106" s="307"/>
      <c r="C106" s="307"/>
      <c r="D106" s="452"/>
      <c r="E106" s="357"/>
      <c r="F106" s="357"/>
      <c r="G106" s="307"/>
      <c r="H106" s="307"/>
      <c r="I106" s="307"/>
      <c r="J106" s="307"/>
      <c r="K106" s="307"/>
      <c r="L106" s="307"/>
      <c r="M106" s="307"/>
    </row>
    <row r="107" ht="20.25" customHeight="1">
      <c r="A107" s="307"/>
      <c r="B107" s="307"/>
      <c r="C107" s="307"/>
      <c r="D107" s="452"/>
      <c r="E107" s="357"/>
      <c r="F107" s="357"/>
      <c r="G107" s="307"/>
      <c r="H107" s="307"/>
      <c r="I107" s="307"/>
      <c r="J107" s="307"/>
      <c r="K107" s="307"/>
      <c r="L107" s="307"/>
      <c r="M107" s="307"/>
    </row>
    <row r="108" ht="20.25" customHeight="1">
      <c r="A108" s="307"/>
      <c r="B108" s="307"/>
      <c r="C108" s="307"/>
      <c r="D108" s="452"/>
      <c r="E108" s="357"/>
      <c r="F108" s="357"/>
      <c r="G108" s="307"/>
      <c r="H108" s="307"/>
      <c r="I108" s="307"/>
      <c r="J108" s="307"/>
      <c r="K108" s="307"/>
      <c r="L108" s="307"/>
      <c r="M108" s="307"/>
    </row>
    <row r="109" ht="20.25" customHeight="1">
      <c r="A109" s="307"/>
      <c r="B109" s="307"/>
      <c r="C109" s="307"/>
      <c r="D109" s="452"/>
      <c r="E109" s="357"/>
      <c r="F109" s="357"/>
      <c r="G109" s="307"/>
      <c r="H109" s="307"/>
      <c r="I109" s="307"/>
      <c r="J109" s="307"/>
      <c r="K109" s="307"/>
      <c r="L109" s="307"/>
      <c r="M109" s="307"/>
    </row>
    <row r="110" ht="20.25" customHeight="1">
      <c r="A110" s="307"/>
      <c r="B110" s="307"/>
      <c r="C110" s="307"/>
      <c r="D110" s="452"/>
      <c r="E110" s="357"/>
      <c r="F110" s="357"/>
      <c r="G110" s="307"/>
      <c r="H110" s="307"/>
      <c r="I110" s="307"/>
      <c r="J110" s="307"/>
      <c r="K110" s="307"/>
      <c r="L110" s="307"/>
      <c r="M110" s="307"/>
    </row>
    <row r="111" ht="20.25" customHeight="1">
      <c r="A111" s="307"/>
      <c r="B111" s="307"/>
      <c r="C111" s="307"/>
      <c r="D111" s="452"/>
      <c r="E111" s="357"/>
      <c r="F111" s="357"/>
      <c r="G111" s="307"/>
      <c r="H111" s="307"/>
      <c r="I111" s="307"/>
      <c r="J111" s="307"/>
      <c r="K111" s="307"/>
      <c r="L111" s="307"/>
      <c r="M111" s="307"/>
    </row>
    <row r="112" ht="20.25" customHeight="1">
      <c r="A112" s="307"/>
      <c r="B112" s="307"/>
      <c r="C112" s="307"/>
      <c r="D112" s="452"/>
      <c r="E112" s="357"/>
      <c r="F112" s="357"/>
      <c r="G112" s="307"/>
      <c r="H112" s="307"/>
      <c r="I112" s="307"/>
      <c r="J112" s="307"/>
      <c r="K112" s="307"/>
      <c r="L112" s="307"/>
      <c r="M112" s="307"/>
    </row>
    <row r="113" ht="20.25" customHeight="1">
      <c r="A113" s="307"/>
      <c r="B113" s="307"/>
      <c r="C113" s="307"/>
      <c r="D113" s="452"/>
      <c r="E113" s="357"/>
      <c r="F113" s="357"/>
      <c r="G113" s="307"/>
      <c r="H113" s="307"/>
      <c r="I113" s="307"/>
      <c r="J113" s="307"/>
      <c r="K113" s="307"/>
      <c r="L113" s="307"/>
      <c r="M113" s="307"/>
    </row>
    <row r="114" ht="20.25" customHeight="1">
      <c r="A114" s="307"/>
      <c r="B114" s="307"/>
      <c r="C114" s="307"/>
      <c r="D114" s="452"/>
      <c r="E114" s="357"/>
      <c r="F114" s="357"/>
      <c r="G114" s="307"/>
      <c r="H114" s="307"/>
      <c r="I114" s="307"/>
      <c r="J114" s="307"/>
      <c r="K114" s="307"/>
      <c r="L114" s="307"/>
      <c r="M114" s="307"/>
    </row>
    <row r="115" ht="20.25" customHeight="1">
      <c r="A115" s="307"/>
      <c r="B115" s="307"/>
      <c r="C115" s="307"/>
      <c r="D115" s="452"/>
      <c r="E115" s="357"/>
      <c r="F115" s="357"/>
      <c r="G115" s="307"/>
      <c r="H115" s="307"/>
      <c r="I115" s="307"/>
      <c r="J115" s="307"/>
      <c r="K115" s="307"/>
      <c r="L115" s="307"/>
      <c r="M115" s="307"/>
    </row>
    <row r="116" ht="20.25" customHeight="1">
      <c r="A116" s="307"/>
      <c r="B116" s="307"/>
      <c r="C116" s="307"/>
      <c r="D116" s="452"/>
      <c r="E116" s="357"/>
      <c r="F116" s="357"/>
      <c r="G116" s="307"/>
      <c r="H116" s="307"/>
      <c r="I116" s="307"/>
      <c r="J116" s="307"/>
      <c r="K116" s="307"/>
      <c r="L116" s="307"/>
      <c r="M116" s="307"/>
    </row>
    <row r="117" ht="20.25" customHeight="1">
      <c r="A117" s="307"/>
      <c r="B117" s="307"/>
      <c r="C117" s="307"/>
      <c r="D117" s="452"/>
      <c r="E117" s="357"/>
      <c r="F117" s="357"/>
      <c r="G117" s="307"/>
      <c r="H117" s="307"/>
      <c r="I117" s="307"/>
      <c r="J117" s="307"/>
      <c r="K117" s="307"/>
      <c r="L117" s="307"/>
      <c r="M117" s="307"/>
    </row>
    <row r="118" ht="20.25" customHeight="1">
      <c r="A118" s="307"/>
      <c r="B118" s="307"/>
      <c r="C118" s="307"/>
      <c r="D118" s="452"/>
      <c r="E118" s="357"/>
      <c r="F118" s="357"/>
      <c r="G118" s="307"/>
      <c r="H118" s="307"/>
      <c r="I118" s="307"/>
      <c r="J118" s="307"/>
      <c r="K118" s="307"/>
      <c r="L118" s="307"/>
      <c r="M118" s="307"/>
    </row>
    <row r="119" ht="20.25" customHeight="1">
      <c r="A119" s="307"/>
      <c r="B119" s="307"/>
      <c r="C119" s="307"/>
      <c r="D119" s="452"/>
      <c r="E119" s="357"/>
      <c r="F119" s="357"/>
      <c r="G119" s="307"/>
      <c r="H119" s="307"/>
      <c r="I119" s="307"/>
      <c r="J119" s="307"/>
      <c r="K119" s="307"/>
      <c r="L119" s="307"/>
      <c r="M119" s="307"/>
    </row>
    <row r="120" ht="20.25" customHeight="1">
      <c r="A120" s="307"/>
      <c r="B120" s="307"/>
      <c r="C120" s="307"/>
      <c r="D120" s="452"/>
      <c r="E120" s="357"/>
      <c r="F120" s="357"/>
      <c r="G120" s="307"/>
      <c r="H120" s="307"/>
      <c r="I120" s="307"/>
      <c r="J120" s="307"/>
      <c r="K120" s="307"/>
      <c r="L120" s="307"/>
      <c r="M120" s="307"/>
    </row>
    <row r="121" ht="20.25" customHeight="1">
      <c r="A121" s="307"/>
      <c r="B121" s="307"/>
      <c r="C121" s="307"/>
      <c r="D121" s="452"/>
      <c r="E121" s="357"/>
      <c r="F121" s="357"/>
      <c r="G121" s="307"/>
      <c r="H121" s="307"/>
      <c r="I121" s="307"/>
      <c r="J121" s="307"/>
      <c r="K121" s="307"/>
      <c r="L121" s="307"/>
      <c r="M121" s="307"/>
    </row>
    <row r="122" ht="20.25" customHeight="1">
      <c r="A122" s="307"/>
      <c r="B122" s="307"/>
      <c r="C122" s="307"/>
      <c r="D122" s="452"/>
      <c r="E122" s="357"/>
      <c r="F122" s="357"/>
      <c r="G122" s="307"/>
      <c r="H122" s="307"/>
      <c r="I122" s="307"/>
      <c r="J122" s="307"/>
      <c r="K122" s="307"/>
      <c r="L122" s="307"/>
      <c r="M122" s="307"/>
    </row>
    <row r="123" ht="20.25" customHeight="1">
      <c r="A123" s="307"/>
      <c r="B123" s="307"/>
      <c r="C123" s="307"/>
      <c r="D123" s="452"/>
      <c r="E123" s="357"/>
      <c r="F123" s="357"/>
      <c r="G123" s="307"/>
      <c r="H123" s="307"/>
      <c r="I123" s="307"/>
      <c r="J123" s="307"/>
      <c r="K123" s="307"/>
      <c r="L123" s="307"/>
      <c r="M123" s="307"/>
    </row>
    <row r="124" ht="20.25" customHeight="1">
      <c r="A124" s="307"/>
      <c r="B124" s="307"/>
      <c r="C124" s="307"/>
      <c r="D124" s="452"/>
      <c r="E124" s="357"/>
      <c r="F124" s="357"/>
      <c r="G124" s="307"/>
      <c r="H124" s="307"/>
      <c r="I124" s="307"/>
      <c r="J124" s="307"/>
      <c r="K124" s="307"/>
      <c r="L124" s="307"/>
      <c r="M124" s="307"/>
    </row>
    <row r="125" ht="20.25" customHeight="1">
      <c r="A125" s="307"/>
      <c r="B125" s="307"/>
      <c r="C125" s="307"/>
      <c r="D125" s="452"/>
      <c r="E125" s="357"/>
      <c r="F125" s="357"/>
      <c r="G125" s="307"/>
      <c r="H125" s="307"/>
      <c r="I125" s="307"/>
      <c r="J125" s="307"/>
      <c r="K125" s="307"/>
      <c r="L125" s="307"/>
      <c r="M125" s="307"/>
    </row>
    <row r="126" ht="20.25" customHeight="1">
      <c r="A126" s="307"/>
      <c r="B126" s="307"/>
      <c r="C126" s="307"/>
      <c r="D126" s="452"/>
      <c r="E126" s="357"/>
      <c r="F126" s="357"/>
      <c r="G126" s="307"/>
      <c r="H126" s="307"/>
      <c r="I126" s="307"/>
      <c r="J126" s="307"/>
      <c r="K126" s="307"/>
      <c r="L126" s="307"/>
      <c r="M126" s="307"/>
    </row>
    <row r="127" ht="20.25" customHeight="1">
      <c r="A127" s="307"/>
      <c r="B127" s="307"/>
      <c r="C127" s="307"/>
      <c r="D127" s="452"/>
      <c r="E127" s="357"/>
      <c r="F127" s="357"/>
      <c r="G127" s="307"/>
      <c r="H127" s="307"/>
      <c r="I127" s="307"/>
      <c r="J127" s="307"/>
      <c r="K127" s="307"/>
      <c r="L127" s="307"/>
      <c r="M127" s="307"/>
    </row>
    <row r="128" ht="20.25" customHeight="1">
      <c r="A128" s="307"/>
      <c r="B128" s="307"/>
      <c r="C128" s="307"/>
      <c r="D128" s="452"/>
      <c r="E128" s="357"/>
      <c r="F128" s="357"/>
      <c r="G128" s="307"/>
      <c r="H128" s="307"/>
      <c r="I128" s="307"/>
      <c r="J128" s="307"/>
      <c r="K128" s="307"/>
      <c r="L128" s="307"/>
      <c r="M128" s="307"/>
    </row>
    <row r="129" ht="20.25" customHeight="1">
      <c r="A129" s="307"/>
      <c r="B129" s="307"/>
      <c r="C129" s="307"/>
      <c r="D129" s="452"/>
      <c r="E129" s="357"/>
      <c r="F129" s="357"/>
      <c r="G129" s="307"/>
      <c r="H129" s="307"/>
      <c r="I129" s="307"/>
      <c r="J129" s="307"/>
      <c r="K129" s="307"/>
      <c r="L129" s="307"/>
      <c r="M129" s="307"/>
    </row>
    <row r="130" ht="20.25" customHeight="1">
      <c r="A130" s="307"/>
      <c r="B130" s="307"/>
      <c r="C130" s="307"/>
      <c r="D130" s="452"/>
      <c r="E130" s="357"/>
      <c r="F130" s="357"/>
      <c r="G130" s="307"/>
      <c r="H130" s="307"/>
      <c r="I130" s="307"/>
      <c r="J130" s="307"/>
      <c r="K130" s="307"/>
      <c r="L130" s="307"/>
      <c r="M130" s="307"/>
    </row>
    <row r="131" ht="20.25" customHeight="1">
      <c r="A131" s="307"/>
      <c r="B131" s="307"/>
      <c r="C131" s="307"/>
      <c r="D131" s="452"/>
      <c r="E131" s="357"/>
      <c r="F131" s="357"/>
      <c r="G131" s="307"/>
      <c r="H131" s="307"/>
      <c r="I131" s="307"/>
      <c r="J131" s="307"/>
      <c r="K131" s="307"/>
      <c r="L131" s="307"/>
      <c r="M131" s="307"/>
    </row>
    <row r="132" ht="20.25" customHeight="1">
      <c r="A132" s="307"/>
      <c r="B132" s="307"/>
      <c r="C132" s="307"/>
      <c r="D132" s="452"/>
      <c r="E132" s="357"/>
      <c r="F132" s="357"/>
      <c r="G132" s="307"/>
      <c r="H132" s="307"/>
      <c r="I132" s="307"/>
      <c r="J132" s="307"/>
      <c r="K132" s="307"/>
      <c r="L132" s="307"/>
      <c r="M132" s="307"/>
    </row>
    <row r="133" ht="20.25" customHeight="1">
      <c r="A133" s="307"/>
      <c r="B133" s="307"/>
      <c r="C133" s="307"/>
      <c r="D133" s="452"/>
      <c r="E133" s="357"/>
      <c r="F133" s="357"/>
      <c r="G133" s="307"/>
      <c r="H133" s="307"/>
      <c r="I133" s="307"/>
      <c r="J133" s="307"/>
      <c r="K133" s="307"/>
      <c r="L133" s="307"/>
      <c r="M133" s="307"/>
    </row>
    <row r="134" ht="20.25" customHeight="1">
      <c r="A134" s="307"/>
      <c r="B134" s="307"/>
      <c r="C134" s="307"/>
      <c r="D134" s="452"/>
      <c r="E134" s="357"/>
      <c r="F134" s="357"/>
      <c r="G134" s="307"/>
      <c r="H134" s="307"/>
      <c r="I134" s="307"/>
      <c r="J134" s="307"/>
      <c r="K134" s="307"/>
      <c r="L134" s="307"/>
      <c r="M134" s="307"/>
    </row>
    <row r="135" ht="20.25" customHeight="1">
      <c r="A135" s="307"/>
      <c r="B135" s="307"/>
      <c r="C135" s="307"/>
      <c r="D135" s="452"/>
      <c r="E135" s="357"/>
      <c r="F135" s="357"/>
      <c r="G135" s="307"/>
      <c r="H135" s="307"/>
      <c r="I135" s="307"/>
      <c r="J135" s="307"/>
      <c r="K135" s="307"/>
      <c r="L135" s="307"/>
      <c r="M135" s="307"/>
    </row>
    <row r="136" ht="20.25" customHeight="1">
      <c r="A136" s="307"/>
      <c r="B136" s="307"/>
      <c r="C136" s="307"/>
      <c r="D136" s="452"/>
      <c r="E136" s="357"/>
      <c r="F136" s="357"/>
      <c r="G136" s="307"/>
      <c r="H136" s="307"/>
      <c r="I136" s="307"/>
      <c r="J136" s="307"/>
      <c r="K136" s="307"/>
      <c r="L136" s="307"/>
      <c r="M136" s="307"/>
    </row>
    <row r="137" ht="20.25" customHeight="1">
      <c r="A137" s="307"/>
      <c r="B137" s="307"/>
      <c r="C137" s="307"/>
      <c r="D137" s="452"/>
      <c r="E137" s="357"/>
      <c r="F137" s="357"/>
      <c r="G137" s="307"/>
      <c r="H137" s="307"/>
      <c r="I137" s="307"/>
      <c r="J137" s="307"/>
      <c r="K137" s="307"/>
      <c r="L137" s="307"/>
      <c r="M137" s="307"/>
    </row>
    <row r="138" ht="20.25" customHeight="1">
      <c r="A138" s="307"/>
      <c r="B138" s="307"/>
      <c r="C138" s="307"/>
      <c r="D138" s="452"/>
      <c r="E138" s="357"/>
      <c r="F138" s="357"/>
      <c r="G138" s="307"/>
      <c r="H138" s="307"/>
      <c r="I138" s="307"/>
      <c r="J138" s="307"/>
      <c r="K138" s="307"/>
      <c r="L138" s="307"/>
      <c r="M138" s="307"/>
    </row>
    <row r="139" ht="20.25" customHeight="1">
      <c r="A139" s="307"/>
      <c r="B139" s="307"/>
      <c r="C139" s="307"/>
      <c r="D139" s="452"/>
      <c r="E139" s="357"/>
      <c r="F139" s="357"/>
      <c r="G139" s="307"/>
      <c r="H139" s="307"/>
      <c r="I139" s="307"/>
      <c r="J139" s="307"/>
      <c r="K139" s="307"/>
      <c r="L139" s="307"/>
      <c r="M139" s="307"/>
    </row>
    <row r="140" ht="20.25" customHeight="1">
      <c r="A140" s="307"/>
      <c r="B140" s="307"/>
      <c r="C140" s="307"/>
      <c r="D140" s="452"/>
      <c r="E140" s="357"/>
      <c r="F140" s="357"/>
      <c r="G140" s="307"/>
      <c r="H140" s="307"/>
      <c r="I140" s="307"/>
      <c r="J140" s="307"/>
      <c r="K140" s="307"/>
      <c r="L140" s="307"/>
      <c r="M140" s="307"/>
    </row>
    <row r="141" ht="20.25" customHeight="1">
      <c r="A141" s="307"/>
      <c r="B141" s="307"/>
      <c r="C141" s="307"/>
      <c r="D141" s="452"/>
      <c r="E141" s="357"/>
      <c r="F141" s="357"/>
      <c r="G141" s="307"/>
      <c r="H141" s="307"/>
      <c r="I141" s="307"/>
      <c r="J141" s="307"/>
      <c r="K141" s="307"/>
      <c r="L141" s="307"/>
      <c r="M141" s="307"/>
    </row>
    <row r="142" ht="20.25" customHeight="1">
      <c r="A142" s="307"/>
      <c r="B142" s="307"/>
      <c r="C142" s="307"/>
      <c r="D142" s="452"/>
      <c r="E142" s="357"/>
      <c r="F142" s="357"/>
      <c r="G142" s="307"/>
      <c r="H142" s="307"/>
      <c r="I142" s="307"/>
      <c r="J142" s="307"/>
      <c r="K142" s="307"/>
      <c r="L142" s="307"/>
      <c r="M142" s="307"/>
    </row>
    <row r="143" ht="20.25" customHeight="1">
      <c r="A143" s="307"/>
      <c r="B143" s="307"/>
      <c r="C143" s="307"/>
      <c r="D143" s="452"/>
      <c r="E143" s="357"/>
      <c r="F143" s="357"/>
      <c r="G143" s="307"/>
      <c r="H143" s="307"/>
      <c r="I143" s="307"/>
      <c r="J143" s="307"/>
      <c r="K143" s="307"/>
      <c r="L143" s="307"/>
      <c r="M143" s="307"/>
    </row>
    <row r="144" ht="20.25" customHeight="1">
      <c r="A144" s="307"/>
      <c r="B144" s="307"/>
      <c r="C144" s="307"/>
      <c r="D144" s="452"/>
      <c r="E144" s="357"/>
      <c r="F144" s="357"/>
      <c r="G144" s="307"/>
      <c r="H144" s="307"/>
      <c r="I144" s="307"/>
      <c r="J144" s="307"/>
      <c r="K144" s="307"/>
      <c r="L144" s="307"/>
      <c r="M144" s="307"/>
    </row>
    <row r="145" ht="20.25" customHeight="1">
      <c r="A145" s="307"/>
      <c r="B145" s="307"/>
      <c r="C145" s="307"/>
      <c r="D145" s="452"/>
      <c r="E145" s="357"/>
      <c r="F145" s="357"/>
      <c r="G145" s="307"/>
      <c r="H145" s="307"/>
      <c r="I145" s="307"/>
      <c r="J145" s="307"/>
      <c r="K145" s="307"/>
      <c r="L145" s="307"/>
      <c r="M145" s="307"/>
    </row>
    <row r="146" ht="20.25" customHeight="1">
      <c r="A146" s="307"/>
      <c r="B146" s="307"/>
      <c r="C146" s="307"/>
      <c r="D146" s="452"/>
      <c r="E146" s="357"/>
      <c r="F146" s="357"/>
      <c r="G146" s="307"/>
      <c r="H146" s="307"/>
      <c r="I146" s="307"/>
      <c r="J146" s="307"/>
      <c r="K146" s="307"/>
      <c r="L146" s="307"/>
      <c r="M146" s="307"/>
    </row>
    <row r="147" ht="20.25" customHeight="1">
      <c r="A147" s="307"/>
      <c r="B147" s="307"/>
      <c r="C147" s="307"/>
      <c r="D147" s="452"/>
      <c r="E147" s="357"/>
      <c r="F147" s="357"/>
      <c r="G147" s="307"/>
      <c r="H147" s="307"/>
      <c r="I147" s="307"/>
      <c r="J147" s="307"/>
      <c r="K147" s="307"/>
      <c r="L147" s="307"/>
      <c r="M147" s="307"/>
    </row>
    <row r="148" ht="20.25" customHeight="1">
      <c r="A148" s="307"/>
      <c r="B148" s="307"/>
      <c r="C148" s="307"/>
      <c r="D148" s="452"/>
      <c r="E148" s="357"/>
      <c r="F148" s="357"/>
      <c r="G148" s="307"/>
      <c r="H148" s="307"/>
      <c r="I148" s="307"/>
      <c r="J148" s="307"/>
      <c r="K148" s="307"/>
      <c r="L148" s="307"/>
      <c r="M148" s="307"/>
    </row>
    <row r="149" ht="20.25" customHeight="1">
      <c r="A149" s="307"/>
      <c r="B149" s="307"/>
      <c r="C149" s="307"/>
      <c r="D149" s="452"/>
      <c r="E149" s="357"/>
      <c r="F149" s="357"/>
      <c r="G149" s="307"/>
      <c r="H149" s="307"/>
      <c r="I149" s="307"/>
      <c r="J149" s="307"/>
      <c r="K149" s="307"/>
      <c r="L149" s="307"/>
      <c r="M149" s="307"/>
    </row>
    <row r="150" ht="20.25" customHeight="1">
      <c r="A150" s="307"/>
      <c r="B150" s="307"/>
      <c r="C150" s="307"/>
      <c r="D150" s="452"/>
      <c r="E150" s="357"/>
      <c r="F150" s="357"/>
      <c r="G150" s="307"/>
      <c r="H150" s="307"/>
      <c r="I150" s="307"/>
      <c r="J150" s="307"/>
      <c r="K150" s="307"/>
      <c r="L150" s="307"/>
      <c r="M150" s="307"/>
    </row>
    <row r="151" ht="20.25" customHeight="1">
      <c r="A151" s="307"/>
      <c r="B151" s="307"/>
      <c r="C151" s="307"/>
      <c r="D151" s="452"/>
      <c r="E151" s="357"/>
      <c r="F151" s="357"/>
      <c r="G151" s="307"/>
      <c r="H151" s="307"/>
      <c r="I151" s="307"/>
      <c r="J151" s="307"/>
      <c r="K151" s="307"/>
      <c r="L151" s="307"/>
      <c r="M151" s="307"/>
    </row>
    <row r="152" ht="20.25" customHeight="1">
      <c r="A152" s="307"/>
      <c r="B152" s="307"/>
      <c r="C152" s="307"/>
      <c r="D152" s="452"/>
      <c r="E152" s="357"/>
      <c r="F152" s="357"/>
      <c r="G152" s="307"/>
      <c r="H152" s="307"/>
      <c r="I152" s="307"/>
      <c r="J152" s="307"/>
      <c r="K152" s="307"/>
      <c r="L152" s="307"/>
      <c r="M152" s="307"/>
    </row>
    <row r="153" ht="20.25" customHeight="1">
      <c r="A153" s="307"/>
      <c r="B153" s="307"/>
      <c r="C153" s="307"/>
      <c r="D153" s="452"/>
      <c r="E153" s="357"/>
      <c r="F153" s="357"/>
      <c r="G153" s="307"/>
      <c r="H153" s="307"/>
      <c r="I153" s="307"/>
      <c r="J153" s="307"/>
      <c r="K153" s="307"/>
      <c r="L153" s="307"/>
      <c r="M153" s="307"/>
    </row>
    <row r="154" ht="20.25" customHeight="1">
      <c r="A154" s="307"/>
      <c r="B154" s="307"/>
      <c r="C154" s="307"/>
      <c r="D154" s="452"/>
      <c r="E154" s="357"/>
      <c r="F154" s="357"/>
      <c r="G154" s="307"/>
      <c r="H154" s="307"/>
      <c r="I154" s="307"/>
      <c r="J154" s="307"/>
      <c r="K154" s="307"/>
      <c r="L154" s="307"/>
      <c r="M154" s="307"/>
    </row>
    <row r="155" ht="20.25" customHeight="1">
      <c r="A155" s="307"/>
      <c r="B155" s="307"/>
      <c r="C155" s="307"/>
      <c r="D155" s="452"/>
      <c r="E155" s="357"/>
      <c r="F155" s="357"/>
      <c r="G155" s="307"/>
      <c r="H155" s="307"/>
      <c r="I155" s="307"/>
      <c r="J155" s="307"/>
      <c r="K155" s="307"/>
      <c r="L155" s="307"/>
      <c r="M155" s="307"/>
    </row>
    <row r="156" ht="20.25" customHeight="1">
      <c r="A156" s="307"/>
      <c r="B156" s="307"/>
      <c r="C156" s="307"/>
      <c r="D156" s="452"/>
      <c r="E156" s="357"/>
      <c r="F156" s="357"/>
      <c r="G156" s="307"/>
      <c r="H156" s="307"/>
      <c r="I156" s="307"/>
      <c r="J156" s="307"/>
      <c r="K156" s="307"/>
      <c r="L156" s="307"/>
      <c r="M156" s="307"/>
    </row>
    <row r="157" ht="20.25" customHeight="1">
      <c r="A157" s="307"/>
      <c r="B157" s="307"/>
      <c r="C157" s="307"/>
      <c r="D157" s="452"/>
      <c r="E157" s="357"/>
      <c r="F157" s="357"/>
      <c r="G157" s="307"/>
      <c r="H157" s="307"/>
      <c r="I157" s="307"/>
      <c r="J157" s="307"/>
      <c r="K157" s="307"/>
      <c r="L157" s="307"/>
      <c r="M157" s="307"/>
    </row>
    <row r="158" ht="20.25" customHeight="1">
      <c r="A158" s="307"/>
      <c r="B158" s="307"/>
      <c r="C158" s="307"/>
      <c r="D158" s="452"/>
      <c r="E158" s="357"/>
      <c r="F158" s="357"/>
      <c r="G158" s="307"/>
      <c r="H158" s="307"/>
      <c r="I158" s="307"/>
      <c r="J158" s="307"/>
      <c r="K158" s="307"/>
      <c r="L158" s="307"/>
      <c r="M158" s="307"/>
    </row>
    <row r="159" ht="20.25" customHeight="1">
      <c r="A159" s="307"/>
      <c r="B159" s="307"/>
      <c r="C159" s="307"/>
      <c r="D159" s="452"/>
      <c r="E159" s="357"/>
      <c r="F159" s="357"/>
      <c r="G159" s="307"/>
      <c r="H159" s="307"/>
      <c r="I159" s="307"/>
      <c r="J159" s="307"/>
      <c r="K159" s="307"/>
      <c r="L159" s="307"/>
      <c r="M159" s="307"/>
    </row>
    <row r="160" ht="20.25" customHeight="1">
      <c r="A160" s="307"/>
      <c r="B160" s="307"/>
      <c r="C160" s="307"/>
      <c r="D160" s="452"/>
      <c r="E160" s="357"/>
      <c r="F160" s="357"/>
      <c r="G160" s="307"/>
      <c r="H160" s="307"/>
      <c r="I160" s="307"/>
      <c r="J160" s="307"/>
      <c r="K160" s="307"/>
      <c r="L160" s="307"/>
      <c r="M160" s="307"/>
    </row>
    <row r="161" ht="20.25" customHeight="1">
      <c r="A161" s="307"/>
      <c r="B161" s="307"/>
      <c r="C161" s="307"/>
      <c r="D161" s="452"/>
      <c r="E161" s="357"/>
      <c r="F161" s="357"/>
      <c r="G161" s="307"/>
      <c r="H161" s="307"/>
      <c r="I161" s="307"/>
      <c r="J161" s="307"/>
      <c r="K161" s="307"/>
      <c r="L161" s="307"/>
      <c r="M161" s="307"/>
    </row>
    <row r="162" ht="20.25" customHeight="1">
      <c r="A162" s="307"/>
      <c r="B162" s="307"/>
      <c r="C162" s="307"/>
      <c r="D162" s="452"/>
      <c r="E162" s="357"/>
      <c r="F162" s="357"/>
      <c r="G162" s="307"/>
      <c r="H162" s="307"/>
      <c r="I162" s="307"/>
      <c r="J162" s="307"/>
      <c r="K162" s="307"/>
      <c r="L162" s="307"/>
      <c r="M162" s="307"/>
    </row>
    <row r="163" ht="20.25" customHeight="1">
      <c r="A163" s="307"/>
      <c r="B163" s="307"/>
      <c r="C163" s="307"/>
      <c r="D163" s="452"/>
      <c r="E163" s="357"/>
      <c r="F163" s="357"/>
      <c r="G163" s="307"/>
      <c r="H163" s="307"/>
      <c r="I163" s="307"/>
      <c r="J163" s="307"/>
      <c r="K163" s="307"/>
      <c r="L163" s="307"/>
      <c r="M163" s="307"/>
    </row>
    <row r="164" ht="20.25" customHeight="1">
      <c r="A164" s="307"/>
      <c r="B164" s="307"/>
      <c r="C164" s="307"/>
      <c r="D164" s="452"/>
      <c r="E164" s="357"/>
      <c r="F164" s="357"/>
      <c r="G164" s="307"/>
      <c r="H164" s="307"/>
      <c r="I164" s="307"/>
      <c r="J164" s="307"/>
      <c r="K164" s="307"/>
      <c r="L164" s="307"/>
      <c r="M164" s="307"/>
    </row>
    <row r="165" ht="20.25" customHeight="1">
      <c r="A165" s="307"/>
      <c r="B165" s="307"/>
      <c r="C165" s="307"/>
      <c r="D165" s="452"/>
      <c r="E165" s="357"/>
      <c r="F165" s="357"/>
      <c r="G165" s="307"/>
      <c r="H165" s="307"/>
      <c r="I165" s="307"/>
      <c r="J165" s="307"/>
      <c r="K165" s="307"/>
      <c r="L165" s="307"/>
      <c r="M165" s="307"/>
    </row>
    <row r="166" ht="20.25" customHeight="1">
      <c r="A166" s="307"/>
      <c r="B166" s="307"/>
      <c r="C166" s="307"/>
      <c r="D166" s="452"/>
      <c r="E166" s="357"/>
      <c r="F166" s="357"/>
      <c r="G166" s="307"/>
      <c r="H166" s="307"/>
      <c r="I166" s="307"/>
      <c r="J166" s="307"/>
      <c r="K166" s="307"/>
      <c r="L166" s="307"/>
      <c r="M166" s="307"/>
    </row>
    <row r="167" ht="20.25" customHeight="1">
      <c r="A167" s="307"/>
      <c r="B167" s="307"/>
      <c r="C167" s="307"/>
      <c r="D167" s="452"/>
      <c r="E167" s="357"/>
      <c r="F167" s="357"/>
      <c r="G167" s="307"/>
      <c r="H167" s="307"/>
      <c r="I167" s="307"/>
      <c r="J167" s="307"/>
      <c r="K167" s="307"/>
      <c r="L167" s="307"/>
      <c r="M167" s="307"/>
    </row>
    <row r="168" ht="20.25" customHeight="1">
      <c r="A168" s="307"/>
      <c r="B168" s="307"/>
      <c r="C168" s="307"/>
      <c r="D168" s="452"/>
      <c r="E168" s="357"/>
      <c r="F168" s="357"/>
      <c r="G168" s="307"/>
      <c r="H168" s="307"/>
      <c r="I168" s="307"/>
      <c r="J168" s="307"/>
      <c r="K168" s="307"/>
      <c r="L168" s="307"/>
      <c r="M168" s="307"/>
    </row>
    <row r="169" ht="20.25" customHeight="1">
      <c r="A169" s="307"/>
      <c r="B169" s="307"/>
      <c r="C169" s="307"/>
      <c r="D169" s="452"/>
      <c r="E169" s="357"/>
      <c r="F169" s="357"/>
      <c r="G169" s="307"/>
      <c r="H169" s="307"/>
      <c r="I169" s="307"/>
      <c r="J169" s="307"/>
      <c r="K169" s="307"/>
      <c r="L169" s="307"/>
      <c r="M169" s="307"/>
    </row>
    <row r="170" ht="20.25" customHeight="1">
      <c r="A170" s="307"/>
      <c r="B170" s="307"/>
      <c r="C170" s="307"/>
      <c r="D170" s="452"/>
      <c r="E170" s="357"/>
      <c r="F170" s="357"/>
      <c r="G170" s="307"/>
      <c r="H170" s="307"/>
      <c r="I170" s="307"/>
      <c r="J170" s="307"/>
      <c r="K170" s="307"/>
      <c r="L170" s="307"/>
      <c r="M170" s="307"/>
    </row>
    <row r="171" ht="20.25" customHeight="1">
      <c r="A171" s="307"/>
      <c r="B171" s="307"/>
      <c r="C171" s="307"/>
      <c r="D171" s="452"/>
      <c r="E171" s="357"/>
      <c r="F171" s="357"/>
      <c r="G171" s="307"/>
      <c r="H171" s="307"/>
      <c r="I171" s="307"/>
      <c r="J171" s="307"/>
      <c r="K171" s="307"/>
      <c r="L171" s="307"/>
      <c r="M171" s="307"/>
    </row>
    <row r="172" ht="20.25" customHeight="1">
      <c r="A172" s="307"/>
      <c r="B172" s="307"/>
      <c r="C172" s="307"/>
      <c r="D172" s="452"/>
      <c r="E172" s="357"/>
      <c r="F172" s="357"/>
      <c r="G172" s="307"/>
      <c r="H172" s="307"/>
      <c r="I172" s="307"/>
      <c r="J172" s="307"/>
      <c r="K172" s="307"/>
      <c r="L172" s="307"/>
      <c r="M172" s="307"/>
    </row>
    <row r="173" ht="20.25" customHeight="1">
      <c r="A173" s="307"/>
      <c r="B173" s="307"/>
      <c r="C173" s="307"/>
      <c r="D173" s="452"/>
      <c r="E173" s="357"/>
      <c r="F173" s="357"/>
      <c r="G173" s="307"/>
      <c r="H173" s="307"/>
      <c r="I173" s="307"/>
      <c r="J173" s="307"/>
      <c r="K173" s="307"/>
      <c r="L173" s="307"/>
      <c r="M173" s="307"/>
    </row>
    <row r="174" ht="20.25" customHeight="1">
      <c r="A174" s="307"/>
      <c r="B174" s="307"/>
      <c r="C174" s="307"/>
      <c r="D174" s="452"/>
      <c r="E174" s="357"/>
      <c r="F174" s="357"/>
      <c r="G174" s="307"/>
      <c r="H174" s="307"/>
      <c r="I174" s="307"/>
      <c r="J174" s="307"/>
      <c r="K174" s="307"/>
      <c r="L174" s="307"/>
      <c r="M174" s="307"/>
    </row>
    <row r="175" ht="20.25" customHeight="1">
      <c r="A175" s="307"/>
      <c r="B175" s="307"/>
      <c r="C175" s="307"/>
      <c r="D175" s="452"/>
      <c r="E175" s="357"/>
      <c r="F175" s="357"/>
      <c r="G175" s="307"/>
      <c r="H175" s="307"/>
      <c r="I175" s="307"/>
      <c r="J175" s="307"/>
      <c r="K175" s="307"/>
      <c r="L175" s="307"/>
      <c r="M175" s="307"/>
    </row>
    <row r="176" ht="20.25" customHeight="1">
      <c r="A176" s="307"/>
      <c r="B176" s="307"/>
      <c r="C176" s="307"/>
      <c r="D176" s="452"/>
      <c r="E176" s="357"/>
      <c r="F176" s="357"/>
      <c r="G176" s="307"/>
      <c r="H176" s="307"/>
      <c r="I176" s="307"/>
      <c r="J176" s="307"/>
      <c r="K176" s="307"/>
      <c r="L176" s="307"/>
      <c r="M176" s="307"/>
    </row>
    <row r="177" ht="20.25" customHeight="1">
      <c r="A177" s="307"/>
      <c r="B177" s="307"/>
      <c r="C177" s="307"/>
      <c r="D177" s="452"/>
      <c r="E177" s="357"/>
      <c r="F177" s="357"/>
      <c r="G177" s="307"/>
      <c r="H177" s="307"/>
      <c r="I177" s="307"/>
      <c r="J177" s="307"/>
      <c r="K177" s="307"/>
      <c r="L177" s="307"/>
      <c r="M177" s="307"/>
    </row>
    <row r="178" ht="20.25" customHeight="1">
      <c r="A178" s="307"/>
      <c r="B178" s="307"/>
      <c r="C178" s="307"/>
      <c r="D178" s="452"/>
      <c r="E178" s="357"/>
      <c r="F178" s="357"/>
      <c r="G178" s="307"/>
      <c r="H178" s="307"/>
      <c r="I178" s="307"/>
      <c r="J178" s="307"/>
      <c r="K178" s="307"/>
      <c r="L178" s="307"/>
      <c r="M178" s="307"/>
    </row>
    <row r="179" ht="20.25" customHeight="1">
      <c r="A179" s="307"/>
      <c r="B179" s="307"/>
      <c r="C179" s="307"/>
      <c r="D179" s="452"/>
      <c r="E179" s="357"/>
      <c r="F179" s="357"/>
      <c r="G179" s="307"/>
      <c r="H179" s="307"/>
      <c r="I179" s="307"/>
      <c r="J179" s="307"/>
      <c r="K179" s="307"/>
      <c r="L179" s="307"/>
      <c r="M179" s="307"/>
    </row>
    <row r="180" ht="20.25" customHeight="1">
      <c r="A180" s="307"/>
      <c r="B180" s="307"/>
      <c r="C180" s="307"/>
      <c r="D180" s="452"/>
      <c r="E180" s="357"/>
      <c r="F180" s="357"/>
      <c r="G180" s="307"/>
      <c r="H180" s="307"/>
      <c r="I180" s="307"/>
      <c r="J180" s="307"/>
      <c r="K180" s="307"/>
      <c r="L180" s="307"/>
      <c r="M180" s="307"/>
    </row>
    <row r="181" ht="20.25" customHeight="1">
      <c r="A181" s="307"/>
      <c r="B181" s="307"/>
      <c r="C181" s="307"/>
      <c r="D181" s="452"/>
      <c r="E181" s="357"/>
      <c r="F181" s="357"/>
      <c r="G181" s="307"/>
      <c r="H181" s="307"/>
      <c r="I181" s="307"/>
      <c r="J181" s="307"/>
      <c r="K181" s="307"/>
      <c r="L181" s="307"/>
      <c r="M181" s="307"/>
    </row>
    <row r="182" ht="20.25" customHeight="1">
      <c r="A182" s="307"/>
      <c r="B182" s="307"/>
      <c r="C182" s="307"/>
      <c r="D182" s="452"/>
      <c r="E182" s="357"/>
      <c r="F182" s="357"/>
      <c r="G182" s="307"/>
      <c r="H182" s="307"/>
      <c r="I182" s="307"/>
      <c r="J182" s="307"/>
      <c r="K182" s="307"/>
      <c r="L182" s="307"/>
      <c r="M182" s="307"/>
    </row>
    <row r="183" ht="20.25" customHeight="1">
      <c r="A183" s="307"/>
      <c r="B183" s="307"/>
      <c r="C183" s="307"/>
      <c r="D183" s="452"/>
      <c r="E183" s="357"/>
      <c r="F183" s="357"/>
      <c r="G183" s="307"/>
      <c r="H183" s="307"/>
      <c r="I183" s="307"/>
      <c r="J183" s="307"/>
      <c r="K183" s="307"/>
      <c r="L183" s="307"/>
      <c r="M183" s="307"/>
    </row>
    <row r="184" ht="20.25" customHeight="1">
      <c r="A184" s="307"/>
      <c r="B184" s="307"/>
      <c r="C184" s="307"/>
      <c r="D184" s="452"/>
      <c r="E184" s="357"/>
      <c r="F184" s="357"/>
      <c r="G184" s="307"/>
      <c r="H184" s="307"/>
      <c r="I184" s="307"/>
      <c r="J184" s="307"/>
      <c r="K184" s="307"/>
      <c r="L184" s="307"/>
      <c r="M184" s="307"/>
    </row>
    <row r="185" ht="20.25" customHeight="1">
      <c r="A185" s="307"/>
      <c r="B185" s="307"/>
      <c r="C185" s="307"/>
      <c r="D185" s="452"/>
      <c r="E185" s="357"/>
      <c r="F185" s="357"/>
      <c r="G185" s="307"/>
      <c r="H185" s="307"/>
      <c r="I185" s="307"/>
      <c r="J185" s="307"/>
      <c r="K185" s="307"/>
      <c r="L185" s="307"/>
      <c r="M185" s="307"/>
    </row>
    <row r="186" ht="20.25" customHeight="1">
      <c r="A186" s="307"/>
      <c r="B186" s="307"/>
      <c r="C186" s="307"/>
      <c r="D186" s="452"/>
      <c r="E186" s="357"/>
      <c r="F186" s="357"/>
      <c r="G186" s="307"/>
      <c r="H186" s="307"/>
      <c r="I186" s="307"/>
      <c r="J186" s="307"/>
      <c r="K186" s="307"/>
      <c r="L186" s="307"/>
      <c r="M186" s="307"/>
    </row>
    <row r="187" ht="20.25" customHeight="1">
      <c r="A187" s="307"/>
      <c r="B187" s="307"/>
      <c r="C187" s="307"/>
      <c r="D187" s="452"/>
      <c r="E187" s="357"/>
      <c r="F187" s="357"/>
      <c r="G187" s="307"/>
      <c r="H187" s="307"/>
      <c r="I187" s="307"/>
      <c r="J187" s="307"/>
      <c r="K187" s="307"/>
      <c r="L187" s="307"/>
      <c r="M187" s="307"/>
    </row>
    <row r="188" ht="20.25" customHeight="1">
      <c r="A188" s="307"/>
      <c r="B188" s="307"/>
      <c r="C188" s="307"/>
      <c r="D188" s="452"/>
      <c r="E188" s="357"/>
      <c r="F188" s="357"/>
      <c r="G188" s="307"/>
      <c r="H188" s="307"/>
      <c r="I188" s="307"/>
      <c r="J188" s="307"/>
      <c r="K188" s="307"/>
      <c r="L188" s="307"/>
      <c r="M188" s="307"/>
    </row>
    <row r="189" ht="20.25" customHeight="1">
      <c r="A189" s="307"/>
      <c r="B189" s="307"/>
      <c r="C189" s="307"/>
      <c r="D189" s="452"/>
      <c r="E189" s="357"/>
      <c r="F189" s="357"/>
      <c r="G189" s="307"/>
      <c r="H189" s="307"/>
      <c r="I189" s="307"/>
      <c r="J189" s="307"/>
      <c r="K189" s="307"/>
      <c r="L189" s="307"/>
      <c r="M189" s="307"/>
    </row>
    <row r="190" ht="20.25" customHeight="1">
      <c r="A190" s="307"/>
      <c r="B190" s="307"/>
      <c r="C190" s="307"/>
      <c r="D190" s="452"/>
      <c r="E190" s="357"/>
      <c r="F190" s="357"/>
      <c r="G190" s="307"/>
      <c r="H190" s="307"/>
      <c r="I190" s="307"/>
      <c r="J190" s="307"/>
      <c r="K190" s="307"/>
      <c r="L190" s="307"/>
      <c r="M190" s="307"/>
    </row>
    <row r="191" ht="20.25" customHeight="1">
      <c r="A191" s="307"/>
      <c r="B191" s="307"/>
      <c r="C191" s="307"/>
      <c r="D191" s="452"/>
      <c r="E191" s="357"/>
      <c r="F191" s="357"/>
      <c r="G191" s="307"/>
      <c r="H191" s="307"/>
      <c r="I191" s="307"/>
      <c r="J191" s="307"/>
      <c r="K191" s="307"/>
      <c r="L191" s="307"/>
      <c r="M191" s="307"/>
    </row>
    <row r="192" ht="20.25" customHeight="1">
      <c r="A192" s="307"/>
      <c r="B192" s="307"/>
      <c r="C192" s="307"/>
      <c r="D192" s="452"/>
      <c r="E192" s="357"/>
      <c r="F192" s="357"/>
      <c r="G192" s="307"/>
      <c r="H192" s="307"/>
      <c r="I192" s="307"/>
      <c r="J192" s="307"/>
      <c r="K192" s="307"/>
      <c r="L192" s="307"/>
      <c r="M192" s="307"/>
    </row>
    <row r="193" ht="20.25" customHeight="1">
      <c r="A193" s="307"/>
      <c r="B193" s="307"/>
      <c r="C193" s="307"/>
      <c r="D193" s="452"/>
      <c r="E193" s="357"/>
      <c r="F193" s="357"/>
      <c r="G193" s="307"/>
      <c r="H193" s="307"/>
      <c r="I193" s="307"/>
      <c r="J193" s="307"/>
      <c r="K193" s="307"/>
      <c r="L193" s="307"/>
      <c r="M193" s="307"/>
    </row>
    <row r="194" ht="20.25" customHeight="1">
      <c r="A194" s="307"/>
      <c r="B194" s="307"/>
      <c r="C194" s="307"/>
      <c r="D194" s="452"/>
      <c r="E194" s="357"/>
      <c r="F194" s="357"/>
      <c r="G194" s="307"/>
      <c r="H194" s="307"/>
      <c r="I194" s="307"/>
      <c r="J194" s="307"/>
      <c r="K194" s="307"/>
      <c r="L194" s="307"/>
      <c r="M194" s="307"/>
    </row>
    <row r="195" ht="20.25" customHeight="1">
      <c r="A195" s="307"/>
      <c r="B195" s="307"/>
      <c r="C195" s="307"/>
      <c r="D195" s="452"/>
      <c r="E195" s="357"/>
      <c r="F195" s="357"/>
      <c r="G195" s="307"/>
      <c r="H195" s="307"/>
      <c r="I195" s="307"/>
      <c r="J195" s="307"/>
      <c r="K195" s="307"/>
      <c r="L195" s="307"/>
      <c r="M195" s="307"/>
    </row>
    <row r="196" ht="20.25" customHeight="1">
      <c r="A196" s="307"/>
      <c r="B196" s="307"/>
      <c r="C196" s="307"/>
      <c r="D196" s="452"/>
      <c r="E196" s="357"/>
      <c r="F196" s="357"/>
      <c r="G196" s="307"/>
      <c r="H196" s="307"/>
      <c r="I196" s="307"/>
      <c r="J196" s="307"/>
      <c r="K196" s="307"/>
      <c r="L196" s="307"/>
      <c r="M196" s="307"/>
    </row>
    <row r="197" ht="20.25" customHeight="1">
      <c r="A197" s="307"/>
      <c r="B197" s="307"/>
      <c r="C197" s="307"/>
      <c r="D197" s="452"/>
      <c r="E197" s="357"/>
      <c r="F197" s="357"/>
      <c r="G197" s="307"/>
      <c r="H197" s="307"/>
      <c r="I197" s="307"/>
      <c r="J197" s="307"/>
      <c r="K197" s="307"/>
      <c r="L197" s="307"/>
      <c r="M197" s="307"/>
    </row>
    <row r="198" ht="20.25" customHeight="1">
      <c r="A198" s="307"/>
      <c r="B198" s="307"/>
      <c r="C198" s="307"/>
      <c r="D198" s="452"/>
      <c r="E198" s="357"/>
      <c r="F198" s="357"/>
      <c r="G198" s="307"/>
      <c r="H198" s="307"/>
      <c r="I198" s="307"/>
      <c r="J198" s="307"/>
      <c r="K198" s="307"/>
      <c r="L198" s="307"/>
      <c r="M198" s="307"/>
    </row>
    <row r="199" ht="20.25" customHeight="1">
      <c r="A199" s="307"/>
      <c r="B199" s="307"/>
      <c r="C199" s="307"/>
      <c r="D199" s="452"/>
      <c r="E199" s="357"/>
      <c r="F199" s="357"/>
      <c r="G199" s="307"/>
      <c r="H199" s="307"/>
      <c r="I199" s="307"/>
      <c r="J199" s="307"/>
      <c r="K199" s="307"/>
      <c r="L199" s="307"/>
      <c r="M199" s="307"/>
    </row>
    <row r="200" ht="20.25" customHeight="1">
      <c r="A200" s="307"/>
      <c r="B200" s="307"/>
      <c r="C200" s="307"/>
      <c r="D200" s="452"/>
      <c r="E200" s="357"/>
      <c r="F200" s="357"/>
      <c r="G200" s="307"/>
      <c r="H200" s="307"/>
      <c r="I200" s="307"/>
      <c r="J200" s="307"/>
      <c r="K200" s="307"/>
      <c r="L200" s="307"/>
      <c r="M200" s="307"/>
    </row>
    <row r="201" ht="20.25" customHeight="1">
      <c r="A201" s="307"/>
      <c r="B201" s="307"/>
      <c r="C201" s="307"/>
      <c r="D201" s="452"/>
      <c r="E201" s="357"/>
      <c r="F201" s="357"/>
      <c r="G201" s="307"/>
      <c r="H201" s="307"/>
      <c r="I201" s="307"/>
      <c r="J201" s="307"/>
      <c r="K201" s="307"/>
      <c r="L201" s="307"/>
      <c r="M201" s="307"/>
    </row>
    <row r="202" ht="20.25" customHeight="1">
      <c r="A202" s="307"/>
      <c r="B202" s="307"/>
      <c r="C202" s="307"/>
      <c r="D202" s="452"/>
      <c r="E202" s="357"/>
      <c r="F202" s="357"/>
      <c r="G202" s="307"/>
      <c r="H202" s="307"/>
      <c r="I202" s="307"/>
      <c r="J202" s="307"/>
      <c r="K202" s="307"/>
      <c r="L202" s="307"/>
      <c r="M202" s="307"/>
    </row>
    <row r="203" ht="20.25" customHeight="1">
      <c r="A203" s="307"/>
      <c r="B203" s="307"/>
      <c r="C203" s="307"/>
      <c r="D203" s="452"/>
      <c r="E203" s="357"/>
      <c r="F203" s="357"/>
      <c r="G203" s="307"/>
      <c r="H203" s="307"/>
      <c r="I203" s="307"/>
      <c r="J203" s="307"/>
      <c r="K203" s="307"/>
      <c r="L203" s="307"/>
      <c r="M203" s="307"/>
    </row>
    <row r="204" ht="20.25" customHeight="1">
      <c r="A204" s="307"/>
      <c r="B204" s="307"/>
      <c r="C204" s="307"/>
      <c r="D204" s="452"/>
      <c r="E204" s="357"/>
      <c r="F204" s="357"/>
      <c r="G204" s="307"/>
      <c r="H204" s="307"/>
      <c r="I204" s="307"/>
      <c r="J204" s="307"/>
      <c r="K204" s="307"/>
      <c r="L204" s="307"/>
      <c r="M204" s="307"/>
    </row>
    <row r="205" ht="20.25" customHeight="1">
      <c r="A205" s="307"/>
      <c r="B205" s="307"/>
      <c r="C205" s="307"/>
      <c r="D205" s="452"/>
      <c r="E205" s="357"/>
      <c r="F205" s="357"/>
      <c r="G205" s="307"/>
      <c r="H205" s="307"/>
      <c r="I205" s="307"/>
      <c r="J205" s="307"/>
      <c r="K205" s="307"/>
      <c r="L205" s="307"/>
      <c r="M205" s="307"/>
    </row>
    <row r="206" ht="20.25" customHeight="1">
      <c r="A206" s="307"/>
      <c r="B206" s="307"/>
      <c r="C206" s="307"/>
      <c r="D206" s="452"/>
      <c r="E206" s="357"/>
      <c r="F206" s="357"/>
      <c r="G206" s="307"/>
      <c r="H206" s="307"/>
      <c r="I206" s="307"/>
      <c r="J206" s="307"/>
      <c r="K206" s="307"/>
      <c r="L206" s="307"/>
      <c r="M206" s="307"/>
    </row>
    <row r="207" ht="20.25" customHeight="1">
      <c r="A207" s="307"/>
      <c r="B207" s="307"/>
      <c r="C207" s="307"/>
      <c r="D207" s="452"/>
      <c r="E207" s="357"/>
      <c r="F207" s="357"/>
      <c r="G207" s="307"/>
      <c r="H207" s="307"/>
      <c r="I207" s="307"/>
      <c r="J207" s="307"/>
      <c r="K207" s="307"/>
      <c r="L207" s="307"/>
      <c r="M207" s="307"/>
    </row>
    <row r="208" ht="20.25" customHeight="1">
      <c r="A208" s="307"/>
      <c r="B208" s="307"/>
      <c r="C208" s="307"/>
      <c r="D208" s="452"/>
      <c r="E208" s="357"/>
      <c r="F208" s="357"/>
      <c r="G208" s="307"/>
      <c r="H208" s="307"/>
      <c r="I208" s="307"/>
      <c r="J208" s="307"/>
      <c r="K208" s="307"/>
      <c r="L208" s="307"/>
      <c r="M208" s="307"/>
    </row>
    <row r="209" ht="20.25" customHeight="1">
      <c r="A209" s="307"/>
      <c r="B209" s="307"/>
      <c r="C209" s="307"/>
      <c r="D209" s="452"/>
      <c r="E209" s="357"/>
      <c r="F209" s="357"/>
      <c r="G209" s="307"/>
      <c r="H209" s="307"/>
      <c r="I209" s="307"/>
      <c r="J209" s="307"/>
      <c r="K209" s="307"/>
      <c r="L209" s="307"/>
      <c r="M209" s="307"/>
    </row>
    <row r="210" ht="20.25" customHeight="1">
      <c r="A210" s="307"/>
      <c r="B210" s="307"/>
      <c r="C210" s="307"/>
      <c r="D210" s="452"/>
      <c r="E210" s="357"/>
      <c r="F210" s="357"/>
      <c r="G210" s="307"/>
      <c r="H210" s="307"/>
      <c r="I210" s="307"/>
      <c r="J210" s="307"/>
      <c r="K210" s="307"/>
      <c r="L210" s="307"/>
      <c r="M210" s="307"/>
    </row>
    <row r="211" ht="20.25" customHeight="1">
      <c r="A211" s="307"/>
      <c r="B211" s="307"/>
      <c r="C211" s="307"/>
      <c r="D211" s="452"/>
      <c r="E211" s="357"/>
      <c r="F211" s="357"/>
      <c r="G211" s="307"/>
      <c r="H211" s="307"/>
      <c r="I211" s="307"/>
      <c r="J211" s="307"/>
      <c r="K211" s="307"/>
      <c r="L211" s="307"/>
      <c r="M211" s="307"/>
    </row>
    <row r="212" ht="20.25" customHeight="1">
      <c r="A212" s="307"/>
      <c r="B212" s="307"/>
      <c r="C212" s="307"/>
      <c r="D212" s="452"/>
      <c r="E212" s="357"/>
      <c r="F212" s="357"/>
      <c r="G212" s="307"/>
      <c r="H212" s="307"/>
      <c r="I212" s="307"/>
      <c r="J212" s="307"/>
      <c r="K212" s="307"/>
      <c r="L212" s="307"/>
      <c r="M212" s="307"/>
    </row>
    <row r="213" ht="20.25" customHeight="1">
      <c r="A213" s="307"/>
      <c r="B213" s="307"/>
      <c r="C213" s="307"/>
      <c r="D213" s="452"/>
      <c r="E213" s="357"/>
      <c r="F213" s="357"/>
      <c r="G213" s="307"/>
      <c r="H213" s="307"/>
      <c r="I213" s="307"/>
      <c r="J213" s="307"/>
      <c r="K213" s="307"/>
      <c r="L213" s="307"/>
      <c r="M213" s="307"/>
    </row>
    <row r="214" ht="20.25" customHeight="1">
      <c r="A214" s="307"/>
      <c r="B214" s="307"/>
      <c r="C214" s="307"/>
      <c r="D214" s="452"/>
      <c r="E214" s="357"/>
      <c r="F214" s="357"/>
      <c r="G214" s="307"/>
      <c r="H214" s="307"/>
      <c r="I214" s="307"/>
      <c r="J214" s="307"/>
      <c r="K214" s="307"/>
      <c r="L214" s="307"/>
      <c r="M214" s="307"/>
    </row>
    <row r="215" ht="20.25" customHeight="1">
      <c r="A215" s="307"/>
      <c r="B215" s="307"/>
      <c r="C215" s="307"/>
      <c r="D215" s="452"/>
      <c r="E215" s="357"/>
      <c r="F215" s="357"/>
      <c r="G215" s="307"/>
      <c r="H215" s="307"/>
      <c r="I215" s="307"/>
      <c r="J215" s="307"/>
      <c r="K215" s="307"/>
      <c r="L215" s="307"/>
      <c r="M215" s="307"/>
    </row>
    <row r="216" ht="20.25" customHeight="1">
      <c r="A216" s="307"/>
      <c r="B216" s="307"/>
      <c r="C216" s="307"/>
      <c r="D216" s="452"/>
      <c r="E216" s="357"/>
      <c r="F216" s="357"/>
      <c r="G216" s="307"/>
      <c r="H216" s="307"/>
      <c r="I216" s="307"/>
      <c r="J216" s="307"/>
      <c r="K216" s="307"/>
      <c r="L216" s="307"/>
      <c r="M216" s="307"/>
    </row>
    <row r="217" ht="20.25" customHeight="1">
      <c r="A217" s="307"/>
      <c r="B217" s="307"/>
      <c r="C217" s="307"/>
      <c r="D217" s="452"/>
      <c r="E217" s="357"/>
      <c r="F217" s="357"/>
      <c r="G217" s="307"/>
      <c r="H217" s="307"/>
      <c r="I217" s="307"/>
      <c r="J217" s="307"/>
      <c r="K217" s="307"/>
      <c r="L217" s="307"/>
      <c r="M217" s="307"/>
    </row>
    <row r="218" ht="20.25" customHeight="1">
      <c r="A218" s="307"/>
      <c r="B218" s="307"/>
      <c r="C218" s="307"/>
      <c r="D218" s="452"/>
      <c r="E218" s="357"/>
      <c r="F218" s="357"/>
      <c r="G218" s="307"/>
      <c r="H218" s="307"/>
      <c r="I218" s="307"/>
      <c r="J218" s="307"/>
      <c r="K218" s="307"/>
      <c r="L218" s="307"/>
      <c r="M218" s="307"/>
    </row>
    <row r="219" ht="20.25" customHeight="1">
      <c r="A219" s="307"/>
      <c r="B219" s="307"/>
      <c r="C219" s="307"/>
      <c r="D219" s="452"/>
      <c r="E219" s="357"/>
      <c r="F219" s="357"/>
      <c r="G219" s="307"/>
      <c r="H219" s="307"/>
      <c r="I219" s="307"/>
      <c r="J219" s="307"/>
      <c r="K219" s="307"/>
      <c r="L219" s="307"/>
      <c r="M219" s="307"/>
    </row>
    <row r="220" ht="20.25" customHeight="1">
      <c r="A220" s="307"/>
      <c r="B220" s="307"/>
      <c r="C220" s="307"/>
      <c r="D220" s="452"/>
      <c r="E220" s="357"/>
      <c r="F220" s="357"/>
      <c r="G220" s="307"/>
      <c r="H220" s="307"/>
      <c r="I220" s="307"/>
      <c r="J220" s="307"/>
      <c r="K220" s="307"/>
      <c r="L220" s="307"/>
      <c r="M220" s="307"/>
    </row>
    <row r="221" ht="20.25" customHeight="1">
      <c r="A221" s="307"/>
      <c r="B221" s="307"/>
      <c r="C221" s="307"/>
      <c r="D221" s="452"/>
      <c r="E221" s="357"/>
      <c r="F221" s="357"/>
      <c r="G221" s="307"/>
      <c r="H221" s="307"/>
      <c r="I221" s="307"/>
      <c r="J221" s="307"/>
      <c r="K221" s="307"/>
      <c r="L221" s="307"/>
      <c r="M221" s="307"/>
    </row>
    <row r="222" ht="20.25" customHeight="1">
      <c r="A222" s="307"/>
      <c r="B222" s="307"/>
      <c r="C222" s="307"/>
      <c r="D222" s="452"/>
      <c r="E222" s="357"/>
      <c r="F222" s="357"/>
      <c r="G222" s="307"/>
      <c r="H222" s="307"/>
      <c r="I222" s="307"/>
      <c r="J222" s="307"/>
      <c r="K222" s="307"/>
      <c r="L222" s="307"/>
      <c r="M222" s="307"/>
    </row>
    <row r="223" ht="20.25" customHeight="1">
      <c r="A223" s="307"/>
      <c r="B223" s="307"/>
      <c r="C223" s="307"/>
      <c r="D223" s="452"/>
      <c r="E223" s="357"/>
      <c r="F223" s="357"/>
      <c r="G223" s="307"/>
      <c r="H223" s="307"/>
      <c r="I223" s="307"/>
      <c r="J223" s="307"/>
      <c r="K223" s="307"/>
      <c r="L223" s="307"/>
      <c r="M223" s="307"/>
    </row>
    <row r="224" ht="20.25" customHeight="1">
      <c r="A224" s="307"/>
      <c r="B224" s="307"/>
      <c r="C224" s="307"/>
      <c r="D224" s="452"/>
      <c r="E224" s="357"/>
      <c r="F224" s="357"/>
      <c r="G224" s="307"/>
      <c r="H224" s="307"/>
      <c r="I224" s="307"/>
      <c r="J224" s="307"/>
      <c r="K224" s="307"/>
      <c r="L224" s="307"/>
      <c r="M224" s="307"/>
    </row>
    <row r="225" ht="20.25" customHeight="1">
      <c r="A225" s="307"/>
      <c r="B225" s="307"/>
      <c r="C225" s="307"/>
      <c r="D225" s="452"/>
      <c r="E225" s="357"/>
      <c r="F225" s="357"/>
      <c r="G225" s="307"/>
      <c r="H225" s="307"/>
      <c r="I225" s="307"/>
      <c r="J225" s="307"/>
      <c r="K225" s="307"/>
      <c r="L225" s="307"/>
      <c r="M225" s="307"/>
    </row>
    <row r="226" ht="20.25" customHeight="1">
      <c r="A226" s="307"/>
      <c r="B226" s="307"/>
      <c r="C226" s="307"/>
      <c r="D226" s="452"/>
      <c r="E226" s="357"/>
      <c r="F226" s="357"/>
      <c r="G226" s="307"/>
      <c r="H226" s="307"/>
      <c r="I226" s="307"/>
      <c r="J226" s="307"/>
      <c r="K226" s="307"/>
      <c r="L226" s="307"/>
      <c r="M226" s="307"/>
    </row>
    <row r="227" ht="20.25" customHeight="1">
      <c r="A227" s="307"/>
      <c r="B227" s="307"/>
      <c r="C227" s="307"/>
      <c r="D227" s="452"/>
      <c r="E227" s="357"/>
      <c r="F227" s="357"/>
      <c r="G227" s="307"/>
      <c r="H227" s="307"/>
      <c r="I227" s="307"/>
      <c r="J227" s="307"/>
      <c r="K227" s="307"/>
      <c r="L227" s="307"/>
      <c r="M227" s="307"/>
    </row>
    <row r="228" ht="20.25" customHeight="1">
      <c r="A228" s="307"/>
      <c r="B228" s="307"/>
      <c r="C228" s="307"/>
      <c r="D228" s="452"/>
      <c r="E228" s="357"/>
      <c r="F228" s="357"/>
      <c r="G228" s="307"/>
      <c r="H228" s="307"/>
      <c r="I228" s="307"/>
      <c r="J228" s="307"/>
      <c r="K228" s="307"/>
      <c r="L228" s="307"/>
      <c r="M228" s="307"/>
    </row>
    <row r="229" ht="20.25" customHeight="1">
      <c r="A229" s="307"/>
      <c r="B229" s="307"/>
      <c r="C229" s="307"/>
      <c r="D229" s="452"/>
      <c r="E229" s="357"/>
      <c r="F229" s="357"/>
      <c r="G229" s="307"/>
      <c r="H229" s="307"/>
      <c r="I229" s="307"/>
      <c r="J229" s="307"/>
      <c r="K229" s="307"/>
      <c r="L229" s="307"/>
      <c r="M229" s="307"/>
    </row>
    <row r="230" ht="20.25" customHeight="1">
      <c r="A230" s="307"/>
      <c r="B230" s="307"/>
      <c r="C230" s="307"/>
      <c r="D230" s="452"/>
      <c r="E230" s="357"/>
      <c r="F230" s="357"/>
      <c r="G230" s="307"/>
      <c r="H230" s="307"/>
      <c r="I230" s="307"/>
      <c r="J230" s="307"/>
      <c r="K230" s="307"/>
      <c r="L230" s="307"/>
      <c r="M230" s="307"/>
    </row>
    <row r="231" ht="20.25" customHeight="1">
      <c r="A231" s="307"/>
      <c r="B231" s="307"/>
      <c r="C231" s="307"/>
      <c r="D231" s="452"/>
      <c r="E231" s="357"/>
      <c r="F231" s="357"/>
      <c r="G231" s="307"/>
      <c r="H231" s="307"/>
      <c r="I231" s="307"/>
      <c r="J231" s="307"/>
      <c r="K231" s="307"/>
      <c r="L231" s="307"/>
      <c r="M231" s="307"/>
    </row>
    <row r="232" ht="20.25" customHeight="1">
      <c r="A232" s="307"/>
      <c r="B232" s="307"/>
      <c r="C232" s="307"/>
      <c r="D232" s="452"/>
      <c r="E232" s="357"/>
      <c r="F232" s="357"/>
      <c r="G232" s="307"/>
      <c r="H232" s="307"/>
      <c r="I232" s="307"/>
      <c r="J232" s="307"/>
      <c r="K232" s="307"/>
      <c r="L232" s="307"/>
      <c r="M232" s="307"/>
    </row>
    <row r="233" ht="20.25" customHeight="1">
      <c r="A233" s="307"/>
      <c r="B233" s="307"/>
      <c r="C233" s="307"/>
      <c r="D233" s="452"/>
      <c r="E233" s="357"/>
      <c r="F233" s="357"/>
      <c r="G233" s="307"/>
      <c r="H233" s="307"/>
      <c r="I233" s="307"/>
      <c r="J233" s="307"/>
      <c r="K233" s="307"/>
      <c r="L233" s="307"/>
      <c r="M233" s="307"/>
    </row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E7:F8"/>
    <mergeCell ref="G8:H8"/>
    <mergeCell ref="I8:J8"/>
    <mergeCell ref="K8:L8"/>
    <mergeCell ref="E9:F9"/>
    <mergeCell ref="G9:G10"/>
    <mergeCell ref="H9:H10"/>
    <mergeCell ref="I9:I10"/>
    <mergeCell ref="J9:J10"/>
    <mergeCell ref="K9:K10"/>
    <mergeCell ref="A7:A10"/>
    <mergeCell ref="B7:B10"/>
    <mergeCell ref="C7:D7"/>
    <mergeCell ref="G7:L7"/>
    <mergeCell ref="M7:M10"/>
    <mergeCell ref="C8:C10"/>
    <mergeCell ref="D8:D10"/>
    <mergeCell ref="L9:L10"/>
  </mergeCells>
  <printOptions/>
  <pageMargins bottom="0.7480314960629921" footer="0.0" header="0.0" left="0.23622047244094488" right="0.23622047244094488" top="0.7480314960629921"/>
  <pageSetup fitToHeight="0" paperSize="14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0.57"/>
    <col customWidth="1" min="2" max="2" width="42.71"/>
    <col customWidth="1" min="3" max="3" width="76.71"/>
    <col customWidth="1" min="4" max="4" width="39.57"/>
    <col customWidth="1" min="5" max="5" width="39.0"/>
    <col customWidth="1" min="7" max="7" width="37.29"/>
  </cols>
  <sheetData>
    <row r="1" ht="30.0" customHeight="1">
      <c r="A1" s="292" t="s">
        <v>0</v>
      </c>
      <c r="B1" s="453"/>
      <c r="C1" s="307"/>
      <c r="D1" s="454"/>
      <c r="E1" s="455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</row>
    <row r="2" ht="39.0" customHeight="1">
      <c r="A2" s="297" t="s">
        <v>1</v>
      </c>
      <c r="B2" s="456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</row>
    <row r="3" ht="28.5" customHeight="1">
      <c r="A3" s="457" t="s">
        <v>670</v>
      </c>
      <c r="B3" s="453"/>
      <c r="C3" s="307"/>
      <c r="D3" s="299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</row>
    <row r="4" ht="43.5" customHeight="1">
      <c r="A4" s="457" t="s">
        <v>3</v>
      </c>
      <c r="B4" s="453"/>
      <c r="C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</row>
    <row r="5" ht="30.0" customHeight="1">
      <c r="A5" s="457" t="s">
        <v>4</v>
      </c>
      <c r="B5" s="453"/>
      <c r="C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</row>
    <row r="6" ht="14.25" customHeight="1">
      <c r="A6" s="307"/>
      <c r="B6" s="453"/>
      <c r="C6" s="307"/>
      <c r="D6" s="454"/>
      <c r="E6" s="455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</row>
    <row r="7" ht="50.25" customHeight="1">
      <c r="A7" s="458" t="s">
        <v>671</v>
      </c>
      <c r="B7" s="458" t="s">
        <v>672</v>
      </c>
      <c r="C7" s="459" t="s">
        <v>673</v>
      </c>
      <c r="D7" s="460" t="s">
        <v>674</v>
      </c>
      <c r="E7" s="461" t="s">
        <v>675</v>
      </c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</row>
    <row r="8" ht="20.25" hidden="1" customHeight="1">
      <c r="A8" s="462" t="s">
        <v>676</v>
      </c>
      <c r="B8" s="17"/>
      <c r="C8" s="17"/>
      <c r="D8" s="17"/>
      <c r="E8" s="18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</row>
    <row r="9" ht="40.5" hidden="1" customHeight="1">
      <c r="A9" s="420" t="s">
        <v>677</v>
      </c>
      <c r="B9" s="36" t="s">
        <v>678</v>
      </c>
      <c r="C9" s="390" t="s">
        <v>679</v>
      </c>
      <c r="D9" s="463">
        <v>1.0</v>
      </c>
      <c r="E9" s="464">
        <v>15000.0</v>
      </c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</row>
    <row r="10" ht="40.5" hidden="1" customHeight="1">
      <c r="A10" s="420" t="s">
        <v>680</v>
      </c>
      <c r="B10" s="36" t="s">
        <v>681</v>
      </c>
      <c r="C10" s="390" t="s">
        <v>682</v>
      </c>
      <c r="D10" s="463">
        <v>1.0</v>
      </c>
      <c r="E10" s="464">
        <v>15000.0</v>
      </c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</row>
    <row r="11" ht="40.5" hidden="1" customHeight="1">
      <c r="A11" s="465" t="s">
        <v>683</v>
      </c>
      <c r="B11" s="394" t="s">
        <v>684</v>
      </c>
      <c r="C11" s="390" t="s">
        <v>685</v>
      </c>
      <c r="D11" s="463">
        <v>1.0</v>
      </c>
      <c r="E11" s="464">
        <v>15000.0</v>
      </c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</row>
    <row r="12" ht="40.5" hidden="1" customHeight="1">
      <c r="A12" s="26"/>
      <c r="B12" s="36" t="s">
        <v>686</v>
      </c>
      <c r="C12" s="390" t="s">
        <v>687</v>
      </c>
      <c r="D12" s="463">
        <v>1.0</v>
      </c>
      <c r="E12" s="464">
        <v>15000.0</v>
      </c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</row>
    <row r="13" ht="40.5" hidden="1" customHeight="1">
      <c r="A13" s="420" t="s">
        <v>688</v>
      </c>
      <c r="B13" s="36" t="s">
        <v>689</v>
      </c>
      <c r="C13" s="390" t="s">
        <v>690</v>
      </c>
      <c r="D13" s="463">
        <v>1.0</v>
      </c>
      <c r="E13" s="464">
        <v>15000.0</v>
      </c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</row>
    <row r="14" ht="20.25" hidden="1" customHeight="1">
      <c r="A14" s="420" t="s">
        <v>691</v>
      </c>
      <c r="B14" s="466" t="s">
        <v>692</v>
      </c>
      <c r="C14" s="390" t="s">
        <v>693</v>
      </c>
      <c r="D14" s="463">
        <v>3.9</v>
      </c>
      <c r="E14" s="464">
        <v>40000.0</v>
      </c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</row>
    <row r="15" ht="20.25" hidden="1" customHeight="1">
      <c r="A15" s="467" t="s">
        <v>694</v>
      </c>
      <c r="B15" s="17"/>
      <c r="C15" s="18"/>
      <c r="D15" s="468">
        <f t="shared" ref="D15:E15" si="1">SUM(D9:D14)</f>
        <v>8.9</v>
      </c>
      <c r="E15" s="469">
        <f t="shared" si="1"/>
        <v>115000</v>
      </c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</row>
    <row r="16" ht="20.25" hidden="1" customHeight="1">
      <c r="A16" s="470"/>
      <c r="B16" s="17"/>
      <c r="C16" s="17"/>
      <c r="D16" s="17"/>
      <c r="E16" s="18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</row>
    <row r="17" ht="20.25" hidden="1" customHeight="1">
      <c r="A17" s="462" t="s">
        <v>695</v>
      </c>
      <c r="B17" s="17"/>
      <c r="C17" s="17"/>
      <c r="D17" s="17"/>
      <c r="E17" s="18"/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</row>
    <row r="18" ht="40.5" hidden="1" customHeight="1">
      <c r="A18" s="420" t="s">
        <v>680</v>
      </c>
      <c r="B18" s="36" t="s">
        <v>696</v>
      </c>
      <c r="C18" s="390" t="s">
        <v>697</v>
      </c>
      <c r="D18" s="463">
        <v>1.0</v>
      </c>
      <c r="E18" s="464">
        <v>15000.0</v>
      </c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</row>
    <row r="19" ht="40.5" hidden="1" customHeight="1">
      <c r="A19" s="420" t="s">
        <v>691</v>
      </c>
      <c r="B19" s="36" t="s">
        <v>698</v>
      </c>
      <c r="C19" s="390" t="s">
        <v>699</v>
      </c>
      <c r="D19" s="463">
        <v>1.2</v>
      </c>
      <c r="E19" s="464">
        <v>18000.0</v>
      </c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</row>
    <row r="20" ht="40.5" hidden="1" customHeight="1">
      <c r="A20" s="420" t="s">
        <v>700</v>
      </c>
      <c r="B20" s="36" t="s">
        <v>701</v>
      </c>
      <c r="C20" s="390" t="s">
        <v>702</v>
      </c>
      <c r="D20" s="463">
        <v>1.0</v>
      </c>
      <c r="E20" s="464">
        <v>15000.0</v>
      </c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</row>
    <row r="21" ht="40.5" hidden="1" customHeight="1">
      <c r="A21" s="420" t="s">
        <v>677</v>
      </c>
      <c r="B21" s="36" t="s">
        <v>703</v>
      </c>
      <c r="C21" s="390" t="s">
        <v>704</v>
      </c>
      <c r="D21" s="463">
        <v>1.15</v>
      </c>
      <c r="E21" s="464">
        <v>15000.0</v>
      </c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</row>
    <row r="22" ht="20.25" hidden="1" customHeight="1">
      <c r="A22" s="467" t="s">
        <v>694</v>
      </c>
      <c r="B22" s="17"/>
      <c r="C22" s="18"/>
      <c r="D22" s="468">
        <f t="shared" ref="D22:E22" si="2">SUM(D18:D21)</f>
        <v>4.35</v>
      </c>
      <c r="E22" s="469">
        <f t="shared" si="2"/>
        <v>63000</v>
      </c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</row>
    <row r="23" ht="20.25" hidden="1" customHeight="1">
      <c r="A23" s="467" t="s">
        <v>13</v>
      </c>
      <c r="B23" s="17"/>
      <c r="C23" s="18"/>
      <c r="D23" s="468">
        <f t="shared" ref="D23:E23" si="3">D22+D15</f>
        <v>13.25</v>
      </c>
      <c r="E23" s="469">
        <f t="shared" si="3"/>
        <v>178000</v>
      </c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</row>
    <row r="24" ht="20.25" hidden="1" customHeight="1">
      <c r="A24" s="470"/>
      <c r="B24" s="17"/>
      <c r="C24" s="17"/>
      <c r="D24" s="17"/>
      <c r="E24" s="18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</row>
    <row r="25" ht="20.25" hidden="1" customHeight="1">
      <c r="A25" s="462" t="s">
        <v>705</v>
      </c>
      <c r="B25" s="17"/>
      <c r="C25" s="17"/>
      <c r="D25" s="17"/>
      <c r="E25" s="18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</row>
    <row r="26" ht="20.25" hidden="1" customHeight="1">
      <c r="A26" s="465" t="s">
        <v>677</v>
      </c>
      <c r="B26" s="394" t="s">
        <v>689</v>
      </c>
      <c r="C26" s="390" t="s">
        <v>706</v>
      </c>
      <c r="D26" s="471">
        <v>1.0</v>
      </c>
      <c r="E26" s="472">
        <v>15000.0</v>
      </c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</row>
    <row r="27" ht="40.5" hidden="1" customHeight="1">
      <c r="A27" s="19"/>
      <c r="B27" s="394" t="s">
        <v>689</v>
      </c>
      <c r="C27" s="390" t="s">
        <v>707</v>
      </c>
      <c r="D27" s="471">
        <v>0.667</v>
      </c>
      <c r="E27" s="472">
        <v>10000.0</v>
      </c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</row>
    <row r="28" ht="20.25" hidden="1" customHeight="1">
      <c r="A28" s="19"/>
      <c r="B28" s="394" t="s">
        <v>708</v>
      </c>
      <c r="C28" s="390" t="s">
        <v>709</v>
      </c>
      <c r="D28" s="471">
        <v>2.0</v>
      </c>
      <c r="E28" s="472">
        <v>30000.0</v>
      </c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</row>
    <row r="29" ht="20.25" hidden="1" customHeight="1">
      <c r="A29" s="19"/>
      <c r="B29" s="394" t="s">
        <v>710</v>
      </c>
      <c r="C29" s="390" t="s">
        <v>711</v>
      </c>
      <c r="D29" s="471">
        <v>1.0</v>
      </c>
      <c r="E29" s="472">
        <v>15000.0</v>
      </c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</row>
    <row r="30" ht="20.25" hidden="1" customHeight="1">
      <c r="A30" s="26"/>
      <c r="B30" s="394" t="s">
        <v>712</v>
      </c>
      <c r="C30" s="390" t="s">
        <v>713</v>
      </c>
      <c r="D30" s="471">
        <v>2.0</v>
      </c>
      <c r="E30" s="472">
        <v>30000.0</v>
      </c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</row>
    <row r="31" ht="20.25" hidden="1" customHeight="1">
      <c r="A31" s="465" t="s">
        <v>714</v>
      </c>
      <c r="B31" s="394" t="s">
        <v>715</v>
      </c>
      <c r="C31" s="390" t="s">
        <v>716</v>
      </c>
      <c r="D31" s="471">
        <v>1.0</v>
      </c>
      <c r="E31" s="472">
        <v>15000.0</v>
      </c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</row>
    <row r="32" ht="20.25" hidden="1" customHeight="1">
      <c r="A32" s="19"/>
      <c r="B32" s="394" t="s">
        <v>715</v>
      </c>
      <c r="C32" s="390" t="s">
        <v>717</v>
      </c>
      <c r="D32" s="471">
        <v>0.667</v>
      </c>
      <c r="E32" s="472">
        <v>10000.0</v>
      </c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</row>
    <row r="33" ht="20.25" hidden="1" customHeight="1">
      <c r="A33" s="19"/>
      <c r="B33" s="394" t="s">
        <v>715</v>
      </c>
      <c r="C33" s="390" t="s">
        <v>718</v>
      </c>
      <c r="D33" s="471">
        <v>1.333</v>
      </c>
      <c r="E33" s="472">
        <v>20000.0</v>
      </c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</row>
    <row r="34" ht="20.25" hidden="1" customHeight="1">
      <c r="A34" s="19"/>
      <c r="B34" s="394" t="s">
        <v>719</v>
      </c>
      <c r="C34" s="390" t="s">
        <v>720</v>
      </c>
      <c r="D34" s="471">
        <v>1.0</v>
      </c>
      <c r="E34" s="472">
        <v>15000.0</v>
      </c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</row>
    <row r="35" ht="40.5" hidden="1" customHeight="1">
      <c r="A35" s="19"/>
      <c r="B35" s="394" t="s">
        <v>721</v>
      </c>
      <c r="C35" s="390" t="s">
        <v>722</v>
      </c>
      <c r="D35" s="471">
        <v>1.0</v>
      </c>
      <c r="E35" s="472">
        <v>15000.0</v>
      </c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</row>
    <row r="36" ht="20.25" hidden="1" customHeight="1">
      <c r="A36" s="26"/>
      <c r="B36" s="394" t="s">
        <v>723</v>
      </c>
      <c r="C36" s="390" t="s">
        <v>724</v>
      </c>
      <c r="D36" s="471">
        <v>1.0</v>
      </c>
      <c r="E36" s="472">
        <v>15000.0</v>
      </c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</row>
    <row r="37" ht="20.25" hidden="1" customHeight="1">
      <c r="A37" s="420" t="s">
        <v>714</v>
      </c>
      <c r="B37" s="394" t="s">
        <v>719</v>
      </c>
      <c r="C37" s="390" t="s">
        <v>725</v>
      </c>
      <c r="D37" s="471">
        <v>1.0</v>
      </c>
      <c r="E37" s="472">
        <v>15000.0</v>
      </c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</row>
    <row r="38" ht="20.25" hidden="1" customHeight="1">
      <c r="A38" s="465" t="s">
        <v>726</v>
      </c>
      <c r="B38" s="394" t="s">
        <v>727</v>
      </c>
      <c r="C38" s="390" t="s">
        <v>728</v>
      </c>
      <c r="D38" s="471">
        <v>0.667</v>
      </c>
      <c r="E38" s="472">
        <v>10000.0</v>
      </c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</row>
    <row r="39" ht="40.5" hidden="1" customHeight="1">
      <c r="A39" s="26"/>
      <c r="B39" s="394" t="s">
        <v>729</v>
      </c>
      <c r="C39" s="390" t="s">
        <v>730</v>
      </c>
      <c r="D39" s="471">
        <v>1.0</v>
      </c>
      <c r="E39" s="472">
        <v>15000.0</v>
      </c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</row>
    <row r="40" ht="20.25" hidden="1" customHeight="1">
      <c r="A40" s="465" t="s">
        <v>691</v>
      </c>
      <c r="B40" s="394" t="s">
        <v>731</v>
      </c>
      <c r="C40" s="390" t="s">
        <v>732</v>
      </c>
      <c r="D40" s="471">
        <v>1.0</v>
      </c>
      <c r="E40" s="472">
        <v>15000.0</v>
      </c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</row>
    <row r="41" ht="20.25" hidden="1" customHeight="1">
      <c r="A41" s="26"/>
      <c r="B41" s="394" t="s">
        <v>733</v>
      </c>
      <c r="C41" s="390" t="s">
        <v>734</v>
      </c>
      <c r="D41" s="471">
        <v>1.0</v>
      </c>
      <c r="E41" s="472">
        <v>15000.0</v>
      </c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</row>
    <row r="42" ht="20.25" hidden="1" customHeight="1">
      <c r="A42" s="465" t="s">
        <v>680</v>
      </c>
      <c r="B42" s="394" t="s">
        <v>735</v>
      </c>
      <c r="C42" s="390" t="s">
        <v>736</v>
      </c>
      <c r="D42" s="471">
        <v>2.0</v>
      </c>
      <c r="E42" s="472">
        <v>30000.0</v>
      </c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</row>
    <row r="43" ht="20.25" hidden="1" customHeight="1">
      <c r="A43" s="26"/>
      <c r="B43" s="394" t="s">
        <v>737</v>
      </c>
      <c r="C43" s="390" t="s">
        <v>738</v>
      </c>
      <c r="D43" s="471">
        <v>1.0</v>
      </c>
      <c r="E43" s="472">
        <v>15000.0</v>
      </c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</row>
    <row r="44" ht="20.25" hidden="1" customHeight="1">
      <c r="A44" s="420" t="s">
        <v>683</v>
      </c>
      <c r="B44" s="394" t="s">
        <v>686</v>
      </c>
      <c r="C44" s="390" t="s">
        <v>739</v>
      </c>
      <c r="D44" s="471">
        <v>1.0</v>
      </c>
      <c r="E44" s="472">
        <v>15000.0</v>
      </c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</row>
    <row r="45" ht="20.25" hidden="1" customHeight="1">
      <c r="A45" s="420" t="s">
        <v>688</v>
      </c>
      <c r="B45" s="394" t="s">
        <v>740</v>
      </c>
      <c r="C45" s="390" t="s">
        <v>741</v>
      </c>
      <c r="D45" s="471">
        <v>1.0</v>
      </c>
      <c r="E45" s="472">
        <v>15000.0</v>
      </c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</row>
    <row r="46" ht="40.5" hidden="1" customHeight="1">
      <c r="A46" s="420" t="s">
        <v>700</v>
      </c>
      <c r="B46" s="394" t="s">
        <v>742</v>
      </c>
      <c r="C46" s="390" t="s">
        <v>743</v>
      </c>
      <c r="D46" s="471">
        <v>2.0</v>
      </c>
      <c r="E46" s="472">
        <v>30000.0</v>
      </c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</row>
    <row r="47" ht="20.25" hidden="1" customHeight="1">
      <c r="A47" s="467" t="s">
        <v>13</v>
      </c>
      <c r="B47" s="17"/>
      <c r="C47" s="18"/>
      <c r="D47" s="473">
        <f t="shared" ref="D47:E47" si="4">SUM(D26:D46)</f>
        <v>24.334</v>
      </c>
      <c r="E47" s="474">
        <f t="shared" si="4"/>
        <v>365000</v>
      </c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</row>
    <row r="48" ht="25.5" customHeight="1">
      <c r="A48" s="475" t="s">
        <v>530</v>
      </c>
      <c r="B48" s="17"/>
      <c r="C48" s="17"/>
      <c r="D48" s="17"/>
      <c r="E48" s="18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</row>
    <row r="49" ht="46.5" customHeight="1">
      <c r="A49" s="466" t="s">
        <v>610</v>
      </c>
      <c r="B49" s="466" t="s">
        <v>744</v>
      </c>
      <c r="C49" s="476" t="s">
        <v>745</v>
      </c>
      <c r="D49" s="463">
        <v>1.0</v>
      </c>
      <c r="E49" s="477">
        <v>15000.0</v>
      </c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</row>
    <row r="50" ht="40.5" customHeight="1">
      <c r="A50" s="466" t="s">
        <v>610</v>
      </c>
      <c r="B50" s="466" t="s">
        <v>746</v>
      </c>
      <c r="C50" s="476" t="s">
        <v>747</v>
      </c>
      <c r="D50" s="463">
        <v>2.0</v>
      </c>
      <c r="E50" s="477">
        <v>30000.0</v>
      </c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</row>
    <row r="51" ht="64.5" customHeight="1">
      <c r="A51" s="466" t="s">
        <v>610</v>
      </c>
      <c r="B51" s="466" t="s">
        <v>708</v>
      </c>
      <c r="C51" s="476" t="s">
        <v>748</v>
      </c>
      <c r="D51" s="463">
        <v>1.333</v>
      </c>
      <c r="E51" s="477">
        <v>20000.0</v>
      </c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</row>
    <row r="52" ht="43.5" customHeight="1">
      <c r="A52" s="466" t="s">
        <v>610</v>
      </c>
      <c r="B52" s="466" t="s">
        <v>749</v>
      </c>
      <c r="C52" s="476" t="s">
        <v>750</v>
      </c>
      <c r="D52" s="463">
        <v>1.0</v>
      </c>
      <c r="E52" s="477">
        <v>15000.0</v>
      </c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</row>
    <row r="53" ht="48.0" customHeight="1">
      <c r="A53" s="466" t="s">
        <v>610</v>
      </c>
      <c r="B53" s="466" t="s">
        <v>751</v>
      </c>
      <c r="C53" s="476" t="s">
        <v>752</v>
      </c>
      <c r="D53" s="463">
        <v>0.667</v>
      </c>
      <c r="E53" s="477">
        <v>10000.0</v>
      </c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</row>
    <row r="54" ht="49.5" customHeight="1">
      <c r="A54" s="466" t="s">
        <v>98</v>
      </c>
      <c r="B54" s="466" t="s">
        <v>715</v>
      </c>
      <c r="C54" s="476" t="s">
        <v>753</v>
      </c>
      <c r="D54" s="463">
        <v>1.0</v>
      </c>
      <c r="E54" s="477">
        <v>15000.0</v>
      </c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</row>
    <row r="55" ht="42.0" customHeight="1">
      <c r="A55" s="466" t="s">
        <v>98</v>
      </c>
      <c r="B55" s="466" t="s">
        <v>715</v>
      </c>
      <c r="C55" s="476" t="s">
        <v>754</v>
      </c>
      <c r="D55" s="463">
        <v>1.333</v>
      </c>
      <c r="E55" s="477">
        <v>20000.0</v>
      </c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</row>
    <row r="56" ht="60.0" customHeight="1">
      <c r="A56" s="466" t="s">
        <v>98</v>
      </c>
      <c r="B56" s="466" t="s">
        <v>719</v>
      </c>
      <c r="C56" s="476" t="s">
        <v>755</v>
      </c>
      <c r="D56" s="463">
        <v>1.0</v>
      </c>
      <c r="E56" s="477">
        <v>15000.0</v>
      </c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</row>
    <row r="57" ht="57.0" customHeight="1">
      <c r="A57" s="466" t="s">
        <v>98</v>
      </c>
      <c r="B57" s="466" t="s">
        <v>721</v>
      </c>
      <c r="C57" s="476" t="s">
        <v>756</v>
      </c>
      <c r="D57" s="463">
        <v>1.0</v>
      </c>
      <c r="E57" s="477">
        <v>15000.0</v>
      </c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</row>
    <row r="58" ht="54.0" customHeight="1">
      <c r="A58" s="466" t="s">
        <v>98</v>
      </c>
      <c r="B58" s="466" t="s">
        <v>723</v>
      </c>
      <c r="C58" s="476" t="s">
        <v>757</v>
      </c>
      <c r="D58" s="463">
        <v>1.0</v>
      </c>
      <c r="E58" s="477">
        <v>15000.0</v>
      </c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</row>
    <row r="59" ht="43.5" customHeight="1">
      <c r="A59" s="466" t="s">
        <v>98</v>
      </c>
      <c r="B59" s="466" t="s">
        <v>758</v>
      </c>
      <c r="C59" s="476" t="s">
        <v>759</v>
      </c>
      <c r="D59" s="463">
        <v>1.0</v>
      </c>
      <c r="E59" s="477">
        <v>15000.0</v>
      </c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</row>
    <row r="60" ht="39.0" customHeight="1">
      <c r="A60" s="466" t="s">
        <v>131</v>
      </c>
      <c r="B60" s="466" t="s">
        <v>731</v>
      </c>
      <c r="C60" s="476" t="s">
        <v>760</v>
      </c>
      <c r="D60" s="463">
        <v>1.0</v>
      </c>
      <c r="E60" s="477">
        <v>15000.0</v>
      </c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</row>
    <row r="61" ht="42.0" customHeight="1">
      <c r="A61" s="466" t="s">
        <v>131</v>
      </c>
      <c r="B61" s="466" t="s">
        <v>733</v>
      </c>
      <c r="C61" s="476" t="s">
        <v>761</v>
      </c>
      <c r="D61" s="463">
        <v>1.0</v>
      </c>
      <c r="E61" s="477">
        <v>15000.0</v>
      </c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</row>
    <row r="62" ht="45.0" customHeight="1">
      <c r="A62" s="466" t="s">
        <v>762</v>
      </c>
      <c r="B62" s="466" t="s">
        <v>735</v>
      </c>
      <c r="C62" s="476" t="s">
        <v>763</v>
      </c>
      <c r="D62" s="463">
        <v>1.333</v>
      </c>
      <c r="E62" s="477">
        <v>20000.0</v>
      </c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</row>
    <row r="63" ht="46.5" customHeight="1">
      <c r="A63" s="466" t="s">
        <v>762</v>
      </c>
      <c r="B63" s="466" t="s">
        <v>764</v>
      </c>
      <c r="C63" s="476" t="s">
        <v>765</v>
      </c>
      <c r="D63" s="463">
        <v>1.0</v>
      </c>
      <c r="E63" s="477">
        <v>15000.0</v>
      </c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</row>
    <row r="64" ht="40.5" customHeight="1">
      <c r="A64" s="466" t="s">
        <v>762</v>
      </c>
      <c r="B64" s="466" t="s">
        <v>766</v>
      </c>
      <c r="C64" s="476" t="s">
        <v>767</v>
      </c>
      <c r="D64" s="463">
        <v>0.667</v>
      </c>
      <c r="E64" s="477">
        <v>10000.0</v>
      </c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</row>
    <row r="65" ht="45.0" customHeight="1">
      <c r="A65" s="466" t="s">
        <v>90</v>
      </c>
      <c r="B65" s="466" t="s">
        <v>768</v>
      </c>
      <c r="C65" s="476" t="s">
        <v>769</v>
      </c>
      <c r="D65" s="463">
        <v>1.0</v>
      </c>
      <c r="E65" s="477">
        <v>15000.0</v>
      </c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</row>
    <row r="66" ht="45.0" customHeight="1">
      <c r="A66" s="466" t="s">
        <v>770</v>
      </c>
      <c r="B66" s="466" t="s">
        <v>771</v>
      </c>
      <c r="C66" s="476" t="s">
        <v>772</v>
      </c>
      <c r="D66" s="463">
        <v>1.0</v>
      </c>
      <c r="E66" s="477">
        <v>15000.0</v>
      </c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</row>
    <row r="67" ht="45.0" customHeight="1">
      <c r="A67" s="466" t="s">
        <v>770</v>
      </c>
      <c r="B67" s="466" t="s">
        <v>773</v>
      </c>
      <c r="C67" s="476" t="s">
        <v>774</v>
      </c>
      <c r="D67" s="463">
        <v>0.667</v>
      </c>
      <c r="E67" s="477">
        <v>10000.0</v>
      </c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</row>
    <row r="68" ht="58.5" customHeight="1">
      <c r="A68" s="466" t="s">
        <v>775</v>
      </c>
      <c r="B68" s="466" t="s">
        <v>686</v>
      </c>
      <c r="C68" s="476" t="s">
        <v>776</v>
      </c>
      <c r="D68" s="463">
        <v>1.0</v>
      </c>
      <c r="E68" s="477">
        <v>15000.0</v>
      </c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</row>
    <row r="69" ht="75.0" customHeight="1">
      <c r="A69" s="466" t="s">
        <v>121</v>
      </c>
      <c r="B69" s="466" t="s">
        <v>742</v>
      </c>
      <c r="C69" s="476" t="s">
        <v>777</v>
      </c>
      <c r="D69" s="463">
        <v>1.333</v>
      </c>
      <c r="E69" s="478">
        <v>20000.0</v>
      </c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</row>
    <row r="70" ht="55.5" customHeight="1">
      <c r="A70" s="466" t="s">
        <v>121</v>
      </c>
      <c r="B70" s="466" t="s">
        <v>778</v>
      </c>
      <c r="C70" s="390" t="s">
        <v>779</v>
      </c>
      <c r="D70" s="463">
        <v>0.667</v>
      </c>
      <c r="E70" s="478">
        <v>10000.0</v>
      </c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</row>
    <row r="71" ht="31.5" customHeight="1">
      <c r="A71" s="467" t="s">
        <v>13</v>
      </c>
      <c r="B71" s="17"/>
      <c r="C71" s="18"/>
      <c r="D71" s="473">
        <f t="shared" ref="D71:E71" si="5">SUM(D49:D70)</f>
        <v>23</v>
      </c>
      <c r="E71" s="474">
        <f t="shared" si="5"/>
        <v>345000</v>
      </c>
      <c r="F71" s="479"/>
      <c r="G71" s="479"/>
      <c r="H71" s="479"/>
      <c r="I71" s="479"/>
      <c r="J71" s="479"/>
      <c r="K71" s="479"/>
      <c r="L71" s="479"/>
      <c r="M71" s="479"/>
      <c r="N71" s="479"/>
      <c r="O71" s="479"/>
      <c r="P71" s="479"/>
      <c r="Q71" s="479"/>
      <c r="R71" s="479"/>
      <c r="S71" s="479"/>
      <c r="T71" s="479"/>
    </row>
    <row r="72" ht="14.25" customHeight="1">
      <c r="A72" s="420"/>
      <c r="B72" s="420"/>
      <c r="C72" s="420"/>
      <c r="D72" s="473"/>
      <c r="E72" s="474"/>
      <c r="F72" s="479"/>
      <c r="G72" s="479"/>
      <c r="H72" s="479"/>
      <c r="I72" s="479"/>
      <c r="J72" s="479"/>
      <c r="K72" s="479"/>
      <c r="L72" s="479"/>
      <c r="M72" s="479"/>
      <c r="N72" s="479"/>
      <c r="O72" s="479"/>
      <c r="P72" s="479"/>
      <c r="Q72" s="479"/>
      <c r="R72" s="479"/>
      <c r="S72" s="479"/>
      <c r="T72" s="479"/>
    </row>
    <row r="73" ht="31.5" hidden="1" customHeight="1">
      <c r="A73" s="475" t="s">
        <v>780</v>
      </c>
      <c r="B73" s="17"/>
      <c r="C73" s="17"/>
      <c r="D73" s="17"/>
      <c r="E73" s="18"/>
      <c r="F73" s="479"/>
      <c r="G73" s="479"/>
      <c r="H73" s="479"/>
      <c r="I73" s="479"/>
      <c r="J73" s="479"/>
      <c r="K73" s="479"/>
      <c r="L73" s="479"/>
      <c r="M73" s="479"/>
      <c r="N73" s="479"/>
      <c r="O73" s="479"/>
      <c r="P73" s="479"/>
      <c r="Q73" s="479"/>
      <c r="R73" s="479"/>
      <c r="S73" s="479"/>
      <c r="T73" s="479"/>
    </row>
    <row r="74" ht="14.25" hidden="1" customHeight="1">
      <c r="A74" s="466" t="s">
        <v>610</v>
      </c>
      <c r="B74" s="466" t="s">
        <v>678</v>
      </c>
      <c r="C74" s="476" t="s">
        <v>679</v>
      </c>
      <c r="D74" s="480">
        <v>1.0</v>
      </c>
      <c r="E74" s="481">
        <v>15000.0</v>
      </c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</row>
    <row r="75" ht="14.25" hidden="1" customHeight="1">
      <c r="A75" s="466" t="s">
        <v>762</v>
      </c>
      <c r="B75" s="466" t="s">
        <v>696</v>
      </c>
      <c r="C75" s="476" t="s">
        <v>781</v>
      </c>
      <c r="D75" s="480">
        <v>1.0</v>
      </c>
      <c r="E75" s="481">
        <v>15000.0</v>
      </c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</row>
    <row r="76" ht="14.25" hidden="1" customHeight="1">
      <c r="A76" s="466" t="s">
        <v>610</v>
      </c>
      <c r="B76" s="466" t="s">
        <v>703</v>
      </c>
      <c r="C76" s="476" t="s">
        <v>782</v>
      </c>
      <c r="D76" s="480">
        <v>1.0</v>
      </c>
      <c r="E76" s="481">
        <v>15000.0</v>
      </c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</row>
    <row r="77" ht="14.25" hidden="1" customHeight="1">
      <c r="A77" s="466" t="s">
        <v>762</v>
      </c>
      <c r="B77" s="466" t="s">
        <v>681</v>
      </c>
      <c r="C77" s="476" t="s">
        <v>682</v>
      </c>
      <c r="D77" s="480">
        <v>1.0</v>
      </c>
      <c r="E77" s="481">
        <v>15000.0</v>
      </c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</row>
    <row r="78" ht="14.25" hidden="1" customHeight="1">
      <c r="A78" s="466" t="s">
        <v>762</v>
      </c>
      <c r="B78" s="466" t="s">
        <v>783</v>
      </c>
      <c r="C78" s="476" t="s">
        <v>784</v>
      </c>
      <c r="D78" s="480">
        <v>1.0</v>
      </c>
      <c r="E78" s="481">
        <v>15000.0</v>
      </c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</row>
    <row r="79" ht="14.25" hidden="1" customHeight="1">
      <c r="A79" s="466" t="s">
        <v>775</v>
      </c>
      <c r="B79" s="466" t="s">
        <v>684</v>
      </c>
      <c r="C79" s="476" t="s">
        <v>685</v>
      </c>
      <c r="D79" s="480">
        <v>1.0</v>
      </c>
      <c r="E79" s="481">
        <v>15000.0</v>
      </c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</row>
    <row r="80" ht="14.25" hidden="1" customHeight="1">
      <c r="A80" s="466" t="s">
        <v>131</v>
      </c>
      <c r="B80" s="466" t="s">
        <v>785</v>
      </c>
      <c r="C80" s="476" t="s">
        <v>786</v>
      </c>
      <c r="D80" s="480">
        <v>1.0</v>
      </c>
      <c r="E80" s="481">
        <v>15000.0</v>
      </c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</row>
    <row r="81" ht="14.25" hidden="1" customHeight="1">
      <c r="A81" s="466" t="s">
        <v>90</v>
      </c>
      <c r="B81" s="466" t="s">
        <v>689</v>
      </c>
      <c r="C81" s="476" t="s">
        <v>690</v>
      </c>
      <c r="D81" s="480">
        <v>1.0</v>
      </c>
      <c r="E81" s="481">
        <v>15000.0</v>
      </c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</row>
    <row r="82" ht="14.25" hidden="1" customHeight="1">
      <c r="A82" s="467" t="s">
        <v>694</v>
      </c>
      <c r="B82" s="17"/>
      <c r="C82" s="18"/>
      <c r="D82" s="468">
        <f t="shared" ref="D82:E82" si="6">SUM(D74:D81)</f>
        <v>8</v>
      </c>
      <c r="E82" s="469">
        <f t="shared" si="6"/>
        <v>120000</v>
      </c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</row>
    <row r="83" ht="14.25" hidden="1" customHeight="1">
      <c r="A83" s="420"/>
      <c r="B83" s="420"/>
      <c r="C83" s="420"/>
      <c r="D83" s="468"/>
      <c r="E83" s="469"/>
      <c r="F83" s="479"/>
      <c r="G83" s="479"/>
      <c r="H83" s="479"/>
      <c r="I83" s="479"/>
      <c r="J83" s="479"/>
      <c r="K83" s="479"/>
      <c r="L83" s="479"/>
      <c r="M83" s="479"/>
      <c r="N83" s="479"/>
      <c r="O83" s="479"/>
      <c r="P83" s="479"/>
      <c r="Q83" s="479"/>
      <c r="R83" s="479"/>
      <c r="S83" s="479"/>
      <c r="T83" s="479"/>
    </row>
    <row r="84" ht="31.5" hidden="1" customHeight="1">
      <c r="A84" s="475" t="s">
        <v>787</v>
      </c>
      <c r="B84" s="17"/>
      <c r="C84" s="17"/>
      <c r="D84" s="17"/>
      <c r="E84" s="18"/>
      <c r="F84" s="479"/>
      <c r="G84" s="479"/>
      <c r="H84" s="479"/>
      <c r="I84" s="479"/>
      <c r="J84" s="479"/>
      <c r="K84" s="479"/>
      <c r="L84" s="479"/>
      <c r="M84" s="479"/>
      <c r="N84" s="479"/>
      <c r="O84" s="479"/>
      <c r="P84" s="479"/>
      <c r="Q84" s="479"/>
      <c r="R84" s="479"/>
      <c r="S84" s="479"/>
      <c r="T84" s="479"/>
    </row>
    <row r="85" ht="14.25" hidden="1" customHeight="1">
      <c r="A85" s="482" t="s">
        <v>610</v>
      </c>
      <c r="B85" s="466" t="s">
        <v>788</v>
      </c>
      <c r="C85" s="483" t="s">
        <v>789</v>
      </c>
      <c r="D85" s="484">
        <v>1.71</v>
      </c>
      <c r="E85" s="484">
        <v>25650.0</v>
      </c>
      <c r="F85" s="479"/>
      <c r="G85" s="479"/>
      <c r="H85" s="479"/>
      <c r="I85" s="479"/>
      <c r="J85" s="479"/>
      <c r="K85" s="479"/>
      <c r="L85" s="479"/>
      <c r="M85" s="479"/>
      <c r="N85" s="479"/>
      <c r="O85" s="479"/>
      <c r="P85" s="479"/>
      <c r="Q85" s="479"/>
      <c r="R85" s="479"/>
      <c r="S85" s="479"/>
      <c r="T85" s="479"/>
    </row>
    <row r="86" ht="14.25" hidden="1" customHeight="1">
      <c r="A86" s="482" t="s">
        <v>610</v>
      </c>
      <c r="B86" s="466" t="s">
        <v>790</v>
      </c>
      <c r="C86" s="483" t="s">
        <v>791</v>
      </c>
      <c r="D86" s="484">
        <v>0.8</v>
      </c>
      <c r="E86" s="484">
        <v>12000.0</v>
      </c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79"/>
      <c r="Q86" s="479"/>
      <c r="R86" s="479"/>
      <c r="S86" s="479"/>
      <c r="T86" s="479"/>
    </row>
    <row r="87" ht="14.25" hidden="1" customHeight="1">
      <c r="A87" s="482" t="s">
        <v>610</v>
      </c>
      <c r="B87" s="466" t="s">
        <v>790</v>
      </c>
      <c r="C87" s="483" t="s">
        <v>792</v>
      </c>
      <c r="D87" s="484">
        <v>0.4</v>
      </c>
      <c r="E87" s="484">
        <v>6000.0</v>
      </c>
      <c r="F87" s="479"/>
      <c r="G87" s="479"/>
      <c r="H87" s="479"/>
      <c r="I87" s="479"/>
      <c r="J87" s="479"/>
      <c r="K87" s="479"/>
      <c r="L87" s="479"/>
      <c r="M87" s="479"/>
      <c r="N87" s="479"/>
      <c r="O87" s="479"/>
      <c r="P87" s="479"/>
      <c r="Q87" s="479"/>
      <c r="R87" s="479"/>
      <c r="S87" s="479"/>
      <c r="T87" s="479"/>
    </row>
    <row r="88" ht="14.25" hidden="1" customHeight="1">
      <c r="A88" s="482" t="s">
        <v>610</v>
      </c>
      <c r="B88" s="466" t="s">
        <v>712</v>
      </c>
      <c r="C88" s="483" t="s">
        <v>793</v>
      </c>
      <c r="D88" s="484">
        <v>1.1</v>
      </c>
      <c r="E88" s="484">
        <v>16500.0</v>
      </c>
      <c r="F88" s="479"/>
      <c r="G88" s="479"/>
      <c r="H88" s="479"/>
      <c r="I88" s="479"/>
      <c r="J88" s="479"/>
      <c r="K88" s="479"/>
      <c r="L88" s="479"/>
      <c r="M88" s="479"/>
      <c r="N88" s="479"/>
      <c r="O88" s="479"/>
      <c r="P88" s="479"/>
      <c r="Q88" s="479"/>
      <c r="R88" s="479"/>
      <c r="S88" s="479"/>
      <c r="T88" s="479"/>
    </row>
    <row r="89" ht="14.25" hidden="1" customHeight="1">
      <c r="A89" s="482" t="s">
        <v>762</v>
      </c>
      <c r="B89" s="466" t="s">
        <v>794</v>
      </c>
      <c r="C89" s="483" t="s">
        <v>795</v>
      </c>
      <c r="D89" s="484">
        <v>1.8</v>
      </c>
      <c r="E89" s="484">
        <v>27000.0</v>
      </c>
      <c r="F89" s="479"/>
      <c r="G89" s="479"/>
      <c r="H89" s="479"/>
      <c r="I89" s="479"/>
      <c r="J89" s="479"/>
      <c r="K89" s="479"/>
      <c r="L89" s="479"/>
      <c r="M89" s="479"/>
      <c r="N89" s="479"/>
      <c r="O89" s="479"/>
      <c r="P89" s="479"/>
      <c r="Q89" s="479"/>
      <c r="R89" s="479"/>
      <c r="S89" s="479"/>
      <c r="T89" s="479"/>
    </row>
    <row r="90" ht="14.25" hidden="1" customHeight="1">
      <c r="A90" s="482" t="s">
        <v>98</v>
      </c>
      <c r="B90" s="466" t="s">
        <v>796</v>
      </c>
      <c r="C90" s="483" t="s">
        <v>797</v>
      </c>
      <c r="D90" s="484">
        <v>1.3</v>
      </c>
      <c r="E90" s="484">
        <v>19500.0</v>
      </c>
      <c r="F90" s="479"/>
      <c r="G90" s="479"/>
      <c r="H90" s="479"/>
      <c r="I90" s="479"/>
      <c r="J90" s="479"/>
      <c r="K90" s="479"/>
      <c r="L90" s="479"/>
      <c r="M90" s="479"/>
      <c r="N90" s="479"/>
      <c r="O90" s="479"/>
      <c r="P90" s="479"/>
      <c r="Q90" s="479"/>
      <c r="R90" s="479"/>
      <c r="S90" s="479"/>
      <c r="T90" s="479"/>
    </row>
    <row r="91" ht="14.25" hidden="1" customHeight="1">
      <c r="A91" s="482" t="s">
        <v>98</v>
      </c>
      <c r="B91" s="466" t="s">
        <v>715</v>
      </c>
      <c r="C91" s="483" t="s">
        <v>798</v>
      </c>
      <c r="D91" s="484">
        <v>1.5</v>
      </c>
      <c r="E91" s="484">
        <v>22500.0</v>
      </c>
      <c r="F91" s="479"/>
      <c r="G91" s="479"/>
      <c r="H91" s="479"/>
      <c r="I91" s="479"/>
      <c r="J91" s="479"/>
      <c r="K91" s="479"/>
      <c r="L91" s="479"/>
      <c r="M91" s="479"/>
      <c r="N91" s="479"/>
      <c r="O91" s="479"/>
      <c r="P91" s="479"/>
      <c r="Q91" s="479"/>
      <c r="R91" s="479"/>
      <c r="S91" s="479"/>
      <c r="T91" s="479"/>
    </row>
    <row r="92" ht="14.25" hidden="1" customHeight="1">
      <c r="A92" s="482" t="s">
        <v>98</v>
      </c>
      <c r="B92" s="466" t="s">
        <v>721</v>
      </c>
      <c r="C92" s="483" t="s">
        <v>799</v>
      </c>
      <c r="D92" s="484">
        <v>1.0</v>
      </c>
      <c r="E92" s="484">
        <v>15000.0</v>
      </c>
      <c r="F92" s="479"/>
      <c r="G92" s="479"/>
      <c r="H92" s="479"/>
      <c r="I92" s="479"/>
      <c r="J92" s="479"/>
      <c r="K92" s="479"/>
      <c r="L92" s="479"/>
      <c r="M92" s="479"/>
      <c r="N92" s="479"/>
      <c r="O92" s="479"/>
      <c r="P92" s="479"/>
      <c r="Q92" s="479"/>
      <c r="R92" s="479"/>
      <c r="S92" s="479"/>
      <c r="T92" s="479"/>
    </row>
    <row r="93" ht="14.25" hidden="1" customHeight="1">
      <c r="A93" s="482" t="s">
        <v>98</v>
      </c>
      <c r="B93" s="466" t="s">
        <v>800</v>
      </c>
      <c r="C93" s="483" t="s">
        <v>801</v>
      </c>
      <c r="D93" s="484">
        <v>1.64</v>
      </c>
      <c r="E93" s="484">
        <v>24600.0</v>
      </c>
      <c r="F93" s="479"/>
      <c r="G93" s="479"/>
      <c r="H93" s="479"/>
      <c r="I93" s="479"/>
      <c r="J93" s="479"/>
      <c r="K93" s="479"/>
      <c r="L93" s="479"/>
      <c r="M93" s="479"/>
      <c r="N93" s="479"/>
      <c r="O93" s="479"/>
      <c r="P93" s="479"/>
      <c r="Q93" s="479"/>
      <c r="R93" s="479"/>
      <c r="S93" s="479"/>
      <c r="T93" s="479"/>
    </row>
    <row r="94" ht="14.25" hidden="1" customHeight="1">
      <c r="A94" s="466" t="s">
        <v>98</v>
      </c>
      <c r="B94" s="466" t="s">
        <v>802</v>
      </c>
      <c r="C94" s="476" t="s">
        <v>803</v>
      </c>
      <c r="D94" s="478">
        <v>1.0</v>
      </c>
      <c r="E94" s="478">
        <v>15000.0</v>
      </c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</row>
    <row r="95" ht="40.5" hidden="1" customHeight="1">
      <c r="A95" s="466" t="s">
        <v>98</v>
      </c>
      <c r="B95" s="466" t="s">
        <v>804</v>
      </c>
      <c r="C95" s="476" t="s">
        <v>805</v>
      </c>
      <c r="D95" s="478">
        <v>1.0</v>
      </c>
      <c r="E95" s="478">
        <v>15000.0</v>
      </c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</row>
    <row r="96" ht="40.5" hidden="1" customHeight="1">
      <c r="A96" s="466" t="s">
        <v>131</v>
      </c>
      <c r="B96" s="466" t="s">
        <v>806</v>
      </c>
      <c r="C96" s="476" t="s">
        <v>807</v>
      </c>
      <c r="D96" s="478">
        <v>1.0</v>
      </c>
      <c r="E96" s="478">
        <v>15000.0</v>
      </c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</row>
    <row r="97" ht="40.5" hidden="1" customHeight="1">
      <c r="A97" s="466" t="s">
        <v>131</v>
      </c>
      <c r="B97" s="466" t="s">
        <v>806</v>
      </c>
      <c r="C97" s="476" t="s">
        <v>808</v>
      </c>
      <c r="D97" s="478">
        <v>1.0</v>
      </c>
      <c r="E97" s="478">
        <v>15000.0</v>
      </c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</row>
    <row r="98" ht="40.5" hidden="1" customHeight="1">
      <c r="A98" s="466" t="s">
        <v>131</v>
      </c>
      <c r="B98" s="466" t="s">
        <v>806</v>
      </c>
      <c r="C98" s="476" t="s">
        <v>809</v>
      </c>
      <c r="D98" s="478">
        <v>1.0</v>
      </c>
      <c r="E98" s="478">
        <v>15000.0</v>
      </c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</row>
    <row r="99" ht="40.5" hidden="1" customHeight="1">
      <c r="A99" s="466" t="s">
        <v>131</v>
      </c>
      <c r="B99" s="466" t="s">
        <v>810</v>
      </c>
      <c r="C99" s="476" t="s">
        <v>811</v>
      </c>
      <c r="D99" s="478">
        <v>1.0</v>
      </c>
      <c r="E99" s="478">
        <v>15000.0</v>
      </c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</row>
    <row r="100" ht="60.75" hidden="1" customHeight="1">
      <c r="A100" s="466" t="s">
        <v>762</v>
      </c>
      <c r="B100" s="466" t="s">
        <v>812</v>
      </c>
      <c r="C100" s="476" t="s">
        <v>813</v>
      </c>
      <c r="D100" s="478">
        <v>1.0</v>
      </c>
      <c r="E100" s="478">
        <v>15000.0</v>
      </c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</row>
    <row r="101" ht="40.5" hidden="1" customHeight="1">
      <c r="A101" s="466" t="s">
        <v>762</v>
      </c>
      <c r="B101" s="466" t="s">
        <v>696</v>
      </c>
      <c r="C101" s="476" t="s">
        <v>697</v>
      </c>
      <c r="D101" s="478">
        <v>1.0</v>
      </c>
      <c r="E101" s="478">
        <v>15000.0</v>
      </c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</row>
    <row r="102" ht="60.75" hidden="1" customHeight="1">
      <c r="A102" s="466" t="s">
        <v>770</v>
      </c>
      <c r="B102" s="466" t="s">
        <v>814</v>
      </c>
      <c r="C102" s="476" t="s">
        <v>815</v>
      </c>
      <c r="D102" s="478">
        <v>1.0</v>
      </c>
      <c r="E102" s="478">
        <v>15000.0</v>
      </c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</row>
    <row r="103" ht="81.0" hidden="1" customHeight="1">
      <c r="A103" s="466" t="s">
        <v>770</v>
      </c>
      <c r="B103" s="466" t="s">
        <v>816</v>
      </c>
      <c r="C103" s="476" t="s">
        <v>817</v>
      </c>
      <c r="D103" s="478">
        <v>1.0</v>
      </c>
      <c r="E103" s="478">
        <v>15000.0</v>
      </c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</row>
    <row r="104" ht="14.25" hidden="1" customHeight="1">
      <c r="A104" s="466" t="s">
        <v>98</v>
      </c>
      <c r="B104" s="466" t="s">
        <v>715</v>
      </c>
      <c r="C104" s="476" t="s">
        <v>818</v>
      </c>
      <c r="D104" s="478">
        <v>1.0</v>
      </c>
      <c r="E104" s="478">
        <v>15000.0</v>
      </c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</row>
    <row r="105" ht="14.25" hidden="1" customHeight="1">
      <c r="A105" s="466" t="s">
        <v>131</v>
      </c>
      <c r="B105" s="466" t="s">
        <v>698</v>
      </c>
      <c r="C105" s="476" t="s">
        <v>819</v>
      </c>
      <c r="D105" s="478">
        <v>1.0</v>
      </c>
      <c r="E105" s="478">
        <v>15000.0</v>
      </c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</row>
    <row r="106" ht="14.25" hidden="1" customHeight="1">
      <c r="A106" s="466" t="s">
        <v>131</v>
      </c>
      <c r="B106" s="466" t="s">
        <v>806</v>
      </c>
      <c r="C106" s="476" t="s">
        <v>820</v>
      </c>
      <c r="D106" s="478">
        <v>1.0</v>
      </c>
      <c r="E106" s="478">
        <v>15000.0</v>
      </c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</row>
    <row r="107" ht="14.25" hidden="1" customHeight="1">
      <c r="A107" s="466" t="s">
        <v>131</v>
      </c>
      <c r="B107" s="466" t="s">
        <v>731</v>
      </c>
      <c r="C107" s="476" t="s">
        <v>821</v>
      </c>
      <c r="D107" s="478">
        <v>1.0</v>
      </c>
      <c r="E107" s="478">
        <v>15000.0</v>
      </c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</row>
    <row r="108" ht="14.25" hidden="1" customHeight="1">
      <c r="A108" s="466" t="s">
        <v>131</v>
      </c>
      <c r="B108" s="466" t="s">
        <v>822</v>
      </c>
      <c r="C108" s="476" t="s">
        <v>823</v>
      </c>
      <c r="D108" s="478">
        <v>1.0</v>
      </c>
      <c r="E108" s="478">
        <v>15000.0</v>
      </c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</row>
    <row r="109" ht="14.25" hidden="1" customHeight="1">
      <c r="A109" s="466" t="s">
        <v>131</v>
      </c>
      <c r="B109" s="466" t="s">
        <v>824</v>
      </c>
      <c r="C109" s="476" t="s">
        <v>825</v>
      </c>
      <c r="D109" s="478">
        <v>1.0</v>
      </c>
      <c r="E109" s="478">
        <v>15000.0</v>
      </c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</row>
    <row r="110" ht="14.25" hidden="1" customHeight="1">
      <c r="A110" s="466" t="s">
        <v>131</v>
      </c>
      <c r="B110" s="466" t="s">
        <v>826</v>
      </c>
      <c r="C110" s="476" t="s">
        <v>827</v>
      </c>
      <c r="D110" s="478">
        <v>1.0</v>
      </c>
      <c r="E110" s="478">
        <v>15000.0</v>
      </c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</row>
    <row r="111" ht="14.25" hidden="1" customHeight="1">
      <c r="A111" s="466" t="s">
        <v>131</v>
      </c>
      <c r="B111" s="466" t="s">
        <v>828</v>
      </c>
      <c r="C111" s="476" t="s">
        <v>829</v>
      </c>
      <c r="D111" s="478">
        <v>1.0</v>
      </c>
      <c r="E111" s="478">
        <v>15000.0</v>
      </c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</row>
    <row r="112" ht="14.25" hidden="1" customHeight="1">
      <c r="A112" s="466" t="s">
        <v>131</v>
      </c>
      <c r="B112" s="466" t="s">
        <v>830</v>
      </c>
      <c r="C112" s="476" t="s">
        <v>831</v>
      </c>
      <c r="D112" s="478">
        <v>1.0</v>
      </c>
      <c r="E112" s="478">
        <v>15000.0</v>
      </c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</row>
    <row r="113" ht="14.25" hidden="1" customHeight="1">
      <c r="A113" s="466" t="s">
        <v>131</v>
      </c>
      <c r="B113" s="466" t="s">
        <v>832</v>
      </c>
      <c r="C113" s="476" t="s">
        <v>833</v>
      </c>
      <c r="D113" s="478">
        <v>1.0</v>
      </c>
      <c r="E113" s="478">
        <v>15000.0</v>
      </c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</row>
    <row r="114" ht="14.25" hidden="1" customHeight="1">
      <c r="A114" s="466" t="s">
        <v>121</v>
      </c>
      <c r="B114" s="466" t="s">
        <v>701</v>
      </c>
      <c r="C114" s="476" t="s">
        <v>702</v>
      </c>
      <c r="D114" s="478">
        <v>1.0</v>
      </c>
      <c r="E114" s="478">
        <v>15000.0</v>
      </c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</row>
    <row r="115" ht="14.25" hidden="1" customHeight="1">
      <c r="A115" s="466" t="s">
        <v>90</v>
      </c>
      <c r="B115" s="466" t="s">
        <v>689</v>
      </c>
      <c r="C115" s="476" t="s">
        <v>834</v>
      </c>
      <c r="D115" s="478">
        <v>1.0</v>
      </c>
      <c r="E115" s="478">
        <v>15000.0</v>
      </c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</row>
    <row r="116" ht="14.25" hidden="1" customHeight="1">
      <c r="A116" s="466" t="s">
        <v>90</v>
      </c>
      <c r="B116" s="466" t="s">
        <v>835</v>
      </c>
      <c r="C116" s="476" t="s">
        <v>836</v>
      </c>
      <c r="D116" s="478">
        <v>1.0</v>
      </c>
      <c r="E116" s="478">
        <v>15000.0</v>
      </c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</row>
    <row r="117" ht="14.25" hidden="1" customHeight="1">
      <c r="A117" s="466" t="s">
        <v>762</v>
      </c>
      <c r="B117" s="466" t="s">
        <v>837</v>
      </c>
      <c r="C117" s="476" t="s">
        <v>838</v>
      </c>
      <c r="D117" s="478">
        <v>1.0</v>
      </c>
      <c r="E117" s="478">
        <v>15000.0</v>
      </c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</row>
    <row r="118" ht="14.25" hidden="1" customHeight="1">
      <c r="A118" s="466" t="s">
        <v>762</v>
      </c>
      <c r="B118" s="466" t="s">
        <v>839</v>
      </c>
      <c r="C118" s="476" t="s">
        <v>840</v>
      </c>
      <c r="D118" s="478">
        <v>1.0</v>
      </c>
      <c r="E118" s="478">
        <v>15000.0</v>
      </c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</row>
    <row r="119" ht="14.25" hidden="1" customHeight="1">
      <c r="A119" s="466" t="s">
        <v>762</v>
      </c>
      <c r="B119" s="466" t="s">
        <v>696</v>
      </c>
      <c r="C119" s="476" t="s">
        <v>841</v>
      </c>
      <c r="D119" s="478">
        <v>1.0</v>
      </c>
      <c r="E119" s="478">
        <v>15000.0</v>
      </c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</row>
    <row r="120" ht="14.25" hidden="1" customHeight="1">
      <c r="A120" s="466" t="s">
        <v>762</v>
      </c>
      <c r="B120" s="466" t="s">
        <v>842</v>
      </c>
      <c r="C120" s="476" t="s">
        <v>843</v>
      </c>
      <c r="D120" s="478">
        <v>1.0</v>
      </c>
      <c r="E120" s="478">
        <v>15000.0</v>
      </c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</row>
    <row r="121" ht="14.25" hidden="1" customHeight="1">
      <c r="A121" s="466" t="s">
        <v>762</v>
      </c>
      <c r="B121" s="466" t="s">
        <v>844</v>
      </c>
      <c r="C121" s="476" t="s">
        <v>845</v>
      </c>
      <c r="D121" s="478">
        <v>1.0</v>
      </c>
      <c r="E121" s="478">
        <v>15000.0</v>
      </c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</row>
    <row r="122" ht="14.25" hidden="1" customHeight="1">
      <c r="A122" s="466" t="s">
        <v>762</v>
      </c>
      <c r="B122" s="466" t="s">
        <v>846</v>
      </c>
      <c r="C122" s="476" t="s">
        <v>847</v>
      </c>
      <c r="D122" s="478">
        <v>1.0</v>
      </c>
      <c r="E122" s="478">
        <v>15000.0</v>
      </c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</row>
    <row r="123" ht="14.25" hidden="1" customHeight="1">
      <c r="A123" s="466" t="s">
        <v>762</v>
      </c>
      <c r="B123" s="466" t="s">
        <v>848</v>
      </c>
      <c r="C123" s="476" t="s">
        <v>849</v>
      </c>
      <c r="D123" s="478">
        <v>1.0</v>
      </c>
      <c r="E123" s="478">
        <v>15000.0</v>
      </c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</row>
    <row r="124" ht="14.25" hidden="1" customHeight="1">
      <c r="A124" s="466" t="s">
        <v>762</v>
      </c>
      <c r="B124" s="466" t="s">
        <v>850</v>
      </c>
      <c r="C124" s="476" t="s">
        <v>851</v>
      </c>
      <c r="D124" s="478">
        <v>1.0</v>
      </c>
      <c r="E124" s="478">
        <v>15000.0</v>
      </c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</row>
    <row r="125" ht="14.25" hidden="1" customHeight="1">
      <c r="A125" s="466" t="s">
        <v>762</v>
      </c>
      <c r="B125" s="466" t="s">
        <v>852</v>
      </c>
      <c r="C125" s="476" t="s">
        <v>853</v>
      </c>
      <c r="D125" s="478">
        <v>1.0</v>
      </c>
      <c r="E125" s="478">
        <v>15000.0</v>
      </c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</row>
    <row r="126" ht="14.25" hidden="1" customHeight="1">
      <c r="A126" s="466" t="s">
        <v>762</v>
      </c>
      <c r="B126" s="466" t="s">
        <v>854</v>
      </c>
      <c r="C126" s="476" t="s">
        <v>855</v>
      </c>
      <c r="D126" s="478">
        <v>1.0</v>
      </c>
      <c r="E126" s="478">
        <v>15000.0</v>
      </c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</row>
    <row r="127" ht="14.25" hidden="1" customHeight="1">
      <c r="A127" s="466" t="s">
        <v>762</v>
      </c>
      <c r="B127" s="466" t="s">
        <v>856</v>
      </c>
      <c r="C127" s="476" t="s">
        <v>857</v>
      </c>
      <c r="D127" s="478">
        <v>1.0</v>
      </c>
      <c r="E127" s="478">
        <v>15000.0</v>
      </c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</row>
    <row r="128" ht="14.25" hidden="1" customHeight="1">
      <c r="A128" s="466" t="s">
        <v>762</v>
      </c>
      <c r="B128" s="466" t="s">
        <v>858</v>
      </c>
      <c r="C128" s="476" t="s">
        <v>859</v>
      </c>
      <c r="D128" s="478">
        <v>1.0</v>
      </c>
      <c r="E128" s="478">
        <v>15000.0</v>
      </c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</row>
    <row r="129" ht="14.25" hidden="1" customHeight="1">
      <c r="A129" s="466" t="s">
        <v>762</v>
      </c>
      <c r="B129" s="466" t="s">
        <v>860</v>
      </c>
      <c r="C129" s="476" t="s">
        <v>861</v>
      </c>
      <c r="D129" s="478">
        <v>1.0</v>
      </c>
      <c r="E129" s="478">
        <v>15000.0</v>
      </c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</row>
    <row r="130" ht="14.25" hidden="1" customHeight="1">
      <c r="A130" s="466" t="s">
        <v>98</v>
      </c>
      <c r="B130" s="466" t="s">
        <v>715</v>
      </c>
      <c r="C130" s="476" t="s">
        <v>862</v>
      </c>
      <c r="D130" s="478">
        <v>1.0</v>
      </c>
      <c r="E130" s="478">
        <v>15000.0</v>
      </c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</row>
    <row r="131" ht="14.25" hidden="1" customHeight="1">
      <c r="A131" s="466" t="s">
        <v>98</v>
      </c>
      <c r="B131" s="466" t="s">
        <v>719</v>
      </c>
      <c r="C131" s="476" t="s">
        <v>863</v>
      </c>
      <c r="D131" s="478">
        <v>1.0</v>
      </c>
      <c r="E131" s="478">
        <v>15000.0</v>
      </c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</row>
    <row r="132" ht="14.25" hidden="1" customHeight="1">
      <c r="A132" s="466" t="s">
        <v>98</v>
      </c>
      <c r="B132" s="466" t="s">
        <v>723</v>
      </c>
      <c r="C132" s="476" t="s">
        <v>864</v>
      </c>
      <c r="D132" s="478">
        <v>1.0</v>
      </c>
      <c r="E132" s="478">
        <v>15000.0</v>
      </c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</row>
    <row r="133" ht="14.25" hidden="1" customHeight="1">
      <c r="A133" s="466" t="s">
        <v>98</v>
      </c>
      <c r="B133" s="466" t="s">
        <v>865</v>
      </c>
      <c r="C133" s="476" t="s">
        <v>866</v>
      </c>
      <c r="D133" s="478">
        <v>1.0</v>
      </c>
      <c r="E133" s="478">
        <v>15000.0</v>
      </c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</row>
    <row r="134" ht="14.25" hidden="1" customHeight="1">
      <c r="A134" s="466" t="s">
        <v>98</v>
      </c>
      <c r="B134" s="466" t="s">
        <v>867</v>
      </c>
      <c r="C134" s="476" t="s">
        <v>868</v>
      </c>
      <c r="D134" s="478">
        <v>1.0</v>
      </c>
      <c r="E134" s="478">
        <v>15000.0</v>
      </c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</row>
    <row r="135" ht="14.25" hidden="1" customHeight="1">
      <c r="A135" s="466" t="s">
        <v>98</v>
      </c>
      <c r="B135" s="466" t="s">
        <v>719</v>
      </c>
      <c r="C135" s="476" t="s">
        <v>869</v>
      </c>
      <c r="D135" s="478">
        <v>1.0</v>
      </c>
      <c r="E135" s="478">
        <v>15000.0</v>
      </c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</row>
    <row r="136" ht="14.25" hidden="1" customHeight="1">
      <c r="A136" s="466" t="s">
        <v>98</v>
      </c>
      <c r="B136" s="466" t="s">
        <v>719</v>
      </c>
      <c r="C136" s="476" t="s">
        <v>870</v>
      </c>
      <c r="D136" s="478">
        <v>1.0</v>
      </c>
      <c r="E136" s="478">
        <v>15000.0</v>
      </c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</row>
    <row r="137" ht="14.25" hidden="1" customHeight="1">
      <c r="A137" s="466" t="s">
        <v>131</v>
      </c>
      <c r="B137" s="466" t="s">
        <v>733</v>
      </c>
      <c r="C137" s="476" t="s">
        <v>871</v>
      </c>
      <c r="D137" s="478">
        <v>1.0</v>
      </c>
      <c r="E137" s="478">
        <v>15000.0</v>
      </c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</row>
    <row r="138" ht="14.25" hidden="1" customHeight="1">
      <c r="A138" s="466" t="s">
        <v>610</v>
      </c>
      <c r="B138" s="466" t="s">
        <v>712</v>
      </c>
      <c r="C138" s="476" t="s">
        <v>872</v>
      </c>
      <c r="D138" s="478">
        <v>1.0</v>
      </c>
      <c r="E138" s="478">
        <v>15000.0</v>
      </c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</row>
    <row r="139" ht="14.25" hidden="1" customHeight="1">
      <c r="A139" s="466" t="s">
        <v>90</v>
      </c>
      <c r="B139" s="466" t="s">
        <v>873</v>
      </c>
      <c r="C139" s="476" t="s">
        <v>874</v>
      </c>
      <c r="D139" s="478">
        <v>1.0</v>
      </c>
      <c r="E139" s="478">
        <v>15000.0</v>
      </c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</row>
    <row r="140" ht="14.25" hidden="1" customHeight="1">
      <c r="A140" s="466" t="s">
        <v>90</v>
      </c>
      <c r="B140" s="466" t="s">
        <v>875</v>
      </c>
      <c r="C140" s="476" t="s">
        <v>876</v>
      </c>
      <c r="D140" s="478">
        <v>1.0</v>
      </c>
      <c r="E140" s="478">
        <v>15000.0</v>
      </c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</row>
    <row r="141" ht="14.25" hidden="1" customHeight="1">
      <c r="A141" s="466" t="s">
        <v>90</v>
      </c>
      <c r="B141" s="466" t="s">
        <v>877</v>
      </c>
      <c r="C141" s="476" t="s">
        <v>878</v>
      </c>
      <c r="D141" s="478">
        <v>1.0</v>
      </c>
      <c r="E141" s="478">
        <v>15000.0</v>
      </c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</row>
    <row r="142" ht="14.25" hidden="1" customHeight="1">
      <c r="A142" s="466" t="s">
        <v>90</v>
      </c>
      <c r="B142" s="466" t="s">
        <v>879</v>
      </c>
      <c r="C142" s="476" t="s">
        <v>880</v>
      </c>
      <c r="D142" s="478">
        <v>1.0</v>
      </c>
      <c r="E142" s="478">
        <v>15000.0</v>
      </c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</row>
    <row r="143" ht="14.25" hidden="1" customHeight="1">
      <c r="A143" s="466" t="s">
        <v>90</v>
      </c>
      <c r="B143" s="466" t="s">
        <v>881</v>
      </c>
      <c r="C143" s="476" t="s">
        <v>882</v>
      </c>
      <c r="D143" s="478">
        <v>1.0</v>
      </c>
      <c r="E143" s="478">
        <v>15000.0</v>
      </c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</row>
    <row r="144" ht="14.25" hidden="1" customHeight="1">
      <c r="A144" s="466" t="s">
        <v>90</v>
      </c>
      <c r="B144" s="466" t="s">
        <v>883</v>
      </c>
      <c r="C144" s="476" t="s">
        <v>884</v>
      </c>
      <c r="D144" s="478">
        <v>1.0</v>
      </c>
      <c r="E144" s="478">
        <v>15000.0</v>
      </c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</row>
    <row r="145" ht="14.25" hidden="1" customHeight="1">
      <c r="A145" s="466" t="s">
        <v>131</v>
      </c>
      <c r="B145" s="466" t="s">
        <v>885</v>
      </c>
      <c r="C145" s="476" t="s">
        <v>886</v>
      </c>
      <c r="D145" s="478">
        <v>1.0</v>
      </c>
      <c r="E145" s="478">
        <v>15000.0</v>
      </c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</row>
    <row r="146" ht="14.25" hidden="1" customHeight="1">
      <c r="A146" s="466" t="s">
        <v>131</v>
      </c>
      <c r="B146" s="466" t="s">
        <v>887</v>
      </c>
      <c r="C146" s="476" t="s">
        <v>888</v>
      </c>
      <c r="D146" s="478">
        <v>1.0</v>
      </c>
      <c r="E146" s="478">
        <v>15000.0</v>
      </c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</row>
    <row r="147" ht="14.25" hidden="1" customHeight="1">
      <c r="A147" s="466" t="s">
        <v>131</v>
      </c>
      <c r="B147" s="466" t="s">
        <v>889</v>
      </c>
      <c r="C147" s="476" t="s">
        <v>890</v>
      </c>
      <c r="D147" s="478">
        <v>1.0</v>
      </c>
      <c r="E147" s="478">
        <v>15000.0</v>
      </c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</row>
    <row r="148" ht="14.25" hidden="1" customHeight="1">
      <c r="A148" s="466" t="s">
        <v>131</v>
      </c>
      <c r="B148" s="466" t="s">
        <v>891</v>
      </c>
      <c r="C148" s="476" t="s">
        <v>892</v>
      </c>
      <c r="D148" s="478">
        <v>1.0</v>
      </c>
      <c r="E148" s="478">
        <v>15000.0</v>
      </c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</row>
    <row r="149" ht="14.25" hidden="1" customHeight="1">
      <c r="A149" s="466" t="s">
        <v>131</v>
      </c>
      <c r="B149" s="466" t="s">
        <v>733</v>
      </c>
      <c r="C149" s="476" t="s">
        <v>871</v>
      </c>
      <c r="D149" s="478">
        <v>1.0</v>
      </c>
      <c r="E149" s="478">
        <v>15000.0</v>
      </c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</row>
    <row r="150" ht="14.25" hidden="1" customHeight="1">
      <c r="A150" s="466" t="s">
        <v>131</v>
      </c>
      <c r="B150" s="466" t="s">
        <v>893</v>
      </c>
      <c r="C150" s="476" t="s">
        <v>894</v>
      </c>
      <c r="D150" s="478">
        <v>1.0</v>
      </c>
      <c r="E150" s="478">
        <v>15000.0</v>
      </c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</row>
    <row r="151" ht="14.25" hidden="1" customHeight="1">
      <c r="A151" s="466" t="s">
        <v>131</v>
      </c>
      <c r="B151" s="466" t="s">
        <v>895</v>
      </c>
      <c r="C151" s="476" t="s">
        <v>896</v>
      </c>
      <c r="D151" s="478">
        <v>1.0</v>
      </c>
      <c r="E151" s="478">
        <v>15000.0</v>
      </c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</row>
    <row r="152" ht="14.25" hidden="1" customHeight="1">
      <c r="A152" s="466" t="s">
        <v>131</v>
      </c>
      <c r="B152" s="466" t="s">
        <v>897</v>
      </c>
      <c r="C152" s="476" t="s">
        <v>898</v>
      </c>
      <c r="D152" s="478">
        <v>1.0</v>
      </c>
      <c r="E152" s="478">
        <v>15000.0</v>
      </c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</row>
    <row r="153" ht="14.25" hidden="1" customHeight="1">
      <c r="A153" s="466" t="s">
        <v>131</v>
      </c>
      <c r="B153" s="466" t="s">
        <v>899</v>
      </c>
      <c r="C153" s="476" t="s">
        <v>900</v>
      </c>
      <c r="D153" s="478">
        <v>1.0</v>
      </c>
      <c r="E153" s="478">
        <v>15000.0</v>
      </c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</row>
    <row r="154" ht="14.25" hidden="1" customHeight="1">
      <c r="A154" s="466" t="s">
        <v>131</v>
      </c>
      <c r="B154" s="466" t="s">
        <v>901</v>
      </c>
      <c r="C154" s="476" t="s">
        <v>902</v>
      </c>
      <c r="D154" s="478">
        <v>1.0</v>
      </c>
      <c r="E154" s="478">
        <v>15000.0</v>
      </c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</row>
    <row r="155" ht="14.25" hidden="1" customHeight="1">
      <c r="A155" s="466" t="s">
        <v>131</v>
      </c>
      <c r="B155" s="466" t="s">
        <v>903</v>
      </c>
      <c r="C155" s="476" t="s">
        <v>904</v>
      </c>
      <c r="D155" s="478">
        <v>1.0</v>
      </c>
      <c r="E155" s="478">
        <v>15000.0</v>
      </c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</row>
    <row r="156" ht="14.25" hidden="1" customHeight="1">
      <c r="A156" s="466" t="s">
        <v>131</v>
      </c>
      <c r="B156" s="466" t="s">
        <v>905</v>
      </c>
      <c r="C156" s="476" t="s">
        <v>906</v>
      </c>
      <c r="D156" s="478">
        <v>1.0</v>
      </c>
      <c r="E156" s="478">
        <v>15000.0</v>
      </c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</row>
    <row r="157" ht="14.25" hidden="1" customHeight="1">
      <c r="A157" s="466" t="s">
        <v>131</v>
      </c>
      <c r="B157" s="466" t="s">
        <v>692</v>
      </c>
      <c r="C157" s="476" t="s">
        <v>907</v>
      </c>
      <c r="D157" s="478">
        <v>1.0</v>
      </c>
      <c r="E157" s="478">
        <v>15000.0</v>
      </c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</row>
    <row r="158" ht="14.25" hidden="1" customHeight="1">
      <c r="A158" s="466" t="s">
        <v>131</v>
      </c>
      <c r="B158" s="466" t="s">
        <v>903</v>
      </c>
      <c r="C158" s="476" t="s">
        <v>904</v>
      </c>
      <c r="D158" s="478">
        <v>1.0</v>
      </c>
      <c r="E158" s="478">
        <v>15000.0</v>
      </c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</row>
    <row r="159" ht="14.25" hidden="1" customHeight="1">
      <c r="A159" s="466" t="s">
        <v>131</v>
      </c>
      <c r="B159" s="466" t="s">
        <v>908</v>
      </c>
      <c r="C159" s="476" t="s">
        <v>909</v>
      </c>
      <c r="D159" s="478">
        <v>1.0</v>
      </c>
      <c r="E159" s="478">
        <v>15000.0</v>
      </c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</row>
    <row r="160" ht="14.25" hidden="1" customHeight="1">
      <c r="A160" s="466" t="s">
        <v>131</v>
      </c>
      <c r="B160" s="466" t="s">
        <v>910</v>
      </c>
      <c r="C160" s="476" t="s">
        <v>911</v>
      </c>
      <c r="D160" s="478">
        <v>1.0</v>
      </c>
      <c r="E160" s="478">
        <v>15000.0</v>
      </c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</row>
    <row r="161" ht="14.25" hidden="1" customHeight="1">
      <c r="A161" s="338" t="s">
        <v>610</v>
      </c>
      <c r="B161" s="338" t="s">
        <v>708</v>
      </c>
      <c r="C161" s="412" t="s">
        <v>912</v>
      </c>
      <c r="D161" s="478">
        <v>1.0</v>
      </c>
      <c r="E161" s="478">
        <v>15000.0</v>
      </c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</row>
    <row r="162" ht="14.25" hidden="1" customHeight="1">
      <c r="A162" s="338" t="s">
        <v>610</v>
      </c>
      <c r="B162" s="338" t="s">
        <v>790</v>
      </c>
      <c r="C162" s="412" t="s">
        <v>913</v>
      </c>
      <c r="D162" s="478">
        <v>1.0</v>
      </c>
      <c r="E162" s="478">
        <v>15000.0</v>
      </c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</row>
    <row r="163" ht="14.25" hidden="1" customHeight="1">
      <c r="A163" s="338" t="s">
        <v>610</v>
      </c>
      <c r="B163" s="338" t="s">
        <v>712</v>
      </c>
      <c r="C163" s="412" t="s">
        <v>914</v>
      </c>
      <c r="D163" s="478">
        <v>1.0</v>
      </c>
      <c r="E163" s="478">
        <v>15000.0</v>
      </c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</row>
    <row r="164" ht="14.25" hidden="1" customHeight="1">
      <c r="A164" s="338" t="s">
        <v>610</v>
      </c>
      <c r="B164" s="338" t="s">
        <v>712</v>
      </c>
      <c r="C164" s="412" t="s">
        <v>915</v>
      </c>
      <c r="D164" s="478">
        <v>1.0</v>
      </c>
      <c r="E164" s="478">
        <v>15000.0</v>
      </c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</row>
    <row r="165" ht="14.25" hidden="1" customHeight="1">
      <c r="A165" s="338" t="s">
        <v>610</v>
      </c>
      <c r="B165" s="338" t="s">
        <v>710</v>
      </c>
      <c r="C165" s="412" t="s">
        <v>916</v>
      </c>
      <c r="D165" s="478">
        <v>1.0</v>
      </c>
      <c r="E165" s="478">
        <v>15000.0</v>
      </c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</row>
    <row r="166" ht="14.25" hidden="1" customHeight="1">
      <c r="A166" s="338" t="s">
        <v>610</v>
      </c>
      <c r="B166" s="338" t="s">
        <v>710</v>
      </c>
      <c r="C166" s="412" t="s">
        <v>917</v>
      </c>
      <c r="D166" s="478">
        <v>1.0</v>
      </c>
      <c r="E166" s="478">
        <v>15000.0</v>
      </c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</row>
    <row r="167" ht="14.25" hidden="1" customHeight="1">
      <c r="A167" s="338" t="s">
        <v>610</v>
      </c>
      <c r="B167" s="338" t="s">
        <v>918</v>
      </c>
      <c r="C167" s="412" t="s">
        <v>919</v>
      </c>
      <c r="D167" s="478">
        <v>1.0</v>
      </c>
      <c r="E167" s="478">
        <v>15000.0</v>
      </c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</row>
    <row r="168" ht="14.25" hidden="1" customHeight="1">
      <c r="A168" s="338" t="s">
        <v>770</v>
      </c>
      <c r="B168" s="338" t="s">
        <v>920</v>
      </c>
      <c r="C168" s="412" t="s">
        <v>921</v>
      </c>
      <c r="D168" s="478">
        <v>1.0</v>
      </c>
      <c r="E168" s="478">
        <v>15000.0</v>
      </c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</row>
    <row r="169" ht="14.25" hidden="1" customHeight="1">
      <c r="A169" s="338" t="s">
        <v>770</v>
      </c>
      <c r="B169" s="338" t="s">
        <v>922</v>
      </c>
      <c r="C169" s="412" t="s">
        <v>923</v>
      </c>
      <c r="D169" s="478">
        <v>1.0</v>
      </c>
      <c r="E169" s="478">
        <v>15000.0</v>
      </c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</row>
    <row r="170" ht="14.25" hidden="1" customHeight="1">
      <c r="A170" s="338" t="s">
        <v>770</v>
      </c>
      <c r="B170" s="338" t="s">
        <v>924</v>
      </c>
      <c r="C170" s="412" t="s">
        <v>925</v>
      </c>
      <c r="D170" s="478">
        <v>1.0</v>
      </c>
      <c r="E170" s="478">
        <v>15000.0</v>
      </c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</row>
    <row r="171" ht="14.25" hidden="1" customHeight="1">
      <c r="A171" s="338" t="s">
        <v>775</v>
      </c>
      <c r="B171" s="338" t="s">
        <v>926</v>
      </c>
      <c r="C171" s="412" t="s">
        <v>927</v>
      </c>
      <c r="D171" s="478">
        <v>1.0</v>
      </c>
      <c r="E171" s="478">
        <v>15000.0</v>
      </c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</row>
    <row r="172" ht="14.25" hidden="1" customHeight="1">
      <c r="A172" s="338" t="s">
        <v>775</v>
      </c>
      <c r="B172" s="338" t="s">
        <v>852</v>
      </c>
      <c r="C172" s="412" t="s">
        <v>928</v>
      </c>
      <c r="D172" s="478">
        <v>1.0</v>
      </c>
      <c r="E172" s="478">
        <v>15000.0</v>
      </c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</row>
    <row r="173" ht="14.25" hidden="1" customHeight="1">
      <c r="A173" s="338" t="s">
        <v>775</v>
      </c>
      <c r="B173" s="338" t="s">
        <v>929</v>
      </c>
      <c r="C173" s="412" t="s">
        <v>930</v>
      </c>
      <c r="D173" s="478">
        <v>1.0</v>
      </c>
      <c r="E173" s="478">
        <v>15000.0</v>
      </c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</row>
    <row r="174" ht="14.25" hidden="1" customHeight="1">
      <c r="A174" s="338" t="s">
        <v>931</v>
      </c>
      <c r="B174" s="338" t="s">
        <v>932</v>
      </c>
      <c r="C174" s="412" t="s">
        <v>933</v>
      </c>
      <c r="D174" s="478">
        <v>1.0</v>
      </c>
      <c r="E174" s="478">
        <v>15000.0</v>
      </c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</row>
    <row r="175" ht="14.25" hidden="1" customHeight="1">
      <c r="A175" s="338" t="s">
        <v>931</v>
      </c>
      <c r="B175" s="338" t="s">
        <v>934</v>
      </c>
      <c r="C175" s="412" t="s">
        <v>935</v>
      </c>
      <c r="D175" s="478">
        <v>1.0</v>
      </c>
      <c r="E175" s="478">
        <v>15000.0</v>
      </c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</row>
    <row r="176" ht="14.25" hidden="1" customHeight="1">
      <c r="A176" s="338" t="s">
        <v>931</v>
      </c>
      <c r="B176" s="338" t="s">
        <v>852</v>
      </c>
      <c r="C176" s="412" t="s">
        <v>936</v>
      </c>
      <c r="D176" s="478">
        <v>1.0</v>
      </c>
      <c r="E176" s="478">
        <v>15000.0</v>
      </c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</row>
    <row r="177" ht="14.25" hidden="1" customHeight="1">
      <c r="A177" s="338" t="s">
        <v>931</v>
      </c>
      <c r="B177" s="338" t="s">
        <v>854</v>
      </c>
      <c r="C177" s="412" t="s">
        <v>937</v>
      </c>
      <c r="D177" s="478">
        <v>1.0</v>
      </c>
      <c r="E177" s="478">
        <v>15000.0</v>
      </c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</row>
    <row r="178" ht="14.25" hidden="1" customHeight="1">
      <c r="A178" s="338" t="s">
        <v>931</v>
      </c>
      <c r="B178" s="338" t="s">
        <v>858</v>
      </c>
      <c r="C178" s="412" t="s">
        <v>938</v>
      </c>
      <c r="D178" s="478">
        <v>1.0</v>
      </c>
      <c r="E178" s="478">
        <v>15000.0</v>
      </c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</row>
    <row r="179" ht="14.25" hidden="1" customHeight="1">
      <c r="A179" s="338" t="s">
        <v>931</v>
      </c>
      <c r="B179" s="338" t="s">
        <v>850</v>
      </c>
      <c r="C179" s="412" t="s">
        <v>939</v>
      </c>
      <c r="D179" s="478">
        <v>1.0</v>
      </c>
      <c r="E179" s="478">
        <v>15000.0</v>
      </c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</row>
    <row r="180" ht="14.25" hidden="1" customHeight="1">
      <c r="A180" s="338" t="s">
        <v>931</v>
      </c>
      <c r="B180" s="338" t="s">
        <v>940</v>
      </c>
      <c r="C180" s="412" t="s">
        <v>941</v>
      </c>
      <c r="D180" s="478">
        <v>1.0</v>
      </c>
      <c r="E180" s="478">
        <v>15000.0</v>
      </c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</row>
    <row r="181" ht="14.25" hidden="1" customHeight="1">
      <c r="A181" s="338" t="s">
        <v>931</v>
      </c>
      <c r="B181" s="338" t="s">
        <v>842</v>
      </c>
      <c r="C181" s="412" t="s">
        <v>942</v>
      </c>
      <c r="D181" s="478">
        <v>1.0</v>
      </c>
      <c r="E181" s="478">
        <v>15000.0</v>
      </c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</row>
    <row r="182" ht="14.25" hidden="1" customHeight="1">
      <c r="A182" s="338" t="s">
        <v>931</v>
      </c>
      <c r="B182" s="338" t="s">
        <v>696</v>
      </c>
      <c r="C182" s="412" t="s">
        <v>943</v>
      </c>
      <c r="D182" s="478">
        <v>1.0</v>
      </c>
      <c r="E182" s="478">
        <v>15000.0</v>
      </c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</row>
    <row r="183" ht="14.25" hidden="1" customHeight="1">
      <c r="A183" s="338" t="s">
        <v>931</v>
      </c>
      <c r="B183" s="338" t="s">
        <v>944</v>
      </c>
      <c r="C183" s="412" t="s">
        <v>945</v>
      </c>
      <c r="D183" s="478">
        <v>1.0</v>
      </c>
      <c r="E183" s="478">
        <v>15000.0</v>
      </c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</row>
    <row r="184" ht="14.25" hidden="1" customHeight="1">
      <c r="A184" s="338" t="s">
        <v>131</v>
      </c>
      <c r="B184" s="338" t="s">
        <v>731</v>
      </c>
      <c r="C184" s="412" t="s">
        <v>946</v>
      </c>
      <c r="D184" s="478">
        <v>1.0</v>
      </c>
      <c r="E184" s="478">
        <v>15000.0</v>
      </c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</row>
    <row r="185" ht="14.25" hidden="1" customHeight="1">
      <c r="A185" s="338" t="s">
        <v>947</v>
      </c>
      <c r="B185" s="338" t="s">
        <v>948</v>
      </c>
      <c r="C185" s="412" t="s">
        <v>949</v>
      </c>
      <c r="D185" s="478">
        <v>1.0</v>
      </c>
      <c r="E185" s="478">
        <v>15000.0</v>
      </c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</row>
    <row r="186" ht="14.25" hidden="1" customHeight="1">
      <c r="A186" s="338" t="s">
        <v>610</v>
      </c>
      <c r="B186" s="338" t="s">
        <v>712</v>
      </c>
      <c r="C186" s="412" t="s">
        <v>950</v>
      </c>
      <c r="D186" s="478">
        <v>1.0</v>
      </c>
      <c r="E186" s="478">
        <v>15000.0</v>
      </c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</row>
    <row r="187" ht="14.25" hidden="1" customHeight="1">
      <c r="A187" s="338" t="s">
        <v>90</v>
      </c>
      <c r="B187" s="338" t="s">
        <v>951</v>
      </c>
      <c r="C187" s="412" t="s">
        <v>952</v>
      </c>
      <c r="D187" s="478">
        <v>1.0</v>
      </c>
      <c r="E187" s="478">
        <v>15000.0</v>
      </c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</row>
    <row r="188" ht="14.25" hidden="1" customHeight="1">
      <c r="A188" s="338" t="s">
        <v>947</v>
      </c>
      <c r="B188" s="338" t="s">
        <v>953</v>
      </c>
      <c r="C188" s="412" t="s">
        <v>954</v>
      </c>
      <c r="D188" s="478">
        <v>1.0</v>
      </c>
      <c r="E188" s="478">
        <v>15000.0</v>
      </c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</row>
    <row r="189" ht="14.25" hidden="1" customHeight="1">
      <c r="A189" s="338" t="s">
        <v>131</v>
      </c>
      <c r="B189" s="338" t="s">
        <v>955</v>
      </c>
      <c r="C189" s="412" t="s">
        <v>956</v>
      </c>
      <c r="D189" s="478">
        <v>1.0</v>
      </c>
      <c r="E189" s="478">
        <v>15000.0</v>
      </c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</row>
    <row r="190" ht="14.25" hidden="1" customHeight="1">
      <c r="A190" s="338" t="s">
        <v>770</v>
      </c>
      <c r="B190" s="338" t="s">
        <v>905</v>
      </c>
      <c r="C190" s="412" t="s">
        <v>957</v>
      </c>
      <c r="D190" s="478">
        <v>1.0</v>
      </c>
      <c r="E190" s="478">
        <v>15000.0</v>
      </c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</row>
    <row r="191" ht="14.25" hidden="1" customHeight="1">
      <c r="A191" s="338" t="s">
        <v>610</v>
      </c>
      <c r="B191" s="338" t="s">
        <v>708</v>
      </c>
      <c r="C191" s="412" t="s">
        <v>958</v>
      </c>
      <c r="D191" s="478">
        <v>1.0</v>
      </c>
      <c r="E191" s="478">
        <v>15000.0</v>
      </c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</row>
    <row r="192" ht="14.25" hidden="1" customHeight="1">
      <c r="A192" s="338" t="s">
        <v>770</v>
      </c>
      <c r="B192" s="338" t="s">
        <v>727</v>
      </c>
      <c r="C192" s="412" t="s">
        <v>959</v>
      </c>
      <c r="D192" s="478">
        <v>1.0</v>
      </c>
      <c r="E192" s="478">
        <v>15000.0</v>
      </c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</row>
    <row r="193" ht="14.25" hidden="1" customHeight="1">
      <c r="A193" s="338" t="s">
        <v>610</v>
      </c>
      <c r="B193" s="338" t="s">
        <v>703</v>
      </c>
      <c r="C193" s="412" t="s">
        <v>704</v>
      </c>
      <c r="D193" s="478">
        <v>1.0</v>
      </c>
      <c r="E193" s="478">
        <v>15000.0</v>
      </c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</row>
    <row r="194" ht="14.25" hidden="1" customHeight="1">
      <c r="A194" s="338" t="s">
        <v>90</v>
      </c>
      <c r="B194" s="338" t="s">
        <v>960</v>
      </c>
      <c r="C194" s="412" t="s">
        <v>961</v>
      </c>
      <c r="D194" s="478">
        <v>1.0</v>
      </c>
      <c r="E194" s="478">
        <v>15000.0</v>
      </c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</row>
    <row r="195" ht="14.25" hidden="1" customHeight="1">
      <c r="A195" s="338" t="s">
        <v>962</v>
      </c>
      <c r="B195" s="338" t="s">
        <v>796</v>
      </c>
      <c r="C195" s="412" t="s">
        <v>963</v>
      </c>
      <c r="D195" s="478">
        <v>1.0</v>
      </c>
      <c r="E195" s="478">
        <v>15000.0</v>
      </c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</row>
    <row r="196" ht="14.25" hidden="1" customHeight="1">
      <c r="A196" s="338" t="s">
        <v>962</v>
      </c>
      <c r="B196" s="338" t="s">
        <v>715</v>
      </c>
      <c r="C196" s="415" t="s">
        <v>964</v>
      </c>
      <c r="D196" s="478">
        <v>1.0</v>
      </c>
      <c r="E196" s="478">
        <v>15000.0</v>
      </c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</row>
    <row r="197" ht="14.25" hidden="1" customHeight="1">
      <c r="A197" s="338" t="s">
        <v>962</v>
      </c>
      <c r="B197" s="338" t="s">
        <v>796</v>
      </c>
      <c r="C197" s="415" t="s">
        <v>965</v>
      </c>
      <c r="D197" s="478">
        <v>1.0</v>
      </c>
      <c r="E197" s="478">
        <v>15000.0</v>
      </c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</row>
    <row r="198" ht="14.25" hidden="1" customHeight="1">
      <c r="A198" s="338" t="s">
        <v>962</v>
      </c>
      <c r="B198" s="338" t="s">
        <v>966</v>
      </c>
      <c r="C198" s="415" t="s">
        <v>967</v>
      </c>
      <c r="D198" s="478">
        <v>1.0</v>
      </c>
      <c r="E198" s="478">
        <v>15000.0</v>
      </c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</row>
    <row r="199" ht="14.25" hidden="1" customHeight="1">
      <c r="A199" s="338" t="s">
        <v>962</v>
      </c>
      <c r="B199" s="338" t="s">
        <v>968</v>
      </c>
      <c r="C199" s="415" t="s">
        <v>969</v>
      </c>
      <c r="D199" s="478">
        <v>1.0</v>
      </c>
      <c r="E199" s="478">
        <v>15000.0</v>
      </c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</row>
    <row r="200" ht="14.25" hidden="1" customHeight="1">
      <c r="A200" s="338" t="s">
        <v>962</v>
      </c>
      <c r="B200" s="338" t="s">
        <v>970</v>
      </c>
      <c r="C200" s="415" t="s">
        <v>971</v>
      </c>
      <c r="D200" s="478">
        <v>1.0</v>
      </c>
      <c r="E200" s="478">
        <v>15000.0</v>
      </c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</row>
    <row r="201" ht="14.25" hidden="1" customHeight="1">
      <c r="A201" s="338" t="s">
        <v>962</v>
      </c>
      <c r="B201" s="338" t="s">
        <v>905</v>
      </c>
      <c r="C201" s="415" t="s">
        <v>972</v>
      </c>
      <c r="D201" s="478">
        <v>1.0</v>
      </c>
      <c r="E201" s="478">
        <v>15000.0</v>
      </c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</row>
    <row r="202" ht="14.25" hidden="1" customHeight="1">
      <c r="A202" s="338" t="s">
        <v>762</v>
      </c>
      <c r="B202" s="338" t="s">
        <v>973</v>
      </c>
      <c r="C202" s="415" t="s">
        <v>974</v>
      </c>
      <c r="D202" s="478">
        <v>1.0</v>
      </c>
      <c r="E202" s="478">
        <v>15000.0</v>
      </c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</row>
    <row r="203" ht="14.25" hidden="1" customHeight="1">
      <c r="A203" s="394" t="s">
        <v>131</v>
      </c>
      <c r="B203" s="394" t="s">
        <v>975</v>
      </c>
      <c r="C203" s="449" t="s">
        <v>976</v>
      </c>
      <c r="D203" s="478">
        <v>1.0</v>
      </c>
      <c r="E203" s="478">
        <v>15000.0</v>
      </c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</row>
    <row r="204" ht="14.25" hidden="1" customHeight="1">
      <c r="A204" s="338" t="s">
        <v>770</v>
      </c>
      <c r="B204" s="338" t="s">
        <v>977</v>
      </c>
      <c r="C204" s="415" t="s">
        <v>978</v>
      </c>
      <c r="D204" s="478">
        <v>1.0</v>
      </c>
      <c r="E204" s="478">
        <v>15000.0</v>
      </c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</row>
    <row r="205" ht="14.25" hidden="1" customHeight="1">
      <c r="A205" s="338" t="s">
        <v>90</v>
      </c>
      <c r="B205" s="338" t="s">
        <v>979</v>
      </c>
      <c r="C205" s="415" t="s">
        <v>980</v>
      </c>
      <c r="D205" s="478">
        <v>1.0</v>
      </c>
      <c r="E205" s="478">
        <v>15000.0</v>
      </c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</row>
    <row r="206" ht="14.25" hidden="1" customHeight="1">
      <c r="A206" s="338" t="s">
        <v>90</v>
      </c>
      <c r="B206" s="338" t="s">
        <v>981</v>
      </c>
      <c r="C206" s="338" t="s">
        <v>982</v>
      </c>
      <c r="D206" s="478">
        <v>1.0</v>
      </c>
      <c r="E206" s="478">
        <v>15000.0</v>
      </c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</row>
    <row r="207" ht="14.25" hidden="1" customHeight="1">
      <c r="A207" s="338" t="s">
        <v>762</v>
      </c>
      <c r="B207" s="338" t="s">
        <v>983</v>
      </c>
      <c r="C207" s="415" t="s">
        <v>984</v>
      </c>
      <c r="D207" s="478">
        <v>1.0</v>
      </c>
      <c r="E207" s="478">
        <v>15000.0</v>
      </c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</row>
    <row r="208" ht="14.25" hidden="1" customHeight="1">
      <c r="A208" s="338" t="s">
        <v>762</v>
      </c>
      <c r="B208" s="338" t="s">
        <v>860</v>
      </c>
      <c r="C208" s="415" t="s">
        <v>985</v>
      </c>
      <c r="D208" s="478">
        <v>1.0</v>
      </c>
      <c r="E208" s="478">
        <v>15000.0</v>
      </c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</row>
    <row r="209" ht="14.25" hidden="1" customHeight="1">
      <c r="A209" s="338" t="s">
        <v>762</v>
      </c>
      <c r="B209" s="338" t="s">
        <v>986</v>
      </c>
      <c r="C209" s="415" t="s">
        <v>987</v>
      </c>
      <c r="D209" s="478">
        <v>1.0</v>
      </c>
      <c r="E209" s="478">
        <v>15000.0</v>
      </c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</row>
    <row r="210" ht="14.25" hidden="1" customHeight="1">
      <c r="A210" s="338" t="s">
        <v>762</v>
      </c>
      <c r="B210" s="338" t="s">
        <v>988</v>
      </c>
      <c r="C210" s="415" t="s">
        <v>989</v>
      </c>
      <c r="D210" s="478">
        <v>1.0</v>
      </c>
      <c r="E210" s="478">
        <v>15000.0</v>
      </c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</row>
    <row r="211" ht="14.25" hidden="1" customHeight="1">
      <c r="A211" s="338" t="s">
        <v>762</v>
      </c>
      <c r="B211" s="338" t="s">
        <v>990</v>
      </c>
      <c r="C211" s="415" t="s">
        <v>991</v>
      </c>
      <c r="D211" s="478">
        <v>1.0</v>
      </c>
      <c r="E211" s="478">
        <v>15000.0</v>
      </c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</row>
    <row r="212" ht="14.25" hidden="1" customHeight="1">
      <c r="A212" s="338" t="s">
        <v>762</v>
      </c>
      <c r="B212" s="338" t="s">
        <v>992</v>
      </c>
      <c r="C212" s="415" t="s">
        <v>993</v>
      </c>
      <c r="D212" s="478">
        <v>1.0</v>
      </c>
      <c r="E212" s="478">
        <v>15000.0</v>
      </c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</row>
    <row r="213" ht="14.25" hidden="1" customHeight="1">
      <c r="A213" s="338" t="s">
        <v>762</v>
      </c>
      <c r="B213" s="338" t="s">
        <v>994</v>
      </c>
      <c r="C213" s="415" t="s">
        <v>995</v>
      </c>
      <c r="D213" s="478">
        <v>1.0</v>
      </c>
      <c r="E213" s="478">
        <v>15000.0</v>
      </c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</row>
    <row r="214" ht="14.25" hidden="1" customHeight="1">
      <c r="A214" s="338" t="s">
        <v>762</v>
      </c>
      <c r="B214" s="338" t="s">
        <v>996</v>
      </c>
      <c r="C214" s="415" t="s">
        <v>997</v>
      </c>
      <c r="D214" s="478">
        <v>1.0</v>
      </c>
      <c r="E214" s="478">
        <v>15000.0</v>
      </c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</row>
    <row r="215" ht="14.25" hidden="1" customHeight="1">
      <c r="A215" s="338" t="s">
        <v>762</v>
      </c>
      <c r="B215" s="338" t="s">
        <v>844</v>
      </c>
      <c r="C215" s="415" t="s">
        <v>998</v>
      </c>
      <c r="D215" s="478">
        <v>1.0</v>
      </c>
      <c r="E215" s="478">
        <v>15000.0</v>
      </c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</row>
    <row r="216" ht="14.25" hidden="1" customHeight="1">
      <c r="A216" s="338" t="s">
        <v>762</v>
      </c>
      <c r="B216" s="338" t="s">
        <v>999</v>
      </c>
      <c r="C216" s="415" t="s">
        <v>1000</v>
      </c>
      <c r="D216" s="478">
        <v>1.0</v>
      </c>
      <c r="E216" s="478">
        <v>15000.0</v>
      </c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</row>
    <row r="217" ht="14.25" hidden="1" customHeight="1">
      <c r="A217" s="338" t="s">
        <v>762</v>
      </c>
      <c r="B217" s="338" t="s">
        <v>1001</v>
      </c>
      <c r="C217" s="415" t="s">
        <v>1002</v>
      </c>
      <c r="D217" s="478">
        <v>1.0</v>
      </c>
      <c r="E217" s="478">
        <v>15000.0</v>
      </c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</row>
    <row r="218" ht="14.25" hidden="1" customHeight="1">
      <c r="A218" s="338" t="s">
        <v>762</v>
      </c>
      <c r="B218" s="338" t="s">
        <v>996</v>
      </c>
      <c r="C218" s="415" t="s">
        <v>1003</v>
      </c>
      <c r="D218" s="478">
        <v>1.0</v>
      </c>
      <c r="E218" s="478">
        <v>15000.0</v>
      </c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</row>
    <row r="219" ht="14.25" hidden="1" customHeight="1">
      <c r="A219" s="338" t="s">
        <v>762</v>
      </c>
      <c r="B219" s="338" t="s">
        <v>1004</v>
      </c>
      <c r="C219" s="415" t="s">
        <v>1005</v>
      </c>
      <c r="D219" s="478">
        <v>1.0</v>
      </c>
      <c r="E219" s="478">
        <v>15000.0</v>
      </c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</row>
    <row r="220" ht="14.25" hidden="1" customHeight="1">
      <c r="A220" s="338" t="s">
        <v>762</v>
      </c>
      <c r="B220" s="338" t="s">
        <v>908</v>
      </c>
      <c r="C220" s="415" t="s">
        <v>1006</v>
      </c>
      <c r="D220" s="478">
        <v>1.0</v>
      </c>
      <c r="E220" s="478">
        <v>15000.0</v>
      </c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</row>
    <row r="221" ht="14.25" hidden="1" customHeight="1">
      <c r="A221" s="394" t="s">
        <v>131</v>
      </c>
      <c r="B221" s="394" t="s">
        <v>733</v>
      </c>
      <c r="C221" s="449" t="s">
        <v>1007</v>
      </c>
      <c r="D221" s="478">
        <v>1.0</v>
      </c>
      <c r="E221" s="478">
        <v>15000.0</v>
      </c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</row>
    <row r="222" ht="14.25" hidden="1" customHeight="1">
      <c r="A222" s="338" t="s">
        <v>131</v>
      </c>
      <c r="B222" s="338" t="s">
        <v>1008</v>
      </c>
      <c r="C222" s="415" t="s">
        <v>1009</v>
      </c>
      <c r="D222" s="478">
        <v>1.0</v>
      </c>
      <c r="E222" s="478">
        <v>15000.0</v>
      </c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</row>
    <row r="223" ht="14.25" hidden="1" customHeight="1">
      <c r="A223" s="338" t="s">
        <v>131</v>
      </c>
      <c r="B223" s="338" t="s">
        <v>1010</v>
      </c>
      <c r="C223" s="415" t="s">
        <v>1011</v>
      </c>
      <c r="D223" s="478">
        <v>1.0</v>
      </c>
      <c r="E223" s="478">
        <v>15000.0</v>
      </c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</row>
    <row r="224" ht="14.25" hidden="1" customHeight="1">
      <c r="A224" s="338" t="s">
        <v>131</v>
      </c>
      <c r="B224" s="338" t="s">
        <v>1012</v>
      </c>
      <c r="C224" s="415" t="s">
        <v>1013</v>
      </c>
      <c r="D224" s="478">
        <v>1.0</v>
      </c>
      <c r="E224" s="478">
        <v>15000.0</v>
      </c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</row>
    <row r="225" ht="14.25" hidden="1" customHeight="1">
      <c r="A225" s="338" t="s">
        <v>131</v>
      </c>
      <c r="B225" s="338" t="s">
        <v>1014</v>
      </c>
      <c r="C225" s="415" t="s">
        <v>1015</v>
      </c>
      <c r="D225" s="478">
        <v>1.0</v>
      </c>
      <c r="E225" s="478">
        <v>15000.0</v>
      </c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</row>
    <row r="226" ht="14.25" hidden="1" customHeight="1">
      <c r="A226" s="338" t="s">
        <v>131</v>
      </c>
      <c r="B226" s="338" t="s">
        <v>1016</v>
      </c>
      <c r="C226" s="415" t="s">
        <v>1017</v>
      </c>
      <c r="D226" s="478">
        <v>1.0</v>
      </c>
      <c r="E226" s="478">
        <v>15000.0</v>
      </c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</row>
    <row r="227" ht="14.25" hidden="1" customHeight="1">
      <c r="A227" s="338" t="s">
        <v>131</v>
      </c>
      <c r="B227" s="338" t="s">
        <v>1018</v>
      </c>
      <c r="C227" s="415" t="s">
        <v>1019</v>
      </c>
      <c r="D227" s="478">
        <v>1.0</v>
      </c>
      <c r="E227" s="478">
        <v>15000.0</v>
      </c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</row>
    <row r="228" ht="14.25" hidden="1" customHeight="1">
      <c r="A228" s="338" t="s">
        <v>610</v>
      </c>
      <c r="B228" s="338" t="s">
        <v>1020</v>
      </c>
      <c r="C228" s="415" t="s">
        <v>1021</v>
      </c>
      <c r="D228" s="478">
        <v>1.0</v>
      </c>
      <c r="E228" s="478">
        <v>15000.0</v>
      </c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</row>
    <row r="229" ht="14.25" hidden="1" customHeight="1">
      <c r="A229" s="338" t="s">
        <v>610</v>
      </c>
      <c r="B229" s="338" t="s">
        <v>689</v>
      </c>
      <c r="C229" s="415" t="s">
        <v>1022</v>
      </c>
      <c r="D229" s="478">
        <v>1.0</v>
      </c>
      <c r="E229" s="478">
        <v>15000.0</v>
      </c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</row>
    <row r="230" ht="14.25" hidden="1" customHeight="1">
      <c r="A230" s="338" t="s">
        <v>610</v>
      </c>
      <c r="B230" s="338" t="s">
        <v>790</v>
      </c>
      <c r="C230" s="415" t="s">
        <v>1023</v>
      </c>
      <c r="D230" s="478">
        <v>1.0</v>
      </c>
      <c r="E230" s="478">
        <v>15000.0</v>
      </c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</row>
    <row r="231" ht="14.25" hidden="1" customHeight="1">
      <c r="A231" s="338" t="s">
        <v>610</v>
      </c>
      <c r="B231" s="338" t="s">
        <v>689</v>
      </c>
      <c r="C231" s="415" t="s">
        <v>1024</v>
      </c>
      <c r="D231" s="478">
        <v>1.0</v>
      </c>
      <c r="E231" s="478">
        <v>15000.0</v>
      </c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</row>
    <row r="232" ht="14.25" hidden="1" customHeight="1">
      <c r="A232" s="338" t="s">
        <v>610</v>
      </c>
      <c r="B232" s="338" t="s">
        <v>1025</v>
      </c>
      <c r="C232" s="415" t="s">
        <v>1026</v>
      </c>
      <c r="D232" s="478">
        <v>1.0</v>
      </c>
      <c r="E232" s="478">
        <v>15000.0</v>
      </c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</row>
    <row r="233" ht="14.25" hidden="1" customHeight="1">
      <c r="A233" s="338" t="s">
        <v>610</v>
      </c>
      <c r="B233" s="338" t="s">
        <v>708</v>
      </c>
      <c r="C233" s="415" t="s">
        <v>1027</v>
      </c>
      <c r="D233" s="478">
        <v>1.0</v>
      </c>
      <c r="E233" s="478">
        <v>15000.0</v>
      </c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</row>
    <row r="234" ht="14.25" hidden="1" customHeight="1">
      <c r="A234" s="338" t="s">
        <v>610</v>
      </c>
      <c r="B234" s="338" t="s">
        <v>712</v>
      </c>
      <c r="C234" s="415" t="s">
        <v>1028</v>
      </c>
      <c r="D234" s="478">
        <v>1.0</v>
      </c>
      <c r="E234" s="478">
        <v>15000.0</v>
      </c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</row>
    <row r="235" ht="14.25" hidden="1" customHeight="1">
      <c r="A235" s="338" t="s">
        <v>610</v>
      </c>
      <c r="B235" s="338" t="s">
        <v>790</v>
      </c>
      <c r="C235" s="415" t="s">
        <v>1029</v>
      </c>
      <c r="D235" s="478">
        <v>1.0</v>
      </c>
      <c r="E235" s="478">
        <v>15000.0</v>
      </c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</row>
    <row r="236" ht="14.25" hidden="1" customHeight="1">
      <c r="A236" s="338" t="s">
        <v>610</v>
      </c>
      <c r="B236" s="338" t="s">
        <v>1030</v>
      </c>
      <c r="C236" s="415" t="s">
        <v>1031</v>
      </c>
      <c r="D236" s="478">
        <v>1.0</v>
      </c>
      <c r="E236" s="478">
        <v>15000.0</v>
      </c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</row>
    <row r="237" ht="14.25" hidden="1" customHeight="1">
      <c r="A237" s="338" t="s">
        <v>610</v>
      </c>
      <c r="B237" s="338" t="s">
        <v>1032</v>
      </c>
      <c r="C237" s="415" t="s">
        <v>1033</v>
      </c>
      <c r="D237" s="478">
        <v>1.0</v>
      </c>
      <c r="E237" s="478">
        <v>15000.0</v>
      </c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</row>
    <row r="238" ht="14.25" hidden="1" customHeight="1">
      <c r="A238" s="338" t="s">
        <v>610</v>
      </c>
      <c r="B238" s="338" t="s">
        <v>1034</v>
      </c>
      <c r="C238" s="415" t="s">
        <v>1035</v>
      </c>
      <c r="D238" s="478">
        <v>1.0</v>
      </c>
      <c r="E238" s="478">
        <v>15000.0</v>
      </c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</row>
    <row r="239" ht="14.25" hidden="1" customHeight="1">
      <c r="A239" s="338" t="s">
        <v>610</v>
      </c>
      <c r="B239" s="338" t="s">
        <v>710</v>
      </c>
      <c r="C239" s="415" t="s">
        <v>1036</v>
      </c>
      <c r="D239" s="478">
        <v>1.0</v>
      </c>
      <c r="E239" s="478">
        <v>15000.0</v>
      </c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</row>
    <row r="240" ht="14.25" hidden="1" customHeight="1">
      <c r="A240" s="338" t="s">
        <v>610</v>
      </c>
      <c r="B240" s="338" t="s">
        <v>918</v>
      </c>
      <c r="C240" s="415" t="s">
        <v>1037</v>
      </c>
      <c r="D240" s="478">
        <v>1.0</v>
      </c>
      <c r="E240" s="478">
        <v>15000.0</v>
      </c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</row>
    <row r="241" ht="14.25" hidden="1" customHeight="1">
      <c r="A241" s="338" t="s">
        <v>610</v>
      </c>
      <c r="B241" s="338" t="s">
        <v>1038</v>
      </c>
      <c r="C241" s="415" t="s">
        <v>1039</v>
      </c>
      <c r="D241" s="478">
        <v>1.0</v>
      </c>
      <c r="E241" s="478">
        <v>15000.0</v>
      </c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</row>
    <row r="242" ht="14.25" hidden="1" customHeight="1">
      <c r="A242" s="338" t="s">
        <v>610</v>
      </c>
      <c r="B242" s="338" t="s">
        <v>1040</v>
      </c>
      <c r="C242" s="415" t="s">
        <v>1041</v>
      </c>
      <c r="D242" s="478">
        <v>1.0</v>
      </c>
      <c r="E242" s="478">
        <v>15000.0</v>
      </c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</row>
    <row r="243" ht="14.25" hidden="1" customHeight="1">
      <c r="A243" s="338" t="s">
        <v>90</v>
      </c>
      <c r="B243" s="338" t="s">
        <v>1042</v>
      </c>
      <c r="C243" s="415" t="s">
        <v>1043</v>
      </c>
      <c r="D243" s="478">
        <v>1.0</v>
      </c>
      <c r="E243" s="478">
        <v>15000.0</v>
      </c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</row>
    <row r="244" ht="14.25" hidden="1" customHeight="1">
      <c r="A244" s="338" t="s">
        <v>90</v>
      </c>
      <c r="B244" s="338" t="s">
        <v>1044</v>
      </c>
      <c r="C244" s="415" t="s">
        <v>1045</v>
      </c>
      <c r="D244" s="478">
        <v>1.0</v>
      </c>
      <c r="E244" s="478">
        <v>15000.0</v>
      </c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</row>
    <row r="245" ht="14.25" hidden="1" customHeight="1">
      <c r="A245" s="338" t="s">
        <v>90</v>
      </c>
      <c r="B245" s="338" t="s">
        <v>1046</v>
      </c>
      <c r="C245" s="415" t="s">
        <v>1047</v>
      </c>
      <c r="D245" s="478">
        <v>1.0</v>
      </c>
      <c r="E245" s="478">
        <v>15000.0</v>
      </c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</row>
    <row r="246" ht="14.25" hidden="1" customHeight="1">
      <c r="A246" s="338" t="s">
        <v>121</v>
      </c>
      <c r="B246" s="338" t="s">
        <v>1048</v>
      </c>
      <c r="C246" s="415" t="s">
        <v>954</v>
      </c>
      <c r="D246" s="478">
        <v>1.0</v>
      </c>
      <c r="E246" s="478">
        <v>15000.0</v>
      </c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</row>
    <row r="247" ht="32.25" hidden="1" customHeight="1">
      <c r="A247" s="338" t="s">
        <v>762</v>
      </c>
      <c r="B247" s="338" t="s">
        <v>1049</v>
      </c>
      <c r="C247" s="415" t="s">
        <v>1050</v>
      </c>
      <c r="D247" s="478">
        <v>1.0</v>
      </c>
      <c r="E247" s="478">
        <v>15000.0</v>
      </c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</row>
    <row r="248" ht="14.25" hidden="1" customHeight="1">
      <c r="A248" s="485" t="s">
        <v>90</v>
      </c>
      <c r="B248" s="338" t="s">
        <v>1051</v>
      </c>
      <c r="C248" s="486" t="s">
        <v>1052</v>
      </c>
      <c r="D248" s="487">
        <v>2.0</v>
      </c>
      <c r="E248" s="487">
        <v>30000.0</v>
      </c>
      <c r="F248" s="479"/>
      <c r="G248" s="479"/>
      <c r="H248" s="479"/>
      <c r="I248" s="479"/>
      <c r="J248" s="479"/>
      <c r="K248" s="479"/>
      <c r="L248" s="479"/>
      <c r="M248" s="479"/>
      <c r="N248" s="479"/>
      <c r="O248" s="479"/>
      <c r="P248" s="479"/>
      <c r="Q248" s="479"/>
      <c r="R248" s="479"/>
      <c r="S248" s="479"/>
      <c r="T248" s="479"/>
    </row>
    <row r="249" ht="14.25" hidden="1" customHeight="1">
      <c r="A249" s="485" t="s">
        <v>90</v>
      </c>
      <c r="B249" s="338" t="s">
        <v>1053</v>
      </c>
      <c r="C249" s="486" t="s">
        <v>1054</v>
      </c>
      <c r="D249" s="487">
        <v>1.4</v>
      </c>
      <c r="E249" s="487">
        <v>23000.0</v>
      </c>
      <c r="F249" s="479"/>
      <c r="G249" s="479"/>
      <c r="H249" s="479"/>
      <c r="I249" s="479"/>
      <c r="J249" s="479"/>
      <c r="K249" s="479"/>
      <c r="L249" s="479"/>
      <c r="M249" s="479"/>
      <c r="N249" s="479"/>
      <c r="O249" s="479"/>
      <c r="P249" s="479"/>
      <c r="Q249" s="479"/>
      <c r="R249" s="479"/>
      <c r="S249" s="479"/>
      <c r="T249" s="479"/>
    </row>
    <row r="250" ht="14.25" hidden="1" customHeight="1">
      <c r="A250" s="485" t="s">
        <v>90</v>
      </c>
      <c r="B250" s="338" t="s">
        <v>1055</v>
      </c>
      <c r="C250" s="486" t="s">
        <v>1056</v>
      </c>
      <c r="D250" s="487">
        <v>4.41</v>
      </c>
      <c r="E250" s="487">
        <v>67000.0</v>
      </c>
      <c r="F250" s="479"/>
      <c r="G250" s="479"/>
      <c r="H250" s="479"/>
      <c r="I250" s="479"/>
      <c r="J250" s="479"/>
      <c r="K250" s="479"/>
      <c r="L250" s="479"/>
      <c r="M250" s="479"/>
      <c r="N250" s="479"/>
      <c r="O250" s="479"/>
      <c r="P250" s="479"/>
      <c r="Q250" s="479"/>
      <c r="R250" s="479"/>
      <c r="S250" s="479"/>
      <c r="T250" s="479"/>
    </row>
    <row r="251" ht="14.25" hidden="1" customHeight="1">
      <c r="A251" s="485" t="s">
        <v>90</v>
      </c>
      <c r="B251" s="338" t="s">
        <v>1051</v>
      </c>
      <c r="C251" s="486" t="s">
        <v>1057</v>
      </c>
      <c r="D251" s="487">
        <v>3.6</v>
      </c>
      <c r="E251" s="487">
        <v>54000.0</v>
      </c>
      <c r="F251" s="479"/>
      <c r="G251" s="479"/>
      <c r="H251" s="479"/>
      <c r="I251" s="479"/>
      <c r="J251" s="479"/>
      <c r="K251" s="479"/>
      <c r="L251" s="479"/>
      <c r="M251" s="479"/>
      <c r="N251" s="479"/>
      <c r="O251" s="479"/>
      <c r="P251" s="479"/>
      <c r="Q251" s="479"/>
      <c r="R251" s="479"/>
      <c r="S251" s="479"/>
      <c r="T251" s="479"/>
    </row>
    <row r="252" ht="14.25" hidden="1" customHeight="1">
      <c r="A252" s="485" t="s">
        <v>762</v>
      </c>
      <c r="B252" s="338" t="s">
        <v>1058</v>
      </c>
      <c r="C252" s="486" t="s">
        <v>1059</v>
      </c>
      <c r="D252" s="487">
        <v>1.2</v>
      </c>
      <c r="E252" s="487">
        <v>18000.0</v>
      </c>
      <c r="F252" s="479"/>
      <c r="G252" s="479"/>
      <c r="H252" s="479"/>
      <c r="I252" s="479"/>
      <c r="J252" s="479"/>
      <c r="K252" s="479"/>
      <c r="L252" s="479"/>
      <c r="M252" s="479"/>
      <c r="N252" s="479"/>
      <c r="O252" s="479"/>
      <c r="P252" s="479"/>
      <c r="Q252" s="479"/>
      <c r="R252" s="479"/>
      <c r="S252" s="479"/>
      <c r="T252" s="479"/>
    </row>
    <row r="253" ht="14.25" hidden="1" customHeight="1">
      <c r="A253" s="485" t="s">
        <v>762</v>
      </c>
      <c r="B253" s="338" t="s">
        <v>1060</v>
      </c>
      <c r="C253" s="486" t="s">
        <v>1061</v>
      </c>
      <c r="D253" s="487">
        <v>1.37</v>
      </c>
      <c r="E253" s="487">
        <v>20550.0</v>
      </c>
      <c r="F253" s="479"/>
      <c r="G253" s="479"/>
      <c r="H253" s="479"/>
      <c r="I253" s="479"/>
      <c r="J253" s="479"/>
      <c r="K253" s="479"/>
      <c r="L253" s="479"/>
      <c r="M253" s="479"/>
      <c r="N253" s="479"/>
      <c r="O253" s="479"/>
      <c r="P253" s="479"/>
      <c r="Q253" s="479"/>
      <c r="R253" s="479"/>
      <c r="S253" s="479"/>
      <c r="T253" s="479"/>
    </row>
    <row r="254" ht="14.25" hidden="1" customHeight="1">
      <c r="A254" s="485" t="s">
        <v>762</v>
      </c>
      <c r="B254" s="338" t="s">
        <v>1062</v>
      </c>
      <c r="C254" s="486" t="s">
        <v>1063</v>
      </c>
      <c r="D254" s="487">
        <v>1.9</v>
      </c>
      <c r="E254" s="487">
        <v>28500.0</v>
      </c>
      <c r="F254" s="479"/>
      <c r="G254" s="479"/>
      <c r="H254" s="479"/>
      <c r="I254" s="479"/>
      <c r="J254" s="479"/>
      <c r="K254" s="479"/>
      <c r="L254" s="479"/>
      <c r="M254" s="479"/>
      <c r="N254" s="479"/>
      <c r="O254" s="479"/>
      <c r="P254" s="479"/>
      <c r="Q254" s="479"/>
      <c r="R254" s="479"/>
      <c r="S254" s="479"/>
      <c r="T254" s="479"/>
    </row>
    <row r="255" ht="14.25" hidden="1" customHeight="1">
      <c r="A255" s="485" t="s">
        <v>762</v>
      </c>
      <c r="B255" s="338" t="s">
        <v>1064</v>
      </c>
      <c r="C255" s="486" t="s">
        <v>1050</v>
      </c>
      <c r="D255" s="487">
        <v>2.0</v>
      </c>
      <c r="E255" s="487">
        <v>30000.0</v>
      </c>
      <c r="F255" s="479"/>
      <c r="G255" s="479"/>
      <c r="H255" s="479"/>
      <c r="I255" s="479"/>
      <c r="J255" s="479"/>
      <c r="K255" s="479"/>
      <c r="L255" s="479"/>
      <c r="M255" s="479"/>
      <c r="N255" s="479"/>
      <c r="O255" s="479"/>
      <c r="P255" s="479"/>
      <c r="Q255" s="479"/>
      <c r="R255" s="479"/>
      <c r="S255" s="479"/>
      <c r="T255" s="479"/>
    </row>
    <row r="256" ht="14.25" hidden="1" customHeight="1">
      <c r="A256" s="485" t="s">
        <v>762</v>
      </c>
      <c r="B256" s="338" t="s">
        <v>1065</v>
      </c>
      <c r="C256" s="486" t="s">
        <v>1066</v>
      </c>
      <c r="D256" s="487">
        <v>1.67</v>
      </c>
      <c r="E256" s="487">
        <v>25050.0</v>
      </c>
      <c r="F256" s="479"/>
      <c r="G256" s="479"/>
      <c r="H256" s="479"/>
      <c r="I256" s="479"/>
      <c r="J256" s="479"/>
      <c r="K256" s="479"/>
      <c r="L256" s="479"/>
      <c r="M256" s="479"/>
      <c r="N256" s="479"/>
      <c r="O256" s="479"/>
      <c r="P256" s="479"/>
      <c r="Q256" s="479"/>
      <c r="R256" s="479"/>
      <c r="S256" s="479"/>
      <c r="T256" s="479"/>
    </row>
    <row r="257" ht="14.25" hidden="1" customHeight="1">
      <c r="A257" s="485" t="s">
        <v>762</v>
      </c>
      <c r="B257" s="338" t="s">
        <v>1067</v>
      </c>
      <c r="C257" s="486" t="s">
        <v>1068</v>
      </c>
      <c r="D257" s="487">
        <v>1.0</v>
      </c>
      <c r="E257" s="487">
        <v>15000.0</v>
      </c>
      <c r="F257" s="479"/>
      <c r="G257" s="479"/>
      <c r="H257" s="479"/>
      <c r="I257" s="479"/>
      <c r="J257" s="479"/>
      <c r="K257" s="479"/>
      <c r="L257" s="479"/>
      <c r="M257" s="479"/>
      <c r="N257" s="479"/>
      <c r="O257" s="479"/>
      <c r="P257" s="479"/>
      <c r="Q257" s="479"/>
      <c r="R257" s="479"/>
      <c r="S257" s="479"/>
      <c r="T257" s="479"/>
    </row>
    <row r="258" ht="14.25" hidden="1" customHeight="1">
      <c r="A258" s="485" t="s">
        <v>762</v>
      </c>
      <c r="B258" s="338" t="s">
        <v>1069</v>
      </c>
      <c r="C258" s="486" t="s">
        <v>1070</v>
      </c>
      <c r="D258" s="487">
        <v>1.19</v>
      </c>
      <c r="E258" s="487">
        <v>17850.0</v>
      </c>
      <c r="F258" s="479"/>
      <c r="G258" s="479"/>
      <c r="H258" s="479"/>
      <c r="I258" s="479"/>
      <c r="J258" s="479"/>
      <c r="K258" s="479"/>
      <c r="L258" s="479"/>
      <c r="M258" s="479"/>
      <c r="N258" s="479"/>
      <c r="O258" s="479"/>
      <c r="P258" s="479"/>
      <c r="Q258" s="479"/>
      <c r="R258" s="479"/>
      <c r="S258" s="479"/>
      <c r="T258" s="479"/>
    </row>
    <row r="259" ht="14.25" hidden="1" customHeight="1">
      <c r="A259" s="485" t="s">
        <v>762</v>
      </c>
      <c r="B259" s="338" t="s">
        <v>1071</v>
      </c>
      <c r="C259" s="486" t="s">
        <v>1072</v>
      </c>
      <c r="D259" s="487">
        <v>1.2</v>
      </c>
      <c r="E259" s="487">
        <v>18000.0</v>
      </c>
      <c r="F259" s="479"/>
      <c r="G259" s="479"/>
      <c r="H259" s="479"/>
      <c r="I259" s="479"/>
      <c r="J259" s="479"/>
      <c r="K259" s="479"/>
      <c r="L259" s="479"/>
      <c r="M259" s="479"/>
      <c r="N259" s="479"/>
      <c r="O259" s="479"/>
      <c r="P259" s="479"/>
      <c r="Q259" s="479"/>
      <c r="R259" s="479"/>
      <c r="S259" s="479"/>
      <c r="T259" s="479"/>
    </row>
    <row r="260" ht="14.25" hidden="1" customHeight="1">
      <c r="A260" s="485" t="s">
        <v>762</v>
      </c>
      <c r="B260" s="338" t="s">
        <v>1073</v>
      </c>
      <c r="C260" s="486" t="s">
        <v>1074</v>
      </c>
      <c r="D260" s="487">
        <v>1.05</v>
      </c>
      <c r="E260" s="487">
        <v>17703.600000000002</v>
      </c>
      <c r="F260" s="479"/>
      <c r="G260" s="479"/>
      <c r="H260" s="479"/>
      <c r="I260" s="479"/>
      <c r="J260" s="479"/>
      <c r="K260" s="479"/>
      <c r="L260" s="479"/>
      <c r="M260" s="479"/>
      <c r="N260" s="479"/>
      <c r="O260" s="479"/>
      <c r="P260" s="479"/>
      <c r="Q260" s="479"/>
      <c r="R260" s="479"/>
      <c r="S260" s="479"/>
      <c r="T260" s="479"/>
    </row>
    <row r="261" ht="14.25" hidden="1" customHeight="1">
      <c r="A261" s="485" t="s">
        <v>762</v>
      </c>
      <c r="B261" s="338" t="s">
        <v>994</v>
      </c>
      <c r="C261" s="486" t="s">
        <v>1075</v>
      </c>
      <c r="D261" s="487">
        <v>1.0</v>
      </c>
      <c r="E261" s="487">
        <v>15500.0</v>
      </c>
      <c r="F261" s="479"/>
      <c r="G261" s="479"/>
      <c r="H261" s="479"/>
      <c r="I261" s="479"/>
      <c r="J261" s="479"/>
      <c r="K261" s="479"/>
      <c r="L261" s="479"/>
      <c r="M261" s="479"/>
      <c r="N261" s="479"/>
      <c r="O261" s="479"/>
      <c r="P261" s="479"/>
      <c r="Q261" s="479"/>
      <c r="R261" s="479"/>
      <c r="S261" s="479"/>
      <c r="T261" s="479"/>
    </row>
    <row r="262" ht="14.25" hidden="1" customHeight="1">
      <c r="A262" s="485" t="s">
        <v>762</v>
      </c>
      <c r="B262" s="338" t="s">
        <v>1076</v>
      </c>
      <c r="C262" s="486" t="s">
        <v>1077</v>
      </c>
      <c r="D262" s="487">
        <v>1.4</v>
      </c>
      <c r="E262" s="487">
        <v>21108.0</v>
      </c>
      <c r="F262" s="479"/>
      <c r="G262" s="479"/>
      <c r="H262" s="479"/>
      <c r="I262" s="479"/>
      <c r="J262" s="479"/>
      <c r="K262" s="479"/>
      <c r="L262" s="479"/>
      <c r="M262" s="479"/>
      <c r="N262" s="479"/>
      <c r="O262" s="479"/>
      <c r="P262" s="479"/>
      <c r="Q262" s="479"/>
      <c r="R262" s="479"/>
      <c r="S262" s="479"/>
      <c r="T262" s="479"/>
    </row>
    <row r="263" ht="14.25" hidden="1" customHeight="1">
      <c r="A263" s="485" t="s">
        <v>762</v>
      </c>
      <c r="B263" s="338" t="s">
        <v>1078</v>
      </c>
      <c r="C263" s="486" t="s">
        <v>1079</v>
      </c>
      <c r="D263" s="487">
        <v>1.0</v>
      </c>
      <c r="E263" s="487">
        <v>15000.0</v>
      </c>
      <c r="F263" s="479"/>
      <c r="G263" s="479"/>
      <c r="H263" s="479"/>
      <c r="I263" s="479"/>
      <c r="J263" s="479"/>
      <c r="K263" s="479"/>
      <c r="L263" s="479"/>
      <c r="M263" s="479"/>
      <c r="N263" s="479"/>
      <c r="O263" s="479"/>
      <c r="P263" s="479"/>
      <c r="Q263" s="479"/>
      <c r="R263" s="479"/>
      <c r="S263" s="479"/>
      <c r="T263" s="479"/>
    </row>
    <row r="264" ht="14.25" hidden="1" customHeight="1">
      <c r="A264" s="485" t="s">
        <v>762</v>
      </c>
      <c r="B264" s="338" t="s">
        <v>1080</v>
      </c>
      <c r="C264" s="486" t="s">
        <v>1081</v>
      </c>
      <c r="D264" s="487">
        <v>1.0</v>
      </c>
      <c r="E264" s="487">
        <v>15108.0</v>
      </c>
      <c r="F264" s="479"/>
      <c r="G264" s="479"/>
      <c r="H264" s="479"/>
      <c r="I264" s="479"/>
      <c r="J264" s="479"/>
      <c r="K264" s="479"/>
      <c r="L264" s="479"/>
      <c r="M264" s="479"/>
      <c r="N264" s="479"/>
      <c r="O264" s="479"/>
      <c r="P264" s="479"/>
      <c r="Q264" s="479"/>
      <c r="R264" s="479"/>
      <c r="S264" s="479"/>
      <c r="T264" s="479"/>
    </row>
    <row r="265" ht="14.25" hidden="1" customHeight="1">
      <c r="A265" s="485" t="s">
        <v>762</v>
      </c>
      <c r="B265" s="338" t="s">
        <v>1082</v>
      </c>
      <c r="C265" s="486" t="s">
        <v>1083</v>
      </c>
      <c r="D265" s="487">
        <v>1.1</v>
      </c>
      <c r="E265" s="487">
        <v>17000.0</v>
      </c>
      <c r="F265" s="479"/>
      <c r="G265" s="479"/>
      <c r="H265" s="479"/>
      <c r="I265" s="479"/>
      <c r="J265" s="479"/>
      <c r="K265" s="479"/>
      <c r="L265" s="479"/>
      <c r="M265" s="479"/>
      <c r="N265" s="479"/>
      <c r="O265" s="479"/>
      <c r="P265" s="479"/>
      <c r="Q265" s="479"/>
      <c r="R265" s="479"/>
      <c r="S265" s="479"/>
      <c r="T265" s="479"/>
    </row>
    <row r="266" ht="14.25" hidden="1" customHeight="1">
      <c r="A266" s="485" t="s">
        <v>762</v>
      </c>
      <c r="B266" s="338" t="s">
        <v>770</v>
      </c>
      <c r="C266" s="486" t="s">
        <v>1084</v>
      </c>
      <c r="D266" s="487">
        <v>1.7</v>
      </c>
      <c r="E266" s="487">
        <v>25608.0</v>
      </c>
      <c r="F266" s="479"/>
      <c r="G266" s="479"/>
      <c r="H266" s="479"/>
      <c r="I266" s="479"/>
      <c r="J266" s="479"/>
      <c r="K266" s="479"/>
      <c r="L266" s="479"/>
      <c r="M266" s="479"/>
      <c r="N266" s="479"/>
      <c r="O266" s="479"/>
      <c r="P266" s="479"/>
      <c r="Q266" s="479"/>
      <c r="R266" s="479"/>
      <c r="S266" s="479"/>
      <c r="T266" s="479"/>
    </row>
    <row r="267" ht="14.25" hidden="1" customHeight="1">
      <c r="A267" s="485" t="s">
        <v>762</v>
      </c>
      <c r="B267" s="338" t="s">
        <v>1085</v>
      </c>
      <c r="C267" s="486" t="s">
        <v>1086</v>
      </c>
      <c r="D267" s="487">
        <v>1.0</v>
      </c>
      <c r="E267" s="487">
        <v>15000.0</v>
      </c>
      <c r="F267" s="479"/>
      <c r="G267" s="479"/>
      <c r="H267" s="479"/>
      <c r="I267" s="479"/>
      <c r="J267" s="479"/>
      <c r="K267" s="479"/>
      <c r="L267" s="479"/>
      <c r="M267" s="479"/>
      <c r="N267" s="479"/>
      <c r="O267" s="479"/>
      <c r="P267" s="479"/>
      <c r="Q267" s="479"/>
      <c r="R267" s="479"/>
      <c r="S267" s="479"/>
      <c r="T267" s="479"/>
    </row>
    <row r="268" ht="14.25" hidden="1" customHeight="1">
      <c r="A268" s="485" t="s">
        <v>762</v>
      </c>
      <c r="B268" s="338" t="s">
        <v>1087</v>
      </c>
      <c r="C268" s="486" t="s">
        <v>1088</v>
      </c>
      <c r="D268" s="487">
        <v>1.9</v>
      </c>
      <c r="E268" s="487">
        <v>30220.0</v>
      </c>
      <c r="F268" s="479"/>
      <c r="G268" s="479"/>
      <c r="H268" s="479"/>
      <c r="I268" s="479"/>
      <c r="J268" s="479"/>
      <c r="K268" s="479"/>
      <c r="L268" s="479"/>
      <c r="M268" s="479"/>
      <c r="N268" s="479"/>
      <c r="O268" s="479"/>
      <c r="P268" s="479"/>
      <c r="Q268" s="479"/>
      <c r="R268" s="479"/>
      <c r="S268" s="479"/>
      <c r="T268" s="479"/>
    </row>
    <row r="269" ht="14.25" hidden="1" customHeight="1">
      <c r="A269" s="485" t="s">
        <v>762</v>
      </c>
      <c r="B269" s="338" t="s">
        <v>1089</v>
      </c>
      <c r="C269" s="486" t="s">
        <v>1090</v>
      </c>
      <c r="D269" s="487">
        <v>1.1</v>
      </c>
      <c r="E269" s="487">
        <v>16500.0</v>
      </c>
      <c r="F269" s="479"/>
      <c r="G269" s="479"/>
      <c r="H269" s="479"/>
      <c r="I269" s="479"/>
      <c r="J269" s="479"/>
      <c r="K269" s="479"/>
      <c r="L269" s="479"/>
      <c r="M269" s="479"/>
      <c r="N269" s="479"/>
      <c r="O269" s="479"/>
      <c r="P269" s="479"/>
      <c r="Q269" s="479"/>
      <c r="R269" s="479"/>
      <c r="S269" s="479"/>
      <c r="T269" s="479"/>
    </row>
    <row r="270" ht="14.25" hidden="1" customHeight="1">
      <c r="A270" s="485" t="s">
        <v>762</v>
      </c>
      <c r="B270" s="338" t="s">
        <v>1091</v>
      </c>
      <c r="C270" s="486" t="s">
        <v>1092</v>
      </c>
      <c r="D270" s="487">
        <v>1.39</v>
      </c>
      <c r="E270" s="487">
        <v>20850.0</v>
      </c>
      <c r="F270" s="479"/>
      <c r="G270" s="479"/>
      <c r="H270" s="479"/>
      <c r="I270" s="479"/>
      <c r="J270" s="479"/>
      <c r="K270" s="479"/>
      <c r="L270" s="479"/>
      <c r="M270" s="479"/>
      <c r="N270" s="479"/>
      <c r="O270" s="479"/>
      <c r="P270" s="479"/>
      <c r="Q270" s="479"/>
      <c r="R270" s="479"/>
      <c r="S270" s="479"/>
      <c r="T270" s="479"/>
    </row>
    <row r="271" ht="14.25" hidden="1" customHeight="1">
      <c r="A271" s="485" t="s">
        <v>770</v>
      </c>
      <c r="B271" s="338" t="s">
        <v>802</v>
      </c>
      <c r="C271" s="486" t="s">
        <v>1093</v>
      </c>
      <c r="D271" s="487">
        <v>2.2</v>
      </c>
      <c r="E271" s="487">
        <v>33000.0</v>
      </c>
      <c r="F271" s="479"/>
      <c r="G271" s="479"/>
      <c r="H271" s="479"/>
      <c r="I271" s="479"/>
      <c r="J271" s="479"/>
      <c r="K271" s="479"/>
      <c r="L271" s="479"/>
      <c r="M271" s="479"/>
      <c r="N271" s="479"/>
      <c r="O271" s="479"/>
      <c r="P271" s="479"/>
      <c r="Q271" s="479"/>
      <c r="R271" s="479"/>
      <c r="S271" s="479"/>
      <c r="T271" s="479"/>
    </row>
    <row r="272" ht="14.25" hidden="1" customHeight="1">
      <c r="A272" s="485" t="s">
        <v>770</v>
      </c>
      <c r="B272" s="338" t="s">
        <v>727</v>
      </c>
      <c r="C272" s="486" t="s">
        <v>1094</v>
      </c>
      <c r="D272" s="487">
        <v>1.0</v>
      </c>
      <c r="E272" s="487">
        <v>44350.41444</v>
      </c>
      <c r="F272" s="479"/>
      <c r="G272" s="479"/>
      <c r="H272" s="479"/>
      <c r="I272" s="479"/>
      <c r="J272" s="479"/>
      <c r="K272" s="479"/>
      <c r="L272" s="479"/>
      <c r="M272" s="479"/>
      <c r="N272" s="479"/>
      <c r="O272" s="479"/>
      <c r="P272" s="479"/>
      <c r="Q272" s="479"/>
      <c r="R272" s="479"/>
      <c r="S272" s="479"/>
      <c r="T272" s="479"/>
    </row>
    <row r="273" ht="14.25" hidden="1" customHeight="1">
      <c r="A273" s="485" t="s">
        <v>610</v>
      </c>
      <c r="B273" s="338" t="s">
        <v>689</v>
      </c>
      <c r="C273" s="486" t="s">
        <v>1095</v>
      </c>
      <c r="D273" s="487">
        <v>1.0</v>
      </c>
      <c r="E273" s="487">
        <v>15000.0</v>
      </c>
      <c r="F273" s="479"/>
      <c r="G273" s="479"/>
      <c r="H273" s="479"/>
      <c r="I273" s="479"/>
      <c r="J273" s="479"/>
      <c r="K273" s="479"/>
      <c r="L273" s="479"/>
      <c r="M273" s="479"/>
      <c r="N273" s="479"/>
      <c r="O273" s="479"/>
      <c r="P273" s="479"/>
      <c r="Q273" s="479"/>
      <c r="R273" s="479"/>
      <c r="S273" s="479"/>
      <c r="T273" s="479"/>
    </row>
    <row r="274" ht="14.25" hidden="1" customHeight="1">
      <c r="A274" s="485" t="s">
        <v>762</v>
      </c>
      <c r="B274" s="338" t="s">
        <v>1096</v>
      </c>
      <c r="C274" s="486" t="s">
        <v>1097</v>
      </c>
      <c r="D274" s="487">
        <v>1.52</v>
      </c>
      <c r="E274" s="487">
        <v>22800.0</v>
      </c>
      <c r="F274" s="479"/>
      <c r="G274" s="479"/>
      <c r="H274" s="479"/>
      <c r="I274" s="479"/>
      <c r="J274" s="479"/>
      <c r="K274" s="479"/>
      <c r="L274" s="479"/>
      <c r="M274" s="479"/>
      <c r="N274" s="479"/>
      <c r="O274" s="479"/>
      <c r="P274" s="479"/>
      <c r="Q274" s="479"/>
      <c r="R274" s="479"/>
      <c r="S274" s="479"/>
      <c r="T274" s="479"/>
    </row>
    <row r="275" ht="14.25" hidden="1" customHeight="1">
      <c r="A275" s="485" t="s">
        <v>962</v>
      </c>
      <c r="B275" s="338" t="s">
        <v>715</v>
      </c>
      <c r="C275" s="486" t="s">
        <v>1098</v>
      </c>
      <c r="D275" s="487">
        <v>1.0</v>
      </c>
      <c r="E275" s="487">
        <v>15000.0</v>
      </c>
      <c r="F275" s="479"/>
      <c r="G275" s="479"/>
      <c r="H275" s="479"/>
      <c r="I275" s="479"/>
      <c r="J275" s="479"/>
      <c r="K275" s="479"/>
      <c r="L275" s="479"/>
      <c r="M275" s="479"/>
      <c r="N275" s="479"/>
      <c r="O275" s="479"/>
      <c r="P275" s="479"/>
      <c r="Q275" s="479"/>
      <c r="R275" s="479"/>
      <c r="S275" s="479"/>
      <c r="T275" s="479"/>
    </row>
    <row r="276" ht="14.25" hidden="1" customHeight="1">
      <c r="A276" s="485" t="s">
        <v>962</v>
      </c>
      <c r="B276" s="338" t="s">
        <v>715</v>
      </c>
      <c r="C276" s="486" t="s">
        <v>1099</v>
      </c>
      <c r="D276" s="487">
        <v>1.0</v>
      </c>
      <c r="E276" s="487">
        <v>15000.0</v>
      </c>
      <c r="F276" s="479"/>
      <c r="G276" s="479"/>
      <c r="H276" s="479"/>
      <c r="I276" s="479"/>
      <c r="J276" s="479"/>
      <c r="K276" s="479"/>
      <c r="L276" s="479"/>
      <c r="M276" s="479"/>
      <c r="N276" s="479"/>
      <c r="O276" s="479"/>
      <c r="P276" s="479"/>
      <c r="Q276" s="479"/>
      <c r="R276" s="479"/>
      <c r="S276" s="479"/>
      <c r="T276" s="479"/>
    </row>
    <row r="277" ht="14.25" hidden="1" customHeight="1">
      <c r="A277" s="485" t="s">
        <v>962</v>
      </c>
      <c r="B277" s="338" t="s">
        <v>1100</v>
      </c>
      <c r="C277" s="486" t="s">
        <v>1101</v>
      </c>
      <c r="D277" s="487">
        <v>1.85</v>
      </c>
      <c r="E277" s="487">
        <v>27750.0</v>
      </c>
      <c r="F277" s="479"/>
      <c r="G277" s="479"/>
      <c r="H277" s="479"/>
      <c r="I277" s="479"/>
      <c r="J277" s="479"/>
      <c r="K277" s="479"/>
      <c r="L277" s="479"/>
      <c r="M277" s="479"/>
      <c r="N277" s="479"/>
      <c r="O277" s="479"/>
      <c r="P277" s="479"/>
      <c r="Q277" s="479"/>
      <c r="R277" s="479"/>
      <c r="S277" s="479"/>
      <c r="T277" s="479"/>
    </row>
    <row r="278" ht="14.25" hidden="1" customHeight="1">
      <c r="A278" s="485" t="s">
        <v>962</v>
      </c>
      <c r="B278" s="338" t="s">
        <v>715</v>
      </c>
      <c r="C278" s="486" t="s">
        <v>1102</v>
      </c>
      <c r="D278" s="487">
        <v>1.0</v>
      </c>
      <c r="E278" s="487">
        <v>15000.0</v>
      </c>
      <c r="F278" s="479"/>
      <c r="G278" s="479"/>
      <c r="H278" s="479"/>
      <c r="I278" s="479"/>
      <c r="J278" s="479"/>
      <c r="K278" s="479"/>
      <c r="L278" s="479"/>
      <c r="M278" s="479"/>
      <c r="N278" s="479"/>
      <c r="O278" s="479"/>
      <c r="P278" s="479"/>
      <c r="Q278" s="479"/>
      <c r="R278" s="479"/>
      <c r="S278" s="479"/>
      <c r="T278" s="479"/>
    </row>
    <row r="279" ht="14.25" hidden="1" customHeight="1">
      <c r="A279" s="485" t="s">
        <v>962</v>
      </c>
      <c r="B279" s="338" t="s">
        <v>719</v>
      </c>
      <c r="C279" s="486" t="s">
        <v>1103</v>
      </c>
      <c r="D279" s="487">
        <v>1.0</v>
      </c>
      <c r="E279" s="487">
        <v>15000.0</v>
      </c>
      <c r="F279" s="479"/>
      <c r="G279" s="479"/>
      <c r="H279" s="479"/>
      <c r="I279" s="479"/>
      <c r="J279" s="479"/>
      <c r="K279" s="479"/>
      <c r="L279" s="479"/>
      <c r="M279" s="479"/>
      <c r="N279" s="479"/>
      <c r="O279" s="479"/>
      <c r="P279" s="479"/>
      <c r="Q279" s="479"/>
      <c r="R279" s="479"/>
      <c r="S279" s="479"/>
      <c r="T279" s="479"/>
    </row>
    <row r="280" ht="14.25" hidden="1" customHeight="1">
      <c r="A280" s="485" t="s">
        <v>962</v>
      </c>
      <c r="B280" s="338" t="s">
        <v>719</v>
      </c>
      <c r="C280" s="486" t="s">
        <v>1104</v>
      </c>
      <c r="D280" s="487">
        <v>1.0</v>
      </c>
      <c r="E280" s="487">
        <v>15000.0</v>
      </c>
      <c r="F280" s="479"/>
      <c r="G280" s="479"/>
      <c r="H280" s="479"/>
      <c r="I280" s="479"/>
      <c r="J280" s="479"/>
      <c r="K280" s="479"/>
      <c r="L280" s="479"/>
      <c r="M280" s="479"/>
      <c r="N280" s="479"/>
      <c r="O280" s="479"/>
      <c r="P280" s="479"/>
      <c r="Q280" s="479"/>
      <c r="R280" s="479"/>
      <c r="S280" s="479"/>
      <c r="T280" s="479"/>
    </row>
    <row r="281" ht="14.25" hidden="1" customHeight="1">
      <c r="A281" s="485" t="s">
        <v>962</v>
      </c>
      <c r="B281" s="338" t="s">
        <v>1105</v>
      </c>
      <c r="C281" s="486" t="s">
        <v>1106</v>
      </c>
      <c r="D281" s="487">
        <v>1.0</v>
      </c>
      <c r="E281" s="487">
        <v>15000.0</v>
      </c>
      <c r="F281" s="479"/>
      <c r="G281" s="479"/>
      <c r="H281" s="479"/>
      <c r="I281" s="479"/>
      <c r="J281" s="479"/>
      <c r="K281" s="479"/>
      <c r="L281" s="479"/>
      <c r="M281" s="479"/>
      <c r="N281" s="479"/>
      <c r="O281" s="479"/>
      <c r="P281" s="479"/>
      <c r="Q281" s="479"/>
      <c r="R281" s="479"/>
      <c r="S281" s="479"/>
      <c r="T281" s="479"/>
    </row>
    <row r="282" ht="14.25" hidden="1" customHeight="1">
      <c r="A282" s="485" t="s">
        <v>762</v>
      </c>
      <c r="B282" s="338" t="s">
        <v>999</v>
      </c>
      <c r="C282" s="486" t="s">
        <v>1107</v>
      </c>
      <c r="D282" s="487">
        <v>1.6</v>
      </c>
      <c r="E282" s="487">
        <v>15000.0</v>
      </c>
      <c r="F282" s="479"/>
      <c r="G282" s="479"/>
      <c r="H282" s="479"/>
      <c r="I282" s="479"/>
      <c r="J282" s="479"/>
      <c r="K282" s="479"/>
      <c r="L282" s="479"/>
      <c r="M282" s="479"/>
      <c r="N282" s="479"/>
      <c r="O282" s="479"/>
      <c r="P282" s="479"/>
      <c r="Q282" s="479"/>
      <c r="R282" s="479"/>
      <c r="S282" s="479"/>
      <c r="T282" s="479"/>
    </row>
    <row r="283" ht="14.25" hidden="1" customHeight="1">
      <c r="A283" s="485" t="s">
        <v>762</v>
      </c>
      <c r="B283" s="338" t="s">
        <v>860</v>
      </c>
      <c r="C283" s="486" t="s">
        <v>1108</v>
      </c>
      <c r="D283" s="487">
        <v>2.0</v>
      </c>
      <c r="E283" s="487">
        <v>30000.0</v>
      </c>
      <c r="F283" s="479"/>
      <c r="G283" s="479"/>
      <c r="H283" s="479"/>
      <c r="I283" s="479"/>
      <c r="J283" s="479"/>
      <c r="K283" s="479"/>
      <c r="L283" s="479"/>
      <c r="M283" s="479"/>
      <c r="N283" s="479"/>
      <c r="O283" s="479"/>
      <c r="P283" s="479"/>
      <c r="Q283" s="479"/>
      <c r="R283" s="479"/>
      <c r="S283" s="479"/>
      <c r="T283" s="479"/>
    </row>
    <row r="284" ht="14.25" hidden="1" customHeight="1">
      <c r="A284" s="485" t="s">
        <v>762</v>
      </c>
      <c r="B284" s="338" t="s">
        <v>908</v>
      </c>
      <c r="C284" s="486" t="s">
        <v>1109</v>
      </c>
      <c r="D284" s="487">
        <v>1.96</v>
      </c>
      <c r="E284" s="487">
        <v>37500.0</v>
      </c>
      <c r="F284" s="479"/>
      <c r="G284" s="479"/>
      <c r="H284" s="479"/>
      <c r="I284" s="479"/>
      <c r="J284" s="479"/>
      <c r="K284" s="479"/>
      <c r="L284" s="479"/>
      <c r="M284" s="479"/>
      <c r="N284" s="479"/>
      <c r="O284" s="479"/>
      <c r="P284" s="479"/>
      <c r="Q284" s="479"/>
      <c r="R284" s="479"/>
      <c r="S284" s="479"/>
      <c r="T284" s="479"/>
    </row>
    <row r="285" ht="14.25" hidden="1" customHeight="1">
      <c r="A285" s="485" t="s">
        <v>131</v>
      </c>
      <c r="B285" s="338" t="s">
        <v>733</v>
      </c>
      <c r="C285" s="486" t="s">
        <v>1110</v>
      </c>
      <c r="D285" s="487">
        <v>0.78</v>
      </c>
      <c r="E285" s="487">
        <v>15000.0</v>
      </c>
      <c r="F285" s="479"/>
      <c r="G285" s="479"/>
      <c r="H285" s="479"/>
      <c r="I285" s="479"/>
      <c r="J285" s="479"/>
      <c r="K285" s="479"/>
      <c r="L285" s="479"/>
      <c r="M285" s="479"/>
      <c r="N285" s="479"/>
      <c r="O285" s="479"/>
      <c r="P285" s="479"/>
      <c r="Q285" s="479"/>
      <c r="R285" s="479"/>
      <c r="S285" s="479"/>
      <c r="T285" s="479"/>
    </row>
    <row r="286" ht="14.25" hidden="1" customHeight="1">
      <c r="A286" s="467" t="s">
        <v>694</v>
      </c>
      <c r="B286" s="17"/>
      <c r="C286" s="18"/>
      <c r="D286" s="468">
        <f t="shared" ref="D286:E286" si="7">SUM(D94,D128,D159,D173,D190,D195,D228,D245,D246,D247)</f>
        <v>10</v>
      </c>
      <c r="E286" s="488">
        <f t="shared" si="7"/>
        <v>150000</v>
      </c>
      <c r="F286" s="479"/>
      <c r="G286" s="479"/>
      <c r="H286" s="479"/>
      <c r="I286" s="479"/>
      <c r="J286" s="479"/>
      <c r="K286" s="479"/>
      <c r="L286" s="479"/>
      <c r="M286" s="479"/>
      <c r="N286" s="479"/>
      <c r="O286" s="479"/>
      <c r="P286" s="479"/>
      <c r="Q286" s="479"/>
      <c r="R286" s="479"/>
      <c r="S286" s="479"/>
      <c r="T286" s="479"/>
    </row>
    <row r="287" ht="14.25" hidden="1" customHeight="1">
      <c r="A287" s="467" t="s">
        <v>71</v>
      </c>
      <c r="B287" s="17"/>
      <c r="C287" s="18"/>
      <c r="D287" s="468">
        <f>D286+D82</f>
        <v>18</v>
      </c>
      <c r="E287" s="469">
        <f>E82+E286</f>
        <v>270000</v>
      </c>
      <c r="F287" s="428"/>
      <c r="G287" s="307"/>
      <c r="H287" s="307"/>
      <c r="I287" s="307"/>
      <c r="J287" s="428"/>
      <c r="K287" s="428"/>
      <c r="L287" s="307"/>
      <c r="M287" s="307"/>
      <c r="N287" s="307"/>
      <c r="O287" s="307"/>
      <c r="P287" s="307"/>
      <c r="Q287" s="307"/>
      <c r="R287" s="307"/>
      <c r="S287" s="307"/>
      <c r="T287" s="307"/>
    </row>
    <row r="288" ht="14.25" hidden="1" customHeight="1">
      <c r="A288" s="489" t="s">
        <v>614</v>
      </c>
      <c r="B288" s="17"/>
      <c r="C288" s="17"/>
      <c r="D288" s="17"/>
      <c r="E288" s="18"/>
      <c r="F288" s="490"/>
      <c r="G288" s="73"/>
      <c r="H288" s="73"/>
      <c r="I288" s="479"/>
      <c r="J288" s="479"/>
      <c r="K288" s="479"/>
      <c r="L288" s="479"/>
      <c r="M288" s="479"/>
      <c r="N288" s="72"/>
      <c r="O288" s="73"/>
      <c r="P288" s="72"/>
      <c r="Q288" s="73"/>
      <c r="R288" s="73"/>
      <c r="S288" s="73"/>
      <c r="T288" s="73"/>
    </row>
    <row r="289" ht="14.25" hidden="1" customHeight="1">
      <c r="A289" s="491"/>
      <c r="B289" s="492"/>
      <c r="C289" s="491"/>
      <c r="D289" s="491"/>
      <c r="E289" s="491"/>
      <c r="F289" s="490"/>
      <c r="G289" s="73"/>
      <c r="H289" s="73"/>
      <c r="I289" s="479"/>
      <c r="J289" s="479"/>
      <c r="K289" s="479"/>
      <c r="L289" s="479"/>
      <c r="M289" s="479"/>
      <c r="N289" s="72"/>
      <c r="O289" s="73"/>
      <c r="P289" s="72"/>
      <c r="Q289" s="73"/>
      <c r="R289" s="73"/>
      <c r="S289" s="73"/>
      <c r="T289" s="73"/>
    </row>
    <row r="290" ht="14.25" hidden="1" customHeight="1">
      <c r="A290" s="491"/>
      <c r="B290" s="492"/>
      <c r="C290" s="491"/>
      <c r="D290" s="491"/>
      <c r="E290" s="491"/>
      <c r="F290" s="490"/>
      <c r="G290" s="73"/>
      <c r="H290" s="73"/>
      <c r="I290" s="479"/>
      <c r="J290" s="479"/>
      <c r="K290" s="479"/>
      <c r="L290" s="479"/>
      <c r="M290" s="479"/>
      <c r="N290" s="72"/>
      <c r="O290" s="73"/>
      <c r="P290" s="72"/>
      <c r="Q290" s="73"/>
      <c r="R290" s="73"/>
      <c r="S290" s="73"/>
      <c r="T290" s="73"/>
    </row>
    <row r="291" ht="14.25" hidden="1" customHeight="1">
      <c r="A291" s="491"/>
      <c r="B291" s="492"/>
      <c r="C291" s="491"/>
      <c r="D291" s="491"/>
      <c r="E291" s="491"/>
      <c r="F291" s="490"/>
      <c r="G291" s="73"/>
      <c r="H291" s="73"/>
      <c r="I291" s="479"/>
      <c r="J291" s="479"/>
      <c r="K291" s="479"/>
      <c r="L291" s="479"/>
      <c r="M291" s="479"/>
      <c r="N291" s="72"/>
      <c r="O291" s="73"/>
      <c r="P291" s="72"/>
      <c r="Q291" s="73"/>
      <c r="R291" s="73"/>
      <c r="S291" s="73"/>
      <c r="T291" s="73"/>
    </row>
    <row r="292" ht="14.25" hidden="1" customHeight="1">
      <c r="A292" s="491"/>
      <c r="B292" s="492"/>
      <c r="C292" s="491"/>
      <c r="D292" s="491"/>
      <c r="E292" s="491"/>
      <c r="F292" s="490"/>
      <c r="G292" s="73"/>
      <c r="H292" s="73"/>
      <c r="I292" s="479"/>
      <c r="J292" s="479"/>
      <c r="K292" s="479"/>
      <c r="L292" s="479"/>
      <c r="M292" s="479"/>
      <c r="N292" s="72"/>
      <c r="O292" s="73"/>
      <c r="P292" s="72"/>
      <c r="Q292" s="73"/>
      <c r="R292" s="73"/>
      <c r="S292" s="73"/>
      <c r="T292" s="73"/>
    </row>
    <row r="293" ht="14.25" hidden="1" customHeight="1">
      <c r="A293" s="491"/>
      <c r="B293" s="492"/>
      <c r="C293" s="491"/>
      <c r="D293" s="491"/>
      <c r="E293" s="491"/>
      <c r="F293" s="490"/>
      <c r="G293" s="73"/>
      <c r="H293" s="73"/>
      <c r="I293" s="479"/>
      <c r="J293" s="479"/>
      <c r="K293" s="479"/>
      <c r="L293" s="479"/>
      <c r="M293" s="479"/>
      <c r="N293" s="72"/>
      <c r="O293" s="73"/>
      <c r="P293" s="72"/>
      <c r="Q293" s="73"/>
      <c r="R293" s="73"/>
      <c r="S293" s="73"/>
      <c r="T293" s="73"/>
    </row>
    <row r="294" ht="14.25" hidden="1" customHeight="1">
      <c r="A294" s="493" t="s">
        <v>694</v>
      </c>
      <c r="B294" s="17"/>
      <c r="C294" s="18"/>
      <c r="D294" s="491"/>
      <c r="E294" s="491"/>
      <c r="F294" s="490"/>
      <c r="G294" s="73"/>
      <c r="H294" s="73"/>
      <c r="I294" s="479"/>
      <c r="J294" s="479"/>
      <c r="K294" s="479"/>
      <c r="L294" s="479"/>
      <c r="M294" s="479"/>
      <c r="N294" s="72"/>
      <c r="O294" s="73"/>
      <c r="P294" s="72"/>
      <c r="Q294" s="73"/>
      <c r="R294" s="73"/>
      <c r="S294" s="73"/>
      <c r="T294" s="73"/>
    </row>
    <row r="295" ht="30.0" customHeight="1">
      <c r="A295" s="489" t="s">
        <v>8</v>
      </c>
      <c r="B295" s="17"/>
      <c r="C295" s="17"/>
      <c r="D295" s="17"/>
      <c r="E295" s="18"/>
      <c r="F295" s="494"/>
      <c r="G295" s="494"/>
      <c r="H295" s="494"/>
      <c r="I295" s="495"/>
      <c r="J295" s="495"/>
      <c r="K295" s="495"/>
      <c r="L295" s="495"/>
      <c r="M295" s="495"/>
      <c r="N295" s="494"/>
      <c r="O295" s="494"/>
      <c r="P295" s="494"/>
      <c r="Q295" s="494"/>
      <c r="R295" s="494"/>
      <c r="S295" s="494"/>
      <c r="T295" s="494"/>
      <c r="U295" s="496"/>
      <c r="V295" s="496"/>
      <c r="W295" s="496"/>
      <c r="X295" s="496"/>
      <c r="Y295" s="496"/>
      <c r="Z295" s="496"/>
      <c r="AA295" s="496"/>
      <c r="AB295" s="496"/>
      <c r="AC295" s="496"/>
      <c r="AD295" s="496"/>
      <c r="AE295" s="496"/>
      <c r="AF295" s="496"/>
      <c r="AG295" s="496"/>
      <c r="AH295" s="496"/>
      <c r="AI295" s="496"/>
    </row>
    <row r="296" ht="49.5" customHeight="1">
      <c r="A296" s="497" t="s">
        <v>610</v>
      </c>
      <c r="B296" s="497" t="s">
        <v>689</v>
      </c>
      <c r="C296" s="498" t="s">
        <v>1111</v>
      </c>
      <c r="D296" s="499">
        <v>1.0</v>
      </c>
      <c r="E296" s="500">
        <v>15000.0</v>
      </c>
      <c r="F296" s="501"/>
      <c r="G296" s="501"/>
      <c r="H296" s="501"/>
      <c r="I296" s="307"/>
      <c r="J296" s="307"/>
      <c r="K296" s="307"/>
      <c r="L296" s="307"/>
      <c r="M296" s="307"/>
      <c r="N296" s="501"/>
      <c r="O296" s="501"/>
      <c r="P296" s="501"/>
      <c r="Q296" s="501"/>
      <c r="R296" s="501"/>
      <c r="S296" s="501"/>
      <c r="T296" s="501"/>
    </row>
    <row r="297" ht="49.5" customHeight="1">
      <c r="A297" s="497" t="s">
        <v>610</v>
      </c>
      <c r="B297" s="497" t="s">
        <v>1112</v>
      </c>
      <c r="C297" s="498" t="s">
        <v>1113</v>
      </c>
      <c r="D297" s="499">
        <v>3.333</v>
      </c>
      <c r="E297" s="500">
        <v>50000.0</v>
      </c>
      <c r="F297" s="501"/>
      <c r="G297" s="501"/>
      <c r="H297" s="501"/>
      <c r="I297" s="307"/>
      <c r="J297" s="307"/>
      <c r="K297" s="307"/>
      <c r="L297" s="307"/>
      <c r="M297" s="307"/>
      <c r="N297" s="501"/>
      <c r="O297" s="501"/>
      <c r="P297" s="501"/>
      <c r="Q297" s="501"/>
      <c r="R297" s="501"/>
      <c r="S297" s="501"/>
      <c r="T297" s="501"/>
    </row>
    <row r="298" ht="49.5" customHeight="1">
      <c r="A298" s="497" t="s">
        <v>610</v>
      </c>
      <c r="B298" s="497" t="s">
        <v>1030</v>
      </c>
      <c r="C298" s="498" t="s">
        <v>1114</v>
      </c>
      <c r="D298" s="499">
        <v>1.0</v>
      </c>
      <c r="E298" s="500">
        <v>15000.0</v>
      </c>
      <c r="F298" s="501"/>
      <c r="G298" s="501"/>
      <c r="H298" s="501"/>
      <c r="I298" s="307"/>
      <c r="J298" s="307"/>
      <c r="K298" s="307"/>
      <c r="L298" s="307"/>
      <c r="M298" s="307"/>
      <c r="N298" s="501"/>
      <c r="O298" s="501"/>
      <c r="P298" s="501"/>
      <c r="Q298" s="501"/>
      <c r="R298" s="501"/>
      <c r="S298" s="501"/>
      <c r="T298" s="501"/>
    </row>
    <row r="299" ht="49.5" customHeight="1">
      <c r="A299" s="497" t="s">
        <v>610</v>
      </c>
      <c r="B299" s="497" t="s">
        <v>1115</v>
      </c>
      <c r="C299" s="498" t="s">
        <v>1116</v>
      </c>
      <c r="D299" s="499">
        <v>1.0</v>
      </c>
      <c r="E299" s="500">
        <v>15000.0</v>
      </c>
      <c r="F299" s="501"/>
      <c r="G299" s="501"/>
      <c r="H299" s="501"/>
      <c r="I299" s="307"/>
      <c r="J299" s="307"/>
      <c r="K299" s="307"/>
      <c r="L299" s="307"/>
      <c r="M299" s="307"/>
      <c r="N299" s="501"/>
      <c r="O299" s="501"/>
      <c r="P299" s="501"/>
      <c r="Q299" s="501"/>
      <c r="R299" s="501"/>
      <c r="S299" s="501"/>
      <c r="T299" s="501"/>
    </row>
    <row r="300" ht="49.5" customHeight="1">
      <c r="A300" s="497" t="s">
        <v>610</v>
      </c>
      <c r="B300" s="497" t="s">
        <v>1040</v>
      </c>
      <c r="C300" s="498" t="s">
        <v>1117</v>
      </c>
      <c r="D300" s="499">
        <v>1.0</v>
      </c>
      <c r="E300" s="500">
        <v>15000.0</v>
      </c>
      <c r="F300" s="501"/>
      <c r="G300" s="501"/>
      <c r="H300" s="501"/>
      <c r="I300" s="307"/>
      <c r="J300" s="307"/>
      <c r="K300" s="307"/>
      <c r="L300" s="307"/>
      <c r="M300" s="307"/>
      <c r="N300" s="501"/>
      <c r="O300" s="501"/>
      <c r="P300" s="501"/>
      <c r="Q300" s="501"/>
      <c r="R300" s="501"/>
      <c r="S300" s="501"/>
      <c r="T300" s="501"/>
    </row>
    <row r="301" ht="49.5" customHeight="1">
      <c r="A301" s="497" t="s">
        <v>610</v>
      </c>
      <c r="B301" s="497" t="s">
        <v>1025</v>
      </c>
      <c r="C301" s="498" t="s">
        <v>1118</v>
      </c>
      <c r="D301" s="499">
        <v>1.333</v>
      </c>
      <c r="E301" s="500">
        <v>20000.0</v>
      </c>
      <c r="F301" s="501"/>
      <c r="G301" s="501"/>
      <c r="H301" s="501"/>
      <c r="I301" s="307"/>
      <c r="J301" s="307"/>
      <c r="K301" s="307"/>
      <c r="L301" s="307"/>
      <c r="M301" s="307"/>
      <c r="N301" s="501"/>
      <c r="O301" s="501"/>
      <c r="P301" s="501"/>
      <c r="Q301" s="501"/>
      <c r="R301" s="501"/>
      <c r="S301" s="501"/>
      <c r="T301" s="501"/>
    </row>
    <row r="302" ht="49.5" customHeight="1">
      <c r="A302" s="497" t="s">
        <v>610</v>
      </c>
      <c r="B302" s="497" t="s">
        <v>1119</v>
      </c>
      <c r="C302" s="498" t="s">
        <v>1120</v>
      </c>
      <c r="D302" s="499">
        <v>1.667</v>
      </c>
      <c r="E302" s="500">
        <v>25000.0</v>
      </c>
      <c r="F302" s="501"/>
      <c r="G302" s="501"/>
      <c r="H302" s="501"/>
      <c r="I302" s="307"/>
      <c r="J302" s="307"/>
      <c r="K302" s="307"/>
      <c r="L302" s="307"/>
      <c r="M302" s="307"/>
      <c r="N302" s="501"/>
      <c r="O302" s="501"/>
      <c r="P302" s="501"/>
      <c r="Q302" s="501"/>
      <c r="R302" s="501"/>
      <c r="S302" s="501"/>
      <c r="T302" s="501"/>
    </row>
    <row r="303" ht="49.5" customHeight="1">
      <c r="A303" s="497" t="s">
        <v>610</v>
      </c>
      <c r="B303" s="497" t="s">
        <v>712</v>
      </c>
      <c r="C303" s="498" t="s">
        <v>1121</v>
      </c>
      <c r="D303" s="499">
        <v>1.667</v>
      </c>
      <c r="E303" s="500">
        <v>25000.0</v>
      </c>
      <c r="F303" s="501"/>
      <c r="G303" s="501"/>
      <c r="H303" s="501"/>
      <c r="I303" s="307"/>
      <c r="J303" s="307"/>
      <c r="K303" s="307"/>
      <c r="L303" s="307"/>
      <c r="M303" s="307"/>
      <c r="N303" s="501"/>
      <c r="O303" s="501"/>
      <c r="P303" s="501"/>
      <c r="Q303" s="501"/>
      <c r="R303" s="501"/>
      <c r="S303" s="501"/>
      <c r="T303" s="501"/>
    </row>
    <row r="304">
      <c r="A304" s="497" t="s">
        <v>610</v>
      </c>
      <c r="B304" s="497" t="s">
        <v>712</v>
      </c>
      <c r="C304" s="498" t="s">
        <v>1122</v>
      </c>
      <c r="D304" s="499">
        <v>1.0</v>
      </c>
      <c r="E304" s="500">
        <v>15000.0</v>
      </c>
      <c r="F304" s="501"/>
      <c r="G304" s="501"/>
      <c r="H304" s="501"/>
      <c r="I304" s="307"/>
      <c r="J304" s="307"/>
      <c r="K304" s="307"/>
      <c r="L304" s="307"/>
      <c r="M304" s="307"/>
      <c r="N304" s="501"/>
      <c r="O304" s="501"/>
      <c r="P304" s="501"/>
      <c r="Q304" s="501"/>
      <c r="R304" s="501"/>
      <c r="S304" s="501"/>
      <c r="T304" s="501"/>
    </row>
    <row r="305" ht="49.5" customHeight="1">
      <c r="A305" s="497" t="s">
        <v>610</v>
      </c>
      <c r="B305" s="497" t="s">
        <v>1123</v>
      </c>
      <c r="C305" s="498" t="s">
        <v>1124</v>
      </c>
      <c r="D305" s="499">
        <v>1.0</v>
      </c>
      <c r="E305" s="500">
        <v>15000.0</v>
      </c>
      <c r="F305" s="501"/>
      <c r="G305" s="501"/>
      <c r="H305" s="501"/>
      <c r="I305" s="307"/>
      <c r="J305" s="307"/>
      <c r="K305" s="307"/>
      <c r="L305" s="307"/>
      <c r="M305" s="307"/>
      <c r="N305" s="501"/>
      <c r="O305" s="501"/>
      <c r="P305" s="501"/>
      <c r="Q305" s="501"/>
      <c r="R305" s="501"/>
      <c r="S305" s="501"/>
      <c r="T305" s="501"/>
    </row>
    <row r="306" ht="49.5" customHeight="1">
      <c r="A306" s="497" t="s">
        <v>610</v>
      </c>
      <c r="B306" s="497" t="s">
        <v>1125</v>
      </c>
      <c r="C306" s="498" t="s">
        <v>1126</v>
      </c>
      <c r="D306" s="499">
        <v>0.667</v>
      </c>
      <c r="E306" s="500">
        <v>10000.0</v>
      </c>
      <c r="F306" s="501"/>
      <c r="G306" s="501"/>
      <c r="H306" s="501"/>
      <c r="I306" s="307"/>
      <c r="J306" s="307"/>
      <c r="K306" s="307"/>
      <c r="L306" s="307"/>
      <c r="M306" s="307"/>
      <c r="N306" s="501"/>
      <c r="O306" s="501"/>
      <c r="P306" s="501"/>
      <c r="Q306" s="501"/>
      <c r="R306" s="501"/>
      <c r="S306" s="501"/>
      <c r="T306" s="501"/>
    </row>
    <row r="307" ht="49.5" customHeight="1">
      <c r="A307" s="497" t="s">
        <v>610</v>
      </c>
      <c r="B307" s="497" t="s">
        <v>1030</v>
      </c>
      <c r="C307" s="498" t="s">
        <v>1127</v>
      </c>
      <c r="D307" s="499">
        <v>1.0</v>
      </c>
      <c r="E307" s="500">
        <v>15000.0</v>
      </c>
      <c r="F307" s="501"/>
      <c r="G307" s="501"/>
      <c r="H307" s="501"/>
      <c r="I307" s="307"/>
      <c r="J307" s="307"/>
      <c r="K307" s="307"/>
      <c r="L307" s="307"/>
      <c r="M307" s="307"/>
      <c r="N307" s="501"/>
      <c r="O307" s="501"/>
      <c r="P307" s="501"/>
      <c r="Q307" s="501"/>
      <c r="R307" s="501"/>
      <c r="S307" s="501"/>
      <c r="T307" s="501"/>
    </row>
    <row r="308" ht="49.5" customHeight="1">
      <c r="A308" s="497" t="s">
        <v>90</v>
      </c>
      <c r="B308" s="497" t="s">
        <v>689</v>
      </c>
      <c r="C308" s="498" t="s">
        <v>1128</v>
      </c>
      <c r="D308" s="499">
        <v>1.0</v>
      </c>
      <c r="E308" s="500">
        <v>15000.0</v>
      </c>
      <c r="F308" s="501"/>
      <c r="G308" s="501"/>
      <c r="H308" s="501"/>
      <c r="I308" s="307"/>
      <c r="J308" s="307"/>
      <c r="K308" s="307"/>
      <c r="L308" s="307"/>
      <c r="M308" s="307"/>
      <c r="N308" s="501"/>
      <c r="O308" s="501"/>
      <c r="P308" s="501"/>
      <c r="Q308" s="501"/>
      <c r="R308" s="501"/>
      <c r="S308" s="501"/>
      <c r="T308" s="501"/>
    </row>
    <row r="309" ht="49.5" customHeight="1">
      <c r="A309" s="497" t="s">
        <v>90</v>
      </c>
      <c r="B309" s="497" t="s">
        <v>1053</v>
      </c>
      <c r="C309" s="498" t="s">
        <v>1129</v>
      </c>
      <c r="D309" s="499">
        <v>1.333</v>
      </c>
      <c r="E309" s="500">
        <v>20000.0</v>
      </c>
      <c r="F309" s="501"/>
      <c r="G309" s="501"/>
      <c r="H309" s="501"/>
      <c r="I309" s="307"/>
      <c r="J309" s="307"/>
      <c r="K309" s="307"/>
      <c r="L309" s="307"/>
      <c r="M309" s="307"/>
      <c r="N309" s="501"/>
      <c r="O309" s="501"/>
      <c r="P309" s="501"/>
      <c r="Q309" s="501"/>
      <c r="R309" s="501"/>
      <c r="S309" s="501"/>
      <c r="T309" s="501"/>
    </row>
    <row r="310" ht="49.5" customHeight="1">
      <c r="A310" s="497" t="s">
        <v>90</v>
      </c>
      <c r="B310" s="497" t="s">
        <v>1130</v>
      </c>
      <c r="C310" s="498" t="s">
        <v>1131</v>
      </c>
      <c r="D310" s="499">
        <v>1.333</v>
      </c>
      <c r="E310" s="500">
        <v>20000.0</v>
      </c>
      <c r="F310" s="501"/>
      <c r="G310" s="501"/>
      <c r="H310" s="501"/>
      <c r="I310" s="307"/>
      <c r="J310" s="307"/>
      <c r="K310" s="307"/>
      <c r="L310" s="307"/>
      <c r="M310" s="307"/>
      <c r="N310" s="501"/>
      <c r="O310" s="501"/>
      <c r="P310" s="501"/>
      <c r="Q310" s="501"/>
      <c r="R310" s="501"/>
      <c r="S310" s="501"/>
      <c r="T310" s="501"/>
    </row>
    <row r="311">
      <c r="A311" s="497" t="s">
        <v>762</v>
      </c>
      <c r="B311" s="497" t="s">
        <v>1132</v>
      </c>
      <c r="C311" s="498" t="s">
        <v>1133</v>
      </c>
      <c r="D311" s="499">
        <v>2.0</v>
      </c>
      <c r="E311" s="500">
        <v>30000.0</v>
      </c>
      <c r="F311" s="501"/>
      <c r="G311" s="501"/>
      <c r="H311" s="501"/>
      <c r="I311" s="307"/>
      <c r="J311" s="307"/>
      <c r="K311" s="307"/>
      <c r="L311" s="307"/>
      <c r="M311" s="307"/>
      <c r="N311" s="501"/>
      <c r="O311" s="501"/>
      <c r="P311" s="501"/>
      <c r="Q311" s="501"/>
      <c r="R311" s="501"/>
      <c r="S311" s="501"/>
      <c r="T311" s="501"/>
    </row>
    <row r="312" ht="49.5" customHeight="1">
      <c r="A312" s="497" t="s">
        <v>762</v>
      </c>
      <c r="B312" s="497" t="s">
        <v>932</v>
      </c>
      <c r="C312" s="498" t="s">
        <v>1134</v>
      </c>
      <c r="D312" s="499">
        <v>1.333</v>
      </c>
      <c r="E312" s="500">
        <v>20000.0</v>
      </c>
      <c r="F312" s="501"/>
      <c r="G312" s="501"/>
      <c r="H312" s="501"/>
      <c r="I312" s="307"/>
      <c r="J312" s="307"/>
      <c r="K312" s="307"/>
      <c r="L312" s="307"/>
      <c r="M312" s="307"/>
      <c r="N312" s="501"/>
      <c r="O312" s="501"/>
      <c r="P312" s="501"/>
      <c r="Q312" s="501"/>
      <c r="R312" s="501"/>
      <c r="S312" s="501"/>
      <c r="T312" s="501"/>
    </row>
    <row r="313">
      <c r="A313" s="497" t="s">
        <v>762</v>
      </c>
      <c r="B313" s="497" t="s">
        <v>1135</v>
      </c>
      <c r="C313" s="498" t="s">
        <v>1136</v>
      </c>
      <c r="D313" s="499">
        <v>1.333</v>
      </c>
      <c r="E313" s="500">
        <v>20000.0</v>
      </c>
      <c r="F313" s="501"/>
      <c r="G313" s="501"/>
      <c r="H313" s="501"/>
      <c r="I313" s="307"/>
      <c r="J313" s="307"/>
      <c r="K313" s="307"/>
      <c r="L313" s="307"/>
      <c r="M313" s="307"/>
      <c r="N313" s="501"/>
      <c r="O313" s="501"/>
      <c r="P313" s="501"/>
      <c r="Q313" s="501"/>
      <c r="R313" s="501"/>
      <c r="S313" s="501"/>
      <c r="T313" s="501"/>
    </row>
    <row r="314" ht="49.5" customHeight="1">
      <c r="A314" s="497" t="s">
        <v>762</v>
      </c>
      <c r="B314" s="497" t="s">
        <v>854</v>
      </c>
      <c r="C314" s="498" t="s">
        <v>1137</v>
      </c>
      <c r="D314" s="499">
        <v>1.333</v>
      </c>
      <c r="E314" s="500">
        <v>20000.0</v>
      </c>
      <c r="F314" s="501"/>
      <c r="G314" s="501"/>
      <c r="H314" s="501"/>
      <c r="I314" s="307"/>
      <c r="J314" s="307"/>
      <c r="K314" s="307"/>
      <c r="L314" s="307"/>
      <c r="M314" s="307"/>
      <c r="N314" s="501"/>
      <c r="O314" s="501"/>
      <c r="P314" s="501"/>
      <c r="Q314" s="501"/>
      <c r="R314" s="501"/>
      <c r="S314" s="501"/>
      <c r="T314" s="501"/>
    </row>
    <row r="315">
      <c r="A315" s="497" t="s">
        <v>762</v>
      </c>
      <c r="B315" s="497" t="s">
        <v>1138</v>
      </c>
      <c r="C315" s="498" t="s">
        <v>1139</v>
      </c>
      <c r="D315" s="499">
        <v>1.333</v>
      </c>
      <c r="E315" s="500">
        <v>20000.0</v>
      </c>
      <c r="F315" s="501"/>
      <c r="G315" s="501"/>
      <c r="H315" s="501"/>
      <c r="I315" s="307"/>
      <c r="J315" s="307"/>
      <c r="K315" s="307"/>
      <c r="L315" s="307"/>
      <c r="M315" s="307"/>
      <c r="N315" s="501"/>
      <c r="O315" s="501"/>
      <c r="P315" s="501"/>
      <c r="Q315" s="501"/>
      <c r="R315" s="501"/>
      <c r="S315" s="501"/>
      <c r="T315" s="501"/>
    </row>
    <row r="316" ht="49.5" customHeight="1">
      <c r="A316" s="497" t="s">
        <v>762</v>
      </c>
      <c r="B316" s="497" t="s">
        <v>858</v>
      </c>
      <c r="C316" s="498" t="s">
        <v>1140</v>
      </c>
      <c r="D316" s="499">
        <v>1.0</v>
      </c>
      <c r="E316" s="500">
        <v>15000.0</v>
      </c>
      <c r="F316" s="501"/>
      <c r="G316" s="501"/>
      <c r="H316" s="501"/>
      <c r="I316" s="307"/>
      <c r="J316" s="307"/>
      <c r="K316" s="307"/>
      <c r="L316" s="307"/>
      <c r="M316" s="307"/>
      <c r="N316" s="501"/>
      <c r="O316" s="501"/>
      <c r="P316" s="501"/>
      <c r="Q316" s="501"/>
      <c r="R316" s="501"/>
      <c r="S316" s="501"/>
      <c r="T316" s="501"/>
    </row>
    <row r="317" ht="49.5" customHeight="1">
      <c r="A317" s="497" t="s">
        <v>762</v>
      </c>
      <c r="B317" s="497" t="s">
        <v>1064</v>
      </c>
      <c r="C317" s="498" t="s">
        <v>1141</v>
      </c>
      <c r="D317" s="499">
        <v>0.667</v>
      </c>
      <c r="E317" s="500">
        <v>10000.0</v>
      </c>
      <c r="F317" s="501"/>
      <c r="G317" s="501"/>
      <c r="H317" s="501"/>
      <c r="I317" s="307"/>
      <c r="J317" s="307"/>
      <c r="K317" s="307"/>
      <c r="L317" s="307"/>
      <c r="M317" s="307"/>
      <c r="N317" s="501"/>
      <c r="O317" s="501"/>
      <c r="P317" s="501"/>
      <c r="Q317" s="501"/>
      <c r="R317" s="501"/>
      <c r="S317" s="501"/>
      <c r="T317" s="501"/>
    </row>
    <row r="318" ht="49.5" customHeight="1">
      <c r="A318" s="497" t="s">
        <v>98</v>
      </c>
      <c r="B318" s="497" t="s">
        <v>796</v>
      </c>
      <c r="C318" s="498" t="s">
        <v>1142</v>
      </c>
      <c r="D318" s="499">
        <v>1.333</v>
      </c>
      <c r="E318" s="500">
        <v>20000.0</v>
      </c>
      <c r="F318" s="501"/>
      <c r="G318" s="501"/>
      <c r="H318" s="501"/>
      <c r="I318" s="307"/>
      <c r="J318" s="307"/>
      <c r="K318" s="307"/>
      <c r="L318" s="307"/>
      <c r="M318" s="307"/>
      <c r="N318" s="501"/>
      <c r="O318" s="501"/>
      <c r="P318" s="501"/>
      <c r="Q318" s="501"/>
      <c r="R318" s="501"/>
      <c r="S318" s="501"/>
      <c r="T318" s="501"/>
    </row>
    <row r="319" ht="49.5" customHeight="1">
      <c r="A319" s="497" t="s">
        <v>98</v>
      </c>
      <c r="B319" s="497" t="s">
        <v>905</v>
      </c>
      <c r="C319" s="498" t="s">
        <v>1143</v>
      </c>
      <c r="D319" s="499">
        <v>1.0</v>
      </c>
      <c r="E319" s="500">
        <v>15000.0</v>
      </c>
      <c r="F319" s="501"/>
      <c r="G319" s="501"/>
      <c r="H319" s="501"/>
      <c r="I319" s="307"/>
      <c r="J319" s="307"/>
      <c r="K319" s="307"/>
      <c r="L319" s="307"/>
      <c r="M319" s="307"/>
      <c r="N319" s="501"/>
      <c r="O319" s="501"/>
      <c r="P319" s="501"/>
      <c r="Q319" s="501"/>
      <c r="R319" s="501"/>
      <c r="S319" s="501"/>
      <c r="T319" s="501"/>
    </row>
    <row r="320" ht="49.5" customHeight="1">
      <c r="A320" s="497" t="s">
        <v>131</v>
      </c>
      <c r="B320" s="497" t="s">
        <v>1144</v>
      </c>
      <c r="C320" s="498" t="s">
        <v>1145</v>
      </c>
      <c r="D320" s="499">
        <v>1.0</v>
      </c>
      <c r="E320" s="500">
        <v>15000.0</v>
      </c>
      <c r="F320" s="501"/>
      <c r="G320" s="501"/>
      <c r="H320" s="501"/>
      <c r="I320" s="307"/>
      <c r="J320" s="307"/>
      <c r="K320" s="307"/>
      <c r="L320" s="307"/>
      <c r="M320" s="307"/>
      <c r="N320" s="501"/>
      <c r="O320" s="501"/>
      <c r="P320" s="501"/>
      <c r="Q320" s="501"/>
      <c r="R320" s="501"/>
      <c r="S320" s="501"/>
      <c r="T320" s="501"/>
    </row>
    <row r="321" ht="49.5" customHeight="1">
      <c r="A321" s="497" t="s">
        <v>131</v>
      </c>
      <c r="B321" s="497" t="s">
        <v>1018</v>
      </c>
      <c r="C321" s="498" t="s">
        <v>1146</v>
      </c>
      <c r="D321" s="499">
        <v>1.667</v>
      </c>
      <c r="E321" s="500">
        <v>25000.0</v>
      </c>
      <c r="F321" s="501"/>
      <c r="G321" s="501"/>
      <c r="H321" s="501"/>
      <c r="I321" s="307"/>
      <c r="J321" s="307"/>
      <c r="K321" s="307"/>
      <c r="L321" s="307"/>
      <c r="M321" s="307"/>
      <c r="N321" s="501"/>
      <c r="O321" s="501"/>
      <c r="P321" s="501"/>
      <c r="Q321" s="501"/>
      <c r="R321" s="501"/>
      <c r="S321" s="501"/>
      <c r="T321" s="501"/>
    </row>
    <row r="322">
      <c r="A322" s="493" t="s">
        <v>694</v>
      </c>
      <c r="B322" s="17"/>
      <c r="C322" s="18"/>
      <c r="D322" s="502">
        <f t="shared" ref="D322:E322" si="8">SUM(D294:D321)</f>
        <v>33.332</v>
      </c>
      <c r="E322" s="502">
        <f t="shared" si="8"/>
        <v>500000</v>
      </c>
      <c r="F322" s="490"/>
      <c r="G322" s="490"/>
      <c r="H322" s="490"/>
      <c r="I322" s="479"/>
      <c r="J322" s="479"/>
      <c r="K322" s="479"/>
      <c r="L322" s="479"/>
      <c r="M322" s="479"/>
      <c r="N322" s="490"/>
      <c r="O322" s="490"/>
      <c r="P322" s="490"/>
      <c r="Q322" s="490"/>
      <c r="R322" s="490"/>
      <c r="S322" s="490"/>
      <c r="T322" s="490"/>
    </row>
    <row r="323" ht="27.0" customHeight="1">
      <c r="A323" s="503" t="s">
        <v>1147</v>
      </c>
      <c r="B323" s="17"/>
      <c r="C323" s="17"/>
      <c r="D323" s="17"/>
      <c r="E323" s="18"/>
      <c r="F323" s="347"/>
      <c r="G323" s="347"/>
      <c r="H323" s="347"/>
      <c r="I323" s="304"/>
      <c r="J323" s="304"/>
      <c r="K323" s="304"/>
      <c r="L323" s="304"/>
      <c r="M323" s="304"/>
      <c r="N323" s="347"/>
      <c r="O323" s="347"/>
      <c r="P323" s="347"/>
      <c r="Q323" s="347"/>
      <c r="R323" s="347"/>
      <c r="S323" s="347"/>
      <c r="T323" s="347"/>
      <c r="U323" s="504"/>
      <c r="V323" s="504"/>
      <c r="W323" s="504"/>
      <c r="X323" s="504"/>
      <c r="Y323" s="504"/>
      <c r="Z323" s="504"/>
      <c r="AA323" s="504"/>
      <c r="AB323" s="504"/>
      <c r="AC323" s="504"/>
      <c r="AD323" s="504"/>
    </row>
    <row r="324">
      <c r="A324" s="394" t="s">
        <v>770</v>
      </c>
      <c r="B324" s="394" t="s">
        <v>922</v>
      </c>
      <c r="C324" s="390" t="s">
        <v>1148</v>
      </c>
      <c r="D324" s="505">
        <v>2.0</v>
      </c>
      <c r="E324" s="506">
        <v>30000.0</v>
      </c>
      <c r="F324" s="347"/>
      <c r="G324" s="347"/>
      <c r="H324" s="347"/>
      <c r="I324" s="304"/>
      <c r="J324" s="304"/>
      <c r="K324" s="304"/>
      <c r="L324" s="304"/>
      <c r="M324" s="304"/>
      <c r="N324" s="347"/>
      <c r="O324" s="347"/>
      <c r="P324" s="347"/>
      <c r="Q324" s="347"/>
      <c r="R324" s="347"/>
      <c r="S324" s="347"/>
      <c r="T324" s="347"/>
      <c r="U324" s="504"/>
      <c r="V324" s="504"/>
      <c r="W324" s="504"/>
      <c r="X324" s="504"/>
      <c r="Y324" s="504"/>
      <c r="Z324" s="504"/>
      <c r="AA324" s="504"/>
      <c r="AB324" s="504"/>
      <c r="AC324" s="504"/>
      <c r="AD324" s="504"/>
    </row>
    <row r="325">
      <c r="A325" s="394" t="s">
        <v>610</v>
      </c>
      <c r="B325" s="394" t="s">
        <v>1149</v>
      </c>
      <c r="C325" s="390" t="s">
        <v>1150</v>
      </c>
      <c r="D325" s="505">
        <v>2.0</v>
      </c>
      <c r="E325" s="506">
        <v>30000.0</v>
      </c>
      <c r="F325" s="347"/>
      <c r="G325" s="347"/>
      <c r="H325" s="347"/>
      <c r="I325" s="304"/>
      <c r="J325" s="304"/>
      <c r="K325" s="304"/>
      <c r="L325" s="304"/>
      <c r="M325" s="304"/>
      <c r="N325" s="347"/>
      <c r="O325" s="347"/>
      <c r="P325" s="347"/>
      <c r="Q325" s="347"/>
      <c r="R325" s="347"/>
      <c r="S325" s="347"/>
      <c r="T325" s="347"/>
      <c r="U325" s="504"/>
      <c r="V325" s="504"/>
      <c r="W325" s="504"/>
      <c r="X325" s="504"/>
      <c r="Y325" s="504"/>
      <c r="Z325" s="504"/>
      <c r="AA325" s="504"/>
      <c r="AB325" s="504"/>
      <c r="AC325" s="504"/>
      <c r="AD325" s="504"/>
    </row>
    <row r="326">
      <c r="A326" s="394" t="s">
        <v>131</v>
      </c>
      <c r="B326" s="394" t="s">
        <v>893</v>
      </c>
      <c r="C326" s="471" t="s">
        <v>1151</v>
      </c>
      <c r="D326" s="507">
        <v>1.7</v>
      </c>
      <c r="E326" s="506">
        <v>24000.0</v>
      </c>
      <c r="F326" s="347"/>
      <c r="G326" s="347"/>
      <c r="H326" s="347"/>
      <c r="I326" s="304"/>
      <c r="J326" s="304"/>
      <c r="K326" s="304"/>
      <c r="L326" s="304"/>
      <c r="M326" s="304"/>
      <c r="N326" s="347"/>
      <c r="O326" s="347"/>
      <c r="P326" s="347"/>
      <c r="Q326" s="347"/>
      <c r="R326" s="347"/>
      <c r="S326" s="347"/>
      <c r="T326" s="347"/>
      <c r="U326" s="504"/>
      <c r="V326" s="504"/>
      <c r="W326" s="504"/>
      <c r="X326" s="504"/>
      <c r="Y326" s="504"/>
      <c r="Z326" s="504"/>
      <c r="AA326" s="504"/>
      <c r="AB326" s="504"/>
      <c r="AC326" s="504"/>
      <c r="AD326" s="504"/>
    </row>
    <row r="327">
      <c r="A327" s="394" t="s">
        <v>1152</v>
      </c>
      <c r="B327" s="508" t="s">
        <v>1001</v>
      </c>
      <c r="C327" s="471" t="s">
        <v>1153</v>
      </c>
      <c r="D327" s="507">
        <v>1.4</v>
      </c>
      <c r="E327" s="506">
        <v>20000.0</v>
      </c>
      <c r="F327" s="347"/>
      <c r="G327" s="347"/>
      <c r="H327" s="347"/>
      <c r="I327" s="304"/>
      <c r="J327" s="304"/>
      <c r="K327" s="304"/>
      <c r="L327" s="304"/>
      <c r="M327" s="304"/>
      <c r="N327" s="347"/>
      <c r="O327" s="347"/>
      <c r="P327" s="347"/>
      <c r="Q327" s="347"/>
      <c r="R327" s="347"/>
      <c r="S327" s="347"/>
      <c r="T327" s="347"/>
      <c r="U327" s="504"/>
      <c r="V327" s="504"/>
      <c r="W327" s="504"/>
      <c r="X327" s="504"/>
      <c r="Y327" s="504"/>
      <c r="Z327" s="504"/>
      <c r="AA327" s="504"/>
      <c r="AB327" s="504"/>
      <c r="AC327" s="504"/>
      <c r="AD327" s="504"/>
    </row>
    <row r="328">
      <c r="A328" s="394" t="s">
        <v>98</v>
      </c>
      <c r="B328" s="394" t="s">
        <v>719</v>
      </c>
      <c r="C328" s="471" t="s">
        <v>1154</v>
      </c>
      <c r="D328" s="507">
        <v>1.0</v>
      </c>
      <c r="E328" s="506">
        <v>15000.0</v>
      </c>
      <c r="F328" s="347"/>
      <c r="G328" s="347"/>
      <c r="H328" s="347"/>
      <c r="I328" s="304"/>
      <c r="J328" s="304"/>
      <c r="K328" s="304"/>
      <c r="L328" s="304"/>
      <c r="M328" s="304"/>
      <c r="N328" s="347"/>
      <c r="O328" s="347"/>
      <c r="P328" s="347"/>
      <c r="Q328" s="347"/>
      <c r="R328" s="347"/>
      <c r="S328" s="347"/>
      <c r="T328" s="347"/>
      <c r="U328" s="504"/>
      <c r="V328" s="504"/>
      <c r="W328" s="504"/>
      <c r="X328" s="504"/>
      <c r="Y328" s="504"/>
      <c r="Z328" s="504"/>
      <c r="AA328" s="504"/>
      <c r="AB328" s="504"/>
      <c r="AC328" s="504"/>
      <c r="AD328" s="504"/>
    </row>
    <row r="329" ht="22.5" customHeight="1">
      <c r="A329" s="394" t="s">
        <v>121</v>
      </c>
      <c r="B329" s="394" t="s">
        <v>1155</v>
      </c>
      <c r="C329" s="471" t="s">
        <v>1156</v>
      </c>
      <c r="D329" s="507">
        <v>1.0</v>
      </c>
      <c r="E329" s="506">
        <v>15000.0</v>
      </c>
      <c r="F329" s="347"/>
      <c r="G329" s="347"/>
      <c r="H329" s="347"/>
      <c r="I329" s="304"/>
      <c r="J329" s="304"/>
      <c r="K329" s="304"/>
      <c r="L329" s="304"/>
      <c r="M329" s="304"/>
      <c r="N329" s="347"/>
      <c r="O329" s="347"/>
      <c r="P329" s="347"/>
      <c r="Q329" s="347"/>
      <c r="R329" s="347"/>
      <c r="S329" s="347"/>
      <c r="T329" s="347"/>
      <c r="U329" s="504"/>
      <c r="V329" s="504"/>
      <c r="W329" s="504"/>
      <c r="X329" s="504"/>
      <c r="Y329" s="504"/>
      <c r="Z329" s="504"/>
      <c r="AA329" s="504"/>
      <c r="AB329" s="504"/>
      <c r="AC329" s="504"/>
      <c r="AD329" s="504"/>
    </row>
    <row r="330" ht="22.5" customHeight="1">
      <c r="A330" s="394" t="s">
        <v>90</v>
      </c>
      <c r="B330" s="394" t="s">
        <v>689</v>
      </c>
      <c r="C330" s="471" t="s">
        <v>690</v>
      </c>
      <c r="D330" s="507">
        <v>1.4</v>
      </c>
      <c r="E330" s="506">
        <v>21000.0</v>
      </c>
      <c r="F330" s="347"/>
      <c r="G330" s="347"/>
      <c r="H330" s="347"/>
      <c r="I330" s="304"/>
      <c r="J330" s="304"/>
      <c r="K330" s="304"/>
      <c r="L330" s="304"/>
      <c r="M330" s="304"/>
      <c r="N330" s="347"/>
      <c r="O330" s="347"/>
      <c r="P330" s="347"/>
      <c r="Q330" s="347"/>
      <c r="R330" s="347"/>
      <c r="S330" s="347"/>
      <c r="T330" s="347"/>
      <c r="U330" s="504"/>
      <c r="V330" s="504"/>
      <c r="W330" s="504"/>
      <c r="X330" s="504"/>
      <c r="Y330" s="504"/>
      <c r="Z330" s="504"/>
      <c r="AA330" s="504"/>
      <c r="AB330" s="504"/>
      <c r="AC330" s="504"/>
      <c r="AD330" s="504"/>
    </row>
    <row r="331" ht="22.5" customHeight="1">
      <c r="A331" s="493" t="s">
        <v>694</v>
      </c>
      <c r="B331" s="17"/>
      <c r="C331" s="18"/>
      <c r="D331" s="502">
        <f t="shared" ref="D331:E331" si="9">SUM(D324:D330)</f>
        <v>10.5</v>
      </c>
      <c r="E331" s="502">
        <f t="shared" si="9"/>
        <v>155000</v>
      </c>
      <c r="F331" s="347"/>
      <c r="G331" s="347"/>
      <c r="H331" s="347"/>
      <c r="I331" s="304"/>
      <c r="J331" s="304"/>
      <c r="K331" s="304"/>
      <c r="L331" s="304"/>
      <c r="M331" s="304"/>
      <c r="N331" s="347"/>
      <c r="O331" s="347"/>
      <c r="P331" s="347"/>
      <c r="Q331" s="347"/>
      <c r="R331" s="347"/>
      <c r="S331" s="347"/>
      <c r="T331" s="347"/>
      <c r="U331" s="504"/>
      <c r="V331" s="504"/>
      <c r="W331" s="504"/>
      <c r="X331" s="504"/>
      <c r="Y331" s="504"/>
      <c r="Z331" s="504"/>
      <c r="AA331" s="504"/>
      <c r="AB331" s="504"/>
      <c r="AC331" s="504"/>
      <c r="AD331" s="504"/>
    </row>
    <row r="332" ht="22.5" customHeight="1">
      <c r="A332" s="344"/>
      <c r="B332" s="509"/>
      <c r="C332" s="344"/>
      <c r="D332" s="510"/>
      <c r="E332" s="511"/>
      <c r="F332" s="347"/>
      <c r="G332" s="347"/>
      <c r="H332" s="347"/>
      <c r="I332" s="304"/>
      <c r="J332" s="304"/>
      <c r="K332" s="304"/>
      <c r="L332" s="304"/>
      <c r="M332" s="304"/>
      <c r="N332" s="347"/>
      <c r="O332" s="347"/>
      <c r="P332" s="347"/>
      <c r="Q332" s="347"/>
      <c r="R332" s="347"/>
      <c r="S332" s="347"/>
      <c r="T332" s="347"/>
      <c r="U332" s="504"/>
      <c r="V332" s="504"/>
      <c r="W332" s="504"/>
      <c r="X332" s="504"/>
      <c r="Y332" s="504"/>
      <c r="Z332" s="504"/>
      <c r="AA332" s="504"/>
      <c r="AB332" s="504"/>
      <c r="AC332" s="504"/>
      <c r="AD332" s="504"/>
    </row>
    <row r="333" ht="22.5" customHeight="1">
      <c r="A333" s="512" t="s">
        <v>1157</v>
      </c>
      <c r="B333" s="17"/>
      <c r="C333" s="17"/>
      <c r="D333" s="17"/>
      <c r="E333" s="18"/>
      <c r="F333" s="347"/>
      <c r="G333" s="347"/>
      <c r="H333" s="347"/>
      <c r="I333" s="304"/>
      <c r="J333" s="304"/>
      <c r="K333" s="304"/>
      <c r="L333" s="304"/>
      <c r="M333" s="304"/>
      <c r="N333" s="347"/>
      <c r="O333" s="347"/>
      <c r="P333" s="347"/>
      <c r="Q333" s="347"/>
      <c r="R333" s="347"/>
      <c r="S333" s="347"/>
      <c r="T333" s="347"/>
      <c r="U333" s="504"/>
      <c r="V333" s="504"/>
      <c r="W333" s="504"/>
      <c r="X333" s="504"/>
      <c r="Y333" s="504"/>
      <c r="Z333" s="504"/>
      <c r="AA333" s="504"/>
      <c r="AB333" s="504"/>
      <c r="AC333" s="504"/>
      <c r="AD333" s="504"/>
    </row>
    <row r="334" ht="22.5" customHeight="1">
      <c r="A334" s="513" t="s">
        <v>121</v>
      </c>
      <c r="B334" s="514" t="s">
        <v>1158</v>
      </c>
      <c r="C334" s="34" t="s">
        <v>1159</v>
      </c>
      <c r="D334" s="515">
        <v>1.93</v>
      </c>
      <c r="E334" s="516">
        <v>28950.0</v>
      </c>
      <c r="F334" s="347"/>
      <c r="G334" s="347"/>
      <c r="H334" s="347"/>
      <c r="I334" s="304"/>
      <c r="J334" s="304"/>
      <c r="K334" s="304"/>
      <c r="L334" s="304"/>
      <c r="M334" s="304"/>
      <c r="N334" s="347"/>
      <c r="O334" s="347"/>
      <c r="P334" s="347"/>
      <c r="Q334" s="347"/>
      <c r="R334" s="347"/>
      <c r="S334" s="347"/>
      <c r="T334" s="347"/>
      <c r="U334" s="504"/>
      <c r="V334" s="504"/>
      <c r="W334" s="504"/>
      <c r="X334" s="504"/>
      <c r="Y334" s="504"/>
      <c r="Z334" s="504"/>
      <c r="AA334" s="504"/>
      <c r="AB334" s="504"/>
      <c r="AC334" s="504"/>
      <c r="AD334" s="504"/>
    </row>
    <row r="335" ht="22.5" customHeight="1">
      <c r="A335" s="513" t="s">
        <v>127</v>
      </c>
      <c r="B335" s="514" t="s">
        <v>996</v>
      </c>
      <c r="C335" s="517" t="s">
        <v>1160</v>
      </c>
      <c r="D335" s="515">
        <v>3.8</v>
      </c>
      <c r="E335" s="516">
        <v>57000.0</v>
      </c>
      <c r="F335" s="347"/>
      <c r="G335" s="347"/>
      <c r="H335" s="347"/>
      <c r="I335" s="304"/>
      <c r="J335" s="304"/>
      <c r="K335" s="304"/>
      <c r="L335" s="304"/>
      <c r="M335" s="304"/>
      <c r="N335" s="347"/>
      <c r="O335" s="347"/>
      <c r="P335" s="347"/>
      <c r="Q335" s="347"/>
      <c r="R335" s="347"/>
      <c r="S335" s="347"/>
      <c r="T335" s="347"/>
      <c r="U335" s="504"/>
      <c r="V335" s="504"/>
      <c r="W335" s="504"/>
      <c r="X335" s="504"/>
      <c r="Y335" s="504"/>
      <c r="Z335" s="504"/>
      <c r="AA335" s="504"/>
      <c r="AB335" s="504"/>
      <c r="AC335" s="504"/>
      <c r="AD335" s="504"/>
    </row>
    <row r="336" ht="22.5" customHeight="1">
      <c r="A336" s="513" t="s">
        <v>770</v>
      </c>
      <c r="B336" s="514" t="s">
        <v>727</v>
      </c>
      <c r="C336" s="518" t="s">
        <v>1161</v>
      </c>
      <c r="D336" s="519">
        <v>3.0</v>
      </c>
      <c r="E336" s="520">
        <v>45000.0</v>
      </c>
      <c r="F336" s="347"/>
      <c r="G336" s="347"/>
      <c r="H336" s="347"/>
      <c r="I336" s="304"/>
      <c r="J336" s="304"/>
      <c r="K336" s="304"/>
      <c r="L336" s="304"/>
      <c r="M336" s="304"/>
      <c r="N336" s="347"/>
      <c r="O336" s="347"/>
      <c r="P336" s="347"/>
      <c r="Q336" s="347"/>
      <c r="R336" s="347"/>
      <c r="S336" s="347"/>
      <c r="T336" s="347"/>
      <c r="U336" s="504"/>
      <c r="V336" s="504"/>
      <c r="W336" s="504"/>
      <c r="X336" s="504"/>
      <c r="Y336" s="504"/>
      <c r="Z336" s="504"/>
      <c r="AA336" s="504"/>
      <c r="AB336" s="504"/>
      <c r="AC336" s="504"/>
      <c r="AD336" s="504"/>
    </row>
    <row r="337" ht="22.5" customHeight="1">
      <c r="A337" s="513" t="s">
        <v>770</v>
      </c>
      <c r="B337" s="514" t="s">
        <v>1162</v>
      </c>
      <c r="C337" s="518" t="s">
        <v>1093</v>
      </c>
      <c r="D337" s="519">
        <v>2.2</v>
      </c>
      <c r="E337" s="520">
        <v>33000.0</v>
      </c>
      <c r="F337" s="347"/>
      <c r="G337" s="347"/>
      <c r="H337" s="347"/>
      <c r="I337" s="304"/>
      <c r="J337" s="304"/>
      <c r="K337" s="304"/>
      <c r="L337" s="304"/>
      <c r="M337" s="304"/>
      <c r="N337" s="347"/>
      <c r="O337" s="347"/>
      <c r="P337" s="347"/>
      <c r="Q337" s="347"/>
      <c r="R337" s="347"/>
      <c r="S337" s="347"/>
      <c r="T337" s="347"/>
      <c r="U337" s="504"/>
      <c r="V337" s="504"/>
      <c r="W337" s="504"/>
      <c r="X337" s="504"/>
      <c r="Y337" s="504"/>
      <c r="Z337" s="504"/>
      <c r="AA337" s="504"/>
      <c r="AB337" s="504"/>
      <c r="AC337" s="504"/>
      <c r="AD337" s="504"/>
    </row>
    <row r="338" ht="22.5" customHeight="1">
      <c r="A338" s="513" t="s">
        <v>131</v>
      </c>
      <c r="B338" s="514" t="s">
        <v>893</v>
      </c>
      <c r="C338" s="518" t="s">
        <v>1163</v>
      </c>
      <c r="D338" s="519">
        <v>3.0</v>
      </c>
      <c r="E338" s="520">
        <v>45000.0</v>
      </c>
      <c r="F338" s="347"/>
      <c r="G338" s="347"/>
      <c r="H338" s="347"/>
      <c r="I338" s="304"/>
      <c r="J338" s="304"/>
      <c r="K338" s="304"/>
      <c r="L338" s="304"/>
      <c r="M338" s="304"/>
      <c r="N338" s="347"/>
      <c r="O338" s="347"/>
      <c r="P338" s="347"/>
      <c r="Q338" s="347"/>
      <c r="R338" s="347"/>
      <c r="S338" s="347"/>
      <c r="T338" s="347"/>
      <c r="U338" s="504"/>
      <c r="V338" s="504"/>
      <c r="W338" s="504"/>
      <c r="X338" s="504"/>
      <c r="Y338" s="504"/>
      <c r="Z338" s="504"/>
      <c r="AA338" s="504"/>
      <c r="AB338" s="504"/>
      <c r="AC338" s="504"/>
      <c r="AD338" s="504"/>
    </row>
    <row r="339" ht="22.5" customHeight="1">
      <c r="A339" s="513" t="s">
        <v>98</v>
      </c>
      <c r="B339" s="514" t="s">
        <v>796</v>
      </c>
      <c r="C339" s="518" t="s">
        <v>965</v>
      </c>
      <c r="D339" s="519">
        <v>1.1</v>
      </c>
      <c r="E339" s="520">
        <v>16500.0</v>
      </c>
      <c r="F339" s="347"/>
      <c r="G339" s="347"/>
      <c r="H339" s="347"/>
      <c r="I339" s="304"/>
      <c r="J339" s="304"/>
      <c r="K339" s="304"/>
      <c r="L339" s="304"/>
      <c r="M339" s="304"/>
      <c r="N339" s="347"/>
      <c r="O339" s="347"/>
      <c r="P339" s="347"/>
      <c r="Q339" s="347"/>
      <c r="R339" s="347"/>
      <c r="S339" s="347"/>
      <c r="T339" s="347"/>
      <c r="U339" s="504"/>
      <c r="V339" s="504"/>
      <c r="W339" s="504"/>
      <c r="X339" s="504"/>
      <c r="Y339" s="504"/>
      <c r="Z339" s="504"/>
      <c r="AA339" s="504"/>
      <c r="AB339" s="504"/>
      <c r="AC339" s="504"/>
      <c r="AD339" s="504"/>
    </row>
    <row r="340" ht="22.5" customHeight="1">
      <c r="A340" s="513" t="s">
        <v>98</v>
      </c>
      <c r="B340" s="514" t="s">
        <v>719</v>
      </c>
      <c r="C340" s="518" t="s">
        <v>1164</v>
      </c>
      <c r="D340" s="519">
        <v>1.0</v>
      </c>
      <c r="E340" s="520">
        <v>15000.0</v>
      </c>
      <c r="F340" s="347"/>
      <c r="G340" s="347"/>
      <c r="H340" s="347"/>
      <c r="I340" s="304"/>
      <c r="J340" s="304"/>
      <c r="K340" s="304"/>
      <c r="L340" s="304"/>
      <c r="M340" s="304"/>
      <c r="N340" s="347"/>
      <c r="O340" s="347"/>
      <c r="P340" s="347"/>
      <c r="Q340" s="347"/>
      <c r="R340" s="347"/>
      <c r="S340" s="347"/>
      <c r="T340" s="347"/>
      <c r="U340" s="504"/>
      <c r="V340" s="504"/>
      <c r="W340" s="504"/>
      <c r="X340" s="504"/>
      <c r="Y340" s="504"/>
      <c r="Z340" s="504"/>
      <c r="AA340" s="504"/>
      <c r="AB340" s="504"/>
      <c r="AC340" s="504"/>
      <c r="AD340" s="504"/>
    </row>
    <row r="341" ht="22.5" customHeight="1">
      <c r="A341" s="513" t="s">
        <v>90</v>
      </c>
      <c r="B341" s="514" t="s">
        <v>1165</v>
      </c>
      <c r="C341" s="518" t="s">
        <v>1056</v>
      </c>
      <c r="D341" s="519">
        <v>1.7</v>
      </c>
      <c r="E341" s="520">
        <v>25500.0</v>
      </c>
      <c r="F341" s="347"/>
      <c r="G341" s="347"/>
      <c r="H341" s="347"/>
      <c r="I341" s="304"/>
      <c r="J341" s="304"/>
      <c r="K341" s="304"/>
      <c r="L341" s="304"/>
      <c r="M341" s="304"/>
      <c r="N341" s="347"/>
      <c r="O341" s="347"/>
      <c r="P341" s="347"/>
      <c r="Q341" s="347"/>
      <c r="R341" s="347"/>
      <c r="S341" s="347"/>
      <c r="T341" s="347"/>
      <c r="U341" s="504"/>
      <c r="V341" s="504"/>
      <c r="W341" s="504"/>
      <c r="X341" s="504"/>
      <c r="Y341" s="504"/>
      <c r="Z341" s="504"/>
      <c r="AA341" s="504"/>
      <c r="AB341" s="504"/>
      <c r="AC341" s="504"/>
      <c r="AD341" s="504"/>
    </row>
    <row r="342" ht="22.5" customHeight="1">
      <c r="A342" s="513" t="s">
        <v>90</v>
      </c>
      <c r="B342" s="514" t="s">
        <v>1051</v>
      </c>
      <c r="C342" s="518" t="s">
        <v>1166</v>
      </c>
      <c r="D342" s="519">
        <v>1.75</v>
      </c>
      <c r="E342" s="520">
        <v>26250.0</v>
      </c>
      <c r="F342" s="347"/>
      <c r="G342" s="347"/>
      <c r="H342" s="347"/>
      <c r="I342" s="304"/>
      <c r="J342" s="304"/>
      <c r="K342" s="304"/>
      <c r="L342" s="304"/>
      <c r="M342" s="304"/>
      <c r="N342" s="347"/>
      <c r="O342" s="347"/>
      <c r="P342" s="347"/>
      <c r="Q342" s="347"/>
      <c r="R342" s="347"/>
      <c r="S342" s="347"/>
      <c r="T342" s="347"/>
      <c r="U342" s="504"/>
      <c r="V342" s="504"/>
      <c r="W342" s="504"/>
      <c r="X342" s="504"/>
      <c r="Y342" s="504"/>
      <c r="Z342" s="504"/>
      <c r="AA342" s="504"/>
      <c r="AB342" s="504"/>
      <c r="AC342" s="504"/>
      <c r="AD342" s="504"/>
    </row>
    <row r="343" ht="22.5" customHeight="1">
      <c r="A343" s="493" t="s">
        <v>694</v>
      </c>
      <c r="B343" s="17"/>
      <c r="C343" s="18"/>
      <c r="D343" s="502">
        <f t="shared" ref="D343:E343" si="10">SUM(D334:D342)</f>
        <v>19.48</v>
      </c>
      <c r="E343" s="511">
        <f t="shared" si="10"/>
        <v>292200</v>
      </c>
      <c r="F343" s="347"/>
      <c r="G343" s="347"/>
      <c r="H343" s="347"/>
      <c r="I343" s="304"/>
      <c r="J343" s="304"/>
      <c r="K343" s="304"/>
      <c r="L343" s="304"/>
      <c r="M343" s="304"/>
      <c r="N343" s="347"/>
      <c r="O343" s="347"/>
      <c r="P343" s="347"/>
      <c r="Q343" s="347"/>
      <c r="R343" s="347"/>
      <c r="S343" s="347"/>
      <c r="T343" s="347"/>
      <c r="U343" s="504"/>
      <c r="V343" s="504"/>
      <c r="W343" s="504"/>
      <c r="X343" s="504"/>
      <c r="Y343" s="504"/>
      <c r="Z343" s="504"/>
      <c r="AA343" s="504"/>
      <c r="AB343" s="504"/>
      <c r="AC343" s="504"/>
      <c r="AD343" s="504"/>
    </row>
    <row r="344" ht="22.5" customHeight="1">
      <c r="A344" s="493" t="s">
        <v>13</v>
      </c>
      <c r="B344" s="17"/>
      <c r="C344" s="18"/>
      <c r="D344" s="502">
        <f t="shared" ref="D344:E344" si="11">D343+D331</f>
        <v>29.98</v>
      </c>
      <c r="E344" s="511">
        <f t="shared" si="11"/>
        <v>447200</v>
      </c>
      <c r="F344" s="347"/>
      <c r="G344" s="347"/>
      <c r="H344" s="347"/>
      <c r="I344" s="304"/>
      <c r="J344" s="304"/>
      <c r="K344" s="304"/>
      <c r="L344" s="304"/>
      <c r="M344" s="304"/>
      <c r="N344" s="347"/>
      <c r="O344" s="347"/>
      <c r="P344" s="347"/>
      <c r="Q344" s="347"/>
      <c r="R344" s="347"/>
      <c r="S344" s="347"/>
      <c r="T344" s="347"/>
      <c r="U344" s="504"/>
      <c r="V344" s="504"/>
      <c r="W344" s="504"/>
      <c r="X344" s="504"/>
      <c r="Y344" s="504"/>
      <c r="Z344" s="504"/>
      <c r="AA344" s="504"/>
      <c r="AB344" s="504"/>
      <c r="AC344" s="504"/>
      <c r="AD344" s="504"/>
    </row>
    <row r="345" ht="22.5" customHeight="1">
      <c r="A345" s="521"/>
      <c r="B345" s="522"/>
      <c r="C345" s="521"/>
      <c r="D345" s="523"/>
      <c r="E345" s="524"/>
      <c r="F345" s="490"/>
      <c r="G345" s="490"/>
      <c r="H345" s="490"/>
      <c r="I345" s="479"/>
      <c r="J345" s="479"/>
      <c r="K345" s="479"/>
      <c r="L345" s="479"/>
      <c r="M345" s="479"/>
      <c r="N345" s="490"/>
      <c r="O345" s="490"/>
      <c r="P345" s="490"/>
      <c r="Q345" s="490"/>
      <c r="R345" s="490"/>
      <c r="S345" s="490"/>
      <c r="T345" s="490"/>
    </row>
    <row r="346" ht="14.25" customHeight="1">
      <c r="A346" s="307"/>
      <c r="B346" s="453"/>
      <c r="C346" s="307"/>
      <c r="D346" s="454"/>
      <c r="E346" s="525"/>
      <c r="F346" s="490"/>
      <c r="G346" s="490"/>
      <c r="H346" s="490"/>
      <c r="I346" s="479"/>
      <c r="J346" s="479"/>
      <c r="K346" s="479"/>
      <c r="L346" s="479"/>
      <c r="M346" s="479"/>
      <c r="N346" s="490"/>
      <c r="O346" s="490"/>
      <c r="P346" s="490"/>
      <c r="Q346" s="490"/>
      <c r="R346" s="490"/>
      <c r="S346" s="490"/>
      <c r="T346" s="490"/>
    </row>
    <row r="347" ht="15.75" customHeight="1">
      <c r="A347" s="245" t="s">
        <v>72</v>
      </c>
      <c r="B347" s="526" t="s">
        <v>528</v>
      </c>
      <c r="C347" s="247"/>
      <c r="D347" s="249" t="s">
        <v>74</v>
      </c>
      <c r="E347" s="304"/>
      <c r="F347" s="347"/>
      <c r="G347" s="347"/>
      <c r="H347" s="347"/>
      <c r="I347" s="304"/>
      <c r="J347" s="304"/>
      <c r="K347" s="248"/>
      <c r="L347" s="250"/>
      <c r="M347" s="347"/>
      <c r="N347" s="249"/>
      <c r="O347" s="248"/>
      <c r="P347" s="247"/>
      <c r="Q347" s="304"/>
      <c r="R347" s="248"/>
      <c r="S347" s="304"/>
      <c r="T347" s="304"/>
      <c r="U347" s="249"/>
      <c r="V347" s="304"/>
      <c r="W347" s="304"/>
      <c r="X347" s="248"/>
      <c r="Y347" s="304"/>
      <c r="Z347" s="248"/>
      <c r="AA347" s="82"/>
      <c r="AB347" s="82"/>
      <c r="AC347" s="82"/>
      <c r="AD347" s="82"/>
      <c r="AE347" s="82"/>
      <c r="AF347" s="82"/>
      <c r="AG347" s="82"/>
      <c r="AH347" s="82"/>
      <c r="AI347" s="82"/>
    </row>
    <row r="348" ht="15.75" customHeight="1">
      <c r="A348" s="250"/>
      <c r="B348" s="527"/>
      <c r="C348" s="250"/>
      <c r="D348" s="250"/>
      <c r="E348" s="304"/>
      <c r="F348" s="347"/>
      <c r="G348" s="250"/>
      <c r="H348" s="347"/>
      <c r="I348" s="304"/>
      <c r="J348" s="304"/>
      <c r="K348" s="248"/>
      <c r="L348" s="250"/>
      <c r="M348" s="304"/>
      <c r="N348" s="250"/>
      <c r="O348" s="248"/>
      <c r="P348" s="250"/>
      <c r="Q348" s="304"/>
      <c r="R348" s="248"/>
      <c r="S348" s="304"/>
      <c r="T348" s="304"/>
      <c r="U348" s="250"/>
      <c r="V348" s="304"/>
      <c r="W348" s="304"/>
      <c r="X348" s="248"/>
      <c r="Y348" s="304"/>
      <c r="Z348" s="248"/>
      <c r="AA348" s="82"/>
      <c r="AB348" s="82"/>
      <c r="AC348" s="82"/>
      <c r="AD348" s="82"/>
      <c r="AE348" s="82"/>
      <c r="AF348" s="82"/>
      <c r="AG348" s="82"/>
      <c r="AH348" s="82"/>
      <c r="AI348" s="82"/>
    </row>
    <row r="349" ht="12.75" customHeight="1">
      <c r="A349" s="250"/>
      <c r="B349" s="527"/>
      <c r="C349" s="250"/>
      <c r="D349" s="250"/>
      <c r="E349" s="304"/>
      <c r="F349" s="347"/>
      <c r="G349" s="250"/>
      <c r="H349" s="347"/>
      <c r="I349" s="304"/>
      <c r="J349" s="304"/>
      <c r="K349" s="248"/>
      <c r="L349" s="250"/>
      <c r="M349" s="304"/>
      <c r="N349" s="250"/>
      <c r="O349" s="248"/>
      <c r="P349" s="250"/>
      <c r="Q349" s="304"/>
      <c r="R349" s="248"/>
      <c r="S349" s="304"/>
      <c r="T349" s="304"/>
      <c r="U349" s="250"/>
      <c r="V349" s="304"/>
      <c r="W349" s="304"/>
      <c r="X349" s="248"/>
      <c r="Y349" s="304"/>
      <c r="Z349" s="248"/>
      <c r="AA349" s="82"/>
      <c r="AB349" s="82"/>
      <c r="AC349" s="82"/>
      <c r="AD349" s="82"/>
      <c r="AE349" s="82"/>
      <c r="AF349" s="82"/>
      <c r="AG349" s="82"/>
      <c r="AH349" s="82"/>
      <c r="AI349" s="82"/>
    </row>
    <row r="350" ht="23.25" customHeight="1">
      <c r="A350" s="250"/>
      <c r="B350" s="527"/>
      <c r="C350" s="250"/>
      <c r="D350" s="250"/>
      <c r="E350" s="304"/>
      <c r="F350" s="347"/>
      <c r="G350" s="250"/>
      <c r="H350" s="347"/>
      <c r="I350" s="304"/>
      <c r="J350" s="304"/>
      <c r="K350" s="248"/>
      <c r="L350" s="250"/>
      <c r="M350" s="304"/>
      <c r="N350" s="250"/>
      <c r="O350" s="248"/>
      <c r="P350" s="250"/>
      <c r="Q350" s="304"/>
      <c r="R350" s="248"/>
      <c r="S350" s="304"/>
      <c r="T350" s="304"/>
      <c r="U350" s="250"/>
      <c r="V350" s="304"/>
      <c r="W350" s="304"/>
      <c r="X350" s="248"/>
      <c r="Y350" s="304"/>
      <c r="Z350" s="248"/>
      <c r="AA350" s="82"/>
      <c r="AB350" s="82"/>
      <c r="AC350" s="82"/>
      <c r="AD350" s="82"/>
      <c r="AE350" s="82"/>
      <c r="AF350" s="82"/>
      <c r="AG350" s="82"/>
      <c r="AH350" s="82"/>
      <c r="AI350" s="82"/>
    </row>
    <row r="351" ht="15.75" customHeight="1">
      <c r="A351" s="250"/>
      <c r="B351" s="527"/>
      <c r="C351" s="250"/>
      <c r="D351" s="250"/>
      <c r="E351" s="304"/>
      <c r="F351" s="347"/>
      <c r="G351" s="250"/>
      <c r="H351" s="528"/>
      <c r="I351" s="304"/>
      <c r="J351" s="304"/>
      <c r="K351" s="248"/>
      <c r="L351" s="250"/>
      <c r="M351" s="304"/>
      <c r="N351" s="250"/>
      <c r="O351" s="250"/>
      <c r="P351" s="250"/>
      <c r="Q351" s="304"/>
      <c r="R351" s="248"/>
      <c r="S351" s="304"/>
      <c r="T351" s="304"/>
      <c r="U351" s="250"/>
      <c r="V351" s="304"/>
      <c r="W351" s="304"/>
      <c r="X351" s="248"/>
      <c r="Y351" s="304"/>
      <c r="Z351" s="248"/>
      <c r="AA351" s="82"/>
      <c r="AB351" s="82"/>
      <c r="AC351" s="82"/>
      <c r="AD351" s="82"/>
      <c r="AE351" s="82"/>
      <c r="AF351" s="82"/>
      <c r="AG351" s="82"/>
      <c r="AH351" s="82"/>
      <c r="AI351" s="82"/>
    </row>
    <row r="352" ht="21.75" customHeight="1">
      <c r="A352" s="76" t="s">
        <v>75</v>
      </c>
      <c r="B352" s="529" t="s">
        <v>76</v>
      </c>
      <c r="C352" s="76"/>
      <c r="D352" s="76" t="s">
        <v>77</v>
      </c>
      <c r="E352" s="304"/>
      <c r="F352" s="347"/>
      <c r="G352" s="347"/>
      <c r="H352" s="304"/>
      <c r="I352" s="304"/>
      <c r="J352" s="304"/>
      <c r="K352" s="248"/>
      <c r="L352" s="250"/>
      <c r="M352" s="304"/>
      <c r="N352" s="76"/>
      <c r="O352" s="250"/>
      <c r="P352" s="76"/>
      <c r="Q352" s="304"/>
      <c r="R352" s="248"/>
      <c r="S352" s="304"/>
      <c r="T352" s="304"/>
      <c r="U352" s="76"/>
      <c r="V352" s="304"/>
      <c r="W352" s="304"/>
      <c r="X352" s="248"/>
      <c r="Y352" s="304"/>
      <c r="Z352" s="248"/>
      <c r="AA352" s="82"/>
      <c r="AB352" s="82"/>
      <c r="AC352" s="82"/>
      <c r="AD352" s="82"/>
      <c r="AE352" s="82"/>
      <c r="AF352" s="82"/>
      <c r="AG352" s="82"/>
      <c r="AH352" s="82"/>
      <c r="AI352" s="82"/>
    </row>
    <row r="353" ht="14.25" customHeight="1">
      <c r="A353" s="247" t="s">
        <v>78</v>
      </c>
      <c r="B353" s="526" t="s">
        <v>79</v>
      </c>
      <c r="C353" s="247"/>
      <c r="D353" s="247" t="s">
        <v>80</v>
      </c>
      <c r="E353" s="304"/>
      <c r="F353" s="347"/>
      <c r="G353" s="528"/>
      <c r="H353" s="528"/>
      <c r="I353" s="528"/>
      <c r="J353" s="528"/>
      <c r="K353" s="530"/>
      <c r="L353" s="530"/>
      <c r="M353" s="349"/>
      <c r="N353" s="247"/>
      <c r="O353" s="80"/>
      <c r="P353" s="247"/>
      <c r="Q353" s="347"/>
      <c r="R353" s="248"/>
      <c r="S353" s="304"/>
      <c r="T353" s="304"/>
      <c r="U353" s="247"/>
      <c r="V353" s="304"/>
      <c r="W353" s="304"/>
      <c r="X353" s="248"/>
      <c r="Y353" s="304"/>
      <c r="Z353" s="248"/>
      <c r="AA353" s="82"/>
      <c r="AB353" s="82"/>
      <c r="AC353" s="82"/>
      <c r="AD353" s="82"/>
      <c r="AE353" s="82"/>
      <c r="AF353" s="82"/>
      <c r="AG353" s="82"/>
      <c r="AH353" s="82"/>
      <c r="AI353" s="82"/>
    </row>
    <row r="354" ht="14.25" customHeight="1">
      <c r="A354" s="307"/>
      <c r="B354" s="453"/>
      <c r="C354" s="307"/>
      <c r="D354" s="454"/>
      <c r="E354" s="455"/>
      <c r="F354" s="490"/>
      <c r="G354" s="490"/>
      <c r="H354" s="490"/>
      <c r="I354" s="479"/>
      <c r="J354" s="479"/>
      <c r="K354" s="479"/>
      <c r="L354" s="479"/>
      <c r="M354" s="479"/>
      <c r="N354" s="490"/>
      <c r="O354" s="490"/>
      <c r="P354" s="490"/>
      <c r="Q354" s="490"/>
      <c r="R354" s="490"/>
      <c r="S354" s="490"/>
      <c r="T354" s="490"/>
    </row>
    <row r="355" ht="14.25" customHeight="1">
      <c r="A355" s="307"/>
      <c r="B355" s="453"/>
      <c r="C355" s="307"/>
      <c r="D355" s="454"/>
      <c r="E355" s="455"/>
      <c r="F355" s="490"/>
      <c r="G355" s="490"/>
      <c r="H355" s="490"/>
      <c r="I355" s="479"/>
      <c r="J355" s="479"/>
      <c r="K355" s="479"/>
      <c r="L355" s="479"/>
      <c r="M355" s="479"/>
      <c r="N355" s="490"/>
      <c r="O355" s="490"/>
      <c r="P355" s="490"/>
      <c r="Q355" s="490"/>
      <c r="R355" s="490"/>
      <c r="S355" s="490"/>
      <c r="T355" s="490"/>
    </row>
    <row r="356" ht="14.25" customHeight="1">
      <c r="A356" s="307"/>
      <c r="B356" s="453"/>
      <c r="C356" s="307"/>
      <c r="D356" s="454"/>
      <c r="E356" s="455"/>
      <c r="F356" s="490"/>
      <c r="G356" s="490"/>
      <c r="H356" s="490"/>
      <c r="I356" s="479"/>
      <c r="J356" s="479"/>
      <c r="K356" s="479"/>
      <c r="L356" s="479"/>
      <c r="M356" s="479"/>
      <c r="N356" s="490"/>
      <c r="O356" s="490"/>
      <c r="P356" s="490"/>
      <c r="Q356" s="490"/>
      <c r="R356" s="490"/>
      <c r="S356" s="490"/>
      <c r="T356" s="490"/>
    </row>
    <row r="357" ht="14.25" customHeight="1">
      <c r="A357" s="307"/>
      <c r="B357" s="453"/>
      <c r="C357" s="307"/>
      <c r="D357" s="454"/>
      <c r="E357" s="455"/>
      <c r="F357" s="490"/>
      <c r="G357" s="490"/>
      <c r="H357" s="490"/>
      <c r="I357" s="479"/>
      <c r="J357" s="479"/>
      <c r="K357" s="479"/>
      <c r="L357" s="479"/>
      <c r="M357" s="479"/>
      <c r="N357" s="490"/>
      <c r="O357" s="490"/>
      <c r="P357" s="490"/>
      <c r="Q357" s="490"/>
      <c r="R357" s="490"/>
      <c r="S357" s="490"/>
      <c r="T357" s="490"/>
    </row>
    <row r="358" ht="14.25" customHeight="1">
      <c r="A358" s="307"/>
      <c r="B358" s="453"/>
      <c r="C358" s="307"/>
      <c r="D358" s="454"/>
      <c r="E358" s="455"/>
      <c r="F358" s="490"/>
      <c r="G358" s="490"/>
      <c r="H358" s="490"/>
      <c r="I358" s="479"/>
      <c r="J358" s="479"/>
      <c r="K358" s="479"/>
      <c r="L358" s="479"/>
      <c r="M358" s="479"/>
      <c r="N358" s="490"/>
      <c r="O358" s="490"/>
      <c r="P358" s="490"/>
      <c r="Q358" s="490"/>
      <c r="R358" s="490"/>
      <c r="S358" s="490"/>
      <c r="T358" s="490"/>
    </row>
    <row r="359" ht="14.25" customHeight="1">
      <c r="A359" s="307"/>
      <c r="B359" s="453"/>
      <c r="C359" s="307"/>
      <c r="D359" s="454"/>
      <c r="E359" s="455"/>
      <c r="F359" s="490"/>
      <c r="G359" s="490"/>
      <c r="H359" s="490"/>
      <c r="I359" s="479"/>
      <c r="J359" s="479"/>
      <c r="K359" s="479"/>
      <c r="L359" s="479"/>
      <c r="M359" s="479"/>
      <c r="N359" s="490"/>
      <c r="O359" s="490"/>
      <c r="P359" s="490"/>
      <c r="Q359" s="490"/>
      <c r="R359" s="490"/>
      <c r="S359" s="490"/>
      <c r="T359" s="490"/>
    </row>
    <row r="360" ht="14.25" customHeight="1">
      <c r="A360" s="307"/>
      <c r="B360" s="453"/>
      <c r="C360" s="307"/>
      <c r="D360" s="454"/>
      <c r="E360" s="455"/>
      <c r="F360" s="490"/>
      <c r="G360" s="490"/>
      <c r="H360" s="490"/>
      <c r="I360" s="479"/>
      <c r="J360" s="479"/>
      <c r="K360" s="479"/>
      <c r="L360" s="479"/>
      <c r="M360" s="479"/>
      <c r="N360" s="490"/>
      <c r="O360" s="490"/>
      <c r="P360" s="490"/>
      <c r="Q360" s="490"/>
      <c r="R360" s="490"/>
      <c r="S360" s="490"/>
      <c r="T360" s="490"/>
    </row>
    <row r="361" ht="14.25" customHeight="1">
      <c r="A361" s="307"/>
      <c r="B361" s="453"/>
      <c r="C361" s="307"/>
      <c r="D361" s="454"/>
      <c r="E361" s="455"/>
      <c r="F361" s="490"/>
      <c r="G361" s="490"/>
      <c r="H361" s="490"/>
      <c r="I361" s="479"/>
      <c r="J361" s="479"/>
      <c r="K361" s="479"/>
      <c r="L361" s="479"/>
      <c r="M361" s="479"/>
      <c r="N361" s="490"/>
      <c r="O361" s="490"/>
      <c r="P361" s="490"/>
      <c r="Q361" s="490"/>
      <c r="R361" s="490"/>
      <c r="S361" s="490"/>
      <c r="T361" s="490"/>
    </row>
    <row r="362" ht="14.25" customHeight="1">
      <c r="A362" s="307"/>
      <c r="B362" s="453"/>
      <c r="C362" s="307"/>
      <c r="D362" s="454"/>
      <c r="E362" s="455"/>
      <c r="F362" s="490"/>
      <c r="G362" s="490"/>
      <c r="H362" s="490"/>
      <c r="I362" s="479"/>
      <c r="J362" s="479"/>
      <c r="K362" s="479"/>
      <c r="L362" s="479"/>
      <c r="M362" s="479"/>
      <c r="N362" s="490"/>
      <c r="O362" s="490"/>
      <c r="P362" s="490"/>
      <c r="Q362" s="490"/>
      <c r="R362" s="490"/>
      <c r="S362" s="490"/>
      <c r="T362" s="490"/>
    </row>
    <row r="363" ht="14.25" customHeight="1">
      <c r="A363" s="307"/>
      <c r="B363" s="453"/>
      <c r="C363" s="307"/>
      <c r="D363" s="454"/>
      <c r="E363" s="455"/>
      <c r="F363" s="490"/>
      <c r="G363" s="490"/>
      <c r="H363" s="490"/>
      <c r="I363" s="479"/>
      <c r="J363" s="479"/>
      <c r="K363" s="479"/>
      <c r="L363" s="479"/>
      <c r="M363" s="479"/>
      <c r="N363" s="490"/>
      <c r="O363" s="490"/>
      <c r="P363" s="490"/>
      <c r="Q363" s="490"/>
      <c r="R363" s="490"/>
      <c r="S363" s="490"/>
      <c r="T363" s="490"/>
    </row>
    <row r="364" ht="14.25" customHeight="1">
      <c r="A364" s="307"/>
      <c r="B364" s="453"/>
      <c r="C364" s="307"/>
      <c r="D364" s="454"/>
      <c r="E364" s="455"/>
      <c r="F364" s="490"/>
      <c r="G364" s="490"/>
      <c r="H364" s="490"/>
      <c r="I364" s="479"/>
      <c r="J364" s="479"/>
      <c r="K364" s="479"/>
      <c r="L364" s="479"/>
      <c r="M364" s="479"/>
      <c r="N364" s="490"/>
      <c r="O364" s="490"/>
      <c r="P364" s="490"/>
      <c r="Q364" s="490"/>
      <c r="R364" s="490"/>
      <c r="S364" s="490"/>
      <c r="T364" s="490"/>
    </row>
    <row r="365" ht="14.25" customHeight="1">
      <c r="A365" s="307"/>
      <c r="B365" s="453"/>
      <c r="C365" s="307"/>
      <c r="D365" s="454"/>
      <c r="E365" s="455"/>
      <c r="F365" s="490"/>
      <c r="G365" s="490"/>
      <c r="H365" s="490"/>
      <c r="I365" s="479"/>
      <c r="J365" s="479"/>
      <c r="K365" s="479"/>
      <c r="L365" s="479"/>
      <c r="M365" s="479"/>
      <c r="N365" s="490"/>
      <c r="O365" s="490"/>
      <c r="P365" s="490"/>
      <c r="Q365" s="490"/>
      <c r="R365" s="490"/>
      <c r="S365" s="490"/>
      <c r="T365" s="490"/>
    </row>
    <row r="366" ht="14.25" customHeight="1">
      <c r="A366" s="307"/>
      <c r="B366" s="453"/>
      <c r="C366" s="307"/>
      <c r="D366" s="454"/>
      <c r="E366" s="455"/>
      <c r="F366" s="490"/>
      <c r="G366" s="490"/>
      <c r="H366" s="490"/>
      <c r="I366" s="479"/>
      <c r="J366" s="479"/>
      <c r="K366" s="479"/>
      <c r="L366" s="479"/>
      <c r="M366" s="479"/>
      <c r="N366" s="490"/>
      <c r="O366" s="490"/>
      <c r="P366" s="490"/>
      <c r="Q366" s="490"/>
      <c r="R366" s="490"/>
      <c r="S366" s="490"/>
      <c r="T366" s="490"/>
    </row>
    <row r="367" ht="14.25" customHeight="1">
      <c r="A367" s="307"/>
      <c r="B367" s="453"/>
      <c r="C367" s="307"/>
      <c r="D367" s="454"/>
      <c r="E367" s="455"/>
      <c r="F367" s="490"/>
      <c r="G367" s="490"/>
      <c r="H367" s="490"/>
      <c r="I367" s="479"/>
      <c r="J367" s="479"/>
      <c r="K367" s="479"/>
      <c r="L367" s="479"/>
      <c r="M367" s="479"/>
      <c r="N367" s="490"/>
      <c r="O367" s="490"/>
      <c r="P367" s="490"/>
      <c r="Q367" s="490"/>
      <c r="R367" s="490"/>
      <c r="S367" s="490"/>
      <c r="T367" s="490"/>
    </row>
    <row r="368" ht="14.25" customHeight="1">
      <c r="A368" s="307"/>
      <c r="B368" s="453"/>
      <c r="C368" s="307"/>
      <c r="D368" s="454"/>
      <c r="E368" s="455"/>
      <c r="F368" s="490"/>
      <c r="G368" s="490"/>
      <c r="H368" s="490"/>
      <c r="I368" s="479"/>
      <c r="J368" s="479"/>
      <c r="K368" s="479"/>
      <c r="L368" s="479"/>
      <c r="M368" s="479"/>
      <c r="N368" s="490"/>
      <c r="O368" s="490"/>
      <c r="P368" s="490"/>
      <c r="Q368" s="490"/>
      <c r="R368" s="490"/>
      <c r="S368" s="490"/>
      <c r="T368" s="490"/>
    </row>
    <row r="369" ht="14.25" customHeight="1">
      <c r="A369" s="307"/>
      <c r="B369" s="453"/>
      <c r="C369" s="307"/>
      <c r="D369" s="454"/>
      <c r="E369" s="455"/>
      <c r="F369" s="490"/>
      <c r="G369" s="490"/>
      <c r="H369" s="490"/>
      <c r="I369" s="479"/>
      <c r="J369" s="479"/>
      <c r="K369" s="479"/>
      <c r="L369" s="479"/>
      <c r="M369" s="479"/>
      <c r="N369" s="490"/>
      <c r="O369" s="490"/>
      <c r="P369" s="490"/>
      <c r="Q369" s="490"/>
      <c r="R369" s="490"/>
      <c r="S369" s="490"/>
      <c r="T369" s="490"/>
    </row>
    <row r="370" ht="14.25" customHeight="1">
      <c r="A370" s="307"/>
      <c r="B370" s="453"/>
      <c r="C370" s="307"/>
      <c r="D370" s="454"/>
      <c r="E370" s="455"/>
      <c r="F370" s="490"/>
      <c r="G370" s="490"/>
      <c r="H370" s="490"/>
      <c r="I370" s="479"/>
      <c r="J370" s="479"/>
      <c r="K370" s="479"/>
      <c r="L370" s="479"/>
      <c r="M370" s="479"/>
      <c r="N370" s="490"/>
      <c r="O370" s="490"/>
      <c r="P370" s="490"/>
      <c r="Q370" s="490"/>
      <c r="R370" s="490"/>
      <c r="S370" s="490"/>
      <c r="T370" s="490"/>
    </row>
    <row r="371" ht="14.25" customHeight="1">
      <c r="A371" s="307"/>
      <c r="B371" s="453"/>
      <c r="C371" s="307"/>
      <c r="D371" s="454"/>
      <c r="E371" s="455"/>
      <c r="F371" s="490"/>
      <c r="G371" s="490"/>
      <c r="H371" s="490"/>
      <c r="I371" s="479"/>
      <c r="J371" s="479"/>
      <c r="K371" s="479"/>
      <c r="L371" s="479"/>
      <c r="M371" s="479"/>
      <c r="N371" s="490"/>
      <c r="O371" s="490"/>
      <c r="P371" s="490"/>
      <c r="Q371" s="490"/>
      <c r="R371" s="490"/>
      <c r="S371" s="490"/>
      <c r="T371" s="490"/>
    </row>
    <row r="372" ht="14.25" customHeight="1">
      <c r="A372" s="307"/>
      <c r="B372" s="453"/>
      <c r="C372" s="307"/>
      <c r="D372" s="454"/>
      <c r="E372" s="455"/>
      <c r="F372" s="490"/>
      <c r="G372" s="490"/>
      <c r="H372" s="490"/>
      <c r="I372" s="479"/>
      <c r="J372" s="479"/>
      <c r="K372" s="479"/>
      <c r="L372" s="479"/>
      <c r="M372" s="479"/>
      <c r="N372" s="490"/>
      <c r="O372" s="490"/>
      <c r="P372" s="490"/>
      <c r="Q372" s="490"/>
      <c r="R372" s="490"/>
      <c r="S372" s="490"/>
      <c r="T372" s="490"/>
    </row>
    <row r="373" ht="14.25" customHeight="1">
      <c r="A373" s="307"/>
      <c r="B373" s="453"/>
      <c r="C373" s="307"/>
      <c r="D373" s="454"/>
      <c r="E373" s="455"/>
      <c r="F373" s="490"/>
      <c r="G373" s="490"/>
      <c r="H373" s="490"/>
      <c r="I373" s="479"/>
      <c r="J373" s="479"/>
      <c r="K373" s="479"/>
      <c r="L373" s="479"/>
      <c r="M373" s="479"/>
      <c r="N373" s="490"/>
      <c r="O373" s="490"/>
      <c r="P373" s="490"/>
      <c r="Q373" s="490"/>
      <c r="R373" s="490"/>
      <c r="S373" s="490"/>
      <c r="T373" s="490"/>
    </row>
    <row r="374" ht="14.25" customHeight="1">
      <c r="A374" s="307"/>
      <c r="B374" s="453"/>
      <c r="C374" s="307"/>
      <c r="D374" s="454"/>
      <c r="E374" s="455"/>
      <c r="F374" s="490"/>
      <c r="G374" s="490"/>
      <c r="H374" s="490"/>
      <c r="I374" s="479"/>
      <c r="J374" s="479"/>
      <c r="K374" s="479"/>
      <c r="L374" s="479"/>
      <c r="M374" s="479"/>
      <c r="N374" s="490"/>
      <c r="O374" s="490"/>
      <c r="P374" s="490"/>
      <c r="Q374" s="490"/>
      <c r="R374" s="490"/>
      <c r="S374" s="490"/>
      <c r="T374" s="490"/>
    </row>
    <row r="375" ht="14.25" customHeight="1">
      <c r="A375" s="307"/>
      <c r="B375" s="453"/>
      <c r="C375" s="307"/>
      <c r="D375" s="454"/>
      <c r="E375" s="455"/>
      <c r="F375" s="490"/>
      <c r="G375" s="490"/>
      <c r="H375" s="490"/>
      <c r="I375" s="479"/>
      <c r="J375" s="479"/>
      <c r="K375" s="479"/>
      <c r="L375" s="479"/>
      <c r="M375" s="479"/>
      <c r="N375" s="490"/>
      <c r="O375" s="490"/>
      <c r="P375" s="490"/>
      <c r="Q375" s="490"/>
      <c r="R375" s="490"/>
      <c r="S375" s="490"/>
      <c r="T375" s="490"/>
    </row>
    <row r="376" ht="14.25" customHeight="1">
      <c r="A376" s="307"/>
      <c r="B376" s="453"/>
      <c r="C376" s="307"/>
      <c r="D376" s="454"/>
      <c r="E376" s="455"/>
      <c r="F376" s="490"/>
      <c r="G376" s="490"/>
      <c r="H376" s="490"/>
      <c r="I376" s="479"/>
      <c r="J376" s="479"/>
      <c r="K376" s="479"/>
      <c r="L376" s="479"/>
      <c r="M376" s="479"/>
      <c r="N376" s="490"/>
      <c r="O376" s="490"/>
      <c r="P376" s="490"/>
      <c r="Q376" s="490"/>
      <c r="R376" s="490"/>
      <c r="S376" s="490"/>
      <c r="T376" s="490"/>
    </row>
    <row r="377" ht="14.25" customHeight="1">
      <c r="A377" s="307"/>
      <c r="B377" s="453"/>
      <c r="C377" s="307"/>
      <c r="D377" s="454"/>
      <c r="E377" s="455"/>
      <c r="F377" s="490"/>
      <c r="G377" s="490"/>
      <c r="H377" s="490"/>
      <c r="I377" s="479"/>
      <c r="J377" s="479"/>
      <c r="K377" s="479"/>
      <c r="L377" s="479"/>
      <c r="M377" s="479"/>
      <c r="N377" s="490"/>
      <c r="O377" s="490"/>
      <c r="P377" s="490"/>
      <c r="Q377" s="490"/>
      <c r="R377" s="490"/>
      <c r="S377" s="490"/>
      <c r="T377" s="490"/>
    </row>
    <row r="378" ht="14.25" customHeight="1">
      <c r="A378" s="307"/>
      <c r="B378" s="453"/>
      <c r="C378" s="307"/>
      <c r="D378" s="454"/>
      <c r="E378" s="455"/>
      <c r="F378" s="490"/>
      <c r="G378" s="490"/>
      <c r="H378" s="490"/>
      <c r="I378" s="479"/>
      <c r="J378" s="490"/>
      <c r="K378" s="479"/>
      <c r="L378" s="479"/>
      <c r="M378" s="479"/>
      <c r="N378" s="490"/>
      <c r="O378" s="479"/>
      <c r="P378" s="490"/>
      <c r="Q378" s="490"/>
      <c r="R378" s="490"/>
      <c r="S378" s="490"/>
      <c r="T378" s="490"/>
    </row>
    <row r="379" ht="14.25" customHeight="1">
      <c r="A379" s="307"/>
      <c r="B379" s="453"/>
      <c r="C379" s="307"/>
      <c r="D379" s="454"/>
      <c r="E379" s="455"/>
      <c r="F379" s="490"/>
      <c r="G379" s="490"/>
      <c r="H379" s="490"/>
      <c r="I379" s="479"/>
      <c r="J379" s="490"/>
      <c r="K379" s="479"/>
      <c r="L379" s="479"/>
      <c r="M379" s="479"/>
      <c r="N379" s="490"/>
      <c r="O379" s="479"/>
      <c r="P379" s="490"/>
      <c r="Q379" s="490"/>
      <c r="R379" s="490"/>
      <c r="S379" s="490"/>
      <c r="T379" s="490"/>
    </row>
    <row r="380" ht="14.25" customHeight="1">
      <c r="A380" s="307"/>
      <c r="B380" s="453"/>
      <c r="C380" s="307"/>
      <c r="D380" s="454"/>
      <c r="E380" s="455"/>
      <c r="F380" s="490"/>
      <c r="G380" s="490"/>
      <c r="H380" s="490"/>
      <c r="I380" s="479"/>
      <c r="J380" s="490"/>
      <c r="K380" s="479"/>
      <c r="L380" s="479"/>
      <c r="M380" s="479"/>
      <c r="N380" s="490"/>
      <c r="O380" s="479"/>
      <c r="P380" s="490"/>
      <c r="Q380" s="490"/>
      <c r="R380" s="490"/>
      <c r="S380" s="490"/>
      <c r="T380" s="490"/>
    </row>
    <row r="381" ht="14.25" customHeight="1">
      <c r="A381" s="307"/>
      <c r="B381" s="453"/>
      <c r="C381" s="307"/>
      <c r="D381" s="454"/>
      <c r="E381" s="455"/>
      <c r="F381" s="490"/>
      <c r="G381" s="490"/>
      <c r="H381" s="531"/>
      <c r="I381" s="479"/>
      <c r="J381" s="490"/>
      <c r="K381" s="479"/>
      <c r="L381" s="479"/>
      <c r="M381" s="479"/>
      <c r="N381" s="490"/>
      <c r="O381" s="479"/>
      <c r="P381" s="490"/>
      <c r="Q381" s="490"/>
      <c r="R381" s="490"/>
      <c r="S381" s="490"/>
      <c r="T381" s="531"/>
    </row>
    <row r="382" ht="14.25" customHeight="1">
      <c r="A382" s="307"/>
      <c r="B382" s="453"/>
      <c r="C382" s="307"/>
      <c r="D382" s="454"/>
      <c r="E382" s="455"/>
      <c r="F382" s="490"/>
      <c r="G382" s="490"/>
      <c r="H382" s="479"/>
      <c r="I382" s="479"/>
      <c r="J382" s="479"/>
      <c r="K382" s="479"/>
      <c r="L382" s="490"/>
      <c r="M382" s="479"/>
      <c r="N382" s="490"/>
      <c r="O382" s="490"/>
      <c r="P382" s="490"/>
      <c r="Q382" s="479"/>
      <c r="R382" s="479"/>
      <c r="S382" s="479"/>
      <c r="T382" s="479"/>
    </row>
    <row r="383" ht="14.25" customHeight="1">
      <c r="A383" s="307"/>
      <c r="B383" s="453"/>
      <c r="C383" s="307"/>
      <c r="D383" s="454"/>
      <c r="E383" s="455"/>
      <c r="F383" s="479"/>
      <c r="G383" s="479"/>
      <c r="H383" s="479"/>
      <c r="I383" s="479"/>
      <c r="J383" s="479"/>
      <c r="K383" s="479"/>
      <c r="L383" s="479"/>
      <c r="M383" s="479"/>
      <c r="N383" s="479"/>
      <c r="O383" s="479"/>
      <c r="P383" s="479"/>
      <c r="Q383" s="479"/>
      <c r="R383" s="479"/>
      <c r="S383" s="479"/>
      <c r="T383" s="479"/>
    </row>
    <row r="384" ht="14.25" customHeight="1">
      <c r="A384" s="307"/>
      <c r="B384" s="453"/>
      <c r="C384" s="307"/>
      <c r="D384" s="454"/>
      <c r="E384" s="455"/>
      <c r="F384" s="479"/>
      <c r="G384" s="479"/>
      <c r="H384" s="479"/>
      <c r="I384" s="479"/>
      <c r="J384" s="479"/>
      <c r="K384" s="479"/>
      <c r="L384" s="479"/>
      <c r="M384" s="479"/>
      <c r="N384" s="479"/>
      <c r="O384" s="479"/>
      <c r="P384" s="479"/>
      <c r="Q384" s="479"/>
      <c r="R384" s="479"/>
      <c r="S384" s="479"/>
      <c r="T384" s="479"/>
    </row>
    <row r="385" ht="14.25" customHeight="1">
      <c r="A385" s="307"/>
      <c r="B385" s="453"/>
      <c r="C385" s="307"/>
      <c r="D385" s="454"/>
      <c r="E385" s="455"/>
      <c r="F385" s="479"/>
      <c r="G385" s="479"/>
      <c r="H385" s="479"/>
      <c r="I385" s="479"/>
      <c r="J385" s="479"/>
      <c r="K385" s="479"/>
      <c r="L385" s="479"/>
      <c r="M385" s="479"/>
      <c r="N385" s="479"/>
      <c r="O385" s="479"/>
      <c r="P385" s="479"/>
      <c r="Q385" s="479"/>
      <c r="R385" s="479"/>
      <c r="S385" s="479"/>
      <c r="T385" s="479"/>
    </row>
    <row r="386" ht="14.25" customHeight="1">
      <c r="A386" s="307"/>
      <c r="B386" s="453"/>
      <c r="C386" s="307"/>
      <c r="D386" s="454"/>
      <c r="E386" s="455"/>
      <c r="F386" s="479"/>
      <c r="G386" s="479"/>
      <c r="H386" s="479"/>
      <c r="I386" s="479"/>
      <c r="J386" s="479"/>
      <c r="K386" s="479"/>
      <c r="L386" s="479"/>
      <c r="M386" s="479"/>
      <c r="N386" s="479"/>
      <c r="O386" s="479"/>
      <c r="P386" s="479"/>
      <c r="Q386" s="479"/>
      <c r="R386" s="479"/>
      <c r="S386" s="479"/>
      <c r="T386" s="479"/>
    </row>
    <row r="387" ht="14.25" customHeight="1">
      <c r="A387" s="307"/>
      <c r="B387" s="453"/>
      <c r="C387" s="307"/>
      <c r="D387" s="454"/>
      <c r="E387" s="455"/>
      <c r="F387" s="479"/>
      <c r="G387" s="479"/>
      <c r="H387" s="479"/>
      <c r="I387" s="479"/>
      <c r="J387" s="479"/>
      <c r="K387" s="479"/>
      <c r="L387" s="479"/>
      <c r="M387" s="479"/>
      <c r="N387" s="479"/>
      <c r="O387" s="479"/>
      <c r="P387" s="479"/>
      <c r="Q387" s="479"/>
      <c r="R387" s="479"/>
      <c r="S387" s="479"/>
      <c r="T387" s="479"/>
    </row>
    <row r="388" ht="14.25" customHeight="1">
      <c r="A388" s="307"/>
      <c r="B388" s="453"/>
      <c r="C388" s="307"/>
      <c r="D388" s="454"/>
      <c r="E388" s="455"/>
      <c r="F388" s="479"/>
      <c r="G388" s="479"/>
      <c r="H388" s="479"/>
      <c r="I388" s="479"/>
      <c r="J388" s="479"/>
      <c r="K388" s="479"/>
      <c r="L388" s="479"/>
      <c r="M388" s="479"/>
      <c r="N388" s="479"/>
      <c r="O388" s="479"/>
      <c r="P388" s="479"/>
      <c r="Q388" s="479"/>
      <c r="R388" s="479"/>
      <c r="S388" s="479"/>
      <c r="T388" s="479"/>
    </row>
    <row r="389" ht="14.25" customHeight="1">
      <c r="A389" s="307"/>
      <c r="B389" s="453"/>
      <c r="C389" s="307"/>
      <c r="D389" s="454"/>
      <c r="E389" s="455"/>
      <c r="F389" s="479"/>
      <c r="G389" s="479"/>
      <c r="H389" s="479"/>
      <c r="I389" s="479"/>
      <c r="J389" s="479"/>
      <c r="K389" s="479"/>
      <c r="L389" s="479"/>
      <c r="M389" s="479"/>
      <c r="N389" s="479"/>
      <c r="O389" s="479"/>
      <c r="P389" s="479"/>
      <c r="Q389" s="479"/>
      <c r="R389" s="479"/>
      <c r="S389" s="479"/>
      <c r="T389" s="479"/>
    </row>
    <row r="390" ht="14.25" customHeight="1">
      <c r="A390" s="307"/>
      <c r="B390" s="453"/>
      <c r="C390" s="307"/>
      <c r="D390" s="454"/>
      <c r="E390" s="455"/>
      <c r="F390" s="479"/>
      <c r="G390" s="479"/>
      <c r="H390" s="479"/>
      <c r="I390" s="479"/>
      <c r="J390" s="479"/>
      <c r="K390" s="479"/>
      <c r="L390" s="479"/>
      <c r="M390" s="479"/>
      <c r="N390" s="479"/>
      <c r="O390" s="479"/>
      <c r="P390" s="479"/>
      <c r="Q390" s="479"/>
      <c r="R390" s="479"/>
      <c r="S390" s="479"/>
      <c r="T390" s="479"/>
    </row>
    <row r="391" ht="14.25" customHeight="1">
      <c r="A391" s="307"/>
      <c r="B391" s="453"/>
      <c r="C391" s="307"/>
      <c r="D391" s="454"/>
      <c r="E391" s="455"/>
      <c r="F391" s="479"/>
      <c r="G391" s="479"/>
      <c r="H391" s="479"/>
      <c r="I391" s="479"/>
      <c r="J391" s="479"/>
      <c r="K391" s="479"/>
      <c r="L391" s="479"/>
      <c r="M391" s="479"/>
      <c r="N391" s="479"/>
      <c r="O391" s="479"/>
      <c r="P391" s="479"/>
      <c r="Q391" s="479"/>
      <c r="R391" s="479"/>
      <c r="S391" s="479"/>
      <c r="T391" s="479"/>
    </row>
    <row r="392" ht="14.25" customHeight="1">
      <c r="A392" s="307"/>
      <c r="B392" s="453"/>
      <c r="C392" s="307"/>
      <c r="D392" s="454"/>
      <c r="E392" s="455"/>
      <c r="F392" s="479"/>
      <c r="G392" s="479"/>
      <c r="H392" s="479"/>
      <c r="I392" s="479"/>
      <c r="J392" s="479"/>
      <c r="K392" s="479"/>
      <c r="L392" s="479"/>
      <c r="M392" s="479"/>
      <c r="N392" s="479"/>
      <c r="O392" s="479"/>
      <c r="P392" s="479"/>
      <c r="Q392" s="479"/>
      <c r="R392" s="479"/>
      <c r="S392" s="479"/>
      <c r="T392" s="479"/>
    </row>
    <row r="393" ht="14.25" customHeight="1">
      <c r="A393" s="307"/>
      <c r="B393" s="453"/>
      <c r="C393" s="307"/>
      <c r="D393" s="454"/>
      <c r="E393" s="455"/>
      <c r="F393" s="479"/>
      <c r="G393" s="479"/>
      <c r="H393" s="479"/>
      <c r="I393" s="479"/>
      <c r="J393" s="479"/>
      <c r="K393" s="479"/>
      <c r="L393" s="479"/>
      <c r="M393" s="479"/>
      <c r="N393" s="479"/>
      <c r="O393" s="479"/>
      <c r="P393" s="479"/>
      <c r="Q393" s="479"/>
      <c r="R393" s="479"/>
      <c r="S393" s="479"/>
      <c r="T393" s="479"/>
    </row>
    <row r="394" ht="14.25" customHeight="1">
      <c r="A394" s="307"/>
      <c r="B394" s="453"/>
      <c r="C394" s="307"/>
      <c r="D394" s="454"/>
      <c r="E394" s="455"/>
      <c r="F394" s="479"/>
      <c r="G394" s="479"/>
      <c r="H394" s="479"/>
      <c r="I394" s="479"/>
      <c r="J394" s="479"/>
      <c r="K394" s="479"/>
      <c r="L394" s="479"/>
      <c r="M394" s="479"/>
      <c r="N394" s="479"/>
      <c r="O394" s="479"/>
      <c r="P394" s="479"/>
      <c r="Q394" s="479"/>
      <c r="R394" s="479"/>
      <c r="S394" s="479"/>
      <c r="T394" s="479"/>
    </row>
    <row r="395" ht="14.25" customHeight="1">
      <c r="A395" s="307"/>
      <c r="B395" s="453"/>
      <c r="C395" s="307"/>
      <c r="D395" s="454"/>
      <c r="E395" s="455"/>
      <c r="F395" s="479"/>
      <c r="G395" s="479"/>
      <c r="H395" s="479"/>
      <c r="I395" s="479"/>
      <c r="J395" s="479"/>
      <c r="K395" s="479"/>
      <c r="L395" s="479"/>
      <c r="M395" s="479"/>
      <c r="N395" s="479"/>
      <c r="O395" s="479"/>
      <c r="P395" s="479"/>
      <c r="Q395" s="479"/>
      <c r="R395" s="479"/>
      <c r="S395" s="479"/>
      <c r="T395" s="479"/>
    </row>
    <row r="396" ht="14.25" customHeight="1">
      <c r="A396" s="307"/>
      <c r="B396" s="453"/>
      <c r="C396" s="307"/>
      <c r="D396" s="454"/>
      <c r="E396" s="455"/>
      <c r="F396" s="479"/>
      <c r="G396" s="479"/>
      <c r="H396" s="479"/>
      <c r="I396" s="479"/>
      <c r="J396" s="479"/>
      <c r="K396" s="479"/>
      <c r="L396" s="479"/>
      <c r="M396" s="479"/>
      <c r="N396" s="479"/>
      <c r="O396" s="479"/>
      <c r="P396" s="479"/>
      <c r="Q396" s="479"/>
      <c r="R396" s="479"/>
      <c r="S396" s="479"/>
      <c r="T396" s="479"/>
    </row>
    <row r="397" ht="14.25" customHeight="1">
      <c r="A397" s="307"/>
      <c r="B397" s="453"/>
      <c r="C397" s="307"/>
      <c r="D397" s="454"/>
      <c r="E397" s="455"/>
      <c r="F397" s="479"/>
      <c r="G397" s="479"/>
      <c r="H397" s="479"/>
      <c r="I397" s="479"/>
      <c r="J397" s="479"/>
      <c r="K397" s="479"/>
      <c r="L397" s="479"/>
      <c r="M397" s="479"/>
      <c r="N397" s="479"/>
      <c r="O397" s="479"/>
      <c r="P397" s="479"/>
      <c r="Q397" s="479"/>
      <c r="R397" s="479"/>
      <c r="S397" s="479"/>
      <c r="T397" s="479"/>
    </row>
    <row r="398" ht="14.25" customHeight="1">
      <c r="A398" s="307"/>
      <c r="B398" s="453"/>
      <c r="C398" s="307"/>
      <c r="D398" s="454"/>
      <c r="E398" s="455"/>
      <c r="F398" s="479"/>
      <c r="G398" s="479"/>
      <c r="H398" s="479"/>
      <c r="I398" s="479"/>
      <c r="J398" s="479"/>
      <c r="K398" s="479"/>
      <c r="L398" s="479"/>
      <c r="M398" s="479"/>
      <c r="N398" s="479"/>
      <c r="O398" s="479"/>
      <c r="P398" s="479"/>
      <c r="Q398" s="479"/>
      <c r="R398" s="479"/>
      <c r="S398" s="479"/>
      <c r="T398" s="479"/>
    </row>
    <row r="399" ht="14.25" customHeight="1">
      <c r="A399" s="307"/>
      <c r="B399" s="453"/>
      <c r="C399" s="307"/>
      <c r="D399" s="454"/>
      <c r="E399" s="455"/>
      <c r="F399" s="479"/>
      <c r="G399" s="479"/>
      <c r="H399" s="479"/>
      <c r="I399" s="479"/>
      <c r="J399" s="479"/>
      <c r="K399" s="479"/>
      <c r="L399" s="479"/>
      <c r="M399" s="479"/>
      <c r="N399" s="479"/>
      <c r="O399" s="479"/>
      <c r="P399" s="479"/>
      <c r="Q399" s="479"/>
      <c r="R399" s="479"/>
      <c r="S399" s="479"/>
      <c r="T399" s="479"/>
    </row>
    <row r="400" ht="14.25" customHeight="1">
      <c r="A400" s="307"/>
      <c r="B400" s="453"/>
      <c r="C400" s="307"/>
      <c r="D400" s="454"/>
      <c r="E400" s="455"/>
      <c r="F400" s="479"/>
      <c r="G400" s="479"/>
      <c r="H400" s="479"/>
      <c r="I400" s="479"/>
      <c r="J400" s="479"/>
      <c r="K400" s="479"/>
      <c r="L400" s="479"/>
      <c r="M400" s="479"/>
      <c r="N400" s="479"/>
      <c r="O400" s="479"/>
      <c r="P400" s="479"/>
      <c r="Q400" s="479"/>
      <c r="R400" s="479"/>
      <c r="S400" s="479"/>
      <c r="T400" s="479"/>
    </row>
    <row r="401" ht="14.25" customHeight="1">
      <c r="A401" s="307"/>
      <c r="B401" s="453"/>
      <c r="C401" s="307"/>
      <c r="D401" s="454"/>
      <c r="E401" s="455"/>
      <c r="F401" s="479"/>
      <c r="G401" s="479"/>
      <c r="H401" s="479"/>
      <c r="I401" s="479"/>
      <c r="J401" s="479"/>
      <c r="K401" s="479"/>
      <c r="L401" s="479"/>
      <c r="M401" s="479"/>
      <c r="N401" s="479"/>
      <c r="O401" s="479"/>
      <c r="P401" s="479"/>
      <c r="Q401" s="479"/>
      <c r="R401" s="479"/>
      <c r="S401" s="479"/>
      <c r="T401" s="479"/>
    </row>
    <row r="402" ht="14.25" customHeight="1">
      <c r="A402" s="307"/>
      <c r="B402" s="453"/>
      <c r="C402" s="307"/>
      <c r="D402" s="454"/>
      <c r="E402" s="455"/>
      <c r="F402" s="479"/>
      <c r="G402" s="479"/>
      <c r="H402" s="479"/>
      <c r="I402" s="479"/>
      <c r="J402" s="479"/>
      <c r="K402" s="479"/>
      <c r="L402" s="479"/>
      <c r="M402" s="479"/>
      <c r="N402" s="479"/>
      <c r="O402" s="479"/>
      <c r="P402" s="479"/>
      <c r="Q402" s="479"/>
      <c r="R402" s="479"/>
      <c r="S402" s="479"/>
      <c r="T402" s="479"/>
    </row>
    <row r="403" ht="14.25" customHeight="1">
      <c r="A403" s="307"/>
      <c r="B403" s="453"/>
      <c r="C403" s="307"/>
      <c r="D403" s="454"/>
      <c r="E403" s="455"/>
      <c r="F403" s="479"/>
      <c r="G403" s="479"/>
      <c r="H403" s="479"/>
      <c r="I403" s="479"/>
      <c r="J403" s="479"/>
      <c r="K403" s="479"/>
      <c r="L403" s="479"/>
      <c r="M403" s="479"/>
      <c r="N403" s="479"/>
      <c r="O403" s="479"/>
      <c r="P403" s="479"/>
      <c r="Q403" s="479"/>
      <c r="R403" s="479"/>
      <c r="S403" s="479"/>
      <c r="T403" s="479"/>
    </row>
    <row r="404" ht="14.25" customHeight="1">
      <c r="A404" s="307"/>
      <c r="B404" s="453"/>
      <c r="C404" s="307"/>
      <c r="D404" s="454"/>
      <c r="E404" s="455"/>
      <c r="F404" s="479"/>
      <c r="G404" s="479"/>
      <c r="H404" s="479"/>
      <c r="I404" s="479"/>
      <c r="J404" s="479"/>
      <c r="K404" s="479"/>
      <c r="L404" s="479"/>
      <c r="M404" s="479"/>
      <c r="N404" s="479"/>
      <c r="O404" s="479"/>
      <c r="P404" s="479"/>
      <c r="Q404" s="479"/>
      <c r="R404" s="479"/>
      <c r="S404" s="479"/>
      <c r="T404" s="479"/>
    </row>
    <row r="405" ht="14.25" customHeight="1">
      <c r="A405" s="307"/>
      <c r="B405" s="453"/>
      <c r="C405" s="307"/>
      <c r="D405" s="454"/>
      <c r="E405" s="455"/>
      <c r="F405" s="479"/>
      <c r="G405" s="479"/>
      <c r="H405" s="479"/>
      <c r="I405" s="479"/>
      <c r="J405" s="479"/>
      <c r="K405" s="479"/>
      <c r="L405" s="479"/>
      <c r="M405" s="479"/>
      <c r="N405" s="479"/>
      <c r="O405" s="479"/>
      <c r="P405" s="479"/>
      <c r="Q405" s="479"/>
      <c r="R405" s="479"/>
      <c r="S405" s="479"/>
      <c r="T405" s="479"/>
    </row>
    <row r="406" ht="14.25" customHeight="1">
      <c r="A406" s="307"/>
      <c r="B406" s="453"/>
      <c r="C406" s="307"/>
      <c r="D406" s="454"/>
      <c r="E406" s="455"/>
      <c r="F406" s="479"/>
      <c r="G406" s="479"/>
      <c r="H406" s="479"/>
      <c r="I406" s="479"/>
      <c r="J406" s="479"/>
      <c r="K406" s="479"/>
      <c r="L406" s="479"/>
      <c r="M406" s="479"/>
      <c r="N406" s="479"/>
      <c r="O406" s="479"/>
      <c r="P406" s="479"/>
      <c r="Q406" s="479"/>
      <c r="R406" s="479"/>
      <c r="S406" s="479"/>
      <c r="T406" s="479"/>
    </row>
    <row r="407" ht="14.25" customHeight="1">
      <c r="A407" s="307"/>
      <c r="B407" s="453"/>
      <c r="C407" s="307"/>
      <c r="D407" s="454"/>
      <c r="E407" s="455"/>
      <c r="F407" s="479"/>
      <c r="G407" s="479"/>
      <c r="H407" s="479"/>
      <c r="I407" s="479"/>
      <c r="J407" s="479"/>
      <c r="K407" s="479"/>
      <c r="L407" s="479"/>
      <c r="M407" s="479"/>
      <c r="N407" s="479"/>
      <c r="O407" s="479"/>
      <c r="P407" s="479"/>
      <c r="Q407" s="479"/>
      <c r="R407" s="479"/>
      <c r="S407" s="479"/>
      <c r="T407" s="479"/>
    </row>
    <row r="408" ht="14.25" customHeight="1">
      <c r="A408" s="307"/>
      <c r="B408" s="453"/>
      <c r="C408" s="307"/>
      <c r="D408" s="454"/>
      <c r="E408" s="455"/>
      <c r="F408" s="479"/>
      <c r="G408" s="479"/>
      <c r="H408" s="479"/>
      <c r="I408" s="479"/>
      <c r="J408" s="479"/>
      <c r="K408" s="479"/>
      <c r="L408" s="479"/>
      <c r="M408" s="479"/>
      <c r="N408" s="479"/>
      <c r="O408" s="479"/>
      <c r="P408" s="479"/>
      <c r="Q408" s="479"/>
      <c r="R408" s="479"/>
      <c r="S408" s="479"/>
      <c r="T408" s="479"/>
    </row>
    <row r="409" ht="14.25" customHeight="1">
      <c r="A409" s="307"/>
      <c r="B409" s="453"/>
      <c r="C409" s="307"/>
      <c r="D409" s="454"/>
      <c r="E409" s="455"/>
      <c r="F409" s="479"/>
      <c r="G409" s="479"/>
      <c r="H409" s="479"/>
      <c r="I409" s="479"/>
      <c r="J409" s="479"/>
      <c r="K409" s="479"/>
      <c r="L409" s="479"/>
      <c r="M409" s="479"/>
      <c r="N409" s="479"/>
      <c r="O409" s="479"/>
      <c r="P409" s="479"/>
      <c r="Q409" s="479"/>
      <c r="R409" s="479"/>
      <c r="S409" s="479"/>
      <c r="T409" s="479"/>
    </row>
    <row r="410" ht="14.25" customHeight="1">
      <c r="A410" s="307"/>
      <c r="B410" s="453"/>
      <c r="C410" s="307"/>
      <c r="D410" s="454"/>
      <c r="E410" s="455"/>
      <c r="F410" s="479"/>
      <c r="G410" s="479"/>
      <c r="H410" s="479"/>
      <c r="I410" s="479"/>
      <c r="J410" s="479"/>
      <c r="K410" s="479"/>
      <c r="L410" s="479"/>
      <c r="M410" s="479"/>
      <c r="N410" s="479"/>
      <c r="O410" s="479"/>
      <c r="P410" s="479"/>
      <c r="Q410" s="479"/>
      <c r="R410" s="479"/>
      <c r="S410" s="479"/>
      <c r="T410" s="479"/>
    </row>
    <row r="411" ht="14.25" customHeight="1">
      <c r="A411" s="307"/>
      <c r="B411" s="453"/>
      <c r="C411" s="307"/>
      <c r="D411" s="454"/>
      <c r="E411" s="455"/>
      <c r="F411" s="479"/>
      <c r="G411" s="479"/>
      <c r="H411" s="479"/>
      <c r="I411" s="479"/>
      <c r="J411" s="479"/>
      <c r="K411" s="479"/>
      <c r="L411" s="479"/>
      <c r="M411" s="479"/>
      <c r="N411" s="479"/>
      <c r="O411" s="479"/>
      <c r="P411" s="479"/>
      <c r="Q411" s="479"/>
      <c r="R411" s="479"/>
      <c r="S411" s="479"/>
      <c r="T411" s="479"/>
    </row>
    <row r="412" ht="14.25" customHeight="1">
      <c r="A412" s="307"/>
      <c r="B412" s="453"/>
      <c r="C412" s="307"/>
      <c r="D412" s="454"/>
      <c r="E412" s="455"/>
      <c r="F412" s="479"/>
      <c r="G412" s="479"/>
      <c r="H412" s="479"/>
      <c r="I412" s="479"/>
      <c r="J412" s="479"/>
      <c r="K412" s="479"/>
      <c r="L412" s="479"/>
      <c r="M412" s="479"/>
      <c r="N412" s="479"/>
      <c r="O412" s="479"/>
      <c r="P412" s="479"/>
      <c r="Q412" s="479"/>
      <c r="R412" s="479"/>
      <c r="S412" s="479"/>
      <c r="T412" s="479"/>
    </row>
    <row r="413" ht="14.25" customHeight="1">
      <c r="A413" s="307"/>
      <c r="B413" s="453"/>
      <c r="C413" s="307"/>
      <c r="D413" s="454"/>
      <c r="E413" s="455"/>
      <c r="F413" s="479"/>
      <c r="G413" s="479"/>
      <c r="H413" s="479"/>
      <c r="I413" s="479"/>
      <c r="J413" s="479"/>
      <c r="K413" s="479"/>
      <c r="L413" s="479"/>
      <c r="M413" s="479"/>
      <c r="N413" s="479"/>
      <c r="O413" s="479"/>
      <c r="P413" s="479"/>
      <c r="Q413" s="479"/>
      <c r="R413" s="479"/>
      <c r="S413" s="479"/>
      <c r="T413" s="479"/>
    </row>
    <row r="414" ht="14.25" customHeight="1">
      <c r="A414" s="307"/>
      <c r="B414" s="453"/>
      <c r="C414" s="307"/>
      <c r="D414" s="454"/>
      <c r="E414" s="455"/>
      <c r="F414" s="479"/>
      <c r="G414" s="479"/>
      <c r="H414" s="479"/>
      <c r="I414" s="479"/>
      <c r="J414" s="479"/>
      <c r="K414" s="479"/>
      <c r="L414" s="479"/>
      <c r="M414" s="479"/>
      <c r="N414" s="479"/>
      <c r="O414" s="479"/>
      <c r="P414" s="479"/>
      <c r="Q414" s="479"/>
      <c r="R414" s="479"/>
      <c r="S414" s="479"/>
      <c r="T414" s="479"/>
    </row>
    <row r="415" ht="14.25" customHeight="1">
      <c r="A415" s="307"/>
      <c r="B415" s="453"/>
      <c r="C415" s="307"/>
      <c r="D415" s="454"/>
      <c r="E415" s="455"/>
      <c r="F415" s="479"/>
      <c r="G415" s="479"/>
      <c r="H415" s="479"/>
      <c r="I415" s="479"/>
      <c r="J415" s="479"/>
      <c r="K415" s="479"/>
      <c r="L415" s="479"/>
      <c r="M415" s="479"/>
      <c r="N415" s="479"/>
      <c r="O415" s="479"/>
      <c r="P415" s="479"/>
      <c r="Q415" s="479"/>
      <c r="R415" s="479"/>
      <c r="S415" s="479"/>
      <c r="T415" s="479"/>
    </row>
    <row r="416" ht="14.25" customHeight="1">
      <c r="A416" s="307"/>
      <c r="B416" s="453"/>
      <c r="C416" s="307"/>
      <c r="D416" s="454"/>
      <c r="E416" s="455"/>
      <c r="F416" s="479"/>
      <c r="G416" s="479"/>
      <c r="H416" s="479"/>
      <c r="I416" s="479"/>
      <c r="J416" s="479"/>
      <c r="K416" s="479"/>
      <c r="L416" s="479"/>
      <c r="M416" s="479"/>
      <c r="N416" s="479"/>
      <c r="O416" s="479"/>
      <c r="P416" s="479"/>
      <c r="Q416" s="479"/>
      <c r="R416" s="479"/>
      <c r="S416" s="479"/>
      <c r="T416" s="479"/>
    </row>
    <row r="417" ht="14.25" customHeight="1">
      <c r="A417" s="307"/>
      <c r="B417" s="453"/>
      <c r="C417" s="307"/>
      <c r="D417" s="454"/>
      <c r="E417" s="455"/>
      <c r="F417" s="479"/>
      <c r="G417" s="479"/>
      <c r="H417" s="479"/>
      <c r="I417" s="479"/>
      <c r="J417" s="479"/>
      <c r="K417" s="479"/>
      <c r="L417" s="479"/>
      <c r="M417" s="479"/>
      <c r="N417" s="479"/>
      <c r="O417" s="479"/>
      <c r="P417" s="479"/>
      <c r="Q417" s="479"/>
      <c r="R417" s="479"/>
      <c r="S417" s="479"/>
      <c r="T417" s="479"/>
    </row>
    <row r="418" ht="14.25" customHeight="1">
      <c r="A418" s="307"/>
      <c r="B418" s="453"/>
      <c r="C418" s="307"/>
      <c r="D418" s="454"/>
      <c r="E418" s="455"/>
      <c r="F418" s="479"/>
      <c r="G418" s="479"/>
      <c r="H418" s="479"/>
      <c r="I418" s="479"/>
      <c r="J418" s="479"/>
      <c r="K418" s="479"/>
      <c r="L418" s="479"/>
      <c r="M418" s="479"/>
      <c r="N418" s="479"/>
      <c r="O418" s="479"/>
      <c r="P418" s="479"/>
      <c r="Q418" s="479"/>
      <c r="R418" s="479"/>
      <c r="S418" s="479"/>
      <c r="T418" s="479"/>
    </row>
    <row r="419" ht="14.25" customHeight="1">
      <c r="A419" s="307"/>
      <c r="B419" s="453"/>
      <c r="C419" s="307"/>
      <c r="D419" s="454"/>
      <c r="E419" s="455"/>
      <c r="F419" s="479"/>
      <c r="G419" s="479"/>
      <c r="H419" s="479"/>
      <c r="I419" s="479"/>
      <c r="J419" s="479"/>
      <c r="K419" s="479"/>
      <c r="L419" s="479"/>
      <c r="M419" s="479"/>
      <c r="N419" s="479"/>
      <c r="O419" s="479"/>
      <c r="P419" s="479"/>
      <c r="Q419" s="479"/>
      <c r="R419" s="479"/>
      <c r="S419" s="479"/>
      <c r="T419" s="479"/>
    </row>
    <row r="420" ht="14.25" customHeight="1">
      <c r="A420" s="307"/>
      <c r="B420" s="453"/>
      <c r="C420" s="307"/>
      <c r="D420" s="454"/>
      <c r="E420" s="455"/>
      <c r="F420" s="479"/>
      <c r="G420" s="479"/>
      <c r="H420" s="479"/>
      <c r="I420" s="479"/>
      <c r="J420" s="479"/>
      <c r="K420" s="479"/>
      <c r="L420" s="479"/>
      <c r="M420" s="479"/>
      <c r="N420" s="479"/>
      <c r="O420" s="479"/>
      <c r="P420" s="479"/>
      <c r="Q420" s="479"/>
      <c r="R420" s="479"/>
      <c r="S420" s="479"/>
      <c r="T420" s="479"/>
    </row>
    <row r="421" ht="14.25" customHeight="1">
      <c r="A421" s="307"/>
      <c r="B421" s="453"/>
      <c r="C421" s="307"/>
      <c r="D421" s="454"/>
      <c r="E421" s="455"/>
      <c r="F421" s="479"/>
      <c r="G421" s="479"/>
      <c r="H421" s="479"/>
      <c r="I421" s="479"/>
      <c r="J421" s="479"/>
      <c r="K421" s="479"/>
      <c r="L421" s="479"/>
      <c r="M421" s="479"/>
      <c r="N421" s="479"/>
      <c r="O421" s="479"/>
      <c r="P421" s="479"/>
      <c r="Q421" s="479"/>
      <c r="R421" s="479"/>
      <c r="S421" s="479"/>
      <c r="T421" s="479"/>
    </row>
    <row r="422" ht="14.25" customHeight="1">
      <c r="A422" s="307"/>
      <c r="B422" s="453"/>
      <c r="C422" s="307"/>
      <c r="D422" s="454"/>
      <c r="E422" s="455"/>
      <c r="F422" s="479"/>
      <c r="G422" s="479"/>
      <c r="H422" s="479"/>
      <c r="I422" s="479"/>
      <c r="J422" s="479"/>
      <c r="K422" s="479"/>
      <c r="L422" s="479"/>
      <c r="M422" s="479"/>
      <c r="N422" s="479"/>
      <c r="O422" s="479"/>
      <c r="P422" s="479"/>
      <c r="Q422" s="479"/>
      <c r="R422" s="479"/>
      <c r="S422" s="479"/>
      <c r="T422" s="479"/>
    </row>
    <row r="423" ht="14.25" customHeight="1">
      <c r="A423" s="307"/>
      <c r="B423" s="453"/>
      <c r="C423" s="307"/>
      <c r="D423" s="454"/>
      <c r="E423" s="455"/>
      <c r="F423" s="479"/>
      <c r="G423" s="479"/>
      <c r="H423" s="479"/>
      <c r="I423" s="479"/>
      <c r="J423" s="479"/>
      <c r="K423" s="479"/>
      <c r="L423" s="479"/>
      <c r="M423" s="479"/>
      <c r="N423" s="479"/>
      <c r="O423" s="479"/>
      <c r="P423" s="479"/>
      <c r="Q423" s="479"/>
      <c r="R423" s="479"/>
      <c r="S423" s="479"/>
      <c r="T423" s="479"/>
    </row>
    <row r="424" ht="14.25" customHeight="1">
      <c r="A424" s="307"/>
      <c r="B424" s="453"/>
      <c r="C424" s="307"/>
      <c r="D424" s="454"/>
      <c r="E424" s="455"/>
      <c r="F424" s="479"/>
      <c r="G424" s="479"/>
      <c r="H424" s="479"/>
      <c r="I424" s="479"/>
      <c r="J424" s="479"/>
      <c r="K424" s="479"/>
      <c r="L424" s="479"/>
      <c r="M424" s="479"/>
      <c r="N424" s="479"/>
      <c r="O424" s="479"/>
      <c r="P424" s="479"/>
      <c r="Q424" s="479"/>
      <c r="R424" s="479"/>
      <c r="S424" s="479"/>
      <c r="T424" s="479"/>
    </row>
    <row r="425" ht="14.25" customHeight="1">
      <c r="A425" s="307"/>
      <c r="B425" s="453"/>
      <c r="C425" s="307"/>
      <c r="D425" s="454"/>
      <c r="E425" s="455"/>
      <c r="F425" s="479"/>
      <c r="G425" s="479"/>
      <c r="H425" s="479"/>
      <c r="I425" s="479"/>
      <c r="J425" s="479"/>
      <c r="K425" s="479"/>
      <c r="L425" s="479"/>
      <c r="M425" s="479"/>
      <c r="N425" s="479"/>
      <c r="O425" s="479"/>
      <c r="P425" s="479"/>
      <c r="Q425" s="479"/>
      <c r="R425" s="479"/>
      <c r="S425" s="479"/>
      <c r="T425" s="479"/>
    </row>
    <row r="426" ht="14.25" customHeight="1">
      <c r="A426" s="307"/>
      <c r="B426" s="453"/>
      <c r="C426" s="307"/>
      <c r="D426" s="454"/>
      <c r="E426" s="455"/>
      <c r="F426" s="479"/>
      <c r="G426" s="479"/>
      <c r="H426" s="479"/>
      <c r="I426" s="479"/>
      <c r="J426" s="479"/>
      <c r="K426" s="479"/>
      <c r="L426" s="479"/>
      <c r="M426" s="479"/>
      <c r="N426" s="479"/>
      <c r="O426" s="479"/>
      <c r="P426" s="479"/>
      <c r="Q426" s="479"/>
      <c r="R426" s="479"/>
      <c r="S426" s="479"/>
      <c r="T426" s="479"/>
    </row>
    <row r="427" ht="14.25" customHeight="1">
      <c r="A427" s="307"/>
      <c r="B427" s="453"/>
      <c r="C427" s="307"/>
      <c r="D427" s="454"/>
      <c r="E427" s="455"/>
      <c r="F427" s="479"/>
      <c r="G427" s="479"/>
      <c r="H427" s="479"/>
      <c r="I427" s="479"/>
      <c r="J427" s="479"/>
      <c r="K427" s="479"/>
      <c r="L427" s="479"/>
      <c r="M427" s="479"/>
      <c r="N427" s="479"/>
      <c r="O427" s="479"/>
      <c r="P427" s="479"/>
      <c r="Q427" s="479"/>
      <c r="R427" s="479"/>
      <c r="S427" s="479"/>
      <c r="T427" s="479"/>
    </row>
    <row r="428" ht="14.25" customHeight="1">
      <c r="A428" s="307"/>
      <c r="B428" s="453"/>
      <c r="C428" s="307"/>
      <c r="D428" s="454"/>
      <c r="E428" s="455"/>
      <c r="F428" s="479"/>
      <c r="G428" s="479"/>
      <c r="H428" s="479"/>
      <c r="I428" s="479"/>
      <c r="J428" s="479"/>
      <c r="K428" s="479"/>
      <c r="L428" s="479"/>
      <c r="M428" s="479"/>
      <c r="N428" s="479"/>
      <c r="O428" s="479"/>
      <c r="P428" s="479"/>
      <c r="Q428" s="479"/>
      <c r="R428" s="479"/>
      <c r="S428" s="479"/>
      <c r="T428" s="479"/>
    </row>
    <row r="429" ht="14.25" customHeight="1">
      <c r="A429" s="307"/>
      <c r="B429" s="453"/>
      <c r="C429" s="307"/>
      <c r="D429" s="454"/>
      <c r="E429" s="455"/>
      <c r="F429" s="479"/>
      <c r="G429" s="479"/>
      <c r="H429" s="479"/>
      <c r="I429" s="479"/>
      <c r="J429" s="479"/>
      <c r="K429" s="479"/>
      <c r="L429" s="479"/>
      <c r="M429" s="479"/>
      <c r="N429" s="479"/>
      <c r="O429" s="479"/>
      <c r="P429" s="479"/>
      <c r="Q429" s="479"/>
      <c r="R429" s="479"/>
      <c r="S429" s="479"/>
      <c r="T429" s="479"/>
    </row>
    <row r="430" ht="14.25" customHeight="1">
      <c r="A430" s="307"/>
      <c r="B430" s="453"/>
      <c r="C430" s="307"/>
      <c r="D430" s="454"/>
      <c r="E430" s="455"/>
      <c r="F430" s="479"/>
      <c r="G430" s="479"/>
      <c r="H430" s="479"/>
      <c r="I430" s="479"/>
      <c r="J430" s="479"/>
      <c r="K430" s="479"/>
      <c r="L430" s="479"/>
      <c r="M430" s="479"/>
      <c r="N430" s="479"/>
      <c r="O430" s="479"/>
      <c r="P430" s="479"/>
      <c r="Q430" s="479"/>
      <c r="R430" s="479"/>
      <c r="S430" s="479"/>
      <c r="T430" s="479"/>
    </row>
    <row r="431" ht="14.25" customHeight="1">
      <c r="A431" s="307"/>
      <c r="B431" s="453"/>
      <c r="C431" s="307"/>
      <c r="D431" s="454"/>
      <c r="E431" s="455"/>
      <c r="F431" s="479"/>
      <c r="G431" s="479"/>
      <c r="H431" s="479"/>
      <c r="I431" s="479"/>
      <c r="J431" s="479"/>
      <c r="K431" s="479"/>
      <c r="L431" s="479"/>
      <c r="M431" s="479"/>
      <c r="N431" s="479"/>
      <c r="O431" s="479"/>
      <c r="P431" s="479"/>
      <c r="Q431" s="479"/>
      <c r="R431" s="479"/>
      <c r="S431" s="479"/>
      <c r="T431" s="479"/>
    </row>
    <row r="432" ht="14.25" customHeight="1">
      <c r="A432" s="307"/>
      <c r="B432" s="453"/>
      <c r="C432" s="307"/>
      <c r="D432" s="454"/>
      <c r="E432" s="455"/>
      <c r="F432" s="479"/>
      <c r="G432" s="479"/>
      <c r="H432" s="479"/>
      <c r="I432" s="479"/>
      <c r="J432" s="479"/>
      <c r="K432" s="479"/>
      <c r="L432" s="479"/>
      <c r="M432" s="479"/>
      <c r="N432" s="479"/>
      <c r="O432" s="479"/>
      <c r="P432" s="479"/>
      <c r="Q432" s="479"/>
      <c r="R432" s="479"/>
      <c r="S432" s="479"/>
      <c r="T432" s="479"/>
    </row>
    <row r="433" ht="14.25" customHeight="1">
      <c r="A433" s="307"/>
      <c r="B433" s="453"/>
      <c r="C433" s="307"/>
      <c r="D433" s="454"/>
      <c r="E433" s="455"/>
      <c r="F433" s="479"/>
      <c r="G433" s="479"/>
      <c r="H433" s="479"/>
      <c r="I433" s="479"/>
      <c r="J433" s="479"/>
      <c r="K433" s="479"/>
      <c r="L433" s="479"/>
      <c r="M433" s="479"/>
      <c r="N433" s="479"/>
      <c r="O433" s="479"/>
      <c r="P433" s="479"/>
      <c r="Q433" s="479"/>
      <c r="R433" s="479"/>
      <c r="S433" s="479"/>
      <c r="T433" s="479"/>
    </row>
    <row r="434" ht="14.25" customHeight="1">
      <c r="A434" s="307"/>
      <c r="B434" s="453"/>
      <c r="C434" s="307"/>
      <c r="D434" s="454"/>
      <c r="E434" s="455"/>
      <c r="F434" s="479"/>
      <c r="G434" s="479"/>
      <c r="H434" s="479"/>
      <c r="I434" s="479"/>
      <c r="J434" s="479"/>
      <c r="K434" s="479"/>
      <c r="L434" s="479"/>
      <c r="M434" s="479"/>
      <c r="N434" s="479"/>
      <c r="O434" s="479"/>
      <c r="P434" s="479"/>
      <c r="Q434" s="479"/>
      <c r="R434" s="479"/>
      <c r="S434" s="479"/>
      <c r="T434" s="479"/>
    </row>
    <row r="435" ht="14.25" customHeight="1">
      <c r="A435" s="307"/>
      <c r="B435" s="453"/>
      <c r="C435" s="307"/>
      <c r="D435" s="454"/>
      <c r="E435" s="455"/>
      <c r="F435" s="479"/>
      <c r="G435" s="479"/>
      <c r="H435" s="479"/>
      <c r="I435" s="479"/>
      <c r="J435" s="479"/>
      <c r="K435" s="479"/>
      <c r="L435" s="479"/>
      <c r="M435" s="479"/>
      <c r="N435" s="479"/>
      <c r="O435" s="479"/>
      <c r="P435" s="479"/>
      <c r="Q435" s="479"/>
      <c r="R435" s="479"/>
      <c r="S435" s="479"/>
      <c r="T435" s="479"/>
    </row>
    <row r="436" ht="14.25" customHeight="1">
      <c r="A436" s="307"/>
      <c r="B436" s="453"/>
      <c r="C436" s="307"/>
      <c r="D436" s="454"/>
      <c r="E436" s="455"/>
      <c r="F436" s="479"/>
      <c r="G436" s="479"/>
      <c r="H436" s="479"/>
      <c r="I436" s="479"/>
      <c r="J436" s="479"/>
      <c r="K436" s="479"/>
      <c r="L436" s="479"/>
      <c r="M436" s="479"/>
      <c r="N436" s="479"/>
      <c r="O436" s="479"/>
      <c r="P436" s="479"/>
      <c r="Q436" s="479"/>
      <c r="R436" s="479"/>
      <c r="S436" s="479"/>
      <c r="T436" s="479"/>
    </row>
    <row r="437" ht="14.25" customHeight="1">
      <c r="A437" s="307"/>
      <c r="B437" s="453"/>
      <c r="C437" s="307"/>
      <c r="D437" s="454"/>
      <c r="E437" s="455"/>
      <c r="F437" s="479"/>
      <c r="G437" s="479"/>
      <c r="H437" s="479"/>
      <c r="I437" s="479"/>
      <c r="J437" s="479"/>
      <c r="K437" s="479"/>
      <c r="L437" s="479"/>
      <c r="M437" s="479"/>
      <c r="N437" s="479"/>
      <c r="O437" s="479"/>
      <c r="P437" s="479"/>
      <c r="Q437" s="479"/>
      <c r="R437" s="479"/>
      <c r="S437" s="479"/>
      <c r="T437" s="479"/>
    </row>
    <row r="438" ht="14.25" customHeight="1">
      <c r="A438" s="307"/>
      <c r="B438" s="453"/>
      <c r="C438" s="307"/>
      <c r="D438" s="454"/>
      <c r="E438" s="455"/>
      <c r="F438" s="479"/>
      <c r="G438" s="479"/>
      <c r="H438" s="479"/>
      <c r="I438" s="479"/>
      <c r="J438" s="479"/>
      <c r="K438" s="479"/>
      <c r="L438" s="479"/>
      <c r="M438" s="479"/>
      <c r="N438" s="479"/>
      <c r="O438" s="479"/>
      <c r="P438" s="479"/>
      <c r="Q438" s="479"/>
      <c r="R438" s="479"/>
      <c r="S438" s="479"/>
      <c r="T438" s="479"/>
    </row>
    <row r="439" ht="14.25" customHeight="1">
      <c r="A439" s="307"/>
      <c r="B439" s="453"/>
      <c r="C439" s="307"/>
      <c r="D439" s="454"/>
      <c r="E439" s="455"/>
      <c r="F439" s="479"/>
      <c r="G439" s="479"/>
      <c r="H439" s="479"/>
      <c r="I439" s="479"/>
      <c r="J439" s="479"/>
      <c r="K439" s="479"/>
      <c r="L439" s="479"/>
      <c r="M439" s="479"/>
      <c r="N439" s="479"/>
      <c r="O439" s="479"/>
      <c r="P439" s="479"/>
      <c r="Q439" s="479"/>
      <c r="R439" s="479"/>
      <c r="S439" s="479"/>
      <c r="T439" s="479"/>
    </row>
    <row r="440" ht="14.25" customHeight="1">
      <c r="A440" s="307"/>
      <c r="B440" s="453"/>
      <c r="C440" s="307"/>
      <c r="D440" s="454"/>
      <c r="E440" s="455"/>
      <c r="F440" s="479"/>
      <c r="G440" s="479"/>
      <c r="H440" s="479"/>
      <c r="I440" s="479"/>
      <c r="J440" s="479"/>
      <c r="K440" s="479"/>
      <c r="L440" s="479"/>
      <c r="M440" s="479"/>
      <c r="N440" s="479"/>
      <c r="O440" s="479"/>
      <c r="P440" s="479"/>
      <c r="Q440" s="479"/>
      <c r="R440" s="479"/>
      <c r="S440" s="479"/>
      <c r="T440" s="479"/>
    </row>
    <row r="441" ht="14.25" customHeight="1">
      <c r="A441" s="307"/>
      <c r="B441" s="453"/>
      <c r="C441" s="307"/>
      <c r="D441" s="454"/>
      <c r="E441" s="455"/>
      <c r="F441" s="479"/>
      <c r="G441" s="479"/>
      <c r="H441" s="479"/>
      <c r="I441" s="479"/>
      <c r="J441" s="479"/>
      <c r="K441" s="479"/>
      <c r="L441" s="479"/>
      <c r="M441" s="479"/>
      <c r="N441" s="479"/>
      <c r="O441" s="479"/>
      <c r="P441" s="479"/>
      <c r="Q441" s="479"/>
      <c r="R441" s="479"/>
      <c r="S441" s="479"/>
      <c r="T441" s="479"/>
    </row>
    <row r="442" ht="14.25" customHeight="1">
      <c r="A442" s="307"/>
      <c r="B442" s="453"/>
      <c r="C442" s="307"/>
      <c r="D442" s="454"/>
      <c r="E442" s="455"/>
      <c r="F442" s="479"/>
      <c r="G442" s="479"/>
      <c r="H442" s="479"/>
      <c r="I442" s="479"/>
      <c r="J442" s="479"/>
      <c r="K442" s="479"/>
      <c r="L442" s="479"/>
      <c r="M442" s="479"/>
      <c r="N442" s="479"/>
      <c r="O442" s="479"/>
      <c r="P442" s="479"/>
      <c r="Q442" s="479"/>
      <c r="R442" s="479"/>
      <c r="S442" s="479"/>
      <c r="T442" s="479"/>
    </row>
    <row r="443" ht="14.25" customHeight="1">
      <c r="A443" s="307"/>
      <c r="B443" s="453"/>
      <c r="C443" s="307"/>
      <c r="D443" s="454"/>
      <c r="E443" s="455"/>
      <c r="F443" s="479"/>
      <c r="G443" s="479"/>
      <c r="H443" s="479"/>
      <c r="I443" s="479"/>
      <c r="J443" s="479"/>
      <c r="K443" s="479"/>
      <c r="L443" s="479"/>
      <c r="M443" s="479"/>
      <c r="N443" s="479"/>
      <c r="O443" s="479"/>
      <c r="P443" s="479"/>
      <c r="Q443" s="479"/>
      <c r="R443" s="479"/>
      <c r="S443" s="479"/>
      <c r="T443" s="479"/>
    </row>
    <row r="444" ht="14.25" customHeight="1">
      <c r="A444" s="307"/>
      <c r="B444" s="453"/>
      <c r="C444" s="307"/>
      <c r="D444" s="454"/>
      <c r="E444" s="455"/>
      <c r="F444" s="479"/>
      <c r="G444" s="479"/>
      <c r="H444" s="479"/>
      <c r="I444" s="479"/>
      <c r="J444" s="479"/>
      <c r="K444" s="479"/>
      <c r="L444" s="479"/>
      <c r="M444" s="479"/>
      <c r="N444" s="479"/>
      <c r="O444" s="479"/>
      <c r="P444" s="479"/>
      <c r="Q444" s="479"/>
      <c r="R444" s="479"/>
      <c r="S444" s="479"/>
      <c r="T444" s="479"/>
    </row>
    <row r="445" ht="14.25" customHeight="1">
      <c r="A445" s="307"/>
      <c r="B445" s="453"/>
      <c r="C445" s="307"/>
      <c r="D445" s="454"/>
      <c r="E445" s="455"/>
      <c r="F445" s="479"/>
      <c r="G445" s="479"/>
      <c r="H445" s="479"/>
      <c r="I445" s="479"/>
      <c r="J445" s="479"/>
      <c r="K445" s="479"/>
      <c r="L445" s="479"/>
      <c r="M445" s="479"/>
      <c r="N445" s="479"/>
      <c r="O445" s="479"/>
      <c r="P445" s="479"/>
      <c r="Q445" s="479"/>
      <c r="R445" s="479"/>
      <c r="S445" s="479"/>
      <c r="T445" s="479"/>
    </row>
    <row r="446" ht="14.25" customHeight="1">
      <c r="A446" s="307"/>
      <c r="B446" s="453"/>
      <c r="C446" s="307"/>
      <c r="D446" s="454"/>
      <c r="E446" s="455"/>
      <c r="F446" s="479"/>
      <c r="G446" s="479"/>
      <c r="H446" s="479"/>
      <c r="I446" s="479"/>
      <c r="J446" s="479"/>
      <c r="K446" s="479"/>
      <c r="L446" s="479"/>
      <c r="M446" s="479"/>
      <c r="N446" s="479"/>
      <c r="O446" s="479"/>
      <c r="P446" s="479"/>
      <c r="Q446" s="479"/>
      <c r="R446" s="479"/>
      <c r="S446" s="479"/>
      <c r="T446" s="479"/>
    </row>
    <row r="447" ht="14.25" customHeight="1">
      <c r="A447" s="307"/>
      <c r="B447" s="453"/>
      <c r="C447" s="307"/>
      <c r="D447" s="454"/>
      <c r="E447" s="455"/>
      <c r="F447" s="479"/>
      <c r="G447" s="479"/>
      <c r="H447" s="479"/>
      <c r="I447" s="479"/>
      <c r="J447" s="479"/>
      <c r="K447" s="479"/>
      <c r="L447" s="479"/>
      <c r="M447" s="479"/>
      <c r="N447" s="479"/>
      <c r="O447" s="479"/>
      <c r="P447" s="479"/>
      <c r="Q447" s="479"/>
      <c r="R447" s="479"/>
      <c r="S447" s="479"/>
      <c r="T447" s="479"/>
    </row>
    <row r="448" ht="14.25" customHeight="1">
      <c r="A448" s="307"/>
      <c r="B448" s="453"/>
      <c r="C448" s="307"/>
      <c r="D448" s="454"/>
      <c r="E448" s="455"/>
      <c r="F448" s="479"/>
      <c r="G448" s="479"/>
      <c r="H448" s="479"/>
      <c r="I448" s="479"/>
      <c r="J448" s="479"/>
      <c r="K448" s="479"/>
      <c r="L448" s="479"/>
      <c r="M448" s="479"/>
      <c r="N448" s="479"/>
      <c r="O448" s="479"/>
      <c r="P448" s="479"/>
      <c r="Q448" s="479"/>
      <c r="R448" s="479"/>
      <c r="S448" s="479"/>
      <c r="T448" s="479"/>
    </row>
    <row r="449" ht="14.25" customHeight="1">
      <c r="A449" s="307"/>
      <c r="B449" s="453"/>
      <c r="C449" s="307"/>
      <c r="D449" s="454"/>
      <c r="E449" s="455"/>
      <c r="F449" s="479"/>
      <c r="G449" s="479"/>
      <c r="H449" s="479"/>
      <c r="I449" s="479"/>
      <c r="J449" s="479"/>
      <c r="K449" s="479"/>
      <c r="L449" s="479"/>
      <c r="M449" s="479"/>
      <c r="N449" s="479"/>
      <c r="O449" s="479"/>
      <c r="P449" s="479"/>
      <c r="Q449" s="479"/>
      <c r="R449" s="479"/>
      <c r="S449" s="479"/>
      <c r="T449" s="479"/>
    </row>
    <row r="450" ht="14.25" customHeight="1">
      <c r="A450" s="307"/>
      <c r="B450" s="453"/>
      <c r="C450" s="307"/>
      <c r="D450" s="454"/>
      <c r="E450" s="455"/>
      <c r="F450" s="479"/>
      <c r="G450" s="479"/>
      <c r="H450" s="479"/>
      <c r="I450" s="479"/>
      <c r="J450" s="479"/>
      <c r="K450" s="479"/>
      <c r="L450" s="479"/>
      <c r="M450" s="479"/>
      <c r="N450" s="479"/>
      <c r="O450" s="479"/>
      <c r="P450" s="479"/>
      <c r="Q450" s="479"/>
      <c r="R450" s="479"/>
      <c r="S450" s="479"/>
      <c r="T450" s="479"/>
    </row>
    <row r="451" ht="14.25" customHeight="1">
      <c r="A451" s="307"/>
      <c r="B451" s="453"/>
      <c r="C451" s="307"/>
      <c r="D451" s="454"/>
      <c r="E451" s="455"/>
      <c r="F451" s="479"/>
      <c r="G451" s="479"/>
      <c r="H451" s="479"/>
      <c r="I451" s="479"/>
      <c r="J451" s="479"/>
      <c r="K451" s="479"/>
      <c r="L451" s="479"/>
      <c r="M451" s="479"/>
      <c r="N451" s="479"/>
      <c r="O451" s="479"/>
      <c r="P451" s="479"/>
      <c r="Q451" s="479"/>
      <c r="R451" s="479"/>
      <c r="S451" s="479"/>
      <c r="T451" s="479"/>
    </row>
    <row r="452" ht="14.25" customHeight="1">
      <c r="A452" s="307"/>
      <c r="B452" s="453"/>
      <c r="C452" s="307"/>
      <c r="D452" s="454"/>
      <c r="E452" s="455"/>
      <c r="F452" s="479"/>
      <c r="G452" s="479"/>
      <c r="H452" s="479"/>
      <c r="I452" s="479"/>
      <c r="J452" s="479"/>
      <c r="K452" s="479"/>
      <c r="L452" s="479"/>
      <c r="M452" s="479"/>
      <c r="N452" s="479"/>
      <c r="O452" s="479"/>
      <c r="P452" s="479"/>
      <c r="Q452" s="479"/>
      <c r="R452" s="479"/>
      <c r="S452" s="479"/>
      <c r="T452" s="479"/>
    </row>
    <row r="453" ht="14.25" customHeight="1">
      <c r="A453" s="307"/>
      <c r="B453" s="453"/>
      <c r="C453" s="307"/>
      <c r="D453" s="454"/>
      <c r="E453" s="455"/>
      <c r="F453" s="479"/>
      <c r="G453" s="479"/>
      <c r="H453" s="479"/>
      <c r="I453" s="479"/>
      <c r="J453" s="479"/>
      <c r="K453" s="479"/>
      <c r="L453" s="479"/>
      <c r="M453" s="479"/>
      <c r="N453" s="479"/>
      <c r="O453" s="479"/>
      <c r="P453" s="479"/>
      <c r="Q453" s="479"/>
      <c r="R453" s="479"/>
      <c r="S453" s="479"/>
      <c r="T453" s="479"/>
    </row>
    <row r="454" ht="14.25" customHeight="1">
      <c r="A454" s="307"/>
      <c r="B454" s="453"/>
      <c r="C454" s="307"/>
      <c r="D454" s="454"/>
      <c r="E454" s="455"/>
      <c r="F454" s="479"/>
      <c r="G454" s="479"/>
      <c r="H454" s="479"/>
      <c r="I454" s="479"/>
      <c r="J454" s="479"/>
      <c r="K454" s="479"/>
      <c r="L454" s="479"/>
      <c r="M454" s="479"/>
      <c r="N454" s="479"/>
      <c r="O454" s="479"/>
      <c r="P454" s="479"/>
      <c r="Q454" s="479"/>
      <c r="R454" s="479"/>
      <c r="S454" s="479"/>
      <c r="T454" s="479"/>
    </row>
    <row r="455" ht="14.25" customHeight="1">
      <c r="A455" s="307"/>
      <c r="B455" s="453"/>
      <c r="C455" s="307"/>
      <c r="D455" s="454"/>
      <c r="E455" s="455"/>
      <c r="F455" s="479"/>
      <c r="G455" s="479"/>
      <c r="H455" s="479"/>
      <c r="I455" s="479"/>
      <c r="J455" s="479"/>
      <c r="K455" s="479"/>
      <c r="L455" s="479"/>
      <c r="M455" s="479"/>
      <c r="N455" s="479"/>
      <c r="O455" s="479"/>
      <c r="P455" s="479"/>
      <c r="Q455" s="479"/>
      <c r="R455" s="479"/>
      <c r="S455" s="479"/>
      <c r="T455" s="479"/>
    </row>
    <row r="456" ht="14.25" customHeight="1">
      <c r="A456" s="307"/>
      <c r="B456" s="453"/>
      <c r="C456" s="307"/>
      <c r="D456" s="454"/>
      <c r="E456" s="455"/>
      <c r="F456" s="479"/>
      <c r="G456" s="479"/>
      <c r="H456" s="479"/>
      <c r="I456" s="479"/>
      <c r="J456" s="479"/>
      <c r="K456" s="479"/>
      <c r="L456" s="479"/>
      <c r="M456" s="479"/>
      <c r="N456" s="479"/>
      <c r="O456" s="479"/>
      <c r="P456" s="479"/>
      <c r="Q456" s="479"/>
      <c r="R456" s="479"/>
      <c r="S456" s="479"/>
      <c r="T456" s="479"/>
    </row>
    <row r="457" ht="14.25" customHeight="1">
      <c r="A457" s="307"/>
      <c r="B457" s="453"/>
      <c r="C457" s="307"/>
      <c r="D457" s="454"/>
      <c r="E457" s="455"/>
      <c r="F457" s="479"/>
      <c r="G457" s="479"/>
      <c r="H457" s="479"/>
      <c r="I457" s="479"/>
      <c r="J457" s="479"/>
      <c r="K457" s="479"/>
      <c r="L457" s="479"/>
      <c r="M457" s="479"/>
      <c r="N457" s="479"/>
      <c r="O457" s="479"/>
      <c r="P457" s="479"/>
      <c r="Q457" s="479"/>
      <c r="R457" s="479"/>
      <c r="S457" s="479"/>
      <c r="T457" s="479"/>
    </row>
    <row r="458" ht="14.25" customHeight="1">
      <c r="A458" s="307"/>
      <c r="B458" s="453"/>
      <c r="C458" s="307"/>
      <c r="D458" s="454"/>
      <c r="E458" s="455"/>
      <c r="F458" s="479"/>
      <c r="G458" s="479"/>
      <c r="H458" s="479"/>
      <c r="I458" s="479"/>
      <c r="J458" s="479"/>
      <c r="K458" s="479"/>
      <c r="L458" s="479"/>
      <c r="M458" s="479"/>
      <c r="N458" s="479"/>
      <c r="O458" s="479"/>
      <c r="P458" s="479"/>
      <c r="Q458" s="479"/>
      <c r="R458" s="479"/>
      <c r="S458" s="479"/>
      <c r="T458" s="479"/>
    </row>
    <row r="459" ht="14.25" customHeight="1">
      <c r="A459" s="307"/>
      <c r="B459" s="453"/>
      <c r="C459" s="307"/>
      <c r="D459" s="454"/>
      <c r="E459" s="455"/>
      <c r="F459" s="479"/>
      <c r="G459" s="479"/>
      <c r="H459" s="479"/>
      <c r="I459" s="479"/>
      <c r="J459" s="479"/>
      <c r="K459" s="479"/>
      <c r="L459" s="479"/>
      <c r="M459" s="479"/>
      <c r="N459" s="479"/>
      <c r="O459" s="479"/>
      <c r="P459" s="479"/>
      <c r="Q459" s="479"/>
      <c r="R459" s="479"/>
      <c r="S459" s="479"/>
      <c r="T459" s="479"/>
    </row>
    <row r="460" ht="14.25" customHeight="1">
      <c r="A460" s="307"/>
      <c r="B460" s="453"/>
      <c r="C460" s="307"/>
      <c r="D460" s="454"/>
      <c r="E460" s="455"/>
      <c r="F460" s="479"/>
      <c r="G460" s="479"/>
      <c r="H460" s="479"/>
      <c r="I460" s="479"/>
      <c r="J460" s="479"/>
      <c r="K460" s="479"/>
      <c r="L460" s="479"/>
      <c r="M460" s="479"/>
      <c r="N460" s="479"/>
      <c r="O460" s="479"/>
      <c r="P460" s="479"/>
      <c r="Q460" s="479"/>
      <c r="R460" s="479"/>
      <c r="S460" s="479"/>
      <c r="T460" s="479"/>
    </row>
    <row r="461" ht="14.25" customHeight="1">
      <c r="A461" s="307"/>
      <c r="B461" s="453"/>
      <c r="C461" s="307"/>
      <c r="D461" s="454"/>
      <c r="E461" s="455"/>
      <c r="F461" s="479"/>
      <c r="G461" s="479"/>
      <c r="H461" s="479"/>
      <c r="I461" s="479"/>
      <c r="J461" s="479"/>
      <c r="K461" s="479"/>
      <c r="L461" s="479"/>
      <c r="M461" s="479"/>
      <c r="N461" s="479"/>
      <c r="O461" s="479"/>
      <c r="P461" s="479"/>
      <c r="Q461" s="479"/>
      <c r="R461" s="479"/>
      <c r="S461" s="479"/>
      <c r="T461" s="479"/>
    </row>
    <row r="462" ht="14.25" customHeight="1">
      <c r="A462" s="307"/>
      <c r="B462" s="453"/>
      <c r="C462" s="307"/>
      <c r="D462" s="454"/>
      <c r="E462" s="455"/>
      <c r="F462" s="479"/>
      <c r="G462" s="479"/>
      <c r="H462" s="479"/>
      <c r="I462" s="479"/>
      <c r="J462" s="479"/>
      <c r="K462" s="479"/>
      <c r="L462" s="479"/>
      <c r="M462" s="479"/>
      <c r="N462" s="479"/>
      <c r="O462" s="479"/>
      <c r="P462" s="479"/>
      <c r="Q462" s="479"/>
      <c r="R462" s="479"/>
      <c r="S462" s="479"/>
      <c r="T462" s="479"/>
    </row>
    <row r="463" ht="14.25" customHeight="1">
      <c r="A463" s="307"/>
      <c r="B463" s="453"/>
      <c r="C463" s="307"/>
      <c r="D463" s="454"/>
      <c r="E463" s="455"/>
      <c r="F463" s="479"/>
      <c r="G463" s="479"/>
      <c r="H463" s="479"/>
      <c r="I463" s="479"/>
      <c r="J463" s="479"/>
      <c r="K463" s="479"/>
      <c r="L463" s="479"/>
      <c r="M463" s="479"/>
      <c r="N463" s="479"/>
      <c r="O463" s="479"/>
      <c r="P463" s="479"/>
      <c r="Q463" s="479"/>
      <c r="R463" s="479"/>
      <c r="S463" s="479"/>
      <c r="T463" s="479"/>
    </row>
    <row r="464" ht="14.25" customHeight="1">
      <c r="A464" s="307"/>
      <c r="B464" s="453"/>
      <c r="C464" s="307"/>
      <c r="D464" s="454"/>
      <c r="E464" s="455"/>
      <c r="F464" s="479"/>
      <c r="G464" s="479"/>
      <c r="H464" s="479"/>
      <c r="I464" s="479"/>
      <c r="J464" s="479"/>
      <c r="K464" s="479"/>
      <c r="L464" s="479"/>
      <c r="M464" s="479"/>
      <c r="N464" s="479"/>
      <c r="O464" s="479"/>
      <c r="P464" s="479"/>
      <c r="Q464" s="479"/>
      <c r="R464" s="479"/>
      <c r="S464" s="479"/>
      <c r="T464" s="479"/>
    </row>
    <row r="465" ht="14.25" customHeight="1">
      <c r="A465" s="307"/>
      <c r="B465" s="453"/>
      <c r="C465" s="307"/>
      <c r="D465" s="454"/>
      <c r="E465" s="455"/>
      <c r="F465" s="479"/>
      <c r="G465" s="479"/>
      <c r="H465" s="479"/>
      <c r="I465" s="479"/>
      <c r="J465" s="479"/>
      <c r="K465" s="479"/>
      <c r="L465" s="479"/>
      <c r="M465" s="479"/>
      <c r="N465" s="479"/>
      <c r="O465" s="479"/>
      <c r="P465" s="479"/>
      <c r="Q465" s="479"/>
      <c r="R465" s="479"/>
      <c r="S465" s="479"/>
      <c r="T465" s="479"/>
    </row>
    <row r="466" ht="14.25" customHeight="1">
      <c r="A466" s="307"/>
      <c r="B466" s="453"/>
      <c r="C466" s="307"/>
      <c r="D466" s="454"/>
      <c r="E466" s="455"/>
      <c r="F466" s="479"/>
      <c r="G466" s="479"/>
      <c r="H466" s="479"/>
      <c r="I466" s="479"/>
      <c r="J466" s="479"/>
      <c r="K466" s="479"/>
      <c r="L466" s="479"/>
      <c r="M466" s="479"/>
      <c r="N466" s="479"/>
      <c r="O466" s="479"/>
      <c r="P466" s="479"/>
      <c r="Q466" s="479"/>
      <c r="R466" s="479"/>
      <c r="S466" s="479"/>
      <c r="T466" s="479"/>
    </row>
    <row r="467" ht="14.25" customHeight="1">
      <c r="A467" s="307"/>
      <c r="B467" s="453"/>
      <c r="C467" s="307"/>
      <c r="D467" s="454"/>
      <c r="E467" s="455"/>
      <c r="F467" s="479"/>
      <c r="G467" s="479"/>
      <c r="H467" s="479"/>
      <c r="I467" s="479"/>
      <c r="J467" s="479"/>
      <c r="K467" s="479"/>
      <c r="L467" s="479"/>
      <c r="M467" s="479"/>
      <c r="N467" s="479"/>
      <c r="O467" s="479"/>
      <c r="P467" s="479"/>
      <c r="Q467" s="479"/>
      <c r="R467" s="479"/>
      <c r="S467" s="479"/>
      <c r="T467" s="479"/>
    </row>
    <row r="468" ht="14.25" customHeight="1">
      <c r="A468" s="307"/>
      <c r="B468" s="453"/>
      <c r="C468" s="307"/>
      <c r="D468" s="454"/>
      <c r="E468" s="455"/>
      <c r="F468" s="479"/>
      <c r="G468" s="479"/>
      <c r="H468" s="479"/>
      <c r="I468" s="479"/>
      <c r="J468" s="479"/>
      <c r="K468" s="479"/>
      <c r="L468" s="479"/>
      <c r="M468" s="479"/>
      <c r="N468" s="479"/>
      <c r="O468" s="479"/>
      <c r="P468" s="479"/>
      <c r="Q468" s="479"/>
      <c r="R468" s="479"/>
      <c r="S468" s="479"/>
      <c r="T468" s="479"/>
    </row>
    <row r="469" ht="14.25" customHeight="1">
      <c r="A469" s="307"/>
      <c r="B469" s="453"/>
      <c r="C469" s="307"/>
      <c r="D469" s="454"/>
      <c r="E469" s="455"/>
      <c r="F469" s="479"/>
      <c r="G469" s="479"/>
      <c r="H469" s="479"/>
      <c r="I469" s="479"/>
      <c r="J469" s="479"/>
      <c r="K469" s="479"/>
      <c r="L469" s="479"/>
      <c r="M469" s="479"/>
      <c r="N469" s="479"/>
      <c r="O469" s="479"/>
      <c r="P469" s="479"/>
      <c r="Q469" s="479"/>
      <c r="R469" s="479"/>
      <c r="S469" s="479"/>
      <c r="T469" s="479"/>
    </row>
    <row r="470" ht="14.25" customHeight="1">
      <c r="A470" s="307"/>
      <c r="B470" s="453"/>
      <c r="C470" s="307"/>
      <c r="D470" s="454"/>
      <c r="E470" s="455"/>
      <c r="F470" s="479"/>
      <c r="G470" s="479"/>
      <c r="H470" s="479"/>
      <c r="I470" s="479"/>
      <c r="J470" s="479"/>
      <c r="K470" s="479"/>
      <c r="L470" s="479"/>
      <c r="M470" s="479"/>
      <c r="N470" s="479"/>
      <c r="O470" s="479"/>
      <c r="P470" s="479"/>
      <c r="Q470" s="479"/>
      <c r="R470" s="479"/>
      <c r="S470" s="479"/>
      <c r="T470" s="479"/>
    </row>
    <row r="471" ht="14.25" customHeight="1">
      <c r="A471" s="307"/>
      <c r="B471" s="453"/>
      <c r="C471" s="307"/>
      <c r="D471" s="454"/>
      <c r="E471" s="455"/>
      <c r="F471" s="479"/>
      <c r="G471" s="479"/>
      <c r="H471" s="479"/>
      <c r="I471" s="479"/>
      <c r="J471" s="479"/>
      <c r="K471" s="479"/>
      <c r="L471" s="479"/>
      <c r="M471" s="479"/>
      <c r="N471" s="479"/>
      <c r="O471" s="479"/>
      <c r="P471" s="479"/>
      <c r="Q471" s="479"/>
      <c r="R471" s="479"/>
      <c r="S471" s="479"/>
      <c r="T471" s="479"/>
    </row>
    <row r="472" ht="14.25" customHeight="1">
      <c r="A472" s="307"/>
      <c r="B472" s="453"/>
      <c r="C472" s="307"/>
      <c r="D472" s="454"/>
      <c r="E472" s="455"/>
      <c r="F472" s="479"/>
      <c r="G472" s="479"/>
      <c r="H472" s="479"/>
      <c r="I472" s="479"/>
      <c r="J472" s="479"/>
      <c r="K472" s="479"/>
      <c r="L472" s="479"/>
      <c r="M472" s="479"/>
      <c r="N472" s="479"/>
      <c r="O472" s="479"/>
      <c r="P472" s="479"/>
      <c r="Q472" s="479"/>
      <c r="R472" s="479"/>
      <c r="S472" s="479"/>
      <c r="T472" s="479"/>
    </row>
    <row r="473" ht="14.25" customHeight="1">
      <c r="A473" s="307"/>
      <c r="B473" s="453"/>
      <c r="C473" s="307"/>
      <c r="D473" s="454"/>
      <c r="E473" s="455"/>
      <c r="F473" s="479"/>
      <c r="G473" s="479"/>
      <c r="H473" s="479"/>
      <c r="I473" s="479"/>
      <c r="J473" s="479"/>
      <c r="K473" s="479"/>
      <c r="L473" s="479"/>
      <c r="M473" s="479"/>
      <c r="N473" s="479"/>
      <c r="O473" s="479"/>
      <c r="P473" s="479"/>
      <c r="Q473" s="479"/>
      <c r="R473" s="479"/>
      <c r="S473" s="479"/>
      <c r="T473" s="479"/>
    </row>
    <row r="474" ht="14.25" customHeight="1">
      <c r="A474" s="307"/>
      <c r="B474" s="453"/>
      <c r="C474" s="307"/>
      <c r="D474" s="454"/>
      <c r="E474" s="455"/>
      <c r="F474" s="479"/>
      <c r="G474" s="479"/>
      <c r="H474" s="479"/>
      <c r="I474" s="479"/>
      <c r="J474" s="479"/>
      <c r="K474" s="479"/>
      <c r="L474" s="479"/>
      <c r="M474" s="479"/>
      <c r="N474" s="479"/>
      <c r="O474" s="479"/>
      <c r="P474" s="479"/>
      <c r="Q474" s="479"/>
      <c r="R474" s="479"/>
      <c r="S474" s="479"/>
      <c r="T474" s="479"/>
    </row>
    <row r="475" ht="14.25" customHeight="1">
      <c r="A475" s="307"/>
      <c r="B475" s="453"/>
      <c r="C475" s="307"/>
      <c r="D475" s="454"/>
      <c r="E475" s="455"/>
      <c r="F475" s="479"/>
      <c r="G475" s="479"/>
      <c r="H475" s="479"/>
      <c r="I475" s="479"/>
      <c r="J475" s="479"/>
      <c r="K475" s="479"/>
      <c r="L475" s="479"/>
      <c r="M475" s="479"/>
      <c r="N475" s="479"/>
      <c r="O475" s="479"/>
      <c r="P475" s="479"/>
      <c r="Q475" s="479"/>
      <c r="R475" s="479"/>
      <c r="S475" s="479"/>
      <c r="T475" s="479"/>
    </row>
    <row r="476" ht="14.25" customHeight="1">
      <c r="A476" s="307"/>
      <c r="B476" s="453"/>
      <c r="C476" s="307"/>
      <c r="D476" s="454"/>
      <c r="E476" s="455"/>
      <c r="F476" s="479"/>
      <c r="G476" s="479"/>
      <c r="H476" s="479"/>
      <c r="I476" s="479"/>
      <c r="J476" s="479"/>
      <c r="K476" s="479"/>
      <c r="L476" s="479"/>
      <c r="M476" s="479"/>
      <c r="N476" s="479"/>
      <c r="O476" s="479"/>
      <c r="P476" s="479"/>
      <c r="Q476" s="479"/>
      <c r="R476" s="479"/>
      <c r="S476" s="479"/>
      <c r="T476" s="479"/>
    </row>
    <row r="477" ht="14.25" customHeight="1">
      <c r="A477" s="307"/>
      <c r="B477" s="453"/>
      <c r="C477" s="307"/>
      <c r="D477" s="454"/>
      <c r="E477" s="455"/>
      <c r="F477" s="479"/>
      <c r="G477" s="479"/>
      <c r="H477" s="479"/>
      <c r="I477" s="479"/>
      <c r="J477" s="479"/>
      <c r="K477" s="479"/>
      <c r="L477" s="479"/>
      <c r="M477" s="479"/>
      <c r="N477" s="479"/>
      <c r="O477" s="479"/>
      <c r="P477" s="479"/>
      <c r="Q477" s="479"/>
      <c r="R477" s="479"/>
      <c r="S477" s="479"/>
      <c r="T477" s="479"/>
    </row>
    <row r="478" ht="14.25" customHeight="1">
      <c r="A478" s="307"/>
      <c r="B478" s="453"/>
      <c r="C478" s="307"/>
      <c r="D478" s="454"/>
      <c r="E478" s="455"/>
      <c r="F478" s="479"/>
      <c r="G478" s="479"/>
      <c r="H478" s="479"/>
      <c r="I478" s="479"/>
      <c r="J478" s="479"/>
      <c r="K478" s="479"/>
      <c r="L478" s="479"/>
      <c r="M478" s="479"/>
      <c r="N478" s="479"/>
      <c r="O478" s="479"/>
      <c r="P478" s="479"/>
      <c r="Q478" s="479"/>
      <c r="R478" s="479"/>
      <c r="S478" s="479"/>
      <c r="T478" s="479"/>
    </row>
    <row r="479" ht="14.25" customHeight="1">
      <c r="A479" s="307"/>
      <c r="B479" s="453"/>
      <c r="C479" s="307"/>
      <c r="D479" s="454"/>
      <c r="E479" s="455"/>
      <c r="F479" s="479"/>
      <c r="G479" s="479"/>
      <c r="H479" s="479"/>
      <c r="I479" s="479"/>
      <c r="J479" s="479"/>
      <c r="K479" s="479"/>
      <c r="L479" s="479"/>
      <c r="M479" s="479"/>
      <c r="N479" s="479"/>
      <c r="O479" s="479"/>
      <c r="P479" s="479"/>
      <c r="Q479" s="479"/>
      <c r="R479" s="479"/>
      <c r="S479" s="479"/>
      <c r="T479" s="479"/>
    </row>
    <row r="480" ht="14.25" customHeight="1">
      <c r="A480" s="307"/>
      <c r="B480" s="453"/>
      <c r="C480" s="307"/>
      <c r="D480" s="454"/>
      <c r="E480" s="455"/>
      <c r="F480" s="479"/>
      <c r="G480" s="479"/>
      <c r="H480" s="479"/>
      <c r="I480" s="479"/>
      <c r="J480" s="479"/>
      <c r="K480" s="479"/>
      <c r="L480" s="479"/>
      <c r="M480" s="479"/>
      <c r="N480" s="479"/>
      <c r="O480" s="479"/>
      <c r="P480" s="479"/>
      <c r="Q480" s="479"/>
      <c r="R480" s="479"/>
      <c r="S480" s="479"/>
      <c r="T480" s="479"/>
    </row>
    <row r="481" ht="14.25" customHeight="1">
      <c r="A481" s="307"/>
      <c r="B481" s="453"/>
      <c r="C481" s="307"/>
      <c r="D481" s="454"/>
      <c r="E481" s="455"/>
      <c r="F481" s="479"/>
      <c r="G481" s="479"/>
      <c r="H481" s="479"/>
      <c r="I481" s="479"/>
      <c r="J481" s="479"/>
      <c r="K481" s="479"/>
      <c r="L481" s="479"/>
      <c r="M481" s="479"/>
      <c r="N481" s="479"/>
      <c r="O481" s="479"/>
      <c r="P481" s="479"/>
      <c r="Q481" s="479"/>
      <c r="R481" s="479"/>
      <c r="S481" s="479"/>
      <c r="T481" s="479"/>
    </row>
    <row r="482" ht="14.25" customHeight="1">
      <c r="A482" s="307"/>
      <c r="B482" s="453"/>
      <c r="C482" s="307"/>
      <c r="D482" s="454"/>
      <c r="E482" s="455"/>
      <c r="F482" s="479"/>
      <c r="G482" s="479"/>
      <c r="H482" s="479"/>
      <c r="I482" s="479"/>
      <c r="J482" s="479"/>
      <c r="K482" s="479"/>
      <c r="L482" s="479"/>
      <c r="M482" s="479"/>
      <c r="N482" s="479"/>
      <c r="O482" s="479"/>
      <c r="P482" s="479"/>
      <c r="Q482" s="479"/>
      <c r="R482" s="479"/>
      <c r="S482" s="479"/>
      <c r="T482" s="479"/>
    </row>
    <row r="483" ht="14.25" customHeight="1">
      <c r="A483" s="307"/>
      <c r="B483" s="453"/>
      <c r="C483" s="307"/>
      <c r="D483" s="454"/>
      <c r="E483" s="455"/>
      <c r="F483" s="479"/>
      <c r="G483" s="479"/>
      <c r="H483" s="479"/>
      <c r="I483" s="479"/>
      <c r="J483" s="479"/>
      <c r="K483" s="479"/>
      <c r="L483" s="479"/>
      <c r="M483" s="479"/>
      <c r="N483" s="479"/>
      <c r="O483" s="479"/>
      <c r="P483" s="479"/>
      <c r="Q483" s="479"/>
      <c r="R483" s="479"/>
      <c r="S483" s="479"/>
      <c r="T483" s="479"/>
    </row>
    <row r="484" ht="14.25" customHeight="1">
      <c r="A484" s="307"/>
      <c r="B484" s="453"/>
      <c r="C484" s="307"/>
      <c r="D484" s="454"/>
      <c r="E484" s="455"/>
      <c r="F484" s="479"/>
      <c r="G484" s="479"/>
      <c r="H484" s="479"/>
      <c r="I484" s="479"/>
      <c r="J484" s="479"/>
      <c r="K484" s="479"/>
      <c r="L484" s="479"/>
      <c r="M484" s="479"/>
      <c r="N484" s="479"/>
      <c r="O484" s="479"/>
      <c r="P484" s="479"/>
      <c r="Q484" s="479"/>
      <c r="R484" s="479"/>
      <c r="S484" s="479"/>
      <c r="T484" s="479"/>
    </row>
    <row r="485" ht="14.25" customHeight="1">
      <c r="A485" s="307"/>
      <c r="B485" s="453"/>
      <c r="C485" s="307"/>
      <c r="D485" s="454"/>
      <c r="E485" s="455"/>
      <c r="F485" s="479"/>
      <c r="G485" s="479"/>
      <c r="H485" s="479"/>
      <c r="I485" s="479"/>
      <c r="J485" s="479"/>
      <c r="K485" s="479"/>
      <c r="L485" s="479"/>
      <c r="M485" s="479"/>
      <c r="N485" s="479"/>
      <c r="O485" s="479"/>
      <c r="P485" s="479"/>
      <c r="Q485" s="479"/>
      <c r="R485" s="479"/>
      <c r="S485" s="479"/>
      <c r="T485" s="479"/>
    </row>
    <row r="486" ht="14.25" customHeight="1">
      <c r="A486" s="307"/>
      <c r="B486" s="453"/>
      <c r="C486" s="307"/>
      <c r="D486" s="454"/>
      <c r="E486" s="455"/>
      <c r="F486" s="479"/>
      <c r="G486" s="479"/>
      <c r="H486" s="479"/>
      <c r="I486" s="479"/>
      <c r="J486" s="479"/>
      <c r="K486" s="479"/>
      <c r="L486" s="479"/>
      <c r="M486" s="479"/>
      <c r="N486" s="479"/>
      <c r="O486" s="479"/>
      <c r="P486" s="479"/>
      <c r="Q486" s="479"/>
      <c r="R486" s="479"/>
      <c r="S486" s="479"/>
      <c r="T486" s="479"/>
    </row>
    <row r="487" ht="14.25" customHeight="1">
      <c r="A487" s="307"/>
      <c r="B487" s="453"/>
      <c r="C487" s="307"/>
      <c r="D487" s="454"/>
      <c r="E487" s="455"/>
      <c r="F487" s="479"/>
      <c r="G487" s="479"/>
      <c r="H487" s="479"/>
      <c r="I487" s="479"/>
      <c r="J487" s="479"/>
      <c r="K487" s="479"/>
      <c r="L487" s="479"/>
      <c r="M487" s="479"/>
      <c r="N487" s="479"/>
      <c r="O487" s="479"/>
      <c r="P487" s="479"/>
      <c r="Q487" s="479"/>
      <c r="R487" s="479"/>
      <c r="S487" s="479"/>
      <c r="T487" s="479"/>
    </row>
    <row r="488" ht="14.25" customHeight="1">
      <c r="A488" s="307"/>
      <c r="B488" s="453"/>
      <c r="C488" s="307"/>
      <c r="D488" s="454"/>
      <c r="E488" s="455"/>
      <c r="F488" s="479"/>
      <c r="G488" s="479"/>
      <c r="H488" s="479"/>
      <c r="I488" s="479"/>
      <c r="J488" s="479"/>
      <c r="K488" s="479"/>
      <c r="L488" s="479"/>
      <c r="M488" s="479"/>
      <c r="N488" s="479"/>
      <c r="O488" s="479"/>
      <c r="P488" s="479"/>
      <c r="Q488" s="479"/>
      <c r="R488" s="479"/>
      <c r="S488" s="479"/>
      <c r="T488" s="479"/>
    </row>
    <row r="489" ht="14.25" customHeight="1">
      <c r="A489" s="307"/>
      <c r="B489" s="453"/>
      <c r="C489" s="307"/>
      <c r="D489" s="454"/>
      <c r="E489" s="455"/>
      <c r="F489" s="479"/>
      <c r="G489" s="479"/>
      <c r="H489" s="479"/>
      <c r="I489" s="479"/>
      <c r="J489" s="479"/>
      <c r="K489" s="479"/>
      <c r="L489" s="479"/>
      <c r="M489" s="479"/>
      <c r="N489" s="479"/>
      <c r="O489" s="479"/>
      <c r="P489" s="479"/>
      <c r="Q489" s="479"/>
      <c r="R489" s="479"/>
      <c r="S489" s="479"/>
      <c r="T489" s="479"/>
    </row>
    <row r="490" ht="14.25" customHeight="1">
      <c r="A490" s="307"/>
      <c r="B490" s="453"/>
      <c r="C490" s="307"/>
      <c r="D490" s="454"/>
      <c r="E490" s="455"/>
      <c r="F490" s="479"/>
      <c r="G490" s="479"/>
      <c r="H490" s="479"/>
      <c r="I490" s="479"/>
      <c r="J490" s="479"/>
      <c r="K490" s="479"/>
      <c r="L490" s="479"/>
      <c r="M490" s="479"/>
      <c r="N490" s="479"/>
      <c r="O490" s="479"/>
      <c r="P490" s="479"/>
      <c r="Q490" s="479"/>
      <c r="R490" s="479"/>
      <c r="S490" s="479"/>
      <c r="T490" s="479"/>
    </row>
    <row r="491" ht="14.25" customHeight="1">
      <c r="A491" s="307"/>
      <c r="B491" s="453"/>
      <c r="C491" s="307"/>
      <c r="D491" s="454"/>
      <c r="E491" s="455"/>
      <c r="F491" s="479"/>
      <c r="G491" s="479"/>
      <c r="H491" s="479"/>
      <c r="I491" s="479"/>
      <c r="J491" s="479"/>
      <c r="K491" s="479"/>
      <c r="L491" s="479"/>
      <c r="M491" s="479"/>
      <c r="N491" s="479"/>
      <c r="O491" s="479"/>
      <c r="P491" s="479"/>
      <c r="Q491" s="479"/>
      <c r="R491" s="479"/>
      <c r="S491" s="479"/>
      <c r="T491" s="479"/>
    </row>
    <row r="492" ht="14.25" customHeight="1">
      <c r="A492" s="307"/>
      <c r="B492" s="453"/>
      <c r="C492" s="307"/>
      <c r="D492" s="454"/>
      <c r="E492" s="455"/>
      <c r="F492" s="479"/>
      <c r="G492" s="479"/>
      <c r="H492" s="479"/>
      <c r="I492" s="479"/>
      <c r="J492" s="479"/>
      <c r="K492" s="479"/>
      <c r="L492" s="479"/>
      <c r="M492" s="479"/>
      <c r="N492" s="479"/>
      <c r="O492" s="479"/>
      <c r="P492" s="479"/>
      <c r="Q492" s="479"/>
      <c r="R492" s="479"/>
      <c r="S492" s="479"/>
      <c r="T492" s="479"/>
    </row>
    <row r="493" ht="14.25" customHeight="1">
      <c r="A493" s="307"/>
      <c r="B493" s="453"/>
      <c r="C493" s="307"/>
      <c r="D493" s="454"/>
      <c r="E493" s="455"/>
      <c r="F493" s="479"/>
      <c r="G493" s="479"/>
      <c r="H493" s="479"/>
      <c r="I493" s="479"/>
      <c r="J493" s="479"/>
      <c r="K493" s="479"/>
      <c r="L493" s="479"/>
      <c r="M493" s="479"/>
      <c r="N493" s="479"/>
      <c r="O493" s="479"/>
      <c r="P493" s="479"/>
      <c r="Q493" s="479"/>
      <c r="R493" s="479"/>
      <c r="S493" s="479"/>
      <c r="T493" s="479"/>
    </row>
    <row r="494" ht="14.25" customHeight="1">
      <c r="A494" s="307"/>
      <c r="B494" s="453"/>
      <c r="C494" s="307"/>
      <c r="D494" s="454"/>
      <c r="E494" s="455"/>
      <c r="F494" s="479"/>
      <c r="G494" s="479"/>
      <c r="H494" s="479"/>
      <c r="I494" s="479"/>
      <c r="J494" s="479"/>
      <c r="K494" s="479"/>
      <c r="L494" s="479"/>
      <c r="M494" s="479"/>
      <c r="N494" s="479"/>
      <c r="O494" s="479"/>
      <c r="P494" s="479"/>
      <c r="Q494" s="479"/>
      <c r="R494" s="479"/>
      <c r="S494" s="479"/>
      <c r="T494" s="479"/>
    </row>
    <row r="495" ht="14.25" customHeight="1">
      <c r="A495" s="307"/>
      <c r="B495" s="453"/>
      <c r="C495" s="307"/>
      <c r="D495" s="454"/>
      <c r="E495" s="455"/>
      <c r="F495" s="479"/>
      <c r="G495" s="479"/>
      <c r="H495" s="479"/>
      <c r="I495" s="479"/>
      <c r="J495" s="479"/>
      <c r="K495" s="479"/>
      <c r="L495" s="479"/>
      <c r="M495" s="479"/>
      <c r="N495" s="479"/>
      <c r="O495" s="479"/>
      <c r="P495" s="479"/>
      <c r="Q495" s="479"/>
      <c r="R495" s="479"/>
      <c r="S495" s="479"/>
      <c r="T495" s="479"/>
    </row>
    <row r="496" ht="14.25" customHeight="1">
      <c r="A496" s="307"/>
      <c r="B496" s="453"/>
      <c r="C496" s="307"/>
      <c r="D496" s="454"/>
      <c r="E496" s="455"/>
      <c r="F496" s="479"/>
      <c r="G496" s="479"/>
      <c r="H496" s="479"/>
      <c r="I496" s="479"/>
      <c r="J496" s="479"/>
      <c r="K496" s="479"/>
      <c r="L496" s="479"/>
      <c r="M496" s="479"/>
      <c r="N496" s="479"/>
      <c r="O496" s="479"/>
      <c r="P496" s="479"/>
      <c r="Q496" s="479"/>
      <c r="R496" s="479"/>
      <c r="S496" s="479"/>
      <c r="T496" s="479"/>
    </row>
    <row r="497" ht="14.25" customHeight="1">
      <c r="A497" s="307"/>
      <c r="B497" s="453"/>
      <c r="C497" s="307"/>
      <c r="D497" s="454"/>
      <c r="E497" s="455"/>
      <c r="F497" s="479"/>
      <c r="G497" s="479"/>
      <c r="H497" s="479"/>
      <c r="I497" s="479"/>
      <c r="J497" s="479"/>
      <c r="K497" s="479"/>
      <c r="L497" s="479"/>
      <c r="M497" s="479"/>
      <c r="N497" s="479"/>
      <c r="O497" s="479"/>
      <c r="P497" s="479"/>
      <c r="Q497" s="479"/>
      <c r="R497" s="479"/>
      <c r="S497" s="479"/>
      <c r="T497" s="479"/>
    </row>
    <row r="498" ht="14.25" customHeight="1">
      <c r="A498" s="307"/>
      <c r="B498" s="453"/>
      <c r="C498" s="307"/>
      <c r="D498" s="454"/>
      <c r="E498" s="455"/>
      <c r="F498" s="479"/>
      <c r="G498" s="479"/>
      <c r="H498" s="479"/>
      <c r="I498" s="479"/>
      <c r="J498" s="479"/>
      <c r="K498" s="479"/>
      <c r="L498" s="479"/>
      <c r="M498" s="479"/>
      <c r="N498" s="479"/>
      <c r="O498" s="479"/>
      <c r="P498" s="479"/>
      <c r="Q498" s="479"/>
      <c r="R498" s="479"/>
      <c r="S498" s="479"/>
      <c r="T498" s="479"/>
    </row>
    <row r="499" ht="14.25" customHeight="1">
      <c r="A499" s="307"/>
      <c r="B499" s="453"/>
      <c r="C499" s="307"/>
      <c r="D499" s="454"/>
      <c r="E499" s="455"/>
      <c r="F499" s="479"/>
      <c r="G499" s="479"/>
      <c r="H499" s="479"/>
      <c r="I499" s="479"/>
      <c r="J499" s="479"/>
      <c r="K499" s="479"/>
      <c r="L499" s="479"/>
      <c r="M499" s="479"/>
      <c r="N499" s="479"/>
      <c r="O499" s="479"/>
      <c r="P499" s="479"/>
      <c r="Q499" s="479"/>
      <c r="R499" s="479"/>
      <c r="S499" s="479"/>
      <c r="T499" s="479"/>
    </row>
    <row r="500" ht="14.25" customHeight="1">
      <c r="A500" s="307"/>
      <c r="B500" s="453"/>
      <c r="C500" s="307"/>
      <c r="D500" s="454"/>
      <c r="E500" s="455"/>
      <c r="F500" s="479"/>
      <c r="G500" s="479"/>
      <c r="H500" s="479"/>
      <c r="I500" s="479"/>
      <c r="J500" s="479"/>
      <c r="K500" s="479"/>
      <c r="L500" s="479"/>
      <c r="M500" s="479"/>
      <c r="N500" s="479"/>
      <c r="O500" s="479"/>
      <c r="P500" s="479"/>
      <c r="Q500" s="479"/>
      <c r="R500" s="479"/>
      <c r="S500" s="479"/>
      <c r="T500" s="479"/>
    </row>
    <row r="501" ht="14.25" customHeight="1">
      <c r="A501" s="307"/>
      <c r="B501" s="453"/>
      <c r="C501" s="307"/>
      <c r="D501" s="454"/>
      <c r="E501" s="455"/>
      <c r="F501" s="479"/>
      <c r="G501" s="479"/>
      <c r="H501" s="479"/>
      <c r="I501" s="479"/>
      <c r="J501" s="479"/>
      <c r="K501" s="479"/>
      <c r="L501" s="479"/>
      <c r="M501" s="479"/>
      <c r="N501" s="479"/>
      <c r="O501" s="479"/>
      <c r="P501" s="479"/>
      <c r="Q501" s="479"/>
      <c r="R501" s="479"/>
      <c r="S501" s="479"/>
      <c r="T501" s="479"/>
    </row>
    <row r="502" ht="14.25" customHeight="1">
      <c r="A502" s="307"/>
      <c r="B502" s="453"/>
      <c r="C502" s="307"/>
      <c r="D502" s="454"/>
      <c r="E502" s="455"/>
      <c r="F502" s="479"/>
      <c r="G502" s="479"/>
      <c r="H502" s="479"/>
      <c r="I502" s="479"/>
      <c r="J502" s="479"/>
      <c r="K502" s="479"/>
      <c r="L502" s="479"/>
      <c r="M502" s="479"/>
      <c r="N502" s="479"/>
      <c r="O502" s="479"/>
      <c r="P502" s="479"/>
      <c r="Q502" s="479"/>
      <c r="R502" s="479"/>
      <c r="S502" s="479"/>
      <c r="T502" s="479"/>
    </row>
    <row r="503" ht="14.25" customHeight="1">
      <c r="A503" s="307"/>
      <c r="B503" s="453"/>
      <c r="C503" s="307"/>
      <c r="D503" s="454"/>
      <c r="E503" s="455"/>
      <c r="F503" s="479"/>
      <c r="G503" s="479"/>
      <c r="H503" s="479"/>
      <c r="I503" s="479"/>
      <c r="J503" s="479"/>
      <c r="K503" s="479"/>
      <c r="L503" s="479"/>
      <c r="M503" s="479"/>
      <c r="N503" s="479"/>
      <c r="O503" s="479"/>
      <c r="P503" s="479"/>
      <c r="Q503" s="479"/>
      <c r="R503" s="479"/>
      <c r="S503" s="479"/>
      <c r="T503" s="479"/>
    </row>
    <row r="504" ht="14.25" customHeight="1">
      <c r="A504" s="307"/>
      <c r="B504" s="453"/>
      <c r="C504" s="307"/>
      <c r="D504" s="454"/>
      <c r="E504" s="455"/>
      <c r="F504" s="479"/>
      <c r="G504" s="479"/>
      <c r="H504" s="479"/>
      <c r="I504" s="479"/>
      <c r="J504" s="479"/>
      <c r="K504" s="479"/>
      <c r="L504" s="479"/>
      <c r="M504" s="479"/>
      <c r="N504" s="479"/>
      <c r="O504" s="479"/>
      <c r="P504" s="479"/>
      <c r="Q504" s="479"/>
      <c r="R504" s="479"/>
      <c r="S504" s="479"/>
      <c r="T504" s="479"/>
    </row>
    <row r="505" ht="14.25" customHeight="1">
      <c r="A505" s="307"/>
      <c r="B505" s="453"/>
      <c r="C505" s="307"/>
      <c r="D505" s="454"/>
      <c r="E505" s="455"/>
      <c r="F505" s="479"/>
      <c r="G505" s="479"/>
      <c r="H505" s="479"/>
      <c r="I505" s="479"/>
      <c r="J505" s="479"/>
      <c r="K505" s="479"/>
      <c r="L505" s="479"/>
      <c r="M505" s="479"/>
      <c r="N505" s="479"/>
      <c r="O505" s="479"/>
      <c r="P505" s="479"/>
      <c r="Q505" s="479"/>
      <c r="R505" s="479"/>
      <c r="S505" s="479"/>
      <c r="T505" s="479"/>
    </row>
    <row r="506" ht="14.25" customHeight="1">
      <c r="A506" s="307"/>
      <c r="B506" s="453"/>
      <c r="C506" s="307"/>
      <c r="D506" s="454"/>
      <c r="E506" s="455"/>
      <c r="F506" s="479"/>
      <c r="G506" s="479"/>
      <c r="H506" s="479"/>
      <c r="I506" s="479"/>
      <c r="J506" s="479"/>
      <c r="K506" s="479"/>
      <c r="L506" s="479"/>
      <c r="M506" s="479"/>
      <c r="N506" s="479"/>
      <c r="O506" s="479"/>
      <c r="P506" s="479"/>
      <c r="Q506" s="479"/>
      <c r="R506" s="479"/>
      <c r="S506" s="479"/>
      <c r="T506" s="479"/>
    </row>
    <row r="507" ht="14.25" customHeight="1">
      <c r="A507" s="307"/>
      <c r="B507" s="453"/>
      <c r="C507" s="307"/>
      <c r="D507" s="454"/>
      <c r="E507" s="455"/>
      <c r="F507" s="479"/>
      <c r="G507" s="479"/>
      <c r="H507" s="479"/>
      <c r="I507" s="479"/>
      <c r="J507" s="479"/>
      <c r="K507" s="479"/>
      <c r="L507" s="479"/>
      <c r="M507" s="479"/>
      <c r="N507" s="479"/>
      <c r="O507" s="479"/>
      <c r="P507" s="479"/>
      <c r="Q507" s="479"/>
      <c r="R507" s="479"/>
      <c r="S507" s="479"/>
      <c r="T507" s="479"/>
    </row>
    <row r="508" ht="14.25" customHeight="1">
      <c r="A508" s="307"/>
      <c r="B508" s="453"/>
      <c r="C508" s="307"/>
      <c r="D508" s="454"/>
      <c r="E508" s="455"/>
      <c r="F508" s="479"/>
      <c r="G508" s="479"/>
      <c r="H508" s="479"/>
      <c r="I508" s="479"/>
      <c r="J508" s="479"/>
      <c r="K508" s="479"/>
      <c r="L508" s="479"/>
      <c r="M508" s="479"/>
      <c r="N508" s="479"/>
      <c r="O508" s="479"/>
      <c r="P508" s="479"/>
      <c r="Q508" s="479"/>
      <c r="R508" s="479"/>
      <c r="S508" s="479"/>
      <c r="T508" s="479"/>
    </row>
    <row r="509" ht="14.25" customHeight="1">
      <c r="A509" s="307"/>
      <c r="B509" s="453"/>
      <c r="C509" s="307"/>
      <c r="D509" s="454"/>
      <c r="E509" s="455"/>
      <c r="F509" s="479"/>
      <c r="G509" s="479"/>
      <c r="H509" s="479"/>
      <c r="I509" s="479"/>
      <c r="J509" s="479"/>
      <c r="K509" s="479"/>
      <c r="L509" s="479"/>
      <c r="M509" s="479"/>
      <c r="N509" s="479"/>
      <c r="O509" s="479"/>
      <c r="P509" s="479"/>
      <c r="Q509" s="479"/>
      <c r="R509" s="479"/>
      <c r="S509" s="479"/>
      <c r="T509" s="479"/>
    </row>
    <row r="510" ht="14.25" customHeight="1">
      <c r="A510" s="307"/>
      <c r="B510" s="453"/>
      <c r="C510" s="307"/>
      <c r="D510" s="454"/>
      <c r="E510" s="455"/>
      <c r="F510" s="479"/>
      <c r="G510" s="479"/>
      <c r="H510" s="479"/>
      <c r="I510" s="479"/>
      <c r="J510" s="479"/>
      <c r="K510" s="479"/>
      <c r="L510" s="479"/>
      <c r="M510" s="479"/>
      <c r="N510" s="479"/>
      <c r="O510" s="479"/>
      <c r="P510" s="479"/>
      <c r="Q510" s="479"/>
      <c r="R510" s="479"/>
      <c r="S510" s="479"/>
      <c r="T510" s="479"/>
    </row>
    <row r="511" ht="14.25" customHeight="1">
      <c r="A511" s="307"/>
      <c r="B511" s="453"/>
      <c r="C511" s="307"/>
      <c r="D511" s="454"/>
      <c r="E511" s="455"/>
      <c r="F511" s="479"/>
      <c r="G511" s="479"/>
      <c r="H511" s="479"/>
      <c r="I511" s="479"/>
      <c r="J511" s="479"/>
      <c r="K511" s="479"/>
      <c r="L511" s="479"/>
      <c r="M511" s="479"/>
      <c r="N511" s="479"/>
      <c r="O511" s="479"/>
      <c r="P511" s="479"/>
      <c r="Q511" s="479"/>
      <c r="R511" s="479"/>
      <c r="S511" s="479"/>
      <c r="T511" s="479"/>
    </row>
    <row r="512" ht="14.25" customHeight="1">
      <c r="A512" s="307"/>
      <c r="B512" s="453"/>
      <c r="C512" s="307"/>
      <c r="D512" s="454"/>
      <c r="E512" s="455"/>
      <c r="F512" s="479"/>
      <c r="G512" s="479"/>
      <c r="H512" s="479"/>
      <c r="I512" s="479"/>
      <c r="J512" s="479"/>
      <c r="K512" s="479"/>
      <c r="L512" s="479"/>
      <c r="M512" s="479"/>
      <c r="N512" s="479"/>
      <c r="O512" s="479"/>
      <c r="P512" s="479"/>
      <c r="Q512" s="479"/>
      <c r="R512" s="479"/>
      <c r="S512" s="479"/>
      <c r="T512" s="479"/>
    </row>
    <row r="513" ht="14.25" customHeight="1">
      <c r="A513" s="307"/>
      <c r="B513" s="453"/>
      <c r="C513" s="307"/>
      <c r="D513" s="454"/>
      <c r="E513" s="455"/>
      <c r="F513" s="479"/>
      <c r="G513" s="479"/>
      <c r="H513" s="479"/>
      <c r="I513" s="479"/>
      <c r="J513" s="479"/>
      <c r="K513" s="479"/>
      <c r="L513" s="479"/>
      <c r="M513" s="479"/>
      <c r="N513" s="479"/>
      <c r="O513" s="479"/>
      <c r="P513" s="479"/>
      <c r="Q513" s="479"/>
      <c r="R513" s="479"/>
      <c r="S513" s="479"/>
      <c r="T513" s="479"/>
    </row>
    <row r="514" ht="14.25" customHeight="1">
      <c r="A514" s="307"/>
      <c r="B514" s="453"/>
      <c r="C514" s="307"/>
      <c r="D514" s="454"/>
      <c r="E514" s="455"/>
      <c r="F514" s="479"/>
      <c r="G514" s="479"/>
      <c r="H514" s="479"/>
      <c r="I514" s="479"/>
      <c r="J514" s="479"/>
      <c r="K514" s="479"/>
      <c r="L514" s="479"/>
      <c r="M514" s="479"/>
      <c r="N514" s="479"/>
      <c r="O514" s="479"/>
      <c r="P514" s="479"/>
      <c r="Q514" s="479"/>
      <c r="R514" s="479"/>
      <c r="S514" s="479"/>
      <c r="T514" s="479"/>
    </row>
    <row r="515" ht="14.25" customHeight="1">
      <c r="A515" s="307"/>
      <c r="B515" s="453"/>
      <c r="C515" s="307"/>
      <c r="D515" s="454"/>
      <c r="E515" s="455"/>
      <c r="F515" s="479"/>
      <c r="G515" s="479"/>
      <c r="H515" s="479"/>
      <c r="I515" s="479"/>
      <c r="J515" s="479"/>
      <c r="K515" s="479"/>
      <c r="L515" s="479"/>
      <c r="M515" s="479"/>
      <c r="N515" s="479"/>
      <c r="O515" s="479"/>
      <c r="P515" s="479"/>
      <c r="Q515" s="479"/>
      <c r="R515" s="479"/>
      <c r="S515" s="479"/>
      <c r="T515" s="479"/>
    </row>
    <row r="516" ht="14.25" customHeight="1">
      <c r="A516" s="307"/>
      <c r="B516" s="453"/>
      <c r="C516" s="307"/>
      <c r="D516" s="454"/>
      <c r="E516" s="455"/>
      <c r="F516" s="479"/>
      <c r="G516" s="479"/>
      <c r="H516" s="479"/>
      <c r="I516" s="479"/>
      <c r="J516" s="479"/>
      <c r="K516" s="479"/>
      <c r="L516" s="479"/>
      <c r="M516" s="479"/>
      <c r="N516" s="479"/>
      <c r="O516" s="479"/>
      <c r="P516" s="479"/>
      <c r="Q516" s="479"/>
      <c r="R516" s="479"/>
      <c r="S516" s="479"/>
      <c r="T516" s="479"/>
    </row>
    <row r="517" ht="14.25" customHeight="1">
      <c r="A517" s="307"/>
      <c r="B517" s="453"/>
      <c r="C517" s="307"/>
      <c r="D517" s="454"/>
      <c r="E517" s="455"/>
      <c r="F517" s="479"/>
      <c r="G517" s="479"/>
      <c r="H517" s="479"/>
      <c r="I517" s="479"/>
      <c r="J517" s="479"/>
      <c r="K517" s="479"/>
      <c r="L517" s="479"/>
      <c r="M517" s="479"/>
      <c r="N517" s="479"/>
      <c r="O517" s="479"/>
      <c r="P517" s="479"/>
      <c r="Q517" s="479"/>
      <c r="R517" s="479"/>
      <c r="S517" s="479"/>
      <c r="T517" s="479"/>
    </row>
    <row r="518" ht="14.25" customHeight="1">
      <c r="A518" s="307"/>
      <c r="B518" s="453"/>
      <c r="C518" s="307"/>
      <c r="D518" s="454"/>
      <c r="E518" s="455"/>
      <c r="F518" s="479"/>
      <c r="G518" s="479"/>
      <c r="H518" s="479"/>
      <c r="I518" s="479"/>
      <c r="J518" s="479"/>
      <c r="K518" s="479"/>
      <c r="L518" s="479"/>
      <c r="M518" s="479"/>
      <c r="N518" s="479"/>
      <c r="O518" s="479"/>
      <c r="P518" s="479"/>
      <c r="Q518" s="479"/>
      <c r="R518" s="479"/>
      <c r="S518" s="479"/>
      <c r="T518" s="479"/>
    </row>
    <row r="519" ht="14.25" customHeight="1">
      <c r="A519" s="307"/>
      <c r="B519" s="453"/>
      <c r="C519" s="307"/>
      <c r="D519" s="454"/>
      <c r="E519" s="455"/>
      <c r="F519" s="479"/>
      <c r="G519" s="479"/>
      <c r="H519" s="479"/>
      <c r="I519" s="479"/>
      <c r="J519" s="479"/>
      <c r="K519" s="479"/>
      <c r="L519" s="479"/>
      <c r="M519" s="479"/>
      <c r="N519" s="479"/>
      <c r="O519" s="479"/>
      <c r="P519" s="479"/>
      <c r="Q519" s="479"/>
      <c r="R519" s="479"/>
      <c r="S519" s="479"/>
      <c r="T519" s="479"/>
    </row>
    <row r="520" ht="14.25" customHeight="1">
      <c r="A520" s="307"/>
      <c r="B520" s="453"/>
      <c r="C520" s="307"/>
      <c r="D520" s="454"/>
      <c r="E520" s="455"/>
      <c r="F520" s="479"/>
      <c r="G520" s="479"/>
      <c r="H520" s="479"/>
      <c r="I520" s="479"/>
      <c r="J520" s="479"/>
      <c r="K520" s="479"/>
      <c r="L520" s="479"/>
      <c r="M520" s="479"/>
      <c r="N520" s="479"/>
      <c r="O520" s="479"/>
      <c r="P520" s="479"/>
      <c r="Q520" s="479"/>
      <c r="R520" s="479"/>
      <c r="S520" s="479"/>
      <c r="T520" s="479"/>
    </row>
    <row r="521" ht="14.25" customHeight="1">
      <c r="A521" s="307"/>
      <c r="B521" s="453"/>
      <c r="C521" s="307"/>
      <c r="D521" s="454"/>
      <c r="E521" s="455"/>
      <c r="F521" s="479"/>
      <c r="G521" s="479"/>
      <c r="H521" s="479"/>
      <c r="I521" s="479"/>
      <c r="J521" s="479"/>
      <c r="K521" s="479"/>
      <c r="L521" s="479"/>
      <c r="M521" s="479"/>
      <c r="N521" s="479"/>
      <c r="O521" s="479"/>
      <c r="P521" s="479"/>
      <c r="Q521" s="479"/>
      <c r="R521" s="479"/>
      <c r="S521" s="479"/>
      <c r="T521" s="479"/>
    </row>
    <row r="522" ht="14.25" customHeight="1">
      <c r="A522" s="307"/>
      <c r="B522" s="453"/>
      <c r="C522" s="307"/>
      <c r="D522" s="454"/>
      <c r="E522" s="455"/>
      <c r="F522" s="479"/>
      <c r="G522" s="479"/>
      <c r="H522" s="479"/>
      <c r="I522" s="479"/>
      <c r="J522" s="479"/>
      <c r="K522" s="479"/>
      <c r="L522" s="479"/>
      <c r="M522" s="479"/>
      <c r="N522" s="479"/>
      <c r="O522" s="479"/>
      <c r="P522" s="479"/>
      <c r="Q522" s="479"/>
      <c r="R522" s="479"/>
      <c r="S522" s="479"/>
      <c r="T522" s="479"/>
    </row>
    <row r="523" ht="14.25" customHeight="1">
      <c r="A523" s="307"/>
      <c r="B523" s="453"/>
      <c r="C523" s="307"/>
      <c r="D523" s="454"/>
      <c r="E523" s="455"/>
      <c r="F523" s="479"/>
      <c r="G523" s="479"/>
      <c r="H523" s="479"/>
      <c r="I523" s="479"/>
      <c r="J523" s="479"/>
      <c r="K523" s="479"/>
      <c r="L523" s="479"/>
      <c r="M523" s="479"/>
      <c r="N523" s="479"/>
      <c r="O523" s="479"/>
      <c r="P523" s="479"/>
      <c r="Q523" s="479"/>
      <c r="R523" s="479"/>
      <c r="S523" s="479"/>
      <c r="T523" s="479"/>
    </row>
    <row r="524" ht="14.25" customHeight="1">
      <c r="A524" s="307"/>
      <c r="B524" s="453"/>
      <c r="C524" s="307"/>
      <c r="D524" s="454"/>
      <c r="E524" s="455"/>
      <c r="F524" s="479"/>
      <c r="G524" s="479"/>
      <c r="H524" s="479"/>
      <c r="I524" s="479"/>
      <c r="J524" s="479"/>
      <c r="K524" s="479"/>
      <c r="L524" s="479"/>
      <c r="M524" s="479"/>
      <c r="N524" s="479"/>
      <c r="O524" s="479"/>
      <c r="P524" s="479"/>
      <c r="Q524" s="479"/>
      <c r="R524" s="479"/>
      <c r="S524" s="479"/>
      <c r="T524" s="479"/>
    </row>
    <row r="525" ht="14.25" customHeight="1">
      <c r="A525" s="307"/>
      <c r="B525" s="453"/>
      <c r="C525" s="307"/>
      <c r="D525" s="454"/>
      <c r="E525" s="455"/>
      <c r="F525" s="479"/>
      <c r="G525" s="479"/>
      <c r="H525" s="479"/>
      <c r="I525" s="479"/>
      <c r="J525" s="479"/>
      <c r="K525" s="479"/>
      <c r="L525" s="479"/>
      <c r="M525" s="479"/>
      <c r="N525" s="479"/>
      <c r="O525" s="479"/>
      <c r="P525" s="479"/>
      <c r="Q525" s="479"/>
      <c r="R525" s="479"/>
      <c r="S525" s="479"/>
      <c r="T525" s="479"/>
    </row>
    <row r="526" ht="14.25" customHeight="1">
      <c r="A526" s="307"/>
      <c r="B526" s="453"/>
      <c r="C526" s="307"/>
      <c r="D526" s="454"/>
      <c r="E526" s="455"/>
      <c r="F526" s="479"/>
      <c r="G526" s="479"/>
      <c r="H526" s="479"/>
      <c r="I526" s="479"/>
      <c r="J526" s="479"/>
      <c r="K526" s="479"/>
      <c r="L526" s="479"/>
      <c r="M526" s="479"/>
      <c r="N526" s="479"/>
      <c r="O526" s="479"/>
      <c r="P526" s="479"/>
      <c r="Q526" s="479"/>
      <c r="R526" s="479"/>
      <c r="S526" s="479"/>
      <c r="T526" s="479"/>
    </row>
    <row r="527" ht="14.25" customHeight="1">
      <c r="A527" s="307"/>
      <c r="B527" s="453"/>
      <c r="C527" s="307"/>
      <c r="D527" s="454"/>
      <c r="E527" s="455"/>
      <c r="F527" s="479"/>
      <c r="G527" s="479"/>
      <c r="H527" s="479"/>
      <c r="I527" s="479"/>
      <c r="J527" s="479"/>
      <c r="K527" s="479"/>
      <c r="L527" s="479"/>
      <c r="M527" s="479"/>
      <c r="N527" s="479"/>
      <c r="O527" s="479"/>
      <c r="P527" s="479"/>
      <c r="Q527" s="479"/>
      <c r="R527" s="479"/>
      <c r="S527" s="479"/>
      <c r="T527" s="479"/>
    </row>
    <row r="528" ht="14.25" customHeight="1">
      <c r="A528" s="307"/>
      <c r="B528" s="453"/>
      <c r="C528" s="307"/>
      <c r="D528" s="454"/>
      <c r="E528" s="455"/>
      <c r="F528" s="479"/>
      <c r="G528" s="479"/>
      <c r="H528" s="479"/>
      <c r="I528" s="479"/>
      <c r="J528" s="479"/>
      <c r="K528" s="479"/>
      <c r="L528" s="479"/>
      <c r="M528" s="479"/>
      <c r="N528" s="479"/>
      <c r="O528" s="479"/>
      <c r="P528" s="479"/>
      <c r="Q528" s="479"/>
      <c r="R528" s="479"/>
      <c r="S528" s="479"/>
      <c r="T528" s="479"/>
    </row>
    <row r="529" ht="14.25" customHeight="1">
      <c r="A529" s="307"/>
      <c r="B529" s="453"/>
      <c r="C529" s="307"/>
      <c r="D529" s="454"/>
      <c r="E529" s="455"/>
      <c r="F529" s="479"/>
      <c r="G529" s="479"/>
      <c r="H529" s="479"/>
      <c r="I529" s="479"/>
      <c r="J529" s="479"/>
      <c r="K529" s="479"/>
      <c r="L529" s="479"/>
      <c r="M529" s="479"/>
      <c r="N529" s="479"/>
      <c r="O529" s="479"/>
      <c r="P529" s="479"/>
      <c r="Q529" s="479"/>
      <c r="R529" s="479"/>
      <c r="S529" s="479"/>
      <c r="T529" s="479"/>
    </row>
    <row r="530" ht="14.25" customHeight="1">
      <c r="A530" s="307"/>
      <c r="B530" s="453"/>
      <c r="C530" s="307"/>
      <c r="D530" s="454"/>
      <c r="E530" s="455"/>
      <c r="F530" s="479"/>
      <c r="G530" s="479"/>
      <c r="H530" s="479"/>
      <c r="I530" s="479"/>
      <c r="J530" s="479"/>
      <c r="K530" s="479"/>
      <c r="L530" s="479"/>
      <c r="M530" s="479"/>
      <c r="N530" s="479"/>
      <c r="O530" s="479"/>
      <c r="P530" s="479"/>
      <c r="Q530" s="479"/>
      <c r="R530" s="479"/>
      <c r="S530" s="479"/>
      <c r="T530" s="479"/>
    </row>
    <row r="531" ht="14.25" customHeight="1">
      <c r="A531" s="307"/>
      <c r="B531" s="453"/>
      <c r="C531" s="307"/>
      <c r="D531" s="454"/>
      <c r="E531" s="455"/>
      <c r="F531" s="479"/>
      <c r="G531" s="479"/>
      <c r="H531" s="479"/>
      <c r="I531" s="479"/>
      <c r="J531" s="479"/>
      <c r="K531" s="479"/>
      <c r="L531" s="479"/>
      <c r="M531" s="479"/>
      <c r="N531" s="479"/>
      <c r="O531" s="479"/>
      <c r="P531" s="479"/>
      <c r="Q531" s="479"/>
      <c r="R531" s="479"/>
      <c r="S531" s="479"/>
      <c r="T531" s="479"/>
    </row>
    <row r="532" ht="14.25" customHeight="1">
      <c r="A532" s="307"/>
      <c r="B532" s="453"/>
      <c r="C532" s="307"/>
      <c r="D532" s="454"/>
      <c r="E532" s="455"/>
      <c r="F532" s="479"/>
      <c r="G532" s="479"/>
      <c r="H532" s="479"/>
      <c r="I532" s="479"/>
      <c r="J532" s="479"/>
      <c r="K532" s="479"/>
      <c r="L532" s="479"/>
      <c r="M532" s="479"/>
      <c r="N532" s="479"/>
      <c r="O532" s="479"/>
      <c r="P532" s="479"/>
      <c r="Q532" s="479"/>
      <c r="R532" s="479"/>
      <c r="S532" s="479"/>
      <c r="T532" s="479"/>
    </row>
    <row r="533" ht="14.25" customHeight="1">
      <c r="A533" s="307"/>
      <c r="B533" s="453"/>
      <c r="C533" s="307"/>
      <c r="D533" s="454"/>
      <c r="E533" s="455"/>
      <c r="F533" s="479"/>
      <c r="G533" s="479"/>
      <c r="H533" s="479"/>
      <c r="I533" s="479"/>
      <c r="J533" s="479"/>
      <c r="K533" s="479"/>
      <c r="L533" s="479"/>
      <c r="M533" s="479"/>
      <c r="N533" s="479"/>
      <c r="O533" s="479"/>
      <c r="P533" s="479"/>
      <c r="Q533" s="479"/>
      <c r="R533" s="479"/>
      <c r="S533" s="479"/>
      <c r="T533" s="479"/>
    </row>
    <row r="534" ht="14.25" customHeight="1">
      <c r="A534" s="307"/>
      <c r="B534" s="453"/>
      <c r="C534" s="307"/>
      <c r="D534" s="454"/>
      <c r="E534" s="455"/>
      <c r="F534" s="479"/>
      <c r="G534" s="479"/>
      <c r="H534" s="479"/>
      <c r="I534" s="479"/>
      <c r="J534" s="479"/>
      <c r="K534" s="479"/>
      <c r="L534" s="479"/>
      <c r="M534" s="479"/>
      <c r="N534" s="479"/>
      <c r="O534" s="479"/>
      <c r="P534" s="479"/>
      <c r="Q534" s="479"/>
      <c r="R534" s="479"/>
      <c r="S534" s="479"/>
      <c r="T534" s="479"/>
    </row>
    <row r="535" ht="14.25" customHeight="1">
      <c r="A535" s="307"/>
      <c r="B535" s="453"/>
      <c r="C535" s="307"/>
      <c r="D535" s="454"/>
      <c r="E535" s="455"/>
      <c r="F535" s="479"/>
      <c r="G535" s="479"/>
      <c r="H535" s="479"/>
      <c r="I535" s="479"/>
      <c r="J535" s="479"/>
      <c r="K535" s="479"/>
      <c r="L535" s="479"/>
      <c r="M535" s="479"/>
      <c r="N535" s="479"/>
      <c r="O535" s="479"/>
      <c r="P535" s="479"/>
      <c r="Q535" s="479"/>
      <c r="R535" s="479"/>
      <c r="S535" s="479"/>
      <c r="T535" s="479"/>
    </row>
    <row r="536" ht="14.25" customHeight="1">
      <c r="A536" s="307"/>
      <c r="B536" s="453"/>
      <c r="C536" s="307"/>
      <c r="D536" s="454"/>
      <c r="E536" s="455"/>
      <c r="F536" s="479"/>
      <c r="G536" s="479"/>
      <c r="H536" s="479"/>
      <c r="I536" s="479"/>
      <c r="J536" s="479"/>
      <c r="K536" s="479"/>
      <c r="L536" s="479"/>
      <c r="M536" s="479"/>
      <c r="N536" s="479"/>
      <c r="O536" s="479"/>
      <c r="P536" s="479"/>
      <c r="Q536" s="479"/>
      <c r="R536" s="479"/>
      <c r="S536" s="479"/>
      <c r="T536" s="479"/>
    </row>
    <row r="537" ht="14.25" customHeight="1">
      <c r="A537" s="307"/>
      <c r="B537" s="453"/>
      <c r="C537" s="307"/>
      <c r="D537" s="454"/>
      <c r="E537" s="455"/>
      <c r="F537" s="479"/>
      <c r="G537" s="479"/>
      <c r="H537" s="479"/>
      <c r="I537" s="479"/>
      <c r="J537" s="479"/>
      <c r="K537" s="479"/>
      <c r="L537" s="479"/>
      <c r="M537" s="479"/>
      <c r="N537" s="479"/>
      <c r="O537" s="479"/>
      <c r="P537" s="479"/>
      <c r="Q537" s="479"/>
      <c r="R537" s="479"/>
      <c r="S537" s="479"/>
      <c r="T537" s="479"/>
    </row>
    <row r="538" ht="14.25" customHeight="1">
      <c r="A538" s="307"/>
      <c r="B538" s="453"/>
      <c r="C538" s="307"/>
      <c r="D538" s="454"/>
      <c r="E538" s="455"/>
      <c r="F538" s="479"/>
      <c r="G538" s="479"/>
      <c r="H538" s="479"/>
      <c r="I538" s="479"/>
      <c r="J538" s="479"/>
      <c r="K538" s="479"/>
      <c r="L538" s="479"/>
      <c r="M538" s="479"/>
      <c r="N538" s="479"/>
      <c r="O538" s="479"/>
      <c r="P538" s="479"/>
      <c r="Q538" s="479"/>
      <c r="R538" s="479"/>
      <c r="S538" s="479"/>
      <c r="T538" s="479"/>
    </row>
    <row r="539" ht="14.25" customHeight="1">
      <c r="A539" s="307"/>
      <c r="B539" s="453"/>
      <c r="C539" s="307"/>
      <c r="D539" s="454"/>
      <c r="E539" s="455"/>
      <c r="F539" s="479"/>
      <c r="G539" s="479"/>
      <c r="H539" s="479"/>
      <c r="I539" s="479"/>
      <c r="J539" s="479"/>
      <c r="K539" s="479"/>
      <c r="L539" s="479"/>
      <c r="M539" s="479"/>
      <c r="N539" s="479"/>
      <c r="O539" s="479"/>
      <c r="P539" s="479"/>
      <c r="Q539" s="479"/>
      <c r="R539" s="479"/>
      <c r="S539" s="479"/>
      <c r="T539" s="479"/>
    </row>
    <row r="540" ht="14.25" customHeight="1">
      <c r="A540" s="307"/>
      <c r="B540" s="453"/>
      <c r="C540" s="307"/>
      <c r="D540" s="454"/>
      <c r="E540" s="455"/>
      <c r="F540" s="479"/>
      <c r="G540" s="479"/>
      <c r="H540" s="479"/>
      <c r="I540" s="479"/>
      <c r="J540" s="479"/>
      <c r="K540" s="479"/>
      <c r="L540" s="479"/>
      <c r="M540" s="479"/>
      <c r="N540" s="479"/>
      <c r="O540" s="479"/>
      <c r="P540" s="479"/>
      <c r="Q540" s="479"/>
      <c r="R540" s="479"/>
      <c r="S540" s="479"/>
      <c r="T540" s="479"/>
    </row>
    <row r="541" ht="14.25" customHeight="1">
      <c r="A541" s="307"/>
      <c r="B541" s="453"/>
      <c r="C541" s="307"/>
      <c r="D541" s="454"/>
      <c r="E541" s="455"/>
      <c r="F541" s="479"/>
      <c r="G541" s="479"/>
      <c r="H541" s="479"/>
      <c r="I541" s="479"/>
      <c r="J541" s="479"/>
      <c r="K541" s="479"/>
      <c r="L541" s="479"/>
      <c r="M541" s="479"/>
      <c r="N541" s="479"/>
      <c r="O541" s="479"/>
      <c r="P541" s="479"/>
      <c r="Q541" s="479"/>
      <c r="R541" s="479"/>
      <c r="S541" s="479"/>
      <c r="T541" s="479"/>
    </row>
    <row r="542" ht="14.25" customHeight="1">
      <c r="A542" s="307"/>
      <c r="B542" s="453"/>
      <c r="C542" s="307"/>
      <c r="D542" s="454"/>
      <c r="E542" s="455"/>
      <c r="F542" s="479"/>
      <c r="G542" s="479"/>
      <c r="H542" s="479"/>
      <c r="I542" s="479"/>
      <c r="J542" s="479"/>
      <c r="K542" s="479"/>
      <c r="L542" s="479"/>
      <c r="M542" s="479"/>
      <c r="N542" s="479"/>
      <c r="O542" s="479"/>
      <c r="P542" s="479"/>
      <c r="Q542" s="479"/>
      <c r="R542" s="479"/>
      <c r="S542" s="479"/>
      <c r="T542" s="479"/>
    </row>
    <row r="543" ht="14.25" customHeight="1">
      <c r="A543" s="307"/>
      <c r="B543" s="453"/>
      <c r="C543" s="307"/>
      <c r="D543" s="454"/>
      <c r="E543" s="455"/>
      <c r="F543" s="479"/>
      <c r="G543" s="479"/>
      <c r="H543" s="479"/>
      <c r="I543" s="479"/>
      <c r="J543" s="479"/>
      <c r="K543" s="479"/>
      <c r="L543" s="479"/>
      <c r="M543" s="479"/>
      <c r="N543" s="479"/>
      <c r="O543" s="479"/>
      <c r="P543" s="479"/>
      <c r="Q543" s="479"/>
      <c r="R543" s="479"/>
      <c r="S543" s="479"/>
      <c r="T543" s="479"/>
    </row>
    <row r="544" ht="14.25" customHeight="1">
      <c r="A544" s="307"/>
      <c r="B544" s="453"/>
      <c r="C544" s="307"/>
      <c r="D544" s="454"/>
      <c r="E544" s="455"/>
      <c r="F544" s="479"/>
      <c r="G544" s="479"/>
      <c r="H544" s="479"/>
      <c r="I544" s="479"/>
      <c r="J544" s="479"/>
      <c r="K544" s="479"/>
      <c r="L544" s="479"/>
      <c r="M544" s="479"/>
      <c r="N544" s="479"/>
      <c r="O544" s="479"/>
      <c r="P544" s="479"/>
      <c r="Q544" s="479"/>
      <c r="R544" s="479"/>
      <c r="S544" s="479"/>
      <c r="T544" s="479"/>
    </row>
    <row r="545" ht="14.25" customHeight="1">
      <c r="A545" s="307"/>
      <c r="B545" s="453"/>
      <c r="C545" s="307"/>
      <c r="D545" s="454"/>
      <c r="E545" s="455"/>
      <c r="F545" s="479"/>
      <c r="G545" s="479"/>
      <c r="H545" s="479"/>
      <c r="I545" s="479"/>
      <c r="J545" s="479"/>
      <c r="K545" s="479"/>
      <c r="L545" s="479"/>
      <c r="M545" s="479"/>
      <c r="N545" s="479"/>
      <c r="O545" s="479"/>
      <c r="P545" s="479"/>
      <c r="Q545" s="479"/>
      <c r="R545" s="479"/>
      <c r="S545" s="479"/>
      <c r="T545" s="479"/>
    </row>
    <row r="546" ht="14.25" customHeight="1">
      <c r="A546" s="307"/>
      <c r="B546" s="453"/>
      <c r="C546" s="307"/>
      <c r="D546" s="454"/>
      <c r="E546" s="455"/>
      <c r="F546" s="479"/>
      <c r="G546" s="479"/>
      <c r="H546" s="479"/>
      <c r="I546" s="479"/>
      <c r="J546" s="479"/>
      <c r="K546" s="479"/>
      <c r="L546" s="479"/>
      <c r="M546" s="479"/>
      <c r="N546" s="479"/>
      <c r="O546" s="479"/>
      <c r="P546" s="479"/>
      <c r="Q546" s="479"/>
      <c r="R546" s="479"/>
      <c r="S546" s="479"/>
      <c r="T546" s="479"/>
    </row>
    <row r="547" ht="14.25" customHeight="1">
      <c r="A547" s="307"/>
      <c r="B547" s="453"/>
      <c r="C547" s="307"/>
      <c r="D547" s="454"/>
      <c r="E547" s="455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</row>
    <row r="548" ht="14.25" customHeight="1">
      <c r="A548" s="307"/>
      <c r="B548" s="453"/>
      <c r="C548" s="307"/>
      <c r="D548" s="454"/>
      <c r="E548" s="455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</row>
    <row r="549" ht="14.25" customHeight="1">
      <c r="A549" s="307"/>
      <c r="B549" s="453"/>
      <c r="C549" s="307"/>
      <c r="D549" s="454"/>
      <c r="E549" s="455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</row>
    <row r="550" ht="14.25" customHeight="1">
      <c r="A550" s="307"/>
      <c r="B550" s="453"/>
      <c r="C550" s="307"/>
      <c r="D550" s="454"/>
      <c r="E550" s="455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</row>
    <row r="551" ht="14.25" customHeight="1">
      <c r="A551" s="307"/>
      <c r="B551" s="453"/>
      <c r="C551" s="307"/>
      <c r="D551" s="454"/>
      <c r="E551" s="455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</row>
    <row r="552" ht="14.25" customHeight="1">
      <c r="A552" s="307"/>
      <c r="B552" s="453"/>
      <c r="C552" s="307"/>
      <c r="D552" s="454"/>
      <c r="E552" s="455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</row>
    <row r="553" ht="14.25" customHeight="1">
      <c r="A553" s="307"/>
      <c r="B553" s="453"/>
      <c r="C553" s="307"/>
      <c r="D553" s="454"/>
      <c r="E553" s="455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</row>
    <row r="554" ht="14.25" customHeight="1">
      <c r="B554" s="532"/>
    </row>
    <row r="555" ht="14.25" customHeight="1">
      <c r="B555" s="532"/>
    </row>
    <row r="556" ht="14.25" customHeight="1">
      <c r="B556" s="532"/>
    </row>
    <row r="557" ht="14.25" customHeight="1">
      <c r="B557" s="532"/>
    </row>
    <row r="558" ht="14.25" customHeight="1">
      <c r="B558" s="532"/>
    </row>
    <row r="559" ht="14.25" customHeight="1">
      <c r="B559" s="532"/>
    </row>
    <row r="560" ht="14.25" customHeight="1">
      <c r="B560" s="532"/>
    </row>
    <row r="561" ht="14.25" customHeight="1">
      <c r="B561" s="532"/>
    </row>
    <row r="562" ht="14.25" customHeight="1">
      <c r="B562" s="532"/>
    </row>
    <row r="563" ht="14.25" customHeight="1">
      <c r="B563" s="532"/>
    </row>
    <row r="564" ht="14.25" customHeight="1">
      <c r="B564" s="532"/>
    </row>
    <row r="565" ht="14.25" customHeight="1">
      <c r="B565" s="532"/>
    </row>
    <row r="566" ht="14.25" customHeight="1">
      <c r="B566" s="532"/>
    </row>
    <row r="567" ht="14.25" customHeight="1">
      <c r="B567" s="532"/>
    </row>
    <row r="568" ht="14.25" customHeight="1">
      <c r="B568" s="532"/>
    </row>
    <row r="569" ht="14.25" customHeight="1">
      <c r="B569" s="532"/>
    </row>
    <row r="570" ht="14.25" customHeight="1">
      <c r="B570" s="532"/>
    </row>
    <row r="571" ht="14.25" customHeight="1">
      <c r="B571" s="532"/>
    </row>
    <row r="572" ht="14.25" customHeight="1">
      <c r="B572" s="532"/>
    </row>
    <row r="573" ht="14.25" customHeight="1">
      <c r="B573" s="532"/>
    </row>
    <row r="574" ht="14.25" customHeight="1">
      <c r="B574" s="532"/>
    </row>
    <row r="575" ht="14.25" customHeight="1">
      <c r="B575" s="532"/>
    </row>
    <row r="576" ht="14.25" customHeight="1">
      <c r="B576" s="532"/>
    </row>
    <row r="577" ht="14.25" customHeight="1">
      <c r="B577" s="532"/>
    </row>
    <row r="578" ht="14.25" customHeight="1">
      <c r="B578" s="532"/>
    </row>
    <row r="579" ht="14.25" customHeight="1">
      <c r="B579" s="532"/>
    </row>
    <row r="580" ht="14.25" customHeight="1">
      <c r="B580" s="532"/>
    </row>
    <row r="581" ht="14.25" customHeight="1">
      <c r="B581" s="532"/>
    </row>
    <row r="582" ht="14.25" customHeight="1">
      <c r="B582" s="532"/>
    </row>
    <row r="583" ht="14.25" customHeight="1">
      <c r="B583" s="532"/>
    </row>
    <row r="584" ht="14.25" customHeight="1">
      <c r="B584" s="532"/>
    </row>
    <row r="585" ht="14.25" customHeight="1">
      <c r="B585" s="532"/>
    </row>
    <row r="586" ht="14.25" customHeight="1">
      <c r="B586" s="532"/>
    </row>
    <row r="587" ht="14.25" customHeight="1">
      <c r="B587" s="532"/>
    </row>
    <row r="588" ht="14.25" customHeight="1">
      <c r="B588" s="532"/>
    </row>
    <row r="589" ht="14.25" customHeight="1">
      <c r="B589" s="532"/>
    </row>
    <row r="590" ht="14.25" customHeight="1">
      <c r="B590" s="532"/>
    </row>
    <row r="591" ht="14.25" customHeight="1">
      <c r="B591" s="532"/>
    </row>
    <row r="592" ht="14.25" customHeight="1">
      <c r="B592" s="532"/>
    </row>
    <row r="593" ht="14.25" customHeight="1">
      <c r="B593" s="532"/>
    </row>
    <row r="594" ht="14.25" customHeight="1">
      <c r="B594" s="532"/>
    </row>
    <row r="595" ht="14.25" customHeight="1">
      <c r="B595" s="532"/>
    </row>
    <row r="596" ht="14.25" customHeight="1">
      <c r="B596" s="532"/>
    </row>
    <row r="597" ht="14.25" customHeight="1">
      <c r="B597" s="532"/>
    </row>
    <row r="598" ht="14.25" customHeight="1">
      <c r="B598" s="532"/>
    </row>
    <row r="599" ht="14.25" customHeight="1">
      <c r="B599" s="532"/>
    </row>
    <row r="600" ht="14.25" customHeight="1">
      <c r="B600" s="532"/>
    </row>
    <row r="601" ht="14.25" customHeight="1">
      <c r="B601" s="532"/>
    </row>
    <row r="602" ht="14.25" customHeight="1">
      <c r="B602" s="532"/>
    </row>
    <row r="603" ht="14.25" customHeight="1">
      <c r="B603" s="532"/>
    </row>
    <row r="604" ht="14.25" customHeight="1">
      <c r="B604" s="532"/>
    </row>
    <row r="605" ht="14.25" customHeight="1">
      <c r="B605" s="532"/>
    </row>
    <row r="606" ht="14.25" customHeight="1">
      <c r="B606" s="532"/>
    </row>
    <row r="607" ht="14.25" customHeight="1">
      <c r="B607" s="532"/>
    </row>
    <row r="608" ht="14.25" customHeight="1">
      <c r="B608" s="532"/>
    </row>
    <row r="609" ht="14.25" customHeight="1">
      <c r="B609" s="532"/>
    </row>
    <row r="610" ht="14.25" customHeight="1">
      <c r="B610" s="532"/>
    </row>
    <row r="611" ht="14.25" customHeight="1">
      <c r="B611" s="532"/>
    </row>
    <row r="612" ht="14.25" customHeight="1">
      <c r="B612" s="532"/>
    </row>
    <row r="613" ht="14.25" customHeight="1">
      <c r="B613" s="532"/>
    </row>
    <row r="614" ht="14.25" customHeight="1">
      <c r="B614" s="532"/>
    </row>
    <row r="615" ht="14.25" customHeight="1">
      <c r="B615" s="532"/>
    </row>
    <row r="616" ht="14.25" customHeight="1">
      <c r="B616" s="532"/>
    </row>
    <row r="617" ht="14.25" customHeight="1">
      <c r="B617" s="532"/>
    </row>
    <row r="618" ht="14.25" customHeight="1">
      <c r="B618" s="532"/>
    </row>
    <row r="619" ht="14.25" customHeight="1">
      <c r="B619" s="532"/>
    </row>
    <row r="620" ht="14.25" customHeight="1">
      <c r="B620" s="532"/>
    </row>
    <row r="621" ht="14.25" customHeight="1">
      <c r="B621" s="532"/>
    </row>
    <row r="622" ht="14.25" customHeight="1">
      <c r="B622" s="532"/>
    </row>
    <row r="623" ht="14.25" customHeight="1">
      <c r="B623" s="532"/>
    </row>
    <row r="624" ht="14.25" customHeight="1">
      <c r="B624" s="532"/>
    </row>
    <row r="625" ht="14.25" customHeight="1">
      <c r="B625" s="532"/>
    </row>
    <row r="626" ht="14.25" customHeight="1">
      <c r="B626" s="532"/>
    </row>
    <row r="627" ht="14.25" customHeight="1">
      <c r="B627" s="532"/>
    </row>
    <row r="628" ht="14.25" customHeight="1">
      <c r="B628" s="532"/>
    </row>
    <row r="629" ht="14.25" customHeight="1">
      <c r="B629" s="532"/>
    </row>
    <row r="630" ht="14.25" customHeight="1">
      <c r="B630" s="532"/>
    </row>
    <row r="631" ht="14.25" customHeight="1">
      <c r="B631" s="532"/>
    </row>
    <row r="632" ht="14.25" customHeight="1">
      <c r="B632" s="532"/>
    </row>
    <row r="633" ht="14.25" customHeight="1">
      <c r="B633" s="532"/>
    </row>
    <row r="634" ht="14.25" customHeight="1">
      <c r="B634" s="532"/>
    </row>
    <row r="635" ht="14.25" customHeight="1">
      <c r="B635" s="532"/>
    </row>
    <row r="636" ht="14.25" customHeight="1">
      <c r="B636" s="532"/>
    </row>
    <row r="637" ht="14.25" customHeight="1">
      <c r="B637" s="532"/>
    </row>
    <row r="638" ht="14.25" customHeight="1">
      <c r="B638" s="532"/>
    </row>
    <row r="639" ht="14.25" customHeight="1">
      <c r="B639" s="532"/>
    </row>
    <row r="640" ht="14.25" customHeight="1">
      <c r="B640" s="532"/>
    </row>
    <row r="641" ht="14.25" customHeight="1">
      <c r="B641" s="532"/>
    </row>
    <row r="642" ht="14.25" customHeight="1">
      <c r="B642" s="532"/>
    </row>
    <row r="643" ht="14.25" customHeight="1">
      <c r="B643" s="532"/>
    </row>
    <row r="644" ht="14.25" customHeight="1">
      <c r="B644" s="532"/>
    </row>
    <row r="645" ht="14.25" customHeight="1">
      <c r="B645" s="532"/>
    </row>
    <row r="646" ht="14.25" customHeight="1">
      <c r="B646" s="532"/>
    </row>
    <row r="647" ht="14.25" customHeight="1">
      <c r="B647" s="532"/>
    </row>
    <row r="648" ht="14.25" customHeight="1">
      <c r="B648" s="532"/>
    </row>
    <row r="649" ht="14.25" customHeight="1">
      <c r="B649" s="532"/>
    </row>
    <row r="650" ht="14.25" customHeight="1">
      <c r="B650" s="532"/>
    </row>
    <row r="651" ht="14.25" customHeight="1">
      <c r="B651" s="532"/>
    </row>
    <row r="652" ht="14.25" customHeight="1">
      <c r="B652" s="532"/>
    </row>
    <row r="653" ht="14.25" customHeight="1">
      <c r="B653" s="532"/>
    </row>
    <row r="654" ht="14.25" customHeight="1">
      <c r="B654" s="532"/>
    </row>
    <row r="655" ht="14.25" customHeight="1">
      <c r="B655" s="532"/>
    </row>
    <row r="656" ht="14.25" customHeight="1">
      <c r="B656" s="532"/>
    </row>
    <row r="657" ht="14.25" customHeight="1">
      <c r="B657" s="532"/>
    </row>
    <row r="658" ht="14.25" customHeight="1">
      <c r="B658" s="532"/>
    </row>
    <row r="659" ht="14.25" customHeight="1">
      <c r="B659" s="532"/>
    </row>
    <row r="660" ht="14.25" customHeight="1">
      <c r="B660" s="532"/>
    </row>
    <row r="661" ht="14.25" customHeight="1">
      <c r="B661" s="532"/>
    </row>
    <row r="662" ht="14.25" customHeight="1">
      <c r="B662" s="532"/>
    </row>
    <row r="663" ht="14.25" customHeight="1">
      <c r="B663" s="532"/>
    </row>
    <row r="664" ht="14.25" customHeight="1">
      <c r="B664" s="532"/>
    </row>
    <row r="665" ht="14.25" customHeight="1">
      <c r="B665" s="532"/>
    </row>
    <row r="666" ht="14.25" customHeight="1">
      <c r="B666" s="532"/>
    </row>
    <row r="667" ht="14.25" customHeight="1">
      <c r="B667" s="532"/>
    </row>
    <row r="668" ht="14.25" customHeight="1">
      <c r="B668" s="532"/>
    </row>
    <row r="669" ht="14.25" customHeight="1">
      <c r="B669" s="532"/>
    </row>
    <row r="670" ht="14.25" customHeight="1">
      <c r="B670" s="532"/>
    </row>
    <row r="671" ht="14.25" customHeight="1">
      <c r="B671" s="532"/>
    </row>
    <row r="672" ht="14.25" customHeight="1">
      <c r="B672" s="532"/>
    </row>
    <row r="673" ht="14.25" customHeight="1">
      <c r="B673" s="532"/>
    </row>
    <row r="674" ht="14.25" customHeight="1">
      <c r="B674" s="532"/>
    </row>
    <row r="675" ht="14.25" customHeight="1">
      <c r="B675" s="532"/>
    </row>
    <row r="676" ht="14.25" customHeight="1">
      <c r="B676" s="532"/>
    </row>
    <row r="677" ht="14.25" customHeight="1">
      <c r="B677" s="532"/>
    </row>
    <row r="678" ht="14.25" customHeight="1">
      <c r="B678" s="532"/>
    </row>
    <row r="679" ht="14.25" customHeight="1">
      <c r="B679" s="532"/>
    </row>
    <row r="680" ht="14.25" customHeight="1">
      <c r="B680" s="532"/>
    </row>
    <row r="681" ht="14.25" customHeight="1">
      <c r="B681" s="532"/>
    </row>
    <row r="682" ht="14.25" customHeight="1">
      <c r="B682" s="532"/>
    </row>
    <row r="683" ht="14.25" customHeight="1">
      <c r="B683" s="532"/>
    </row>
    <row r="684" ht="14.25" customHeight="1">
      <c r="B684" s="532"/>
    </row>
    <row r="685" ht="14.25" customHeight="1">
      <c r="B685" s="532"/>
    </row>
    <row r="686" ht="14.25" customHeight="1">
      <c r="B686" s="532"/>
    </row>
    <row r="687" ht="14.25" customHeight="1">
      <c r="B687" s="532"/>
    </row>
    <row r="688" ht="14.25" customHeight="1">
      <c r="B688" s="532"/>
    </row>
    <row r="689" ht="14.25" customHeight="1">
      <c r="B689" s="532"/>
    </row>
    <row r="690" ht="14.25" customHeight="1">
      <c r="B690" s="532"/>
    </row>
    <row r="691" ht="14.25" customHeight="1">
      <c r="B691" s="532"/>
    </row>
    <row r="692" ht="14.25" customHeight="1">
      <c r="B692" s="532"/>
    </row>
    <row r="693" ht="14.25" customHeight="1">
      <c r="B693" s="532"/>
    </row>
    <row r="694" ht="14.25" customHeight="1">
      <c r="B694" s="532"/>
    </row>
    <row r="695" ht="14.25" customHeight="1">
      <c r="B695" s="532"/>
    </row>
    <row r="696" ht="14.25" customHeight="1">
      <c r="B696" s="532"/>
    </row>
    <row r="697" ht="14.25" customHeight="1">
      <c r="B697" s="532"/>
    </row>
    <row r="698" ht="14.25" customHeight="1">
      <c r="B698" s="532"/>
    </row>
    <row r="699" ht="14.25" customHeight="1">
      <c r="B699" s="532"/>
    </row>
    <row r="700" ht="14.25" customHeight="1">
      <c r="B700" s="532"/>
    </row>
    <row r="701" ht="14.25" customHeight="1">
      <c r="B701" s="532"/>
    </row>
    <row r="702" ht="14.25" customHeight="1">
      <c r="B702" s="532"/>
    </row>
    <row r="703" ht="14.25" customHeight="1">
      <c r="B703" s="532"/>
    </row>
    <row r="704" ht="14.25" customHeight="1">
      <c r="B704" s="532"/>
    </row>
    <row r="705" ht="14.25" customHeight="1">
      <c r="B705" s="532"/>
    </row>
    <row r="706" ht="14.25" customHeight="1">
      <c r="B706" s="532"/>
    </row>
    <row r="707" ht="14.25" customHeight="1">
      <c r="B707" s="532"/>
    </row>
    <row r="708" ht="14.25" customHeight="1">
      <c r="B708" s="532"/>
    </row>
    <row r="709" ht="14.25" customHeight="1">
      <c r="B709" s="532"/>
    </row>
    <row r="710" ht="14.25" customHeight="1">
      <c r="B710" s="532"/>
    </row>
    <row r="711" ht="14.25" customHeight="1">
      <c r="B711" s="532"/>
    </row>
    <row r="712" ht="14.25" customHeight="1">
      <c r="B712" s="532"/>
    </row>
    <row r="713" ht="14.25" customHeight="1">
      <c r="B713" s="532"/>
    </row>
    <row r="714" ht="14.25" customHeight="1">
      <c r="B714" s="532"/>
    </row>
    <row r="715" ht="14.25" customHeight="1">
      <c r="B715" s="532"/>
    </row>
    <row r="716" ht="14.25" customHeight="1">
      <c r="B716" s="532"/>
    </row>
    <row r="717" ht="14.25" customHeight="1">
      <c r="B717" s="532"/>
    </row>
    <row r="718" ht="14.25" customHeight="1">
      <c r="B718" s="532"/>
    </row>
    <row r="719" ht="14.25" customHeight="1">
      <c r="B719" s="532"/>
    </row>
    <row r="720" ht="14.25" customHeight="1">
      <c r="B720" s="532"/>
    </row>
    <row r="721" ht="14.25" customHeight="1">
      <c r="B721" s="532"/>
    </row>
    <row r="722" ht="14.25" customHeight="1">
      <c r="B722" s="532"/>
    </row>
    <row r="723" ht="14.25" customHeight="1">
      <c r="B723" s="532"/>
    </row>
    <row r="724" ht="14.25" customHeight="1">
      <c r="B724" s="532"/>
    </row>
    <row r="725" ht="14.25" customHeight="1">
      <c r="B725" s="532"/>
    </row>
    <row r="726" ht="14.25" customHeight="1">
      <c r="B726" s="532"/>
    </row>
    <row r="727" ht="14.25" customHeight="1">
      <c r="B727" s="532"/>
    </row>
    <row r="728" ht="14.25" customHeight="1">
      <c r="B728" s="532"/>
    </row>
    <row r="729" ht="14.25" customHeight="1">
      <c r="B729" s="532"/>
    </row>
    <row r="730" ht="14.25" customHeight="1">
      <c r="B730" s="532"/>
    </row>
    <row r="731" ht="14.25" customHeight="1">
      <c r="B731" s="532"/>
    </row>
    <row r="732" ht="14.25" customHeight="1">
      <c r="B732" s="532"/>
    </row>
    <row r="733" ht="14.25" customHeight="1">
      <c r="B733" s="532"/>
    </row>
    <row r="734" ht="14.25" customHeight="1">
      <c r="B734" s="532"/>
    </row>
    <row r="735" ht="14.25" customHeight="1">
      <c r="B735" s="532"/>
    </row>
    <row r="736" ht="14.25" customHeight="1">
      <c r="B736" s="532"/>
    </row>
    <row r="737" ht="14.25" customHeight="1">
      <c r="B737" s="532"/>
    </row>
    <row r="738" ht="14.25" customHeight="1">
      <c r="B738" s="532"/>
    </row>
    <row r="739" ht="14.25" customHeight="1">
      <c r="B739" s="532"/>
    </row>
    <row r="740" ht="14.25" customHeight="1">
      <c r="B740" s="532"/>
    </row>
    <row r="741" ht="14.25" customHeight="1">
      <c r="B741" s="532"/>
    </row>
    <row r="742" ht="14.25" customHeight="1">
      <c r="B742" s="532"/>
    </row>
    <row r="743" ht="14.25" customHeight="1">
      <c r="B743" s="532"/>
    </row>
    <row r="744" ht="14.25" customHeight="1">
      <c r="B744" s="532"/>
    </row>
    <row r="745" ht="14.25" customHeight="1">
      <c r="B745" s="532"/>
    </row>
    <row r="746" ht="14.25" customHeight="1">
      <c r="B746" s="532"/>
    </row>
    <row r="747" ht="14.25" customHeight="1">
      <c r="B747" s="532"/>
    </row>
    <row r="748" ht="14.25" customHeight="1">
      <c r="B748" s="532"/>
    </row>
    <row r="749" ht="14.25" customHeight="1">
      <c r="B749" s="532"/>
    </row>
    <row r="750" ht="14.25" customHeight="1">
      <c r="B750" s="532"/>
    </row>
    <row r="751" ht="14.25" customHeight="1">
      <c r="B751" s="532"/>
    </row>
    <row r="752" ht="14.25" customHeight="1">
      <c r="B752" s="532"/>
    </row>
    <row r="753" ht="14.25" customHeight="1">
      <c r="B753" s="532"/>
    </row>
    <row r="754" ht="14.25" customHeight="1">
      <c r="B754" s="532"/>
    </row>
    <row r="755" ht="14.25" customHeight="1">
      <c r="B755" s="532"/>
    </row>
    <row r="756" ht="14.25" customHeight="1">
      <c r="B756" s="532"/>
    </row>
    <row r="757" ht="14.25" customHeight="1">
      <c r="B757" s="532"/>
    </row>
    <row r="758" ht="14.25" customHeight="1">
      <c r="B758" s="532"/>
    </row>
    <row r="759" ht="14.25" customHeight="1">
      <c r="B759" s="532"/>
    </row>
    <row r="760" ht="14.25" customHeight="1">
      <c r="B760" s="532"/>
    </row>
    <row r="761" ht="14.25" customHeight="1">
      <c r="B761" s="532"/>
    </row>
    <row r="762" ht="14.25" customHeight="1">
      <c r="B762" s="532"/>
    </row>
    <row r="763" ht="14.25" customHeight="1">
      <c r="B763" s="532"/>
    </row>
    <row r="764" ht="14.25" customHeight="1">
      <c r="B764" s="532"/>
    </row>
    <row r="765" ht="14.25" customHeight="1">
      <c r="B765" s="532"/>
    </row>
    <row r="766" ht="14.25" customHeight="1">
      <c r="B766" s="532"/>
    </row>
    <row r="767" ht="14.25" customHeight="1">
      <c r="B767" s="532"/>
    </row>
    <row r="768" ht="14.25" customHeight="1">
      <c r="B768" s="532"/>
    </row>
    <row r="769" ht="14.25" customHeight="1">
      <c r="B769" s="532"/>
    </row>
    <row r="770" ht="14.25" customHeight="1">
      <c r="B770" s="532"/>
    </row>
    <row r="771" ht="14.25" customHeight="1">
      <c r="B771" s="532"/>
    </row>
    <row r="772" ht="14.25" customHeight="1">
      <c r="B772" s="532"/>
    </row>
    <row r="773" ht="14.25" customHeight="1">
      <c r="B773" s="532"/>
    </row>
    <row r="774" ht="14.25" customHeight="1">
      <c r="B774" s="532"/>
    </row>
    <row r="775" ht="14.25" customHeight="1">
      <c r="B775" s="532"/>
    </row>
    <row r="776" ht="14.25" customHeight="1">
      <c r="B776" s="532"/>
    </row>
    <row r="777" ht="14.25" customHeight="1">
      <c r="B777" s="532"/>
    </row>
    <row r="778" ht="14.25" customHeight="1">
      <c r="B778" s="532"/>
    </row>
    <row r="779" ht="14.25" customHeight="1">
      <c r="B779" s="532"/>
    </row>
    <row r="780" ht="14.25" customHeight="1">
      <c r="B780" s="532"/>
    </row>
    <row r="781" ht="14.25" customHeight="1">
      <c r="B781" s="532"/>
    </row>
    <row r="782" ht="14.25" customHeight="1">
      <c r="B782" s="532"/>
    </row>
    <row r="783" ht="14.25" customHeight="1">
      <c r="B783" s="532"/>
    </row>
    <row r="784" ht="14.25" customHeight="1">
      <c r="B784" s="532"/>
    </row>
    <row r="785" ht="14.25" customHeight="1">
      <c r="B785" s="532"/>
    </row>
    <row r="786" ht="14.25" customHeight="1">
      <c r="B786" s="532"/>
    </row>
    <row r="787" ht="14.25" customHeight="1">
      <c r="B787" s="532"/>
    </row>
    <row r="788" ht="14.25" customHeight="1">
      <c r="B788" s="532"/>
    </row>
    <row r="789" ht="14.25" customHeight="1">
      <c r="B789" s="532"/>
    </row>
    <row r="790" ht="14.25" customHeight="1">
      <c r="B790" s="532"/>
    </row>
    <row r="791" ht="14.25" customHeight="1">
      <c r="B791" s="532"/>
    </row>
    <row r="792" ht="14.25" customHeight="1">
      <c r="B792" s="532"/>
    </row>
    <row r="793" ht="14.25" customHeight="1">
      <c r="B793" s="532"/>
    </row>
    <row r="794" ht="14.25" customHeight="1">
      <c r="B794" s="532"/>
    </row>
    <row r="795" ht="14.25" customHeight="1">
      <c r="B795" s="532"/>
    </row>
    <row r="796" ht="14.25" customHeight="1">
      <c r="B796" s="532"/>
    </row>
    <row r="797" ht="14.25" customHeight="1">
      <c r="B797" s="532"/>
    </row>
    <row r="798" ht="14.25" customHeight="1">
      <c r="B798" s="532"/>
    </row>
    <row r="799" ht="14.25" customHeight="1">
      <c r="B799" s="532"/>
    </row>
    <row r="800" ht="14.25" customHeight="1">
      <c r="B800" s="532"/>
    </row>
    <row r="801" ht="14.25" customHeight="1">
      <c r="B801" s="532"/>
    </row>
    <row r="802" ht="14.25" customHeight="1">
      <c r="B802" s="532"/>
    </row>
    <row r="803" ht="14.25" customHeight="1">
      <c r="B803" s="532"/>
    </row>
    <row r="804" ht="14.25" customHeight="1">
      <c r="B804" s="532"/>
    </row>
    <row r="805" ht="14.25" customHeight="1">
      <c r="B805" s="532"/>
    </row>
    <row r="806" ht="14.25" customHeight="1">
      <c r="B806" s="532"/>
    </row>
    <row r="807" ht="14.25" customHeight="1">
      <c r="B807" s="532"/>
    </row>
    <row r="808" ht="14.25" customHeight="1">
      <c r="B808" s="532"/>
    </row>
    <row r="809" ht="14.25" customHeight="1">
      <c r="B809" s="532"/>
    </row>
    <row r="810" ht="14.25" customHeight="1">
      <c r="B810" s="532"/>
    </row>
    <row r="811" ht="14.25" customHeight="1">
      <c r="B811" s="532"/>
    </row>
    <row r="812" ht="14.25" customHeight="1">
      <c r="B812" s="532"/>
    </row>
    <row r="813" ht="14.25" customHeight="1">
      <c r="B813" s="532"/>
    </row>
    <row r="814" ht="14.25" customHeight="1">
      <c r="B814" s="532"/>
    </row>
    <row r="815" ht="14.25" customHeight="1">
      <c r="B815" s="532"/>
    </row>
    <row r="816" ht="14.25" customHeight="1">
      <c r="B816" s="532"/>
    </row>
    <row r="817" ht="14.25" customHeight="1">
      <c r="B817" s="532"/>
    </row>
    <row r="818" ht="14.25" customHeight="1">
      <c r="B818" s="532"/>
    </row>
    <row r="819" ht="14.25" customHeight="1">
      <c r="B819" s="532"/>
    </row>
    <row r="820" ht="14.25" customHeight="1">
      <c r="B820" s="532"/>
    </row>
    <row r="821" ht="14.25" customHeight="1">
      <c r="B821" s="532"/>
    </row>
    <row r="822" ht="14.25" customHeight="1">
      <c r="B822" s="532"/>
    </row>
    <row r="823" ht="14.25" customHeight="1">
      <c r="B823" s="532"/>
    </row>
    <row r="824" ht="14.25" customHeight="1">
      <c r="B824" s="532"/>
    </row>
    <row r="825" ht="14.25" customHeight="1">
      <c r="B825" s="532"/>
    </row>
    <row r="826" ht="14.25" customHeight="1">
      <c r="B826" s="532"/>
    </row>
    <row r="827" ht="14.25" customHeight="1">
      <c r="B827" s="532"/>
    </row>
    <row r="828" ht="14.25" customHeight="1">
      <c r="B828" s="532"/>
    </row>
    <row r="829" ht="14.25" customHeight="1">
      <c r="B829" s="532"/>
    </row>
    <row r="830" ht="14.25" customHeight="1">
      <c r="B830" s="532"/>
    </row>
    <row r="831" ht="14.25" customHeight="1">
      <c r="B831" s="532"/>
    </row>
    <row r="832" ht="14.25" customHeight="1">
      <c r="B832" s="532"/>
    </row>
    <row r="833" ht="14.25" customHeight="1">
      <c r="B833" s="532"/>
    </row>
    <row r="834" ht="14.25" customHeight="1">
      <c r="B834" s="532"/>
    </row>
    <row r="835" ht="14.25" customHeight="1">
      <c r="B835" s="532"/>
    </row>
    <row r="836" ht="14.25" customHeight="1">
      <c r="B836" s="532"/>
    </row>
    <row r="837" ht="14.25" customHeight="1">
      <c r="B837" s="532"/>
    </row>
    <row r="838" ht="14.25" customHeight="1">
      <c r="B838" s="532"/>
    </row>
    <row r="839" ht="14.25" customHeight="1">
      <c r="B839" s="532"/>
    </row>
    <row r="840" ht="14.25" customHeight="1">
      <c r="B840" s="532"/>
    </row>
    <row r="841" ht="14.25" customHeight="1">
      <c r="B841" s="532"/>
    </row>
    <row r="842" ht="14.25" customHeight="1">
      <c r="B842" s="532"/>
    </row>
    <row r="843" ht="14.25" customHeight="1">
      <c r="B843" s="532"/>
    </row>
    <row r="844" ht="14.25" customHeight="1">
      <c r="B844" s="532"/>
    </row>
    <row r="845" ht="14.25" customHeight="1">
      <c r="B845" s="532"/>
    </row>
    <row r="846" ht="14.25" customHeight="1">
      <c r="B846" s="532"/>
    </row>
    <row r="847" ht="14.25" customHeight="1">
      <c r="B847" s="532"/>
    </row>
    <row r="848" ht="14.25" customHeight="1">
      <c r="B848" s="532"/>
    </row>
    <row r="849" ht="14.25" customHeight="1">
      <c r="B849" s="532"/>
    </row>
    <row r="850" ht="14.25" customHeight="1">
      <c r="B850" s="532"/>
    </row>
    <row r="851" ht="14.25" customHeight="1">
      <c r="B851" s="532"/>
    </row>
    <row r="852" ht="14.25" customHeight="1">
      <c r="B852" s="532"/>
    </row>
    <row r="853" ht="14.25" customHeight="1">
      <c r="B853" s="532"/>
    </row>
    <row r="854" ht="14.25" customHeight="1">
      <c r="B854" s="532"/>
    </row>
    <row r="855" ht="14.25" customHeight="1">
      <c r="B855" s="532"/>
    </row>
    <row r="856" ht="14.25" customHeight="1">
      <c r="B856" s="532"/>
    </row>
    <row r="857" ht="14.25" customHeight="1">
      <c r="B857" s="532"/>
    </row>
    <row r="858" ht="14.25" customHeight="1">
      <c r="B858" s="532"/>
    </row>
    <row r="859" ht="14.25" customHeight="1">
      <c r="B859" s="532"/>
    </row>
    <row r="860" ht="14.25" customHeight="1">
      <c r="B860" s="532"/>
    </row>
    <row r="861" ht="14.25" customHeight="1">
      <c r="B861" s="532"/>
    </row>
    <row r="862" ht="14.25" customHeight="1">
      <c r="B862" s="532"/>
    </row>
    <row r="863" ht="14.25" customHeight="1">
      <c r="B863" s="532"/>
    </row>
    <row r="864" ht="14.25" customHeight="1">
      <c r="B864" s="532"/>
    </row>
    <row r="865" ht="14.25" customHeight="1">
      <c r="B865" s="532"/>
    </row>
    <row r="866" ht="14.25" customHeight="1">
      <c r="B866" s="532"/>
    </row>
    <row r="867" ht="14.25" customHeight="1">
      <c r="B867" s="532"/>
    </row>
    <row r="868" ht="14.25" customHeight="1">
      <c r="B868" s="532"/>
    </row>
    <row r="869" ht="14.25" customHeight="1">
      <c r="B869" s="532"/>
    </row>
    <row r="870" ht="14.25" customHeight="1">
      <c r="B870" s="532"/>
    </row>
    <row r="871" ht="14.25" customHeight="1">
      <c r="B871" s="532"/>
    </row>
    <row r="872" ht="14.25" customHeight="1">
      <c r="B872" s="532"/>
    </row>
    <row r="873" ht="14.25" customHeight="1">
      <c r="B873" s="532"/>
    </row>
    <row r="874" ht="14.25" customHeight="1">
      <c r="B874" s="532"/>
    </row>
    <row r="875" ht="14.25" customHeight="1">
      <c r="B875" s="532"/>
    </row>
    <row r="876" ht="14.25" customHeight="1">
      <c r="B876" s="532"/>
    </row>
    <row r="877" ht="14.25" customHeight="1">
      <c r="B877" s="532"/>
    </row>
    <row r="878" ht="14.25" customHeight="1">
      <c r="B878" s="532"/>
    </row>
    <row r="879" ht="14.25" customHeight="1">
      <c r="B879" s="532"/>
    </row>
    <row r="880" ht="14.25" customHeight="1">
      <c r="B880" s="532"/>
    </row>
    <row r="881" ht="14.25" customHeight="1">
      <c r="B881" s="532"/>
    </row>
    <row r="882" ht="14.25" customHeight="1">
      <c r="B882" s="532"/>
    </row>
    <row r="883" ht="14.25" customHeight="1">
      <c r="B883" s="532"/>
    </row>
    <row r="884" ht="14.25" customHeight="1">
      <c r="B884" s="532"/>
    </row>
    <row r="885" ht="14.25" customHeight="1">
      <c r="B885" s="532"/>
    </row>
    <row r="886" ht="14.25" customHeight="1">
      <c r="B886" s="532"/>
    </row>
    <row r="887" ht="14.25" customHeight="1">
      <c r="B887" s="532"/>
    </row>
    <row r="888" ht="14.25" customHeight="1">
      <c r="B888" s="532"/>
    </row>
    <row r="889" ht="14.25" customHeight="1">
      <c r="B889" s="532"/>
    </row>
    <row r="890" ht="14.25" customHeight="1">
      <c r="B890" s="532"/>
    </row>
    <row r="891" ht="14.25" customHeight="1">
      <c r="B891" s="532"/>
    </row>
    <row r="892" ht="14.25" customHeight="1">
      <c r="B892" s="532"/>
    </row>
    <row r="893" ht="14.25" customHeight="1">
      <c r="B893" s="532"/>
    </row>
    <row r="894" ht="14.25" customHeight="1">
      <c r="B894" s="532"/>
    </row>
    <row r="895" ht="14.25" customHeight="1">
      <c r="B895" s="532"/>
    </row>
    <row r="896" ht="14.25" customHeight="1">
      <c r="B896" s="532"/>
    </row>
    <row r="897" ht="14.25" customHeight="1">
      <c r="B897" s="532"/>
    </row>
    <row r="898" ht="14.25" customHeight="1">
      <c r="B898" s="532"/>
    </row>
    <row r="899" ht="14.25" customHeight="1">
      <c r="B899" s="532"/>
    </row>
    <row r="900" ht="14.25" customHeight="1">
      <c r="B900" s="532"/>
    </row>
    <row r="901" ht="14.25" customHeight="1">
      <c r="B901" s="532"/>
    </row>
    <row r="902" ht="14.25" customHeight="1">
      <c r="B902" s="532"/>
    </row>
    <row r="903" ht="14.25" customHeight="1">
      <c r="B903" s="532"/>
    </row>
    <row r="904" ht="14.25" customHeight="1">
      <c r="B904" s="532"/>
    </row>
    <row r="905" ht="14.25" customHeight="1">
      <c r="B905" s="532"/>
    </row>
    <row r="906" ht="14.25" customHeight="1">
      <c r="B906" s="532"/>
    </row>
    <row r="907" ht="14.25" customHeight="1">
      <c r="B907" s="532"/>
    </row>
    <row r="908" ht="14.25" customHeight="1">
      <c r="B908" s="532"/>
    </row>
    <row r="909" ht="14.25" customHeight="1">
      <c r="B909" s="532"/>
    </row>
    <row r="910" ht="14.25" customHeight="1">
      <c r="B910" s="532"/>
    </row>
    <row r="911" ht="14.25" customHeight="1">
      <c r="B911" s="532"/>
    </row>
    <row r="912" ht="14.25" customHeight="1">
      <c r="B912" s="532"/>
    </row>
    <row r="913" ht="14.25" customHeight="1">
      <c r="B913" s="532"/>
    </row>
    <row r="914" ht="14.25" customHeight="1">
      <c r="B914" s="532"/>
    </row>
    <row r="915" ht="14.25" customHeight="1">
      <c r="B915" s="532"/>
    </row>
    <row r="916" ht="14.25" customHeight="1">
      <c r="B916" s="532"/>
    </row>
    <row r="917" ht="14.25" customHeight="1">
      <c r="B917" s="532"/>
    </row>
    <row r="918" ht="14.25" customHeight="1">
      <c r="B918" s="532"/>
    </row>
    <row r="919" ht="14.25" customHeight="1">
      <c r="B919" s="532"/>
    </row>
    <row r="920" ht="14.25" customHeight="1">
      <c r="B920" s="532"/>
    </row>
    <row r="921" ht="14.25" customHeight="1">
      <c r="B921" s="532"/>
    </row>
    <row r="922" ht="14.25" customHeight="1">
      <c r="B922" s="532"/>
    </row>
    <row r="923" ht="14.25" customHeight="1">
      <c r="B923" s="532"/>
    </row>
    <row r="924" ht="14.25" customHeight="1">
      <c r="B924" s="532"/>
    </row>
    <row r="925" ht="14.25" customHeight="1">
      <c r="B925" s="532"/>
    </row>
    <row r="926" ht="14.25" customHeight="1">
      <c r="B926" s="532"/>
    </row>
    <row r="927" ht="14.25" customHeight="1">
      <c r="B927" s="532"/>
    </row>
    <row r="928" ht="14.25" customHeight="1">
      <c r="B928" s="532"/>
    </row>
    <row r="929" ht="14.25" customHeight="1">
      <c r="B929" s="532"/>
    </row>
    <row r="930" ht="14.25" customHeight="1">
      <c r="B930" s="532"/>
    </row>
    <row r="931" ht="14.25" customHeight="1">
      <c r="B931" s="532"/>
    </row>
    <row r="932" ht="14.25" customHeight="1">
      <c r="B932" s="532"/>
    </row>
    <row r="933" ht="14.25" customHeight="1">
      <c r="B933" s="532"/>
    </row>
    <row r="934" ht="14.25" customHeight="1">
      <c r="B934" s="532"/>
    </row>
    <row r="935" ht="14.25" customHeight="1">
      <c r="B935" s="532"/>
    </row>
    <row r="936" ht="14.25" customHeight="1">
      <c r="B936" s="532"/>
    </row>
    <row r="937" ht="14.25" customHeight="1">
      <c r="B937" s="532"/>
    </row>
    <row r="938" ht="14.25" customHeight="1">
      <c r="B938" s="532"/>
    </row>
    <row r="939" ht="14.25" customHeight="1">
      <c r="B939" s="532"/>
    </row>
    <row r="940" ht="14.25" customHeight="1">
      <c r="B940" s="532"/>
    </row>
    <row r="941" ht="14.25" customHeight="1">
      <c r="B941" s="532"/>
    </row>
    <row r="942" ht="14.25" customHeight="1">
      <c r="B942" s="532"/>
    </row>
    <row r="943" ht="14.25" customHeight="1">
      <c r="B943" s="532"/>
    </row>
    <row r="944" ht="14.25" customHeight="1">
      <c r="B944" s="532"/>
    </row>
    <row r="945" ht="14.25" customHeight="1">
      <c r="B945" s="532"/>
    </row>
    <row r="946" ht="14.25" customHeight="1">
      <c r="B946" s="532"/>
    </row>
    <row r="947" ht="14.25" customHeight="1">
      <c r="B947" s="532"/>
    </row>
    <row r="948" ht="14.25" customHeight="1">
      <c r="B948" s="532"/>
    </row>
    <row r="949" ht="14.25" customHeight="1">
      <c r="B949" s="532"/>
    </row>
    <row r="950" ht="14.25" customHeight="1">
      <c r="B950" s="532"/>
    </row>
    <row r="951" ht="14.25" customHeight="1">
      <c r="B951" s="532"/>
    </row>
    <row r="952" ht="14.25" customHeight="1">
      <c r="B952" s="532"/>
    </row>
    <row r="953" ht="14.25" customHeight="1">
      <c r="B953" s="532"/>
    </row>
    <row r="954" ht="14.25" customHeight="1">
      <c r="B954" s="532"/>
    </row>
    <row r="955" ht="14.25" customHeight="1">
      <c r="B955" s="532"/>
    </row>
    <row r="956" ht="14.25" customHeight="1">
      <c r="B956" s="532"/>
    </row>
    <row r="957" ht="14.25" customHeight="1">
      <c r="B957" s="532"/>
    </row>
    <row r="958" ht="14.25" customHeight="1">
      <c r="B958" s="532"/>
    </row>
    <row r="959" ht="14.25" customHeight="1">
      <c r="B959" s="532"/>
    </row>
    <row r="960" ht="14.25" customHeight="1">
      <c r="B960" s="532"/>
    </row>
    <row r="961" ht="14.25" customHeight="1">
      <c r="B961" s="532"/>
    </row>
    <row r="962" ht="14.25" customHeight="1">
      <c r="B962" s="532"/>
    </row>
    <row r="963" ht="14.25" customHeight="1">
      <c r="B963" s="532"/>
    </row>
    <row r="964" ht="14.25" customHeight="1">
      <c r="B964" s="532"/>
    </row>
    <row r="965" ht="14.25" customHeight="1">
      <c r="B965" s="532"/>
    </row>
    <row r="966" ht="14.25" customHeight="1">
      <c r="B966" s="532"/>
    </row>
    <row r="967" ht="14.25" customHeight="1">
      <c r="B967" s="532"/>
    </row>
    <row r="968" ht="14.25" customHeight="1">
      <c r="B968" s="532"/>
    </row>
    <row r="969" ht="14.25" customHeight="1">
      <c r="B969" s="532"/>
    </row>
    <row r="970" ht="14.25" customHeight="1">
      <c r="B970" s="532"/>
    </row>
    <row r="971" ht="14.25" customHeight="1">
      <c r="B971" s="532"/>
    </row>
    <row r="972" ht="14.25" customHeight="1">
      <c r="B972" s="532"/>
    </row>
    <row r="973" ht="14.25" customHeight="1">
      <c r="B973" s="532"/>
    </row>
    <row r="974" ht="14.25" customHeight="1">
      <c r="B974" s="532"/>
    </row>
    <row r="975" ht="14.25" customHeight="1">
      <c r="B975" s="532"/>
    </row>
    <row r="976" ht="14.25" customHeight="1">
      <c r="B976" s="532"/>
    </row>
    <row r="977" ht="14.25" customHeight="1">
      <c r="B977" s="532"/>
    </row>
    <row r="978" ht="14.25" customHeight="1">
      <c r="B978" s="532"/>
    </row>
    <row r="979" ht="14.25" customHeight="1">
      <c r="B979" s="532"/>
    </row>
    <row r="980" ht="14.25" customHeight="1">
      <c r="B980" s="532"/>
    </row>
    <row r="981" ht="14.25" customHeight="1">
      <c r="B981" s="532"/>
    </row>
    <row r="982" ht="14.25" customHeight="1">
      <c r="B982" s="532"/>
    </row>
    <row r="983" ht="14.25" customHeight="1">
      <c r="B983" s="532"/>
    </row>
    <row r="984" ht="14.25" customHeight="1">
      <c r="B984" s="532"/>
    </row>
    <row r="985" ht="14.25" customHeight="1">
      <c r="B985" s="532"/>
    </row>
    <row r="986" ht="14.25" customHeight="1">
      <c r="B986" s="532"/>
    </row>
    <row r="987" ht="14.25" customHeight="1">
      <c r="B987" s="532"/>
    </row>
    <row r="988" ht="14.25" customHeight="1">
      <c r="B988" s="532"/>
    </row>
    <row r="989" ht="14.25" customHeight="1">
      <c r="B989" s="532"/>
    </row>
    <row r="990" ht="14.25" customHeight="1">
      <c r="B990" s="532"/>
    </row>
    <row r="991" ht="14.25" customHeight="1">
      <c r="B991" s="532"/>
    </row>
    <row r="992" ht="14.25" customHeight="1">
      <c r="B992" s="532"/>
    </row>
    <row r="993" ht="14.25" customHeight="1">
      <c r="B993" s="532"/>
    </row>
    <row r="994" ht="14.25" customHeight="1">
      <c r="B994" s="532"/>
    </row>
    <row r="995" ht="14.25" customHeight="1">
      <c r="B995" s="532"/>
    </row>
    <row r="996" ht="14.25" customHeight="1">
      <c r="B996" s="532"/>
    </row>
    <row r="997" ht="14.25" customHeight="1">
      <c r="B997" s="532"/>
    </row>
    <row r="998" ht="14.25" customHeight="1">
      <c r="B998" s="532"/>
    </row>
    <row r="999" ht="14.25" customHeight="1">
      <c r="B999" s="532"/>
    </row>
    <row r="1000" ht="14.25" customHeight="1">
      <c r="B1000" s="532"/>
    </row>
  </sheetData>
  <mergeCells count="32">
    <mergeCell ref="D3:F5"/>
    <mergeCell ref="A8:E8"/>
    <mergeCell ref="A11:A12"/>
    <mergeCell ref="A15:C15"/>
    <mergeCell ref="A16:E16"/>
    <mergeCell ref="A17:E17"/>
    <mergeCell ref="A22:C22"/>
    <mergeCell ref="A23:C23"/>
    <mergeCell ref="A24:E24"/>
    <mergeCell ref="A25:E25"/>
    <mergeCell ref="A26:A30"/>
    <mergeCell ref="A31:A36"/>
    <mergeCell ref="A38:A39"/>
    <mergeCell ref="A40:A41"/>
    <mergeCell ref="A42:A43"/>
    <mergeCell ref="A47:C47"/>
    <mergeCell ref="A48:E48"/>
    <mergeCell ref="A71:C71"/>
    <mergeCell ref="A73:E73"/>
    <mergeCell ref="A82:C82"/>
    <mergeCell ref="A84:E84"/>
    <mergeCell ref="A331:C331"/>
    <mergeCell ref="A333:E333"/>
    <mergeCell ref="A343:C343"/>
    <mergeCell ref="A344:C344"/>
    <mergeCell ref="A286:C286"/>
    <mergeCell ref="A287:C287"/>
    <mergeCell ref="A288:E288"/>
    <mergeCell ref="A294:C294"/>
    <mergeCell ref="A295:E295"/>
    <mergeCell ref="A322:C322"/>
    <mergeCell ref="A323:E323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42.71"/>
    <col customWidth="1" min="3" max="3" width="81.71"/>
    <col customWidth="1" min="4" max="4" width="46.0"/>
    <col customWidth="1" min="5" max="5" width="50.14"/>
    <col customWidth="1" min="7" max="7" width="37.29"/>
  </cols>
  <sheetData>
    <row r="1" ht="24.75" customHeight="1">
      <c r="A1" s="292" t="s">
        <v>0</v>
      </c>
      <c r="B1" s="293"/>
      <c r="C1" s="533"/>
      <c r="D1" s="294"/>
      <c r="E1" s="534"/>
      <c r="F1" s="294"/>
      <c r="G1" s="534"/>
      <c r="H1" s="534"/>
      <c r="I1" s="294"/>
      <c r="J1" s="534"/>
      <c r="K1" s="294"/>
      <c r="L1" s="534"/>
      <c r="M1" s="534"/>
      <c r="N1" s="534"/>
      <c r="O1" s="294"/>
      <c r="P1" s="53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</row>
    <row r="2" ht="31.5" customHeight="1">
      <c r="A2" s="297" t="s">
        <v>1</v>
      </c>
      <c r="B2" s="298"/>
      <c r="C2" s="298"/>
      <c r="D2" s="298"/>
      <c r="E2" s="298"/>
      <c r="F2" s="298"/>
      <c r="G2" s="299"/>
      <c r="H2" s="298"/>
      <c r="I2" s="298"/>
      <c r="J2" s="298"/>
      <c r="K2" s="295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</row>
    <row r="3" ht="27.0" customHeight="1">
      <c r="A3" s="535" t="s">
        <v>1167</v>
      </c>
      <c r="B3" s="536"/>
      <c r="C3" s="536"/>
      <c r="D3" s="537"/>
      <c r="E3" s="299"/>
      <c r="F3" s="299"/>
      <c r="G3" s="299"/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6"/>
      <c r="T3" s="536"/>
      <c r="U3" s="536"/>
      <c r="V3" s="536"/>
      <c r="W3" s="536"/>
      <c r="X3" s="536"/>
      <c r="Y3" s="536"/>
      <c r="Z3" s="536"/>
      <c r="AA3" s="536"/>
      <c r="AB3" s="536"/>
      <c r="AC3" s="536"/>
      <c r="AD3" s="536"/>
      <c r="AE3" s="536"/>
      <c r="AF3" s="536"/>
      <c r="AG3" s="536"/>
      <c r="AH3" s="536"/>
      <c r="AI3" s="536"/>
    </row>
    <row r="4" ht="31.5" customHeight="1">
      <c r="A4" s="535" t="s">
        <v>3</v>
      </c>
      <c r="B4" s="536"/>
      <c r="C4" s="536"/>
      <c r="D4" s="537"/>
      <c r="E4" s="299"/>
      <c r="F4" s="299"/>
      <c r="G4" s="299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  <c r="X4" s="536"/>
      <c r="Y4" s="536"/>
      <c r="Z4" s="536"/>
      <c r="AA4" s="536"/>
      <c r="AB4" s="536"/>
      <c r="AC4" s="536"/>
      <c r="AD4" s="536"/>
      <c r="AE4" s="536"/>
      <c r="AF4" s="536"/>
      <c r="AG4" s="536"/>
      <c r="AH4" s="536"/>
      <c r="AI4" s="536"/>
    </row>
    <row r="5" ht="37.5" customHeight="1">
      <c r="A5" s="535" t="s">
        <v>4</v>
      </c>
      <c r="B5" s="536"/>
      <c r="C5" s="536"/>
      <c r="D5" s="537"/>
      <c r="E5" s="538"/>
      <c r="F5" s="536"/>
      <c r="G5" s="536"/>
      <c r="H5" s="536"/>
      <c r="I5" s="536"/>
      <c r="J5" s="536"/>
      <c r="K5" s="536"/>
      <c r="L5" s="536"/>
      <c r="M5" s="536"/>
      <c r="N5" s="536"/>
      <c r="O5" s="536"/>
      <c r="P5" s="536"/>
      <c r="Q5" s="536"/>
      <c r="R5" s="536"/>
      <c r="S5" s="536"/>
      <c r="T5" s="536"/>
      <c r="U5" s="536"/>
      <c r="V5" s="536"/>
      <c r="W5" s="536"/>
      <c r="X5" s="536"/>
      <c r="Y5" s="536"/>
      <c r="Z5" s="536"/>
      <c r="AA5" s="536"/>
      <c r="AB5" s="536"/>
      <c r="AC5" s="536"/>
      <c r="AD5" s="536"/>
      <c r="AE5" s="536"/>
      <c r="AF5" s="536"/>
      <c r="AG5" s="536"/>
      <c r="AH5" s="536"/>
      <c r="AI5" s="536"/>
    </row>
    <row r="6" ht="14.25" customHeight="1">
      <c r="A6" s="536"/>
      <c r="B6" s="536"/>
      <c r="C6" s="536"/>
      <c r="D6" s="537"/>
      <c r="E6" s="538"/>
      <c r="F6" s="536"/>
      <c r="G6" s="536"/>
      <c r="H6" s="536"/>
      <c r="I6" s="536"/>
      <c r="J6" s="536"/>
      <c r="K6" s="536"/>
      <c r="L6" s="536"/>
      <c r="M6" s="536"/>
      <c r="N6" s="536"/>
      <c r="O6" s="536"/>
      <c r="P6" s="536"/>
      <c r="Q6" s="536"/>
      <c r="R6" s="536"/>
      <c r="S6" s="536"/>
      <c r="T6" s="536"/>
      <c r="U6" s="536"/>
      <c r="V6" s="536"/>
      <c r="W6" s="536"/>
      <c r="X6" s="536"/>
      <c r="Y6" s="536"/>
      <c r="Z6" s="536"/>
      <c r="AA6" s="536"/>
      <c r="AB6" s="536"/>
      <c r="AC6" s="536"/>
      <c r="AD6" s="536"/>
      <c r="AE6" s="536"/>
      <c r="AF6" s="536"/>
      <c r="AG6" s="536"/>
      <c r="AH6" s="536"/>
      <c r="AI6" s="536"/>
    </row>
    <row r="7" ht="50.25" customHeight="1">
      <c r="A7" s="459" t="s">
        <v>671</v>
      </c>
      <c r="B7" s="459" t="s">
        <v>672</v>
      </c>
      <c r="C7" s="459" t="s">
        <v>673</v>
      </c>
      <c r="D7" s="460" t="s">
        <v>674</v>
      </c>
      <c r="E7" s="539" t="s">
        <v>675</v>
      </c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  <c r="V7" s="540"/>
      <c r="W7" s="540"/>
      <c r="X7" s="540"/>
      <c r="Y7" s="540"/>
      <c r="Z7" s="540"/>
      <c r="AA7" s="541"/>
      <c r="AB7" s="541"/>
      <c r="AC7" s="541"/>
      <c r="AD7" s="541"/>
      <c r="AE7" s="541"/>
      <c r="AF7" s="541"/>
      <c r="AG7" s="541"/>
      <c r="AH7" s="541"/>
      <c r="AI7" s="541"/>
    </row>
    <row r="8" ht="19.5" customHeight="1">
      <c r="A8" s="542" t="s">
        <v>1168</v>
      </c>
      <c r="B8" s="17"/>
      <c r="C8" s="17"/>
      <c r="D8" s="17"/>
      <c r="E8" s="18"/>
      <c r="F8" s="543"/>
      <c r="G8" s="543"/>
      <c r="H8" s="543"/>
      <c r="I8" s="543"/>
      <c r="J8" s="543"/>
      <c r="K8" s="543"/>
      <c r="L8" s="543"/>
      <c r="M8" s="543"/>
      <c r="N8" s="543"/>
      <c r="O8" s="543"/>
      <c r="P8" s="543"/>
      <c r="Q8" s="543"/>
      <c r="R8" s="543"/>
      <c r="S8" s="543"/>
      <c r="T8" s="543"/>
      <c r="U8" s="543"/>
      <c r="V8" s="543"/>
      <c r="W8" s="543"/>
      <c r="X8" s="543"/>
      <c r="Y8" s="543"/>
      <c r="Z8" s="543"/>
      <c r="AA8" s="543"/>
      <c r="AB8" s="543"/>
      <c r="AC8" s="543"/>
      <c r="AD8" s="543"/>
      <c r="AE8" s="543"/>
      <c r="AF8" s="543"/>
      <c r="AG8" s="543"/>
      <c r="AH8" s="543"/>
      <c r="AI8" s="543"/>
    </row>
    <row r="9" ht="22.5" customHeight="1">
      <c r="A9" s="544" t="s">
        <v>610</v>
      </c>
      <c r="B9" s="545" t="s">
        <v>710</v>
      </c>
      <c r="C9" s="545" t="s">
        <v>1169</v>
      </c>
      <c r="D9" s="499" t="s">
        <v>1170</v>
      </c>
      <c r="E9" s="399">
        <f>15000000/1000</f>
        <v>15000</v>
      </c>
      <c r="F9" s="543"/>
      <c r="G9" s="543"/>
      <c r="H9" s="543"/>
      <c r="I9" s="543"/>
      <c r="J9" s="543"/>
      <c r="K9" s="543"/>
      <c r="L9" s="543"/>
      <c r="M9" s="543"/>
      <c r="N9" s="543"/>
      <c r="O9" s="543"/>
      <c r="P9" s="543"/>
      <c r="Q9" s="543"/>
      <c r="R9" s="543"/>
      <c r="S9" s="543"/>
      <c r="T9" s="543"/>
      <c r="U9" s="543"/>
      <c r="V9" s="543"/>
      <c r="W9" s="543"/>
      <c r="X9" s="543"/>
      <c r="Y9" s="543"/>
      <c r="Z9" s="543"/>
      <c r="AA9" s="543"/>
      <c r="AB9" s="543"/>
      <c r="AC9" s="543"/>
      <c r="AD9" s="543"/>
      <c r="AE9" s="543"/>
      <c r="AF9" s="543"/>
      <c r="AG9" s="543"/>
      <c r="AH9" s="543"/>
      <c r="AI9" s="543"/>
    </row>
    <row r="10" ht="14.25" customHeight="1">
      <c r="A10" s="546"/>
      <c r="B10" s="546"/>
      <c r="C10" s="546"/>
      <c r="D10" s="547"/>
      <c r="E10" s="548"/>
      <c r="F10" s="543"/>
      <c r="G10" s="543"/>
      <c r="H10" s="543"/>
      <c r="I10" s="543"/>
      <c r="J10" s="543"/>
      <c r="K10" s="543"/>
      <c r="L10" s="543"/>
      <c r="M10" s="543"/>
      <c r="N10" s="543"/>
      <c r="O10" s="543"/>
      <c r="P10" s="543"/>
      <c r="Q10" s="543"/>
      <c r="R10" s="543"/>
      <c r="S10" s="543"/>
      <c r="T10" s="543"/>
      <c r="U10" s="543"/>
      <c r="V10" s="543"/>
      <c r="W10" s="543"/>
      <c r="X10" s="543"/>
      <c r="Y10" s="543"/>
      <c r="Z10" s="543"/>
      <c r="AA10" s="543"/>
      <c r="AB10" s="543"/>
      <c r="AC10" s="543"/>
      <c r="AD10" s="543"/>
      <c r="AE10" s="543"/>
      <c r="AF10" s="543"/>
      <c r="AG10" s="543"/>
      <c r="AH10" s="543"/>
      <c r="AI10" s="543"/>
    </row>
    <row r="11" ht="31.5" customHeight="1">
      <c r="A11" s="263" t="s">
        <v>13</v>
      </c>
      <c r="B11" s="17"/>
      <c r="C11" s="18"/>
      <c r="D11" s="549"/>
      <c r="E11" s="33">
        <f>SUM(E9:E10)</f>
        <v>15000</v>
      </c>
      <c r="F11" s="543"/>
      <c r="G11" s="543"/>
      <c r="H11" s="543"/>
      <c r="I11" s="543"/>
      <c r="J11" s="543"/>
      <c r="K11" s="543"/>
      <c r="L11" s="543"/>
      <c r="M11" s="543"/>
      <c r="N11" s="543"/>
      <c r="O11" s="543"/>
      <c r="P11" s="543"/>
      <c r="Q11" s="543"/>
      <c r="R11" s="543"/>
      <c r="S11" s="543"/>
      <c r="T11" s="543"/>
      <c r="U11" s="543"/>
      <c r="V11" s="543"/>
      <c r="W11" s="543"/>
      <c r="X11" s="543"/>
      <c r="Y11" s="543"/>
      <c r="Z11" s="543"/>
      <c r="AA11" s="543"/>
      <c r="AB11" s="543"/>
      <c r="AC11" s="543"/>
      <c r="AD11" s="543"/>
      <c r="AE11" s="543"/>
      <c r="AF11" s="543"/>
      <c r="AG11" s="543"/>
      <c r="AH11" s="543"/>
      <c r="AI11" s="543"/>
    </row>
    <row r="12" ht="26.25" customHeight="1">
      <c r="A12" s="550"/>
      <c r="B12" s="551"/>
      <c r="C12" s="551"/>
      <c r="D12" s="552"/>
      <c r="E12" s="552"/>
      <c r="F12" s="536"/>
      <c r="G12" s="536"/>
      <c r="H12" s="536"/>
      <c r="I12" s="552"/>
      <c r="J12" s="552"/>
      <c r="K12" s="536"/>
      <c r="L12" s="552"/>
      <c r="M12" s="552"/>
      <c r="N12" s="536"/>
      <c r="O12" s="536"/>
      <c r="P12" s="536"/>
      <c r="Q12" s="536"/>
      <c r="R12" s="536"/>
      <c r="S12" s="536"/>
      <c r="T12" s="536"/>
      <c r="U12" s="536"/>
      <c r="V12" s="536"/>
      <c r="W12" s="536"/>
      <c r="X12" s="536"/>
      <c r="Y12" s="536"/>
      <c r="Z12" s="536"/>
      <c r="AA12" s="536"/>
      <c r="AB12" s="536"/>
      <c r="AC12" s="536"/>
      <c r="AD12" s="536"/>
      <c r="AE12" s="536"/>
      <c r="AF12" s="536"/>
      <c r="AG12" s="536"/>
      <c r="AH12" s="536"/>
      <c r="AI12" s="536"/>
    </row>
    <row r="13" ht="15.75" customHeight="1">
      <c r="A13" s="245" t="s">
        <v>72</v>
      </c>
      <c r="B13" s="246"/>
      <c r="C13" s="247" t="s">
        <v>528</v>
      </c>
      <c r="D13" s="249" t="s">
        <v>74</v>
      </c>
      <c r="E13" s="347"/>
      <c r="F13" s="347"/>
      <c r="G13" s="347"/>
      <c r="H13" s="347"/>
      <c r="I13" s="304"/>
      <c r="J13" s="304"/>
      <c r="K13" s="248"/>
      <c r="L13" s="250"/>
      <c r="M13" s="347"/>
      <c r="N13" s="249"/>
      <c r="O13" s="248"/>
      <c r="P13" s="247"/>
      <c r="Q13" s="304"/>
      <c r="R13" s="248"/>
      <c r="S13" s="304"/>
      <c r="T13" s="304"/>
      <c r="U13" s="249"/>
      <c r="V13" s="304"/>
      <c r="W13" s="304"/>
      <c r="X13" s="248"/>
      <c r="Y13" s="304"/>
      <c r="Z13" s="248"/>
      <c r="AA13" s="82"/>
      <c r="AB13" s="82"/>
      <c r="AC13" s="82"/>
      <c r="AD13" s="82"/>
      <c r="AE13" s="82"/>
      <c r="AF13" s="82"/>
      <c r="AG13" s="82"/>
      <c r="AH13" s="82"/>
      <c r="AI13" s="82"/>
    </row>
    <row r="14" ht="15.75" customHeight="1">
      <c r="A14" s="250"/>
      <c r="B14" s="248"/>
      <c r="C14" s="250"/>
      <c r="D14" s="250"/>
      <c r="E14" s="347"/>
      <c r="F14" s="347"/>
      <c r="G14" s="250"/>
      <c r="H14" s="347"/>
      <c r="I14" s="304"/>
      <c r="J14" s="304"/>
      <c r="K14" s="248"/>
      <c r="L14" s="250"/>
      <c r="M14" s="304"/>
      <c r="N14" s="250"/>
      <c r="O14" s="248"/>
      <c r="P14" s="250"/>
      <c r="Q14" s="304"/>
      <c r="R14" s="248"/>
      <c r="S14" s="304"/>
      <c r="T14" s="304"/>
      <c r="U14" s="250"/>
      <c r="V14" s="304"/>
      <c r="W14" s="304"/>
      <c r="X14" s="248"/>
      <c r="Y14" s="304"/>
      <c r="Z14" s="248"/>
      <c r="AA14" s="82"/>
      <c r="AB14" s="82"/>
      <c r="AC14" s="82"/>
      <c r="AD14" s="82"/>
      <c r="AE14" s="82"/>
      <c r="AF14" s="82"/>
      <c r="AG14" s="82"/>
      <c r="AH14" s="82"/>
      <c r="AI14" s="82"/>
    </row>
    <row r="15" ht="12.75" customHeight="1">
      <c r="A15" s="250"/>
      <c r="B15" s="250"/>
      <c r="C15" s="250"/>
      <c r="D15" s="250"/>
      <c r="E15" s="347"/>
      <c r="F15" s="347"/>
      <c r="G15" s="250"/>
      <c r="H15" s="347"/>
      <c r="I15" s="304"/>
      <c r="J15" s="304"/>
      <c r="K15" s="248"/>
      <c r="L15" s="250"/>
      <c r="M15" s="304"/>
      <c r="N15" s="250"/>
      <c r="O15" s="248"/>
      <c r="P15" s="250"/>
      <c r="Q15" s="304"/>
      <c r="R15" s="248"/>
      <c r="S15" s="304"/>
      <c r="T15" s="304"/>
      <c r="U15" s="250"/>
      <c r="V15" s="304"/>
      <c r="W15" s="304"/>
      <c r="X15" s="248"/>
      <c r="Y15" s="304"/>
      <c r="Z15" s="248"/>
      <c r="AA15" s="82"/>
      <c r="AB15" s="82"/>
      <c r="AC15" s="82"/>
      <c r="AD15" s="82"/>
      <c r="AE15" s="82"/>
      <c r="AF15" s="82"/>
      <c r="AG15" s="82"/>
      <c r="AH15" s="82"/>
      <c r="AI15" s="82"/>
    </row>
    <row r="16" ht="23.25" customHeight="1">
      <c r="A16" s="250"/>
      <c r="B16" s="250"/>
      <c r="C16" s="250"/>
      <c r="D16" s="250"/>
      <c r="E16" s="347"/>
      <c r="F16" s="347"/>
      <c r="G16" s="250"/>
      <c r="H16" s="347"/>
      <c r="I16" s="304"/>
      <c r="J16" s="304"/>
      <c r="K16" s="248"/>
      <c r="L16" s="250"/>
      <c r="M16" s="304"/>
      <c r="N16" s="250"/>
      <c r="O16" s="248"/>
      <c r="P16" s="250"/>
      <c r="Q16" s="304"/>
      <c r="R16" s="248"/>
      <c r="S16" s="304"/>
      <c r="T16" s="304"/>
      <c r="U16" s="250"/>
      <c r="V16" s="304"/>
      <c r="W16" s="304"/>
      <c r="X16" s="248"/>
      <c r="Y16" s="304"/>
      <c r="Z16" s="248"/>
      <c r="AA16" s="82"/>
      <c r="AB16" s="82"/>
      <c r="AC16" s="82"/>
      <c r="AD16" s="82"/>
      <c r="AE16" s="82"/>
      <c r="AF16" s="82"/>
      <c r="AG16" s="82"/>
      <c r="AH16" s="82"/>
      <c r="AI16" s="82"/>
    </row>
    <row r="17" ht="15.75" customHeight="1">
      <c r="A17" s="250"/>
      <c r="B17" s="250"/>
      <c r="C17" s="250"/>
      <c r="D17" s="250"/>
      <c r="E17" s="347"/>
      <c r="F17" s="347"/>
      <c r="G17" s="250"/>
      <c r="H17" s="528"/>
      <c r="I17" s="304"/>
      <c r="J17" s="304"/>
      <c r="K17" s="248"/>
      <c r="L17" s="250"/>
      <c r="M17" s="304"/>
      <c r="N17" s="250"/>
      <c r="O17" s="250"/>
      <c r="P17" s="250"/>
      <c r="Q17" s="304"/>
      <c r="R17" s="248"/>
      <c r="S17" s="304"/>
      <c r="T17" s="304"/>
      <c r="U17" s="250"/>
      <c r="V17" s="304"/>
      <c r="W17" s="304"/>
      <c r="X17" s="248"/>
      <c r="Y17" s="304"/>
      <c r="Z17" s="248"/>
      <c r="AA17" s="82"/>
      <c r="AB17" s="82"/>
      <c r="AC17" s="82"/>
      <c r="AD17" s="82"/>
      <c r="AE17" s="82"/>
      <c r="AF17" s="82"/>
      <c r="AG17" s="82"/>
      <c r="AH17" s="82"/>
      <c r="AI17" s="82"/>
    </row>
    <row r="18" ht="21.75" customHeight="1">
      <c r="A18" s="76" t="s">
        <v>75</v>
      </c>
      <c r="B18" s="248"/>
      <c r="C18" s="76" t="s">
        <v>76</v>
      </c>
      <c r="D18" s="76" t="s">
        <v>77</v>
      </c>
      <c r="F18" s="347"/>
      <c r="G18" s="347"/>
      <c r="H18" s="304"/>
      <c r="I18" s="304"/>
      <c r="J18" s="304"/>
      <c r="K18" s="248"/>
      <c r="L18" s="250"/>
      <c r="M18" s="304"/>
      <c r="N18" s="76"/>
      <c r="O18" s="250"/>
      <c r="P18" s="76"/>
      <c r="Q18" s="304"/>
      <c r="R18" s="248"/>
      <c r="S18" s="304"/>
      <c r="T18" s="304"/>
      <c r="U18" s="76"/>
      <c r="V18" s="304"/>
      <c r="W18" s="304"/>
      <c r="X18" s="248"/>
      <c r="Y18" s="304"/>
      <c r="Z18" s="248"/>
      <c r="AA18" s="82"/>
      <c r="AB18" s="82"/>
      <c r="AC18" s="82"/>
      <c r="AD18" s="82"/>
      <c r="AE18" s="82"/>
      <c r="AF18" s="82"/>
      <c r="AG18" s="82"/>
      <c r="AH18" s="82"/>
      <c r="AI18" s="82"/>
    </row>
    <row r="19" ht="14.25" customHeight="1">
      <c r="A19" s="247" t="s">
        <v>78</v>
      </c>
      <c r="B19" s="248"/>
      <c r="C19" s="247" t="s">
        <v>79</v>
      </c>
      <c r="D19" s="247" t="s">
        <v>80</v>
      </c>
      <c r="F19" s="347"/>
      <c r="G19" s="528"/>
      <c r="H19" s="528"/>
      <c r="I19" s="528"/>
      <c r="J19" s="528"/>
      <c r="K19" s="530"/>
      <c r="L19" s="530"/>
      <c r="M19" s="349"/>
      <c r="N19" s="247"/>
      <c r="O19" s="80"/>
      <c r="P19" s="247"/>
      <c r="Q19" s="347"/>
      <c r="R19" s="248"/>
      <c r="S19" s="304"/>
      <c r="T19" s="304"/>
      <c r="U19" s="247"/>
      <c r="V19" s="304"/>
      <c r="W19" s="304"/>
      <c r="X19" s="248"/>
      <c r="Y19" s="304"/>
      <c r="Z19" s="248"/>
      <c r="AA19" s="82"/>
      <c r="AB19" s="82"/>
      <c r="AC19" s="82"/>
      <c r="AD19" s="82"/>
      <c r="AE19" s="82"/>
      <c r="AF19" s="82"/>
      <c r="AG19" s="82"/>
      <c r="AH19" s="82"/>
      <c r="AI19" s="82"/>
    </row>
    <row r="20" ht="14.25" customHeight="1">
      <c r="A20" s="553"/>
      <c r="B20" s="551"/>
      <c r="C20" s="551"/>
      <c r="D20" s="554"/>
      <c r="E20" s="554"/>
      <c r="F20" s="554"/>
      <c r="G20" s="554"/>
      <c r="H20" s="554"/>
      <c r="I20" s="555"/>
      <c r="J20" s="555"/>
      <c r="K20" s="555"/>
      <c r="L20" s="555"/>
      <c r="M20" s="555"/>
      <c r="N20" s="536"/>
      <c r="O20" s="536"/>
      <c r="P20" s="536"/>
      <c r="Q20" s="536"/>
      <c r="R20" s="536"/>
      <c r="S20" s="536"/>
      <c r="T20" s="536"/>
      <c r="U20" s="536"/>
      <c r="V20" s="536"/>
      <c r="W20" s="536"/>
      <c r="X20" s="536"/>
      <c r="Y20" s="536"/>
      <c r="Z20" s="536"/>
      <c r="AA20" s="536"/>
      <c r="AB20" s="536"/>
      <c r="AC20" s="536"/>
      <c r="AD20" s="536"/>
      <c r="AE20" s="536"/>
      <c r="AF20" s="536"/>
      <c r="AG20" s="536"/>
      <c r="AH20" s="536"/>
      <c r="AI20" s="536"/>
    </row>
    <row r="21" ht="14.25" customHeight="1">
      <c r="A21" s="536"/>
      <c r="B21" s="536"/>
      <c r="C21" s="556"/>
      <c r="D21" s="557"/>
      <c r="E21" s="558"/>
      <c r="F21" s="556"/>
      <c r="G21" s="557"/>
      <c r="H21" s="558"/>
      <c r="I21" s="557"/>
      <c r="J21" s="556"/>
      <c r="K21" s="538"/>
      <c r="L21" s="536"/>
      <c r="M21" s="536"/>
      <c r="N21" s="536"/>
      <c r="O21" s="536"/>
      <c r="P21" s="536"/>
      <c r="Q21" s="536"/>
      <c r="R21" s="536"/>
      <c r="S21" s="536"/>
      <c r="T21" s="536"/>
      <c r="U21" s="536"/>
      <c r="V21" s="536"/>
      <c r="W21" s="536"/>
      <c r="X21" s="536"/>
      <c r="Y21" s="536"/>
      <c r="Z21" s="536"/>
      <c r="AA21" s="536"/>
      <c r="AB21" s="536"/>
      <c r="AC21" s="536"/>
      <c r="AD21" s="536"/>
      <c r="AE21" s="536"/>
      <c r="AF21" s="536"/>
      <c r="AG21" s="536"/>
      <c r="AH21" s="536"/>
      <c r="AI21" s="536"/>
    </row>
    <row r="22" ht="14.25" customHeight="1">
      <c r="A22" s="536"/>
      <c r="B22" s="536"/>
      <c r="C22" s="536"/>
      <c r="D22" s="537"/>
      <c r="E22" s="538"/>
      <c r="F22" s="536"/>
      <c r="G22" s="536"/>
      <c r="H22" s="536"/>
      <c r="I22" s="536"/>
      <c r="J22" s="536"/>
      <c r="K22" s="536"/>
      <c r="L22" s="536"/>
      <c r="M22" s="536"/>
      <c r="N22" s="536"/>
      <c r="O22" s="536"/>
      <c r="P22" s="536"/>
      <c r="Q22" s="536"/>
      <c r="R22" s="536"/>
      <c r="S22" s="536"/>
      <c r="T22" s="536"/>
      <c r="U22" s="536"/>
      <c r="V22" s="536"/>
      <c r="W22" s="536"/>
      <c r="X22" s="536"/>
      <c r="Y22" s="536"/>
      <c r="Z22" s="536"/>
      <c r="AA22" s="536"/>
      <c r="AB22" s="536"/>
      <c r="AC22" s="536"/>
      <c r="AD22" s="536"/>
      <c r="AE22" s="536"/>
      <c r="AF22" s="536"/>
      <c r="AG22" s="536"/>
      <c r="AH22" s="536"/>
      <c r="AI22" s="536"/>
    </row>
    <row r="23" ht="50.25" customHeight="1">
      <c r="A23" s="536"/>
      <c r="B23" s="536"/>
      <c r="C23" s="536"/>
      <c r="D23" s="537"/>
      <c r="E23" s="538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Q23" s="536"/>
      <c r="R23" s="536"/>
      <c r="S23" s="536"/>
      <c r="T23" s="536"/>
      <c r="U23" s="536"/>
      <c r="V23" s="536"/>
      <c r="W23" s="536"/>
      <c r="X23" s="536"/>
      <c r="Y23" s="536"/>
      <c r="Z23" s="536"/>
      <c r="AA23" s="536"/>
      <c r="AB23" s="536"/>
      <c r="AC23" s="536"/>
      <c r="AD23" s="536"/>
      <c r="AE23" s="536"/>
      <c r="AF23" s="536"/>
      <c r="AG23" s="536"/>
      <c r="AH23" s="536"/>
      <c r="AI23" s="536"/>
    </row>
    <row r="24" ht="50.25" customHeight="1">
      <c r="A24" s="536"/>
      <c r="B24" s="536"/>
      <c r="C24" s="536"/>
      <c r="D24" s="537"/>
      <c r="E24" s="538"/>
      <c r="F24" s="536"/>
      <c r="G24" s="536"/>
      <c r="H24" s="536"/>
      <c r="I24" s="536"/>
      <c r="J24" s="536"/>
      <c r="K24" s="536"/>
      <c r="L24" s="536"/>
      <c r="M24" s="536"/>
      <c r="N24" s="536"/>
      <c r="O24" s="536"/>
      <c r="P24" s="536"/>
      <c r="Q24" s="536"/>
      <c r="R24" s="536"/>
      <c r="S24" s="536"/>
      <c r="T24" s="536"/>
      <c r="U24" s="536"/>
      <c r="V24" s="536"/>
      <c r="W24" s="536"/>
      <c r="X24" s="536"/>
      <c r="Y24" s="536"/>
      <c r="Z24" s="536"/>
      <c r="AA24" s="536"/>
      <c r="AB24" s="536"/>
      <c r="AC24" s="536"/>
      <c r="AD24" s="536"/>
      <c r="AE24" s="536"/>
      <c r="AF24" s="536"/>
      <c r="AG24" s="536"/>
      <c r="AH24" s="536"/>
      <c r="AI24" s="536"/>
    </row>
    <row r="25" ht="14.25" customHeight="1">
      <c r="A25" s="536"/>
      <c r="B25" s="536"/>
      <c r="C25" s="536"/>
      <c r="D25" s="537"/>
      <c r="E25" s="538"/>
      <c r="F25" s="536"/>
      <c r="G25" s="536"/>
      <c r="H25" s="536"/>
      <c r="I25" s="536"/>
      <c r="J25" s="536"/>
      <c r="K25" s="536"/>
      <c r="L25" s="536"/>
      <c r="M25" s="536"/>
      <c r="N25" s="536"/>
      <c r="O25" s="536"/>
      <c r="P25" s="536"/>
      <c r="Q25" s="536"/>
      <c r="R25" s="536"/>
      <c r="S25" s="536"/>
      <c r="T25" s="536"/>
      <c r="U25" s="536"/>
      <c r="V25" s="536"/>
      <c r="W25" s="536"/>
      <c r="X25" s="536"/>
      <c r="Y25" s="536"/>
      <c r="Z25" s="536"/>
      <c r="AA25" s="536"/>
      <c r="AB25" s="536"/>
      <c r="AC25" s="536"/>
      <c r="AD25" s="536"/>
      <c r="AE25" s="536"/>
      <c r="AF25" s="536"/>
      <c r="AG25" s="536"/>
      <c r="AH25" s="536"/>
      <c r="AI25" s="536"/>
    </row>
    <row r="26" ht="14.25" customHeight="1">
      <c r="A26" s="536"/>
      <c r="B26" s="536"/>
      <c r="C26" s="536"/>
      <c r="D26" s="537"/>
      <c r="E26" s="538"/>
      <c r="F26" s="536"/>
      <c r="G26" s="536"/>
      <c r="H26" s="536"/>
      <c r="I26" s="536"/>
      <c r="J26" s="536"/>
      <c r="K26" s="536"/>
      <c r="L26" s="536"/>
      <c r="M26" s="536"/>
      <c r="N26" s="536"/>
      <c r="O26" s="536"/>
      <c r="P26" s="536"/>
      <c r="Q26" s="536"/>
      <c r="R26" s="536"/>
      <c r="S26" s="536"/>
      <c r="T26" s="536"/>
      <c r="U26" s="536"/>
      <c r="V26" s="536"/>
      <c r="W26" s="536"/>
      <c r="X26" s="536"/>
      <c r="Y26" s="536"/>
      <c r="Z26" s="536"/>
      <c r="AA26" s="536"/>
      <c r="AB26" s="536"/>
      <c r="AC26" s="536"/>
      <c r="AD26" s="536"/>
      <c r="AE26" s="536"/>
      <c r="AF26" s="536"/>
      <c r="AG26" s="536"/>
      <c r="AH26" s="536"/>
      <c r="AI26" s="536"/>
    </row>
    <row r="27" ht="14.25" customHeight="1">
      <c r="A27" s="536"/>
      <c r="B27" s="536"/>
      <c r="C27" s="536"/>
      <c r="D27" s="537"/>
      <c r="E27" s="538"/>
      <c r="F27" s="536"/>
      <c r="G27" s="536"/>
      <c r="H27" s="536"/>
      <c r="I27" s="536"/>
      <c r="J27" s="536"/>
      <c r="K27" s="536"/>
      <c r="L27" s="536"/>
      <c r="M27" s="536"/>
      <c r="N27" s="536"/>
      <c r="O27" s="536"/>
      <c r="P27" s="536"/>
      <c r="Q27" s="536"/>
      <c r="R27" s="536"/>
      <c r="S27" s="536"/>
      <c r="T27" s="536"/>
      <c r="U27" s="536"/>
      <c r="V27" s="536"/>
      <c r="W27" s="536"/>
      <c r="X27" s="536"/>
      <c r="Y27" s="536"/>
      <c r="Z27" s="536"/>
      <c r="AA27" s="536"/>
      <c r="AB27" s="536"/>
      <c r="AC27" s="536"/>
      <c r="AD27" s="536"/>
      <c r="AE27" s="536"/>
      <c r="AF27" s="536"/>
      <c r="AG27" s="536"/>
      <c r="AH27" s="536"/>
      <c r="AI27" s="536"/>
    </row>
    <row r="28" ht="52.5" customHeight="1">
      <c r="A28" s="536"/>
      <c r="B28" s="536"/>
      <c r="C28" s="536"/>
      <c r="D28" s="537"/>
      <c r="E28" s="538"/>
      <c r="F28" s="536"/>
      <c r="G28" s="536"/>
      <c r="H28" s="536"/>
      <c r="I28" s="536"/>
      <c r="J28" s="536"/>
      <c r="K28" s="536"/>
      <c r="L28" s="536"/>
      <c r="M28" s="536"/>
      <c r="N28" s="536"/>
      <c r="O28" s="536"/>
      <c r="P28" s="536"/>
      <c r="Q28" s="536"/>
      <c r="R28" s="536"/>
      <c r="S28" s="536"/>
      <c r="T28" s="536"/>
      <c r="U28" s="536"/>
      <c r="V28" s="536"/>
      <c r="W28" s="536"/>
      <c r="X28" s="536"/>
      <c r="Y28" s="536"/>
      <c r="Z28" s="536"/>
      <c r="AA28" s="536"/>
      <c r="AB28" s="536"/>
      <c r="AC28" s="536"/>
      <c r="AD28" s="536"/>
      <c r="AE28" s="536"/>
      <c r="AF28" s="536"/>
      <c r="AG28" s="536"/>
      <c r="AH28" s="536"/>
      <c r="AI28" s="536"/>
    </row>
    <row r="29" ht="57.0" customHeight="1">
      <c r="A29" s="536"/>
      <c r="B29" s="536"/>
      <c r="C29" s="536"/>
      <c r="D29" s="537"/>
      <c r="E29" s="538"/>
      <c r="F29" s="536"/>
      <c r="G29" s="536"/>
      <c r="H29" s="536"/>
      <c r="I29" s="536"/>
      <c r="J29" s="536"/>
      <c r="K29" s="536"/>
      <c r="L29" s="536"/>
      <c r="M29" s="536"/>
      <c r="N29" s="536"/>
      <c r="O29" s="536"/>
      <c r="P29" s="536"/>
      <c r="Q29" s="536"/>
      <c r="R29" s="536"/>
      <c r="S29" s="536"/>
      <c r="T29" s="536"/>
      <c r="U29" s="536"/>
      <c r="V29" s="536"/>
      <c r="W29" s="536"/>
      <c r="X29" s="536"/>
      <c r="Y29" s="536"/>
      <c r="Z29" s="536"/>
      <c r="AA29" s="536"/>
      <c r="AB29" s="536"/>
      <c r="AC29" s="536"/>
      <c r="AD29" s="536"/>
      <c r="AE29" s="536"/>
      <c r="AF29" s="536"/>
      <c r="AG29" s="536"/>
      <c r="AH29" s="536"/>
      <c r="AI29" s="536"/>
    </row>
    <row r="30" ht="14.25" customHeight="1">
      <c r="A30" s="536"/>
      <c r="B30" s="536"/>
      <c r="C30" s="536"/>
      <c r="D30" s="537"/>
      <c r="E30" s="538"/>
      <c r="F30" s="536"/>
      <c r="G30" s="536"/>
      <c r="H30" s="536"/>
      <c r="I30" s="536"/>
      <c r="J30" s="536"/>
      <c r="K30" s="536"/>
      <c r="L30" s="536"/>
      <c r="M30" s="536"/>
      <c r="N30" s="536"/>
      <c r="O30" s="536"/>
      <c r="P30" s="536"/>
      <c r="Q30" s="536"/>
      <c r="R30" s="536"/>
      <c r="S30" s="536"/>
      <c r="T30" s="536"/>
      <c r="U30" s="536"/>
      <c r="V30" s="536"/>
      <c r="W30" s="536"/>
      <c r="X30" s="536"/>
      <c r="Y30" s="536"/>
      <c r="Z30" s="536"/>
      <c r="AA30" s="536"/>
      <c r="AB30" s="536"/>
      <c r="AC30" s="536"/>
      <c r="AD30" s="536"/>
      <c r="AE30" s="536"/>
      <c r="AF30" s="536"/>
      <c r="AG30" s="536"/>
      <c r="AH30" s="536"/>
      <c r="AI30" s="536"/>
    </row>
    <row r="31" ht="45.0" customHeight="1">
      <c r="A31" s="536"/>
      <c r="B31" s="536"/>
      <c r="C31" s="536"/>
      <c r="D31" s="537"/>
      <c r="E31" s="538"/>
      <c r="F31" s="536"/>
      <c r="G31" s="536"/>
      <c r="H31" s="536"/>
      <c r="I31" s="536"/>
      <c r="J31" s="536"/>
      <c r="K31" s="536"/>
      <c r="L31" s="536"/>
      <c r="M31" s="536"/>
      <c r="N31" s="536"/>
      <c r="O31" s="536"/>
      <c r="P31" s="536"/>
      <c r="Q31" s="536"/>
      <c r="R31" s="536"/>
      <c r="S31" s="536"/>
      <c r="T31" s="536"/>
      <c r="U31" s="536"/>
      <c r="V31" s="536"/>
      <c r="W31" s="536"/>
      <c r="X31" s="536"/>
      <c r="Y31" s="536"/>
      <c r="Z31" s="536"/>
      <c r="AA31" s="536"/>
      <c r="AB31" s="536"/>
      <c r="AC31" s="536"/>
      <c r="AD31" s="536"/>
      <c r="AE31" s="536"/>
      <c r="AF31" s="536"/>
      <c r="AG31" s="536"/>
      <c r="AH31" s="536"/>
      <c r="AI31" s="536"/>
    </row>
    <row r="32" ht="14.25" customHeight="1">
      <c r="A32" s="536"/>
      <c r="B32" s="536"/>
      <c r="C32" s="536"/>
      <c r="D32" s="537"/>
      <c r="E32" s="538"/>
      <c r="F32" s="536"/>
      <c r="G32" s="536"/>
      <c r="H32" s="536"/>
      <c r="I32" s="536"/>
      <c r="J32" s="536"/>
      <c r="K32" s="536"/>
      <c r="L32" s="536"/>
      <c r="M32" s="536"/>
      <c r="N32" s="536"/>
      <c r="O32" s="536"/>
      <c r="P32" s="536"/>
      <c r="Q32" s="536"/>
      <c r="R32" s="536"/>
      <c r="S32" s="536"/>
      <c r="T32" s="536"/>
      <c r="U32" s="536"/>
      <c r="V32" s="536"/>
      <c r="W32" s="536"/>
      <c r="X32" s="536"/>
      <c r="Y32" s="536"/>
      <c r="Z32" s="536"/>
      <c r="AA32" s="536"/>
      <c r="AB32" s="536"/>
      <c r="AC32" s="536"/>
      <c r="AD32" s="536"/>
      <c r="AE32" s="536"/>
      <c r="AF32" s="536"/>
      <c r="AG32" s="536"/>
      <c r="AH32" s="536"/>
      <c r="AI32" s="536"/>
    </row>
    <row r="33" ht="14.25" customHeight="1">
      <c r="A33" s="536"/>
      <c r="B33" s="536"/>
      <c r="C33" s="536"/>
      <c r="D33" s="537"/>
      <c r="E33" s="538"/>
      <c r="F33" s="536"/>
      <c r="G33" s="536"/>
      <c r="H33" s="536"/>
      <c r="I33" s="536"/>
      <c r="J33" s="536"/>
      <c r="K33" s="536"/>
      <c r="L33" s="536"/>
      <c r="M33" s="536"/>
      <c r="N33" s="536"/>
      <c r="O33" s="536"/>
      <c r="P33" s="536"/>
      <c r="Q33" s="536"/>
      <c r="R33" s="536"/>
      <c r="S33" s="536"/>
      <c r="T33" s="536"/>
      <c r="U33" s="536"/>
      <c r="V33" s="536"/>
      <c r="W33" s="536"/>
      <c r="X33" s="536"/>
      <c r="Y33" s="536"/>
      <c r="Z33" s="536"/>
      <c r="AA33" s="536"/>
      <c r="AB33" s="536"/>
      <c r="AC33" s="536"/>
      <c r="AD33" s="536"/>
      <c r="AE33" s="536"/>
      <c r="AF33" s="536"/>
      <c r="AG33" s="536"/>
      <c r="AH33" s="536"/>
      <c r="AI33" s="536"/>
    </row>
    <row r="34" ht="14.25" customHeight="1">
      <c r="A34" s="536"/>
      <c r="B34" s="536"/>
      <c r="C34" s="536"/>
      <c r="D34" s="537"/>
      <c r="E34" s="538"/>
      <c r="F34" s="536"/>
      <c r="G34" s="536"/>
      <c r="H34" s="536"/>
      <c r="I34" s="536"/>
      <c r="J34" s="536"/>
      <c r="K34" s="536"/>
      <c r="L34" s="536"/>
      <c r="M34" s="536"/>
      <c r="N34" s="536"/>
      <c r="O34" s="536"/>
      <c r="P34" s="536"/>
      <c r="Q34" s="536"/>
      <c r="R34" s="536"/>
      <c r="S34" s="536"/>
      <c r="T34" s="536"/>
      <c r="U34" s="536"/>
      <c r="V34" s="536"/>
      <c r="W34" s="536"/>
      <c r="X34" s="536"/>
      <c r="Y34" s="536"/>
      <c r="Z34" s="536"/>
      <c r="AA34" s="536"/>
      <c r="AB34" s="536"/>
      <c r="AC34" s="536"/>
      <c r="AD34" s="536"/>
      <c r="AE34" s="536"/>
      <c r="AF34" s="536"/>
      <c r="AG34" s="536"/>
      <c r="AH34" s="536"/>
      <c r="AI34" s="536"/>
    </row>
    <row r="35" ht="14.25" customHeight="1">
      <c r="A35" s="536"/>
      <c r="B35" s="536"/>
      <c r="C35" s="536"/>
      <c r="D35" s="537"/>
      <c r="E35" s="538"/>
      <c r="F35" s="536"/>
      <c r="G35" s="536"/>
      <c r="H35" s="536"/>
      <c r="I35" s="536"/>
      <c r="J35" s="536"/>
      <c r="K35" s="536"/>
      <c r="L35" s="536"/>
      <c r="M35" s="536"/>
      <c r="N35" s="536"/>
      <c r="O35" s="536"/>
      <c r="P35" s="536"/>
      <c r="Q35" s="536"/>
      <c r="R35" s="536"/>
      <c r="S35" s="536"/>
      <c r="T35" s="536"/>
      <c r="U35" s="536"/>
      <c r="V35" s="536"/>
      <c r="W35" s="536"/>
      <c r="X35" s="536"/>
      <c r="Y35" s="536"/>
      <c r="Z35" s="536"/>
      <c r="AA35" s="536"/>
      <c r="AB35" s="536"/>
      <c r="AC35" s="536"/>
      <c r="AD35" s="536"/>
      <c r="AE35" s="536"/>
      <c r="AF35" s="536"/>
      <c r="AG35" s="536"/>
      <c r="AH35" s="536"/>
      <c r="AI35" s="536"/>
    </row>
    <row r="36" ht="14.25" customHeight="1">
      <c r="A36" s="536"/>
      <c r="B36" s="536"/>
      <c r="C36" s="536"/>
      <c r="D36" s="537"/>
      <c r="E36" s="538"/>
      <c r="F36" s="536"/>
      <c r="G36" s="536"/>
      <c r="H36" s="536"/>
      <c r="I36" s="536"/>
      <c r="J36" s="536"/>
      <c r="K36" s="536"/>
      <c r="L36" s="536"/>
      <c r="M36" s="536"/>
      <c r="N36" s="536"/>
      <c r="O36" s="536"/>
      <c r="P36" s="536"/>
      <c r="Q36" s="536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</row>
    <row r="37" ht="14.25" customHeight="1">
      <c r="A37" s="536"/>
      <c r="B37" s="536"/>
      <c r="C37" s="536"/>
      <c r="D37" s="537"/>
      <c r="E37" s="538"/>
      <c r="F37" s="536"/>
      <c r="G37" s="536"/>
      <c r="H37" s="536"/>
      <c r="I37" s="536"/>
      <c r="J37" s="536"/>
      <c r="K37" s="536"/>
      <c r="L37" s="536"/>
      <c r="M37" s="536"/>
      <c r="N37" s="536"/>
      <c r="O37" s="536"/>
      <c r="P37" s="536"/>
      <c r="Q37" s="536"/>
      <c r="R37" s="536"/>
      <c r="S37" s="536"/>
      <c r="T37" s="536"/>
      <c r="U37" s="536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</row>
    <row r="38" ht="67.5" customHeight="1">
      <c r="A38" s="536"/>
      <c r="B38" s="536"/>
      <c r="C38" s="536"/>
      <c r="D38" s="537"/>
      <c r="E38" s="538"/>
      <c r="F38" s="536"/>
      <c r="G38" s="536"/>
      <c r="H38" s="536"/>
      <c r="I38" s="536"/>
      <c r="J38" s="536"/>
      <c r="K38" s="536"/>
      <c r="L38" s="536"/>
      <c r="M38" s="536"/>
      <c r="N38" s="536"/>
      <c r="O38" s="536"/>
      <c r="P38" s="536"/>
      <c r="Q38" s="536"/>
      <c r="R38" s="536"/>
      <c r="S38" s="536"/>
      <c r="T38" s="536"/>
      <c r="U38" s="536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</row>
    <row r="39" ht="14.25" customHeight="1">
      <c r="A39" s="536"/>
      <c r="B39" s="536"/>
      <c r="C39" s="536"/>
      <c r="D39" s="537"/>
      <c r="E39" s="538"/>
      <c r="F39" s="536"/>
      <c r="G39" s="536"/>
      <c r="H39" s="536"/>
      <c r="I39" s="536"/>
      <c r="J39" s="536"/>
      <c r="K39" s="536"/>
      <c r="L39" s="536"/>
      <c r="M39" s="536"/>
      <c r="N39" s="536"/>
      <c r="O39" s="536"/>
      <c r="P39" s="536"/>
      <c r="Q39" s="536"/>
      <c r="R39" s="536"/>
      <c r="S39" s="536"/>
      <c r="T39" s="536"/>
      <c r="U39" s="536"/>
      <c r="V39" s="536"/>
      <c r="W39" s="536"/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36"/>
      <c r="AI39" s="536"/>
    </row>
    <row r="40" ht="14.25" customHeight="1">
      <c r="A40" s="536"/>
      <c r="B40" s="536"/>
      <c r="C40" s="536"/>
      <c r="D40" s="537"/>
      <c r="E40" s="538"/>
      <c r="F40" s="536"/>
      <c r="G40" s="536"/>
      <c r="H40" s="536"/>
      <c r="I40" s="536"/>
      <c r="J40" s="536"/>
      <c r="K40" s="536"/>
      <c r="L40" s="536"/>
      <c r="M40" s="536"/>
      <c r="N40" s="536"/>
      <c r="O40" s="536"/>
      <c r="P40" s="536"/>
      <c r="Q40" s="536"/>
      <c r="R40" s="536"/>
      <c r="S40" s="536"/>
      <c r="T40" s="536"/>
      <c r="U40" s="536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</row>
    <row r="41" ht="14.25" customHeight="1">
      <c r="A41" s="536"/>
      <c r="B41" s="536"/>
      <c r="C41" s="536"/>
      <c r="D41" s="537"/>
      <c r="E41" s="538"/>
      <c r="F41" s="536"/>
      <c r="G41" s="536"/>
      <c r="H41" s="536"/>
      <c r="I41" s="536"/>
      <c r="J41" s="536"/>
      <c r="K41" s="536"/>
      <c r="L41" s="536"/>
      <c r="M41" s="536"/>
      <c r="N41" s="536"/>
      <c r="O41" s="536"/>
      <c r="P41" s="536"/>
      <c r="Q41" s="536"/>
      <c r="R41" s="536"/>
      <c r="S41" s="536"/>
      <c r="T41" s="536"/>
      <c r="U41" s="536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</row>
    <row r="42" ht="14.25" hidden="1" customHeight="1">
      <c r="A42" s="536"/>
      <c r="B42" s="536"/>
      <c r="C42" s="536"/>
      <c r="D42" s="537"/>
      <c r="E42" s="538"/>
      <c r="F42" s="536"/>
      <c r="G42" s="536"/>
      <c r="H42" s="536"/>
      <c r="I42" s="536"/>
      <c r="J42" s="536"/>
      <c r="K42" s="536"/>
      <c r="L42" s="536"/>
      <c r="M42" s="536"/>
      <c r="N42" s="536"/>
      <c r="O42" s="536"/>
      <c r="P42" s="536"/>
      <c r="Q42" s="536"/>
      <c r="R42" s="536"/>
      <c r="S42" s="536"/>
      <c r="T42" s="536"/>
      <c r="U42" s="536"/>
      <c r="V42" s="536"/>
      <c r="W42" s="536"/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36"/>
      <c r="AI42" s="536"/>
    </row>
    <row r="43" ht="14.25" hidden="1" customHeight="1">
      <c r="A43" s="536"/>
      <c r="B43" s="536"/>
      <c r="C43" s="536"/>
      <c r="D43" s="537"/>
      <c r="E43" s="538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</row>
    <row r="44" ht="14.25" hidden="1" customHeight="1">
      <c r="A44" s="536"/>
      <c r="B44" s="536"/>
      <c r="C44" s="536"/>
      <c r="D44" s="537"/>
      <c r="E44" s="538"/>
      <c r="F44" s="536"/>
      <c r="G44" s="536"/>
      <c r="H44" s="536"/>
      <c r="I44" s="536"/>
      <c r="J44" s="536"/>
      <c r="K44" s="536"/>
      <c r="L44" s="536"/>
      <c r="M44" s="536"/>
      <c r="N44" s="536"/>
      <c r="O44" s="536"/>
      <c r="P44" s="536"/>
      <c r="Q44" s="536"/>
      <c r="R44" s="536"/>
      <c r="S44" s="536"/>
      <c r="T44" s="536"/>
      <c r="U44" s="536"/>
      <c r="V44" s="536"/>
      <c r="W44" s="536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536"/>
    </row>
    <row r="45" ht="14.25" hidden="1" customHeight="1">
      <c r="A45" s="536"/>
      <c r="B45" s="536"/>
      <c r="C45" s="559"/>
      <c r="D45" s="537"/>
      <c r="E45" s="538"/>
      <c r="F45" s="536"/>
      <c r="G45" s="536"/>
      <c r="H45" s="536"/>
      <c r="I45" s="536"/>
      <c r="J45" s="559"/>
      <c r="K45" s="559"/>
      <c r="L45" s="536"/>
      <c r="M45" s="559"/>
      <c r="N45" s="559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</row>
    <row r="46" ht="14.25" hidden="1" customHeight="1">
      <c r="A46" s="536"/>
      <c r="B46" s="536"/>
      <c r="C46" s="559"/>
      <c r="D46" s="537"/>
      <c r="E46" s="538"/>
      <c r="F46" s="536"/>
      <c r="G46" s="536"/>
      <c r="H46" s="536"/>
      <c r="I46" s="536"/>
      <c r="J46" s="559"/>
      <c r="K46" s="559"/>
      <c r="L46" s="536"/>
      <c r="M46" s="559"/>
      <c r="N46" s="559"/>
      <c r="O46" s="536"/>
      <c r="P46" s="536"/>
      <c r="Q46" s="536"/>
      <c r="R46" s="536"/>
      <c r="S46" s="536"/>
      <c r="T46" s="536"/>
      <c r="U46" s="536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536"/>
    </row>
    <row r="47" ht="14.25" hidden="1" customHeight="1">
      <c r="A47" s="559"/>
      <c r="B47" s="559"/>
      <c r="C47" s="559"/>
      <c r="D47" s="537"/>
      <c r="E47" s="538"/>
      <c r="F47" s="536"/>
      <c r="G47" s="536"/>
      <c r="H47" s="536"/>
      <c r="I47" s="536"/>
      <c r="J47" s="559"/>
      <c r="K47" s="559"/>
      <c r="L47" s="536"/>
      <c r="M47" s="559"/>
      <c r="N47" s="559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</row>
    <row r="48" ht="14.25" hidden="1" customHeight="1">
      <c r="A48" s="536"/>
      <c r="B48" s="536"/>
      <c r="C48" s="536"/>
      <c r="D48" s="537"/>
      <c r="E48" s="538"/>
      <c r="F48" s="536"/>
      <c r="G48" s="536"/>
      <c r="H48" s="536"/>
      <c r="I48" s="536"/>
      <c r="J48" s="559"/>
      <c r="K48" s="559"/>
      <c r="L48" s="536"/>
      <c r="M48" s="559"/>
      <c r="N48" s="559"/>
      <c r="O48" s="536"/>
      <c r="P48" s="536"/>
      <c r="Q48" s="536"/>
      <c r="R48" s="536"/>
      <c r="S48" s="536"/>
      <c r="T48" s="536"/>
      <c r="U48" s="536"/>
      <c r="V48" s="536"/>
      <c r="W48" s="536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536"/>
    </row>
    <row r="49" ht="14.25" hidden="1" customHeight="1">
      <c r="A49" s="536"/>
      <c r="B49" s="536"/>
      <c r="C49" s="559"/>
      <c r="D49" s="537"/>
      <c r="E49" s="538"/>
      <c r="F49" s="536"/>
      <c r="G49" s="536"/>
      <c r="H49" s="536"/>
      <c r="I49" s="536"/>
      <c r="J49" s="559"/>
      <c r="K49" s="559"/>
      <c r="L49" s="536"/>
      <c r="M49" s="559"/>
      <c r="N49" s="559"/>
      <c r="O49" s="536"/>
      <c r="P49" s="536"/>
      <c r="Q49" s="536"/>
      <c r="R49" s="536"/>
      <c r="S49" s="536"/>
      <c r="T49" s="536"/>
      <c r="U49" s="536"/>
      <c r="V49" s="536"/>
      <c r="W49" s="536"/>
      <c r="X49" s="536"/>
      <c r="Y49" s="536"/>
      <c r="Z49" s="536"/>
      <c r="AA49" s="536"/>
      <c r="AB49" s="536"/>
      <c r="AC49" s="536"/>
      <c r="AD49" s="536"/>
      <c r="AE49" s="536"/>
      <c r="AF49" s="536"/>
      <c r="AG49" s="536"/>
      <c r="AH49" s="536"/>
      <c r="AI49" s="536"/>
    </row>
    <row r="50" ht="14.25" hidden="1" customHeight="1">
      <c r="A50" s="536"/>
      <c r="B50" s="536"/>
      <c r="C50" s="559"/>
      <c r="D50" s="537"/>
      <c r="E50" s="538"/>
      <c r="F50" s="536"/>
      <c r="G50" s="536"/>
      <c r="H50" s="536"/>
      <c r="I50" s="536"/>
      <c r="J50" s="559"/>
      <c r="K50" s="536"/>
      <c r="L50" s="536"/>
      <c r="M50" s="536"/>
      <c r="N50" s="559"/>
      <c r="O50" s="536"/>
      <c r="P50" s="536"/>
      <c r="Q50" s="536"/>
      <c r="R50" s="536"/>
      <c r="S50" s="536"/>
      <c r="T50" s="536"/>
      <c r="U50" s="536"/>
      <c r="V50" s="536"/>
      <c r="W50" s="536"/>
      <c r="X50" s="536"/>
      <c r="Y50" s="536"/>
      <c r="Z50" s="536"/>
      <c r="AA50" s="536"/>
      <c r="AB50" s="536"/>
      <c r="AC50" s="536"/>
      <c r="AD50" s="536"/>
      <c r="AE50" s="536"/>
      <c r="AF50" s="536"/>
      <c r="AG50" s="536"/>
      <c r="AH50" s="536"/>
      <c r="AI50" s="536"/>
    </row>
    <row r="51" ht="14.25" hidden="1" customHeight="1">
      <c r="A51" s="559"/>
      <c r="B51" s="559"/>
      <c r="C51" s="559"/>
      <c r="D51" s="537"/>
      <c r="E51" s="538"/>
      <c r="F51" s="536"/>
      <c r="G51" s="536"/>
      <c r="H51" s="536"/>
      <c r="I51" s="536"/>
      <c r="J51" s="559"/>
      <c r="K51" s="536"/>
      <c r="L51" s="536"/>
      <c r="M51" s="536"/>
      <c r="N51" s="559"/>
      <c r="O51" s="536"/>
      <c r="P51" s="536"/>
      <c r="Q51" s="536"/>
      <c r="R51" s="536"/>
      <c r="S51" s="536"/>
      <c r="T51" s="536"/>
      <c r="U51" s="536"/>
      <c r="V51" s="536"/>
      <c r="W51" s="536"/>
      <c r="X51" s="536"/>
      <c r="Y51" s="536"/>
      <c r="Z51" s="536"/>
      <c r="AA51" s="536"/>
      <c r="AB51" s="536"/>
      <c r="AC51" s="536"/>
      <c r="AD51" s="536"/>
      <c r="AE51" s="536"/>
      <c r="AF51" s="536"/>
      <c r="AG51" s="536"/>
      <c r="AH51" s="536"/>
      <c r="AI51" s="536"/>
    </row>
    <row r="52" ht="14.25" hidden="1" customHeight="1">
      <c r="A52" s="559"/>
      <c r="B52" s="559"/>
      <c r="C52" s="559"/>
      <c r="D52" s="537"/>
      <c r="E52" s="538"/>
      <c r="F52" s="536"/>
      <c r="G52" s="536"/>
      <c r="H52" s="536"/>
      <c r="I52" s="536"/>
      <c r="J52" s="559"/>
      <c r="K52" s="536"/>
      <c r="L52" s="536"/>
      <c r="M52" s="536"/>
      <c r="N52" s="559"/>
      <c r="O52" s="536"/>
      <c r="P52" s="536"/>
      <c r="Q52" s="536"/>
      <c r="R52" s="536"/>
      <c r="S52" s="536"/>
      <c r="T52" s="536"/>
      <c r="U52" s="536"/>
      <c r="V52" s="536"/>
      <c r="W52" s="536"/>
      <c r="X52" s="536"/>
      <c r="Y52" s="536"/>
      <c r="Z52" s="536"/>
      <c r="AA52" s="536"/>
      <c r="AB52" s="536"/>
      <c r="AC52" s="536"/>
      <c r="AD52" s="536"/>
      <c r="AE52" s="536"/>
      <c r="AF52" s="536"/>
      <c r="AG52" s="536"/>
      <c r="AH52" s="536"/>
      <c r="AI52" s="536"/>
    </row>
    <row r="53" ht="14.25" hidden="1" customHeight="1">
      <c r="A53" s="536"/>
      <c r="B53" s="536"/>
      <c r="C53" s="536"/>
      <c r="D53" s="537"/>
      <c r="E53" s="538"/>
      <c r="F53" s="536"/>
      <c r="G53" s="536"/>
      <c r="H53" s="536"/>
      <c r="I53" s="536"/>
      <c r="J53" s="559"/>
      <c r="K53" s="536"/>
      <c r="L53" s="536"/>
      <c r="M53" s="536"/>
      <c r="N53" s="559"/>
      <c r="O53" s="536"/>
      <c r="P53" s="536"/>
      <c r="Q53" s="536"/>
      <c r="R53" s="536"/>
      <c r="S53" s="536"/>
      <c r="T53" s="536"/>
      <c r="U53" s="536"/>
      <c r="V53" s="536"/>
      <c r="W53" s="536"/>
      <c r="X53" s="536"/>
      <c r="Y53" s="536"/>
      <c r="Z53" s="536"/>
      <c r="AA53" s="536"/>
      <c r="AB53" s="536"/>
      <c r="AC53" s="536"/>
      <c r="AD53" s="536"/>
      <c r="AE53" s="536"/>
      <c r="AF53" s="536"/>
      <c r="AG53" s="536"/>
      <c r="AH53" s="536"/>
      <c r="AI53" s="536"/>
    </row>
    <row r="54" ht="14.25" hidden="1" customHeight="1">
      <c r="A54" s="536"/>
      <c r="B54" s="536"/>
      <c r="C54" s="536"/>
      <c r="D54" s="537"/>
      <c r="E54" s="538"/>
      <c r="F54" s="536"/>
      <c r="G54" s="536"/>
      <c r="H54" s="536"/>
      <c r="I54" s="536"/>
      <c r="J54" s="559"/>
      <c r="K54" s="559"/>
      <c r="L54" s="536"/>
      <c r="M54" s="559"/>
      <c r="N54" s="559"/>
      <c r="O54" s="536"/>
      <c r="P54" s="536"/>
      <c r="Q54" s="536"/>
      <c r="R54" s="536"/>
      <c r="S54" s="536"/>
      <c r="T54" s="536"/>
      <c r="U54" s="536"/>
      <c r="V54" s="536"/>
      <c r="W54" s="536"/>
      <c r="X54" s="536"/>
      <c r="Y54" s="536"/>
      <c r="Z54" s="536"/>
      <c r="AA54" s="536"/>
      <c r="AB54" s="536"/>
      <c r="AC54" s="536"/>
      <c r="AD54" s="536"/>
      <c r="AE54" s="536"/>
      <c r="AF54" s="536"/>
      <c r="AG54" s="536"/>
      <c r="AH54" s="536"/>
      <c r="AI54" s="536"/>
    </row>
    <row r="55" ht="14.25" hidden="1" customHeight="1">
      <c r="A55" s="536"/>
      <c r="B55" s="536"/>
      <c r="C55" s="536"/>
      <c r="D55" s="537"/>
      <c r="E55" s="538"/>
      <c r="F55" s="536"/>
      <c r="G55" s="536"/>
      <c r="H55" s="536"/>
      <c r="I55" s="536"/>
      <c r="J55" s="559"/>
      <c r="K55" s="559"/>
      <c r="L55" s="536"/>
      <c r="M55" s="559"/>
      <c r="N55" s="559"/>
      <c r="O55" s="536"/>
      <c r="P55" s="536"/>
      <c r="Q55" s="536"/>
      <c r="R55" s="536"/>
      <c r="S55" s="536"/>
      <c r="T55" s="536"/>
      <c r="U55" s="536"/>
      <c r="V55" s="536"/>
      <c r="W55" s="536"/>
      <c r="X55" s="536"/>
      <c r="Y55" s="536"/>
      <c r="Z55" s="536"/>
      <c r="AA55" s="536"/>
      <c r="AB55" s="536"/>
      <c r="AC55" s="536"/>
      <c r="AD55" s="536"/>
      <c r="AE55" s="536"/>
      <c r="AF55" s="536"/>
      <c r="AG55" s="536"/>
      <c r="AH55" s="536"/>
      <c r="AI55" s="536"/>
    </row>
    <row r="56" ht="14.25" hidden="1" customHeight="1">
      <c r="A56" s="536"/>
      <c r="B56" s="536"/>
      <c r="C56" s="536"/>
      <c r="D56" s="537"/>
      <c r="E56" s="538"/>
      <c r="F56" s="558"/>
      <c r="G56" s="558"/>
      <c r="H56" s="558"/>
      <c r="I56" s="558"/>
      <c r="J56" s="557"/>
      <c r="K56" s="557"/>
      <c r="L56" s="557"/>
      <c r="M56" s="557"/>
      <c r="N56" s="557"/>
      <c r="O56" s="536"/>
      <c r="P56" s="536"/>
      <c r="Q56" s="536"/>
      <c r="R56" s="536"/>
      <c r="S56" s="536"/>
      <c r="T56" s="536"/>
      <c r="U56" s="536"/>
      <c r="V56" s="536"/>
      <c r="W56" s="536"/>
      <c r="X56" s="536"/>
      <c r="Y56" s="536"/>
      <c r="Z56" s="536"/>
      <c r="AA56" s="536"/>
      <c r="AB56" s="536"/>
      <c r="AC56" s="536"/>
      <c r="AD56" s="536"/>
      <c r="AE56" s="536"/>
      <c r="AF56" s="536"/>
      <c r="AG56" s="536"/>
      <c r="AH56" s="536"/>
      <c r="AI56" s="536"/>
    </row>
    <row r="57" ht="14.25" hidden="1" customHeight="1">
      <c r="A57" s="536"/>
      <c r="B57" s="536"/>
      <c r="C57" s="536"/>
      <c r="D57" s="537"/>
      <c r="E57" s="538"/>
      <c r="F57" s="536"/>
      <c r="G57" s="536"/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536"/>
      <c r="T57" s="536"/>
      <c r="U57" s="536"/>
      <c r="V57" s="536"/>
      <c r="W57" s="536"/>
      <c r="X57" s="536"/>
      <c r="Y57" s="536"/>
      <c r="Z57" s="536"/>
      <c r="AA57" s="536"/>
      <c r="AB57" s="536"/>
      <c r="AC57" s="536"/>
      <c r="AD57" s="536"/>
      <c r="AE57" s="536"/>
      <c r="AF57" s="536"/>
      <c r="AG57" s="536"/>
      <c r="AH57" s="536"/>
      <c r="AI57" s="536"/>
    </row>
    <row r="58" ht="20.25" hidden="1" customHeight="1">
      <c r="A58" s="536"/>
      <c r="B58" s="536"/>
      <c r="C58" s="536"/>
      <c r="D58" s="537"/>
      <c r="E58" s="538"/>
      <c r="F58" s="536"/>
      <c r="G58" s="536"/>
      <c r="H58" s="536"/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536"/>
      <c r="T58" s="536"/>
      <c r="U58" s="536"/>
      <c r="V58" s="536"/>
      <c r="W58" s="536"/>
      <c r="X58" s="536"/>
      <c r="Y58" s="536"/>
      <c r="Z58" s="536"/>
      <c r="AA58" s="536"/>
      <c r="AB58" s="536"/>
      <c r="AC58" s="536"/>
      <c r="AD58" s="536"/>
      <c r="AE58" s="536"/>
      <c r="AF58" s="536"/>
      <c r="AG58" s="536"/>
      <c r="AH58" s="536"/>
      <c r="AI58" s="536"/>
    </row>
    <row r="59" ht="14.25" hidden="1" customHeight="1">
      <c r="A59" s="536"/>
      <c r="B59" s="536"/>
      <c r="C59" s="536"/>
      <c r="D59" s="537"/>
      <c r="E59" s="538"/>
      <c r="F59" s="536"/>
      <c r="G59" s="536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6"/>
      <c r="W59" s="536"/>
      <c r="X59" s="536"/>
      <c r="Y59" s="536"/>
      <c r="Z59" s="536"/>
      <c r="AA59" s="536"/>
      <c r="AB59" s="536"/>
      <c r="AC59" s="536"/>
      <c r="AD59" s="536"/>
      <c r="AE59" s="536"/>
      <c r="AF59" s="536"/>
      <c r="AG59" s="536"/>
      <c r="AH59" s="536"/>
      <c r="AI59" s="536"/>
    </row>
    <row r="60" ht="14.25" hidden="1" customHeight="1">
      <c r="A60" s="536"/>
      <c r="B60" s="536"/>
      <c r="C60" s="536"/>
      <c r="D60" s="537"/>
      <c r="E60" s="538"/>
      <c r="F60" s="536"/>
      <c r="G60" s="536"/>
      <c r="H60" s="536"/>
      <c r="I60" s="536"/>
      <c r="J60" s="536"/>
      <c r="K60" s="536"/>
      <c r="L60" s="536"/>
      <c r="M60" s="536"/>
      <c r="N60" s="536"/>
      <c r="O60" s="536"/>
      <c r="P60" s="536"/>
      <c r="Q60" s="536"/>
      <c r="R60" s="536"/>
      <c r="S60" s="536"/>
      <c r="T60" s="536"/>
      <c r="U60" s="536"/>
      <c r="V60" s="536"/>
      <c r="W60" s="536"/>
      <c r="X60" s="536"/>
      <c r="Y60" s="536"/>
      <c r="Z60" s="536"/>
      <c r="AA60" s="536"/>
      <c r="AB60" s="536"/>
      <c r="AC60" s="536"/>
      <c r="AD60" s="536"/>
      <c r="AE60" s="536"/>
      <c r="AF60" s="536"/>
      <c r="AG60" s="536"/>
      <c r="AH60" s="536"/>
      <c r="AI60" s="536"/>
    </row>
    <row r="61" ht="14.25" hidden="1" customHeight="1">
      <c r="A61" s="536"/>
      <c r="B61" s="536"/>
      <c r="C61" s="536"/>
      <c r="D61" s="537"/>
      <c r="E61" s="538"/>
      <c r="F61" s="536"/>
      <c r="G61" s="536"/>
      <c r="H61" s="536"/>
      <c r="I61" s="536"/>
      <c r="J61" s="536"/>
      <c r="K61" s="536"/>
      <c r="L61" s="536"/>
      <c r="M61" s="536"/>
      <c r="N61" s="536"/>
      <c r="O61" s="536"/>
      <c r="P61" s="536"/>
      <c r="Q61" s="536"/>
      <c r="R61" s="536"/>
      <c r="S61" s="536"/>
      <c r="T61" s="536"/>
      <c r="U61" s="536"/>
      <c r="V61" s="536"/>
      <c r="W61" s="536"/>
      <c r="X61" s="536"/>
      <c r="Y61" s="536"/>
      <c r="Z61" s="536"/>
      <c r="AA61" s="536"/>
      <c r="AB61" s="536"/>
      <c r="AC61" s="536"/>
      <c r="AD61" s="536"/>
      <c r="AE61" s="536"/>
      <c r="AF61" s="536"/>
      <c r="AG61" s="536"/>
      <c r="AH61" s="536"/>
      <c r="AI61" s="536"/>
    </row>
    <row r="62" ht="14.25" hidden="1" customHeight="1">
      <c r="A62" s="536"/>
      <c r="B62" s="536"/>
      <c r="C62" s="536"/>
      <c r="D62" s="537"/>
      <c r="E62" s="538"/>
      <c r="F62" s="536"/>
      <c r="G62" s="536"/>
      <c r="H62" s="536"/>
      <c r="I62" s="536"/>
      <c r="J62" s="536"/>
      <c r="K62" s="536"/>
      <c r="L62" s="536"/>
      <c r="M62" s="536"/>
      <c r="N62" s="536"/>
      <c r="O62" s="536"/>
      <c r="P62" s="536"/>
      <c r="Q62" s="536"/>
      <c r="R62" s="536"/>
      <c r="S62" s="536"/>
      <c r="T62" s="536"/>
      <c r="U62" s="536"/>
      <c r="V62" s="536"/>
      <c r="W62" s="536"/>
      <c r="X62" s="536"/>
      <c r="Y62" s="536"/>
      <c r="Z62" s="536"/>
      <c r="AA62" s="536"/>
      <c r="AB62" s="536"/>
      <c r="AC62" s="536"/>
      <c r="AD62" s="536"/>
      <c r="AE62" s="536"/>
      <c r="AF62" s="536"/>
      <c r="AG62" s="536"/>
      <c r="AH62" s="536"/>
      <c r="AI62" s="536"/>
    </row>
    <row r="63" ht="14.25" hidden="1" customHeight="1">
      <c r="A63" s="536"/>
      <c r="B63" s="536"/>
      <c r="C63" s="536"/>
      <c r="D63" s="537"/>
      <c r="E63" s="538"/>
      <c r="F63" s="536"/>
      <c r="G63" s="536"/>
      <c r="H63" s="536"/>
      <c r="I63" s="536"/>
      <c r="J63" s="536"/>
      <c r="K63" s="536"/>
      <c r="L63" s="536"/>
      <c r="M63" s="536"/>
      <c r="N63" s="536"/>
      <c r="O63" s="536"/>
      <c r="P63" s="536"/>
      <c r="Q63" s="536"/>
      <c r="R63" s="536"/>
      <c r="S63" s="536"/>
      <c r="T63" s="536"/>
      <c r="U63" s="536"/>
      <c r="V63" s="536"/>
      <c r="W63" s="536"/>
      <c r="X63" s="536"/>
      <c r="Y63" s="536"/>
      <c r="Z63" s="536"/>
      <c r="AA63" s="536"/>
      <c r="AB63" s="536"/>
      <c r="AC63" s="536"/>
      <c r="AD63" s="536"/>
      <c r="AE63" s="536"/>
      <c r="AF63" s="536"/>
      <c r="AG63" s="536"/>
      <c r="AH63" s="536"/>
      <c r="AI63" s="536"/>
    </row>
    <row r="64" ht="14.25" hidden="1" customHeight="1">
      <c r="A64" s="536"/>
      <c r="B64" s="536"/>
      <c r="C64" s="536"/>
      <c r="D64" s="537"/>
      <c r="E64" s="538"/>
      <c r="F64" s="536"/>
      <c r="G64" s="536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6"/>
      <c r="AB64" s="536"/>
      <c r="AC64" s="536"/>
      <c r="AD64" s="536"/>
      <c r="AE64" s="536"/>
      <c r="AF64" s="536"/>
      <c r="AG64" s="536"/>
      <c r="AH64" s="536"/>
      <c r="AI64" s="536"/>
    </row>
    <row r="65" ht="14.25" hidden="1" customHeight="1">
      <c r="A65" s="536"/>
      <c r="B65" s="536"/>
      <c r="C65" s="536"/>
      <c r="D65" s="537"/>
      <c r="E65" s="538"/>
      <c r="F65" s="536"/>
      <c r="G65" s="536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6"/>
      <c r="AB65" s="536"/>
      <c r="AC65" s="536"/>
      <c r="AD65" s="536"/>
      <c r="AE65" s="536"/>
      <c r="AF65" s="536"/>
      <c r="AG65" s="536"/>
      <c r="AH65" s="536"/>
      <c r="AI65" s="536"/>
    </row>
    <row r="66" ht="14.25" hidden="1" customHeight="1">
      <c r="A66" s="536"/>
      <c r="B66" s="536"/>
      <c r="C66" s="536"/>
      <c r="D66" s="537"/>
      <c r="E66" s="538"/>
      <c r="F66" s="536"/>
      <c r="G66" s="536"/>
      <c r="H66" s="536"/>
      <c r="I66" s="536"/>
      <c r="J66" s="536"/>
      <c r="K66" s="536"/>
      <c r="L66" s="536"/>
      <c r="M66" s="536"/>
      <c r="N66" s="536"/>
      <c r="O66" s="536"/>
      <c r="P66" s="536"/>
      <c r="Q66" s="536"/>
      <c r="R66" s="536"/>
      <c r="S66" s="536"/>
      <c r="T66" s="536"/>
      <c r="U66" s="536"/>
      <c r="V66" s="536"/>
      <c r="W66" s="536"/>
      <c r="X66" s="536"/>
      <c r="Y66" s="536"/>
      <c r="Z66" s="536"/>
      <c r="AA66" s="536"/>
      <c r="AB66" s="536"/>
      <c r="AC66" s="536"/>
      <c r="AD66" s="536"/>
      <c r="AE66" s="536"/>
      <c r="AF66" s="536"/>
      <c r="AG66" s="536"/>
      <c r="AH66" s="536"/>
      <c r="AI66" s="536"/>
    </row>
    <row r="67" ht="14.25" hidden="1" customHeight="1">
      <c r="A67" s="536"/>
      <c r="B67" s="536"/>
      <c r="C67" s="536"/>
      <c r="D67" s="537"/>
      <c r="E67" s="538"/>
      <c r="F67" s="536"/>
      <c r="G67" s="536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6"/>
      <c r="AB67" s="536"/>
      <c r="AC67" s="536"/>
      <c r="AD67" s="536"/>
      <c r="AE67" s="536"/>
      <c r="AF67" s="536"/>
      <c r="AG67" s="536"/>
      <c r="AH67" s="536"/>
      <c r="AI67" s="536"/>
    </row>
    <row r="68" ht="14.25" hidden="1" customHeight="1">
      <c r="A68" s="536"/>
      <c r="B68" s="536"/>
      <c r="C68" s="536"/>
      <c r="D68" s="537"/>
      <c r="E68" s="538"/>
      <c r="F68" s="536"/>
      <c r="G68" s="536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6"/>
      <c r="AB68" s="536"/>
      <c r="AC68" s="536"/>
      <c r="AD68" s="536"/>
      <c r="AE68" s="536"/>
      <c r="AF68" s="536"/>
      <c r="AG68" s="536"/>
      <c r="AH68" s="536"/>
      <c r="AI68" s="536"/>
    </row>
    <row r="69" ht="14.25" hidden="1" customHeight="1">
      <c r="A69" s="536"/>
      <c r="B69" s="536"/>
      <c r="C69" s="536"/>
      <c r="D69" s="537"/>
      <c r="E69" s="538"/>
      <c r="F69" s="536"/>
      <c r="G69" s="536"/>
      <c r="H69" s="536"/>
      <c r="I69" s="536"/>
      <c r="J69" s="536"/>
      <c r="K69" s="536"/>
      <c r="L69" s="536"/>
      <c r="M69" s="536"/>
      <c r="N69" s="536"/>
      <c r="O69" s="536"/>
      <c r="P69" s="536"/>
      <c r="Q69" s="536"/>
      <c r="R69" s="536"/>
      <c r="S69" s="536"/>
      <c r="T69" s="536"/>
      <c r="U69" s="536"/>
      <c r="V69" s="536"/>
      <c r="W69" s="536"/>
      <c r="X69" s="536"/>
      <c r="Y69" s="536"/>
      <c r="Z69" s="536"/>
      <c r="AA69" s="536"/>
      <c r="AB69" s="536"/>
      <c r="AC69" s="536"/>
      <c r="AD69" s="536"/>
      <c r="AE69" s="536"/>
      <c r="AF69" s="536"/>
      <c r="AG69" s="536"/>
      <c r="AH69" s="536"/>
      <c r="AI69" s="536"/>
    </row>
    <row r="70" ht="14.25" hidden="1" customHeight="1">
      <c r="A70" s="536"/>
      <c r="B70" s="536"/>
      <c r="C70" s="536"/>
      <c r="D70" s="537"/>
      <c r="E70" s="538"/>
      <c r="F70" s="536"/>
      <c r="G70" s="536"/>
      <c r="H70" s="536"/>
      <c r="I70" s="536"/>
      <c r="J70" s="536"/>
      <c r="K70" s="536"/>
      <c r="L70" s="536"/>
      <c r="M70" s="536"/>
      <c r="N70" s="536"/>
      <c r="O70" s="536"/>
      <c r="P70" s="536"/>
      <c r="Q70" s="536"/>
      <c r="R70" s="536"/>
      <c r="S70" s="536"/>
      <c r="T70" s="536"/>
      <c r="U70" s="536"/>
      <c r="V70" s="536"/>
      <c r="W70" s="536"/>
      <c r="X70" s="536"/>
      <c r="Y70" s="536"/>
      <c r="Z70" s="536"/>
      <c r="AA70" s="536"/>
      <c r="AB70" s="536"/>
      <c r="AC70" s="536"/>
      <c r="AD70" s="536"/>
      <c r="AE70" s="536"/>
      <c r="AF70" s="536"/>
      <c r="AG70" s="536"/>
      <c r="AH70" s="536"/>
      <c r="AI70" s="536"/>
    </row>
    <row r="71" ht="14.25" hidden="1" customHeight="1">
      <c r="A71" s="536"/>
      <c r="B71" s="536"/>
      <c r="C71" s="536"/>
      <c r="D71" s="537"/>
      <c r="E71" s="538"/>
      <c r="F71" s="536"/>
      <c r="G71" s="536"/>
      <c r="H71" s="536"/>
      <c r="I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536"/>
      <c r="X71" s="536"/>
      <c r="Y71" s="536"/>
      <c r="Z71" s="536"/>
      <c r="AA71" s="536"/>
      <c r="AB71" s="536"/>
      <c r="AC71" s="536"/>
      <c r="AD71" s="536"/>
      <c r="AE71" s="536"/>
      <c r="AF71" s="536"/>
      <c r="AG71" s="536"/>
      <c r="AH71" s="536"/>
      <c r="AI71" s="536"/>
    </row>
    <row r="72" ht="14.25" hidden="1" customHeight="1">
      <c r="A72" s="536"/>
      <c r="B72" s="536"/>
      <c r="C72" s="536"/>
      <c r="D72" s="537"/>
      <c r="E72" s="538"/>
      <c r="F72" s="536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6"/>
      <c r="AB72" s="536"/>
      <c r="AC72" s="536"/>
      <c r="AD72" s="536"/>
      <c r="AE72" s="536"/>
      <c r="AF72" s="536"/>
      <c r="AG72" s="536"/>
      <c r="AH72" s="536"/>
      <c r="AI72" s="536"/>
    </row>
    <row r="73" ht="14.25" hidden="1" customHeight="1">
      <c r="A73" s="536"/>
      <c r="B73" s="536"/>
      <c r="C73" s="536"/>
      <c r="D73" s="537"/>
      <c r="E73" s="538"/>
      <c r="F73" s="536"/>
      <c r="G73" s="536"/>
      <c r="H73" s="536"/>
      <c r="I73" s="536"/>
      <c r="J73" s="536"/>
      <c r="K73" s="536"/>
      <c r="L73" s="536"/>
      <c r="M73" s="536"/>
      <c r="N73" s="536"/>
      <c r="O73" s="536"/>
      <c r="P73" s="536"/>
      <c r="Q73" s="536"/>
      <c r="R73" s="536"/>
      <c r="S73" s="536"/>
      <c r="T73" s="536"/>
      <c r="U73" s="536"/>
      <c r="V73" s="536"/>
      <c r="W73" s="536"/>
      <c r="X73" s="536"/>
      <c r="Y73" s="536"/>
      <c r="Z73" s="536"/>
      <c r="AA73" s="536"/>
      <c r="AB73" s="536"/>
      <c r="AC73" s="536"/>
      <c r="AD73" s="536"/>
      <c r="AE73" s="536"/>
      <c r="AF73" s="536"/>
      <c r="AG73" s="536"/>
      <c r="AH73" s="536"/>
      <c r="AI73" s="536"/>
    </row>
    <row r="74" ht="14.25" hidden="1" customHeight="1">
      <c r="A74" s="536"/>
      <c r="B74" s="536"/>
      <c r="C74" s="536"/>
      <c r="D74" s="537"/>
      <c r="E74" s="538"/>
      <c r="F74" s="536"/>
      <c r="G74" s="536"/>
      <c r="H74" s="536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536"/>
      <c r="X74" s="536"/>
      <c r="Y74" s="536"/>
      <c r="Z74" s="536"/>
      <c r="AA74" s="536"/>
      <c r="AB74" s="536"/>
      <c r="AC74" s="536"/>
      <c r="AD74" s="536"/>
      <c r="AE74" s="536"/>
      <c r="AF74" s="536"/>
      <c r="AG74" s="536"/>
      <c r="AH74" s="536"/>
      <c r="AI74" s="536"/>
    </row>
    <row r="75" ht="14.25" hidden="1" customHeight="1">
      <c r="A75" s="536"/>
      <c r="B75" s="536"/>
      <c r="C75" s="536"/>
      <c r="D75" s="537"/>
      <c r="E75" s="538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6"/>
      <c r="AB75" s="536"/>
      <c r="AC75" s="536"/>
      <c r="AD75" s="536"/>
      <c r="AE75" s="536"/>
      <c r="AF75" s="536"/>
      <c r="AG75" s="536"/>
      <c r="AH75" s="536"/>
      <c r="AI75" s="536"/>
    </row>
    <row r="76" ht="14.25" hidden="1" customHeight="1">
      <c r="A76" s="536"/>
      <c r="B76" s="536"/>
      <c r="C76" s="536"/>
      <c r="D76" s="537"/>
      <c r="E76" s="538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6"/>
      <c r="AB76" s="536"/>
      <c r="AC76" s="536"/>
      <c r="AD76" s="536"/>
      <c r="AE76" s="536"/>
      <c r="AF76" s="536"/>
      <c r="AG76" s="536"/>
      <c r="AH76" s="536"/>
      <c r="AI76" s="536"/>
    </row>
    <row r="77" ht="14.25" hidden="1" customHeight="1">
      <c r="A77" s="536"/>
      <c r="B77" s="536"/>
      <c r="C77" s="536"/>
      <c r="D77" s="537"/>
      <c r="E77" s="538"/>
      <c r="F77" s="536"/>
      <c r="G77" s="536"/>
      <c r="H77" s="536"/>
      <c r="I77" s="536"/>
      <c r="J77" s="536"/>
      <c r="K77" s="536"/>
      <c r="L77" s="536"/>
      <c r="M77" s="536"/>
      <c r="N77" s="536"/>
      <c r="O77" s="536"/>
      <c r="P77" s="536"/>
      <c r="Q77" s="536"/>
      <c r="R77" s="536"/>
      <c r="S77" s="536"/>
      <c r="T77" s="536"/>
      <c r="U77" s="536"/>
      <c r="V77" s="536"/>
      <c r="W77" s="536"/>
      <c r="X77" s="536"/>
      <c r="Y77" s="536"/>
      <c r="Z77" s="536"/>
      <c r="AA77" s="536"/>
      <c r="AB77" s="536"/>
      <c r="AC77" s="536"/>
      <c r="AD77" s="536"/>
      <c r="AE77" s="536"/>
      <c r="AF77" s="536"/>
      <c r="AG77" s="536"/>
      <c r="AH77" s="536"/>
      <c r="AI77" s="536"/>
    </row>
    <row r="78" ht="14.25" hidden="1" customHeight="1">
      <c r="A78" s="536"/>
      <c r="B78" s="536"/>
      <c r="C78" s="536"/>
      <c r="D78" s="537"/>
      <c r="E78" s="538"/>
      <c r="F78" s="536"/>
      <c r="G78" s="536"/>
      <c r="H78" s="536"/>
      <c r="I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6"/>
      <c r="AB78" s="536"/>
      <c r="AC78" s="536"/>
      <c r="AD78" s="536"/>
      <c r="AE78" s="536"/>
      <c r="AF78" s="536"/>
      <c r="AG78" s="536"/>
      <c r="AH78" s="536"/>
      <c r="AI78" s="536"/>
    </row>
    <row r="79" ht="14.25" hidden="1" customHeight="1">
      <c r="A79" s="536"/>
      <c r="B79" s="536"/>
      <c r="C79" s="536"/>
      <c r="D79" s="537"/>
      <c r="E79" s="538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6"/>
      <c r="AB79" s="536"/>
      <c r="AC79" s="536"/>
      <c r="AD79" s="536"/>
      <c r="AE79" s="536"/>
      <c r="AF79" s="536"/>
      <c r="AG79" s="536"/>
      <c r="AH79" s="536"/>
      <c r="AI79" s="536"/>
    </row>
    <row r="80" ht="14.25" hidden="1" customHeight="1">
      <c r="A80" s="536"/>
      <c r="B80" s="536"/>
      <c r="C80" s="536"/>
      <c r="D80" s="537"/>
      <c r="E80" s="538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6"/>
      <c r="AB80" s="536"/>
      <c r="AC80" s="536"/>
      <c r="AD80" s="536"/>
      <c r="AE80" s="536"/>
      <c r="AF80" s="536"/>
      <c r="AG80" s="536"/>
      <c r="AH80" s="536"/>
      <c r="AI80" s="536"/>
    </row>
    <row r="81" ht="14.25" hidden="1" customHeight="1">
      <c r="A81" s="536"/>
      <c r="B81" s="536"/>
      <c r="C81" s="536"/>
      <c r="D81" s="537"/>
      <c r="E81" s="538"/>
      <c r="F81" s="53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U81" s="536"/>
      <c r="V81" s="536"/>
      <c r="W81" s="536"/>
      <c r="X81" s="536"/>
      <c r="Y81" s="536"/>
      <c r="Z81" s="536"/>
      <c r="AA81" s="536"/>
      <c r="AB81" s="536"/>
      <c r="AC81" s="536"/>
      <c r="AD81" s="536"/>
      <c r="AE81" s="536"/>
      <c r="AF81" s="536"/>
      <c r="AG81" s="536"/>
      <c r="AH81" s="536"/>
      <c r="AI81" s="536"/>
    </row>
    <row r="82" ht="14.25" hidden="1" customHeight="1">
      <c r="A82" s="536"/>
      <c r="B82" s="536"/>
      <c r="C82" s="536"/>
      <c r="D82" s="537"/>
      <c r="E82" s="538"/>
      <c r="F82" s="536"/>
      <c r="G82" s="536"/>
      <c r="H82" s="536"/>
      <c r="I82" s="536"/>
      <c r="J82" s="536"/>
      <c r="K82" s="536"/>
      <c r="L82" s="536"/>
      <c r="M82" s="536"/>
      <c r="N82" s="536"/>
      <c r="O82" s="536"/>
      <c r="P82" s="536"/>
      <c r="Q82" s="536"/>
      <c r="R82" s="536"/>
      <c r="S82" s="536"/>
      <c r="T82" s="536"/>
      <c r="U82" s="536"/>
      <c r="V82" s="536"/>
      <c r="W82" s="536"/>
      <c r="X82" s="536"/>
      <c r="Y82" s="536"/>
      <c r="Z82" s="536"/>
      <c r="AA82" s="536"/>
      <c r="AB82" s="536"/>
      <c r="AC82" s="536"/>
      <c r="AD82" s="536"/>
      <c r="AE82" s="536"/>
      <c r="AF82" s="536"/>
      <c r="AG82" s="536"/>
      <c r="AH82" s="536"/>
      <c r="AI82" s="536"/>
    </row>
    <row r="83" ht="14.25" hidden="1" customHeight="1">
      <c r="A83" s="536"/>
      <c r="B83" s="536"/>
      <c r="C83" s="536"/>
      <c r="D83" s="537"/>
      <c r="E83" s="538"/>
      <c r="F83" s="536"/>
      <c r="G83" s="536"/>
      <c r="H83" s="536"/>
      <c r="I83" s="536"/>
      <c r="J83" s="536"/>
      <c r="K83" s="536"/>
      <c r="L83" s="536"/>
      <c r="M83" s="536"/>
      <c r="N83" s="536"/>
      <c r="O83" s="536"/>
      <c r="P83" s="536"/>
      <c r="Q83" s="536"/>
      <c r="R83" s="536"/>
      <c r="S83" s="536"/>
      <c r="T83" s="536"/>
      <c r="U83" s="536"/>
      <c r="V83" s="536"/>
      <c r="W83" s="536"/>
      <c r="X83" s="536"/>
      <c r="Y83" s="536"/>
      <c r="Z83" s="536"/>
      <c r="AA83" s="536"/>
      <c r="AB83" s="536"/>
      <c r="AC83" s="536"/>
      <c r="AD83" s="536"/>
      <c r="AE83" s="536"/>
      <c r="AF83" s="536"/>
      <c r="AG83" s="536"/>
      <c r="AH83" s="536"/>
      <c r="AI83" s="536"/>
    </row>
    <row r="84" ht="14.25" hidden="1" customHeight="1">
      <c r="A84" s="536"/>
      <c r="B84" s="536"/>
      <c r="C84" s="536"/>
      <c r="D84" s="537"/>
      <c r="E84" s="538"/>
      <c r="F84" s="536"/>
      <c r="G84" s="536"/>
      <c r="H84" s="536"/>
      <c r="I84" s="536"/>
      <c r="J84" s="536"/>
      <c r="K84" s="536"/>
      <c r="L84" s="536"/>
      <c r="M84" s="536"/>
      <c r="N84" s="536"/>
      <c r="O84" s="536"/>
      <c r="P84" s="536"/>
      <c r="Q84" s="536"/>
      <c r="R84" s="536"/>
      <c r="S84" s="536"/>
      <c r="T84" s="536"/>
      <c r="U84" s="536"/>
      <c r="V84" s="536"/>
      <c r="W84" s="536"/>
      <c r="X84" s="536"/>
      <c r="Y84" s="536"/>
      <c r="Z84" s="536"/>
      <c r="AA84" s="536"/>
      <c r="AB84" s="536"/>
      <c r="AC84" s="536"/>
      <c r="AD84" s="536"/>
      <c r="AE84" s="536"/>
      <c r="AF84" s="536"/>
      <c r="AG84" s="536"/>
      <c r="AH84" s="536"/>
      <c r="AI84" s="536"/>
    </row>
    <row r="85" ht="14.25" hidden="1" customHeight="1">
      <c r="A85" s="536"/>
      <c r="B85" s="536"/>
      <c r="C85" s="536"/>
      <c r="D85" s="537"/>
      <c r="E85" s="538"/>
      <c r="F85" s="536"/>
      <c r="G85" s="536"/>
      <c r="H85" s="536"/>
      <c r="I85" s="536"/>
      <c r="J85" s="536"/>
      <c r="K85" s="536"/>
      <c r="L85" s="536"/>
      <c r="M85" s="536"/>
      <c r="N85" s="536"/>
      <c r="O85" s="536"/>
      <c r="P85" s="536"/>
      <c r="Q85" s="536"/>
      <c r="R85" s="536"/>
      <c r="S85" s="536"/>
      <c r="T85" s="536"/>
      <c r="U85" s="536"/>
      <c r="V85" s="536"/>
      <c r="W85" s="536"/>
      <c r="X85" s="536"/>
      <c r="Y85" s="536"/>
      <c r="Z85" s="536"/>
      <c r="AA85" s="536"/>
      <c r="AB85" s="536"/>
      <c r="AC85" s="536"/>
      <c r="AD85" s="536"/>
      <c r="AE85" s="536"/>
      <c r="AF85" s="536"/>
      <c r="AG85" s="536"/>
      <c r="AH85" s="536"/>
      <c r="AI85" s="536"/>
    </row>
    <row r="86" ht="14.25" hidden="1" customHeight="1">
      <c r="A86" s="536"/>
      <c r="B86" s="536"/>
      <c r="C86" s="536"/>
      <c r="D86" s="537"/>
      <c r="E86" s="538"/>
      <c r="F86" s="536"/>
      <c r="G86" s="536"/>
      <c r="H86" s="536"/>
      <c r="I86" s="536"/>
      <c r="J86" s="536"/>
      <c r="K86" s="536"/>
      <c r="L86" s="536"/>
      <c r="M86" s="536"/>
      <c r="N86" s="536"/>
      <c r="O86" s="536"/>
      <c r="P86" s="536"/>
      <c r="Q86" s="536"/>
      <c r="R86" s="536"/>
      <c r="S86" s="536"/>
      <c r="T86" s="536"/>
      <c r="U86" s="536"/>
      <c r="V86" s="536"/>
      <c r="W86" s="536"/>
      <c r="X86" s="536"/>
      <c r="Y86" s="536"/>
      <c r="Z86" s="536"/>
      <c r="AA86" s="536"/>
      <c r="AB86" s="536"/>
      <c r="AC86" s="536"/>
      <c r="AD86" s="536"/>
      <c r="AE86" s="536"/>
      <c r="AF86" s="536"/>
      <c r="AG86" s="536"/>
      <c r="AH86" s="536"/>
      <c r="AI86" s="536"/>
    </row>
    <row r="87" ht="14.25" hidden="1" customHeight="1">
      <c r="A87" s="536"/>
      <c r="B87" s="536"/>
      <c r="C87" s="536"/>
      <c r="D87" s="537"/>
      <c r="E87" s="538"/>
      <c r="F87" s="536"/>
      <c r="G87" s="536"/>
      <c r="H87" s="536"/>
      <c r="I87" s="536"/>
      <c r="J87" s="536"/>
      <c r="K87" s="536"/>
      <c r="L87" s="536"/>
      <c r="M87" s="536"/>
      <c r="N87" s="536"/>
      <c r="O87" s="536"/>
      <c r="P87" s="536"/>
      <c r="Q87" s="536"/>
      <c r="R87" s="536"/>
      <c r="S87" s="536"/>
      <c r="T87" s="536"/>
      <c r="U87" s="536"/>
      <c r="V87" s="536"/>
      <c r="W87" s="536"/>
      <c r="X87" s="536"/>
      <c r="Y87" s="536"/>
      <c r="Z87" s="536"/>
      <c r="AA87" s="536"/>
      <c r="AB87" s="536"/>
      <c r="AC87" s="536"/>
      <c r="AD87" s="536"/>
      <c r="AE87" s="536"/>
      <c r="AF87" s="536"/>
      <c r="AG87" s="536"/>
      <c r="AH87" s="536"/>
      <c r="AI87" s="536"/>
    </row>
    <row r="88" ht="14.25" hidden="1" customHeight="1">
      <c r="A88" s="536"/>
      <c r="B88" s="536"/>
      <c r="C88" s="536"/>
      <c r="D88" s="537"/>
      <c r="E88" s="538"/>
      <c r="F88" s="536"/>
      <c r="G88" s="536"/>
      <c r="H88" s="536"/>
      <c r="I88" s="536"/>
      <c r="J88" s="536"/>
      <c r="K88" s="536"/>
      <c r="L88" s="536"/>
      <c r="M88" s="536"/>
      <c r="N88" s="536"/>
      <c r="O88" s="536"/>
      <c r="P88" s="536"/>
      <c r="Q88" s="536"/>
      <c r="R88" s="536"/>
      <c r="S88" s="536"/>
      <c r="T88" s="536"/>
      <c r="U88" s="536"/>
      <c r="V88" s="536"/>
      <c r="W88" s="536"/>
      <c r="X88" s="536"/>
      <c r="Y88" s="536"/>
      <c r="Z88" s="536"/>
      <c r="AA88" s="536"/>
      <c r="AB88" s="536"/>
      <c r="AC88" s="536"/>
      <c r="AD88" s="536"/>
      <c r="AE88" s="536"/>
      <c r="AF88" s="536"/>
      <c r="AG88" s="536"/>
      <c r="AH88" s="536"/>
      <c r="AI88" s="536"/>
    </row>
    <row r="89" ht="14.25" hidden="1" customHeight="1">
      <c r="A89" s="536"/>
      <c r="B89" s="536"/>
      <c r="C89" s="536"/>
      <c r="D89" s="537"/>
      <c r="E89" s="538"/>
      <c r="F89" s="536"/>
      <c r="G89" s="536"/>
      <c r="H89" s="536"/>
      <c r="I89" s="536"/>
      <c r="J89" s="536"/>
      <c r="K89" s="536"/>
      <c r="L89" s="536"/>
      <c r="M89" s="536"/>
      <c r="N89" s="536"/>
      <c r="O89" s="536"/>
      <c r="P89" s="536"/>
      <c r="Q89" s="536"/>
      <c r="R89" s="536"/>
      <c r="S89" s="536"/>
      <c r="T89" s="536"/>
      <c r="U89" s="536"/>
      <c r="V89" s="536"/>
      <c r="W89" s="536"/>
      <c r="X89" s="536"/>
      <c r="Y89" s="536"/>
      <c r="Z89" s="536"/>
      <c r="AA89" s="536"/>
      <c r="AB89" s="536"/>
      <c r="AC89" s="536"/>
      <c r="AD89" s="536"/>
      <c r="AE89" s="536"/>
      <c r="AF89" s="536"/>
      <c r="AG89" s="536"/>
      <c r="AH89" s="536"/>
      <c r="AI89" s="536"/>
    </row>
    <row r="90" ht="14.25" hidden="1" customHeight="1">
      <c r="A90" s="536"/>
      <c r="B90" s="536"/>
      <c r="C90" s="536"/>
      <c r="D90" s="537"/>
      <c r="E90" s="538"/>
      <c r="F90" s="536"/>
      <c r="G90" s="536"/>
      <c r="H90" s="536"/>
      <c r="I90" s="536"/>
      <c r="J90" s="536"/>
      <c r="K90" s="536"/>
      <c r="L90" s="536"/>
      <c r="M90" s="536"/>
      <c r="N90" s="536"/>
      <c r="O90" s="536"/>
      <c r="P90" s="536"/>
      <c r="Q90" s="536"/>
      <c r="R90" s="536"/>
      <c r="S90" s="536"/>
      <c r="T90" s="536"/>
      <c r="U90" s="536"/>
      <c r="V90" s="536"/>
      <c r="W90" s="536"/>
      <c r="X90" s="536"/>
      <c r="Y90" s="536"/>
      <c r="Z90" s="536"/>
      <c r="AA90" s="536"/>
      <c r="AB90" s="536"/>
      <c r="AC90" s="536"/>
      <c r="AD90" s="536"/>
      <c r="AE90" s="536"/>
      <c r="AF90" s="536"/>
      <c r="AG90" s="536"/>
      <c r="AH90" s="536"/>
      <c r="AI90" s="536"/>
    </row>
    <row r="91" ht="14.25" hidden="1" customHeight="1">
      <c r="A91" s="536"/>
      <c r="B91" s="536"/>
      <c r="C91" s="536"/>
      <c r="D91" s="537"/>
      <c r="E91" s="538"/>
      <c r="F91" s="536"/>
      <c r="G91" s="536"/>
      <c r="H91" s="536"/>
      <c r="I91" s="536"/>
      <c r="J91" s="536"/>
      <c r="K91" s="536"/>
      <c r="L91" s="536"/>
      <c r="M91" s="536"/>
      <c r="N91" s="536"/>
      <c r="O91" s="536"/>
      <c r="P91" s="536"/>
      <c r="Q91" s="536"/>
      <c r="R91" s="536"/>
      <c r="S91" s="536"/>
      <c r="T91" s="536"/>
      <c r="U91" s="536"/>
      <c r="V91" s="536"/>
      <c r="W91" s="536"/>
      <c r="X91" s="536"/>
      <c r="Y91" s="536"/>
      <c r="Z91" s="536"/>
      <c r="AA91" s="536"/>
      <c r="AB91" s="536"/>
      <c r="AC91" s="536"/>
      <c r="AD91" s="536"/>
      <c r="AE91" s="536"/>
      <c r="AF91" s="536"/>
      <c r="AG91" s="536"/>
      <c r="AH91" s="536"/>
      <c r="AI91" s="536"/>
    </row>
    <row r="92" ht="14.25" customHeight="1">
      <c r="A92" s="536"/>
      <c r="B92" s="536"/>
      <c r="C92" s="536"/>
      <c r="D92" s="537"/>
      <c r="E92" s="538"/>
      <c r="F92" s="536"/>
      <c r="G92" s="536"/>
      <c r="H92" s="536"/>
      <c r="I92" s="536"/>
      <c r="J92" s="536"/>
      <c r="K92" s="536"/>
      <c r="L92" s="536"/>
      <c r="M92" s="536"/>
      <c r="N92" s="536"/>
      <c r="O92" s="536"/>
      <c r="P92" s="536"/>
      <c r="Q92" s="536"/>
      <c r="R92" s="536"/>
      <c r="S92" s="536"/>
      <c r="T92" s="536"/>
      <c r="U92" s="536"/>
      <c r="V92" s="536"/>
      <c r="W92" s="536"/>
      <c r="X92" s="536"/>
      <c r="Y92" s="536"/>
      <c r="Z92" s="536"/>
      <c r="AA92" s="536"/>
      <c r="AB92" s="536"/>
      <c r="AC92" s="536"/>
      <c r="AD92" s="536"/>
      <c r="AE92" s="536"/>
      <c r="AF92" s="536"/>
      <c r="AG92" s="536"/>
      <c r="AH92" s="536"/>
      <c r="AI92" s="536"/>
    </row>
    <row r="93" ht="14.25" customHeight="1">
      <c r="A93" s="536"/>
      <c r="B93" s="536"/>
      <c r="C93" s="536"/>
      <c r="D93" s="537"/>
      <c r="E93" s="538"/>
      <c r="F93" s="536"/>
      <c r="G93" s="536"/>
      <c r="H93" s="536"/>
      <c r="I93" s="536"/>
      <c r="J93" s="536"/>
      <c r="K93" s="536"/>
      <c r="L93" s="536"/>
      <c r="M93" s="536"/>
      <c r="N93" s="536"/>
      <c r="O93" s="536"/>
      <c r="P93" s="536"/>
      <c r="Q93" s="536"/>
      <c r="R93" s="536"/>
      <c r="S93" s="536"/>
      <c r="T93" s="536"/>
      <c r="U93" s="536"/>
      <c r="V93" s="536"/>
      <c r="W93" s="536"/>
      <c r="X93" s="536"/>
      <c r="Y93" s="536"/>
      <c r="Z93" s="536"/>
      <c r="AA93" s="536"/>
      <c r="AB93" s="536"/>
      <c r="AC93" s="536"/>
      <c r="AD93" s="536"/>
      <c r="AE93" s="536"/>
      <c r="AF93" s="536"/>
      <c r="AG93" s="536"/>
      <c r="AH93" s="536"/>
      <c r="AI93" s="536"/>
    </row>
    <row r="94" ht="14.25" customHeight="1">
      <c r="A94" s="536"/>
      <c r="B94" s="536"/>
      <c r="C94" s="536"/>
      <c r="D94" s="537"/>
      <c r="E94" s="538"/>
      <c r="F94" s="536"/>
      <c r="G94" s="536"/>
      <c r="H94" s="536"/>
      <c r="I94" s="536"/>
      <c r="J94" s="536"/>
      <c r="K94" s="536"/>
      <c r="L94" s="536"/>
      <c r="M94" s="536"/>
      <c r="N94" s="536"/>
      <c r="O94" s="536"/>
      <c r="P94" s="536"/>
      <c r="Q94" s="536"/>
      <c r="R94" s="536"/>
      <c r="S94" s="536"/>
      <c r="T94" s="536"/>
      <c r="U94" s="536"/>
      <c r="V94" s="536"/>
      <c r="W94" s="536"/>
      <c r="X94" s="536"/>
      <c r="Y94" s="536"/>
      <c r="Z94" s="536"/>
      <c r="AA94" s="536"/>
      <c r="AB94" s="536"/>
      <c r="AC94" s="536"/>
      <c r="AD94" s="536"/>
      <c r="AE94" s="536"/>
      <c r="AF94" s="536"/>
      <c r="AG94" s="536"/>
      <c r="AH94" s="536"/>
      <c r="AI94" s="536"/>
    </row>
    <row r="95" ht="14.25" customHeight="1">
      <c r="A95" s="536"/>
      <c r="B95" s="536"/>
      <c r="C95" s="536"/>
      <c r="D95" s="537"/>
      <c r="E95" s="538"/>
      <c r="F95" s="536"/>
      <c r="G95" s="536"/>
      <c r="H95" s="536"/>
      <c r="I95" s="536"/>
      <c r="J95" s="536"/>
      <c r="K95" s="536"/>
      <c r="L95" s="536"/>
      <c r="M95" s="536"/>
      <c r="N95" s="536"/>
      <c r="O95" s="536"/>
      <c r="P95" s="536"/>
      <c r="Q95" s="536"/>
      <c r="R95" s="536"/>
      <c r="S95" s="536"/>
      <c r="T95" s="536"/>
      <c r="U95" s="536"/>
      <c r="V95" s="536"/>
      <c r="W95" s="536"/>
      <c r="X95" s="536"/>
      <c r="Y95" s="536"/>
      <c r="Z95" s="536"/>
      <c r="AA95" s="536"/>
      <c r="AB95" s="536"/>
      <c r="AC95" s="536"/>
      <c r="AD95" s="536"/>
      <c r="AE95" s="536"/>
      <c r="AF95" s="536"/>
      <c r="AG95" s="536"/>
      <c r="AH95" s="536"/>
      <c r="AI95" s="536"/>
    </row>
    <row r="96" ht="14.25" customHeight="1">
      <c r="A96" s="536"/>
      <c r="B96" s="536"/>
      <c r="C96" s="536"/>
      <c r="D96" s="537"/>
      <c r="E96" s="538"/>
      <c r="F96" s="536"/>
      <c r="G96" s="536"/>
      <c r="H96" s="536"/>
      <c r="I96" s="536"/>
      <c r="J96" s="536"/>
      <c r="K96" s="536"/>
      <c r="L96" s="536"/>
      <c r="M96" s="536"/>
      <c r="N96" s="536"/>
      <c r="O96" s="536"/>
      <c r="P96" s="536"/>
      <c r="Q96" s="536"/>
      <c r="R96" s="536"/>
      <c r="S96" s="536"/>
      <c r="T96" s="536"/>
      <c r="U96" s="536"/>
      <c r="V96" s="536"/>
      <c r="W96" s="536"/>
      <c r="X96" s="536"/>
      <c r="Y96" s="536"/>
      <c r="Z96" s="536"/>
      <c r="AA96" s="536"/>
      <c r="AB96" s="536"/>
      <c r="AC96" s="536"/>
      <c r="AD96" s="536"/>
      <c r="AE96" s="536"/>
      <c r="AF96" s="536"/>
      <c r="AG96" s="536"/>
      <c r="AH96" s="536"/>
      <c r="AI96" s="536"/>
    </row>
    <row r="97" ht="14.25" customHeight="1">
      <c r="A97" s="536"/>
      <c r="B97" s="536"/>
      <c r="C97" s="536"/>
      <c r="D97" s="537"/>
      <c r="E97" s="538"/>
      <c r="F97" s="536"/>
      <c r="G97" s="536"/>
      <c r="H97" s="536"/>
      <c r="I97" s="536"/>
      <c r="J97" s="536"/>
      <c r="K97" s="536"/>
      <c r="L97" s="536"/>
      <c r="M97" s="536"/>
      <c r="N97" s="536"/>
      <c r="O97" s="536"/>
      <c r="P97" s="536"/>
      <c r="Q97" s="536"/>
      <c r="R97" s="536"/>
      <c r="S97" s="536"/>
      <c r="T97" s="536"/>
      <c r="U97" s="536"/>
      <c r="V97" s="536"/>
      <c r="W97" s="536"/>
      <c r="X97" s="536"/>
      <c r="Y97" s="536"/>
      <c r="Z97" s="536"/>
      <c r="AA97" s="536"/>
      <c r="AB97" s="536"/>
      <c r="AC97" s="536"/>
      <c r="AD97" s="536"/>
      <c r="AE97" s="536"/>
      <c r="AF97" s="536"/>
      <c r="AG97" s="536"/>
      <c r="AH97" s="536"/>
      <c r="AI97" s="536"/>
    </row>
    <row r="98" ht="14.25" customHeight="1">
      <c r="A98" s="536"/>
      <c r="B98" s="536"/>
      <c r="C98" s="536"/>
      <c r="D98" s="537"/>
      <c r="E98" s="538"/>
      <c r="F98" s="536"/>
      <c r="G98" s="536"/>
      <c r="H98" s="536"/>
      <c r="I98" s="536"/>
      <c r="J98" s="536"/>
      <c r="K98" s="536"/>
      <c r="L98" s="536"/>
      <c r="M98" s="536"/>
      <c r="N98" s="536"/>
      <c r="O98" s="536"/>
      <c r="P98" s="536"/>
      <c r="Q98" s="536"/>
      <c r="R98" s="536"/>
      <c r="S98" s="536"/>
      <c r="T98" s="536"/>
      <c r="U98" s="536"/>
      <c r="V98" s="536"/>
      <c r="W98" s="536"/>
      <c r="X98" s="536"/>
      <c r="Y98" s="536"/>
      <c r="Z98" s="536"/>
      <c r="AA98" s="536"/>
      <c r="AB98" s="536"/>
      <c r="AC98" s="536"/>
      <c r="AD98" s="536"/>
      <c r="AE98" s="536"/>
      <c r="AF98" s="536"/>
      <c r="AG98" s="536"/>
      <c r="AH98" s="536"/>
      <c r="AI98" s="536"/>
    </row>
    <row r="99" ht="14.25" customHeight="1">
      <c r="A99" s="536"/>
      <c r="B99" s="536"/>
      <c r="C99" s="536"/>
      <c r="D99" s="537"/>
      <c r="E99" s="538"/>
      <c r="F99" s="536"/>
      <c r="G99" s="536"/>
      <c r="H99" s="536"/>
      <c r="I99" s="536"/>
      <c r="J99" s="536"/>
      <c r="K99" s="536"/>
      <c r="L99" s="536"/>
      <c r="M99" s="536"/>
      <c r="N99" s="536"/>
      <c r="O99" s="536"/>
      <c r="P99" s="536"/>
      <c r="Q99" s="536"/>
      <c r="R99" s="536"/>
      <c r="S99" s="536"/>
      <c r="T99" s="536"/>
      <c r="U99" s="536"/>
      <c r="V99" s="536"/>
      <c r="W99" s="536"/>
      <c r="X99" s="536"/>
      <c r="Y99" s="536"/>
      <c r="Z99" s="536"/>
      <c r="AA99" s="536"/>
      <c r="AB99" s="536"/>
      <c r="AC99" s="536"/>
      <c r="AD99" s="536"/>
      <c r="AE99" s="536"/>
      <c r="AF99" s="536"/>
      <c r="AG99" s="536"/>
      <c r="AH99" s="536"/>
      <c r="AI99" s="536"/>
    </row>
    <row r="100" ht="14.25" customHeight="1">
      <c r="A100" s="536"/>
      <c r="B100" s="536"/>
      <c r="C100" s="536"/>
      <c r="D100" s="537"/>
      <c r="E100" s="538"/>
      <c r="F100" s="536"/>
      <c r="G100" s="536"/>
      <c r="H100" s="536"/>
      <c r="I100" s="536"/>
      <c r="J100" s="536"/>
      <c r="K100" s="536"/>
      <c r="L100" s="536"/>
      <c r="M100" s="536"/>
      <c r="N100" s="536"/>
      <c r="O100" s="536"/>
      <c r="P100" s="536"/>
      <c r="Q100" s="536"/>
      <c r="R100" s="536"/>
      <c r="S100" s="536"/>
      <c r="T100" s="536"/>
      <c r="U100" s="536"/>
      <c r="V100" s="536"/>
      <c r="W100" s="536"/>
      <c r="X100" s="536"/>
      <c r="Y100" s="536"/>
      <c r="Z100" s="536"/>
      <c r="AA100" s="536"/>
      <c r="AB100" s="536"/>
      <c r="AC100" s="536"/>
      <c r="AD100" s="536"/>
      <c r="AE100" s="536"/>
      <c r="AF100" s="536"/>
      <c r="AG100" s="536"/>
      <c r="AH100" s="536"/>
      <c r="AI100" s="536"/>
    </row>
    <row r="101" ht="14.25" customHeight="1">
      <c r="A101" s="536"/>
      <c r="B101" s="536"/>
      <c r="C101" s="536"/>
      <c r="D101" s="537"/>
      <c r="E101" s="538"/>
      <c r="F101" s="536"/>
      <c r="G101" s="536"/>
      <c r="H101" s="536"/>
      <c r="I101" s="536"/>
      <c r="J101" s="536"/>
      <c r="K101" s="536"/>
      <c r="L101" s="536"/>
      <c r="M101" s="536"/>
      <c r="N101" s="536"/>
      <c r="O101" s="536"/>
      <c r="P101" s="536"/>
      <c r="Q101" s="536"/>
      <c r="R101" s="536"/>
      <c r="S101" s="536"/>
      <c r="T101" s="536"/>
      <c r="U101" s="536"/>
      <c r="V101" s="536"/>
      <c r="W101" s="536"/>
      <c r="X101" s="536"/>
      <c r="Y101" s="536"/>
      <c r="Z101" s="536"/>
      <c r="AA101" s="536"/>
      <c r="AB101" s="536"/>
      <c r="AC101" s="536"/>
      <c r="AD101" s="536"/>
      <c r="AE101" s="536"/>
      <c r="AF101" s="536"/>
      <c r="AG101" s="536"/>
      <c r="AH101" s="536"/>
      <c r="AI101" s="536"/>
    </row>
    <row r="102" ht="14.25" customHeight="1">
      <c r="A102" s="536"/>
      <c r="B102" s="536"/>
      <c r="C102" s="536"/>
      <c r="D102" s="537"/>
      <c r="E102" s="538"/>
      <c r="F102" s="536"/>
      <c r="G102" s="536"/>
      <c r="H102" s="536"/>
      <c r="I102" s="536"/>
      <c r="J102" s="536"/>
      <c r="K102" s="536"/>
      <c r="L102" s="536"/>
      <c r="M102" s="536"/>
      <c r="N102" s="536"/>
      <c r="O102" s="536"/>
      <c r="P102" s="536"/>
      <c r="Q102" s="536"/>
      <c r="R102" s="536"/>
      <c r="S102" s="536"/>
      <c r="T102" s="536"/>
      <c r="U102" s="536"/>
      <c r="V102" s="536"/>
      <c r="W102" s="536"/>
      <c r="X102" s="536"/>
      <c r="Y102" s="536"/>
      <c r="Z102" s="536"/>
      <c r="AA102" s="536"/>
      <c r="AB102" s="536"/>
      <c r="AC102" s="536"/>
      <c r="AD102" s="536"/>
      <c r="AE102" s="536"/>
      <c r="AF102" s="536"/>
      <c r="AG102" s="536"/>
      <c r="AH102" s="536"/>
      <c r="AI102" s="536"/>
    </row>
    <row r="103" ht="14.25" customHeight="1">
      <c r="A103" s="536"/>
      <c r="B103" s="536"/>
      <c r="C103" s="536"/>
      <c r="D103" s="537"/>
      <c r="E103" s="538"/>
      <c r="F103" s="536"/>
      <c r="G103" s="536"/>
      <c r="H103" s="536"/>
      <c r="I103" s="536"/>
      <c r="J103" s="536"/>
      <c r="K103" s="536"/>
      <c r="L103" s="536"/>
      <c r="M103" s="536"/>
      <c r="N103" s="536"/>
      <c r="O103" s="536"/>
      <c r="P103" s="536"/>
      <c r="Q103" s="536"/>
      <c r="R103" s="536"/>
      <c r="S103" s="536"/>
      <c r="T103" s="536"/>
      <c r="U103" s="536"/>
      <c r="V103" s="536"/>
      <c r="W103" s="536"/>
      <c r="X103" s="536"/>
      <c r="Y103" s="536"/>
      <c r="Z103" s="536"/>
      <c r="AA103" s="536"/>
      <c r="AB103" s="536"/>
      <c r="AC103" s="536"/>
      <c r="AD103" s="536"/>
      <c r="AE103" s="536"/>
      <c r="AF103" s="536"/>
      <c r="AG103" s="536"/>
      <c r="AH103" s="536"/>
      <c r="AI103" s="536"/>
    </row>
    <row r="104" ht="14.25" customHeight="1">
      <c r="A104" s="536"/>
      <c r="B104" s="536"/>
      <c r="C104" s="536"/>
      <c r="D104" s="537"/>
      <c r="E104" s="538"/>
      <c r="F104" s="536"/>
      <c r="G104" s="536"/>
      <c r="H104" s="536"/>
      <c r="I104" s="536"/>
      <c r="J104" s="536"/>
      <c r="K104" s="536"/>
      <c r="L104" s="536"/>
      <c r="M104" s="536"/>
      <c r="N104" s="536"/>
      <c r="O104" s="536"/>
      <c r="P104" s="536"/>
      <c r="Q104" s="536"/>
      <c r="R104" s="536"/>
      <c r="S104" s="536"/>
      <c r="T104" s="536"/>
      <c r="U104" s="536"/>
      <c r="V104" s="536"/>
      <c r="W104" s="536"/>
      <c r="X104" s="536"/>
      <c r="Y104" s="536"/>
      <c r="Z104" s="536"/>
      <c r="AA104" s="536"/>
      <c r="AB104" s="536"/>
      <c r="AC104" s="536"/>
      <c r="AD104" s="536"/>
      <c r="AE104" s="536"/>
      <c r="AF104" s="536"/>
      <c r="AG104" s="536"/>
      <c r="AH104" s="536"/>
      <c r="AI104" s="536"/>
    </row>
    <row r="105" ht="14.25" customHeight="1">
      <c r="A105" s="536"/>
      <c r="B105" s="536"/>
      <c r="C105" s="536"/>
      <c r="D105" s="537"/>
      <c r="E105" s="538"/>
      <c r="F105" s="536"/>
      <c r="G105" s="536"/>
      <c r="H105" s="536"/>
      <c r="I105" s="536"/>
      <c r="J105" s="536"/>
      <c r="K105" s="536"/>
      <c r="L105" s="536"/>
      <c r="M105" s="536"/>
      <c r="N105" s="536"/>
      <c r="O105" s="536"/>
      <c r="P105" s="536"/>
      <c r="Q105" s="536"/>
      <c r="R105" s="536"/>
      <c r="S105" s="536"/>
      <c r="T105" s="536"/>
      <c r="U105" s="536"/>
      <c r="V105" s="536"/>
      <c r="W105" s="536"/>
      <c r="X105" s="536"/>
      <c r="Y105" s="536"/>
      <c r="Z105" s="536"/>
      <c r="AA105" s="536"/>
      <c r="AB105" s="536"/>
      <c r="AC105" s="536"/>
      <c r="AD105" s="536"/>
      <c r="AE105" s="536"/>
      <c r="AF105" s="536"/>
      <c r="AG105" s="536"/>
      <c r="AH105" s="536"/>
      <c r="AI105" s="536"/>
    </row>
    <row r="106" ht="14.25" customHeight="1">
      <c r="A106" s="536"/>
      <c r="B106" s="536"/>
      <c r="C106" s="536"/>
      <c r="D106" s="537"/>
      <c r="E106" s="538"/>
      <c r="F106" s="536"/>
      <c r="G106" s="536"/>
      <c r="H106" s="536"/>
      <c r="I106" s="536"/>
      <c r="J106" s="536"/>
      <c r="K106" s="536"/>
      <c r="L106" s="536"/>
      <c r="M106" s="536"/>
      <c r="N106" s="536"/>
      <c r="O106" s="536"/>
      <c r="P106" s="536"/>
      <c r="Q106" s="536"/>
      <c r="R106" s="536"/>
      <c r="S106" s="536"/>
      <c r="T106" s="536"/>
      <c r="U106" s="536"/>
      <c r="V106" s="536"/>
      <c r="W106" s="536"/>
      <c r="X106" s="536"/>
      <c r="Y106" s="536"/>
      <c r="Z106" s="536"/>
      <c r="AA106" s="536"/>
      <c r="AB106" s="536"/>
      <c r="AC106" s="536"/>
      <c r="AD106" s="536"/>
      <c r="AE106" s="536"/>
      <c r="AF106" s="536"/>
      <c r="AG106" s="536"/>
      <c r="AH106" s="536"/>
      <c r="AI106" s="536"/>
    </row>
    <row r="107" ht="14.25" customHeight="1">
      <c r="A107" s="536"/>
      <c r="B107" s="536"/>
      <c r="C107" s="536"/>
      <c r="D107" s="537"/>
      <c r="E107" s="538"/>
      <c r="F107" s="536"/>
      <c r="G107" s="536"/>
      <c r="H107" s="536"/>
      <c r="I107" s="536"/>
      <c r="J107" s="536"/>
      <c r="K107" s="536"/>
      <c r="L107" s="536"/>
      <c r="M107" s="536"/>
      <c r="N107" s="536"/>
      <c r="O107" s="536"/>
      <c r="P107" s="536"/>
      <c r="Q107" s="536"/>
      <c r="R107" s="536"/>
      <c r="S107" s="536"/>
      <c r="T107" s="536"/>
      <c r="U107" s="536"/>
      <c r="V107" s="536"/>
      <c r="W107" s="536"/>
      <c r="X107" s="536"/>
      <c r="Y107" s="536"/>
      <c r="Z107" s="536"/>
      <c r="AA107" s="536"/>
      <c r="AB107" s="536"/>
      <c r="AC107" s="536"/>
      <c r="AD107" s="536"/>
      <c r="AE107" s="536"/>
      <c r="AF107" s="536"/>
      <c r="AG107" s="536"/>
      <c r="AH107" s="536"/>
      <c r="AI107" s="536"/>
    </row>
    <row r="108" ht="14.25" customHeight="1">
      <c r="A108" s="536"/>
      <c r="B108" s="536"/>
      <c r="C108" s="536"/>
      <c r="D108" s="537"/>
      <c r="E108" s="538"/>
      <c r="F108" s="536"/>
      <c r="G108" s="536"/>
      <c r="H108" s="536"/>
      <c r="I108" s="536"/>
      <c r="J108" s="536"/>
      <c r="K108" s="536"/>
      <c r="L108" s="536"/>
      <c r="M108" s="536"/>
      <c r="N108" s="536"/>
      <c r="O108" s="536"/>
      <c r="P108" s="536"/>
      <c r="Q108" s="536"/>
      <c r="R108" s="536"/>
      <c r="S108" s="536"/>
      <c r="T108" s="536"/>
      <c r="U108" s="536"/>
      <c r="V108" s="536"/>
      <c r="W108" s="536"/>
      <c r="X108" s="536"/>
      <c r="Y108" s="536"/>
      <c r="Z108" s="536"/>
      <c r="AA108" s="536"/>
      <c r="AB108" s="536"/>
      <c r="AC108" s="536"/>
      <c r="AD108" s="536"/>
      <c r="AE108" s="536"/>
      <c r="AF108" s="536"/>
      <c r="AG108" s="536"/>
      <c r="AH108" s="536"/>
      <c r="AI108" s="536"/>
    </row>
    <row r="109" ht="14.25" customHeight="1">
      <c r="A109" s="536"/>
      <c r="B109" s="536"/>
      <c r="C109" s="536"/>
      <c r="D109" s="537"/>
      <c r="E109" s="538"/>
      <c r="F109" s="536"/>
      <c r="G109" s="536"/>
      <c r="H109" s="536"/>
      <c r="I109" s="536"/>
      <c r="J109" s="536"/>
      <c r="K109" s="536"/>
      <c r="L109" s="536"/>
      <c r="M109" s="536"/>
      <c r="N109" s="536"/>
      <c r="O109" s="536"/>
      <c r="P109" s="536"/>
      <c r="Q109" s="536"/>
      <c r="R109" s="536"/>
      <c r="S109" s="536"/>
      <c r="T109" s="536"/>
      <c r="U109" s="536"/>
      <c r="V109" s="536"/>
      <c r="W109" s="536"/>
      <c r="X109" s="536"/>
      <c r="Y109" s="536"/>
      <c r="Z109" s="536"/>
      <c r="AA109" s="536"/>
      <c r="AB109" s="536"/>
      <c r="AC109" s="536"/>
      <c r="AD109" s="536"/>
      <c r="AE109" s="536"/>
      <c r="AF109" s="536"/>
      <c r="AG109" s="536"/>
      <c r="AH109" s="536"/>
      <c r="AI109" s="536"/>
    </row>
    <row r="110" ht="14.25" customHeight="1">
      <c r="A110" s="536"/>
      <c r="B110" s="536"/>
      <c r="C110" s="536"/>
      <c r="D110" s="537"/>
      <c r="E110" s="538"/>
      <c r="F110" s="536"/>
      <c r="G110" s="536"/>
      <c r="H110" s="536"/>
      <c r="I110" s="536"/>
      <c r="J110" s="536"/>
      <c r="K110" s="536"/>
      <c r="L110" s="536"/>
      <c r="M110" s="536"/>
      <c r="N110" s="536"/>
      <c r="O110" s="536"/>
      <c r="P110" s="536"/>
      <c r="Q110" s="536"/>
      <c r="R110" s="536"/>
      <c r="S110" s="536"/>
      <c r="T110" s="536"/>
      <c r="U110" s="536"/>
      <c r="V110" s="536"/>
      <c r="W110" s="536"/>
      <c r="X110" s="536"/>
      <c r="Y110" s="536"/>
      <c r="Z110" s="536"/>
      <c r="AA110" s="536"/>
      <c r="AB110" s="536"/>
      <c r="AC110" s="536"/>
      <c r="AD110" s="536"/>
      <c r="AE110" s="536"/>
      <c r="AF110" s="536"/>
      <c r="AG110" s="536"/>
      <c r="AH110" s="536"/>
      <c r="AI110" s="536"/>
    </row>
    <row r="111" ht="14.25" customHeight="1">
      <c r="A111" s="536"/>
      <c r="B111" s="536"/>
      <c r="C111" s="536"/>
      <c r="D111" s="537"/>
      <c r="E111" s="538"/>
      <c r="F111" s="536"/>
      <c r="G111" s="536"/>
      <c r="H111" s="536"/>
      <c r="I111" s="536"/>
      <c r="J111" s="536"/>
      <c r="K111" s="536"/>
      <c r="L111" s="536"/>
      <c r="M111" s="536"/>
      <c r="N111" s="536"/>
      <c r="O111" s="536"/>
      <c r="P111" s="536"/>
      <c r="Q111" s="536"/>
      <c r="R111" s="536"/>
      <c r="S111" s="536"/>
      <c r="T111" s="536"/>
      <c r="U111" s="536"/>
      <c r="V111" s="536"/>
      <c r="W111" s="536"/>
      <c r="X111" s="536"/>
      <c r="Y111" s="536"/>
      <c r="Z111" s="536"/>
      <c r="AA111" s="536"/>
      <c r="AB111" s="536"/>
      <c r="AC111" s="536"/>
      <c r="AD111" s="536"/>
      <c r="AE111" s="536"/>
      <c r="AF111" s="536"/>
      <c r="AG111" s="536"/>
      <c r="AH111" s="536"/>
      <c r="AI111" s="536"/>
    </row>
    <row r="112" ht="14.25" customHeight="1">
      <c r="A112" s="536"/>
      <c r="B112" s="536"/>
      <c r="C112" s="536"/>
      <c r="D112" s="537"/>
      <c r="E112" s="538"/>
      <c r="F112" s="536"/>
      <c r="G112" s="536"/>
      <c r="H112" s="536"/>
      <c r="I112" s="536"/>
      <c r="J112" s="536"/>
      <c r="K112" s="536"/>
      <c r="L112" s="536"/>
      <c r="M112" s="536"/>
      <c r="N112" s="536"/>
      <c r="O112" s="536"/>
      <c r="P112" s="536"/>
      <c r="Q112" s="536"/>
      <c r="R112" s="536"/>
      <c r="S112" s="536"/>
      <c r="T112" s="536"/>
      <c r="U112" s="536"/>
      <c r="V112" s="536"/>
      <c r="W112" s="536"/>
      <c r="X112" s="536"/>
      <c r="Y112" s="536"/>
      <c r="Z112" s="536"/>
      <c r="AA112" s="536"/>
      <c r="AB112" s="536"/>
      <c r="AC112" s="536"/>
      <c r="AD112" s="536"/>
      <c r="AE112" s="536"/>
      <c r="AF112" s="536"/>
      <c r="AG112" s="536"/>
      <c r="AH112" s="536"/>
      <c r="AI112" s="536"/>
    </row>
    <row r="113" ht="14.25" customHeight="1">
      <c r="A113" s="536"/>
      <c r="B113" s="536"/>
      <c r="C113" s="536"/>
      <c r="D113" s="537"/>
      <c r="E113" s="538"/>
      <c r="F113" s="536"/>
      <c r="G113" s="536"/>
      <c r="H113" s="536"/>
      <c r="I113" s="536"/>
      <c r="J113" s="536"/>
      <c r="K113" s="536"/>
      <c r="L113" s="536"/>
      <c r="M113" s="536"/>
      <c r="N113" s="536"/>
      <c r="O113" s="536"/>
      <c r="P113" s="536"/>
      <c r="Q113" s="536"/>
      <c r="R113" s="536"/>
      <c r="S113" s="536"/>
      <c r="T113" s="536"/>
      <c r="U113" s="536"/>
      <c r="V113" s="536"/>
      <c r="W113" s="536"/>
      <c r="X113" s="536"/>
      <c r="Y113" s="536"/>
      <c r="Z113" s="536"/>
      <c r="AA113" s="536"/>
      <c r="AB113" s="536"/>
      <c r="AC113" s="536"/>
      <c r="AD113" s="536"/>
      <c r="AE113" s="536"/>
      <c r="AF113" s="536"/>
      <c r="AG113" s="536"/>
      <c r="AH113" s="536"/>
      <c r="AI113" s="536"/>
    </row>
    <row r="114" ht="14.25" customHeight="1">
      <c r="A114" s="536"/>
      <c r="B114" s="536"/>
      <c r="C114" s="536"/>
      <c r="D114" s="537"/>
      <c r="E114" s="538"/>
      <c r="F114" s="536"/>
      <c r="G114" s="536"/>
      <c r="H114" s="536"/>
      <c r="I114" s="536"/>
      <c r="J114" s="536"/>
      <c r="K114" s="536"/>
      <c r="L114" s="536"/>
      <c r="M114" s="536"/>
      <c r="N114" s="536"/>
      <c r="O114" s="536"/>
      <c r="P114" s="536"/>
      <c r="Q114" s="536"/>
      <c r="R114" s="536"/>
      <c r="S114" s="536"/>
      <c r="T114" s="536"/>
      <c r="U114" s="536"/>
      <c r="V114" s="536"/>
      <c r="W114" s="536"/>
      <c r="X114" s="536"/>
      <c r="Y114" s="536"/>
      <c r="Z114" s="536"/>
      <c r="AA114" s="536"/>
      <c r="AB114" s="536"/>
      <c r="AC114" s="536"/>
      <c r="AD114" s="536"/>
      <c r="AE114" s="536"/>
      <c r="AF114" s="536"/>
      <c r="AG114" s="536"/>
      <c r="AH114" s="536"/>
      <c r="AI114" s="536"/>
    </row>
    <row r="115" ht="14.25" customHeight="1">
      <c r="A115" s="536"/>
      <c r="B115" s="536"/>
      <c r="C115" s="536"/>
      <c r="D115" s="537"/>
      <c r="E115" s="538"/>
      <c r="F115" s="536"/>
      <c r="G115" s="536"/>
      <c r="H115" s="536"/>
      <c r="I115" s="536"/>
      <c r="J115" s="536"/>
      <c r="K115" s="536"/>
      <c r="L115" s="536"/>
      <c r="M115" s="536"/>
      <c r="N115" s="536"/>
      <c r="O115" s="536"/>
      <c r="P115" s="536"/>
      <c r="Q115" s="536"/>
      <c r="R115" s="536"/>
      <c r="S115" s="536"/>
      <c r="T115" s="536"/>
      <c r="U115" s="536"/>
      <c r="V115" s="536"/>
      <c r="W115" s="536"/>
      <c r="X115" s="536"/>
      <c r="Y115" s="536"/>
      <c r="Z115" s="536"/>
      <c r="AA115" s="536"/>
      <c r="AB115" s="536"/>
      <c r="AC115" s="536"/>
      <c r="AD115" s="536"/>
      <c r="AE115" s="536"/>
      <c r="AF115" s="536"/>
      <c r="AG115" s="536"/>
      <c r="AH115" s="536"/>
      <c r="AI115" s="536"/>
    </row>
    <row r="116" ht="14.25" customHeight="1">
      <c r="A116" s="536"/>
      <c r="B116" s="536"/>
      <c r="C116" s="536"/>
      <c r="D116" s="537"/>
      <c r="E116" s="538"/>
      <c r="F116" s="536"/>
      <c r="G116" s="536"/>
      <c r="H116" s="536"/>
      <c r="I116" s="536"/>
      <c r="J116" s="536"/>
      <c r="K116" s="536"/>
      <c r="L116" s="536"/>
      <c r="M116" s="536"/>
      <c r="N116" s="536"/>
      <c r="O116" s="536"/>
      <c r="P116" s="536"/>
      <c r="Q116" s="536"/>
      <c r="R116" s="536"/>
      <c r="S116" s="536"/>
      <c r="T116" s="536"/>
      <c r="U116" s="536"/>
      <c r="V116" s="536"/>
      <c r="W116" s="536"/>
      <c r="X116" s="536"/>
      <c r="Y116" s="536"/>
      <c r="Z116" s="536"/>
      <c r="AA116" s="536"/>
      <c r="AB116" s="536"/>
      <c r="AC116" s="536"/>
      <c r="AD116" s="536"/>
      <c r="AE116" s="536"/>
      <c r="AF116" s="536"/>
      <c r="AG116" s="536"/>
      <c r="AH116" s="536"/>
      <c r="AI116" s="536"/>
    </row>
    <row r="117" ht="14.25" customHeight="1">
      <c r="A117" s="536"/>
      <c r="B117" s="536"/>
      <c r="C117" s="536"/>
      <c r="D117" s="537"/>
      <c r="E117" s="538"/>
      <c r="F117" s="536"/>
      <c r="G117" s="536"/>
      <c r="H117" s="536"/>
      <c r="I117" s="536"/>
      <c r="J117" s="536"/>
      <c r="K117" s="536"/>
      <c r="L117" s="536"/>
      <c r="M117" s="536"/>
      <c r="N117" s="536"/>
      <c r="O117" s="536"/>
      <c r="P117" s="536"/>
      <c r="Q117" s="536"/>
      <c r="R117" s="536"/>
      <c r="S117" s="536"/>
      <c r="T117" s="536"/>
      <c r="U117" s="536"/>
      <c r="V117" s="536"/>
      <c r="W117" s="536"/>
      <c r="X117" s="536"/>
      <c r="Y117" s="536"/>
      <c r="Z117" s="536"/>
      <c r="AA117" s="536"/>
      <c r="AB117" s="536"/>
      <c r="AC117" s="536"/>
      <c r="AD117" s="536"/>
      <c r="AE117" s="536"/>
      <c r="AF117" s="536"/>
      <c r="AG117" s="536"/>
      <c r="AH117" s="536"/>
      <c r="AI117" s="536"/>
    </row>
    <row r="118" ht="14.25" customHeight="1">
      <c r="A118" s="536"/>
      <c r="B118" s="536"/>
      <c r="C118" s="536"/>
      <c r="D118" s="537"/>
      <c r="E118" s="538"/>
      <c r="F118" s="536"/>
      <c r="G118" s="536"/>
      <c r="H118" s="536"/>
      <c r="I118" s="536"/>
      <c r="J118" s="536"/>
      <c r="K118" s="536"/>
      <c r="L118" s="536"/>
      <c r="M118" s="536"/>
      <c r="N118" s="536"/>
      <c r="O118" s="536"/>
      <c r="P118" s="536"/>
      <c r="Q118" s="536"/>
      <c r="R118" s="536"/>
      <c r="S118" s="536"/>
      <c r="T118" s="536"/>
      <c r="U118" s="536"/>
      <c r="V118" s="536"/>
      <c r="W118" s="536"/>
      <c r="X118" s="536"/>
      <c r="Y118" s="536"/>
      <c r="Z118" s="536"/>
      <c r="AA118" s="536"/>
      <c r="AB118" s="536"/>
      <c r="AC118" s="536"/>
      <c r="AD118" s="536"/>
      <c r="AE118" s="536"/>
      <c r="AF118" s="536"/>
      <c r="AG118" s="536"/>
      <c r="AH118" s="536"/>
      <c r="AI118" s="536"/>
    </row>
    <row r="119" ht="14.25" customHeight="1">
      <c r="A119" s="536"/>
      <c r="B119" s="536"/>
      <c r="C119" s="536"/>
      <c r="D119" s="537"/>
      <c r="E119" s="538"/>
      <c r="F119" s="536"/>
      <c r="G119" s="536"/>
      <c r="H119" s="536"/>
      <c r="I119" s="536"/>
      <c r="J119" s="536"/>
      <c r="K119" s="536"/>
      <c r="L119" s="536"/>
      <c r="M119" s="536"/>
      <c r="N119" s="536"/>
      <c r="O119" s="536"/>
      <c r="P119" s="536"/>
      <c r="Q119" s="536"/>
      <c r="R119" s="536"/>
      <c r="S119" s="536"/>
      <c r="T119" s="536"/>
      <c r="U119" s="536"/>
      <c r="V119" s="536"/>
      <c r="W119" s="536"/>
      <c r="X119" s="536"/>
      <c r="Y119" s="536"/>
      <c r="Z119" s="536"/>
      <c r="AA119" s="536"/>
      <c r="AB119" s="536"/>
      <c r="AC119" s="536"/>
      <c r="AD119" s="536"/>
      <c r="AE119" s="536"/>
      <c r="AF119" s="536"/>
      <c r="AG119" s="536"/>
      <c r="AH119" s="536"/>
      <c r="AI119" s="536"/>
    </row>
    <row r="120" ht="14.25" customHeight="1">
      <c r="A120" s="536"/>
      <c r="B120" s="536"/>
      <c r="C120" s="536"/>
      <c r="D120" s="537"/>
      <c r="E120" s="538"/>
      <c r="F120" s="536"/>
      <c r="G120" s="536"/>
      <c r="H120" s="536"/>
      <c r="I120" s="536"/>
      <c r="J120" s="536"/>
      <c r="K120" s="536"/>
      <c r="L120" s="536"/>
      <c r="M120" s="536"/>
      <c r="N120" s="536"/>
      <c r="O120" s="536"/>
      <c r="P120" s="536"/>
      <c r="Q120" s="536"/>
      <c r="R120" s="536"/>
      <c r="S120" s="536"/>
      <c r="T120" s="536"/>
      <c r="U120" s="536"/>
      <c r="V120" s="536"/>
      <c r="W120" s="536"/>
      <c r="X120" s="536"/>
      <c r="Y120" s="536"/>
      <c r="Z120" s="536"/>
      <c r="AA120" s="536"/>
      <c r="AB120" s="536"/>
      <c r="AC120" s="536"/>
      <c r="AD120" s="536"/>
      <c r="AE120" s="536"/>
      <c r="AF120" s="536"/>
      <c r="AG120" s="536"/>
      <c r="AH120" s="536"/>
      <c r="AI120" s="536"/>
    </row>
    <row r="121" ht="14.25" customHeight="1">
      <c r="A121" s="536"/>
      <c r="B121" s="536"/>
      <c r="C121" s="536"/>
      <c r="D121" s="537"/>
      <c r="E121" s="538"/>
      <c r="F121" s="536"/>
      <c r="G121" s="536"/>
      <c r="H121" s="536"/>
      <c r="I121" s="536"/>
      <c r="J121" s="536"/>
      <c r="K121" s="536"/>
      <c r="L121" s="536"/>
      <c r="M121" s="536"/>
      <c r="N121" s="536"/>
      <c r="O121" s="536"/>
      <c r="P121" s="536"/>
      <c r="Q121" s="536"/>
      <c r="R121" s="536"/>
      <c r="S121" s="536"/>
      <c r="T121" s="536"/>
      <c r="U121" s="536"/>
      <c r="V121" s="536"/>
      <c r="W121" s="536"/>
      <c r="X121" s="536"/>
      <c r="Y121" s="536"/>
      <c r="Z121" s="536"/>
      <c r="AA121" s="536"/>
      <c r="AB121" s="536"/>
      <c r="AC121" s="536"/>
      <c r="AD121" s="536"/>
      <c r="AE121" s="536"/>
      <c r="AF121" s="536"/>
      <c r="AG121" s="536"/>
      <c r="AH121" s="536"/>
      <c r="AI121" s="536"/>
    </row>
    <row r="122" ht="14.25" customHeight="1">
      <c r="A122" s="536"/>
      <c r="B122" s="536"/>
      <c r="C122" s="536"/>
      <c r="D122" s="537"/>
      <c r="E122" s="538"/>
      <c r="F122" s="536"/>
      <c r="G122" s="536"/>
      <c r="H122" s="536"/>
      <c r="I122" s="536"/>
      <c r="J122" s="536"/>
      <c r="K122" s="536"/>
      <c r="L122" s="536"/>
      <c r="M122" s="536"/>
      <c r="N122" s="536"/>
      <c r="O122" s="536"/>
      <c r="P122" s="536"/>
      <c r="Q122" s="536"/>
      <c r="R122" s="536"/>
      <c r="S122" s="536"/>
      <c r="T122" s="536"/>
      <c r="U122" s="536"/>
      <c r="V122" s="536"/>
      <c r="W122" s="536"/>
      <c r="X122" s="536"/>
      <c r="Y122" s="536"/>
      <c r="Z122" s="536"/>
      <c r="AA122" s="536"/>
      <c r="AB122" s="536"/>
      <c r="AC122" s="536"/>
      <c r="AD122" s="536"/>
      <c r="AE122" s="536"/>
      <c r="AF122" s="536"/>
      <c r="AG122" s="536"/>
      <c r="AH122" s="536"/>
      <c r="AI122" s="536"/>
    </row>
    <row r="123" ht="14.25" customHeight="1">
      <c r="A123" s="536"/>
      <c r="B123" s="536"/>
      <c r="C123" s="536"/>
      <c r="D123" s="537"/>
      <c r="E123" s="538"/>
      <c r="F123" s="536"/>
      <c r="G123" s="536"/>
      <c r="H123" s="536"/>
      <c r="I123" s="536"/>
      <c r="J123" s="536"/>
      <c r="K123" s="536"/>
      <c r="L123" s="536"/>
      <c r="M123" s="536"/>
      <c r="N123" s="536"/>
      <c r="O123" s="536"/>
      <c r="P123" s="536"/>
      <c r="Q123" s="536"/>
      <c r="R123" s="536"/>
      <c r="S123" s="536"/>
      <c r="T123" s="536"/>
      <c r="U123" s="536"/>
      <c r="V123" s="536"/>
      <c r="W123" s="536"/>
      <c r="X123" s="536"/>
      <c r="Y123" s="536"/>
      <c r="Z123" s="536"/>
      <c r="AA123" s="536"/>
      <c r="AB123" s="536"/>
      <c r="AC123" s="536"/>
      <c r="AD123" s="536"/>
      <c r="AE123" s="536"/>
      <c r="AF123" s="536"/>
      <c r="AG123" s="536"/>
      <c r="AH123" s="536"/>
      <c r="AI123" s="536"/>
    </row>
    <row r="124" ht="14.25" customHeight="1">
      <c r="A124" s="536"/>
      <c r="B124" s="536"/>
      <c r="C124" s="536"/>
      <c r="D124" s="537"/>
      <c r="E124" s="538"/>
      <c r="F124" s="536"/>
      <c r="G124" s="536"/>
      <c r="H124" s="536"/>
      <c r="I124" s="536"/>
      <c r="J124" s="536"/>
      <c r="K124" s="536"/>
      <c r="L124" s="536"/>
      <c r="M124" s="536"/>
      <c r="N124" s="536"/>
      <c r="O124" s="536"/>
      <c r="P124" s="536"/>
      <c r="Q124" s="536"/>
      <c r="R124" s="536"/>
      <c r="S124" s="536"/>
      <c r="T124" s="536"/>
      <c r="U124" s="536"/>
      <c r="V124" s="536"/>
      <c r="W124" s="536"/>
      <c r="X124" s="536"/>
      <c r="Y124" s="536"/>
      <c r="Z124" s="536"/>
      <c r="AA124" s="536"/>
      <c r="AB124" s="536"/>
      <c r="AC124" s="536"/>
      <c r="AD124" s="536"/>
      <c r="AE124" s="536"/>
      <c r="AF124" s="536"/>
      <c r="AG124" s="536"/>
      <c r="AH124" s="536"/>
      <c r="AI124" s="536"/>
    </row>
    <row r="125" ht="14.25" customHeight="1">
      <c r="A125" s="536"/>
      <c r="B125" s="536"/>
      <c r="C125" s="536"/>
      <c r="D125" s="537"/>
      <c r="E125" s="538"/>
      <c r="F125" s="536"/>
      <c r="G125" s="536"/>
      <c r="H125" s="536"/>
      <c r="I125" s="536"/>
      <c r="J125" s="536"/>
      <c r="K125" s="536"/>
      <c r="L125" s="536"/>
      <c r="M125" s="536"/>
      <c r="N125" s="536"/>
      <c r="O125" s="536"/>
      <c r="P125" s="536"/>
      <c r="Q125" s="536"/>
      <c r="R125" s="536"/>
      <c r="S125" s="536"/>
      <c r="T125" s="536"/>
      <c r="U125" s="536"/>
      <c r="V125" s="536"/>
      <c r="W125" s="536"/>
      <c r="X125" s="536"/>
      <c r="Y125" s="536"/>
      <c r="Z125" s="536"/>
      <c r="AA125" s="536"/>
      <c r="AB125" s="536"/>
      <c r="AC125" s="536"/>
      <c r="AD125" s="536"/>
      <c r="AE125" s="536"/>
      <c r="AF125" s="536"/>
      <c r="AG125" s="536"/>
      <c r="AH125" s="536"/>
      <c r="AI125" s="536"/>
    </row>
    <row r="126" ht="14.25" customHeight="1">
      <c r="A126" s="536"/>
      <c r="B126" s="536"/>
      <c r="C126" s="536"/>
      <c r="D126" s="537"/>
      <c r="E126" s="538"/>
      <c r="F126" s="536"/>
      <c r="G126" s="536"/>
      <c r="H126" s="536"/>
      <c r="I126" s="536"/>
      <c r="J126" s="536"/>
      <c r="K126" s="536"/>
      <c r="L126" s="536"/>
      <c r="M126" s="536"/>
      <c r="N126" s="536"/>
      <c r="O126" s="536"/>
      <c r="P126" s="536"/>
      <c r="Q126" s="536"/>
      <c r="R126" s="536"/>
      <c r="S126" s="536"/>
      <c r="T126" s="536"/>
      <c r="U126" s="536"/>
      <c r="V126" s="536"/>
      <c r="W126" s="536"/>
      <c r="X126" s="536"/>
      <c r="Y126" s="536"/>
      <c r="Z126" s="536"/>
      <c r="AA126" s="536"/>
      <c r="AB126" s="536"/>
      <c r="AC126" s="536"/>
      <c r="AD126" s="536"/>
      <c r="AE126" s="536"/>
      <c r="AF126" s="536"/>
      <c r="AG126" s="536"/>
      <c r="AH126" s="536"/>
      <c r="AI126" s="536"/>
    </row>
    <row r="127" ht="14.25" customHeight="1">
      <c r="A127" s="536"/>
      <c r="B127" s="536"/>
      <c r="C127" s="536"/>
      <c r="D127" s="537"/>
      <c r="E127" s="538"/>
      <c r="F127" s="536"/>
      <c r="G127" s="536"/>
      <c r="H127" s="536"/>
      <c r="I127" s="536"/>
      <c r="J127" s="536"/>
      <c r="K127" s="536"/>
      <c r="L127" s="536"/>
      <c r="M127" s="536"/>
      <c r="N127" s="536"/>
      <c r="O127" s="536"/>
      <c r="P127" s="536"/>
      <c r="Q127" s="536"/>
      <c r="R127" s="536"/>
      <c r="S127" s="536"/>
      <c r="T127" s="536"/>
      <c r="U127" s="536"/>
      <c r="V127" s="536"/>
      <c r="W127" s="536"/>
      <c r="X127" s="536"/>
      <c r="Y127" s="536"/>
      <c r="Z127" s="536"/>
      <c r="AA127" s="536"/>
      <c r="AB127" s="536"/>
      <c r="AC127" s="536"/>
      <c r="AD127" s="536"/>
      <c r="AE127" s="536"/>
      <c r="AF127" s="536"/>
      <c r="AG127" s="536"/>
      <c r="AH127" s="536"/>
      <c r="AI127" s="536"/>
    </row>
    <row r="128" ht="14.25" customHeight="1">
      <c r="A128" s="536"/>
      <c r="B128" s="536"/>
      <c r="C128" s="536"/>
      <c r="D128" s="537"/>
      <c r="E128" s="538"/>
      <c r="F128" s="536"/>
      <c r="G128" s="536"/>
      <c r="H128" s="536"/>
      <c r="I128" s="536"/>
      <c r="J128" s="536"/>
      <c r="K128" s="536"/>
      <c r="L128" s="536"/>
      <c r="M128" s="536"/>
      <c r="N128" s="536"/>
      <c r="O128" s="536"/>
      <c r="P128" s="536"/>
      <c r="Q128" s="536"/>
      <c r="R128" s="536"/>
      <c r="S128" s="536"/>
      <c r="T128" s="536"/>
      <c r="U128" s="536"/>
      <c r="V128" s="536"/>
      <c r="W128" s="536"/>
      <c r="X128" s="536"/>
      <c r="Y128" s="536"/>
      <c r="Z128" s="536"/>
      <c r="AA128" s="536"/>
      <c r="AB128" s="536"/>
      <c r="AC128" s="536"/>
      <c r="AD128" s="536"/>
      <c r="AE128" s="536"/>
      <c r="AF128" s="536"/>
      <c r="AG128" s="536"/>
      <c r="AH128" s="536"/>
      <c r="AI128" s="536"/>
    </row>
    <row r="129" ht="14.25" customHeight="1">
      <c r="A129" s="536"/>
      <c r="B129" s="536"/>
      <c r="C129" s="536"/>
      <c r="D129" s="537"/>
      <c r="E129" s="538"/>
      <c r="F129" s="536"/>
      <c r="G129" s="536"/>
      <c r="H129" s="536"/>
      <c r="I129" s="536"/>
      <c r="J129" s="536"/>
      <c r="K129" s="536"/>
      <c r="L129" s="536"/>
      <c r="M129" s="536"/>
      <c r="N129" s="536"/>
      <c r="O129" s="536"/>
      <c r="P129" s="536"/>
      <c r="Q129" s="536"/>
      <c r="R129" s="536"/>
      <c r="S129" s="536"/>
      <c r="T129" s="536"/>
      <c r="U129" s="536"/>
      <c r="V129" s="536"/>
      <c r="W129" s="536"/>
      <c r="X129" s="536"/>
      <c r="Y129" s="536"/>
      <c r="Z129" s="536"/>
      <c r="AA129" s="536"/>
      <c r="AB129" s="536"/>
      <c r="AC129" s="536"/>
      <c r="AD129" s="536"/>
      <c r="AE129" s="536"/>
      <c r="AF129" s="536"/>
      <c r="AG129" s="536"/>
      <c r="AH129" s="536"/>
      <c r="AI129" s="536"/>
    </row>
    <row r="130" ht="14.25" customHeight="1">
      <c r="A130" s="536"/>
      <c r="B130" s="536"/>
      <c r="C130" s="536"/>
      <c r="D130" s="537"/>
      <c r="E130" s="538"/>
      <c r="F130" s="536"/>
      <c r="G130" s="536"/>
      <c r="H130" s="536"/>
      <c r="I130" s="536"/>
      <c r="J130" s="536"/>
      <c r="K130" s="536"/>
      <c r="L130" s="536"/>
      <c r="M130" s="536"/>
      <c r="N130" s="536"/>
      <c r="O130" s="536"/>
      <c r="P130" s="536"/>
      <c r="Q130" s="536"/>
      <c r="R130" s="536"/>
      <c r="S130" s="536"/>
      <c r="T130" s="536"/>
      <c r="U130" s="536"/>
      <c r="V130" s="536"/>
      <c r="W130" s="536"/>
      <c r="X130" s="536"/>
      <c r="Y130" s="536"/>
      <c r="Z130" s="536"/>
      <c r="AA130" s="536"/>
      <c r="AB130" s="536"/>
      <c r="AC130" s="536"/>
      <c r="AD130" s="536"/>
      <c r="AE130" s="536"/>
      <c r="AF130" s="536"/>
      <c r="AG130" s="536"/>
      <c r="AH130" s="536"/>
      <c r="AI130" s="536"/>
    </row>
    <row r="131" ht="14.25" customHeight="1">
      <c r="A131" s="536"/>
      <c r="B131" s="536"/>
      <c r="C131" s="536"/>
      <c r="D131" s="537"/>
      <c r="E131" s="538"/>
      <c r="F131" s="536"/>
      <c r="G131" s="536"/>
      <c r="H131" s="536"/>
      <c r="I131" s="536"/>
      <c r="J131" s="536"/>
      <c r="K131" s="536"/>
      <c r="L131" s="536"/>
      <c r="M131" s="536"/>
      <c r="N131" s="536"/>
      <c r="O131" s="536"/>
      <c r="P131" s="536"/>
      <c r="Q131" s="536"/>
      <c r="R131" s="536"/>
      <c r="S131" s="536"/>
      <c r="T131" s="536"/>
      <c r="U131" s="536"/>
      <c r="V131" s="536"/>
      <c r="W131" s="536"/>
      <c r="X131" s="536"/>
      <c r="Y131" s="536"/>
      <c r="Z131" s="536"/>
      <c r="AA131" s="536"/>
      <c r="AB131" s="536"/>
      <c r="AC131" s="536"/>
      <c r="AD131" s="536"/>
      <c r="AE131" s="536"/>
      <c r="AF131" s="536"/>
      <c r="AG131" s="536"/>
      <c r="AH131" s="536"/>
      <c r="AI131" s="536"/>
    </row>
    <row r="132" ht="14.25" customHeight="1">
      <c r="A132" s="536"/>
      <c r="B132" s="536"/>
      <c r="C132" s="536"/>
      <c r="D132" s="537"/>
      <c r="E132" s="538"/>
      <c r="F132" s="536"/>
      <c r="G132" s="536"/>
      <c r="H132" s="536"/>
      <c r="I132" s="536"/>
      <c r="J132" s="536"/>
      <c r="K132" s="536"/>
      <c r="L132" s="536"/>
      <c r="M132" s="536"/>
      <c r="N132" s="536"/>
      <c r="O132" s="536"/>
      <c r="P132" s="536"/>
      <c r="Q132" s="536"/>
      <c r="R132" s="536"/>
      <c r="S132" s="536"/>
      <c r="T132" s="536"/>
      <c r="U132" s="536"/>
      <c r="V132" s="536"/>
      <c r="W132" s="536"/>
      <c r="X132" s="536"/>
      <c r="Y132" s="536"/>
      <c r="Z132" s="536"/>
      <c r="AA132" s="536"/>
      <c r="AB132" s="536"/>
      <c r="AC132" s="536"/>
      <c r="AD132" s="536"/>
      <c r="AE132" s="536"/>
      <c r="AF132" s="536"/>
      <c r="AG132" s="536"/>
      <c r="AH132" s="536"/>
      <c r="AI132" s="536"/>
    </row>
    <row r="133" ht="14.25" customHeight="1">
      <c r="A133" s="536"/>
      <c r="B133" s="536"/>
      <c r="C133" s="536"/>
      <c r="D133" s="537"/>
      <c r="E133" s="538"/>
      <c r="F133" s="536"/>
      <c r="G133" s="536"/>
      <c r="H133" s="536"/>
      <c r="I133" s="536"/>
      <c r="J133" s="536"/>
      <c r="K133" s="536"/>
      <c r="L133" s="536"/>
      <c r="M133" s="536"/>
      <c r="N133" s="536"/>
      <c r="O133" s="536"/>
      <c r="P133" s="536"/>
      <c r="Q133" s="536"/>
      <c r="R133" s="536"/>
      <c r="S133" s="536"/>
      <c r="T133" s="536"/>
      <c r="U133" s="536"/>
      <c r="V133" s="536"/>
      <c r="W133" s="536"/>
      <c r="X133" s="536"/>
      <c r="Y133" s="536"/>
      <c r="Z133" s="536"/>
      <c r="AA133" s="536"/>
      <c r="AB133" s="536"/>
      <c r="AC133" s="536"/>
      <c r="AD133" s="536"/>
      <c r="AE133" s="536"/>
      <c r="AF133" s="536"/>
      <c r="AG133" s="536"/>
      <c r="AH133" s="536"/>
      <c r="AI133" s="536"/>
    </row>
    <row r="134" ht="14.25" customHeight="1">
      <c r="A134" s="536"/>
      <c r="B134" s="536"/>
      <c r="C134" s="536"/>
      <c r="D134" s="537"/>
      <c r="E134" s="538"/>
      <c r="F134" s="536"/>
      <c r="G134" s="536"/>
      <c r="H134" s="536"/>
      <c r="I134" s="536"/>
      <c r="J134" s="536"/>
      <c r="K134" s="536"/>
      <c r="L134" s="536"/>
      <c r="M134" s="536"/>
      <c r="N134" s="536"/>
      <c r="O134" s="536"/>
      <c r="P134" s="536"/>
      <c r="Q134" s="536"/>
      <c r="R134" s="536"/>
      <c r="S134" s="536"/>
      <c r="T134" s="536"/>
      <c r="U134" s="536"/>
      <c r="V134" s="536"/>
      <c r="W134" s="536"/>
      <c r="X134" s="536"/>
      <c r="Y134" s="536"/>
      <c r="Z134" s="536"/>
      <c r="AA134" s="536"/>
      <c r="AB134" s="536"/>
      <c r="AC134" s="536"/>
      <c r="AD134" s="536"/>
      <c r="AE134" s="536"/>
      <c r="AF134" s="536"/>
      <c r="AG134" s="536"/>
      <c r="AH134" s="536"/>
      <c r="AI134" s="536"/>
    </row>
    <row r="135" ht="14.25" customHeight="1">
      <c r="A135" s="536"/>
      <c r="B135" s="536"/>
      <c r="C135" s="536"/>
      <c r="D135" s="537"/>
      <c r="E135" s="538"/>
      <c r="F135" s="536"/>
      <c r="G135" s="536"/>
      <c r="H135" s="536"/>
      <c r="I135" s="536"/>
      <c r="J135" s="536"/>
      <c r="K135" s="536"/>
      <c r="L135" s="536"/>
      <c r="M135" s="536"/>
      <c r="N135" s="536"/>
      <c r="O135" s="536"/>
      <c r="P135" s="536"/>
      <c r="Q135" s="536"/>
      <c r="R135" s="536"/>
      <c r="S135" s="536"/>
      <c r="T135" s="536"/>
      <c r="U135" s="536"/>
      <c r="V135" s="536"/>
      <c r="W135" s="536"/>
      <c r="X135" s="536"/>
      <c r="Y135" s="536"/>
      <c r="Z135" s="536"/>
      <c r="AA135" s="536"/>
      <c r="AB135" s="536"/>
      <c r="AC135" s="536"/>
      <c r="AD135" s="536"/>
      <c r="AE135" s="536"/>
      <c r="AF135" s="536"/>
      <c r="AG135" s="536"/>
      <c r="AH135" s="536"/>
      <c r="AI135" s="536"/>
    </row>
    <row r="136" ht="14.25" customHeight="1">
      <c r="A136" s="536"/>
      <c r="B136" s="536"/>
      <c r="C136" s="536"/>
      <c r="D136" s="537"/>
      <c r="E136" s="538"/>
      <c r="F136" s="536"/>
      <c r="G136" s="536"/>
      <c r="H136" s="536"/>
      <c r="I136" s="536"/>
      <c r="J136" s="536"/>
      <c r="K136" s="536"/>
      <c r="L136" s="536"/>
      <c r="M136" s="536"/>
      <c r="N136" s="536"/>
      <c r="O136" s="536"/>
      <c r="P136" s="536"/>
      <c r="Q136" s="536"/>
      <c r="R136" s="536"/>
      <c r="S136" s="536"/>
      <c r="T136" s="536"/>
      <c r="U136" s="536"/>
      <c r="V136" s="536"/>
      <c r="W136" s="536"/>
      <c r="X136" s="536"/>
      <c r="Y136" s="536"/>
      <c r="Z136" s="536"/>
      <c r="AA136" s="536"/>
      <c r="AB136" s="536"/>
      <c r="AC136" s="536"/>
      <c r="AD136" s="536"/>
      <c r="AE136" s="536"/>
      <c r="AF136" s="536"/>
      <c r="AG136" s="536"/>
      <c r="AH136" s="536"/>
      <c r="AI136" s="536"/>
    </row>
    <row r="137" ht="14.25" customHeight="1">
      <c r="A137" s="536"/>
      <c r="B137" s="536"/>
      <c r="C137" s="536"/>
      <c r="D137" s="537"/>
      <c r="E137" s="538"/>
      <c r="F137" s="536"/>
      <c r="G137" s="536"/>
      <c r="H137" s="536"/>
      <c r="I137" s="536"/>
      <c r="J137" s="536"/>
      <c r="K137" s="536"/>
      <c r="L137" s="536"/>
      <c r="M137" s="536"/>
      <c r="N137" s="536"/>
      <c r="O137" s="536"/>
      <c r="P137" s="536"/>
      <c r="Q137" s="536"/>
      <c r="R137" s="536"/>
      <c r="S137" s="536"/>
      <c r="T137" s="536"/>
      <c r="U137" s="536"/>
      <c r="V137" s="536"/>
      <c r="W137" s="536"/>
      <c r="X137" s="536"/>
      <c r="Y137" s="536"/>
      <c r="Z137" s="536"/>
      <c r="AA137" s="536"/>
      <c r="AB137" s="536"/>
      <c r="AC137" s="536"/>
      <c r="AD137" s="536"/>
      <c r="AE137" s="536"/>
      <c r="AF137" s="536"/>
      <c r="AG137" s="536"/>
      <c r="AH137" s="536"/>
      <c r="AI137" s="536"/>
    </row>
    <row r="138" ht="14.25" customHeight="1">
      <c r="A138" s="536"/>
      <c r="B138" s="536"/>
      <c r="C138" s="536"/>
      <c r="D138" s="537"/>
      <c r="E138" s="538"/>
      <c r="F138" s="536"/>
      <c r="G138" s="536"/>
      <c r="H138" s="536"/>
      <c r="I138" s="536"/>
      <c r="J138" s="536"/>
      <c r="K138" s="536"/>
      <c r="L138" s="536"/>
      <c r="M138" s="536"/>
      <c r="N138" s="536"/>
      <c r="O138" s="536"/>
      <c r="P138" s="536"/>
      <c r="Q138" s="536"/>
      <c r="R138" s="536"/>
      <c r="S138" s="536"/>
      <c r="T138" s="536"/>
      <c r="U138" s="536"/>
      <c r="V138" s="536"/>
      <c r="W138" s="536"/>
      <c r="X138" s="536"/>
      <c r="Y138" s="536"/>
      <c r="Z138" s="536"/>
      <c r="AA138" s="536"/>
      <c r="AB138" s="536"/>
      <c r="AC138" s="536"/>
      <c r="AD138" s="536"/>
      <c r="AE138" s="536"/>
      <c r="AF138" s="536"/>
      <c r="AG138" s="536"/>
      <c r="AH138" s="536"/>
      <c r="AI138" s="536"/>
    </row>
    <row r="139" ht="14.25" customHeight="1">
      <c r="A139" s="536"/>
      <c r="B139" s="536"/>
      <c r="C139" s="536"/>
      <c r="D139" s="537"/>
      <c r="E139" s="538"/>
      <c r="F139" s="536"/>
      <c r="G139" s="536"/>
      <c r="H139" s="536"/>
      <c r="I139" s="536"/>
      <c r="J139" s="536"/>
      <c r="K139" s="536"/>
      <c r="L139" s="536"/>
      <c r="M139" s="536"/>
      <c r="N139" s="536"/>
      <c r="O139" s="536"/>
      <c r="P139" s="536"/>
      <c r="Q139" s="536"/>
      <c r="R139" s="536"/>
      <c r="S139" s="536"/>
      <c r="T139" s="536"/>
      <c r="U139" s="536"/>
      <c r="V139" s="536"/>
      <c r="W139" s="536"/>
      <c r="X139" s="536"/>
      <c r="Y139" s="536"/>
      <c r="Z139" s="536"/>
      <c r="AA139" s="536"/>
      <c r="AB139" s="536"/>
      <c r="AC139" s="536"/>
      <c r="AD139" s="536"/>
      <c r="AE139" s="536"/>
      <c r="AF139" s="536"/>
      <c r="AG139" s="536"/>
      <c r="AH139" s="536"/>
      <c r="AI139" s="536"/>
    </row>
    <row r="140" ht="14.25" customHeight="1">
      <c r="A140" s="536"/>
      <c r="B140" s="536"/>
      <c r="C140" s="536"/>
      <c r="D140" s="537"/>
      <c r="E140" s="538"/>
      <c r="F140" s="536"/>
      <c r="G140" s="536"/>
      <c r="H140" s="536"/>
      <c r="I140" s="536"/>
      <c r="J140" s="536"/>
      <c r="K140" s="536"/>
      <c r="L140" s="536"/>
      <c r="M140" s="536"/>
      <c r="N140" s="536"/>
      <c r="O140" s="536"/>
      <c r="P140" s="536"/>
      <c r="Q140" s="536"/>
      <c r="R140" s="536"/>
      <c r="S140" s="536"/>
      <c r="T140" s="536"/>
      <c r="U140" s="536"/>
      <c r="V140" s="536"/>
      <c r="W140" s="536"/>
      <c r="X140" s="536"/>
      <c r="Y140" s="536"/>
      <c r="Z140" s="536"/>
      <c r="AA140" s="536"/>
      <c r="AB140" s="536"/>
      <c r="AC140" s="536"/>
      <c r="AD140" s="536"/>
      <c r="AE140" s="536"/>
      <c r="AF140" s="536"/>
      <c r="AG140" s="536"/>
      <c r="AH140" s="536"/>
      <c r="AI140" s="536"/>
    </row>
    <row r="141" ht="14.25" customHeight="1">
      <c r="A141" s="536"/>
      <c r="B141" s="536"/>
      <c r="C141" s="536"/>
      <c r="D141" s="537"/>
      <c r="E141" s="538"/>
      <c r="F141" s="536"/>
      <c r="G141" s="536"/>
      <c r="H141" s="536"/>
      <c r="I141" s="536"/>
      <c r="J141" s="536"/>
      <c r="K141" s="536"/>
      <c r="L141" s="536"/>
      <c r="M141" s="536"/>
      <c r="N141" s="536"/>
      <c r="O141" s="536"/>
      <c r="P141" s="536"/>
      <c r="Q141" s="536"/>
      <c r="R141" s="536"/>
      <c r="S141" s="536"/>
      <c r="T141" s="536"/>
      <c r="U141" s="536"/>
      <c r="V141" s="536"/>
      <c r="W141" s="536"/>
      <c r="X141" s="536"/>
      <c r="Y141" s="536"/>
      <c r="Z141" s="536"/>
      <c r="AA141" s="536"/>
      <c r="AB141" s="536"/>
      <c r="AC141" s="536"/>
      <c r="AD141" s="536"/>
      <c r="AE141" s="536"/>
      <c r="AF141" s="536"/>
      <c r="AG141" s="536"/>
      <c r="AH141" s="536"/>
      <c r="AI141" s="536"/>
    </row>
    <row r="142" ht="14.25" customHeight="1">
      <c r="A142" s="536"/>
      <c r="B142" s="536"/>
      <c r="C142" s="536"/>
      <c r="D142" s="537"/>
      <c r="E142" s="538"/>
      <c r="F142" s="536"/>
      <c r="G142" s="536"/>
      <c r="H142" s="536"/>
      <c r="I142" s="536"/>
      <c r="J142" s="536"/>
      <c r="K142" s="536"/>
      <c r="L142" s="536"/>
      <c r="M142" s="536"/>
      <c r="N142" s="536"/>
      <c r="O142" s="536"/>
      <c r="P142" s="536"/>
      <c r="Q142" s="536"/>
      <c r="R142" s="536"/>
      <c r="S142" s="536"/>
      <c r="T142" s="536"/>
      <c r="U142" s="536"/>
      <c r="V142" s="536"/>
      <c r="W142" s="536"/>
      <c r="X142" s="536"/>
      <c r="Y142" s="536"/>
      <c r="Z142" s="536"/>
      <c r="AA142" s="536"/>
      <c r="AB142" s="536"/>
      <c r="AC142" s="536"/>
      <c r="AD142" s="536"/>
      <c r="AE142" s="536"/>
      <c r="AF142" s="536"/>
      <c r="AG142" s="536"/>
      <c r="AH142" s="536"/>
      <c r="AI142" s="536"/>
    </row>
    <row r="143" ht="14.25" customHeight="1">
      <c r="A143" s="536"/>
      <c r="B143" s="536"/>
      <c r="C143" s="536"/>
      <c r="D143" s="537"/>
      <c r="E143" s="538"/>
      <c r="F143" s="536"/>
      <c r="G143" s="536"/>
      <c r="H143" s="536"/>
      <c r="I143" s="536"/>
      <c r="J143" s="536"/>
      <c r="K143" s="536"/>
      <c r="L143" s="536"/>
      <c r="M143" s="536"/>
      <c r="N143" s="536"/>
      <c r="O143" s="536"/>
      <c r="P143" s="536"/>
      <c r="Q143" s="536"/>
      <c r="R143" s="536"/>
      <c r="S143" s="536"/>
      <c r="T143" s="536"/>
      <c r="U143" s="536"/>
      <c r="V143" s="536"/>
      <c r="W143" s="536"/>
      <c r="X143" s="536"/>
      <c r="Y143" s="536"/>
      <c r="Z143" s="536"/>
      <c r="AA143" s="536"/>
      <c r="AB143" s="536"/>
      <c r="AC143" s="536"/>
      <c r="AD143" s="536"/>
      <c r="AE143" s="536"/>
      <c r="AF143" s="536"/>
      <c r="AG143" s="536"/>
      <c r="AH143" s="536"/>
      <c r="AI143" s="536"/>
    </row>
    <row r="144" ht="14.25" customHeight="1">
      <c r="A144" s="536"/>
      <c r="B144" s="536"/>
      <c r="C144" s="536"/>
      <c r="D144" s="537"/>
      <c r="E144" s="538"/>
      <c r="F144" s="536"/>
      <c r="G144" s="536"/>
      <c r="H144" s="536"/>
      <c r="I144" s="536"/>
      <c r="J144" s="536"/>
      <c r="K144" s="536"/>
      <c r="L144" s="536"/>
      <c r="M144" s="536"/>
      <c r="N144" s="536"/>
      <c r="O144" s="536"/>
      <c r="P144" s="536"/>
      <c r="Q144" s="536"/>
      <c r="R144" s="536"/>
      <c r="S144" s="536"/>
      <c r="T144" s="536"/>
      <c r="U144" s="536"/>
      <c r="V144" s="536"/>
      <c r="W144" s="536"/>
      <c r="X144" s="536"/>
      <c r="Y144" s="536"/>
      <c r="Z144" s="536"/>
      <c r="AA144" s="536"/>
      <c r="AB144" s="536"/>
      <c r="AC144" s="536"/>
      <c r="AD144" s="536"/>
      <c r="AE144" s="536"/>
      <c r="AF144" s="536"/>
      <c r="AG144" s="536"/>
      <c r="AH144" s="536"/>
      <c r="AI144" s="536"/>
    </row>
    <row r="145" ht="14.25" customHeight="1">
      <c r="A145" s="536"/>
      <c r="B145" s="536"/>
      <c r="C145" s="536"/>
      <c r="D145" s="537"/>
      <c r="E145" s="538"/>
      <c r="F145" s="536"/>
      <c r="G145" s="536"/>
      <c r="H145" s="536"/>
      <c r="I145" s="536"/>
      <c r="J145" s="536"/>
      <c r="K145" s="536"/>
      <c r="L145" s="536"/>
      <c r="M145" s="536"/>
      <c r="N145" s="536"/>
      <c r="O145" s="536"/>
      <c r="P145" s="536"/>
      <c r="Q145" s="536"/>
      <c r="R145" s="536"/>
      <c r="S145" s="536"/>
      <c r="T145" s="536"/>
      <c r="U145" s="536"/>
      <c r="V145" s="536"/>
      <c r="W145" s="536"/>
      <c r="X145" s="536"/>
      <c r="Y145" s="536"/>
      <c r="Z145" s="536"/>
      <c r="AA145" s="536"/>
      <c r="AB145" s="536"/>
      <c r="AC145" s="536"/>
      <c r="AD145" s="536"/>
      <c r="AE145" s="536"/>
      <c r="AF145" s="536"/>
      <c r="AG145" s="536"/>
      <c r="AH145" s="536"/>
      <c r="AI145" s="536"/>
    </row>
    <row r="146" ht="14.25" customHeight="1">
      <c r="A146" s="536"/>
      <c r="B146" s="536"/>
      <c r="C146" s="536"/>
      <c r="D146" s="537"/>
      <c r="E146" s="538"/>
      <c r="F146" s="536"/>
      <c r="G146" s="536"/>
      <c r="H146" s="536"/>
      <c r="I146" s="536"/>
      <c r="J146" s="536"/>
      <c r="K146" s="536"/>
      <c r="L146" s="536"/>
      <c r="M146" s="536"/>
      <c r="N146" s="536"/>
      <c r="O146" s="536"/>
      <c r="P146" s="536"/>
      <c r="Q146" s="536"/>
      <c r="R146" s="536"/>
      <c r="S146" s="536"/>
      <c r="T146" s="536"/>
      <c r="U146" s="536"/>
      <c r="V146" s="536"/>
      <c r="W146" s="536"/>
      <c r="X146" s="536"/>
      <c r="Y146" s="536"/>
      <c r="Z146" s="536"/>
      <c r="AA146" s="536"/>
      <c r="AB146" s="536"/>
      <c r="AC146" s="536"/>
      <c r="AD146" s="536"/>
      <c r="AE146" s="536"/>
      <c r="AF146" s="536"/>
      <c r="AG146" s="536"/>
      <c r="AH146" s="536"/>
      <c r="AI146" s="536"/>
    </row>
    <row r="147" ht="14.25" customHeight="1">
      <c r="A147" s="536"/>
      <c r="B147" s="536"/>
      <c r="C147" s="536"/>
      <c r="D147" s="537"/>
      <c r="E147" s="538"/>
      <c r="F147" s="536"/>
      <c r="G147" s="536"/>
      <c r="H147" s="536"/>
      <c r="I147" s="536"/>
      <c r="J147" s="536"/>
      <c r="K147" s="536"/>
      <c r="L147" s="536"/>
      <c r="M147" s="536"/>
      <c r="N147" s="536"/>
      <c r="O147" s="536"/>
      <c r="P147" s="536"/>
      <c r="Q147" s="536"/>
      <c r="R147" s="536"/>
      <c r="S147" s="536"/>
      <c r="T147" s="536"/>
      <c r="U147" s="536"/>
      <c r="V147" s="536"/>
      <c r="W147" s="536"/>
      <c r="X147" s="536"/>
      <c r="Y147" s="536"/>
      <c r="Z147" s="536"/>
      <c r="AA147" s="536"/>
      <c r="AB147" s="536"/>
      <c r="AC147" s="536"/>
      <c r="AD147" s="536"/>
      <c r="AE147" s="536"/>
      <c r="AF147" s="536"/>
      <c r="AG147" s="536"/>
      <c r="AH147" s="536"/>
      <c r="AI147" s="536"/>
    </row>
    <row r="148" ht="14.25" customHeight="1">
      <c r="A148" s="536"/>
      <c r="B148" s="536"/>
      <c r="C148" s="536"/>
      <c r="D148" s="537"/>
      <c r="E148" s="538"/>
      <c r="F148" s="536"/>
      <c r="G148" s="536"/>
      <c r="H148" s="536"/>
      <c r="I148" s="536"/>
      <c r="J148" s="536"/>
      <c r="K148" s="536"/>
      <c r="L148" s="536"/>
      <c r="M148" s="536"/>
      <c r="N148" s="536"/>
      <c r="O148" s="536"/>
      <c r="P148" s="536"/>
      <c r="Q148" s="536"/>
      <c r="R148" s="536"/>
      <c r="S148" s="536"/>
      <c r="T148" s="536"/>
      <c r="U148" s="536"/>
      <c r="V148" s="536"/>
      <c r="W148" s="536"/>
      <c r="X148" s="536"/>
      <c r="Y148" s="536"/>
      <c r="Z148" s="536"/>
      <c r="AA148" s="536"/>
      <c r="AB148" s="536"/>
      <c r="AC148" s="536"/>
      <c r="AD148" s="536"/>
      <c r="AE148" s="536"/>
      <c r="AF148" s="536"/>
      <c r="AG148" s="536"/>
      <c r="AH148" s="536"/>
      <c r="AI148" s="536"/>
    </row>
    <row r="149" ht="14.25" customHeight="1">
      <c r="A149" s="536"/>
      <c r="B149" s="536"/>
      <c r="C149" s="536"/>
      <c r="D149" s="537"/>
      <c r="E149" s="538"/>
      <c r="F149" s="536"/>
      <c r="G149" s="536"/>
      <c r="H149" s="536"/>
      <c r="I149" s="536"/>
      <c r="J149" s="536"/>
      <c r="K149" s="536"/>
      <c r="L149" s="536"/>
      <c r="M149" s="536"/>
      <c r="N149" s="536"/>
      <c r="O149" s="536"/>
      <c r="P149" s="536"/>
      <c r="Q149" s="536"/>
      <c r="R149" s="536"/>
      <c r="S149" s="536"/>
      <c r="T149" s="536"/>
      <c r="U149" s="536"/>
      <c r="V149" s="536"/>
      <c r="W149" s="536"/>
      <c r="X149" s="536"/>
      <c r="Y149" s="536"/>
      <c r="Z149" s="536"/>
      <c r="AA149" s="536"/>
      <c r="AB149" s="536"/>
      <c r="AC149" s="536"/>
      <c r="AD149" s="536"/>
      <c r="AE149" s="536"/>
      <c r="AF149" s="536"/>
      <c r="AG149" s="536"/>
      <c r="AH149" s="536"/>
      <c r="AI149" s="536"/>
    </row>
    <row r="150" ht="14.25" customHeight="1">
      <c r="A150" s="536"/>
      <c r="B150" s="536"/>
      <c r="C150" s="536"/>
      <c r="D150" s="537"/>
      <c r="E150" s="538"/>
      <c r="F150" s="536"/>
      <c r="G150" s="536"/>
      <c r="H150" s="536"/>
      <c r="I150" s="536"/>
      <c r="J150" s="536"/>
      <c r="K150" s="536"/>
      <c r="L150" s="536"/>
      <c r="M150" s="536"/>
      <c r="N150" s="536"/>
      <c r="O150" s="536"/>
      <c r="P150" s="536"/>
      <c r="Q150" s="536"/>
      <c r="R150" s="536"/>
      <c r="S150" s="536"/>
      <c r="T150" s="536"/>
      <c r="U150" s="536"/>
      <c r="V150" s="536"/>
      <c r="W150" s="536"/>
      <c r="X150" s="536"/>
      <c r="Y150" s="536"/>
      <c r="Z150" s="536"/>
      <c r="AA150" s="536"/>
      <c r="AB150" s="536"/>
      <c r="AC150" s="536"/>
      <c r="AD150" s="536"/>
      <c r="AE150" s="536"/>
      <c r="AF150" s="536"/>
      <c r="AG150" s="536"/>
      <c r="AH150" s="536"/>
      <c r="AI150" s="536"/>
    </row>
    <row r="151" ht="14.25" customHeight="1">
      <c r="A151" s="536"/>
      <c r="B151" s="536"/>
      <c r="C151" s="536"/>
      <c r="D151" s="537"/>
      <c r="E151" s="538"/>
      <c r="F151" s="536"/>
      <c r="G151" s="536"/>
      <c r="H151" s="536"/>
      <c r="I151" s="536"/>
      <c r="J151" s="536"/>
      <c r="K151" s="536"/>
      <c r="L151" s="536"/>
      <c r="M151" s="536"/>
      <c r="N151" s="536"/>
      <c r="O151" s="536"/>
      <c r="P151" s="536"/>
      <c r="Q151" s="536"/>
      <c r="R151" s="536"/>
      <c r="S151" s="536"/>
      <c r="T151" s="536"/>
      <c r="U151" s="536"/>
      <c r="V151" s="536"/>
      <c r="W151" s="536"/>
      <c r="X151" s="536"/>
      <c r="Y151" s="536"/>
      <c r="Z151" s="536"/>
      <c r="AA151" s="536"/>
      <c r="AB151" s="536"/>
      <c r="AC151" s="536"/>
      <c r="AD151" s="536"/>
      <c r="AE151" s="536"/>
      <c r="AF151" s="536"/>
      <c r="AG151" s="536"/>
      <c r="AH151" s="536"/>
      <c r="AI151" s="536"/>
    </row>
    <row r="152" ht="14.25" customHeight="1">
      <c r="A152" s="536"/>
      <c r="B152" s="536"/>
      <c r="C152" s="536"/>
      <c r="D152" s="537"/>
      <c r="E152" s="538"/>
      <c r="F152" s="536"/>
      <c r="G152" s="536"/>
      <c r="H152" s="536"/>
      <c r="I152" s="536"/>
      <c r="J152" s="536"/>
      <c r="K152" s="536"/>
      <c r="L152" s="536"/>
      <c r="M152" s="536"/>
      <c r="N152" s="536"/>
      <c r="O152" s="536"/>
      <c r="P152" s="536"/>
      <c r="Q152" s="536"/>
      <c r="R152" s="536"/>
      <c r="S152" s="536"/>
      <c r="T152" s="536"/>
      <c r="U152" s="536"/>
      <c r="V152" s="536"/>
      <c r="W152" s="536"/>
      <c r="X152" s="536"/>
      <c r="Y152" s="536"/>
      <c r="Z152" s="536"/>
      <c r="AA152" s="536"/>
      <c r="AB152" s="536"/>
      <c r="AC152" s="536"/>
      <c r="AD152" s="536"/>
      <c r="AE152" s="536"/>
      <c r="AF152" s="536"/>
      <c r="AG152" s="536"/>
      <c r="AH152" s="536"/>
      <c r="AI152" s="536"/>
    </row>
    <row r="153" ht="14.25" customHeight="1">
      <c r="A153" s="536"/>
      <c r="B153" s="536"/>
      <c r="C153" s="536"/>
      <c r="D153" s="537"/>
      <c r="E153" s="538"/>
      <c r="F153" s="536"/>
      <c r="G153" s="536"/>
      <c r="H153" s="536"/>
      <c r="I153" s="536"/>
      <c r="J153" s="536"/>
      <c r="K153" s="536"/>
      <c r="L153" s="536"/>
      <c r="M153" s="536"/>
      <c r="N153" s="536"/>
      <c r="O153" s="536"/>
      <c r="P153" s="536"/>
      <c r="Q153" s="536"/>
      <c r="R153" s="536"/>
      <c r="S153" s="536"/>
      <c r="T153" s="536"/>
      <c r="U153" s="536"/>
      <c r="V153" s="536"/>
      <c r="W153" s="536"/>
      <c r="X153" s="536"/>
      <c r="Y153" s="536"/>
      <c r="Z153" s="536"/>
      <c r="AA153" s="536"/>
      <c r="AB153" s="536"/>
      <c r="AC153" s="536"/>
      <c r="AD153" s="536"/>
      <c r="AE153" s="536"/>
      <c r="AF153" s="536"/>
      <c r="AG153" s="536"/>
      <c r="AH153" s="536"/>
      <c r="AI153" s="536"/>
    </row>
    <row r="154" ht="14.25" customHeight="1">
      <c r="A154" s="536"/>
      <c r="B154" s="536"/>
      <c r="C154" s="536"/>
      <c r="D154" s="537"/>
      <c r="E154" s="538"/>
      <c r="F154" s="536"/>
      <c r="G154" s="536"/>
      <c r="H154" s="536"/>
      <c r="I154" s="536"/>
      <c r="J154" s="536"/>
      <c r="K154" s="536"/>
      <c r="L154" s="536"/>
      <c r="M154" s="536"/>
      <c r="N154" s="536"/>
      <c r="O154" s="536"/>
      <c r="P154" s="536"/>
      <c r="Q154" s="536"/>
      <c r="R154" s="536"/>
      <c r="S154" s="536"/>
      <c r="T154" s="536"/>
      <c r="U154" s="536"/>
      <c r="V154" s="536"/>
      <c r="W154" s="536"/>
      <c r="X154" s="536"/>
      <c r="Y154" s="536"/>
      <c r="Z154" s="536"/>
      <c r="AA154" s="536"/>
      <c r="AB154" s="536"/>
      <c r="AC154" s="536"/>
      <c r="AD154" s="536"/>
      <c r="AE154" s="536"/>
      <c r="AF154" s="536"/>
      <c r="AG154" s="536"/>
      <c r="AH154" s="536"/>
      <c r="AI154" s="536"/>
    </row>
    <row r="155" ht="14.25" customHeight="1">
      <c r="A155" s="536"/>
      <c r="B155" s="536"/>
      <c r="C155" s="536"/>
      <c r="D155" s="537"/>
      <c r="E155" s="538"/>
      <c r="F155" s="536"/>
      <c r="G155" s="536"/>
      <c r="H155" s="536"/>
      <c r="I155" s="536"/>
      <c r="J155" s="536"/>
      <c r="K155" s="536"/>
      <c r="L155" s="536"/>
      <c r="M155" s="536"/>
      <c r="N155" s="536"/>
      <c r="O155" s="536"/>
      <c r="P155" s="536"/>
      <c r="Q155" s="536"/>
      <c r="R155" s="536"/>
      <c r="S155" s="536"/>
      <c r="T155" s="536"/>
      <c r="U155" s="536"/>
      <c r="V155" s="536"/>
      <c r="W155" s="536"/>
      <c r="X155" s="536"/>
      <c r="Y155" s="536"/>
      <c r="Z155" s="536"/>
      <c r="AA155" s="536"/>
      <c r="AB155" s="536"/>
      <c r="AC155" s="536"/>
      <c r="AD155" s="536"/>
      <c r="AE155" s="536"/>
      <c r="AF155" s="536"/>
      <c r="AG155" s="536"/>
      <c r="AH155" s="536"/>
      <c r="AI155" s="536"/>
    </row>
    <row r="156" ht="14.25" customHeight="1">
      <c r="A156" s="536"/>
      <c r="B156" s="536"/>
      <c r="C156" s="536"/>
      <c r="D156" s="537"/>
      <c r="E156" s="538"/>
      <c r="F156" s="536"/>
      <c r="G156" s="536"/>
      <c r="H156" s="536"/>
      <c r="I156" s="536"/>
      <c r="J156" s="536"/>
      <c r="K156" s="536"/>
      <c r="L156" s="536"/>
      <c r="M156" s="536"/>
      <c r="N156" s="536"/>
      <c r="O156" s="536"/>
      <c r="P156" s="536"/>
      <c r="Q156" s="536"/>
      <c r="R156" s="536"/>
      <c r="S156" s="536"/>
      <c r="T156" s="536"/>
      <c r="U156" s="536"/>
      <c r="V156" s="536"/>
      <c r="W156" s="536"/>
      <c r="X156" s="536"/>
      <c r="Y156" s="536"/>
      <c r="Z156" s="536"/>
      <c r="AA156" s="536"/>
      <c r="AB156" s="536"/>
      <c r="AC156" s="536"/>
      <c r="AD156" s="536"/>
      <c r="AE156" s="536"/>
      <c r="AF156" s="536"/>
      <c r="AG156" s="536"/>
      <c r="AH156" s="536"/>
      <c r="AI156" s="536"/>
    </row>
    <row r="157" ht="14.25" customHeight="1">
      <c r="A157" s="536"/>
      <c r="B157" s="536"/>
      <c r="C157" s="536"/>
      <c r="D157" s="537"/>
      <c r="E157" s="538"/>
      <c r="F157" s="536"/>
      <c r="G157" s="536"/>
      <c r="H157" s="536"/>
      <c r="I157" s="536"/>
      <c r="J157" s="536"/>
      <c r="K157" s="536"/>
      <c r="L157" s="536"/>
      <c r="M157" s="536"/>
      <c r="N157" s="536"/>
      <c r="O157" s="536"/>
      <c r="P157" s="536"/>
      <c r="Q157" s="536"/>
      <c r="R157" s="536"/>
      <c r="S157" s="536"/>
      <c r="T157" s="536"/>
      <c r="U157" s="536"/>
      <c r="V157" s="536"/>
      <c r="W157" s="536"/>
      <c r="X157" s="536"/>
      <c r="Y157" s="536"/>
      <c r="Z157" s="536"/>
      <c r="AA157" s="536"/>
      <c r="AB157" s="536"/>
      <c r="AC157" s="536"/>
      <c r="AD157" s="536"/>
      <c r="AE157" s="536"/>
      <c r="AF157" s="536"/>
      <c r="AG157" s="536"/>
      <c r="AH157" s="536"/>
      <c r="AI157" s="536"/>
    </row>
    <row r="158" ht="14.25" customHeight="1">
      <c r="A158" s="536"/>
      <c r="B158" s="536"/>
      <c r="C158" s="536"/>
      <c r="D158" s="537"/>
      <c r="E158" s="538"/>
      <c r="F158" s="536"/>
      <c r="G158" s="536"/>
      <c r="H158" s="536"/>
      <c r="I158" s="536"/>
      <c r="J158" s="536"/>
      <c r="K158" s="536"/>
      <c r="L158" s="536"/>
      <c r="M158" s="536"/>
      <c r="N158" s="536"/>
      <c r="O158" s="536"/>
      <c r="P158" s="536"/>
      <c r="Q158" s="536"/>
      <c r="R158" s="536"/>
      <c r="S158" s="536"/>
      <c r="T158" s="536"/>
      <c r="U158" s="536"/>
      <c r="V158" s="536"/>
      <c r="W158" s="536"/>
      <c r="X158" s="536"/>
      <c r="Y158" s="536"/>
      <c r="Z158" s="536"/>
      <c r="AA158" s="536"/>
      <c r="AB158" s="536"/>
      <c r="AC158" s="536"/>
      <c r="AD158" s="536"/>
      <c r="AE158" s="536"/>
      <c r="AF158" s="536"/>
      <c r="AG158" s="536"/>
      <c r="AH158" s="536"/>
      <c r="AI158" s="536"/>
    </row>
    <row r="159" ht="14.25" customHeight="1">
      <c r="A159" s="536"/>
      <c r="B159" s="536"/>
      <c r="C159" s="536"/>
      <c r="D159" s="537"/>
      <c r="E159" s="538"/>
      <c r="F159" s="536"/>
      <c r="G159" s="536"/>
      <c r="H159" s="536"/>
      <c r="I159" s="536"/>
      <c r="J159" s="536"/>
      <c r="K159" s="536"/>
      <c r="L159" s="536"/>
      <c r="M159" s="536"/>
      <c r="N159" s="536"/>
      <c r="O159" s="536"/>
      <c r="P159" s="536"/>
      <c r="Q159" s="536"/>
      <c r="R159" s="536"/>
      <c r="S159" s="536"/>
      <c r="T159" s="536"/>
      <c r="U159" s="536"/>
      <c r="V159" s="536"/>
      <c r="W159" s="536"/>
      <c r="X159" s="536"/>
      <c r="Y159" s="536"/>
      <c r="Z159" s="536"/>
      <c r="AA159" s="536"/>
      <c r="AB159" s="536"/>
      <c r="AC159" s="536"/>
      <c r="AD159" s="536"/>
      <c r="AE159" s="536"/>
      <c r="AF159" s="536"/>
      <c r="AG159" s="536"/>
      <c r="AH159" s="536"/>
      <c r="AI159" s="536"/>
    </row>
    <row r="160" ht="14.25" customHeight="1">
      <c r="A160" s="536"/>
      <c r="B160" s="536"/>
      <c r="C160" s="536"/>
      <c r="D160" s="537"/>
      <c r="E160" s="538"/>
      <c r="F160" s="536"/>
      <c r="G160" s="536"/>
      <c r="H160" s="536"/>
      <c r="I160" s="536"/>
      <c r="J160" s="536"/>
      <c r="K160" s="536"/>
      <c r="L160" s="536"/>
      <c r="M160" s="536"/>
      <c r="N160" s="536"/>
      <c r="O160" s="536"/>
      <c r="P160" s="536"/>
      <c r="Q160" s="536"/>
      <c r="R160" s="536"/>
      <c r="S160" s="536"/>
      <c r="T160" s="536"/>
      <c r="U160" s="536"/>
      <c r="V160" s="536"/>
      <c r="W160" s="536"/>
      <c r="X160" s="536"/>
      <c r="Y160" s="536"/>
      <c r="Z160" s="536"/>
      <c r="AA160" s="536"/>
      <c r="AB160" s="536"/>
      <c r="AC160" s="536"/>
      <c r="AD160" s="536"/>
      <c r="AE160" s="536"/>
      <c r="AF160" s="536"/>
      <c r="AG160" s="536"/>
      <c r="AH160" s="536"/>
      <c r="AI160" s="536"/>
    </row>
    <row r="161" ht="14.25" customHeight="1">
      <c r="A161" s="536"/>
      <c r="B161" s="536"/>
      <c r="C161" s="536"/>
      <c r="D161" s="537"/>
      <c r="E161" s="538"/>
      <c r="F161" s="536"/>
      <c r="G161" s="536"/>
      <c r="H161" s="536"/>
      <c r="I161" s="536"/>
      <c r="J161" s="536"/>
      <c r="K161" s="536"/>
      <c r="L161" s="536"/>
      <c r="M161" s="536"/>
      <c r="N161" s="536"/>
      <c r="O161" s="536"/>
      <c r="P161" s="536"/>
      <c r="Q161" s="536"/>
      <c r="R161" s="536"/>
      <c r="S161" s="536"/>
      <c r="T161" s="536"/>
      <c r="U161" s="536"/>
      <c r="V161" s="536"/>
      <c r="W161" s="536"/>
      <c r="X161" s="536"/>
      <c r="Y161" s="536"/>
      <c r="Z161" s="536"/>
      <c r="AA161" s="536"/>
      <c r="AB161" s="536"/>
      <c r="AC161" s="536"/>
      <c r="AD161" s="536"/>
      <c r="AE161" s="536"/>
      <c r="AF161" s="536"/>
      <c r="AG161" s="536"/>
      <c r="AH161" s="536"/>
      <c r="AI161" s="536"/>
    </row>
    <row r="162" ht="14.25" customHeight="1">
      <c r="A162" s="536"/>
      <c r="B162" s="536"/>
      <c r="C162" s="536"/>
      <c r="D162" s="537"/>
      <c r="E162" s="538"/>
      <c r="F162" s="536"/>
      <c r="G162" s="536"/>
      <c r="H162" s="536"/>
      <c r="I162" s="536"/>
      <c r="J162" s="536"/>
      <c r="K162" s="536"/>
      <c r="L162" s="536"/>
      <c r="M162" s="536"/>
      <c r="N162" s="536"/>
      <c r="O162" s="536"/>
      <c r="P162" s="536"/>
      <c r="Q162" s="536"/>
      <c r="R162" s="536"/>
      <c r="S162" s="536"/>
      <c r="T162" s="536"/>
      <c r="U162" s="536"/>
      <c r="V162" s="536"/>
      <c r="W162" s="536"/>
      <c r="X162" s="536"/>
      <c r="Y162" s="536"/>
      <c r="Z162" s="536"/>
      <c r="AA162" s="536"/>
      <c r="AB162" s="536"/>
      <c r="AC162" s="536"/>
      <c r="AD162" s="536"/>
      <c r="AE162" s="536"/>
      <c r="AF162" s="536"/>
      <c r="AG162" s="536"/>
      <c r="AH162" s="536"/>
      <c r="AI162" s="536"/>
    </row>
    <row r="163" ht="14.25" customHeight="1">
      <c r="A163" s="536"/>
      <c r="B163" s="536"/>
      <c r="C163" s="536"/>
      <c r="D163" s="537"/>
      <c r="E163" s="538"/>
      <c r="F163" s="536"/>
      <c r="G163" s="536"/>
      <c r="H163" s="536"/>
      <c r="I163" s="536"/>
      <c r="J163" s="536"/>
      <c r="K163" s="536"/>
      <c r="L163" s="536"/>
      <c r="M163" s="536"/>
      <c r="N163" s="536"/>
      <c r="O163" s="536"/>
      <c r="P163" s="536"/>
      <c r="Q163" s="536"/>
      <c r="R163" s="536"/>
      <c r="S163" s="536"/>
      <c r="T163" s="536"/>
      <c r="U163" s="536"/>
      <c r="V163" s="536"/>
      <c r="W163" s="536"/>
      <c r="X163" s="536"/>
      <c r="Y163" s="536"/>
      <c r="Z163" s="536"/>
      <c r="AA163" s="536"/>
      <c r="AB163" s="536"/>
      <c r="AC163" s="536"/>
      <c r="AD163" s="536"/>
      <c r="AE163" s="536"/>
      <c r="AF163" s="536"/>
      <c r="AG163" s="536"/>
      <c r="AH163" s="536"/>
      <c r="AI163" s="536"/>
    </row>
    <row r="164" ht="14.25" customHeight="1">
      <c r="A164" s="536"/>
      <c r="B164" s="536"/>
      <c r="C164" s="536"/>
      <c r="D164" s="537"/>
      <c r="E164" s="538"/>
      <c r="F164" s="536"/>
      <c r="G164" s="536"/>
      <c r="H164" s="536"/>
      <c r="I164" s="536"/>
      <c r="J164" s="536"/>
      <c r="K164" s="536"/>
      <c r="L164" s="536"/>
      <c r="M164" s="536"/>
      <c r="N164" s="536"/>
      <c r="O164" s="536"/>
      <c r="P164" s="536"/>
      <c r="Q164" s="536"/>
      <c r="R164" s="536"/>
      <c r="S164" s="536"/>
      <c r="T164" s="536"/>
      <c r="U164" s="536"/>
      <c r="V164" s="536"/>
      <c r="W164" s="536"/>
      <c r="X164" s="536"/>
      <c r="Y164" s="536"/>
      <c r="Z164" s="536"/>
      <c r="AA164" s="536"/>
      <c r="AB164" s="536"/>
      <c r="AC164" s="536"/>
      <c r="AD164" s="536"/>
      <c r="AE164" s="536"/>
      <c r="AF164" s="536"/>
      <c r="AG164" s="536"/>
      <c r="AH164" s="536"/>
      <c r="AI164" s="536"/>
    </row>
    <row r="165" ht="14.25" customHeight="1">
      <c r="A165" s="536"/>
      <c r="B165" s="536"/>
      <c r="C165" s="536"/>
      <c r="D165" s="537"/>
      <c r="E165" s="538"/>
      <c r="F165" s="536"/>
      <c r="G165" s="536"/>
      <c r="H165" s="536"/>
      <c r="I165" s="536"/>
      <c r="J165" s="536"/>
      <c r="K165" s="536"/>
      <c r="L165" s="536"/>
      <c r="M165" s="536"/>
      <c r="N165" s="536"/>
      <c r="O165" s="536"/>
      <c r="P165" s="536"/>
      <c r="Q165" s="536"/>
      <c r="R165" s="536"/>
      <c r="S165" s="536"/>
      <c r="T165" s="536"/>
      <c r="U165" s="536"/>
      <c r="V165" s="536"/>
      <c r="W165" s="536"/>
      <c r="X165" s="536"/>
      <c r="Y165" s="536"/>
      <c r="Z165" s="536"/>
      <c r="AA165" s="536"/>
      <c r="AB165" s="536"/>
      <c r="AC165" s="536"/>
      <c r="AD165" s="536"/>
      <c r="AE165" s="536"/>
      <c r="AF165" s="536"/>
      <c r="AG165" s="536"/>
      <c r="AH165" s="536"/>
      <c r="AI165" s="536"/>
    </row>
    <row r="166" ht="14.25" customHeight="1">
      <c r="A166" s="536"/>
      <c r="B166" s="536"/>
      <c r="C166" s="536"/>
      <c r="D166" s="537"/>
      <c r="E166" s="538"/>
      <c r="F166" s="536"/>
      <c r="G166" s="536"/>
      <c r="H166" s="536"/>
      <c r="I166" s="536"/>
      <c r="J166" s="536"/>
      <c r="K166" s="536"/>
      <c r="L166" s="536"/>
      <c r="M166" s="536"/>
      <c r="N166" s="536"/>
      <c r="O166" s="536"/>
      <c r="P166" s="536"/>
      <c r="Q166" s="536"/>
      <c r="R166" s="536"/>
      <c r="S166" s="536"/>
      <c r="T166" s="536"/>
      <c r="U166" s="536"/>
      <c r="V166" s="536"/>
      <c r="W166" s="536"/>
      <c r="X166" s="536"/>
      <c r="Y166" s="536"/>
      <c r="Z166" s="536"/>
      <c r="AA166" s="536"/>
      <c r="AB166" s="536"/>
      <c r="AC166" s="536"/>
      <c r="AD166" s="536"/>
      <c r="AE166" s="536"/>
      <c r="AF166" s="536"/>
      <c r="AG166" s="536"/>
      <c r="AH166" s="536"/>
      <c r="AI166" s="536"/>
    </row>
    <row r="167" ht="14.25" customHeight="1">
      <c r="A167" s="536"/>
      <c r="B167" s="536"/>
      <c r="C167" s="536"/>
      <c r="D167" s="537"/>
      <c r="E167" s="538"/>
      <c r="F167" s="536"/>
      <c r="G167" s="536"/>
      <c r="H167" s="536"/>
      <c r="I167" s="536"/>
      <c r="J167" s="536"/>
      <c r="K167" s="536"/>
      <c r="L167" s="536"/>
      <c r="M167" s="536"/>
      <c r="N167" s="536"/>
      <c r="O167" s="536"/>
      <c r="P167" s="536"/>
      <c r="Q167" s="536"/>
      <c r="R167" s="536"/>
      <c r="S167" s="536"/>
      <c r="T167" s="536"/>
      <c r="U167" s="536"/>
      <c r="V167" s="536"/>
      <c r="W167" s="536"/>
      <c r="X167" s="536"/>
      <c r="Y167" s="536"/>
      <c r="Z167" s="536"/>
      <c r="AA167" s="536"/>
      <c r="AB167" s="536"/>
      <c r="AC167" s="536"/>
      <c r="AD167" s="536"/>
      <c r="AE167" s="536"/>
      <c r="AF167" s="536"/>
      <c r="AG167" s="536"/>
      <c r="AH167" s="536"/>
      <c r="AI167" s="536"/>
    </row>
    <row r="168" ht="14.25" customHeight="1">
      <c r="A168" s="536"/>
      <c r="B168" s="536"/>
      <c r="C168" s="536"/>
      <c r="D168" s="537"/>
      <c r="E168" s="538"/>
      <c r="F168" s="536"/>
      <c r="G168" s="536"/>
      <c r="H168" s="536"/>
      <c r="I168" s="536"/>
      <c r="J168" s="536"/>
      <c r="K168" s="536"/>
      <c r="L168" s="536"/>
      <c r="M168" s="536"/>
      <c r="N168" s="536"/>
      <c r="O168" s="536"/>
      <c r="P168" s="536"/>
      <c r="Q168" s="536"/>
      <c r="R168" s="536"/>
      <c r="S168" s="536"/>
      <c r="T168" s="536"/>
      <c r="U168" s="536"/>
      <c r="V168" s="536"/>
      <c r="W168" s="536"/>
      <c r="X168" s="536"/>
      <c r="Y168" s="536"/>
      <c r="Z168" s="536"/>
      <c r="AA168" s="536"/>
      <c r="AB168" s="536"/>
      <c r="AC168" s="536"/>
      <c r="AD168" s="536"/>
      <c r="AE168" s="536"/>
      <c r="AF168" s="536"/>
      <c r="AG168" s="536"/>
      <c r="AH168" s="536"/>
      <c r="AI168" s="536"/>
    </row>
    <row r="169" ht="14.25" customHeight="1">
      <c r="A169" s="536"/>
      <c r="B169" s="536"/>
      <c r="C169" s="536"/>
      <c r="D169" s="537"/>
      <c r="E169" s="538"/>
      <c r="F169" s="536"/>
      <c r="G169" s="536"/>
      <c r="H169" s="536"/>
      <c r="I169" s="536"/>
      <c r="J169" s="536"/>
      <c r="K169" s="536"/>
      <c r="L169" s="536"/>
      <c r="M169" s="536"/>
      <c r="N169" s="536"/>
      <c r="O169" s="536"/>
      <c r="P169" s="536"/>
      <c r="Q169" s="536"/>
      <c r="R169" s="536"/>
      <c r="S169" s="536"/>
      <c r="T169" s="536"/>
      <c r="U169" s="536"/>
      <c r="V169" s="536"/>
      <c r="W169" s="536"/>
      <c r="X169" s="536"/>
      <c r="Y169" s="536"/>
      <c r="Z169" s="536"/>
      <c r="AA169" s="536"/>
      <c r="AB169" s="536"/>
      <c r="AC169" s="536"/>
      <c r="AD169" s="536"/>
      <c r="AE169" s="536"/>
      <c r="AF169" s="536"/>
      <c r="AG169" s="536"/>
      <c r="AH169" s="536"/>
      <c r="AI169" s="536"/>
    </row>
    <row r="170" ht="14.25" customHeight="1">
      <c r="A170" s="536"/>
      <c r="B170" s="536"/>
      <c r="C170" s="536"/>
      <c r="D170" s="537"/>
      <c r="E170" s="538"/>
      <c r="F170" s="536"/>
      <c r="G170" s="536"/>
      <c r="H170" s="536"/>
      <c r="I170" s="536"/>
      <c r="J170" s="536"/>
      <c r="K170" s="536"/>
      <c r="L170" s="536"/>
      <c r="M170" s="536"/>
      <c r="N170" s="536"/>
      <c r="O170" s="536"/>
      <c r="P170" s="536"/>
      <c r="Q170" s="536"/>
      <c r="R170" s="536"/>
      <c r="S170" s="536"/>
      <c r="T170" s="536"/>
      <c r="U170" s="536"/>
      <c r="V170" s="536"/>
      <c r="W170" s="536"/>
      <c r="X170" s="536"/>
      <c r="Y170" s="536"/>
      <c r="Z170" s="536"/>
      <c r="AA170" s="536"/>
      <c r="AB170" s="536"/>
      <c r="AC170" s="536"/>
      <c r="AD170" s="536"/>
      <c r="AE170" s="536"/>
      <c r="AF170" s="536"/>
      <c r="AG170" s="536"/>
      <c r="AH170" s="536"/>
      <c r="AI170" s="536"/>
    </row>
    <row r="171" ht="14.25" customHeight="1">
      <c r="A171" s="536"/>
      <c r="B171" s="536"/>
      <c r="C171" s="536"/>
      <c r="D171" s="537"/>
      <c r="E171" s="538"/>
      <c r="F171" s="536"/>
      <c r="G171" s="536"/>
      <c r="H171" s="536"/>
      <c r="I171" s="536"/>
      <c r="J171" s="536"/>
      <c r="K171" s="536"/>
      <c r="L171" s="536"/>
      <c r="M171" s="536"/>
      <c r="N171" s="536"/>
      <c r="O171" s="536"/>
      <c r="P171" s="536"/>
      <c r="Q171" s="536"/>
      <c r="R171" s="536"/>
      <c r="S171" s="536"/>
      <c r="T171" s="536"/>
      <c r="U171" s="536"/>
      <c r="V171" s="536"/>
      <c r="W171" s="536"/>
      <c r="X171" s="536"/>
      <c r="Y171" s="536"/>
      <c r="Z171" s="536"/>
      <c r="AA171" s="536"/>
      <c r="AB171" s="536"/>
      <c r="AC171" s="536"/>
      <c r="AD171" s="536"/>
      <c r="AE171" s="536"/>
      <c r="AF171" s="536"/>
      <c r="AG171" s="536"/>
      <c r="AH171" s="536"/>
      <c r="AI171" s="536"/>
    </row>
    <row r="172" ht="14.25" customHeight="1">
      <c r="A172" s="536"/>
      <c r="B172" s="536"/>
      <c r="C172" s="536"/>
      <c r="D172" s="537"/>
      <c r="E172" s="538"/>
      <c r="F172" s="536"/>
      <c r="G172" s="536"/>
      <c r="H172" s="536"/>
      <c r="I172" s="536"/>
      <c r="J172" s="536"/>
      <c r="K172" s="536"/>
      <c r="L172" s="536"/>
      <c r="M172" s="536"/>
      <c r="N172" s="536"/>
      <c r="O172" s="536"/>
      <c r="P172" s="536"/>
      <c r="Q172" s="536"/>
      <c r="R172" s="536"/>
      <c r="S172" s="536"/>
      <c r="T172" s="536"/>
      <c r="U172" s="536"/>
      <c r="V172" s="536"/>
      <c r="W172" s="536"/>
      <c r="X172" s="536"/>
      <c r="Y172" s="536"/>
      <c r="Z172" s="536"/>
      <c r="AA172" s="536"/>
      <c r="AB172" s="536"/>
      <c r="AC172" s="536"/>
      <c r="AD172" s="536"/>
      <c r="AE172" s="536"/>
      <c r="AF172" s="536"/>
      <c r="AG172" s="536"/>
      <c r="AH172" s="536"/>
      <c r="AI172" s="536"/>
    </row>
    <row r="173" ht="14.25" customHeight="1">
      <c r="A173" s="536"/>
      <c r="B173" s="536"/>
      <c r="C173" s="536"/>
      <c r="D173" s="537"/>
      <c r="E173" s="538"/>
      <c r="F173" s="536"/>
      <c r="G173" s="536"/>
      <c r="H173" s="536"/>
      <c r="I173" s="536"/>
      <c r="J173" s="536"/>
      <c r="K173" s="536"/>
      <c r="L173" s="536"/>
      <c r="M173" s="536"/>
      <c r="N173" s="536"/>
      <c r="O173" s="536"/>
      <c r="P173" s="536"/>
      <c r="Q173" s="536"/>
      <c r="R173" s="536"/>
      <c r="S173" s="536"/>
      <c r="T173" s="536"/>
      <c r="U173" s="536"/>
      <c r="V173" s="536"/>
      <c r="W173" s="536"/>
      <c r="X173" s="536"/>
      <c r="Y173" s="536"/>
      <c r="Z173" s="536"/>
      <c r="AA173" s="536"/>
      <c r="AB173" s="536"/>
      <c r="AC173" s="536"/>
      <c r="AD173" s="536"/>
      <c r="AE173" s="536"/>
      <c r="AF173" s="536"/>
      <c r="AG173" s="536"/>
      <c r="AH173" s="536"/>
      <c r="AI173" s="536"/>
    </row>
    <row r="174" ht="14.25" customHeight="1">
      <c r="A174" s="536"/>
      <c r="B174" s="536"/>
      <c r="C174" s="536"/>
      <c r="D174" s="537"/>
      <c r="E174" s="538"/>
      <c r="F174" s="536"/>
      <c r="G174" s="536"/>
      <c r="H174" s="536"/>
      <c r="I174" s="536"/>
      <c r="J174" s="536"/>
      <c r="K174" s="536"/>
      <c r="L174" s="536"/>
      <c r="M174" s="536"/>
      <c r="N174" s="536"/>
      <c r="O174" s="536"/>
      <c r="P174" s="536"/>
      <c r="Q174" s="536"/>
      <c r="R174" s="536"/>
      <c r="S174" s="536"/>
      <c r="T174" s="536"/>
      <c r="U174" s="536"/>
      <c r="V174" s="536"/>
      <c r="W174" s="536"/>
      <c r="X174" s="536"/>
      <c r="Y174" s="536"/>
      <c r="Z174" s="536"/>
      <c r="AA174" s="536"/>
      <c r="AB174" s="536"/>
      <c r="AC174" s="536"/>
      <c r="AD174" s="536"/>
      <c r="AE174" s="536"/>
      <c r="AF174" s="536"/>
      <c r="AG174" s="536"/>
      <c r="AH174" s="536"/>
      <c r="AI174" s="536"/>
    </row>
    <row r="175" ht="14.25" customHeight="1">
      <c r="A175" s="536"/>
      <c r="B175" s="536"/>
      <c r="C175" s="536"/>
      <c r="D175" s="537"/>
      <c r="E175" s="538"/>
      <c r="F175" s="536"/>
      <c r="G175" s="536"/>
      <c r="H175" s="536"/>
      <c r="I175" s="536"/>
      <c r="J175" s="536"/>
      <c r="K175" s="536"/>
      <c r="L175" s="536"/>
      <c r="M175" s="536"/>
      <c r="N175" s="536"/>
      <c r="O175" s="536"/>
      <c r="P175" s="536"/>
      <c r="Q175" s="536"/>
      <c r="R175" s="536"/>
      <c r="S175" s="536"/>
      <c r="T175" s="536"/>
      <c r="U175" s="536"/>
      <c r="V175" s="536"/>
      <c r="W175" s="536"/>
      <c r="X175" s="536"/>
      <c r="Y175" s="536"/>
      <c r="Z175" s="536"/>
      <c r="AA175" s="536"/>
      <c r="AB175" s="536"/>
      <c r="AC175" s="536"/>
      <c r="AD175" s="536"/>
      <c r="AE175" s="536"/>
      <c r="AF175" s="536"/>
      <c r="AG175" s="536"/>
      <c r="AH175" s="536"/>
      <c r="AI175" s="536"/>
    </row>
    <row r="176" ht="14.25" customHeight="1">
      <c r="A176" s="536"/>
      <c r="B176" s="536"/>
      <c r="C176" s="536"/>
      <c r="D176" s="537"/>
      <c r="E176" s="538"/>
      <c r="F176" s="536"/>
      <c r="G176" s="536"/>
      <c r="H176" s="536"/>
      <c r="I176" s="536"/>
      <c r="J176" s="536"/>
      <c r="K176" s="536"/>
      <c r="L176" s="536"/>
      <c r="M176" s="536"/>
      <c r="N176" s="536"/>
      <c r="O176" s="536"/>
      <c r="P176" s="536"/>
      <c r="Q176" s="536"/>
      <c r="R176" s="536"/>
      <c r="S176" s="536"/>
      <c r="T176" s="536"/>
      <c r="U176" s="536"/>
      <c r="V176" s="536"/>
      <c r="W176" s="536"/>
      <c r="X176" s="536"/>
      <c r="Y176" s="536"/>
      <c r="Z176" s="536"/>
      <c r="AA176" s="536"/>
      <c r="AB176" s="536"/>
      <c r="AC176" s="536"/>
      <c r="AD176" s="536"/>
      <c r="AE176" s="536"/>
      <c r="AF176" s="536"/>
      <c r="AG176" s="536"/>
      <c r="AH176" s="536"/>
      <c r="AI176" s="536"/>
    </row>
    <row r="177" ht="14.25" customHeight="1">
      <c r="A177" s="536"/>
      <c r="B177" s="536"/>
      <c r="C177" s="536"/>
      <c r="D177" s="537"/>
      <c r="E177" s="538"/>
      <c r="F177" s="536"/>
      <c r="G177" s="536"/>
      <c r="H177" s="536"/>
      <c r="I177" s="536"/>
      <c r="J177" s="536"/>
      <c r="K177" s="536"/>
      <c r="L177" s="536"/>
      <c r="M177" s="536"/>
      <c r="N177" s="536"/>
      <c r="O177" s="536"/>
      <c r="P177" s="536"/>
      <c r="Q177" s="536"/>
      <c r="R177" s="536"/>
      <c r="S177" s="536"/>
      <c r="T177" s="536"/>
      <c r="U177" s="536"/>
      <c r="V177" s="536"/>
      <c r="W177" s="536"/>
      <c r="X177" s="536"/>
      <c r="Y177" s="536"/>
      <c r="Z177" s="536"/>
      <c r="AA177" s="536"/>
      <c r="AB177" s="536"/>
      <c r="AC177" s="536"/>
      <c r="AD177" s="536"/>
      <c r="AE177" s="536"/>
      <c r="AF177" s="536"/>
      <c r="AG177" s="536"/>
      <c r="AH177" s="536"/>
      <c r="AI177" s="536"/>
    </row>
    <row r="178" ht="14.25" customHeight="1">
      <c r="A178" s="536"/>
      <c r="B178" s="536"/>
      <c r="C178" s="536"/>
      <c r="D178" s="537"/>
      <c r="E178" s="538"/>
      <c r="F178" s="536"/>
      <c r="G178" s="536"/>
      <c r="H178" s="536"/>
      <c r="I178" s="536"/>
      <c r="J178" s="536"/>
      <c r="K178" s="536"/>
      <c r="L178" s="536"/>
      <c r="M178" s="536"/>
      <c r="N178" s="536"/>
      <c r="O178" s="536"/>
      <c r="P178" s="536"/>
      <c r="Q178" s="536"/>
      <c r="R178" s="536"/>
      <c r="S178" s="536"/>
      <c r="T178" s="536"/>
      <c r="U178" s="536"/>
      <c r="V178" s="536"/>
      <c r="W178" s="536"/>
      <c r="X178" s="536"/>
      <c r="Y178" s="536"/>
      <c r="Z178" s="536"/>
      <c r="AA178" s="536"/>
      <c r="AB178" s="536"/>
      <c r="AC178" s="536"/>
      <c r="AD178" s="536"/>
      <c r="AE178" s="536"/>
      <c r="AF178" s="536"/>
      <c r="AG178" s="536"/>
      <c r="AH178" s="536"/>
      <c r="AI178" s="536"/>
    </row>
    <row r="179" ht="14.25" customHeight="1">
      <c r="A179" s="536"/>
      <c r="B179" s="536"/>
      <c r="C179" s="536"/>
      <c r="D179" s="537"/>
      <c r="E179" s="538"/>
      <c r="F179" s="536"/>
      <c r="G179" s="536"/>
      <c r="H179" s="536"/>
      <c r="I179" s="536"/>
      <c r="J179" s="536"/>
      <c r="K179" s="536"/>
      <c r="L179" s="536"/>
      <c r="M179" s="536"/>
      <c r="N179" s="536"/>
      <c r="O179" s="536"/>
      <c r="P179" s="536"/>
      <c r="Q179" s="536"/>
      <c r="R179" s="536"/>
      <c r="S179" s="536"/>
      <c r="T179" s="536"/>
      <c r="U179" s="536"/>
      <c r="V179" s="536"/>
      <c r="W179" s="536"/>
      <c r="X179" s="536"/>
      <c r="Y179" s="536"/>
      <c r="Z179" s="536"/>
      <c r="AA179" s="536"/>
      <c r="AB179" s="536"/>
      <c r="AC179" s="536"/>
      <c r="AD179" s="536"/>
      <c r="AE179" s="536"/>
      <c r="AF179" s="536"/>
      <c r="AG179" s="536"/>
      <c r="AH179" s="536"/>
      <c r="AI179" s="536"/>
    </row>
    <row r="180" ht="14.25" customHeight="1">
      <c r="A180" s="536"/>
      <c r="B180" s="536"/>
      <c r="C180" s="536"/>
      <c r="D180" s="537"/>
      <c r="E180" s="538"/>
      <c r="F180" s="536"/>
      <c r="G180" s="536"/>
      <c r="H180" s="536"/>
      <c r="I180" s="536"/>
      <c r="J180" s="536"/>
      <c r="K180" s="536"/>
      <c r="L180" s="536"/>
      <c r="M180" s="536"/>
      <c r="N180" s="536"/>
      <c r="O180" s="536"/>
      <c r="P180" s="536"/>
      <c r="Q180" s="536"/>
      <c r="R180" s="536"/>
      <c r="S180" s="536"/>
      <c r="T180" s="536"/>
      <c r="U180" s="536"/>
      <c r="V180" s="536"/>
      <c r="W180" s="536"/>
      <c r="X180" s="536"/>
      <c r="Y180" s="536"/>
      <c r="Z180" s="536"/>
      <c r="AA180" s="536"/>
      <c r="AB180" s="536"/>
      <c r="AC180" s="536"/>
      <c r="AD180" s="536"/>
      <c r="AE180" s="536"/>
      <c r="AF180" s="536"/>
      <c r="AG180" s="536"/>
      <c r="AH180" s="536"/>
      <c r="AI180" s="536"/>
    </row>
    <row r="181" ht="14.25" customHeight="1">
      <c r="A181" s="536"/>
      <c r="B181" s="536"/>
      <c r="C181" s="536"/>
      <c r="D181" s="537"/>
      <c r="E181" s="538"/>
      <c r="F181" s="536"/>
      <c r="G181" s="536"/>
      <c r="H181" s="536"/>
      <c r="I181" s="536"/>
      <c r="J181" s="536"/>
      <c r="K181" s="536"/>
      <c r="L181" s="536"/>
      <c r="M181" s="536"/>
      <c r="N181" s="536"/>
      <c r="O181" s="536"/>
      <c r="P181" s="536"/>
      <c r="Q181" s="536"/>
      <c r="R181" s="536"/>
      <c r="S181" s="536"/>
      <c r="T181" s="536"/>
      <c r="U181" s="536"/>
      <c r="V181" s="536"/>
      <c r="W181" s="536"/>
      <c r="X181" s="536"/>
      <c r="Y181" s="536"/>
      <c r="Z181" s="536"/>
      <c r="AA181" s="536"/>
      <c r="AB181" s="536"/>
      <c r="AC181" s="536"/>
      <c r="AD181" s="536"/>
      <c r="AE181" s="536"/>
      <c r="AF181" s="536"/>
      <c r="AG181" s="536"/>
      <c r="AH181" s="536"/>
      <c r="AI181" s="536"/>
    </row>
    <row r="182" ht="14.25" customHeight="1">
      <c r="A182" s="536"/>
      <c r="B182" s="536"/>
      <c r="C182" s="536"/>
      <c r="D182" s="537"/>
      <c r="E182" s="538"/>
      <c r="F182" s="536"/>
      <c r="G182" s="536"/>
      <c r="H182" s="536"/>
      <c r="I182" s="536"/>
      <c r="J182" s="536"/>
      <c r="K182" s="536"/>
      <c r="L182" s="536"/>
      <c r="M182" s="536"/>
      <c r="N182" s="536"/>
      <c r="O182" s="536"/>
      <c r="P182" s="536"/>
      <c r="Q182" s="536"/>
      <c r="R182" s="536"/>
      <c r="S182" s="536"/>
      <c r="T182" s="536"/>
      <c r="U182" s="536"/>
      <c r="V182" s="536"/>
      <c r="W182" s="536"/>
      <c r="X182" s="536"/>
      <c r="Y182" s="536"/>
      <c r="Z182" s="536"/>
      <c r="AA182" s="536"/>
      <c r="AB182" s="536"/>
      <c r="AC182" s="536"/>
      <c r="AD182" s="536"/>
      <c r="AE182" s="536"/>
      <c r="AF182" s="536"/>
      <c r="AG182" s="536"/>
      <c r="AH182" s="536"/>
      <c r="AI182" s="536"/>
    </row>
    <row r="183" ht="14.25" customHeight="1">
      <c r="A183" s="536"/>
      <c r="B183" s="536"/>
      <c r="C183" s="536"/>
      <c r="D183" s="537"/>
      <c r="E183" s="538"/>
      <c r="F183" s="536"/>
      <c r="G183" s="536"/>
      <c r="H183" s="536"/>
      <c r="I183" s="536"/>
      <c r="J183" s="536"/>
      <c r="K183" s="536"/>
      <c r="L183" s="536"/>
      <c r="M183" s="536"/>
      <c r="N183" s="536"/>
      <c r="O183" s="536"/>
      <c r="P183" s="536"/>
      <c r="Q183" s="536"/>
      <c r="R183" s="536"/>
      <c r="S183" s="536"/>
      <c r="T183" s="536"/>
      <c r="U183" s="536"/>
      <c r="V183" s="536"/>
      <c r="W183" s="536"/>
      <c r="X183" s="536"/>
      <c r="Y183" s="536"/>
      <c r="Z183" s="536"/>
      <c r="AA183" s="536"/>
      <c r="AB183" s="536"/>
      <c r="AC183" s="536"/>
      <c r="AD183" s="536"/>
      <c r="AE183" s="536"/>
      <c r="AF183" s="536"/>
      <c r="AG183" s="536"/>
      <c r="AH183" s="536"/>
      <c r="AI183" s="536"/>
    </row>
    <row r="184" ht="14.25" customHeight="1">
      <c r="A184" s="536"/>
      <c r="B184" s="536"/>
      <c r="C184" s="536"/>
      <c r="D184" s="537"/>
      <c r="E184" s="538"/>
      <c r="F184" s="536"/>
      <c r="G184" s="536"/>
      <c r="H184" s="536"/>
      <c r="I184" s="536"/>
      <c r="J184" s="536"/>
      <c r="K184" s="536"/>
      <c r="L184" s="536"/>
      <c r="M184" s="536"/>
      <c r="N184" s="536"/>
      <c r="O184" s="536"/>
      <c r="P184" s="536"/>
      <c r="Q184" s="536"/>
      <c r="R184" s="536"/>
      <c r="S184" s="536"/>
      <c r="T184" s="536"/>
      <c r="U184" s="536"/>
      <c r="V184" s="536"/>
      <c r="W184" s="536"/>
      <c r="X184" s="536"/>
      <c r="Y184" s="536"/>
      <c r="Z184" s="536"/>
      <c r="AA184" s="536"/>
      <c r="AB184" s="536"/>
      <c r="AC184" s="536"/>
      <c r="AD184" s="536"/>
      <c r="AE184" s="536"/>
      <c r="AF184" s="536"/>
      <c r="AG184" s="536"/>
      <c r="AH184" s="536"/>
      <c r="AI184" s="536"/>
    </row>
    <row r="185" ht="14.25" customHeight="1">
      <c r="A185" s="536"/>
      <c r="B185" s="536"/>
      <c r="C185" s="536"/>
      <c r="D185" s="537"/>
      <c r="E185" s="538"/>
      <c r="F185" s="536"/>
      <c r="G185" s="536"/>
      <c r="H185" s="536"/>
      <c r="I185" s="536"/>
      <c r="J185" s="536"/>
      <c r="K185" s="536"/>
      <c r="L185" s="536"/>
      <c r="M185" s="536"/>
      <c r="N185" s="536"/>
      <c r="O185" s="536"/>
      <c r="P185" s="536"/>
      <c r="Q185" s="536"/>
      <c r="R185" s="536"/>
      <c r="S185" s="536"/>
      <c r="T185" s="536"/>
      <c r="U185" s="536"/>
      <c r="V185" s="536"/>
      <c r="W185" s="536"/>
      <c r="X185" s="536"/>
      <c r="Y185" s="536"/>
      <c r="Z185" s="536"/>
      <c r="AA185" s="536"/>
      <c r="AB185" s="536"/>
      <c r="AC185" s="536"/>
      <c r="AD185" s="536"/>
      <c r="AE185" s="536"/>
      <c r="AF185" s="536"/>
      <c r="AG185" s="536"/>
      <c r="AH185" s="536"/>
      <c r="AI185" s="536"/>
    </row>
    <row r="186" ht="14.25" customHeight="1">
      <c r="A186" s="559"/>
      <c r="B186" s="556"/>
      <c r="C186" s="559"/>
      <c r="D186" s="537"/>
      <c r="E186" s="538"/>
      <c r="F186" s="559"/>
      <c r="G186" s="559"/>
      <c r="H186" s="536"/>
      <c r="I186" s="536"/>
      <c r="J186" s="536"/>
      <c r="K186" s="536"/>
      <c r="L186" s="536"/>
      <c r="M186" s="536"/>
      <c r="N186" s="559"/>
      <c r="O186" s="538"/>
      <c r="P186" s="559"/>
      <c r="Q186" s="536"/>
      <c r="R186" s="536"/>
      <c r="S186" s="559"/>
      <c r="T186" s="536"/>
      <c r="U186" s="536"/>
      <c r="V186" s="536"/>
      <c r="W186" s="536"/>
      <c r="X186" s="536"/>
      <c r="Y186" s="536"/>
      <c r="Z186" s="536"/>
      <c r="AA186" s="536"/>
      <c r="AB186" s="536"/>
      <c r="AC186" s="536"/>
      <c r="AD186" s="536"/>
      <c r="AE186" s="536"/>
      <c r="AF186" s="536"/>
      <c r="AG186" s="536"/>
      <c r="AH186" s="536"/>
      <c r="AI186" s="536"/>
    </row>
    <row r="187" ht="14.25" customHeight="1">
      <c r="A187" s="559"/>
      <c r="B187" s="556"/>
      <c r="C187" s="559"/>
      <c r="D187" s="537"/>
      <c r="E187" s="538"/>
      <c r="F187" s="559"/>
      <c r="G187" s="559"/>
      <c r="H187" s="536"/>
      <c r="I187" s="536"/>
      <c r="J187" s="536"/>
      <c r="K187" s="536"/>
      <c r="L187" s="536"/>
      <c r="M187" s="536"/>
      <c r="N187" s="559"/>
      <c r="O187" s="538"/>
      <c r="P187" s="559"/>
      <c r="Q187" s="536"/>
      <c r="R187" s="536"/>
      <c r="S187" s="536"/>
      <c r="T187" s="536"/>
      <c r="U187" s="536"/>
      <c r="V187" s="536"/>
      <c r="W187" s="536"/>
      <c r="X187" s="536"/>
      <c r="Y187" s="536"/>
      <c r="Z187" s="536"/>
      <c r="AA187" s="536"/>
      <c r="AB187" s="536"/>
      <c r="AC187" s="536"/>
      <c r="AD187" s="536"/>
      <c r="AE187" s="536"/>
      <c r="AF187" s="536"/>
      <c r="AG187" s="536"/>
      <c r="AH187" s="536"/>
      <c r="AI187" s="536"/>
    </row>
    <row r="188" ht="14.25" customHeight="1">
      <c r="A188" s="559"/>
      <c r="B188" s="556"/>
      <c r="C188" s="559"/>
      <c r="D188" s="537"/>
      <c r="E188" s="538"/>
      <c r="F188" s="559"/>
      <c r="G188" s="559"/>
      <c r="H188" s="536"/>
      <c r="I188" s="536"/>
      <c r="J188" s="536"/>
      <c r="K188" s="536"/>
      <c r="L188" s="536"/>
      <c r="M188" s="536"/>
      <c r="N188" s="559"/>
      <c r="O188" s="538"/>
      <c r="P188" s="559"/>
      <c r="Q188" s="536"/>
      <c r="R188" s="536"/>
      <c r="S188" s="559"/>
      <c r="T188" s="536"/>
      <c r="U188" s="536"/>
      <c r="V188" s="536"/>
      <c r="W188" s="536"/>
      <c r="X188" s="536"/>
      <c r="Y188" s="536"/>
      <c r="Z188" s="536"/>
      <c r="AA188" s="536"/>
      <c r="AB188" s="536"/>
      <c r="AC188" s="536"/>
      <c r="AD188" s="536"/>
      <c r="AE188" s="536"/>
      <c r="AF188" s="536"/>
      <c r="AG188" s="536"/>
      <c r="AH188" s="536"/>
      <c r="AI188" s="536"/>
    </row>
    <row r="189" ht="14.25" customHeight="1">
      <c r="A189" s="559"/>
      <c r="B189" s="559"/>
      <c r="C189" s="559"/>
      <c r="D189" s="537"/>
      <c r="E189" s="538"/>
      <c r="F189" s="559"/>
      <c r="G189" s="559"/>
      <c r="H189" s="536"/>
      <c r="I189" s="536"/>
      <c r="J189" s="536"/>
      <c r="K189" s="536"/>
      <c r="L189" s="536"/>
      <c r="M189" s="536"/>
      <c r="N189" s="559"/>
      <c r="O189" s="559"/>
      <c r="P189" s="559"/>
      <c r="Q189" s="536"/>
      <c r="R189" s="536"/>
      <c r="S189" s="559"/>
      <c r="T189" s="536"/>
      <c r="U189" s="536"/>
      <c r="V189" s="536"/>
      <c r="W189" s="536"/>
      <c r="X189" s="536"/>
      <c r="Y189" s="536"/>
      <c r="Z189" s="536"/>
      <c r="AA189" s="536"/>
      <c r="AB189" s="536"/>
      <c r="AC189" s="536"/>
      <c r="AD189" s="536"/>
      <c r="AE189" s="536"/>
      <c r="AF189" s="536"/>
      <c r="AG189" s="536"/>
      <c r="AH189" s="536"/>
      <c r="AI189" s="536"/>
    </row>
    <row r="190" ht="14.25" customHeight="1">
      <c r="A190" s="559"/>
      <c r="B190" s="559"/>
      <c r="C190" s="559"/>
      <c r="D190" s="537"/>
      <c r="E190" s="538"/>
      <c r="F190" s="559"/>
      <c r="G190" s="559"/>
      <c r="H190" s="536"/>
      <c r="I190" s="536"/>
      <c r="J190" s="536"/>
      <c r="K190" s="536"/>
      <c r="L190" s="536"/>
      <c r="M190" s="536"/>
      <c r="N190" s="559"/>
      <c r="O190" s="559"/>
      <c r="P190" s="559"/>
      <c r="Q190" s="536"/>
      <c r="R190" s="536"/>
      <c r="S190" s="559"/>
      <c r="T190" s="536"/>
      <c r="U190" s="536"/>
      <c r="V190" s="536"/>
      <c r="W190" s="536"/>
      <c r="X190" s="536"/>
      <c r="Y190" s="536"/>
      <c r="Z190" s="536"/>
      <c r="AA190" s="536"/>
      <c r="AB190" s="536"/>
      <c r="AC190" s="536"/>
      <c r="AD190" s="536"/>
      <c r="AE190" s="536"/>
      <c r="AF190" s="536"/>
      <c r="AG190" s="536"/>
      <c r="AH190" s="536"/>
      <c r="AI190" s="536"/>
    </row>
    <row r="191" ht="14.25" customHeight="1">
      <c r="A191" s="559"/>
      <c r="B191" s="559"/>
      <c r="C191" s="559"/>
      <c r="D191" s="537"/>
      <c r="E191" s="538"/>
      <c r="F191" s="559"/>
      <c r="G191" s="559"/>
      <c r="H191" s="536"/>
      <c r="I191" s="558"/>
      <c r="J191" s="558"/>
      <c r="K191" s="557"/>
      <c r="L191" s="557"/>
      <c r="M191" s="557"/>
      <c r="N191" s="559"/>
      <c r="O191" s="559"/>
      <c r="P191" s="559"/>
      <c r="Q191" s="536"/>
      <c r="R191" s="536"/>
      <c r="S191" s="559"/>
      <c r="T191" s="536"/>
      <c r="U191" s="536"/>
      <c r="V191" s="536"/>
      <c r="W191" s="536"/>
      <c r="X191" s="536"/>
      <c r="Y191" s="536"/>
      <c r="Z191" s="536"/>
      <c r="AA191" s="536"/>
      <c r="AB191" s="536"/>
      <c r="AC191" s="536"/>
      <c r="AD191" s="536"/>
      <c r="AE191" s="536"/>
      <c r="AF191" s="536"/>
      <c r="AG191" s="536"/>
      <c r="AH191" s="536"/>
      <c r="AI191" s="536"/>
    </row>
    <row r="192" ht="14.25" customHeight="1">
      <c r="A192" s="559"/>
      <c r="B192" s="559"/>
      <c r="C192" s="559"/>
      <c r="D192" s="537"/>
      <c r="E192" s="538"/>
      <c r="F192" s="559"/>
      <c r="G192" s="559"/>
      <c r="H192" s="536"/>
      <c r="I192" s="558"/>
      <c r="J192" s="558"/>
      <c r="K192" s="557"/>
      <c r="L192" s="557"/>
      <c r="M192" s="557"/>
      <c r="N192" s="559"/>
      <c r="O192" s="558"/>
      <c r="P192" s="559"/>
      <c r="Q192" s="536"/>
      <c r="R192" s="536"/>
      <c r="S192" s="559"/>
      <c r="T192" s="536"/>
      <c r="U192" s="536"/>
      <c r="V192" s="536"/>
      <c r="W192" s="536"/>
      <c r="X192" s="536"/>
      <c r="Y192" s="536"/>
      <c r="Z192" s="536"/>
      <c r="AA192" s="536"/>
      <c r="AB192" s="536"/>
      <c r="AC192" s="536"/>
      <c r="AD192" s="536"/>
      <c r="AE192" s="536"/>
      <c r="AF192" s="536"/>
      <c r="AG192" s="536"/>
      <c r="AH192" s="536"/>
      <c r="AI192" s="536"/>
    </row>
    <row r="193" ht="14.25" customHeight="1">
      <c r="A193" s="559"/>
      <c r="B193" s="536"/>
      <c r="C193" s="556"/>
      <c r="D193" s="537"/>
      <c r="E193" s="538"/>
      <c r="F193" s="536"/>
      <c r="G193" s="536"/>
      <c r="H193" s="536"/>
      <c r="I193" s="558"/>
      <c r="J193" s="558"/>
      <c r="K193" s="538"/>
      <c r="L193" s="557"/>
      <c r="M193" s="557"/>
      <c r="N193" s="558"/>
      <c r="O193" s="558"/>
      <c r="P193" s="536"/>
      <c r="Q193" s="536"/>
      <c r="R193" s="559"/>
      <c r="S193" s="536"/>
      <c r="T193" s="536"/>
      <c r="U193" s="536"/>
      <c r="V193" s="536"/>
      <c r="W193" s="536"/>
      <c r="X193" s="536"/>
      <c r="Y193" s="536"/>
      <c r="Z193" s="536"/>
      <c r="AA193" s="536"/>
      <c r="AB193" s="536"/>
      <c r="AC193" s="536"/>
      <c r="AD193" s="536"/>
      <c r="AE193" s="536"/>
      <c r="AF193" s="536"/>
      <c r="AG193" s="536"/>
      <c r="AH193" s="536"/>
      <c r="AI193" s="536"/>
    </row>
    <row r="194" ht="14.25" customHeight="1">
      <c r="A194" s="536"/>
      <c r="B194" s="536"/>
      <c r="C194" s="536"/>
      <c r="D194" s="537"/>
      <c r="E194" s="538"/>
      <c r="F194" s="536"/>
      <c r="G194" s="536"/>
      <c r="H194" s="536"/>
      <c r="I194" s="536"/>
      <c r="J194" s="536"/>
      <c r="K194" s="536"/>
      <c r="L194" s="536"/>
      <c r="M194" s="536"/>
      <c r="N194" s="536"/>
      <c r="O194" s="536"/>
      <c r="P194" s="536"/>
      <c r="Q194" s="536"/>
      <c r="R194" s="536"/>
      <c r="S194" s="536"/>
      <c r="T194" s="536"/>
      <c r="U194" s="536"/>
      <c r="V194" s="536"/>
      <c r="W194" s="536"/>
      <c r="X194" s="536"/>
      <c r="Y194" s="536"/>
      <c r="Z194" s="536"/>
      <c r="AA194" s="536"/>
      <c r="AB194" s="536"/>
      <c r="AC194" s="536"/>
      <c r="AD194" s="536"/>
      <c r="AE194" s="536"/>
      <c r="AF194" s="536"/>
      <c r="AG194" s="536"/>
      <c r="AH194" s="536"/>
      <c r="AI194" s="536"/>
    </row>
    <row r="195" ht="14.25" customHeight="1">
      <c r="A195" s="536"/>
      <c r="B195" s="536"/>
      <c r="C195" s="536"/>
      <c r="D195" s="537"/>
      <c r="E195" s="538"/>
      <c r="F195" s="536"/>
      <c r="G195" s="536"/>
      <c r="H195" s="536"/>
      <c r="I195" s="536"/>
      <c r="J195" s="536"/>
      <c r="K195" s="536"/>
      <c r="L195" s="536"/>
      <c r="M195" s="536"/>
      <c r="N195" s="536"/>
      <c r="O195" s="536"/>
      <c r="P195" s="536"/>
      <c r="Q195" s="536"/>
      <c r="R195" s="536"/>
      <c r="S195" s="536"/>
      <c r="T195" s="536"/>
      <c r="U195" s="536"/>
      <c r="V195" s="536"/>
      <c r="W195" s="536"/>
      <c r="X195" s="536"/>
      <c r="Y195" s="536"/>
      <c r="Z195" s="536"/>
      <c r="AA195" s="536"/>
      <c r="AB195" s="536"/>
      <c r="AC195" s="536"/>
      <c r="AD195" s="536"/>
      <c r="AE195" s="536"/>
      <c r="AF195" s="536"/>
      <c r="AG195" s="536"/>
      <c r="AH195" s="536"/>
      <c r="AI195" s="536"/>
    </row>
    <row r="196" ht="14.25" customHeight="1">
      <c r="A196" s="536"/>
      <c r="B196" s="536"/>
      <c r="C196" s="536"/>
      <c r="D196" s="537"/>
      <c r="E196" s="538"/>
      <c r="F196" s="536"/>
      <c r="G196" s="536"/>
      <c r="H196" s="536"/>
      <c r="I196" s="536"/>
      <c r="J196" s="536"/>
      <c r="K196" s="536"/>
      <c r="L196" s="536"/>
      <c r="M196" s="536"/>
      <c r="N196" s="536"/>
      <c r="O196" s="536"/>
      <c r="P196" s="536"/>
      <c r="Q196" s="536"/>
      <c r="R196" s="536"/>
      <c r="S196" s="536"/>
      <c r="T196" s="536"/>
      <c r="U196" s="536"/>
      <c r="V196" s="536"/>
      <c r="W196" s="536"/>
      <c r="X196" s="536"/>
      <c r="Y196" s="536"/>
      <c r="Z196" s="536"/>
      <c r="AA196" s="536"/>
      <c r="AB196" s="536"/>
      <c r="AC196" s="536"/>
      <c r="AD196" s="536"/>
      <c r="AE196" s="536"/>
      <c r="AF196" s="536"/>
      <c r="AG196" s="536"/>
      <c r="AH196" s="536"/>
      <c r="AI196" s="536"/>
    </row>
    <row r="197" ht="14.25" customHeight="1">
      <c r="A197" s="536"/>
      <c r="B197" s="536"/>
      <c r="C197" s="536"/>
      <c r="D197" s="537"/>
      <c r="E197" s="538"/>
      <c r="F197" s="536"/>
      <c r="G197" s="536"/>
      <c r="H197" s="536"/>
      <c r="I197" s="536"/>
      <c r="J197" s="536"/>
      <c r="K197" s="536"/>
      <c r="L197" s="536"/>
      <c r="M197" s="536"/>
      <c r="N197" s="536"/>
      <c r="O197" s="536"/>
      <c r="P197" s="536"/>
      <c r="Q197" s="536"/>
      <c r="R197" s="536"/>
      <c r="S197" s="536"/>
      <c r="T197" s="536"/>
      <c r="U197" s="536"/>
      <c r="V197" s="536"/>
      <c r="W197" s="536"/>
      <c r="X197" s="536"/>
      <c r="Y197" s="536"/>
      <c r="Z197" s="536"/>
      <c r="AA197" s="536"/>
      <c r="AB197" s="536"/>
      <c r="AC197" s="536"/>
      <c r="AD197" s="536"/>
      <c r="AE197" s="536"/>
      <c r="AF197" s="536"/>
      <c r="AG197" s="536"/>
      <c r="AH197" s="536"/>
      <c r="AI197" s="536"/>
    </row>
    <row r="198" ht="14.25" customHeight="1">
      <c r="A198" s="536"/>
      <c r="B198" s="536"/>
      <c r="C198" s="536"/>
      <c r="D198" s="537"/>
      <c r="E198" s="538"/>
      <c r="F198" s="536"/>
      <c r="G198" s="536"/>
      <c r="H198" s="536"/>
      <c r="I198" s="536"/>
      <c r="J198" s="536"/>
      <c r="K198" s="536"/>
      <c r="L198" s="536"/>
      <c r="M198" s="536"/>
      <c r="N198" s="536"/>
      <c r="O198" s="536"/>
      <c r="P198" s="536"/>
      <c r="Q198" s="536"/>
      <c r="R198" s="536"/>
      <c r="S198" s="536"/>
      <c r="T198" s="536"/>
      <c r="U198" s="536"/>
      <c r="V198" s="536"/>
      <c r="W198" s="536"/>
      <c r="X198" s="536"/>
      <c r="Y198" s="536"/>
      <c r="Z198" s="536"/>
      <c r="AA198" s="536"/>
      <c r="AB198" s="536"/>
      <c r="AC198" s="536"/>
      <c r="AD198" s="536"/>
      <c r="AE198" s="536"/>
      <c r="AF198" s="536"/>
      <c r="AG198" s="536"/>
      <c r="AH198" s="536"/>
      <c r="AI198" s="536"/>
    </row>
    <row r="199" ht="14.25" customHeight="1">
      <c r="A199" s="536"/>
      <c r="B199" s="536"/>
      <c r="C199" s="536"/>
      <c r="D199" s="537"/>
      <c r="E199" s="538"/>
      <c r="F199" s="536"/>
      <c r="G199" s="536"/>
      <c r="H199" s="536"/>
      <c r="I199" s="536"/>
      <c r="J199" s="536"/>
      <c r="K199" s="536"/>
      <c r="L199" s="536"/>
      <c r="M199" s="536"/>
      <c r="N199" s="536"/>
      <c r="O199" s="536"/>
      <c r="P199" s="536"/>
      <c r="Q199" s="536"/>
      <c r="R199" s="536"/>
      <c r="S199" s="536"/>
      <c r="T199" s="536"/>
      <c r="U199" s="536"/>
      <c r="V199" s="536"/>
      <c r="W199" s="536"/>
      <c r="X199" s="536"/>
      <c r="Y199" s="536"/>
      <c r="Z199" s="536"/>
      <c r="AA199" s="536"/>
      <c r="AB199" s="536"/>
      <c r="AC199" s="536"/>
      <c r="AD199" s="536"/>
      <c r="AE199" s="536"/>
      <c r="AF199" s="536"/>
      <c r="AG199" s="536"/>
      <c r="AH199" s="536"/>
      <c r="AI199" s="536"/>
    </row>
    <row r="200" ht="14.25" customHeight="1">
      <c r="A200" s="536"/>
      <c r="B200" s="536"/>
      <c r="C200" s="536"/>
      <c r="D200" s="537"/>
      <c r="E200" s="538"/>
      <c r="F200" s="536"/>
      <c r="G200" s="536"/>
      <c r="H200" s="536"/>
      <c r="I200" s="536"/>
      <c r="J200" s="536"/>
      <c r="K200" s="536"/>
      <c r="L200" s="536"/>
      <c r="M200" s="536"/>
      <c r="N200" s="536"/>
      <c r="O200" s="536"/>
      <c r="P200" s="536"/>
      <c r="Q200" s="536"/>
      <c r="R200" s="536"/>
      <c r="S200" s="536"/>
      <c r="T200" s="536"/>
      <c r="U200" s="536"/>
      <c r="V200" s="536"/>
      <c r="W200" s="536"/>
      <c r="X200" s="536"/>
      <c r="Y200" s="536"/>
      <c r="Z200" s="536"/>
      <c r="AA200" s="536"/>
      <c r="AB200" s="536"/>
      <c r="AC200" s="536"/>
      <c r="AD200" s="536"/>
      <c r="AE200" s="536"/>
      <c r="AF200" s="536"/>
      <c r="AG200" s="536"/>
      <c r="AH200" s="536"/>
      <c r="AI200" s="536"/>
    </row>
    <row r="201" ht="14.25" customHeight="1">
      <c r="A201" s="536"/>
      <c r="B201" s="536"/>
      <c r="C201" s="536"/>
      <c r="D201" s="537"/>
      <c r="E201" s="538"/>
      <c r="F201" s="536"/>
      <c r="G201" s="536"/>
      <c r="H201" s="536"/>
      <c r="I201" s="536"/>
      <c r="J201" s="536"/>
      <c r="K201" s="536"/>
      <c r="L201" s="536"/>
      <c r="M201" s="536"/>
      <c r="N201" s="536"/>
      <c r="O201" s="536"/>
      <c r="P201" s="536"/>
      <c r="Q201" s="536"/>
      <c r="R201" s="536"/>
      <c r="S201" s="536"/>
      <c r="T201" s="536"/>
      <c r="U201" s="536"/>
      <c r="V201" s="536"/>
      <c r="W201" s="536"/>
      <c r="X201" s="536"/>
      <c r="Y201" s="536"/>
      <c r="Z201" s="536"/>
      <c r="AA201" s="536"/>
      <c r="AB201" s="536"/>
      <c r="AC201" s="536"/>
      <c r="AD201" s="536"/>
      <c r="AE201" s="536"/>
      <c r="AF201" s="536"/>
      <c r="AG201" s="536"/>
      <c r="AH201" s="536"/>
      <c r="AI201" s="536"/>
    </row>
    <row r="202" ht="14.25" customHeight="1">
      <c r="A202" s="536"/>
      <c r="B202" s="536"/>
      <c r="C202" s="536"/>
      <c r="D202" s="537"/>
      <c r="E202" s="538"/>
      <c r="F202" s="536"/>
      <c r="G202" s="536"/>
      <c r="H202" s="536"/>
      <c r="I202" s="536"/>
      <c r="J202" s="536"/>
      <c r="K202" s="536"/>
      <c r="L202" s="536"/>
      <c r="M202" s="536"/>
      <c r="N202" s="536"/>
      <c r="O202" s="536"/>
      <c r="P202" s="536"/>
      <c r="Q202" s="536"/>
      <c r="R202" s="536"/>
      <c r="S202" s="536"/>
      <c r="T202" s="536"/>
      <c r="U202" s="536"/>
      <c r="V202" s="536"/>
      <c r="W202" s="536"/>
      <c r="X202" s="536"/>
      <c r="Y202" s="536"/>
      <c r="Z202" s="536"/>
      <c r="AA202" s="536"/>
      <c r="AB202" s="536"/>
      <c r="AC202" s="536"/>
      <c r="AD202" s="536"/>
      <c r="AE202" s="536"/>
      <c r="AF202" s="536"/>
      <c r="AG202" s="536"/>
      <c r="AH202" s="536"/>
      <c r="AI202" s="536"/>
    </row>
    <row r="203" ht="14.25" customHeight="1">
      <c r="A203" s="536"/>
      <c r="B203" s="536"/>
      <c r="C203" s="536"/>
      <c r="D203" s="537"/>
      <c r="E203" s="538"/>
      <c r="F203" s="536"/>
      <c r="G203" s="536"/>
      <c r="H203" s="536"/>
      <c r="I203" s="536"/>
      <c r="J203" s="536"/>
      <c r="K203" s="536"/>
      <c r="L203" s="536"/>
      <c r="M203" s="536"/>
      <c r="N203" s="536"/>
      <c r="O203" s="536"/>
      <c r="P203" s="536"/>
      <c r="Q203" s="536"/>
      <c r="R203" s="536"/>
      <c r="S203" s="536"/>
      <c r="T203" s="536"/>
      <c r="U203" s="536"/>
      <c r="V203" s="536"/>
      <c r="W203" s="536"/>
      <c r="X203" s="536"/>
      <c r="Y203" s="536"/>
      <c r="Z203" s="536"/>
      <c r="AA203" s="536"/>
      <c r="AB203" s="536"/>
      <c r="AC203" s="536"/>
      <c r="AD203" s="536"/>
      <c r="AE203" s="536"/>
      <c r="AF203" s="536"/>
      <c r="AG203" s="536"/>
      <c r="AH203" s="536"/>
      <c r="AI203" s="536"/>
    </row>
    <row r="204" ht="14.25" customHeight="1">
      <c r="A204" s="536"/>
      <c r="B204" s="536"/>
      <c r="C204" s="536"/>
      <c r="D204" s="537"/>
      <c r="E204" s="538"/>
      <c r="F204" s="536"/>
      <c r="G204" s="536"/>
      <c r="H204" s="536"/>
      <c r="I204" s="536"/>
      <c r="J204" s="536"/>
      <c r="K204" s="536"/>
      <c r="L204" s="536"/>
      <c r="M204" s="536"/>
      <c r="N204" s="536"/>
      <c r="O204" s="536"/>
      <c r="P204" s="536"/>
      <c r="Q204" s="536"/>
      <c r="R204" s="536"/>
      <c r="S204" s="536"/>
      <c r="T204" s="536"/>
      <c r="U204" s="536"/>
      <c r="V204" s="536"/>
      <c r="W204" s="536"/>
      <c r="X204" s="536"/>
      <c r="Y204" s="536"/>
      <c r="Z204" s="536"/>
      <c r="AA204" s="536"/>
      <c r="AB204" s="536"/>
      <c r="AC204" s="536"/>
      <c r="AD204" s="536"/>
      <c r="AE204" s="536"/>
      <c r="AF204" s="536"/>
      <c r="AG204" s="536"/>
      <c r="AH204" s="536"/>
      <c r="AI204" s="536"/>
    </row>
    <row r="205" ht="14.25" customHeight="1">
      <c r="A205" s="536"/>
      <c r="B205" s="536"/>
      <c r="C205" s="536"/>
      <c r="D205" s="537"/>
      <c r="E205" s="538"/>
      <c r="F205" s="536"/>
      <c r="G205" s="536"/>
      <c r="H205" s="536"/>
      <c r="I205" s="536"/>
      <c r="J205" s="536"/>
      <c r="K205" s="536"/>
      <c r="L205" s="536"/>
      <c r="M205" s="536"/>
      <c r="N205" s="536"/>
      <c r="O205" s="536"/>
      <c r="P205" s="536"/>
      <c r="Q205" s="536"/>
      <c r="R205" s="536"/>
      <c r="S205" s="536"/>
      <c r="T205" s="536"/>
      <c r="U205" s="536"/>
      <c r="V205" s="536"/>
      <c r="W205" s="536"/>
      <c r="X205" s="536"/>
      <c r="Y205" s="536"/>
      <c r="Z205" s="536"/>
      <c r="AA205" s="536"/>
      <c r="AB205" s="536"/>
      <c r="AC205" s="536"/>
      <c r="AD205" s="536"/>
      <c r="AE205" s="536"/>
      <c r="AF205" s="536"/>
      <c r="AG205" s="536"/>
      <c r="AH205" s="536"/>
      <c r="AI205" s="536"/>
    </row>
    <row r="206" ht="14.25" customHeight="1">
      <c r="A206" s="536"/>
      <c r="B206" s="536"/>
      <c r="C206" s="536"/>
      <c r="D206" s="537"/>
      <c r="E206" s="538"/>
      <c r="F206" s="536"/>
      <c r="G206" s="536"/>
      <c r="H206" s="536"/>
      <c r="I206" s="536"/>
      <c r="J206" s="536"/>
      <c r="K206" s="536"/>
      <c r="L206" s="536"/>
      <c r="M206" s="536"/>
      <c r="N206" s="536"/>
      <c r="O206" s="536"/>
      <c r="P206" s="536"/>
      <c r="Q206" s="536"/>
      <c r="R206" s="536"/>
      <c r="S206" s="536"/>
      <c r="T206" s="536"/>
      <c r="U206" s="536"/>
      <c r="V206" s="536"/>
      <c r="W206" s="536"/>
      <c r="X206" s="536"/>
      <c r="Y206" s="536"/>
      <c r="Z206" s="536"/>
      <c r="AA206" s="536"/>
      <c r="AB206" s="536"/>
      <c r="AC206" s="536"/>
      <c r="AD206" s="536"/>
      <c r="AE206" s="536"/>
      <c r="AF206" s="536"/>
      <c r="AG206" s="536"/>
      <c r="AH206" s="536"/>
      <c r="AI206" s="536"/>
    </row>
    <row r="207" ht="14.25" customHeight="1">
      <c r="A207" s="536"/>
      <c r="B207" s="536"/>
      <c r="C207" s="536"/>
      <c r="D207" s="537"/>
      <c r="E207" s="538"/>
      <c r="F207" s="536"/>
      <c r="G207" s="536"/>
      <c r="H207" s="536"/>
      <c r="I207" s="536"/>
      <c r="J207" s="536"/>
      <c r="K207" s="536"/>
      <c r="L207" s="536"/>
      <c r="M207" s="536"/>
      <c r="N207" s="536"/>
      <c r="O207" s="536"/>
      <c r="P207" s="536"/>
      <c r="Q207" s="536"/>
      <c r="R207" s="536"/>
      <c r="S207" s="536"/>
      <c r="T207" s="536"/>
      <c r="U207" s="536"/>
      <c r="V207" s="536"/>
      <c r="W207" s="536"/>
      <c r="X207" s="536"/>
      <c r="Y207" s="536"/>
      <c r="Z207" s="536"/>
      <c r="AA207" s="536"/>
      <c r="AB207" s="536"/>
      <c r="AC207" s="536"/>
      <c r="AD207" s="536"/>
      <c r="AE207" s="536"/>
      <c r="AF207" s="536"/>
      <c r="AG207" s="536"/>
      <c r="AH207" s="536"/>
      <c r="AI207" s="536"/>
    </row>
    <row r="208" ht="14.25" customHeight="1">
      <c r="A208" s="536"/>
      <c r="B208" s="536"/>
      <c r="C208" s="536"/>
      <c r="D208" s="537"/>
      <c r="E208" s="538"/>
      <c r="F208" s="536"/>
      <c r="G208" s="536"/>
      <c r="H208" s="536"/>
      <c r="I208" s="536"/>
      <c r="J208" s="536"/>
      <c r="K208" s="536"/>
      <c r="L208" s="536"/>
      <c r="M208" s="536"/>
      <c r="N208" s="536"/>
      <c r="O208" s="536"/>
      <c r="P208" s="536"/>
      <c r="Q208" s="536"/>
      <c r="R208" s="536"/>
      <c r="S208" s="536"/>
      <c r="T208" s="536"/>
      <c r="U208" s="536"/>
      <c r="V208" s="536"/>
      <c r="W208" s="536"/>
      <c r="X208" s="536"/>
      <c r="Y208" s="536"/>
      <c r="Z208" s="536"/>
      <c r="AA208" s="536"/>
      <c r="AB208" s="536"/>
      <c r="AC208" s="536"/>
      <c r="AD208" s="536"/>
      <c r="AE208" s="536"/>
      <c r="AF208" s="536"/>
      <c r="AG208" s="536"/>
      <c r="AH208" s="536"/>
      <c r="AI208" s="536"/>
    </row>
    <row r="209" ht="14.25" customHeight="1">
      <c r="A209" s="536"/>
      <c r="B209" s="536"/>
      <c r="C209" s="536"/>
      <c r="D209" s="537"/>
      <c r="E209" s="538"/>
      <c r="F209" s="536"/>
      <c r="G209" s="536"/>
      <c r="H209" s="536"/>
      <c r="I209" s="536"/>
      <c r="J209" s="536"/>
      <c r="K209" s="536"/>
      <c r="L209" s="536"/>
      <c r="M209" s="536"/>
      <c r="N209" s="536"/>
      <c r="O209" s="536"/>
      <c r="P209" s="536"/>
      <c r="Q209" s="536"/>
      <c r="R209" s="536"/>
      <c r="S209" s="536"/>
      <c r="T209" s="536"/>
      <c r="U209" s="536"/>
      <c r="V209" s="536"/>
      <c r="W209" s="536"/>
      <c r="X209" s="536"/>
      <c r="Y209" s="536"/>
      <c r="Z209" s="536"/>
      <c r="AA209" s="536"/>
      <c r="AB209" s="536"/>
      <c r="AC209" s="536"/>
      <c r="AD209" s="536"/>
      <c r="AE209" s="536"/>
      <c r="AF209" s="536"/>
      <c r="AG209" s="536"/>
      <c r="AH209" s="536"/>
      <c r="AI209" s="536"/>
    </row>
    <row r="210" ht="14.25" customHeight="1">
      <c r="A210" s="536"/>
      <c r="B210" s="536"/>
      <c r="C210" s="536"/>
      <c r="D210" s="537"/>
      <c r="E210" s="538"/>
      <c r="F210" s="536"/>
      <c r="G210" s="536"/>
      <c r="H210" s="536"/>
      <c r="I210" s="536"/>
      <c r="J210" s="536"/>
      <c r="K210" s="536"/>
      <c r="L210" s="536"/>
      <c r="M210" s="536"/>
      <c r="N210" s="536"/>
      <c r="O210" s="536"/>
      <c r="P210" s="536"/>
      <c r="Q210" s="536"/>
      <c r="R210" s="536"/>
      <c r="S210" s="536"/>
      <c r="T210" s="536"/>
      <c r="U210" s="536"/>
      <c r="V210" s="536"/>
      <c r="W210" s="536"/>
      <c r="X210" s="536"/>
      <c r="Y210" s="536"/>
      <c r="Z210" s="536"/>
      <c r="AA210" s="536"/>
      <c r="AB210" s="536"/>
      <c r="AC210" s="536"/>
      <c r="AD210" s="536"/>
      <c r="AE210" s="536"/>
      <c r="AF210" s="536"/>
      <c r="AG210" s="536"/>
      <c r="AH210" s="536"/>
      <c r="AI210" s="536"/>
    </row>
    <row r="211" ht="14.25" customHeight="1">
      <c r="A211" s="536"/>
      <c r="B211" s="536"/>
      <c r="C211" s="536"/>
      <c r="D211" s="537"/>
      <c r="E211" s="538"/>
      <c r="F211" s="536"/>
      <c r="G211" s="536"/>
      <c r="H211" s="536"/>
      <c r="I211" s="536"/>
      <c r="J211" s="536"/>
      <c r="K211" s="536"/>
      <c r="L211" s="536"/>
      <c r="M211" s="536"/>
      <c r="N211" s="536"/>
      <c r="O211" s="536"/>
      <c r="P211" s="536"/>
      <c r="Q211" s="536"/>
      <c r="R211" s="536"/>
      <c r="S211" s="536"/>
      <c r="T211" s="536"/>
      <c r="U211" s="536"/>
      <c r="V211" s="536"/>
      <c r="W211" s="536"/>
      <c r="X211" s="536"/>
      <c r="Y211" s="536"/>
      <c r="Z211" s="536"/>
      <c r="AA211" s="536"/>
      <c r="AB211" s="536"/>
      <c r="AC211" s="536"/>
      <c r="AD211" s="536"/>
      <c r="AE211" s="536"/>
      <c r="AF211" s="536"/>
      <c r="AG211" s="536"/>
      <c r="AH211" s="536"/>
      <c r="AI211" s="536"/>
    </row>
    <row r="212" ht="14.25" customHeight="1">
      <c r="A212" s="536"/>
      <c r="B212" s="536"/>
      <c r="C212" s="536"/>
      <c r="D212" s="537"/>
      <c r="E212" s="538"/>
      <c r="F212" s="536"/>
      <c r="G212" s="536"/>
      <c r="H212" s="536"/>
      <c r="I212" s="536"/>
      <c r="J212" s="536"/>
      <c r="K212" s="536"/>
      <c r="L212" s="536"/>
      <c r="M212" s="536"/>
      <c r="N212" s="536"/>
      <c r="O212" s="536"/>
      <c r="P212" s="536"/>
      <c r="Q212" s="536"/>
      <c r="R212" s="536"/>
      <c r="S212" s="536"/>
      <c r="T212" s="536"/>
      <c r="U212" s="536"/>
      <c r="V212" s="536"/>
      <c r="W212" s="536"/>
      <c r="X212" s="536"/>
      <c r="Y212" s="536"/>
      <c r="Z212" s="536"/>
      <c r="AA212" s="536"/>
      <c r="AB212" s="536"/>
      <c r="AC212" s="536"/>
      <c r="AD212" s="536"/>
      <c r="AE212" s="536"/>
      <c r="AF212" s="536"/>
      <c r="AG212" s="536"/>
      <c r="AH212" s="536"/>
      <c r="AI212" s="536"/>
    </row>
    <row r="213" ht="14.25" customHeight="1">
      <c r="A213" s="536"/>
      <c r="B213" s="536"/>
      <c r="C213" s="536"/>
      <c r="D213" s="537"/>
      <c r="E213" s="538"/>
      <c r="F213" s="536"/>
      <c r="G213" s="536"/>
      <c r="H213" s="536"/>
      <c r="I213" s="536"/>
      <c r="J213" s="536"/>
      <c r="K213" s="536"/>
      <c r="L213" s="536"/>
      <c r="M213" s="536"/>
      <c r="N213" s="536"/>
      <c r="O213" s="536"/>
      <c r="P213" s="536"/>
      <c r="Q213" s="536"/>
      <c r="R213" s="536"/>
      <c r="S213" s="536"/>
      <c r="T213" s="536"/>
      <c r="U213" s="536"/>
      <c r="V213" s="536"/>
      <c r="W213" s="536"/>
      <c r="X213" s="536"/>
      <c r="Y213" s="536"/>
      <c r="Z213" s="536"/>
      <c r="AA213" s="536"/>
      <c r="AB213" s="536"/>
      <c r="AC213" s="536"/>
      <c r="AD213" s="536"/>
      <c r="AE213" s="536"/>
      <c r="AF213" s="536"/>
      <c r="AG213" s="536"/>
      <c r="AH213" s="536"/>
      <c r="AI213" s="536"/>
    </row>
    <row r="214" ht="14.25" customHeight="1">
      <c r="A214" s="536"/>
      <c r="B214" s="536"/>
      <c r="C214" s="536"/>
      <c r="D214" s="537"/>
      <c r="E214" s="538"/>
      <c r="F214" s="536"/>
      <c r="G214" s="536"/>
      <c r="H214" s="536"/>
      <c r="I214" s="536"/>
      <c r="J214" s="536"/>
      <c r="K214" s="536"/>
      <c r="L214" s="536"/>
      <c r="M214" s="536"/>
      <c r="N214" s="536"/>
      <c r="O214" s="536"/>
      <c r="P214" s="536"/>
      <c r="Q214" s="536"/>
      <c r="R214" s="536"/>
      <c r="S214" s="536"/>
      <c r="T214" s="536"/>
      <c r="U214" s="536"/>
      <c r="V214" s="536"/>
      <c r="W214" s="536"/>
      <c r="X214" s="536"/>
      <c r="Y214" s="536"/>
      <c r="Z214" s="536"/>
      <c r="AA214" s="536"/>
      <c r="AB214" s="536"/>
      <c r="AC214" s="536"/>
      <c r="AD214" s="536"/>
      <c r="AE214" s="536"/>
      <c r="AF214" s="536"/>
      <c r="AG214" s="536"/>
      <c r="AH214" s="536"/>
      <c r="AI214" s="536"/>
    </row>
    <row r="215" ht="14.25" customHeight="1">
      <c r="A215" s="536"/>
      <c r="B215" s="536"/>
      <c r="C215" s="536"/>
      <c r="D215" s="537"/>
      <c r="E215" s="538"/>
      <c r="F215" s="536"/>
      <c r="G215" s="536"/>
      <c r="H215" s="536"/>
      <c r="I215" s="536"/>
      <c r="J215" s="536"/>
      <c r="K215" s="536"/>
      <c r="L215" s="536"/>
      <c r="M215" s="536"/>
      <c r="N215" s="536"/>
      <c r="O215" s="536"/>
      <c r="P215" s="536"/>
      <c r="Q215" s="536"/>
      <c r="R215" s="536"/>
      <c r="S215" s="536"/>
      <c r="T215" s="536"/>
      <c r="U215" s="536"/>
      <c r="V215" s="536"/>
      <c r="W215" s="536"/>
      <c r="X215" s="536"/>
      <c r="Y215" s="536"/>
      <c r="Z215" s="536"/>
      <c r="AA215" s="536"/>
      <c r="AB215" s="536"/>
      <c r="AC215" s="536"/>
      <c r="AD215" s="536"/>
      <c r="AE215" s="536"/>
      <c r="AF215" s="536"/>
      <c r="AG215" s="536"/>
      <c r="AH215" s="536"/>
      <c r="AI215" s="536"/>
    </row>
    <row r="216" ht="14.25" customHeight="1">
      <c r="A216" s="536"/>
      <c r="B216" s="536"/>
      <c r="C216" s="536"/>
      <c r="D216" s="537"/>
      <c r="E216" s="538"/>
      <c r="F216" s="536"/>
      <c r="G216" s="536"/>
      <c r="H216" s="536"/>
      <c r="I216" s="536"/>
      <c r="J216" s="536"/>
      <c r="K216" s="536"/>
      <c r="L216" s="536"/>
      <c r="M216" s="536"/>
      <c r="N216" s="536"/>
      <c r="O216" s="536"/>
      <c r="P216" s="536"/>
      <c r="Q216" s="536"/>
      <c r="R216" s="536"/>
      <c r="S216" s="536"/>
      <c r="T216" s="536"/>
      <c r="U216" s="536"/>
      <c r="V216" s="536"/>
      <c r="W216" s="536"/>
      <c r="X216" s="536"/>
      <c r="Y216" s="536"/>
      <c r="Z216" s="536"/>
      <c r="AA216" s="536"/>
      <c r="AB216" s="536"/>
      <c r="AC216" s="536"/>
      <c r="AD216" s="536"/>
      <c r="AE216" s="536"/>
      <c r="AF216" s="536"/>
      <c r="AG216" s="536"/>
      <c r="AH216" s="536"/>
      <c r="AI216" s="536"/>
    </row>
    <row r="217" ht="14.25" customHeight="1">
      <c r="A217" s="536"/>
      <c r="B217" s="536"/>
      <c r="C217" s="536"/>
      <c r="D217" s="537"/>
      <c r="E217" s="538"/>
      <c r="F217" s="536"/>
      <c r="G217" s="536"/>
      <c r="H217" s="536"/>
      <c r="I217" s="536"/>
      <c r="J217" s="536"/>
      <c r="K217" s="536"/>
      <c r="L217" s="536"/>
      <c r="M217" s="536"/>
      <c r="N217" s="536"/>
      <c r="O217" s="536"/>
      <c r="P217" s="536"/>
      <c r="Q217" s="536"/>
      <c r="R217" s="536"/>
      <c r="S217" s="536"/>
      <c r="T217" s="536"/>
      <c r="U217" s="536"/>
      <c r="V217" s="536"/>
      <c r="W217" s="536"/>
      <c r="X217" s="536"/>
      <c r="Y217" s="536"/>
      <c r="Z217" s="536"/>
      <c r="AA217" s="536"/>
      <c r="AB217" s="536"/>
      <c r="AC217" s="536"/>
      <c r="AD217" s="536"/>
      <c r="AE217" s="536"/>
      <c r="AF217" s="536"/>
      <c r="AG217" s="536"/>
      <c r="AH217" s="536"/>
      <c r="AI217" s="536"/>
    </row>
    <row r="218" ht="14.25" customHeight="1">
      <c r="A218" s="536"/>
      <c r="B218" s="536"/>
      <c r="C218" s="536"/>
      <c r="D218" s="537"/>
      <c r="E218" s="538"/>
      <c r="F218" s="536"/>
      <c r="G218" s="536"/>
      <c r="H218" s="536"/>
      <c r="I218" s="536"/>
      <c r="J218" s="536"/>
      <c r="K218" s="536"/>
      <c r="L218" s="536"/>
      <c r="M218" s="536"/>
      <c r="N218" s="536"/>
      <c r="O218" s="536"/>
      <c r="P218" s="536"/>
      <c r="Q218" s="536"/>
      <c r="R218" s="536"/>
      <c r="S218" s="536"/>
      <c r="T218" s="536"/>
      <c r="U218" s="536"/>
      <c r="V218" s="536"/>
      <c r="W218" s="536"/>
      <c r="X218" s="536"/>
      <c r="Y218" s="536"/>
      <c r="Z218" s="536"/>
      <c r="AA218" s="536"/>
      <c r="AB218" s="536"/>
      <c r="AC218" s="536"/>
      <c r="AD218" s="536"/>
      <c r="AE218" s="536"/>
      <c r="AF218" s="536"/>
      <c r="AG218" s="536"/>
      <c r="AH218" s="536"/>
      <c r="AI218" s="536"/>
    </row>
    <row r="219" ht="14.25" customHeight="1">
      <c r="A219" s="536"/>
      <c r="B219" s="536"/>
      <c r="C219" s="536"/>
      <c r="D219" s="537"/>
      <c r="E219" s="538"/>
      <c r="F219" s="536"/>
      <c r="G219" s="536"/>
      <c r="H219" s="536"/>
      <c r="I219" s="536"/>
      <c r="J219" s="536"/>
      <c r="K219" s="536"/>
      <c r="L219" s="536"/>
      <c r="M219" s="536"/>
      <c r="N219" s="536"/>
      <c r="O219" s="536"/>
      <c r="P219" s="536"/>
      <c r="Q219" s="536"/>
      <c r="R219" s="536"/>
      <c r="S219" s="536"/>
      <c r="T219" s="536"/>
      <c r="U219" s="536"/>
      <c r="V219" s="536"/>
      <c r="W219" s="536"/>
      <c r="X219" s="536"/>
      <c r="Y219" s="536"/>
      <c r="Z219" s="536"/>
      <c r="AA219" s="536"/>
      <c r="AB219" s="536"/>
      <c r="AC219" s="536"/>
      <c r="AD219" s="536"/>
      <c r="AE219" s="536"/>
      <c r="AF219" s="536"/>
      <c r="AG219" s="536"/>
      <c r="AH219" s="536"/>
      <c r="AI219" s="536"/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8:E8"/>
    <mergeCell ref="A11:C11"/>
  </mergeCells>
  <printOptions/>
  <pageMargins bottom="0.7480314960629921" footer="0.0" header="0.0" left="0.23622047244094488" right="0.23622047244094488" top="0.7480314960629921"/>
  <pageSetup fitToHeight="0" paperSize="1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3.29"/>
    <col customWidth="1" min="2" max="2" width="22.71"/>
    <col customWidth="1" min="3" max="3" width="20.57"/>
    <col customWidth="1" min="4" max="13" width="20.71"/>
  </cols>
  <sheetData>
    <row r="1" ht="33.0" customHeight="1">
      <c r="A1" s="442" t="s">
        <v>0</v>
      </c>
      <c r="B1" s="293"/>
      <c r="C1" s="560"/>
      <c r="D1" s="294"/>
      <c r="E1" s="294"/>
      <c r="F1" s="294"/>
      <c r="G1" s="294"/>
      <c r="H1" s="294"/>
      <c r="I1" s="294"/>
      <c r="J1" s="294"/>
      <c r="K1" s="294"/>
      <c r="L1" s="294"/>
      <c r="M1" s="294"/>
    </row>
    <row r="2" ht="24.0" customHeight="1">
      <c r="A2" s="297" t="s">
        <v>1</v>
      </c>
      <c r="B2" s="298"/>
      <c r="C2" s="561"/>
      <c r="D2" s="298"/>
      <c r="E2" s="295"/>
      <c r="F2" s="295"/>
      <c r="G2" s="298"/>
      <c r="H2" s="299" t="s">
        <v>611</v>
      </c>
      <c r="K2" s="296"/>
      <c r="L2" s="298"/>
      <c r="M2" s="298"/>
    </row>
    <row r="3" ht="27.0" customHeight="1">
      <c r="A3" s="562" t="s">
        <v>1171</v>
      </c>
      <c r="B3" s="293"/>
      <c r="C3" s="560"/>
      <c r="D3" s="294"/>
      <c r="E3" s="294"/>
      <c r="F3" s="294"/>
      <c r="G3" s="304"/>
      <c r="K3" s="304"/>
      <c r="L3" s="304"/>
      <c r="M3" s="304"/>
    </row>
    <row r="4" ht="33.0" customHeight="1">
      <c r="A4" s="562" t="s">
        <v>1172</v>
      </c>
      <c r="B4" s="293"/>
      <c r="C4" s="560"/>
      <c r="D4" s="294"/>
      <c r="E4" s="294"/>
      <c r="F4" s="294"/>
      <c r="G4" s="304"/>
      <c r="K4" s="304"/>
      <c r="L4" s="304"/>
      <c r="M4" s="304"/>
    </row>
    <row r="5" ht="33.0" customHeight="1">
      <c r="A5" s="562" t="s">
        <v>4</v>
      </c>
      <c r="B5" s="293"/>
      <c r="C5" s="560"/>
      <c r="D5" s="294"/>
      <c r="E5" s="294"/>
      <c r="F5" s="294"/>
      <c r="G5" s="304"/>
      <c r="H5" s="304"/>
      <c r="I5" s="304"/>
      <c r="J5" s="304"/>
      <c r="K5" s="304"/>
      <c r="L5" s="304"/>
      <c r="M5" s="304"/>
    </row>
    <row r="6" ht="14.25" customHeight="1">
      <c r="A6" s="455"/>
      <c r="B6" s="563"/>
      <c r="C6" s="564"/>
      <c r="D6" s="357"/>
      <c r="E6" s="357"/>
      <c r="F6" s="357"/>
      <c r="G6" s="307"/>
      <c r="H6" s="307"/>
      <c r="I6" s="307"/>
      <c r="J6" s="307"/>
      <c r="K6" s="307"/>
      <c r="L6" s="307"/>
      <c r="M6" s="307"/>
    </row>
    <row r="7" ht="19.5" customHeight="1">
      <c r="A7" s="373" t="s">
        <v>5</v>
      </c>
      <c r="B7" s="373" t="s">
        <v>6</v>
      </c>
      <c r="C7" s="565" t="s">
        <v>530</v>
      </c>
      <c r="D7" s="18"/>
      <c r="E7" s="311" t="s">
        <v>8</v>
      </c>
      <c r="F7" s="14"/>
      <c r="G7" s="312" t="s">
        <v>9</v>
      </c>
      <c r="H7" s="17"/>
      <c r="I7" s="17"/>
      <c r="J7" s="17"/>
      <c r="K7" s="17"/>
      <c r="L7" s="18"/>
      <c r="M7" s="313" t="s">
        <v>1173</v>
      </c>
    </row>
    <row r="8" ht="1.5" customHeight="1">
      <c r="A8" s="19"/>
      <c r="B8" s="19"/>
      <c r="C8" s="566" t="s">
        <v>14</v>
      </c>
      <c r="D8" s="373" t="s">
        <v>532</v>
      </c>
      <c r="E8" s="20"/>
      <c r="F8" s="21"/>
      <c r="G8" s="312" t="s">
        <v>11</v>
      </c>
      <c r="H8" s="18"/>
      <c r="I8" s="312" t="s">
        <v>12</v>
      </c>
      <c r="J8" s="18"/>
      <c r="K8" s="312" t="s">
        <v>13</v>
      </c>
      <c r="L8" s="18"/>
      <c r="M8" s="19"/>
    </row>
    <row r="9" ht="18.0" customHeight="1">
      <c r="A9" s="19"/>
      <c r="B9" s="19"/>
      <c r="C9" s="19"/>
      <c r="D9" s="19"/>
      <c r="E9" s="311" t="s">
        <v>16</v>
      </c>
      <c r="F9" s="14"/>
      <c r="G9" s="315" t="s">
        <v>17</v>
      </c>
      <c r="H9" s="316" t="s">
        <v>18</v>
      </c>
      <c r="I9" s="315" t="s">
        <v>17</v>
      </c>
      <c r="J9" s="316" t="s">
        <v>18</v>
      </c>
      <c r="K9" s="315" t="s">
        <v>17</v>
      </c>
      <c r="L9" s="316" t="s">
        <v>18</v>
      </c>
      <c r="M9" s="19"/>
    </row>
    <row r="10" ht="82.5" customHeight="1">
      <c r="A10" s="26"/>
      <c r="B10" s="26"/>
      <c r="C10" s="26"/>
      <c r="D10" s="26"/>
      <c r="E10" s="318" t="s">
        <v>17</v>
      </c>
      <c r="F10" s="319" t="s">
        <v>18</v>
      </c>
      <c r="G10" s="26"/>
      <c r="H10" s="26"/>
      <c r="I10" s="26"/>
      <c r="J10" s="26"/>
      <c r="K10" s="26"/>
      <c r="L10" s="26"/>
      <c r="M10" s="26"/>
    </row>
    <row r="11" ht="31.5" customHeight="1">
      <c r="A11" s="567" t="s">
        <v>1174</v>
      </c>
      <c r="B11" s="568"/>
      <c r="C11" s="569"/>
      <c r="D11" s="570">
        <f>D12+D18+D28+D35</f>
        <v>2605.55</v>
      </c>
      <c r="E11" s="569"/>
      <c r="F11" s="570">
        <f>F12+F18+F28+F35</f>
        <v>3040.4</v>
      </c>
      <c r="G11" s="344"/>
      <c r="H11" s="570">
        <f>H12+H18+H28+H35</f>
        <v>1015.82</v>
      </c>
      <c r="I11" s="344"/>
      <c r="J11" s="570">
        <f>J12+J18+J28+J35</f>
        <v>0</v>
      </c>
      <c r="K11" s="344"/>
      <c r="L11" s="344"/>
      <c r="M11" s="344"/>
    </row>
    <row r="12" ht="52.5" customHeight="1">
      <c r="A12" s="383" t="s">
        <v>1175</v>
      </c>
      <c r="B12" s="514"/>
      <c r="C12" s="571"/>
      <c r="D12" s="572">
        <f>D14+D18+D28</f>
        <v>1427.775</v>
      </c>
      <c r="E12" s="573"/>
      <c r="F12" s="572">
        <f>F18+F28+F35</f>
        <v>1520.2</v>
      </c>
      <c r="G12" s="344"/>
      <c r="H12" s="422">
        <f>sum(H13:H16)</f>
        <v>225</v>
      </c>
      <c r="I12" s="344"/>
      <c r="J12" s="344"/>
      <c r="K12" s="344"/>
      <c r="L12" s="344"/>
      <c r="M12" s="344"/>
    </row>
    <row r="13" ht="31.5" customHeight="1">
      <c r="A13" s="390" t="s">
        <v>1176</v>
      </c>
      <c r="B13" s="514"/>
      <c r="C13" s="571"/>
      <c r="D13" s="345">
        <f>D14</f>
        <v>250</v>
      </c>
      <c r="E13" s="571"/>
      <c r="F13" s="398"/>
      <c r="G13" s="398"/>
      <c r="H13" s="398"/>
      <c r="I13" s="398"/>
      <c r="J13" s="398"/>
      <c r="K13" s="398"/>
      <c r="L13" s="398"/>
      <c r="M13" s="398"/>
    </row>
    <row r="14" ht="45.75" customHeight="1">
      <c r="A14" s="390" t="s">
        <v>1177</v>
      </c>
      <c r="B14" s="394" t="s">
        <v>1178</v>
      </c>
      <c r="C14" s="571">
        <v>50.0</v>
      </c>
      <c r="D14" s="574">
        <v>250.0</v>
      </c>
      <c r="E14" s="571"/>
      <c r="F14" s="398"/>
      <c r="G14" s="575">
        <v>50.0</v>
      </c>
      <c r="H14" s="575">
        <v>225.0</v>
      </c>
      <c r="I14" s="398"/>
      <c r="J14" s="398"/>
      <c r="K14" s="398"/>
      <c r="L14" s="398"/>
      <c r="M14" s="575" t="s">
        <v>770</v>
      </c>
    </row>
    <row r="15" ht="36.0" customHeight="1">
      <c r="A15" s="390" t="s">
        <v>1179</v>
      </c>
      <c r="B15" s="394" t="s">
        <v>1178</v>
      </c>
      <c r="C15" s="571"/>
      <c r="D15" s="576"/>
      <c r="E15" s="571"/>
      <c r="F15" s="398"/>
      <c r="G15" s="398"/>
      <c r="H15" s="398"/>
      <c r="I15" s="398"/>
      <c r="J15" s="398"/>
      <c r="K15" s="398"/>
      <c r="L15" s="398"/>
      <c r="M15" s="398"/>
    </row>
    <row r="16" ht="58.5" customHeight="1">
      <c r="A16" s="390" t="s">
        <v>1180</v>
      </c>
      <c r="B16" s="394" t="s">
        <v>1181</v>
      </c>
      <c r="C16" s="571"/>
      <c r="D16" s="576"/>
      <c r="E16" s="571"/>
      <c r="F16" s="398"/>
      <c r="G16" s="398"/>
      <c r="H16" s="398"/>
      <c r="I16" s="398"/>
      <c r="J16" s="398"/>
      <c r="K16" s="398"/>
      <c r="L16" s="398"/>
      <c r="M16" s="398"/>
    </row>
    <row r="17" ht="33.0" customHeight="1">
      <c r="A17" s="391"/>
      <c r="B17" s="514"/>
      <c r="C17" s="571"/>
      <c r="D17" s="576"/>
      <c r="E17" s="571"/>
      <c r="F17" s="398"/>
      <c r="G17" s="398"/>
      <c r="H17" s="398"/>
      <c r="I17" s="398"/>
      <c r="J17" s="398"/>
      <c r="K17" s="398"/>
      <c r="L17" s="398"/>
      <c r="M17" s="398"/>
    </row>
    <row r="18" ht="21.0" customHeight="1">
      <c r="A18" s="383" t="s">
        <v>1182</v>
      </c>
      <c r="B18" s="514"/>
      <c r="C18" s="571"/>
      <c r="D18" s="572">
        <f>SUM(D19:D31)</f>
        <v>977.775</v>
      </c>
      <c r="E18" s="573"/>
      <c r="F18" s="572">
        <f>SUM(F19:F26)</f>
        <v>772.7</v>
      </c>
      <c r="G18" s="398"/>
      <c r="H18" s="345">
        <f>sum(H19:H26)</f>
        <v>419.82</v>
      </c>
      <c r="I18" s="398"/>
      <c r="J18" s="398"/>
      <c r="K18" s="398"/>
      <c r="L18" s="398"/>
      <c r="M18" s="398"/>
    </row>
    <row r="19" ht="61.5" customHeight="1">
      <c r="A19" s="390" t="s">
        <v>1183</v>
      </c>
      <c r="B19" s="394" t="s">
        <v>1178</v>
      </c>
      <c r="C19" s="571">
        <v>1.0</v>
      </c>
      <c r="D19" s="574">
        <v>69.0</v>
      </c>
      <c r="E19" s="571"/>
      <c r="F19" s="398"/>
      <c r="G19" s="575">
        <v>0.25</v>
      </c>
      <c r="H19" s="575">
        <v>30.0</v>
      </c>
      <c r="I19" s="398"/>
      <c r="J19" s="398"/>
      <c r="K19" s="398"/>
      <c r="L19" s="398"/>
      <c r="M19" s="575" t="s">
        <v>770</v>
      </c>
    </row>
    <row r="20" ht="52.5" customHeight="1">
      <c r="A20" s="390" t="s">
        <v>1184</v>
      </c>
      <c r="B20" s="394" t="s">
        <v>1178</v>
      </c>
      <c r="C20" s="571">
        <v>14.5</v>
      </c>
      <c r="D20" s="577">
        <v>74.875</v>
      </c>
      <c r="E20" s="571">
        <v>25.2</v>
      </c>
      <c r="F20" s="398">
        <v>52.7</v>
      </c>
      <c r="G20" s="575">
        <v>11.2</v>
      </c>
      <c r="H20" s="575">
        <v>69.82</v>
      </c>
      <c r="I20" s="398"/>
      <c r="J20" s="398"/>
      <c r="K20" s="398"/>
      <c r="L20" s="398"/>
      <c r="M20" s="575" t="s">
        <v>770</v>
      </c>
    </row>
    <row r="21" ht="57.0" customHeight="1">
      <c r="A21" s="390" t="s">
        <v>1185</v>
      </c>
      <c r="B21" s="394" t="s">
        <v>1186</v>
      </c>
      <c r="C21" s="571">
        <v>980.0</v>
      </c>
      <c r="D21" s="574">
        <v>183.9</v>
      </c>
      <c r="E21" s="571">
        <v>600.0</v>
      </c>
      <c r="F21" s="398">
        <v>95.0</v>
      </c>
      <c r="G21" s="398"/>
      <c r="H21" s="398"/>
      <c r="I21" s="398"/>
      <c r="J21" s="398"/>
      <c r="K21" s="398"/>
      <c r="L21" s="398"/>
      <c r="M21" s="398"/>
    </row>
    <row r="22" ht="51.75" customHeight="1">
      <c r="A22" s="390" t="s">
        <v>1187</v>
      </c>
      <c r="B22" s="394" t="s">
        <v>1178</v>
      </c>
      <c r="C22" s="578"/>
      <c r="D22" s="399"/>
      <c r="E22" s="571"/>
      <c r="F22" s="398"/>
      <c r="G22" s="575">
        <v>40.0</v>
      </c>
      <c r="H22" s="575">
        <v>20.0</v>
      </c>
      <c r="I22" s="398"/>
      <c r="J22" s="398"/>
      <c r="K22" s="398"/>
      <c r="L22" s="398"/>
      <c r="M22" s="575" t="s">
        <v>770</v>
      </c>
    </row>
    <row r="23" ht="61.5" customHeight="1">
      <c r="A23" s="390" t="s">
        <v>1188</v>
      </c>
      <c r="B23" s="394" t="s">
        <v>1178</v>
      </c>
      <c r="C23" s="571">
        <v>1000.0</v>
      </c>
      <c r="D23" s="579">
        <v>300.0</v>
      </c>
      <c r="E23" s="571">
        <v>2500.0</v>
      </c>
      <c r="F23" s="398">
        <v>625.0</v>
      </c>
      <c r="G23" s="575">
        <v>1000.0</v>
      </c>
      <c r="H23" s="575">
        <v>300.0</v>
      </c>
      <c r="I23" s="398"/>
      <c r="J23" s="398"/>
      <c r="K23" s="398"/>
      <c r="L23" s="398"/>
      <c r="M23" s="575" t="s">
        <v>770</v>
      </c>
    </row>
    <row r="24" ht="39.0" customHeight="1">
      <c r="A24" s="390" t="s">
        <v>1189</v>
      </c>
      <c r="B24" s="394" t="s">
        <v>1178</v>
      </c>
      <c r="C24" s="578"/>
      <c r="D24" s="399"/>
      <c r="E24" s="571"/>
      <c r="F24" s="398"/>
      <c r="G24" s="398"/>
      <c r="H24" s="398"/>
      <c r="I24" s="398"/>
      <c r="J24" s="398"/>
      <c r="K24" s="398"/>
      <c r="L24" s="398"/>
      <c r="M24" s="398"/>
    </row>
    <row r="25" ht="33.75" customHeight="1">
      <c r="A25" s="390" t="s">
        <v>1190</v>
      </c>
      <c r="B25" s="394" t="s">
        <v>1178</v>
      </c>
      <c r="C25" s="578"/>
      <c r="D25" s="399"/>
      <c r="E25" s="571"/>
      <c r="F25" s="398"/>
      <c r="G25" s="398"/>
      <c r="H25" s="398"/>
      <c r="I25" s="398"/>
      <c r="J25" s="398"/>
      <c r="K25" s="398"/>
      <c r="L25" s="398"/>
      <c r="M25" s="398"/>
    </row>
    <row r="26" ht="37.5" customHeight="1">
      <c r="A26" s="390" t="s">
        <v>1191</v>
      </c>
      <c r="B26" s="394" t="s">
        <v>1186</v>
      </c>
      <c r="C26" s="571">
        <v>250.0</v>
      </c>
      <c r="D26" s="574">
        <v>30.0</v>
      </c>
      <c r="E26" s="571"/>
      <c r="F26" s="398"/>
      <c r="G26" s="398"/>
      <c r="H26" s="398"/>
      <c r="I26" s="398"/>
      <c r="J26" s="398"/>
      <c r="K26" s="398"/>
      <c r="L26" s="398"/>
      <c r="M26" s="398"/>
    </row>
    <row r="27" ht="14.25" customHeight="1">
      <c r="A27" s="391"/>
      <c r="B27" s="514"/>
      <c r="C27" s="580"/>
      <c r="D27" s="576"/>
      <c r="E27" s="571"/>
      <c r="F27" s="398"/>
      <c r="G27" s="398"/>
      <c r="H27" s="398"/>
      <c r="I27" s="398"/>
      <c r="J27" s="398"/>
      <c r="K27" s="398"/>
      <c r="L27" s="398"/>
      <c r="M27" s="398"/>
    </row>
    <row r="28" ht="37.5" customHeight="1">
      <c r="A28" s="383" t="s">
        <v>1192</v>
      </c>
      <c r="B28" s="514"/>
      <c r="C28" s="580" t="s">
        <v>1193</v>
      </c>
      <c r="D28" s="474">
        <f>SUM(D29:D33)</f>
        <v>200</v>
      </c>
      <c r="E28" s="581"/>
      <c r="F28" s="345">
        <f>SUM(F29:F33)</f>
        <v>700</v>
      </c>
      <c r="G28" s="398"/>
      <c r="H28" s="398"/>
      <c r="I28" s="398"/>
      <c r="J28" s="398"/>
      <c r="K28" s="398"/>
      <c r="L28" s="398"/>
      <c r="M28" s="398"/>
    </row>
    <row r="29" ht="45.0" customHeight="1">
      <c r="A29" s="390" t="s">
        <v>1194</v>
      </c>
      <c r="B29" s="394" t="s">
        <v>1195</v>
      </c>
      <c r="C29" s="580" t="s">
        <v>1193</v>
      </c>
      <c r="D29" s="576" t="s">
        <v>1193</v>
      </c>
      <c r="E29" s="582">
        <v>200.0</v>
      </c>
      <c r="F29" s="398">
        <v>120.0</v>
      </c>
      <c r="G29" s="398"/>
      <c r="H29" s="398"/>
      <c r="I29" s="398"/>
      <c r="J29" s="398"/>
      <c r="K29" s="398"/>
      <c r="L29" s="398"/>
      <c r="M29" s="398"/>
    </row>
    <row r="30" ht="52.5" customHeight="1">
      <c r="A30" s="390" t="s">
        <v>1196</v>
      </c>
      <c r="B30" s="394" t="s">
        <v>1195</v>
      </c>
      <c r="C30" s="571"/>
      <c r="D30" s="574"/>
      <c r="E30" s="582">
        <v>200.0</v>
      </c>
      <c r="F30" s="398">
        <v>140.0</v>
      </c>
      <c r="G30" s="398"/>
      <c r="H30" s="398"/>
      <c r="I30" s="398"/>
      <c r="J30" s="398"/>
      <c r="K30" s="398"/>
      <c r="L30" s="398"/>
      <c r="M30" s="398"/>
    </row>
    <row r="31" ht="49.5" customHeight="1">
      <c r="A31" s="390" t="s">
        <v>1197</v>
      </c>
      <c r="B31" s="394" t="s">
        <v>1195</v>
      </c>
      <c r="C31" s="571">
        <v>2.0</v>
      </c>
      <c r="D31" s="574">
        <v>120.0</v>
      </c>
      <c r="E31" s="571">
        <v>4.0</v>
      </c>
      <c r="F31" s="398">
        <v>240.0</v>
      </c>
      <c r="G31" s="398"/>
      <c r="H31" s="398"/>
      <c r="I31" s="398"/>
      <c r="J31" s="398"/>
      <c r="K31" s="398"/>
      <c r="L31" s="398"/>
      <c r="M31" s="398"/>
    </row>
    <row r="32" ht="39.75" customHeight="1">
      <c r="A32" s="390" t="s">
        <v>1198</v>
      </c>
      <c r="B32" s="394" t="s">
        <v>1195</v>
      </c>
      <c r="C32" s="580"/>
      <c r="D32" s="576"/>
      <c r="E32" s="571"/>
      <c r="F32" s="398"/>
      <c r="G32" s="398"/>
      <c r="H32" s="398"/>
      <c r="I32" s="398"/>
      <c r="J32" s="398"/>
      <c r="K32" s="398"/>
      <c r="L32" s="398"/>
      <c r="M32" s="398"/>
    </row>
    <row r="33" ht="31.5" customHeight="1">
      <c r="A33" s="390" t="s">
        <v>1199</v>
      </c>
      <c r="B33" s="394"/>
      <c r="C33" s="580">
        <v>10.0</v>
      </c>
      <c r="D33" s="576">
        <v>80.0</v>
      </c>
      <c r="E33" s="571">
        <v>20.0</v>
      </c>
      <c r="F33" s="398">
        <v>200.0</v>
      </c>
      <c r="G33" s="575"/>
      <c r="H33" s="575"/>
      <c r="I33" s="398"/>
      <c r="J33" s="398"/>
      <c r="K33" s="398"/>
      <c r="L33" s="398"/>
      <c r="M33" s="398"/>
    </row>
    <row r="34" ht="14.25" customHeight="1">
      <c r="A34" s="383"/>
      <c r="B34" s="514"/>
      <c r="C34" s="571"/>
      <c r="D34" s="398"/>
      <c r="E34" s="571"/>
      <c r="F34" s="398"/>
      <c r="G34" s="398"/>
      <c r="H34" s="398"/>
      <c r="I34" s="398"/>
      <c r="J34" s="398"/>
      <c r="K34" s="398"/>
      <c r="L34" s="398"/>
      <c r="M34" s="398"/>
    </row>
    <row r="35" ht="39.0" customHeight="1">
      <c r="A35" s="583" t="s">
        <v>1200</v>
      </c>
      <c r="B35" s="405"/>
      <c r="C35" s="584"/>
      <c r="D35" s="585"/>
      <c r="E35" s="584"/>
      <c r="F35" s="422">
        <f>F41+F42</f>
        <v>47.5</v>
      </c>
      <c r="G35" s="585"/>
      <c r="H35" s="422">
        <f>sum(H36:H43)</f>
        <v>371</v>
      </c>
      <c r="I35" s="585"/>
      <c r="J35" s="585"/>
      <c r="K35" s="585"/>
      <c r="L35" s="585"/>
      <c r="M35" s="585"/>
    </row>
    <row r="36" ht="21.75" customHeight="1">
      <c r="A36" s="586" t="s">
        <v>1201</v>
      </c>
      <c r="B36" s="587" t="s">
        <v>1202</v>
      </c>
      <c r="C36" s="584"/>
      <c r="D36" s="585"/>
      <c r="E36" s="584"/>
      <c r="F36" s="585"/>
      <c r="G36" s="588">
        <v>1.0</v>
      </c>
      <c r="H36" s="588">
        <v>300.0</v>
      </c>
      <c r="I36" s="585"/>
      <c r="J36" s="585"/>
      <c r="K36" s="585"/>
      <c r="L36" s="585"/>
      <c r="M36" s="575" t="s">
        <v>770</v>
      </c>
    </row>
    <row r="37" ht="30.0" customHeight="1">
      <c r="A37" s="586" t="s">
        <v>1203</v>
      </c>
      <c r="B37" s="587" t="s">
        <v>1202</v>
      </c>
      <c r="C37" s="584"/>
      <c r="D37" s="585"/>
      <c r="E37" s="584"/>
      <c r="F37" s="585"/>
      <c r="G37" s="585"/>
      <c r="H37" s="585"/>
      <c r="I37" s="585"/>
      <c r="J37" s="585"/>
      <c r="K37" s="585"/>
      <c r="L37" s="585"/>
      <c r="M37" s="585"/>
    </row>
    <row r="38" ht="25.5" customHeight="1">
      <c r="A38" s="586" t="s">
        <v>1204</v>
      </c>
      <c r="B38" s="587" t="s">
        <v>1202</v>
      </c>
      <c r="C38" s="584"/>
      <c r="D38" s="585"/>
      <c r="E38" s="584"/>
      <c r="F38" s="585"/>
      <c r="G38" s="585"/>
      <c r="H38" s="585"/>
      <c r="I38" s="585"/>
      <c r="J38" s="585"/>
      <c r="K38" s="585"/>
      <c r="L38" s="585"/>
      <c r="M38" s="585"/>
    </row>
    <row r="39" ht="33.0" customHeight="1">
      <c r="A39" s="586" t="s">
        <v>1205</v>
      </c>
      <c r="B39" s="587" t="s">
        <v>1202</v>
      </c>
      <c r="C39" s="584"/>
      <c r="D39" s="585"/>
      <c r="E39" s="584"/>
      <c r="F39" s="585"/>
      <c r="G39" s="588">
        <v>4.0</v>
      </c>
      <c r="H39" s="588">
        <v>10.0</v>
      </c>
      <c r="I39" s="585"/>
      <c r="J39" s="585"/>
      <c r="K39" s="585"/>
      <c r="L39" s="585"/>
      <c r="M39" s="575" t="s">
        <v>770</v>
      </c>
    </row>
    <row r="40" ht="28.5" customHeight="1">
      <c r="A40" s="586" t="s">
        <v>1206</v>
      </c>
      <c r="B40" s="587" t="s">
        <v>1202</v>
      </c>
      <c r="C40" s="584"/>
      <c r="D40" s="585"/>
      <c r="E40" s="589"/>
      <c r="F40" s="585"/>
      <c r="G40" s="588">
        <v>1.0</v>
      </c>
      <c r="H40" s="588">
        <v>25.0</v>
      </c>
      <c r="I40" s="585"/>
      <c r="J40" s="585"/>
      <c r="K40" s="585"/>
      <c r="L40" s="585"/>
      <c r="M40" s="575" t="s">
        <v>770</v>
      </c>
    </row>
    <row r="41" ht="22.5" customHeight="1">
      <c r="A41" s="390" t="s">
        <v>1207</v>
      </c>
      <c r="B41" s="514"/>
      <c r="C41" s="571"/>
      <c r="D41" s="398"/>
      <c r="E41" s="571">
        <v>10.0</v>
      </c>
      <c r="F41" s="398">
        <v>30.0</v>
      </c>
      <c r="G41" s="398"/>
      <c r="H41" s="398"/>
      <c r="I41" s="398"/>
      <c r="J41" s="398"/>
      <c r="K41" s="398"/>
      <c r="L41" s="398"/>
      <c r="M41" s="398"/>
    </row>
    <row r="42" ht="27.0" customHeight="1">
      <c r="A42" s="390" t="s">
        <v>1208</v>
      </c>
      <c r="B42" s="514"/>
      <c r="C42" s="571"/>
      <c r="D42" s="398"/>
      <c r="E42" s="571">
        <v>5.0</v>
      </c>
      <c r="F42" s="398">
        <v>17.5</v>
      </c>
      <c r="G42" s="398"/>
      <c r="H42" s="398"/>
      <c r="I42" s="398"/>
      <c r="J42" s="398"/>
      <c r="K42" s="398"/>
      <c r="L42" s="398"/>
      <c r="M42" s="398"/>
    </row>
    <row r="43" ht="28.5" customHeight="1">
      <c r="A43" s="390" t="s">
        <v>1209</v>
      </c>
      <c r="B43" s="514"/>
      <c r="C43" s="571"/>
      <c r="D43" s="398"/>
      <c r="E43" s="571"/>
      <c r="F43" s="398"/>
      <c r="G43" s="575">
        <v>34.0</v>
      </c>
      <c r="H43" s="575">
        <v>36.0</v>
      </c>
      <c r="I43" s="398"/>
      <c r="J43" s="398"/>
      <c r="K43" s="398"/>
      <c r="L43" s="398"/>
      <c r="M43" s="575" t="s">
        <v>770</v>
      </c>
    </row>
    <row r="44">
      <c r="A44" s="545" t="s">
        <v>1210</v>
      </c>
      <c r="B44" s="514"/>
      <c r="C44" s="571"/>
      <c r="D44" s="398"/>
      <c r="E44" s="571"/>
      <c r="F44" s="398"/>
      <c r="G44" s="398"/>
      <c r="H44" s="398"/>
      <c r="I44" s="398"/>
      <c r="J44" s="398"/>
      <c r="K44" s="398"/>
      <c r="L44" s="398"/>
      <c r="M44" s="398"/>
    </row>
    <row r="45" ht="34.5" customHeight="1">
      <c r="A45" s="383"/>
      <c r="B45" s="514"/>
      <c r="C45" s="571"/>
      <c r="D45" s="398"/>
      <c r="E45" s="571"/>
      <c r="F45" s="398"/>
      <c r="G45" s="398"/>
      <c r="H45" s="398"/>
      <c r="I45" s="398"/>
      <c r="J45" s="398"/>
      <c r="K45" s="398"/>
      <c r="L45" s="398"/>
      <c r="M45" s="398"/>
    </row>
    <row r="46" ht="34.5" customHeight="1">
      <c r="A46" s="383" t="s">
        <v>1211</v>
      </c>
      <c r="B46" s="514"/>
      <c r="C46" s="571"/>
      <c r="D46" s="398"/>
      <c r="E46" s="581"/>
      <c r="F46" s="345"/>
      <c r="G46" s="398"/>
      <c r="H46" s="398"/>
      <c r="I46" s="398"/>
      <c r="J46" s="398"/>
      <c r="K46" s="398"/>
      <c r="L46" s="398"/>
      <c r="M46" s="398"/>
    </row>
    <row r="47" ht="34.5" customHeight="1">
      <c r="A47" s="383" t="s">
        <v>1212</v>
      </c>
      <c r="B47" s="514"/>
      <c r="C47" s="580" t="s">
        <v>1193</v>
      </c>
      <c r="D47" s="576" t="s">
        <v>1193</v>
      </c>
      <c r="E47" s="571"/>
      <c r="F47" s="398"/>
      <c r="G47" s="398"/>
      <c r="H47" s="398"/>
      <c r="I47" s="398"/>
      <c r="J47" s="398"/>
      <c r="K47" s="398"/>
      <c r="L47" s="398"/>
      <c r="M47" s="398"/>
    </row>
    <row r="48" ht="39.0" customHeight="1">
      <c r="A48" s="390" t="s">
        <v>1213</v>
      </c>
      <c r="B48" s="394" t="s">
        <v>1214</v>
      </c>
      <c r="C48" s="590" t="s">
        <v>1193</v>
      </c>
      <c r="D48" s="474" t="s">
        <v>1193</v>
      </c>
      <c r="E48" s="571"/>
      <c r="F48" s="398"/>
      <c r="G48" s="398"/>
      <c r="H48" s="398"/>
      <c r="I48" s="398"/>
      <c r="J48" s="398"/>
      <c r="K48" s="398"/>
      <c r="L48" s="398"/>
      <c r="M48" s="398"/>
    </row>
    <row r="49" ht="37.5" customHeight="1">
      <c r="A49" s="390" t="s">
        <v>1215</v>
      </c>
      <c r="B49" s="394" t="s">
        <v>1214</v>
      </c>
      <c r="C49" s="580" t="s">
        <v>1193</v>
      </c>
      <c r="D49" s="576" t="s">
        <v>1193</v>
      </c>
      <c r="E49" s="571"/>
      <c r="F49" s="398"/>
      <c r="G49" s="398"/>
      <c r="H49" s="398"/>
      <c r="I49" s="398"/>
      <c r="J49" s="398"/>
      <c r="K49" s="398"/>
      <c r="L49" s="398"/>
      <c r="M49" s="398"/>
    </row>
    <row r="50" ht="39.75" customHeight="1">
      <c r="A50" s="390" t="s">
        <v>1216</v>
      </c>
      <c r="B50" s="394" t="s">
        <v>1214</v>
      </c>
      <c r="C50" s="580" t="s">
        <v>1193</v>
      </c>
      <c r="D50" s="576" t="s">
        <v>1193</v>
      </c>
      <c r="E50" s="571"/>
      <c r="F50" s="398"/>
      <c r="G50" s="398"/>
      <c r="H50" s="398"/>
      <c r="I50" s="398"/>
      <c r="J50" s="398"/>
      <c r="K50" s="398"/>
      <c r="L50" s="398"/>
      <c r="M50" s="398"/>
    </row>
    <row r="51" ht="34.5" customHeight="1">
      <c r="A51" s="391"/>
      <c r="B51" s="514"/>
      <c r="C51" s="580" t="s">
        <v>1193</v>
      </c>
      <c r="D51" s="576" t="s">
        <v>1193</v>
      </c>
      <c r="E51" s="571"/>
      <c r="F51" s="398"/>
      <c r="G51" s="398"/>
      <c r="H51" s="398"/>
      <c r="I51" s="398"/>
      <c r="J51" s="398"/>
      <c r="K51" s="398"/>
      <c r="L51" s="398"/>
      <c r="M51" s="398"/>
    </row>
    <row r="52" ht="34.5" customHeight="1">
      <c r="A52" s="383" t="s">
        <v>1217</v>
      </c>
      <c r="B52" s="514"/>
      <c r="C52" s="580" t="s">
        <v>1193</v>
      </c>
      <c r="D52" s="576" t="s">
        <v>1193</v>
      </c>
      <c r="E52" s="571"/>
      <c r="F52" s="398"/>
      <c r="G52" s="398"/>
      <c r="H52" s="398"/>
      <c r="I52" s="398"/>
      <c r="J52" s="398"/>
      <c r="K52" s="398"/>
      <c r="L52" s="398"/>
      <c r="M52" s="398"/>
    </row>
    <row r="53" ht="39.75" customHeight="1">
      <c r="A53" s="390" t="s">
        <v>1218</v>
      </c>
      <c r="B53" s="394" t="s">
        <v>1214</v>
      </c>
      <c r="C53" s="580" t="s">
        <v>1193</v>
      </c>
      <c r="D53" s="576" t="s">
        <v>1193</v>
      </c>
      <c r="E53" s="571"/>
      <c r="F53" s="398"/>
      <c r="G53" s="398"/>
      <c r="H53" s="398"/>
      <c r="I53" s="398"/>
      <c r="J53" s="398"/>
      <c r="K53" s="398"/>
      <c r="L53" s="398"/>
      <c r="M53" s="398"/>
    </row>
    <row r="54" ht="34.5" customHeight="1">
      <c r="A54" s="391"/>
      <c r="B54" s="514"/>
      <c r="C54" s="580" t="s">
        <v>1193</v>
      </c>
      <c r="D54" s="576" t="s">
        <v>1193</v>
      </c>
      <c r="E54" s="571"/>
      <c r="F54" s="398"/>
      <c r="G54" s="398"/>
      <c r="H54" s="398"/>
      <c r="I54" s="398"/>
      <c r="J54" s="398"/>
      <c r="K54" s="398"/>
      <c r="L54" s="398"/>
      <c r="M54" s="398"/>
    </row>
    <row r="55" ht="45.75" customHeight="1">
      <c r="A55" s="383" t="s">
        <v>1219</v>
      </c>
      <c r="B55" s="514"/>
      <c r="C55" s="580" t="s">
        <v>1193</v>
      </c>
      <c r="D55" s="576" t="s">
        <v>1193</v>
      </c>
      <c r="E55" s="571"/>
      <c r="F55" s="398"/>
      <c r="G55" s="398"/>
      <c r="H55" s="398"/>
      <c r="I55" s="398"/>
      <c r="J55" s="398"/>
      <c r="K55" s="398"/>
      <c r="L55" s="398"/>
      <c r="M55" s="398"/>
    </row>
    <row r="56" ht="48.75" customHeight="1">
      <c r="A56" s="591" t="s">
        <v>1220</v>
      </c>
      <c r="B56" s="514"/>
      <c r="C56" s="571"/>
      <c r="D56" s="398"/>
      <c r="E56" s="571"/>
      <c r="F56" s="398"/>
      <c r="G56" s="398"/>
      <c r="H56" s="398"/>
      <c r="I56" s="398"/>
      <c r="J56" s="398"/>
      <c r="K56" s="398"/>
      <c r="L56" s="398"/>
      <c r="M56" s="398"/>
    </row>
    <row r="57" ht="51.75" customHeight="1">
      <c r="A57" s="390" t="s">
        <v>1221</v>
      </c>
      <c r="B57" s="394" t="s">
        <v>1222</v>
      </c>
      <c r="C57" s="571"/>
      <c r="D57" s="398"/>
      <c r="E57" s="571"/>
      <c r="F57" s="398"/>
      <c r="G57" s="398"/>
      <c r="H57" s="398"/>
      <c r="I57" s="398"/>
      <c r="J57" s="398"/>
      <c r="K57" s="398"/>
      <c r="L57" s="398"/>
      <c r="M57" s="398"/>
    </row>
    <row r="58" ht="33.75" customHeight="1">
      <c r="A58" s="420" t="s">
        <v>71</v>
      </c>
      <c r="B58" s="514"/>
      <c r="C58" s="571"/>
      <c r="D58" s="572">
        <f>D11+D46+D56</f>
        <v>2605.55</v>
      </c>
      <c r="E58" s="573"/>
      <c r="F58" s="572">
        <f>F11+F46+F56</f>
        <v>3040.4</v>
      </c>
      <c r="G58" s="345"/>
      <c r="H58" s="572">
        <f>H11+H46+H56</f>
        <v>1015.82</v>
      </c>
      <c r="I58" s="345"/>
      <c r="J58" s="572">
        <f>J11+J46+J56</f>
        <v>0</v>
      </c>
      <c r="K58" s="345"/>
      <c r="L58" s="345">
        <f>H58+J58</f>
        <v>1015.82</v>
      </c>
      <c r="M58" s="345"/>
    </row>
    <row r="59" ht="14.25" customHeight="1">
      <c r="A59" s="307"/>
      <c r="B59" s="453"/>
      <c r="C59" s="564"/>
      <c r="D59" s="357"/>
      <c r="E59" s="357"/>
      <c r="F59" s="357"/>
      <c r="G59" s="357"/>
      <c r="H59" s="357"/>
      <c r="I59" s="357"/>
      <c r="J59" s="357"/>
      <c r="K59" s="357"/>
      <c r="L59" s="357"/>
      <c r="M59" s="357"/>
    </row>
    <row r="60" ht="15.75" customHeight="1">
      <c r="A60" s="245" t="s">
        <v>72</v>
      </c>
      <c r="B60" s="246"/>
      <c r="C60" s="247" t="s">
        <v>528</v>
      </c>
      <c r="D60" s="304"/>
      <c r="E60" s="350"/>
      <c r="F60" s="350"/>
    </row>
    <row r="61" ht="15.75" customHeight="1">
      <c r="A61" s="250"/>
      <c r="B61" s="248"/>
      <c r="C61" s="250"/>
      <c r="D61" s="304"/>
      <c r="E61" s="249" t="s">
        <v>74</v>
      </c>
      <c r="F61" s="298"/>
    </row>
    <row r="62" ht="12.75" customHeight="1">
      <c r="A62" s="250"/>
      <c r="B62" s="250"/>
      <c r="C62" s="250"/>
      <c r="D62" s="304"/>
      <c r="E62" s="251"/>
      <c r="F62" s="298"/>
    </row>
    <row r="63" ht="23.25" customHeight="1">
      <c r="A63" s="250"/>
      <c r="B63" s="250"/>
      <c r="C63" s="250"/>
      <c r="D63" s="304"/>
      <c r="E63" s="251"/>
      <c r="F63" s="298"/>
    </row>
    <row r="64" ht="15.75" customHeight="1">
      <c r="A64" s="250"/>
      <c r="B64" s="250"/>
      <c r="C64" s="250"/>
      <c r="D64" s="304"/>
      <c r="E64" s="251"/>
      <c r="F64" s="304"/>
    </row>
    <row r="65" ht="21.75" customHeight="1">
      <c r="A65" s="76" t="s">
        <v>75</v>
      </c>
      <c r="B65" s="248"/>
      <c r="C65" s="76" t="s">
        <v>76</v>
      </c>
      <c r="D65" s="304"/>
      <c r="E65" s="251"/>
      <c r="F65" s="304"/>
    </row>
    <row r="66" ht="14.25" customHeight="1">
      <c r="A66" s="247" t="s">
        <v>78</v>
      </c>
      <c r="B66" s="248"/>
      <c r="C66" s="247" t="s">
        <v>79</v>
      </c>
      <c r="D66" s="347"/>
      <c r="E66" s="78" t="s">
        <v>77</v>
      </c>
      <c r="F66" s="304"/>
    </row>
    <row r="67" ht="14.25" customHeight="1">
      <c r="A67" s="307"/>
      <c r="B67" s="307"/>
      <c r="C67" s="564"/>
      <c r="D67" s="357"/>
      <c r="E67" s="254" t="s">
        <v>80</v>
      </c>
      <c r="F67" s="304"/>
      <c r="G67" s="357"/>
      <c r="H67" s="357"/>
      <c r="I67" s="357"/>
      <c r="J67" s="357"/>
      <c r="K67" s="357"/>
      <c r="L67" s="357"/>
      <c r="M67" s="357"/>
    </row>
    <row r="68" ht="14.25" customHeight="1">
      <c r="A68" s="307"/>
      <c r="B68" s="307"/>
      <c r="C68" s="564"/>
      <c r="D68" s="357"/>
      <c r="E68" s="352"/>
      <c r="F68" s="352"/>
      <c r="G68" s="357"/>
      <c r="H68" s="357"/>
      <c r="I68" s="357"/>
      <c r="J68" s="357"/>
      <c r="K68" s="357"/>
      <c r="L68" s="357"/>
      <c r="M68" s="357"/>
    </row>
    <row r="69" ht="14.25" customHeight="1">
      <c r="A69" s="307"/>
      <c r="B69" s="453"/>
      <c r="C69" s="564"/>
      <c r="D69" s="357"/>
      <c r="E69" s="307"/>
      <c r="F69" s="307"/>
      <c r="G69" s="357"/>
      <c r="H69" s="357"/>
      <c r="I69" s="357"/>
      <c r="J69" s="357"/>
      <c r="K69" s="357"/>
      <c r="L69" s="357"/>
      <c r="M69" s="357"/>
    </row>
    <row r="70" ht="14.25" customHeight="1">
      <c r="A70" s="307"/>
      <c r="B70" s="453"/>
      <c r="C70" s="564"/>
      <c r="D70" s="357"/>
      <c r="E70" s="307"/>
      <c r="F70" s="307"/>
      <c r="G70" s="357"/>
      <c r="H70" s="357"/>
      <c r="I70" s="357"/>
      <c r="J70" s="357"/>
      <c r="K70" s="357"/>
      <c r="L70" s="357"/>
      <c r="M70" s="357"/>
    </row>
    <row r="71" ht="14.25" customHeight="1">
      <c r="A71" s="307"/>
      <c r="B71" s="453"/>
      <c r="C71" s="564"/>
      <c r="D71" s="357"/>
      <c r="E71" s="307"/>
      <c r="F71" s="307"/>
      <c r="G71" s="357"/>
      <c r="H71" s="357"/>
      <c r="I71" s="357"/>
      <c r="J71" s="357"/>
      <c r="K71" s="357"/>
      <c r="L71" s="357"/>
      <c r="M71" s="357"/>
    </row>
    <row r="72" ht="14.25" customHeight="1">
      <c r="A72" s="307"/>
      <c r="B72" s="453"/>
      <c r="C72" s="564"/>
      <c r="D72" s="357"/>
      <c r="E72" s="357"/>
      <c r="F72" s="357"/>
      <c r="G72" s="357"/>
      <c r="H72" s="357"/>
      <c r="I72" s="357"/>
      <c r="J72" s="357"/>
      <c r="K72" s="357"/>
      <c r="L72" s="357"/>
      <c r="M72" s="357"/>
    </row>
    <row r="73" ht="14.25" customHeight="1">
      <c r="A73" s="307"/>
      <c r="B73" s="453"/>
      <c r="C73" s="564"/>
      <c r="D73" s="357"/>
      <c r="E73" s="357"/>
      <c r="F73" s="357"/>
      <c r="G73" s="357"/>
      <c r="H73" s="357"/>
      <c r="I73" s="357"/>
      <c r="J73" s="357"/>
      <c r="K73" s="357"/>
      <c r="L73" s="357"/>
      <c r="M73" s="357"/>
    </row>
    <row r="74" ht="14.25" customHeight="1">
      <c r="A74" s="307"/>
      <c r="B74" s="453"/>
      <c r="C74" s="564"/>
      <c r="D74" s="357"/>
      <c r="E74" s="357"/>
      <c r="F74" s="357"/>
      <c r="G74" s="357"/>
      <c r="H74" s="357"/>
      <c r="I74" s="357"/>
      <c r="J74" s="357"/>
      <c r="K74" s="357"/>
      <c r="L74" s="357"/>
      <c r="M74" s="357"/>
    </row>
    <row r="75" ht="14.25" customHeight="1">
      <c r="A75" s="307"/>
      <c r="B75" s="453"/>
      <c r="C75" s="564"/>
      <c r="D75" s="357"/>
      <c r="E75" s="357"/>
      <c r="F75" s="357"/>
      <c r="G75" s="357"/>
      <c r="H75" s="357"/>
      <c r="I75" s="357"/>
      <c r="J75" s="357"/>
      <c r="K75" s="357"/>
      <c r="L75" s="357"/>
      <c r="M75" s="357"/>
    </row>
    <row r="76" ht="14.25" customHeight="1">
      <c r="A76" s="307"/>
      <c r="B76" s="453"/>
      <c r="C76" s="564"/>
      <c r="D76" s="357"/>
      <c r="E76" s="357"/>
      <c r="F76" s="357"/>
      <c r="G76" s="357"/>
      <c r="H76" s="357"/>
      <c r="I76" s="357"/>
      <c r="J76" s="357"/>
      <c r="K76" s="357"/>
      <c r="L76" s="357"/>
      <c r="M76" s="357"/>
    </row>
    <row r="77" ht="14.25" customHeight="1">
      <c r="A77" s="307"/>
      <c r="B77" s="453"/>
      <c r="C77" s="564"/>
      <c r="D77" s="357"/>
      <c r="E77" s="357"/>
      <c r="F77" s="357"/>
      <c r="G77" s="357"/>
      <c r="H77" s="357"/>
      <c r="I77" s="357"/>
      <c r="J77" s="357"/>
      <c r="K77" s="357"/>
      <c r="L77" s="357"/>
      <c r="M77" s="357"/>
    </row>
    <row r="78" ht="14.25" customHeight="1">
      <c r="A78" s="307"/>
      <c r="B78" s="453"/>
      <c r="C78" s="564"/>
      <c r="D78" s="357"/>
      <c r="E78" s="357"/>
      <c r="F78" s="357"/>
      <c r="G78" s="357"/>
      <c r="H78" s="357"/>
      <c r="I78" s="357"/>
      <c r="J78" s="357"/>
      <c r="K78" s="357"/>
      <c r="L78" s="357"/>
      <c r="M78" s="357"/>
    </row>
    <row r="79" ht="14.25" customHeight="1">
      <c r="A79" s="307"/>
      <c r="B79" s="453"/>
      <c r="C79" s="564"/>
      <c r="D79" s="357"/>
      <c r="E79" s="357"/>
      <c r="F79" s="357"/>
      <c r="G79" s="357"/>
      <c r="H79" s="357"/>
      <c r="I79" s="357"/>
      <c r="J79" s="357"/>
      <c r="K79" s="357"/>
      <c r="L79" s="357"/>
      <c r="M79" s="357"/>
    </row>
    <row r="80" ht="14.25" customHeight="1">
      <c r="A80" s="307"/>
      <c r="B80" s="453"/>
      <c r="C80" s="564"/>
      <c r="D80" s="357"/>
      <c r="E80" s="357"/>
      <c r="F80" s="357"/>
      <c r="G80" s="357"/>
      <c r="H80" s="357"/>
      <c r="I80" s="357"/>
      <c r="J80" s="357"/>
      <c r="K80" s="357"/>
      <c r="L80" s="357"/>
      <c r="M80" s="357"/>
    </row>
    <row r="81" ht="14.25" customHeight="1">
      <c r="A81" s="307"/>
      <c r="B81" s="453"/>
      <c r="C81" s="564"/>
      <c r="D81" s="357"/>
      <c r="E81" s="357"/>
      <c r="F81" s="357"/>
      <c r="G81" s="357"/>
      <c r="H81" s="357"/>
      <c r="I81" s="357"/>
      <c r="J81" s="357"/>
      <c r="K81" s="357"/>
      <c r="L81" s="357"/>
      <c r="M81" s="357"/>
    </row>
    <row r="82" ht="14.25" customHeight="1">
      <c r="A82" s="307"/>
      <c r="B82" s="453"/>
      <c r="C82" s="564"/>
      <c r="D82" s="357"/>
      <c r="E82" s="357"/>
      <c r="F82" s="357"/>
      <c r="G82" s="357"/>
      <c r="H82" s="357"/>
      <c r="I82" s="357"/>
      <c r="J82" s="357"/>
      <c r="K82" s="357"/>
      <c r="L82" s="357"/>
      <c r="M82" s="357"/>
    </row>
    <row r="83" ht="14.25" customHeight="1">
      <c r="A83" s="307"/>
      <c r="B83" s="453"/>
      <c r="C83" s="564"/>
      <c r="D83" s="357"/>
      <c r="E83" s="357"/>
      <c r="F83" s="357"/>
      <c r="G83" s="357"/>
      <c r="H83" s="357"/>
      <c r="I83" s="357"/>
      <c r="J83" s="357"/>
      <c r="K83" s="357"/>
      <c r="L83" s="357"/>
      <c r="M83" s="357"/>
    </row>
    <row r="84" ht="14.25" customHeight="1">
      <c r="A84" s="307"/>
      <c r="B84" s="453"/>
      <c r="C84" s="564"/>
      <c r="D84" s="357"/>
      <c r="E84" s="357"/>
      <c r="F84" s="357"/>
      <c r="G84" s="357"/>
      <c r="H84" s="357"/>
      <c r="I84" s="357"/>
      <c r="J84" s="357"/>
      <c r="K84" s="357"/>
      <c r="L84" s="357"/>
      <c r="M84" s="357"/>
    </row>
    <row r="85" ht="14.25" customHeight="1">
      <c r="A85" s="307"/>
      <c r="B85" s="453"/>
      <c r="C85" s="564"/>
      <c r="D85" s="357"/>
      <c r="E85" s="357"/>
      <c r="F85" s="357"/>
      <c r="G85" s="357"/>
      <c r="H85" s="357"/>
      <c r="I85" s="357"/>
      <c r="J85" s="357"/>
      <c r="K85" s="357"/>
      <c r="L85" s="357"/>
      <c r="M85" s="357"/>
    </row>
    <row r="86" ht="14.25" customHeight="1">
      <c r="A86" s="307"/>
      <c r="B86" s="453"/>
      <c r="C86" s="564"/>
      <c r="D86" s="357"/>
      <c r="E86" s="357"/>
      <c r="F86" s="357"/>
      <c r="G86" s="357"/>
      <c r="H86" s="357"/>
      <c r="I86" s="357"/>
      <c r="J86" s="357"/>
      <c r="K86" s="357"/>
      <c r="L86" s="357"/>
      <c r="M86" s="357"/>
    </row>
    <row r="87" ht="14.25" customHeight="1">
      <c r="A87" s="307"/>
      <c r="B87" s="453"/>
      <c r="C87" s="564"/>
      <c r="D87" s="357"/>
      <c r="E87" s="357"/>
      <c r="F87" s="357"/>
      <c r="G87" s="357"/>
      <c r="H87" s="357"/>
      <c r="I87" s="357"/>
      <c r="J87" s="357"/>
      <c r="K87" s="357"/>
      <c r="L87" s="357"/>
      <c r="M87" s="357"/>
    </row>
    <row r="88" ht="14.25" customHeight="1">
      <c r="A88" s="307"/>
      <c r="B88" s="453"/>
      <c r="C88" s="564"/>
      <c r="D88" s="357"/>
      <c r="E88" s="357"/>
      <c r="F88" s="357"/>
      <c r="G88" s="357"/>
      <c r="H88" s="357"/>
      <c r="I88" s="357"/>
      <c r="J88" s="357"/>
      <c r="K88" s="357"/>
      <c r="L88" s="357"/>
      <c r="M88" s="357"/>
    </row>
    <row r="89" ht="14.25" customHeight="1">
      <c r="A89" s="307"/>
      <c r="B89" s="453"/>
      <c r="C89" s="564"/>
      <c r="D89" s="357"/>
      <c r="E89" s="357"/>
      <c r="F89" s="357"/>
      <c r="G89" s="357"/>
      <c r="H89" s="357"/>
      <c r="I89" s="357"/>
      <c r="J89" s="357"/>
      <c r="K89" s="357"/>
      <c r="L89" s="357"/>
      <c r="M89" s="357"/>
    </row>
    <row r="90" ht="14.25" customHeight="1">
      <c r="A90" s="307"/>
      <c r="B90" s="453"/>
      <c r="C90" s="564"/>
      <c r="D90" s="357"/>
      <c r="E90" s="357"/>
      <c r="F90" s="357"/>
      <c r="G90" s="357"/>
      <c r="H90" s="357"/>
      <c r="I90" s="357"/>
      <c r="J90" s="357"/>
      <c r="K90" s="357"/>
      <c r="L90" s="357"/>
      <c r="M90" s="357"/>
    </row>
    <row r="91" ht="14.25" customHeight="1">
      <c r="A91" s="307"/>
      <c r="B91" s="453"/>
      <c r="C91" s="564"/>
      <c r="D91" s="357"/>
      <c r="E91" s="357"/>
      <c r="F91" s="357"/>
      <c r="G91" s="357"/>
      <c r="H91" s="357"/>
      <c r="I91" s="357"/>
      <c r="J91" s="357"/>
      <c r="K91" s="357"/>
      <c r="L91" s="357"/>
      <c r="M91" s="357"/>
    </row>
    <row r="92" ht="14.25" customHeight="1">
      <c r="A92" s="307"/>
      <c r="B92" s="453"/>
      <c r="C92" s="564"/>
      <c r="D92" s="357"/>
      <c r="E92" s="357"/>
      <c r="F92" s="357"/>
      <c r="G92" s="357"/>
      <c r="H92" s="357"/>
      <c r="I92" s="357"/>
      <c r="J92" s="357"/>
      <c r="K92" s="357"/>
      <c r="L92" s="357"/>
      <c r="M92" s="357"/>
    </row>
    <row r="93" ht="14.25" customHeight="1">
      <c r="A93" s="307"/>
      <c r="B93" s="453"/>
      <c r="C93" s="564"/>
      <c r="D93" s="357"/>
      <c r="E93" s="357"/>
      <c r="F93" s="357"/>
      <c r="G93" s="357"/>
      <c r="H93" s="357"/>
      <c r="I93" s="357"/>
      <c r="J93" s="357"/>
      <c r="K93" s="357"/>
      <c r="L93" s="357"/>
      <c r="M93" s="357"/>
    </row>
    <row r="94" ht="14.25" customHeight="1">
      <c r="A94" s="307"/>
      <c r="B94" s="453"/>
      <c r="C94" s="564"/>
      <c r="D94" s="357"/>
      <c r="E94" s="357"/>
      <c r="F94" s="357"/>
      <c r="G94" s="357"/>
      <c r="H94" s="357"/>
      <c r="I94" s="357"/>
      <c r="J94" s="357"/>
      <c r="K94" s="357"/>
      <c r="L94" s="357"/>
      <c r="M94" s="357"/>
    </row>
    <row r="95" ht="14.25" customHeight="1">
      <c r="A95" s="307"/>
      <c r="B95" s="453"/>
      <c r="C95" s="564"/>
      <c r="D95" s="357"/>
      <c r="E95" s="357"/>
      <c r="F95" s="357"/>
      <c r="G95" s="357"/>
      <c r="H95" s="357"/>
      <c r="I95" s="357"/>
      <c r="J95" s="357"/>
      <c r="K95" s="357"/>
      <c r="L95" s="357"/>
      <c r="M95" s="357"/>
    </row>
    <row r="96" ht="14.25" customHeight="1">
      <c r="A96" s="307"/>
      <c r="B96" s="453"/>
      <c r="C96" s="564"/>
      <c r="D96" s="357"/>
      <c r="E96" s="357"/>
      <c r="F96" s="357"/>
      <c r="G96" s="357"/>
      <c r="H96" s="357"/>
      <c r="I96" s="357"/>
      <c r="J96" s="357"/>
      <c r="K96" s="357"/>
      <c r="L96" s="357"/>
      <c r="M96" s="357"/>
    </row>
    <row r="97" ht="14.25" customHeight="1">
      <c r="A97" s="307"/>
      <c r="B97" s="453"/>
      <c r="C97" s="564"/>
      <c r="D97" s="357"/>
      <c r="E97" s="357"/>
      <c r="F97" s="357"/>
      <c r="G97" s="357"/>
      <c r="H97" s="357"/>
      <c r="I97" s="357"/>
      <c r="J97" s="357"/>
      <c r="K97" s="357"/>
      <c r="L97" s="357"/>
      <c r="M97" s="357"/>
    </row>
    <row r="98" ht="14.25" customHeight="1">
      <c r="A98" s="307"/>
      <c r="B98" s="453"/>
      <c r="C98" s="564"/>
      <c r="D98" s="357"/>
      <c r="E98" s="357"/>
      <c r="F98" s="357"/>
      <c r="G98" s="357"/>
      <c r="H98" s="357"/>
      <c r="I98" s="357"/>
      <c r="J98" s="357"/>
      <c r="K98" s="357"/>
      <c r="L98" s="357"/>
      <c r="M98" s="357"/>
    </row>
    <row r="99" ht="14.25" customHeight="1">
      <c r="A99" s="307"/>
      <c r="B99" s="453"/>
      <c r="C99" s="564"/>
      <c r="D99" s="357"/>
      <c r="E99" s="357"/>
      <c r="F99" s="357"/>
      <c r="G99" s="357"/>
      <c r="H99" s="357"/>
      <c r="I99" s="357"/>
      <c r="J99" s="357"/>
      <c r="K99" s="357"/>
      <c r="L99" s="357"/>
      <c r="M99" s="357"/>
    </row>
    <row r="100" ht="14.25" customHeight="1">
      <c r="A100" s="307"/>
      <c r="B100" s="453"/>
      <c r="C100" s="564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</row>
    <row r="101" ht="14.25" customHeight="1">
      <c r="A101" s="307"/>
      <c r="B101" s="453"/>
      <c r="C101" s="564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</row>
    <row r="102" ht="14.25" customHeight="1">
      <c r="A102" s="307"/>
      <c r="B102" s="453"/>
      <c r="C102" s="564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</row>
    <row r="103" ht="14.25" customHeight="1">
      <c r="A103" s="307"/>
      <c r="B103" s="453"/>
      <c r="C103" s="564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</row>
    <row r="104" ht="14.25" customHeight="1">
      <c r="A104" s="307"/>
      <c r="B104" s="453"/>
      <c r="C104" s="564"/>
      <c r="D104" s="357"/>
      <c r="E104" s="357"/>
      <c r="F104" s="357"/>
      <c r="G104" s="357"/>
      <c r="H104" s="357"/>
      <c r="I104" s="357"/>
      <c r="J104" s="357"/>
      <c r="K104" s="357"/>
      <c r="L104" s="357"/>
      <c r="M104" s="357"/>
    </row>
    <row r="105" ht="14.25" customHeight="1">
      <c r="A105" s="307"/>
      <c r="B105" s="453"/>
      <c r="C105" s="564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</row>
    <row r="106" ht="14.25" customHeight="1">
      <c r="A106" s="307"/>
      <c r="B106" s="453"/>
      <c r="C106" s="564"/>
      <c r="D106" s="357"/>
      <c r="E106" s="357"/>
      <c r="F106" s="357"/>
      <c r="G106" s="357"/>
      <c r="H106" s="357"/>
      <c r="I106" s="357"/>
      <c r="J106" s="357"/>
      <c r="K106" s="357"/>
      <c r="L106" s="357"/>
      <c r="M106" s="357"/>
    </row>
    <row r="107" ht="14.25" customHeight="1">
      <c r="A107" s="307"/>
      <c r="B107" s="453"/>
      <c r="C107" s="564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</row>
    <row r="108" ht="14.25" customHeight="1">
      <c r="A108" s="307"/>
      <c r="B108" s="453"/>
      <c r="C108" s="564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</row>
    <row r="109" ht="14.25" customHeight="1">
      <c r="A109" s="307"/>
      <c r="B109" s="453"/>
      <c r="C109" s="564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</row>
    <row r="110" ht="14.25" customHeight="1">
      <c r="A110" s="307"/>
      <c r="B110" s="453"/>
      <c r="C110" s="564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</row>
    <row r="111" ht="14.25" customHeight="1">
      <c r="A111" s="307"/>
      <c r="B111" s="453"/>
      <c r="C111" s="564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</row>
    <row r="112" ht="14.25" customHeight="1">
      <c r="A112" s="307"/>
      <c r="B112" s="453"/>
      <c r="C112" s="564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</row>
    <row r="113" ht="14.25" customHeight="1">
      <c r="A113" s="307"/>
      <c r="B113" s="453"/>
      <c r="C113" s="564"/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</row>
    <row r="114" ht="14.25" customHeight="1">
      <c r="A114" s="307"/>
      <c r="B114" s="453"/>
      <c r="C114" s="564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</row>
    <row r="115" ht="14.25" customHeight="1">
      <c r="A115" s="307"/>
      <c r="B115" s="453"/>
      <c r="C115" s="564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</row>
    <row r="116" ht="14.25" customHeight="1">
      <c r="A116" s="307"/>
      <c r="B116" s="453"/>
      <c r="C116" s="564"/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</row>
    <row r="117" ht="14.25" customHeight="1">
      <c r="A117" s="307"/>
      <c r="B117" s="453"/>
      <c r="C117" s="564"/>
      <c r="D117" s="357"/>
      <c r="E117" s="357"/>
      <c r="F117" s="357"/>
      <c r="G117" s="357"/>
      <c r="H117" s="357"/>
      <c r="I117" s="357"/>
      <c r="J117" s="357"/>
      <c r="K117" s="357"/>
      <c r="L117" s="357"/>
      <c r="M117" s="357"/>
    </row>
    <row r="118" ht="14.25" customHeight="1">
      <c r="A118" s="307"/>
      <c r="B118" s="453"/>
      <c r="C118" s="564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</row>
    <row r="119" ht="14.25" customHeight="1">
      <c r="A119" s="307"/>
      <c r="B119" s="453"/>
      <c r="C119" s="564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</row>
    <row r="120" ht="14.25" customHeight="1">
      <c r="A120" s="307"/>
      <c r="B120" s="453"/>
      <c r="C120" s="564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</row>
    <row r="121" ht="14.25" customHeight="1">
      <c r="A121" s="307"/>
      <c r="B121" s="453"/>
      <c r="C121" s="564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</row>
    <row r="122" ht="14.25" customHeight="1">
      <c r="A122" s="307"/>
      <c r="B122" s="453"/>
      <c r="C122" s="564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</row>
    <row r="123" ht="14.25" customHeight="1">
      <c r="A123" s="307"/>
      <c r="B123" s="453"/>
      <c r="C123" s="564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</row>
    <row r="124" ht="14.25" customHeight="1">
      <c r="A124" s="307"/>
      <c r="B124" s="453"/>
      <c r="C124" s="564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</row>
    <row r="125" ht="14.25" customHeight="1">
      <c r="A125" s="307"/>
      <c r="B125" s="453"/>
      <c r="C125" s="564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</row>
    <row r="126" ht="14.25" customHeight="1">
      <c r="A126" s="307"/>
      <c r="B126" s="453"/>
      <c r="C126" s="564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</row>
    <row r="127" ht="14.25" customHeight="1">
      <c r="A127" s="307"/>
      <c r="B127" s="453"/>
      <c r="C127" s="564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</row>
    <row r="128" ht="14.25" customHeight="1">
      <c r="A128" s="307"/>
      <c r="B128" s="453"/>
      <c r="C128" s="564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</row>
    <row r="129" ht="14.25" customHeight="1">
      <c r="A129" s="307"/>
      <c r="B129" s="453"/>
      <c r="C129" s="564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</row>
    <row r="130" ht="14.25" customHeight="1">
      <c r="A130" s="307"/>
      <c r="B130" s="453"/>
      <c r="C130" s="564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</row>
    <row r="131" ht="14.25" customHeight="1">
      <c r="A131" s="307"/>
      <c r="B131" s="453"/>
      <c r="C131" s="564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</row>
    <row r="132" ht="14.25" customHeight="1">
      <c r="A132" s="307"/>
      <c r="B132" s="453"/>
      <c r="C132" s="564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</row>
    <row r="133" ht="14.25" customHeight="1">
      <c r="A133" s="307"/>
      <c r="B133" s="453"/>
      <c r="C133" s="564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</row>
    <row r="134" ht="14.25" customHeight="1">
      <c r="A134" s="307"/>
      <c r="B134" s="453"/>
      <c r="C134" s="564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</row>
    <row r="135" ht="14.25" customHeight="1">
      <c r="A135" s="307"/>
      <c r="B135" s="453"/>
      <c r="C135" s="564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</row>
    <row r="136" ht="14.25" customHeight="1">
      <c r="A136" s="307"/>
      <c r="B136" s="453"/>
      <c r="C136" s="564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</row>
    <row r="137" ht="14.25" customHeight="1">
      <c r="A137" s="307"/>
      <c r="B137" s="453"/>
      <c r="C137" s="564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</row>
    <row r="138" ht="14.25" customHeight="1">
      <c r="A138" s="307"/>
      <c r="B138" s="453"/>
      <c r="C138" s="564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</row>
    <row r="139" ht="14.25" customHeight="1">
      <c r="A139" s="307"/>
      <c r="B139" s="453"/>
      <c r="C139" s="564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</row>
    <row r="140" ht="14.25" customHeight="1">
      <c r="A140" s="307"/>
      <c r="B140" s="453"/>
      <c r="C140" s="564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</row>
    <row r="141" ht="14.25" customHeight="1">
      <c r="A141" s="307"/>
      <c r="B141" s="453"/>
      <c r="C141" s="564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</row>
    <row r="142" ht="14.25" customHeight="1">
      <c r="A142" s="307"/>
      <c r="B142" s="453"/>
      <c r="C142" s="564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</row>
    <row r="143" ht="14.25" customHeight="1">
      <c r="A143" s="307"/>
      <c r="B143" s="453"/>
      <c r="C143" s="564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</row>
    <row r="144" ht="14.25" customHeight="1">
      <c r="A144" s="307"/>
      <c r="B144" s="453"/>
      <c r="C144" s="564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</row>
    <row r="145" ht="14.25" customHeight="1">
      <c r="A145" s="307"/>
      <c r="B145" s="453"/>
      <c r="C145" s="564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</row>
    <row r="146" ht="14.25" customHeight="1">
      <c r="A146" s="307"/>
      <c r="B146" s="453"/>
      <c r="C146" s="564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</row>
    <row r="147" ht="14.25" customHeight="1">
      <c r="A147" s="307"/>
      <c r="B147" s="453"/>
      <c r="C147" s="564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</row>
    <row r="148" ht="14.25" customHeight="1">
      <c r="A148" s="307"/>
      <c r="B148" s="453"/>
      <c r="C148" s="564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</row>
    <row r="149" ht="14.25" customHeight="1">
      <c r="A149" s="307"/>
      <c r="B149" s="453"/>
      <c r="C149" s="564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</row>
    <row r="150" ht="14.25" customHeight="1">
      <c r="A150" s="307"/>
      <c r="B150" s="453"/>
      <c r="C150" s="564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</row>
    <row r="151" ht="14.25" customHeight="1">
      <c r="A151" s="307"/>
      <c r="B151" s="453"/>
      <c r="C151" s="564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</row>
    <row r="152" ht="14.25" customHeight="1">
      <c r="A152" s="307"/>
      <c r="B152" s="453"/>
      <c r="C152" s="564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</row>
    <row r="153" ht="14.25" customHeight="1">
      <c r="A153" s="307"/>
      <c r="B153" s="453"/>
      <c r="C153" s="564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</row>
    <row r="154" ht="14.25" customHeight="1">
      <c r="A154" s="307"/>
      <c r="B154" s="453"/>
      <c r="C154" s="564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</row>
    <row r="155" ht="14.25" customHeight="1">
      <c r="A155" s="307"/>
      <c r="B155" s="453"/>
      <c r="C155" s="564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</row>
    <row r="156" ht="14.25" customHeight="1">
      <c r="A156" s="307"/>
      <c r="B156" s="453"/>
      <c r="C156" s="564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</row>
    <row r="157" ht="14.25" customHeight="1">
      <c r="A157" s="307"/>
      <c r="B157" s="453"/>
      <c r="C157" s="564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</row>
    <row r="158" ht="14.25" customHeight="1">
      <c r="A158" s="307"/>
      <c r="B158" s="453"/>
      <c r="C158" s="564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</row>
    <row r="159" ht="14.25" customHeight="1">
      <c r="A159" s="307"/>
      <c r="B159" s="453"/>
      <c r="C159" s="564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</row>
    <row r="160" ht="14.25" customHeight="1">
      <c r="A160" s="307"/>
      <c r="B160" s="453"/>
      <c r="C160" s="564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</row>
    <row r="161" ht="14.25" customHeight="1">
      <c r="A161" s="307"/>
      <c r="B161" s="453"/>
      <c r="C161" s="564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</row>
    <row r="162" ht="14.25" customHeight="1">
      <c r="A162" s="307"/>
      <c r="B162" s="453"/>
      <c r="C162" s="564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</row>
    <row r="163" ht="14.25" customHeight="1">
      <c r="A163" s="307"/>
      <c r="B163" s="453"/>
      <c r="C163" s="564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</row>
    <row r="164" ht="14.25" customHeight="1">
      <c r="A164" s="307"/>
      <c r="B164" s="453"/>
      <c r="C164" s="564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</row>
    <row r="165" ht="14.25" customHeight="1">
      <c r="A165" s="307"/>
      <c r="B165" s="453"/>
      <c r="C165" s="564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</row>
    <row r="166" ht="14.25" customHeight="1">
      <c r="A166" s="307"/>
      <c r="B166" s="453"/>
      <c r="C166" s="564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</row>
    <row r="167" ht="14.25" customHeight="1">
      <c r="A167" s="307"/>
      <c r="B167" s="453"/>
      <c r="C167" s="564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</row>
    <row r="168" ht="14.25" customHeight="1">
      <c r="A168" s="307"/>
      <c r="B168" s="453"/>
      <c r="C168" s="564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</row>
    <row r="169" ht="14.25" customHeight="1">
      <c r="A169" s="307"/>
      <c r="B169" s="453"/>
      <c r="C169" s="564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</row>
    <row r="170" ht="14.25" customHeight="1">
      <c r="A170" s="307"/>
      <c r="B170" s="453"/>
      <c r="C170" s="564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</row>
    <row r="171" ht="14.25" customHeight="1">
      <c r="A171" s="307"/>
      <c r="B171" s="453"/>
      <c r="C171" s="564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</row>
    <row r="172" ht="14.25" customHeight="1">
      <c r="A172" s="307"/>
      <c r="B172" s="453"/>
      <c r="C172" s="564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</row>
    <row r="173" ht="14.25" customHeight="1">
      <c r="A173" s="307"/>
      <c r="B173" s="453"/>
      <c r="C173" s="564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</row>
    <row r="174" ht="14.25" customHeight="1">
      <c r="A174" s="307"/>
      <c r="B174" s="453"/>
      <c r="C174" s="564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</row>
    <row r="175" ht="14.25" customHeight="1">
      <c r="A175" s="307"/>
      <c r="B175" s="453"/>
      <c r="C175" s="564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</row>
    <row r="176" ht="14.25" customHeight="1">
      <c r="A176" s="307"/>
      <c r="B176" s="453"/>
      <c r="C176" s="564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</row>
    <row r="177" ht="14.25" customHeight="1">
      <c r="A177" s="307"/>
      <c r="B177" s="453"/>
      <c r="C177" s="564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</row>
    <row r="178" ht="14.25" customHeight="1">
      <c r="A178" s="307"/>
      <c r="B178" s="453"/>
      <c r="C178" s="564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</row>
    <row r="179" ht="14.25" customHeight="1">
      <c r="A179" s="307"/>
      <c r="B179" s="453"/>
      <c r="C179" s="564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</row>
    <row r="180" ht="14.25" customHeight="1">
      <c r="A180" s="307"/>
      <c r="B180" s="453"/>
      <c r="C180" s="564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</row>
    <row r="181" ht="14.25" customHeight="1">
      <c r="A181" s="307"/>
      <c r="B181" s="453"/>
      <c r="C181" s="564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</row>
    <row r="182" ht="14.25" customHeight="1">
      <c r="A182" s="307"/>
      <c r="B182" s="453"/>
      <c r="C182" s="564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</row>
    <row r="183" ht="14.25" customHeight="1">
      <c r="A183" s="307"/>
      <c r="B183" s="453"/>
      <c r="C183" s="564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</row>
    <row r="184" ht="14.25" customHeight="1">
      <c r="A184" s="307"/>
      <c r="B184" s="453"/>
      <c r="C184" s="564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</row>
    <row r="185" ht="14.25" customHeight="1">
      <c r="A185" s="307"/>
      <c r="B185" s="453"/>
      <c r="C185" s="564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</row>
    <row r="186" ht="14.25" customHeight="1">
      <c r="A186" s="307"/>
      <c r="B186" s="453"/>
      <c r="C186" s="564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</row>
    <row r="187" ht="14.25" customHeight="1">
      <c r="A187" s="307"/>
      <c r="B187" s="453"/>
      <c r="C187" s="564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</row>
    <row r="188" ht="14.25" customHeight="1">
      <c r="A188" s="307"/>
      <c r="B188" s="453"/>
      <c r="C188" s="564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</row>
    <row r="189" ht="14.25" customHeight="1">
      <c r="A189" s="307"/>
      <c r="B189" s="453"/>
      <c r="C189" s="564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</row>
    <row r="190" ht="14.25" customHeight="1">
      <c r="A190" s="307"/>
      <c r="B190" s="453"/>
      <c r="C190" s="564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</row>
    <row r="191" ht="14.25" customHeight="1">
      <c r="A191" s="307"/>
      <c r="B191" s="453"/>
      <c r="C191" s="564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</row>
    <row r="192" ht="14.25" customHeight="1">
      <c r="A192" s="307"/>
      <c r="B192" s="453"/>
      <c r="C192" s="564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</row>
    <row r="193" ht="14.25" customHeight="1">
      <c r="A193" s="307"/>
      <c r="B193" s="453"/>
      <c r="C193" s="564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</row>
    <row r="194" ht="14.25" customHeight="1">
      <c r="A194" s="307"/>
      <c r="B194" s="453"/>
      <c r="C194" s="564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</row>
    <row r="195" ht="14.25" customHeight="1">
      <c r="A195" s="307"/>
      <c r="B195" s="453"/>
      <c r="C195" s="564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</row>
    <row r="196" ht="14.25" customHeight="1">
      <c r="A196" s="307"/>
      <c r="B196" s="453"/>
      <c r="C196" s="564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</row>
    <row r="197" ht="14.25" customHeight="1">
      <c r="A197" s="307"/>
      <c r="B197" s="453"/>
      <c r="C197" s="564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</row>
    <row r="198" ht="14.25" customHeight="1">
      <c r="A198" s="307"/>
      <c r="B198" s="453"/>
      <c r="C198" s="564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</row>
    <row r="199" ht="14.25" customHeight="1">
      <c r="A199" s="307"/>
      <c r="B199" s="453"/>
      <c r="C199" s="564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</row>
    <row r="200" ht="14.25" customHeight="1">
      <c r="A200" s="307"/>
      <c r="B200" s="453"/>
      <c r="C200" s="564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</row>
    <row r="201" ht="14.25" customHeight="1">
      <c r="A201" s="307"/>
      <c r="B201" s="453"/>
      <c r="C201" s="564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</row>
    <row r="202" ht="14.25" customHeight="1">
      <c r="A202" s="307"/>
      <c r="B202" s="453"/>
      <c r="C202" s="564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</row>
    <row r="203" ht="14.25" customHeight="1">
      <c r="A203" s="307"/>
      <c r="B203" s="453"/>
      <c r="C203" s="564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</row>
    <row r="204" ht="14.25" customHeight="1">
      <c r="A204" s="307"/>
      <c r="B204" s="453"/>
      <c r="C204" s="564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</row>
    <row r="205" ht="14.25" customHeight="1">
      <c r="A205" s="307"/>
      <c r="B205" s="453"/>
      <c r="C205" s="564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</row>
    <row r="206" ht="14.25" customHeight="1">
      <c r="A206" s="307"/>
      <c r="B206" s="453"/>
      <c r="C206" s="564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</row>
    <row r="207" ht="14.25" customHeight="1">
      <c r="A207" s="307"/>
      <c r="B207" s="453"/>
      <c r="C207" s="564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</row>
    <row r="208" ht="14.25" customHeight="1">
      <c r="A208" s="307"/>
      <c r="B208" s="453"/>
      <c r="C208" s="564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</row>
    <row r="209" ht="14.25" customHeight="1">
      <c r="A209" s="307"/>
      <c r="B209" s="453"/>
      <c r="C209" s="564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</row>
    <row r="210" ht="14.25" customHeight="1">
      <c r="A210" s="307"/>
      <c r="B210" s="453"/>
      <c r="C210" s="564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</row>
    <row r="211" ht="14.25" customHeight="1">
      <c r="A211" s="307"/>
      <c r="B211" s="453"/>
      <c r="C211" s="564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</row>
    <row r="212" ht="14.25" customHeight="1">
      <c r="A212" s="307"/>
      <c r="B212" s="453"/>
      <c r="C212" s="564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</row>
    <row r="213" ht="14.25" customHeight="1">
      <c r="A213" s="307"/>
      <c r="B213" s="453"/>
      <c r="C213" s="564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</row>
    <row r="214" ht="14.25" customHeight="1">
      <c r="A214" s="307"/>
      <c r="B214" s="453"/>
      <c r="C214" s="564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</row>
    <row r="215" ht="14.25" customHeight="1">
      <c r="A215" s="307"/>
      <c r="B215" s="453"/>
      <c r="C215" s="564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</row>
    <row r="216" ht="14.25" customHeight="1">
      <c r="A216" s="307"/>
      <c r="B216" s="453"/>
      <c r="C216" s="564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</row>
    <row r="217" ht="14.25" customHeight="1">
      <c r="A217" s="307"/>
      <c r="B217" s="453"/>
      <c r="C217" s="564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</row>
    <row r="218" ht="14.25" customHeight="1">
      <c r="A218" s="307"/>
      <c r="B218" s="453"/>
      <c r="C218" s="564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</row>
    <row r="219" ht="14.25" customHeight="1">
      <c r="A219" s="307"/>
      <c r="B219" s="453"/>
      <c r="C219" s="564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</row>
    <row r="220" ht="14.25" customHeight="1">
      <c r="A220" s="307"/>
      <c r="B220" s="453"/>
      <c r="C220" s="564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</row>
    <row r="221" ht="14.25" customHeight="1">
      <c r="A221" s="307"/>
      <c r="B221" s="453"/>
      <c r="C221" s="564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</row>
    <row r="222" ht="14.25" customHeight="1">
      <c r="A222" s="307"/>
      <c r="B222" s="453"/>
      <c r="C222" s="564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</row>
    <row r="223" ht="14.25" customHeight="1">
      <c r="A223" s="307"/>
      <c r="B223" s="453"/>
      <c r="C223" s="564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</row>
    <row r="224" ht="14.25" customHeight="1">
      <c r="A224" s="307"/>
      <c r="B224" s="453"/>
      <c r="C224" s="564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</row>
    <row r="225" ht="14.25" customHeight="1">
      <c r="A225" s="307"/>
      <c r="B225" s="453"/>
      <c r="C225" s="564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</row>
    <row r="226" ht="14.25" customHeight="1">
      <c r="A226" s="307"/>
      <c r="B226" s="453"/>
      <c r="C226" s="564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</row>
    <row r="227" ht="14.25" customHeight="1">
      <c r="A227" s="307"/>
      <c r="B227" s="453"/>
      <c r="C227" s="564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</row>
    <row r="228" ht="14.25" customHeight="1">
      <c r="A228" s="307"/>
      <c r="B228" s="453"/>
      <c r="C228" s="564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</row>
    <row r="229" ht="14.25" customHeight="1">
      <c r="A229" s="307"/>
      <c r="B229" s="453"/>
      <c r="C229" s="564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</row>
    <row r="230" ht="14.25" customHeight="1">
      <c r="A230" s="307"/>
      <c r="B230" s="453"/>
      <c r="C230" s="564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</row>
    <row r="231" ht="14.25" customHeight="1">
      <c r="A231" s="307"/>
      <c r="B231" s="453"/>
      <c r="C231" s="564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</row>
    <row r="232" ht="14.25" customHeight="1">
      <c r="A232" s="307"/>
      <c r="B232" s="453"/>
      <c r="C232" s="564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</row>
    <row r="233" ht="14.25" customHeight="1">
      <c r="A233" s="307"/>
      <c r="B233" s="453"/>
      <c r="C233" s="564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</row>
    <row r="234" ht="14.25" customHeight="1">
      <c r="A234" s="307"/>
      <c r="B234" s="453"/>
      <c r="C234" s="564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</row>
    <row r="235" ht="14.25" customHeight="1">
      <c r="A235" s="307"/>
      <c r="B235" s="453"/>
      <c r="C235" s="564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</row>
    <row r="236" ht="14.25" customHeight="1">
      <c r="A236" s="307"/>
      <c r="B236" s="453"/>
      <c r="C236" s="564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</row>
    <row r="237" ht="14.25" customHeight="1">
      <c r="A237" s="307"/>
      <c r="B237" s="453"/>
      <c r="C237" s="564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</row>
    <row r="238" ht="14.25" customHeight="1">
      <c r="A238" s="307"/>
      <c r="B238" s="453"/>
      <c r="C238" s="564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</row>
    <row r="239" ht="14.25" customHeight="1">
      <c r="A239" s="307"/>
      <c r="B239" s="453"/>
      <c r="C239" s="564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</row>
    <row r="240" ht="14.25" customHeight="1">
      <c r="A240" s="307"/>
      <c r="B240" s="453"/>
      <c r="C240" s="564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</row>
    <row r="241" ht="14.25" customHeight="1">
      <c r="A241" s="307"/>
      <c r="B241" s="453"/>
      <c r="C241" s="564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</row>
    <row r="242" ht="14.25" customHeight="1">
      <c r="A242" s="307"/>
      <c r="B242" s="453"/>
      <c r="C242" s="564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</row>
    <row r="243" ht="14.25" customHeight="1">
      <c r="A243" s="307"/>
      <c r="B243" s="453"/>
      <c r="C243" s="564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</row>
    <row r="244" ht="14.25" customHeight="1">
      <c r="A244" s="307"/>
      <c r="B244" s="453"/>
      <c r="C244" s="564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</row>
    <row r="245" ht="14.25" customHeight="1">
      <c r="A245" s="307"/>
      <c r="B245" s="453"/>
      <c r="C245" s="564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</row>
    <row r="246" ht="14.25" customHeight="1">
      <c r="A246" s="307"/>
      <c r="B246" s="453"/>
      <c r="C246" s="564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</row>
    <row r="247" ht="14.25" customHeight="1">
      <c r="A247" s="307"/>
      <c r="B247" s="453"/>
      <c r="C247" s="564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</row>
    <row r="248" ht="14.25" customHeight="1">
      <c r="A248" s="307"/>
      <c r="B248" s="453"/>
      <c r="C248" s="564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</row>
    <row r="249" ht="14.25" customHeight="1">
      <c r="A249" s="307"/>
      <c r="B249" s="453"/>
      <c r="C249" s="564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</row>
    <row r="250" ht="14.25" customHeight="1">
      <c r="A250" s="307"/>
      <c r="B250" s="453"/>
      <c r="C250" s="564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</row>
    <row r="251" ht="14.25" customHeight="1">
      <c r="A251" s="307"/>
      <c r="B251" s="453"/>
      <c r="C251" s="564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</row>
    <row r="252" ht="14.25" customHeight="1">
      <c r="A252" s="307"/>
      <c r="B252" s="453"/>
      <c r="C252" s="564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</row>
    <row r="253" ht="14.25" customHeight="1">
      <c r="A253" s="307"/>
      <c r="B253" s="453"/>
      <c r="C253" s="564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</row>
    <row r="254" ht="14.25" customHeight="1">
      <c r="A254" s="307"/>
      <c r="B254" s="453"/>
      <c r="C254" s="564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</row>
    <row r="255" ht="14.25" customHeight="1">
      <c r="A255" s="307"/>
      <c r="B255" s="453"/>
      <c r="C255" s="564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</row>
    <row r="256" ht="14.25" customHeight="1">
      <c r="A256" s="307"/>
      <c r="B256" s="453"/>
      <c r="C256" s="564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</row>
    <row r="257" ht="14.25" customHeight="1">
      <c r="A257" s="307"/>
      <c r="B257" s="453"/>
      <c r="C257" s="564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</row>
    <row r="258" ht="14.25" customHeight="1">
      <c r="A258" s="307"/>
      <c r="B258" s="453"/>
      <c r="C258" s="564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</row>
    <row r="259" ht="14.25" customHeight="1">
      <c r="A259" s="307"/>
      <c r="B259" s="453"/>
      <c r="C259" s="564"/>
      <c r="D259" s="307"/>
      <c r="E259" s="357"/>
      <c r="F259" s="357"/>
      <c r="G259" s="307"/>
      <c r="H259" s="307"/>
      <c r="I259" s="307"/>
      <c r="J259" s="307"/>
      <c r="K259" s="307"/>
      <c r="L259" s="307"/>
      <c r="M259" s="307"/>
    </row>
    <row r="260" ht="14.25" customHeight="1">
      <c r="A260" s="307"/>
      <c r="B260" s="453"/>
      <c r="C260" s="564"/>
      <c r="D260" s="307"/>
      <c r="E260" s="357"/>
      <c r="F260" s="357"/>
      <c r="G260" s="307"/>
      <c r="H260" s="307"/>
      <c r="I260" s="307"/>
      <c r="J260" s="307"/>
      <c r="K260" s="307"/>
      <c r="L260" s="307"/>
      <c r="M260" s="307"/>
    </row>
    <row r="261" ht="14.25" customHeight="1">
      <c r="A261" s="307"/>
      <c r="B261" s="453"/>
      <c r="C261" s="564"/>
      <c r="D261" s="307"/>
      <c r="E261" s="357"/>
      <c r="F261" s="357"/>
      <c r="G261" s="307"/>
      <c r="H261" s="307"/>
      <c r="I261" s="307"/>
      <c r="J261" s="307"/>
      <c r="K261" s="307"/>
      <c r="L261" s="307"/>
      <c r="M261" s="307"/>
    </row>
    <row r="262" ht="14.25" customHeight="1">
      <c r="A262" s="307"/>
      <c r="B262" s="453"/>
      <c r="C262" s="564"/>
      <c r="D262" s="307"/>
      <c r="E262" s="357"/>
      <c r="F262" s="357"/>
      <c r="G262" s="307"/>
      <c r="H262" s="307"/>
      <c r="I262" s="307"/>
      <c r="J262" s="307"/>
      <c r="K262" s="307"/>
      <c r="L262" s="307"/>
      <c r="M262" s="307"/>
    </row>
    <row r="263" ht="14.25" customHeight="1">
      <c r="A263" s="307"/>
      <c r="B263" s="453"/>
      <c r="C263" s="564"/>
      <c r="D263" s="307"/>
      <c r="E263" s="357"/>
      <c r="F263" s="357"/>
      <c r="G263" s="307"/>
      <c r="H263" s="307"/>
      <c r="I263" s="307"/>
      <c r="J263" s="307"/>
      <c r="K263" s="307"/>
      <c r="L263" s="307"/>
      <c r="M263" s="307"/>
    </row>
    <row r="264" ht="14.25" customHeight="1">
      <c r="A264" s="307"/>
      <c r="B264" s="453"/>
      <c r="C264" s="564"/>
      <c r="D264" s="307"/>
      <c r="E264" s="357"/>
      <c r="F264" s="357"/>
      <c r="G264" s="307"/>
      <c r="H264" s="307"/>
      <c r="I264" s="307"/>
      <c r="J264" s="307"/>
      <c r="K264" s="307"/>
      <c r="L264" s="307"/>
      <c r="M264" s="307"/>
    </row>
    <row r="265" ht="14.25" customHeight="1">
      <c r="A265" s="307"/>
      <c r="B265" s="453"/>
      <c r="C265" s="564"/>
      <c r="D265" s="307"/>
      <c r="E265" s="357"/>
      <c r="F265" s="357"/>
      <c r="G265" s="307"/>
      <c r="H265" s="307"/>
      <c r="I265" s="307"/>
      <c r="J265" s="307"/>
      <c r="K265" s="307"/>
      <c r="L265" s="307"/>
      <c r="M265" s="307"/>
    </row>
    <row r="266" ht="14.25" customHeight="1">
      <c r="A266" s="307"/>
      <c r="B266" s="453"/>
      <c r="C266" s="564"/>
      <c r="D266" s="307"/>
      <c r="E266" s="357"/>
      <c r="F266" s="357"/>
      <c r="G266" s="307"/>
      <c r="H266" s="307"/>
      <c r="I266" s="307"/>
      <c r="J266" s="307"/>
      <c r="K266" s="307"/>
      <c r="L266" s="307"/>
      <c r="M266" s="307"/>
    </row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73.43"/>
    <col customWidth="1" min="2" max="2" width="20.71"/>
    <col customWidth="1" min="3" max="3" width="19.57"/>
    <col customWidth="1" min="4" max="4" width="18.57"/>
    <col customWidth="1" min="5" max="6" width="17.86"/>
    <col customWidth="1" min="7" max="13" width="25.0"/>
  </cols>
  <sheetData>
    <row r="1" ht="33.0" customHeight="1">
      <c r="A1" s="442" t="s">
        <v>0</v>
      </c>
      <c r="B1" s="455"/>
      <c r="C1" s="307"/>
      <c r="D1" s="357"/>
      <c r="E1" s="592"/>
      <c r="F1" s="592"/>
      <c r="G1" s="295"/>
      <c r="H1" s="295"/>
      <c r="I1" s="295"/>
      <c r="J1" s="295"/>
      <c r="K1" s="296"/>
      <c r="L1" s="295"/>
      <c r="M1" s="295"/>
    </row>
    <row r="2" ht="40.5" customHeight="1">
      <c r="A2" s="297" t="s">
        <v>1</v>
      </c>
      <c r="B2" s="298"/>
      <c r="C2" s="298"/>
      <c r="D2" s="295"/>
      <c r="E2" s="295"/>
      <c r="F2" s="295"/>
      <c r="G2" s="298"/>
      <c r="H2" s="299" t="s">
        <v>611</v>
      </c>
      <c r="K2" s="296"/>
      <c r="L2" s="298"/>
      <c r="M2" s="298"/>
    </row>
    <row r="3" ht="27.0" customHeight="1">
      <c r="A3" s="562" t="s">
        <v>1223</v>
      </c>
      <c r="B3" s="307"/>
      <c r="C3" s="307"/>
      <c r="D3" s="357"/>
      <c r="E3" s="592"/>
      <c r="F3" s="592"/>
      <c r="G3" s="304"/>
      <c r="K3" s="304"/>
      <c r="L3" s="304"/>
      <c r="M3" s="304"/>
    </row>
    <row r="4" ht="27.0" customHeight="1">
      <c r="A4" s="562" t="s">
        <v>3</v>
      </c>
      <c r="B4" s="455"/>
      <c r="C4" s="307"/>
      <c r="D4" s="357"/>
      <c r="E4" s="592"/>
      <c r="F4" s="592"/>
      <c r="G4" s="304"/>
      <c r="K4" s="304"/>
      <c r="L4" s="304"/>
      <c r="M4" s="304"/>
    </row>
    <row r="5" ht="21.0" customHeight="1">
      <c r="A5" s="562" t="s">
        <v>4</v>
      </c>
      <c r="B5" s="455"/>
      <c r="C5" s="307"/>
      <c r="D5" s="357"/>
      <c r="E5" s="592"/>
      <c r="F5" s="592"/>
      <c r="G5" s="304"/>
      <c r="H5" s="304"/>
      <c r="I5" s="304"/>
      <c r="J5" s="304"/>
      <c r="K5" s="304"/>
      <c r="L5" s="304"/>
      <c r="M5" s="304"/>
    </row>
    <row r="6" ht="30.0" customHeight="1">
      <c r="A6" s="455"/>
      <c r="B6" s="455"/>
      <c r="C6" s="307"/>
      <c r="D6" s="357"/>
      <c r="E6" s="592"/>
      <c r="F6" s="592"/>
      <c r="G6" s="307"/>
      <c r="H6" s="307"/>
      <c r="I6" s="307"/>
      <c r="J6" s="307"/>
      <c r="K6" s="307"/>
      <c r="L6" s="307"/>
      <c r="M6" s="307"/>
    </row>
    <row r="7" ht="31.5" customHeight="1">
      <c r="A7" s="373" t="s">
        <v>5</v>
      </c>
      <c r="B7" s="373" t="s">
        <v>6</v>
      </c>
      <c r="C7" s="593" t="s">
        <v>530</v>
      </c>
      <c r="D7" s="14"/>
      <c r="E7" s="594" t="s">
        <v>8</v>
      </c>
      <c r="F7" s="14"/>
      <c r="G7" s="312" t="s">
        <v>9</v>
      </c>
      <c r="H7" s="17"/>
      <c r="I7" s="17"/>
      <c r="J7" s="17"/>
      <c r="K7" s="17"/>
      <c r="L7" s="18"/>
      <c r="M7" s="595" t="s">
        <v>1224</v>
      </c>
    </row>
    <row r="8" ht="1.5" customHeight="1">
      <c r="A8" s="19"/>
      <c r="B8" s="19"/>
      <c r="C8" s="375" t="s">
        <v>17</v>
      </c>
      <c r="D8" s="377" t="s">
        <v>532</v>
      </c>
      <c r="E8" s="20"/>
      <c r="F8" s="21"/>
      <c r="G8" s="312" t="s">
        <v>11</v>
      </c>
      <c r="H8" s="18"/>
      <c r="I8" s="312" t="s">
        <v>12</v>
      </c>
      <c r="J8" s="18"/>
      <c r="K8" s="312" t="s">
        <v>13</v>
      </c>
      <c r="L8" s="18"/>
      <c r="M8" s="19"/>
    </row>
    <row r="9" ht="22.5" customHeight="1">
      <c r="A9" s="19"/>
      <c r="B9" s="19"/>
      <c r="C9" s="19"/>
      <c r="D9" s="19"/>
      <c r="E9" s="594" t="s">
        <v>16</v>
      </c>
      <c r="F9" s="14"/>
      <c r="G9" s="315" t="s">
        <v>17</v>
      </c>
      <c r="H9" s="596" t="s">
        <v>18</v>
      </c>
      <c r="I9" s="315" t="s">
        <v>17</v>
      </c>
      <c r="J9" s="596" t="s">
        <v>18</v>
      </c>
      <c r="K9" s="315" t="s">
        <v>17</v>
      </c>
      <c r="L9" s="596" t="s">
        <v>18</v>
      </c>
      <c r="M9" s="19"/>
    </row>
    <row r="10" ht="71.25" customHeight="1">
      <c r="A10" s="26"/>
      <c r="B10" s="26"/>
      <c r="C10" s="26"/>
      <c r="D10" s="26"/>
      <c r="E10" s="597" t="s">
        <v>17</v>
      </c>
      <c r="F10" s="598" t="s">
        <v>18</v>
      </c>
      <c r="G10" s="26"/>
      <c r="H10" s="26"/>
      <c r="I10" s="26"/>
      <c r="J10" s="26"/>
      <c r="K10" s="26"/>
      <c r="L10" s="26"/>
      <c r="M10" s="26"/>
    </row>
    <row r="11" ht="30.0" customHeight="1">
      <c r="A11" s="213" t="s">
        <v>1225</v>
      </c>
      <c r="B11" s="219"/>
      <c r="C11" s="391"/>
      <c r="D11" s="398"/>
      <c r="E11" s="585"/>
      <c r="F11" s="585"/>
      <c r="G11" s="405"/>
      <c r="H11" s="405"/>
      <c r="I11" s="405"/>
      <c r="J11" s="405"/>
      <c r="K11" s="405"/>
      <c r="L11" s="405"/>
      <c r="M11" s="405"/>
    </row>
    <row r="12" ht="34.5" customHeight="1">
      <c r="A12" s="213" t="s">
        <v>573</v>
      </c>
      <c r="B12" s="219"/>
      <c r="C12" s="384"/>
      <c r="D12" s="345">
        <f>D13</f>
        <v>1597</v>
      </c>
      <c r="E12" s="599"/>
      <c r="F12" s="600">
        <f>F13+F41</f>
        <v>10717.304</v>
      </c>
      <c r="G12" s="405"/>
      <c r="H12" s="405"/>
      <c r="I12" s="405"/>
      <c r="J12" s="405"/>
      <c r="K12" s="405"/>
      <c r="L12" s="405"/>
      <c r="M12" s="405"/>
    </row>
    <row r="13" ht="54.0" customHeight="1">
      <c r="A13" s="55" t="s">
        <v>1226</v>
      </c>
      <c r="B13" s="40"/>
      <c r="C13" s="384"/>
      <c r="D13" s="345">
        <f>SUM(D14:D40)</f>
        <v>1597</v>
      </c>
      <c r="E13" s="599"/>
      <c r="F13" s="599"/>
      <c r="G13" s="405"/>
      <c r="H13" s="405"/>
      <c r="I13" s="405"/>
      <c r="J13" s="405"/>
      <c r="K13" s="405"/>
      <c r="L13" s="405"/>
      <c r="M13" s="405"/>
    </row>
    <row r="14" ht="39.0" customHeight="1">
      <c r="A14" s="40" t="s">
        <v>1227</v>
      </c>
      <c r="B14" s="492" t="s">
        <v>607</v>
      </c>
      <c r="C14" s="391"/>
      <c r="D14" s="398"/>
      <c r="E14" s="585"/>
      <c r="F14" s="585"/>
      <c r="G14" s="405"/>
      <c r="H14" s="405"/>
      <c r="I14" s="405"/>
      <c r="J14" s="405"/>
      <c r="K14" s="405"/>
      <c r="L14" s="405"/>
      <c r="M14" s="405"/>
    </row>
    <row r="15" ht="34.5" customHeight="1">
      <c r="A15" s="40" t="s">
        <v>48</v>
      </c>
      <c r="B15" s="492" t="s">
        <v>607</v>
      </c>
      <c r="C15" s="391"/>
      <c r="D15" s="39"/>
      <c r="E15" s="585"/>
      <c r="F15" s="585"/>
      <c r="G15" s="405"/>
      <c r="H15" s="405"/>
      <c r="I15" s="405"/>
      <c r="J15" s="405"/>
      <c r="K15" s="405"/>
      <c r="L15" s="405"/>
      <c r="M15" s="405"/>
    </row>
    <row r="16" ht="39.0" customHeight="1">
      <c r="A16" s="40" t="s">
        <v>1228</v>
      </c>
      <c r="B16" s="492" t="s">
        <v>607</v>
      </c>
      <c r="C16" s="391">
        <v>1.0</v>
      </c>
      <c r="D16" s="39">
        <v>10.0</v>
      </c>
      <c r="E16" s="585"/>
      <c r="F16" s="585"/>
      <c r="G16" s="405"/>
      <c r="H16" s="405"/>
      <c r="I16" s="405"/>
      <c r="J16" s="405"/>
      <c r="K16" s="405"/>
      <c r="L16" s="405"/>
      <c r="M16" s="405"/>
    </row>
    <row r="17" ht="31.5" customHeight="1">
      <c r="A17" s="40" t="s">
        <v>1229</v>
      </c>
      <c r="B17" s="492" t="s">
        <v>607</v>
      </c>
      <c r="C17" s="391">
        <v>5.0</v>
      </c>
      <c r="D17" s="39">
        <v>100.0</v>
      </c>
      <c r="E17" s="585"/>
      <c r="F17" s="585"/>
      <c r="G17" s="405"/>
      <c r="H17" s="405"/>
      <c r="I17" s="405"/>
      <c r="J17" s="405"/>
      <c r="K17" s="405"/>
      <c r="L17" s="405"/>
      <c r="M17" s="405"/>
    </row>
    <row r="18" ht="31.5" customHeight="1">
      <c r="A18" s="40" t="s">
        <v>1230</v>
      </c>
      <c r="B18" s="492" t="s">
        <v>607</v>
      </c>
      <c r="C18" s="391">
        <v>6.0</v>
      </c>
      <c r="D18" s="39">
        <v>90.0</v>
      </c>
      <c r="E18" s="585"/>
      <c r="F18" s="585"/>
      <c r="G18" s="405"/>
      <c r="H18" s="405"/>
      <c r="I18" s="405"/>
      <c r="J18" s="405"/>
      <c r="K18" s="405"/>
      <c r="L18" s="405"/>
      <c r="M18" s="405"/>
    </row>
    <row r="19" ht="28.5" customHeight="1">
      <c r="A19" s="40" t="s">
        <v>1231</v>
      </c>
      <c r="B19" s="492" t="s">
        <v>607</v>
      </c>
      <c r="C19" s="391">
        <v>1.0</v>
      </c>
      <c r="D19" s="39">
        <v>10.0</v>
      </c>
      <c r="E19" s="585"/>
      <c r="F19" s="585"/>
      <c r="G19" s="405"/>
      <c r="H19" s="405"/>
      <c r="I19" s="405"/>
      <c r="J19" s="405"/>
      <c r="K19" s="405"/>
      <c r="L19" s="405"/>
      <c r="M19" s="405"/>
    </row>
    <row r="20" ht="33.0" customHeight="1">
      <c r="A20" s="40" t="s">
        <v>1232</v>
      </c>
      <c r="B20" s="492" t="s">
        <v>607</v>
      </c>
      <c r="C20" s="391">
        <v>1.0</v>
      </c>
      <c r="D20" s="39">
        <v>135.0</v>
      </c>
      <c r="E20" s="585"/>
      <c r="F20" s="585"/>
      <c r="G20" s="405"/>
      <c r="H20" s="405"/>
      <c r="I20" s="405"/>
      <c r="J20" s="405"/>
      <c r="K20" s="405"/>
      <c r="L20" s="405"/>
      <c r="M20" s="405"/>
    </row>
    <row r="21" ht="25.5" customHeight="1">
      <c r="A21" s="40" t="s">
        <v>1233</v>
      </c>
      <c r="B21" s="492" t="s">
        <v>607</v>
      </c>
      <c r="C21" s="391">
        <v>1.0</v>
      </c>
      <c r="D21" s="39">
        <v>65.0</v>
      </c>
      <c r="E21" s="585"/>
      <c r="F21" s="585"/>
      <c r="G21" s="405"/>
      <c r="H21" s="405"/>
      <c r="I21" s="405"/>
      <c r="J21" s="405"/>
      <c r="K21" s="405"/>
      <c r="L21" s="405"/>
      <c r="M21" s="405"/>
    </row>
    <row r="22" ht="28.5" customHeight="1">
      <c r="A22" s="40" t="s">
        <v>243</v>
      </c>
      <c r="B22" s="492" t="s">
        <v>607</v>
      </c>
      <c r="C22" s="391">
        <v>4.0</v>
      </c>
      <c r="D22" s="39">
        <v>30.0</v>
      </c>
      <c r="E22" s="585"/>
      <c r="F22" s="585"/>
      <c r="G22" s="405"/>
      <c r="H22" s="405"/>
      <c r="I22" s="405"/>
      <c r="J22" s="405"/>
      <c r="K22" s="405"/>
      <c r="L22" s="405"/>
      <c r="M22" s="405"/>
    </row>
    <row r="23" ht="33.0" customHeight="1">
      <c r="A23" s="40"/>
      <c r="B23" s="492"/>
      <c r="C23" s="391"/>
      <c r="D23" s="39"/>
      <c r="E23" s="585"/>
      <c r="F23" s="585"/>
      <c r="G23" s="405"/>
      <c r="H23" s="405"/>
      <c r="I23" s="405"/>
      <c r="J23" s="405"/>
      <c r="K23" s="405"/>
      <c r="L23" s="405"/>
      <c r="M23" s="405"/>
    </row>
    <row r="24" ht="33.0" customHeight="1">
      <c r="A24" s="40" t="s">
        <v>1234</v>
      </c>
      <c r="B24" s="492" t="s">
        <v>607</v>
      </c>
      <c r="C24" s="391"/>
      <c r="D24" s="39"/>
      <c r="E24" s="585"/>
      <c r="F24" s="585"/>
      <c r="G24" s="405"/>
      <c r="H24" s="405"/>
      <c r="I24" s="405"/>
      <c r="J24" s="405"/>
      <c r="K24" s="405"/>
      <c r="L24" s="405"/>
      <c r="M24" s="405"/>
    </row>
    <row r="25" ht="33.0" customHeight="1">
      <c r="A25" s="40" t="s">
        <v>1235</v>
      </c>
      <c r="B25" s="492" t="s">
        <v>607</v>
      </c>
      <c r="C25" s="391">
        <v>1.0</v>
      </c>
      <c r="D25" s="39">
        <v>100.0</v>
      </c>
      <c r="E25" s="585"/>
      <c r="F25" s="585"/>
      <c r="G25" s="405"/>
      <c r="H25" s="405"/>
      <c r="I25" s="405"/>
      <c r="J25" s="405"/>
      <c r="K25" s="405"/>
      <c r="L25" s="405"/>
      <c r="M25" s="405"/>
    </row>
    <row r="26" ht="27.0" customHeight="1">
      <c r="A26" s="40" t="s">
        <v>326</v>
      </c>
      <c r="B26" s="492" t="s">
        <v>607</v>
      </c>
      <c r="C26" s="571">
        <v>1.0</v>
      </c>
      <c r="D26" s="39">
        <v>33.0</v>
      </c>
      <c r="E26" s="585"/>
      <c r="F26" s="585"/>
      <c r="G26" s="405"/>
      <c r="H26" s="405"/>
      <c r="I26" s="405"/>
      <c r="J26" s="405"/>
      <c r="K26" s="405"/>
      <c r="L26" s="405"/>
      <c r="M26" s="405"/>
    </row>
    <row r="27" ht="34.5" customHeight="1">
      <c r="A27" s="40" t="s">
        <v>1236</v>
      </c>
      <c r="B27" s="492" t="s">
        <v>1237</v>
      </c>
      <c r="C27" s="571">
        <v>335.0</v>
      </c>
      <c r="D27" s="39">
        <v>266.0</v>
      </c>
      <c r="E27" s="585"/>
      <c r="F27" s="585"/>
      <c r="G27" s="405"/>
      <c r="H27" s="405"/>
      <c r="I27" s="405"/>
      <c r="J27" s="405"/>
      <c r="K27" s="405"/>
      <c r="L27" s="405"/>
      <c r="M27" s="405"/>
    </row>
    <row r="28" ht="27.0" customHeight="1">
      <c r="A28" s="40" t="s">
        <v>1238</v>
      </c>
      <c r="B28" s="492" t="s">
        <v>1239</v>
      </c>
      <c r="C28" s="571">
        <v>67.0</v>
      </c>
      <c r="D28" s="39">
        <v>133.0</v>
      </c>
      <c r="E28" s="585"/>
      <c r="F28" s="585"/>
      <c r="G28" s="405"/>
      <c r="H28" s="405"/>
      <c r="I28" s="405"/>
      <c r="J28" s="405"/>
      <c r="K28" s="405"/>
      <c r="L28" s="405"/>
      <c r="M28" s="405"/>
    </row>
    <row r="29" ht="33.0" customHeight="1">
      <c r="A29" s="40" t="s">
        <v>1240</v>
      </c>
      <c r="B29" s="492" t="s">
        <v>1241</v>
      </c>
      <c r="C29" s="571">
        <v>66.0</v>
      </c>
      <c r="D29" s="39">
        <v>25.0</v>
      </c>
      <c r="E29" s="585"/>
      <c r="F29" s="585"/>
      <c r="G29" s="405"/>
      <c r="H29" s="405"/>
      <c r="I29" s="405"/>
      <c r="J29" s="405"/>
      <c r="K29" s="405"/>
      <c r="L29" s="405"/>
      <c r="M29" s="405"/>
    </row>
    <row r="30" ht="31.5" customHeight="1">
      <c r="A30" s="40" t="s">
        <v>1242</v>
      </c>
      <c r="B30" s="492" t="s">
        <v>1243</v>
      </c>
      <c r="C30" s="571">
        <v>4748.0</v>
      </c>
      <c r="D30" s="39">
        <v>300.0</v>
      </c>
      <c r="E30" s="585"/>
      <c r="F30" s="585"/>
      <c r="G30" s="405"/>
      <c r="H30" s="405"/>
      <c r="I30" s="405"/>
      <c r="J30" s="405"/>
      <c r="K30" s="405"/>
      <c r="L30" s="405"/>
      <c r="M30" s="405"/>
    </row>
    <row r="31" ht="25.5" customHeight="1">
      <c r="A31" s="40" t="s">
        <v>1244</v>
      </c>
      <c r="B31" s="492" t="s">
        <v>607</v>
      </c>
      <c r="C31" s="391">
        <v>3.0</v>
      </c>
      <c r="D31" s="39">
        <v>300.0</v>
      </c>
      <c r="E31" s="585"/>
      <c r="F31" s="585"/>
      <c r="G31" s="405"/>
      <c r="H31" s="405"/>
      <c r="I31" s="405"/>
      <c r="J31" s="405"/>
      <c r="K31" s="405"/>
      <c r="L31" s="405"/>
      <c r="M31" s="405"/>
    </row>
    <row r="32" ht="28.5" customHeight="1">
      <c r="A32" s="601" t="s">
        <v>1245</v>
      </c>
      <c r="B32" s="602" t="s">
        <v>1239</v>
      </c>
      <c r="C32" s="391"/>
      <c r="D32" s="398"/>
      <c r="E32" s="585"/>
      <c r="F32" s="585"/>
      <c r="G32" s="405"/>
      <c r="H32" s="405"/>
      <c r="I32" s="401">
        <v>50.0</v>
      </c>
      <c r="J32" s="401">
        <v>100.0</v>
      </c>
      <c r="K32" s="405"/>
      <c r="L32" s="405"/>
      <c r="M32" s="401" t="s">
        <v>127</v>
      </c>
    </row>
    <row r="33" ht="28.5" customHeight="1">
      <c r="A33" s="601" t="s">
        <v>1246</v>
      </c>
      <c r="B33" s="602" t="s">
        <v>1239</v>
      </c>
      <c r="C33" s="391"/>
      <c r="D33" s="398"/>
      <c r="E33" s="585"/>
      <c r="F33" s="585"/>
      <c r="G33" s="405"/>
      <c r="H33" s="405"/>
      <c r="I33" s="401">
        <v>100.0</v>
      </c>
      <c r="J33" s="401">
        <v>100.0</v>
      </c>
      <c r="K33" s="405"/>
      <c r="L33" s="405"/>
      <c r="M33" s="401" t="s">
        <v>127</v>
      </c>
    </row>
    <row r="34" ht="28.5" customHeight="1">
      <c r="A34" s="601" t="s">
        <v>1247</v>
      </c>
      <c r="B34" s="602" t="s">
        <v>93</v>
      </c>
      <c r="C34" s="391"/>
      <c r="D34" s="398"/>
      <c r="E34" s="585"/>
      <c r="F34" s="585"/>
      <c r="G34" s="405"/>
      <c r="H34" s="405"/>
      <c r="I34" s="401">
        <v>200.0</v>
      </c>
      <c r="J34" s="401">
        <v>50.0</v>
      </c>
      <c r="K34" s="405"/>
      <c r="L34" s="405"/>
      <c r="M34" s="401" t="s">
        <v>127</v>
      </c>
    </row>
    <row r="35" ht="28.5" customHeight="1">
      <c r="A35" s="601" t="s">
        <v>1248</v>
      </c>
      <c r="B35" s="602" t="s">
        <v>1237</v>
      </c>
      <c r="C35" s="391"/>
      <c r="D35" s="398"/>
      <c r="E35" s="585"/>
      <c r="F35" s="585"/>
      <c r="G35" s="405"/>
      <c r="H35" s="405"/>
      <c r="I35" s="401">
        <v>100.0</v>
      </c>
      <c r="J35" s="401">
        <v>70.0</v>
      </c>
      <c r="K35" s="405"/>
      <c r="L35" s="405"/>
      <c r="M35" s="401" t="s">
        <v>127</v>
      </c>
    </row>
    <row r="36" ht="28.5" customHeight="1">
      <c r="A36" s="601" t="s">
        <v>1249</v>
      </c>
      <c r="B36" s="602" t="s">
        <v>93</v>
      </c>
      <c r="C36" s="391"/>
      <c r="D36" s="398"/>
      <c r="E36" s="585"/>
      <c r="F36" s="585"/>
      <c r="G36" s="405"/>
      <c r="H36" s="405"/>
      <c r="I36" s="401">
        <v>80.0</v>
      </c>
      <c r="J36" s="401">
        <v>8.0</v>
      </c>
      <c r="K36" s="405"/>
      <c r="L36" s="405"/>
      <c r="M36" s="401" t="s">
        <v>127</v>
      </c>
    </row>
    <row r="37" ht="39.0" customHeight="1">
      <c r="A37" s="601" t="s">
        <v>1250</v>
      </c>
      <c r="B37" s="602" t="s">
        <v>1237</v>
      </c>
      <c r="C37" s="391"/>
      <c r="D37" s="398"/>
      <c r="E37" s="585"/>
      <c r="F37" s="585"/>
      <c r="G37" s="405"/>
      <c r="H37" s="405"/>
      <c r="I37" s="401">
        <v>18.0</v>
      </c>
      <c r="J37" s="401">
        <v>180.0</v>
      </c>
      <c r="K37" s="405"/>
      <c r="L37" s="405"/>
      <c r="M37" s="401" t="s">
        <v>1251</v>
      </c>
    </row>
    <row r="38" ht="37.5" customHeight="1">
      <c r="A38" s="601" t="s">
        <v>1252</v>
      </c>
      <c r="B38" s="602" t="s">
        <v>1239</v>
      </c>
      <c r="C38" s="391"/>
      <c r="D38" s="398"/>
      <c r="E38" s="585"/>
      <c r="F38" s="585"/>
      <c r="G38" s="405"/>
      <c r="H38" s="405"/>
      <c r="I38" s="401">
        <v>36.0</v>
      </c>
      <c r="J38" s="401">
        <v>80.0</v>
      </c>
      <c r="K38" s="405"/>
      <c r="L38" s="405"/>
      <c r="M38" s="401" t="s">
        <v>1251</v>
      </c>
    </row>
    <row r="39" ht="28.5" customHeight="1">
      <c r="A39" s="601" t="s">
        <v>1253</v>
      </c>
      <c r="B39" s="602" t="s">
        <v>155</v>
      </c>
      <c r="C39" s="391"/>
      <c r="D39" s="398"/>
      <c r="E39" s="585"/>
      <c r="F39" s="585"/>
      <c r="G39" s="405"/>
      <c r="H39" s="405"/>
      <c r="I39" s="401">
        <v>1.0</v>
      </c>
      <c r="J39" s="401">
        <v>2200.0</v>
      </c>
      <c r="K39" s="405"/>
      <c r="L39" s="405"/>
      <c r="M39" s="401" t="s">
        <v>127</v>
      </c>
    </row>
    <row r="40" ht="28.5" customHeight="1">
      <c r="A40" s="37" t="s">
        <v>1254</v>
      </c>
      <c r="B40" s="602" t="s">
        <v>93</v>
      </c>
      <c r="C40" s="391"/>
      <c r="D40" s="398"/>
      <c r="E40" s="585"/>
      <c r="F40" s="585"/>
      <c r="G40" s="405"/>
      <c r="H40" s="405"/>
      <c r="I40" s="401">
        <v>57.0</v>
      </c>
      <c r="J40" s="401">
        <v>57.14</v>
      </c>
      <c r="K40" s="405"/>
      <c r="L40" s="405"/>
      <c r="M40" s="401" t="s">
        <v>610</v>
      </c>
    </row>
    <row r="41" ht="27.0" customHeight="1">
      <c r="A41" s="213" t="s">
        <v>1255</v>
      </c>
      <c r="B41" s="40"/>
      <c r="C41" s="391"/>
      <c r="D41" s="398"/>
      <c r="E41" s="585"/>
      <c r="F41" s="422">
        <f>sum(F42:F45,F47:F56)</f>
        <v>10717.304</v>
      </c>
      <c r="G41" s="405"/>
      <c r="H41" s="405"/>
      <c r="I41" s="405"/>
      <c r="J41" s="405"/>
      <c r="K41" s="405"/>
      <c r="L41" s="405"/>
      <c r="M41" s="405"/>
    </row>
    <row r="42" ht="25.5" customHeight="1">
      <c r="A42" s="603" t="s">
        <v>1256</v>
      </c>
      <c r="B42" s="492" t="s">
        <v>1237</v>
      </c>
      <c r="C42" s="391"/>
      <c r="D42" s="398"/>
      <c r="E42" s="585"/>
      <c r="F42" s="585"/>
      <c r="G42" s="405"/>
      <c r="H42" s="405"/>
      <c r="I42" s="405"/>
      <c r="J42" s="405"/>
      <c r="K42" s="405"/>
      <c r="L42" s="405"/>
      <c r="M42" s="405"/>
    </row>
    <row r="43" ht="30.0" customHeight="1">
      <c r="A43" s="603" t="s">
        <v>1257</v>
      </c>
      <c r="B43" s="492" t="s">
        <v>1258</v>
      </c>
      <c r="C43" s="391"/>
      <c r="D43" s="398"/>
      <c r="E43" s="585"/>
      <c r="F43" s="585"/>
      <c r="G43" s="405"/>
      <c r="H43" s="405"/>
      <c r="I43" s="405"/>
      <c r="J43" s="405"/>
      <c r="K43" s="405"/>
      <c r="L43" s="405"/>
      <c r="M43" s="405"/>
    </row>
    <row r="44" ht="34.5" customHeight="1">
      <c r="A44" s="603" t="s">
        <v>1259</v>
      </c>
      <c r="B44" s="492" t="s">
        <v>1239</v>
      </c>
      <c r="C44" s="391"/>
      <c r="D44" s="398"/>
      <c r="E44" s="585"/>
      <c r="F44" s="585"/>
      <c r="G44" s="405"/>
      <c r="H44" s="405"/>
      <c r="I44" s="405"/>
      <c r="J44" s="405"/>
      <c r="K44" s="405"/>
      <c r="L44" s="405"/>
      <c r="M44" s="405"/>
    </row>
    <row r="45" ht="27.0" customHeight="1">
      <c r="A45" s="603" t="s">
        <v>1260</v>
      </c>
      <c r="B45" s="492" t="s">
        <v>1243</v>
      </c>
      <c r="C45" s="391"/>
      <c r="D45" s="398"/>
      <c r="E45" s="585"/>
      <c r="F45" s="585"/>
      <c r="G45" s="405"/>
      <c r="H45" s="405"/>
      <c r="I45" s="405"/>
      <c r="J45" s="405"/>
      <c r="K45" s="405"/>
      <c r="L45" s="405"/>
      <c r="M45" s="405"/>
    </row>
    <row r="46" ht="34.5" customHeight="1">
      <c r="A46" s="40" t="s">
        <v>1261</v>
      </c>
      <c r="B46" s="40"/>
      <c r="C46" s="391"/>
      <c r="D46" s="398"/>
      <c r="E46" s="422"/>
      <c r="F46" s="422"/>
      <c r="G46" s="405"/>
      <c r="H46" s="405"/>
      <c r="I46" s="405"/>
      <c r="J46" s="405"/>
      <c r="K46" s="405"/>
      <c r="L46" s="405"/>
      <c r="M46" s="405"/>
    </row>
    <row r="47" ht="27.0" customHeight="1">
      <c r="A47" s="604" t="s">
        <v>1262</v>
      </c>
      <c r="B47" s="605" t="s">
        <v>1263</v>
      </c>
      <c r="C47" s="391"/>
      <c r="D47" s="398"/>
      <c r="E47" s="571">
        <v>892.0</v>
      </c>
      <c r="F47" s="606">
        <v>76.92</v>
      </c>
      <c r="G47" s="405"/>
      <c r="H47" s="405"/>
      <c r="I47" s="405"/>
      <c r="J47" s="405"/>
      <c r="K47" s="405"/>
      <c r="L47" s="405"/>
      <c r="M47" s="405"/>
    </row>
    <row r="48" ht="22.5" customHeight="1">
      <c r="A48" s="604" t="s">
        <v>1264</v>
      </c>
      <c r="B48" s="605" t="s">
        <v>1263</v>
      </c>
      <c r="C48" s="391"/>
      <c r="D48" s="398"/>
      <c r="E48" s="571">
        <v>8.0</v>
      </c>
      <c r="F48" s="606">
        <v>76.92</v>
      </c>
      <c r="G48" s="405"/>
      <c r="H48" s="405"/>
      <c r="I48" s="405"/>
      <c r="J48" s="405"/>
      <c r="K48" s="405"/>
      <c r="L48" s="405"/>
      <c r="M48" s="405"/>
    </row>
    <row r="49" ht="24.0" customHeight="1">
      <c r="A49" s="604" t="s">
        <v>1265</v>
      </c>
      <c r="B49" s="605" t="s">
        <v>1263</v>
      </c>
      <c r="C49" s="391"/>
      <c r="D49" s="398"/>
      <c r="E49" s="571">
        <v>9.0</v>
      </c>
      <c r="F49" s="606">
        <v>123.08</v>
      </c>
      <c r="G49" s="405"/>
      <c r="H49" s="405"/>
      <c r="I49" s="405"/>
      <c r="J49" s="405"/>
      <c r="K49" s="405"/>
      <c r="L49" s="405"/>
      <c r="M49" s="405"/>
    </row>
    <row r="50" ht="28.5" customHeight="1">
      <c r="A50" s="604" t="s">
        <v>1266</v>
      </c>
      <c r="B50" s="605" t="s">
        <v>1263</v>
      </c>
      <c r="C50" s="391"/>
      <c r="D50" s="398"/>
      <c r="E50" s="571">
        <v>307.0</v>
      </c>
      <c r="F50" s="606">
        <v>307.692</v>
      </c>
      <c r="G50" s="405"/>
      <c r="H50" s="405"/>
      <c r="I50" s="405"/>
      <c r="J50" s="405"/>
      <c r="K50" s="405"/>
      <c r="L50" s="405"/>
      <c r="M50" s="405"/>
    </row>
    <row r="51">
      <c r="A51" s="604" t="s">
        <v>1267</v>
      </c>
      <c r="B51" s="605" t="s">
        <v>1263</v>
      </c>
      <c r="C51" s="391"/>
      <c r="D51" s="398"/>
      <c r="E51" s="571">
        <v>307.0</v>
      </c>
      <c r="F51" s="606">
        <v>307.692</v>
      </c>
      <c r="G51" s="405"/>
      <c r="H51" s="405"/>
      <c r="I51" s="405"/>
      <c r="J51" s="405"/>
      <c r="K51" s="405"/>
      <c r="L51" s="405"/>
      <c r="M51" s="405"/>
    </row>
    <row r="52" ht="25.5" customHeight="1">
      <c r="A52" s="40" t="s">
        <v>1268</v>
      </c>
      <c r="B52" s="492" t="s">
        <v>155</v>
      </c>
      <c r="C52" s="391"/>
      <c r="D52" s="398"/>
      <c r="E52" s="584">
        <v>1.0</v>
      </c>
      <c r="F52" s="607">
        <v>1800.0</v>
      </c>
      <c r="G52" s="405"/>
      <c r="H52" s="405"/>
      <c r="I52" s="405"/>
      <c r="J52" s="405"/>
      <c r="K52" s="405"/>
      <c r="L52" s="405"/>
      <c r="M52" s="405"/>
    </row>
    <row r="53" ht="24.0" customHeight="1">
      <c r="A53" s="40" t="s">
        <v>1269</v>
      </c>
      <c r="B53" s="492" t="s">
        <v>1237</v>
      </c>
      <c r="C53" s="391"/>
      <c r="D53" s="398"/>
      <c r="E53" s="584">
        <v>11.0</v>
      </c>
      <c r="F53" s="607">
        <v>825.0</v>
      </c>
      <c r="G53" s="405"/>
      <c r="H53" s="405"/>
      <c r="I53" s="405"/>
      <c r="J53" s="405"/>
      <c r="K53" s="405"/>
      <c r="L53" s="405"/>
      <c r="M53" s="405"/>
    </row>
    <row r="54" ht="19.5" customHeight="1">
      <c r="A54" s="40" t="s">
        <v>1270</v>
      </c>
      <c r="B54" s="492" t="s">
        <v>155</v>
      </c>
      <c r="C54" s="391"/>
      <c r="D54" s="398"/>
      <c r="E54" s="584">
        <v>1.0</v>
      </c>
      <c r="F54" s="607">
        <v>3100.0</v>
      </c>
      <c r="G54" s="405"/>
      <c r="H54" s="405"/>
      <c r="I54" s="405"/>
      <c r="J54" s="405"/>
      <c r="K54" s="405"/>
      <c r="L54" s="405"/>
      <c r="M54" s="405"/>
    </row>
    <row r="55" ht="31.5" customHeight="1">
      <c r="A55" s="40" t="s">
        <v>1271</v>
      </c>
      <c r="B55" s="492" t="s">
        <v>155</v>
      </c>
      <c r="C55" s="391"/>
      <c r="D55" s="398"/>
      <c r="E55" s="584">
        <v>1.0</v>
      </c>
      <c r="F55" s="607">
        <v>2100.0</v>
      </c>
      <c r="G55" s="405"/>
      <c r="H55" s="405"/>
      <c r="I55" s="405"/>
      <c r="J55" s="405"/>
      <c r="K55" s="405"/>
      <c r="L55" s="405"/>
      <c r="M55" s="405"/>
    </row>
    <row r="56" ht="27.0" customHeight="1">
      <c r="A56" s="40" t="s">
        <v>1272</v>
      </c>
      <c r="B56" s="492" t="s">
        <v>155</v>
      </c>
      <c r="C56" s="391"/>
      <c r="D56" s="398"/>
      <c r="E56" s="584">
        <v>1.0</v>
      </c>
      <c r="F56" s="607">
        <v>2000.0</v>
      </c>
      <c r="G56" s="405"/>
      <c r="H56" s="405"/>
      <c r="I56" s="405"/>
      <c r="J56" s="405"/>
      <c r="K56" s="405"/>
      <c r="L56" s="405"/>
      <c r="M56" s="405"/>
    </row>
    <row r="57" ht="14.25" customHeight="1">
      <c r="A57" s="40"/>
      <c r="B57" s="40"/>
      <c r="C57" s="391"/>
      <c r="D57" s="398"/>
      <c r="E57" s="585"/>
      <c r="F57" s="585"/>
      <c r="G57" s="405"/>
      <c r="H57" s="405"/>
      <c r="I57" s="405"/>
      <c r="J57" s="405"/>
      <c r="K57" s="405"/>
      <c r="L57" s="405"/>
      <c r="M57" s="405"/>
    </row>
    <row r="58" ht="49.5" customHeight="1">
      <c r="A58" s="55" t="s">
        <v>556</v>
      </c>
      <c r="B58" s="40"/>
      <c r="C58" s="391"/>
      <c r="D58" s="398"/>
      <c r="E58" s="585"/>
      <c r="F58" s="585"/>
      <c r="G58" s="405"/>
      <c r="H58" s="405"/>
      <c r="I58" s="405"/>
      <c r="J58" s="405"/>
      <c r="K58" s="405"/>
      <c r="L58" s="405"/>
      <c r="M58" s="405"/>
    </row>
    <row r="59" ht="54.75" customHeight="1">
      <c r="A59" s="55" t="s">
        <v>1273</v>
      </c>
      <c r="B59" s="40"/>
      <c r="C59" s="391"/>
      <c r="D59" s="398"/>
      <c r="E59" s="585"/>
      <c r="F59" s="585"/>
      <c r="G59" s="405"/>
      <c r="H59" s="405"/>
      <c r="I59" s="405"/>
      <c r="J59" s="405"/>
      <c r="K59" s="405"/>
      <c r="L59" s="405"/>
      <c r="M59" s="405"/>
    </row>
    <row r="60" ht="42.75" customHeight="1">
      <c r="A60" s="55" t="s">
        <v>1274</v>
      </c>
      <c r="B60" s="40"/>
      <c r="C60" s="391"/>
      <c r="D60" s="398"/>
      <c r="E60" s="585"/>
      <c r="F60" s="585"/>
      <c r="G60" s="405"/>
      <c r="H60" s="405"/>
      <c r="I60" s="405"/>
      <c r="J60" s="405"/>
      <c r="K60" s="405"/>
      <c r="L60" s="405"/>
      <c r="M60" s="405"/>
    </row>
    <row r="61" ht="45.0" customHeight="1">
      <c r="A61" s="55" t="s">
        <v>1275</v>
      </c>
      <c r="B61" s="40"/>
      <c r="C61" s="391"/>
      <c r="D61" s="398"/>
      <c r="E61" s="585"/>
      <c r="F61" s="585"/>
      <c r="G61" s="405"/>
      <c r="H61" s="405"/>
      <c r="I61" s="405"/>
      <c r="J61" s="405"/>
      <c r="K61" s="405"/>
      <c r="L61" s="405"/>
      <c r="M61" s="405"/>
    </row>
    <row r="62" ht="42.0" customHeight="1">
      <c r="A62" s="55" t="s">
        <v>1276</v>
      </c>
      <c r="B62" s="40"/>
      <c r="C62" s="391"/>
      <c r="D62" s="398"/>
      <c r="E62" s="585"/>
      <c r="F62" s="585"/>
      <c r="G62" s="405"/>
      <c r="H62" s="405"/>
      <c r="I62" s="405"/>
      <c r="J62" s="405"/>
      <c r="K62" s="405"/>
      <c r="L62" s="405"/>
      <c r="M62" s="405"/>
    </row>
    <row r="63" ht="24.0" customHeight="1">
      <c r="A63" s="608" t="s">
        <v>71</v>
      </c>
      <c r="B63" s="40"/>
      <c r="C63" s="609"/>
      <c r="D63" s="610">
        <f>D12+D41</f>
        <v>1597</v>
      </c>
      <c r="E63" s="611"/>
      <c r="F63" s="611">
        <f>F12+F58</f>
        <v>10717.304</v>
      </c>
      <c r="G63" s="405"/>
      <c r="H63" s="405"/>
      <c r="I63" s="405"/>
      <c r="J63" s="422">
        <f>sum(J32:J43)</f>
        <v>2845.14</v>
      </c>
      <c r="K63" s="405"/>
      <c r="L63" s="422">
        <f>H63+J63</f>
        <v>2845.14</v>
      </c>
      <c r="M63" s="405"/>
    </row>
    <row r="64" ht="14.25" customHeight="1">
      <c r="A64" s="66"/>
      <c r="B64" s="307"/>
      <c r="C64" s="307"/>
      <c r="D64" s="357"/>
      <c r="E64" s="592"/>
      <c r="F64" s="592"/>
      <c r="G64" s="592"/>
      <c r="H64" s="592"/>
      <c r="I64" s="592"/>
      <c r="J64" s="592"/>
      <c r="K64" s="592"/>
      <c r="L64" s="592"/>
      <c r="M64" s="592"/>
    </row>
    <row r="65" ht="15.75" customHeight="1">
      <c r="A65" s="245" t="s">
        <v>72</v>
      </c>
      <c r="B65" s="246"/>
      <c r="C65" s="247" t="s">
        <v>528</v>
      </c>
      <c r="D65" s="304"/>
      <c r="E65" s="304"/>
      <c r="F65" s="304"/>
      <c r="G65" s="352"/>
      <c r="H65" s="352"/>
      <c r="I65" s="249" t="s">
        <v>74</v>
      </c>
      <c r="J65" s="298"/>
      <c r="K65" s="352"/>
      <c r="L65" s="352"/>
      <c r="M65" s="352"/>
    </row>
    <row r="66" ht="15.75" customHeight="1">
      <c r="A66" s="250"/>
      <c r="B66" s="248"/>
      <c r="C66" s="250"/>
      <c r="D66" s="304"/>
      <c r="E66" s="304"/>
      <c r="F66" s="304"/>
      <c r="G66" s="307"/>
      <c r="H66" s="307"/>
      <c r="I66" s="251"/>
      <c r="J66" s="298"/>
      <c r="K66" s="307"/>
      <c r="L66" s="307"/>
      <c r="M66" s="307"/>
    </row>
    <row r="67" ht="12.75" customHeight="1">
      <c r="A67" s="250"/>
      <c r="B67" s="250"/>
      <c r="C67" s="250"/>
      <c r="D67" s="304"/>
      <c r="E67" s="304"/>
      <c r="F67" s="304"/>
      <c r="G67" s="307"/>
      <c r="H67" s="307"/>
      <c r="I67" s="251"/>
      <c r="J67" s="298"/>
      <c r="K67" s="307"/>
      <c r="L67" s="307"/>
      <c r="M67" s="307"/>
    </row>
    <row r="68" ht="23.25" customHeight="1">
      <c r="A68" s="250"/>
      <c r="B68" s="250"/>
      <c r="C68" s="250"/>
      <c r="D68" s="304"/>
      <c r="E68" s="304"/>
      <c r="F68" s="304"/>
      <c r="G68" s="307"/>
      <c r="H68" s="307"/>
      <c r="I68" s="251"/>
      <c r="J68" s="304"/>
      <c r="K68" s="307"/>
      <c r="L68" s="307"/>
      <c r="M68" s="307"/>
    </row>
    <row r="69" ht="15.75" customHeight="1">
      <c r="A69" s="250"/>
      <c r="B69" s="250"/>
      <c r="C69" s="250"/>
      <c r="D69" s="304"/>
      <c r="E69" s="304"/>
      <c r="F69" s="304"/>
      <c r="G69" s="307"/>
      <c r="H69" s="307"/>
      <c r="I69" s="251"/>
      <c r="J69" s="304"/>
      <c r="K69" s="307"/>
      <c r="L69" s="307"/>
      <c r="M69" s="307"/>
    </row>
    <row r="70" ht="21.75" customHeight="1">
      <c r="A70" s="76" t="s">
        <v>75</v>
      </c>
      <c r="B70" s="248"/>
      <c r="C70" s="76" t="s">
        <v>76</v>
      </c>
      <c r="D70" s="304"/>
      <c r="E70" s="304"/>
      <c r="F70" s="304"/>
      <c r="G70" s="307"/>
      <c r="H70" s="307"/>
      <c r="I70" s="78" t="s">
        <v>77</v>
      </c>
      <c r="J70" s="304"/>
      <c r="K70" s="307"/>
      <c r="L70" s="307"/>
      <c r="M70" s="307"/>
    </row>
    <row r="71" ht="14.25" customHeight="1">
      <c r="A71" s="247" t="s">
        <v>78</v>
      </c>
      <c r="B71" s="248"/>
      <c r="C71" s="247" t="s">
        <v>79</v>
      </c>
      <c r="D71" s="347"/>
      <c r="E71" s="304"/>
      <c r="F71" s="304"/>
      <c r="G71" s="352"/>
      <c r="H71" s="352"/>
      <c r="I71" s="254" t="s">
        <v>80</v>
      </c>
      <c r="J71" s="304"/>
      <c r="K71" s="352"/>
      <c r="L71" s="352"/>
      <c r="M71" s="352"/>
    </row>
    <row r="72" ht="14.25" customHeight="1">
      <c r="A72" s="612"/>
      <c r="B72" s="613"/>
      <c r="C72" s="614"/>
      <c r="D72" s="614"/>
      <c r="E72" s="479"/>
      <c r="F72" s="479"/>
      <c r="G72" s="479"/>
      <c r="H72" s="479"/>
      <c r="I72" s="479"/>
      <c r="J72" s="479"/>
      <c r="K72" s="479"/>
      <c r="L72" s="479"/>
      <c r="M72" s="479"/>
    </row>
    <row r="73" ht="14.25" customHeight="1">
      <c r="A73" s="305"/>
      <c r="B73" s="453"/>
      <c r="C73" s="305"/>
      <c r="D73" s="615"/>
      <c r="E73" s="592"/>
      <c r="F73" s="592"/>
      <c r="G73" s="592"/>
      <c r="H73" s="592"/>
      <c r="I73" s="592"/>
      <c r="J73" s="592"/>
      <c r="K73" s="592"/>
      <c r="L73" s="592"/>
      <c r="M73" s="592"/>
    </row>
    <row r="74" ht="14.25" customHeight="1">
      <c r="A74" s="307"/>
      <c r="B74" s="307"/>
      <c r="C74" s="307"/>
      <c r="D74" s="357"/>
      <c r="E74" s="592"/>
      <c r="F74" s="592"/>
      <c r="G74" s="592"/>
      <c r="H74" s="592"/>
      <c r="I74" s="592"/>
      <c r="J74" s="592"/>
      <c r="K74" s="592"/>
      <c r="L74" s="592"/>
      <c r="M74" s="592"/>
    </row>
    <row r="75" ht="14.25" customHeight="1">
      <c r="A75" s="307"/>
      <c r="B75" s="66"/>
      <c r="C75" s="307"/>
      <c r="D75" s="357"/>
      <c r="E75" s="592"/>
      <c r="F75" s="592"/>
      <c r="G75" s="592"/>
      <c r="H75" s="592"/>
      <c r="I75" s="592"/>
      <c r="J75" s="592"/>
      <c r="K75" s="592"/>
      <c r="L75" s="592"/>
      <c r="M75" s="592"/>
    </row>
    <row r="76" ht="14.25" customHeight="1">
      <c r="A76" s="307"/>
      <c r="B76" s="66"/>
      <c r="C76" s="307"/>
      <c r="D76" s="357"/>
      <c r="E76" s="592"/>
      <c r="F76" s="592"/>
      <c r="G76" s="592"/>
      <c r="H76" s="592"/>
      <c r="I76" s="592"/>
      <c r="J76" s="592"/>
      <c r="K76" s="592"/>
      <c r="L76" s="592"/>
      <c r="M76" s="592"/>
    </row>
    <row r="77" ht="14.25" customHeight="1">
      <c r="A77" s="307"/>
      <c r="B77" s="66"/>
      <c r="C77" s="307"/>
      <c r="D77" s="357"/>
      <c r="E77" s="592"/>
      <c r="F77" s="592"/>
      <c r="G77" s="592"/>
      <c r="H77" s="592"/>
      <c r="I77" s="592"/>
      <c r="J77" s="592"/>
      <c r="K77" s="592"/>
      <c r="L77" s="592"/>
      <c r="M77" s="592"/>
    </row>
    <row r="78" ht="29.25" customHeight="1">
      <c r="A78" s="307"/>
      <c r="B78" s="66"/>
      <c r="C78" s="307"/>
      <c r="D78" s="357"/>
      <c r="E78" s="592"/>
      <c r="F78" s="592"/>
      <c r="G78" s="592"/>
      <c r="H78" s="592"/>
      <c r="I78" s="592"/>
      <c r="J78" s="592"/>
      <c r="K78" s="592"/>
      <c r="L78" s="592"/>
      <c r="M78" s="592"/>
    </row>
    <row r="79" ht="14.25" customHeight="1">
      <c r="A79" s="307"/>
      <c r="B79" s="307"/>
      <c r="C79" s="307"/>
      <c r="D79" s="357"/>
      <c r="E79" s="592"/>
      <c r="F79" s="592"/>
      <c r="G79" s="592"/>
      <c r="H79" s="592"/>
      <c r="I79" s="592"/>
      <c r="J79" s="592"/>
      <c r="K79" s="592"/>
      <c r="L79" s="592"/>
      <c r="M79" s="592"/>
    </row>
    <row r="80" ht="14.25" customHeight="1">
      <c r="A80" s="307"/>
      <c r="B80" s="307"/>
      <c r="C80" s="307"/>
      <c r="D80" s="357"/>
      <c r="E80" s="592"/>
      <c r="F80" s="592"/>
      <c r="G80" s="592"/>
      <c r="H80" s="592"/>
      <c r="I80" s="592"/>
      <c r="J80" s="592"/>
      <c r="K80" s="592"/>
      <c r="L80" s="592"/>
      <c r="M80" s="592"/>
    </row>
    <row r="81" ht="14.25" customHeight="1">
      <c r="A81" s="307"/>
      <c r="B81" s="307"/>
      <c r="C81" s="307"/>
      <c r="D81" s="357"/>
      <c r="E81" s="592"/>
      <c r="F81" s="592"/>
      <c r="G81" s="592"/>
      <c r="H81" s="592"/>
      <c r="I81" s="592"/>
      <c r="J81" s="592"/>
      <c r="K81" s="592"/>
      <c r="L81" s="592"/>
      <c r="M81" s="592"/>
    </row>
    <row r="82" ht="14.25" customHeight="1">
      <c r="A82" s="307"/>
      <c r="B82" s="307"/>
      <c r="C82" s="307"/>
      <c r="D82" s="357"/>
      <c r="E82" s="592"/>
      <c r="F82" s="592"/>
      <c r="G82" s="592"/>
      <c r="H82" s="592"/>
      <c r="I82" s="592"/>
      <c r="J82" s="592"/>
      <c r="K82" s="592"/>
      <c r="L82" s="592"/>
      <c r="M82" s="592"/>
    </row>
    <row r="83" ht="14.25" customHeight="1">
      <c r="A83" s="307"/>
      <c r="B83" s="307"/>
      <c r="C83" s="307"/>
      <c r="D83" s="357"/>
      <c r="E83" s="592"/>
      <c r="F83" s="592"/>
      <c r="G83" s="592"/>
      <c r="H83" s="592"/>
      <c r="I83" s="592"/>
      <c r="J83" s="592"/>
      <c r="K83" s="592"/>
      <c r="L83" s="592"/>
      <c r="M83" s="592"/>
    </row>
    <row r="84" ht="14.25" customHeight="1">
      <c r="A84" s="307"/>
      <c r="B84" s="307"/>
      <c r="C84" s="307"/>
      <c r="D84" s="357"/>
      <c r="E84" s="592"/>
      <c r="F84" s="592"/>
      <c r="G84" s="592"/>
      <c r="H84" s="592"/>
      <c r="I84" s="592"/>
      <c r="J84" s="592"/>
      <c r="K84" s="592"/>
      <c r="L84" s="592"/>
      <c r="M84" s="592"/>
    </row>
    <row r="85" ht="14.25" customHeight="1">
      <c r="A85" s="307"/>
      <c r="B85" s="307"/>
      <c r="C85" s="307"/>
      <c r="D85" s="357"/>
      <c r="E85" s="592"/>
      <c r="F85" s="592"/>
      <c r="G85" s="592"/>
      <c r="H85" s="592"/>
      <c r="I85" s="592"/>
      <c r="J85" s="592"/>
      <c r="K85" s="592"/>
      <c r="L85" s="592"/>
      <c r="M85" s="592"/>
    </row>
    <row r="86" ht="14.25" customHeight="1">
      <c r="A86" s="307"/>
      <c r="B86" s="307"/>
      <c r="C86" s="307"/>
      <c r="D86" s="357"/>
      <c r="E86" s="592"/>
      <c r="F86" s="592"/>
      <c r="G86" s="592"/>
      <c r="H86" s="592"/>
      <c r="I86" s="592"/>
      <c r="J86" s="592"/>
      <c r="K86" s="592"/>
      <c r="L86" s="592"/>
      <c r="M86" s="592"/>
    </row>
    <row r="87" ht="14.25" customHeight="1">
      <c r="A87" s="307"/>
      <c r="B87" s="307"/>
      <c r="C87" s="307"/>
      <c r="D87" s="357"/>
      <c r="E87" s="592"/>
      <c r="F87" s="592"/>
      <c r="G87" s="592"/>
      <c r="H87" s="592"/>
      <c r="I87" s="592"/>
      <c r="J87" s="592"/>
      <c r="K87" s="592"/>
      <c r="L87" s="592"/>
      <c r="M87" s="592"/>
    </row>
    <row r="88" ht="14.25" customHeight="1">
      <c r="A88" s="307"/>
      <c r="B88" s="307"/>
      <c r="C88" s="307"/>
      <c r="D88" s="357"/>
      <c r="E88" s="592"/>
      <c r="F88" s="592"/>
      <c r="G88" s="592"/>
      <c r="H88" s="592"/>
      <c r="I88" s="592"/>
      <c r="J88" s="592"/>
      <c r="K88" s="592"/>
      <c r="L88" s="592"/>
      <c r="M88" s="592"/>
    </row>
    <row r="89" ht="14.25" customHeight="1">
      <c r="A89" s="307"/>
      <c r="B89" s="307"/>
      <c r="C89" s="307"/>
      <c r="D89" s="357"/>
      <c r="E89" s="592"/>
      <c r="F89" s="592"/>
      <c r="G89" s="592"/>
      <c r="H89" s="592"/>
      <c r="I89" s="592"/>
      <c r="J89" s="592"/>
      <c r="K89" s="592"/>
      <c r="L89" s="592"/>
      <c r="M89" s="592"/>
    </row>
    <row r="90" ht="14.25" customHeight="1">
      <c r="A90" s="307"/>
      <c r="B90" s="307"/>
      <c r="C90" s="307"/>
      <c r="D90" s="357"/>
      <c r="E90" s="592"/>
      <c r="F90" s="592"/>
      <c r="G90" s="592"/>
      <c r="H90" s="592"/>
      <c r="I90" s="592"/>
      <c r="J90" s="592"/>
      <c r="K90" s="592"/>
      <c r="L90" s="592"/>
      <c r="M90" s="592"/>
    </row>
    <row r="91" ht="14.25" customHeight="1">
      <c r="A91" s="307"/>
      <c r="B91" s="307"/>
      <c r="C91" s="307"/>
      <c r="D91" s="357"/>
      <c r="E91" s="592"/>
      <c r="F91" s="592"/>
      <c r="G91" s="592"/>
      <c r="H91" s="592"/>
      <c r="I91" s="592"/>
      <c r="J91" s="592"/>
      <c r="K91" s="592"/>
      <c r="L91" s="592"/>
      <c r="M91" s="592"/>
    </row>
    <row r="92" ht="14.25" customHeight="1">
      <c r="A92" s="307"/>
      <c r="B92" s="307"/>
      <c r="C92" s="307"/>
      <c r="D92" s="357"/>
      <c r="E92" s="592"/>
      <c r="F92" s="592"/>
      <c r="G92" s="592"/>
      <c r="H92" s="592"/>
      <c r="I92" s="592"/>
      <c r="J92" s="592"/>
      <c r="K92" s="592"/>
      <c r="L92" s="592"/>
      <c r="M92" s="592"/>
    </row>
    <row r="93" ht="14.25" customHeight="1">
      <c r="A93" s="307"/>
      <c r="B93" s="307"/>
      <c r="C93" s="307"/>
      <c r="D93" s="357"/>
      <c r="E93" s="592"/>
      <c r="F93" s="592"/>
      <c r="G93" s="592"/>
      <c r="H93" s="592"/>
      <c r="I93" s="592"/>
      <c r="J93" s="592"/>
      <c r="K93" s="592"/>
      <c r="L93" s="592"/>
      <c r="M93" s="592"/>
    </row>
    <row r="94" ht="14.25" customHeight="1">
      <c r="A94" s="307"/>
      <c r="B94" s="307"/>
      <c r="C94" s="307"/>
      <c r="D94" s="357"/>
      <c r="E94" s="592"/>
      <c r="F94" s="592"/>
      <c r="G94" s="592"/>
      <c r="H94" s="592"/>
      <c r="I94" s="592"/>
      <c r="J94" s="592"/>
      <c r="K94" s="592"/>
      <c r="L94" s="592"/>
      <c r="M94" s="592"/>
    </row>
    <row r="95" ht="14.25" customHeight="1">
      <c r="A95" s="307"/>
      <c r="B95" s="307"/>
      <c r="C95" s="307"/>
      <c r="D95" s="357"/>
      <c r="E95" s="592"/>
      <c r="F95" s="592"/>
      <c r="G95" s="592"/>
      <c r="H95" s="592"/>
      <c r="I95" s="592"/>
      <c r="J95" s="592"/>
      <c r="K95" s="592"/>
      <c r="L95" s="592"/>
      <c r="M95" s="592"/>
    </row>
    <row r="96" ht="14.25" customHeight="1">
      <c r="A96" s="307"/>
      <c r="B96" s="307"/>
      <c r="C96" s="307"/>
      <c r="D96" s="357"/>
      <c r="E96" s="592"/>
      <c r="F96" s="592"/>
      <c r="G96" s="592"/>
      <c r="H96" s="592"/>
      <c r="I96" s="592"/>
      <c r="J96" s="592"/>
      <c r="K96" s="592"/>
      <c r="L96" s="592"/>
      <c r="M96" s="592"/>
    </row>
    <row r="97" ht="14.25" customHeight="1">
      <c r="A97" s="307"/>
      <c r="B97" s="307"/>
      <c r="C97" s="307"/>
      <c r="D97" s="357"/>
      <c r="E97" s="592"/>
      <c r="F97" s="592"/>
      <c r="G97" s="592"/>
      <c r="H97" s="592"/>
      <c r="I97" s="592"/>
      <c r="J97" s="592"/>
      <c r="K97" s="592"/>
      <c r="L97" s="592"/>
      <c r="M97" s="592"/>
    </row>
    <row r="98" ht="14.25" customHeight="1">
      <c r="A98" s="307"/>
      <c r="B98" s="307"/>
      <c r="C98" s="307"/>
      <c r="D98" s="357"/>
      <c r="E98" s="592"/>
      <c r="F98" s="592"/>
      <c r="G98" s="592"/>
      <c r="H98" s="592"/>
      <c r="I98" s="592"/>
      <c r="J98" s="592"/>
      <c r="K98" s="592"/>
      <c r="L98" s="592"/>
      <c r="M98" s="592"/>
    </row>
    <row r="99" ht="14.25" customHeight="1">
      <c r="A99" s="307"/>
      <c r="B99" s="307"/>
      <c r="C99" s="307"/>
      <c r="D99" s="357"/>
      <c r="E99" s="592"/>
      <c r="F99" s="592"/>
      <c r="G99" s="592"/>
      <c r="H99" s="592"/>
      <c r="I99" s="592"/>
      <c r="J99" s="592"/>
      <c r="K99" s="592"/>
      <c r="L99" s="592"/>
      <c r="M99" s="592"/>
    </row>
    <row r="100" ht="14.25" customHeight="1">
      <c r="A100" s="307"/>
      <c r="B100" s="307"/>
      <c r="C100" s="307"/>
      <c r="D100" s="357"/>
      <c r="E100" s="592"/>
      <c r="F100" s="592"/>
      <c r="G100" s="592"/>
      <c r="H100" s="592"/>
      <c r="I100" s="592"/>
      <c r="J100" s="592"/>
      <c r="K100" s="592"/>
      <c r="L100" s="592"/>
      <c r="M100" s="592"/>
    </row>
    <row r="101" ht="14.25" customHeight="1">
      <c r="A101" s="307"/>
      <c r="B101" s="307"/>
      <c r="C101" s="307"/>
      <c r="D101" s="357"/>
      <c r="E101" s="592"/>
      <c r="F101" s="592"/>
      <c r="G101" s="592"/>
      <c r="H101" s="592"/>
      <c r="I101" s="592"/>
      <c r="J101" s="592"/>
      <c r="K101" s="592"/>
      <c r="L101" s="592"/>
      <c r="M101" s="592"/>
    </row>
    <row r="102" ht="14.25" customHeight="1">
      <c r="A102" s="307"/>
      <c r="B102" s="307"/>
      <c r="C102" s="307"/>
      <c r="D102" s="357"/>
      <c r="E102" s="592"/>
      <c r="F102" s="592"/>
      <c r="G102" s="592"/>
      <c r="H102" s="592"/>
      <c r="I102" s="592"/>
      <c r="J102" s="592"/>
      <c r="K102" s="592"/>
      <c r="L102" s="592"/>
      <c r="M102" s="592"/>
    </row>
    <row r="103" ht="14.25" customHeight="1">
      <c r="A103" s="307"/>
      <c r="B103" s="307"/>
      <c r="C103" s="307"/>
      <c r="D103" s="357"/>
      <c r="E103" s="592"/>
      <c r="F103" s="592"/>
      <c r="G103" s="592"/>
      <c r="H103" s="592"/>
      <c r="I103" s="592"/>
      <c r="J103" s="592"/>
      <c r="K103" s="592"/>
      <c r="L103" s="592"/>
      <c r="M103" s="592"/>
    </row>
    <row r="104" ht="14.25" customHeight="1">
      <c r="A104" s="307"/>
      <c r="B104" s="307"/>
      <c r="C104" s="307"/>
      <c r="D104" s="357"/>
      <c r="E104" s="592"/>
      <c r="F104" s="592"/>
      <c r="G104" s="592"/>
      <c r="H104" s="592"/>
      <c r="I104" s="592"/>
      <c r="J104" s="592"/>
      <c r="K104" s="592"/>
      <c r="L104" s="592"/>
      <c r="M104" s="592"/>
    </row>
    <row r="105" ht="14.25" customHeight="1">
      <c r="A105" s="307"/>
      <c r="B105" s="307"/>
      <c r="C105" s="307"/>
      <c r="D105" s="357"/>
      <c r="E105" s="592"/>
      <c r="F105" s="592"/>
      <c r="G105" s="592"/>
      <c r="H105" s="592"/>
      <c r="I105" s="592"/>
      <c r="J105" s="592"/>
      <c r="K105" s="592"/>
      <c r="L105" s="592"/>
      <c r="M105" s="592"/>
    </row>
    <row r="106" ht="14.25" customHeight="1">
      <c r="A106" s="307"/>
      <c r="B106" s="307"/>
      <c r="C106" s="307"/>
      <c r="D106" s="357"/>
      <c r="E106" s="592"/>
      <c r="F106" s="592"/>
      <c r="G106" s="592"/>
      <c r="H106" s="592"/>
      <c r="I106" s="592"/>
      <c r="J106" s="592"/>
      <c r="K106" s="592"/>
      <c r="L106" s="592"/>
      <c r="M106" s="592"/>
    </row>
    <row r="107" ht="14.25" customHeight="1">
      <c r="A107" s="307"/>
      <c r="B107" s="307"/>
      <c r="C107" s="307"/>
      <c r="D107" s="357"/>
      <c r="E107" s="592"/>
      <c r="F107" s="592"/>
      <c r="G107" s="592"/>
      <c r="H107" s="592"/>
      <c r="I107" s="592"/>
      <c r="J107" s="592"/>
      <c r="K107" s="592"/>
      <c r="L107" s="592"/>
      <c r="M107" s="592"/>
    </row>
    <row r="108" ht="14.25" customHeight="1">
      <c r="A108" s="307"/>
      <c r="B108" s="307"/>
      <c r="C108" s="307"/>
      <c r="D108" s="357"/>
      <c r="E108" s="592"/>
      <c r="F108" s="592"/>
      <c r="G108" s="592"/>
      <c r="H108" s="592"/>
      <c r="I108" s="592"/>
      <c r="J108" s="592"/>
      <c r="K108" s="592"/>
      <c r="L108" s="592"/>
      <c r="M108" s="592"/>
    </row>
    <row r="109" ht="14.25" customHeight="1">
      <c r="A109" s="307"/>
      <c r="B109" s="307"/>
      <c r="C109" s="307"/>
      <c r="D109" s="357"/>
      <c r="E109" s="592"/>
      <c r="F109" s="592"/>
      <c r="G109" s="592"/>
      <c r="H109" s="592"/>
      <c r="I109" s="592"/>
      <c r="J109" s="592"/>
      <c r="K109" s="592"/>
      <c r="L109" s="592"/>
      <c r="M109" s="592"/>
    </row>
    <row r="110" ht="14.25" customHeight="1">
      <c r="A110" s="307"/>
      <c r="B110" s="307"/>
      <c r="C110" s="307"/>
      <c r="D110" s="357"/>
      <c r="E110" s="592"/>
      <c r="F110" s="592"/>
      <c r="G110" s="592"/>
      <c r="H110" s="592"/>
      <c r="I110" s="592"/>
      <c r="J110" s="592"/>
      <c r="K110" s="592"/>
      <c r="L110" s="592"/>
      <c r="M110" s="592"/>
    </row>
    <row r="111" ht="14.25" customHeight="1">
      <c r="A111" s="307"/>
      <c r="B111" s="307"/>
      <c r="C111" s="307"/>
      <c r="D111" s="357"/>
      <c r="E111" s="592"/>
      <c r="F111" s="592"/>
      <c r="G111" s="592"/>
      <c r="H111" s="592"/>
      <c r="I111" s="592"/>
      <c r="J111" s="592"/>
      <c r="K111" s="592"/>
      <c r="L111" s="592"/>
      <c r="M111" s="592"/>
    </row>
    <row r="112" ht="14.25" customHeight="1">
      <c r="A112" s="307"/>
      <c r="B112" s="307"/>
      <c r="C112" s="307"/>
      <c r="D112" s="357"/>
      <c r="E112" s="592"/>
      <c r="F112" s="592"/>
      <c r="G112" s="592"/>
      <c r="H112" s="592"/>
      <c r="I112" s="592"/>
      <c r="J112" s="592"/>
      <c r="K112" s="592"/>
      <c r="L112" s="592"/>
      <c r="M112" s="592"/>
    </row>
    <row r="113" ht="14.25" customHeight="1">
      <c r="A113" s="307"/>
      <c r="B113" s="307"/>
      <c r="C113" s="307"/>
      <c r="D113" s="357"/>
      <c r="E113" s="592"/>
      <c r="F113" s="592"/>
      <c r="G113" s="592"/>
      <c r="H113" s="592"/>
      <c r="I113" s="592"/>
      <c r="J113" s="592"/>
      <c r="K113" s="592"/>
      <c r="L113" s="592"/>
      <c r="M113" s="592"/>
    </row>
    <row r="114" ht="14.25" customHeight="1">
      <c r="A114" s="307"/>
      <c r="B114" s="307"/>
      <c r="C114" s="307"/>
      <c r="D114" s="357"/>
      <c r="E114" s="592"/>
      <c r="F114" s="592"/>
      <c r="G114" s="592"/>
      <c r="H114" s="592"/>
      <c r="I114" s="592"/>
      <c r="J114" s="592"/>
      <c r="K114" s="592"/>
      <c r="L114" s="592"/>
      <c r="M114" s="592"/>
    </row>
    <row r="115" ht="14.25" customHeight="1">
      <c r="A115" s="307"/>
      <c r="B115" s="307"/>
      <c r="C115" s="307"/>
      <c r="D115" s="357"/>
      <c r="E115" s="592"/>
      <c r="F115" s="592"/>
      <c r="G115" s="592"/>
      <c r="H115" s="592"/>
      <c r="I115" s="592"/>
      <c r="J115" s="592"/>
      <c r="K115" s="592"/>
      <c r="L115" s="592"/>
      <c r="M115" s="592"/>
    </row>
    <row r="116" ht="14.25" customHeight="1">
      <c r="A116" s="307"/>
      <c r="B116" s="307"/>
      <c r="C116" s="307"/>
      <c r="D116" s="357"/>
      <c r="E116" s="592"/>
      <c r="F116" s="592"/>
      <c r="G116" s="592"/>
      <c r="H116" s="592"/>
      <c r="I116" s="592"/>
      <c r="J116" s="592"/>
      <c r="K116" s="592"/>
      <c r="L116" s="592"/>
      <c r="M116" s="592"/>
    </row>
    <row r="117" ht="14.25" customHeight="1">
      <c r="A117" s="307"/>
      <c r="B117" s="307"/>
      <c r="C117" s="307"/>
      <c r="D117" s="357"/>
      <c r="E117" s="592"/>
      <c r="F117" s="592"/>
      <c r="G117" s="592"/>
      <c r="H117" s="592"/>
      <c r="I117" s="592"/>
      <c r="J117" s="592"/>
      <c r="K117" s="592"/>
      <c r="L117" s="592"/>
      <c r="M117" s="592"/>
    </row>
    <row r="118" ht="14.25" customHeight="1">
      <c r="A118" s="307"/>
      <c r="B118" s="307"/>
      <c r="C118" s="307"/>
      <c r="D118" s="357"/>
      <c r="E118" s="592"/>
      <c r="F118" s="592"/>
      <c r="G118" s="592"/>
      <c r="H118" s="592"/>
      <c r="I118" s="592"/>
      <c r="J118" s="592"/>
      <c r="K118" s="592"/>
      <c r="L118" s="592"/>
      <c r="M118" s="592"/>
    </row>
    <row r="119" ht="14.25" customHeight="1">
      <c r="A119" s="307"/>
      <c r="B119" s="307"/>
      <c r="C119" s="307"/>
      <c r="D119" s="357"/>
      <c r="E119" s="592"/>
      <c r="F119" s="592"/>
      <c r="G119" s="592"/>
      <c r="H119" s="592"/>
      <c r="I119" s="592"/>
      <c r="J119" s="592"/>
      <c r="K119" s="592"/>
      <c r="L119" s="592"/>
      <c r="M119" s="592"/>
    </row>
    <row r="120" ht="14.25" customHeight="1">
      <c r="A120" s="307"/>
      <c r="B120" s="307"/>
      <c r="C120" s="307"/>
      <c r="D120" s="357"/>
      <c r="E120" s="592"/>
      <c r="F120" s="592"/>
      <c r="G120" s="592"/>
      <c r="H120" s="592"/>
      <c r="I120" s="592"/>
      <c r="J120" s="592"/>
      <c r="K120" s="592"/>
      <c r="L120" s="592"/>
      <c r="M120" s="592"/>
    </row>
    <row r="121" ht="14.25" customHeight="1">
      <c r="A121" s="307"/>
      <c r="B121" s="307"/>
      <c r="C121" s="307"/>
      <c r="D121" s="357"/>
      <c r="E121" s="592"/>
      <c r="F121" s="592"/>
      <c r="G121" s="592"/>
      <c r="H121" s="592"/>
      <c r="I121" s="592"/>
      <c r="J121" s="592"/>
      <c r="K121" s="592"/>
      <c r="L121" s="592"/>
      <c r="M121" s="592"/>
    </row>
    <row r="122" ht="14.25" customHeight="1">
      <c r="A122" s="307"/>
      <c r="B122" s="307"/>
      <c r="C122" s="307"/>
      <c r="D122" s="357"/>
      <c r="E122" s="592"/>
      <c r="F122" s="592"/>
      <c r="G122" s="592"/>
      <c r="H122" s="592"/>
      <c r="I122" s="592"/>
      <c r="J122" s="592"/>
      <c r="K122" s="592"/>
      <c r="L122" s="592"/>
      <c r="M122" s="592"/>
    </row>
    <row r="123" ht="14.25" customHeight="1">
      <c r="A123" s="307"/>
      <c r="B123" s="307"/>
      <c r="C123" s="307"/>
      <c r="D123" s="357"/>
      <c r="E123" s="592"/>
      <c r="F123" s="592"/>
      <c r="G123" s="592"/>
      <c r="H123" s="592"/>
      <c r="I123" s="592"/>
      <c r="J123" s="592"/>
      <c r="K123" s="592"/>
      <c r="L123" s="592"/>
      <c r="M123" s="592"/>
    </row>
    <row r="124" ht="14.25" customHeight="1">
      <c r="A124" s="307"/>
      <c r="B124" s="307"/>
      <c r="C124" s="307"/>
      <c r="D124" s="357"/>
      <c r="E124" s="592"/>
      <c r="F124" s="592"/>
      <c r="G124" s="592"/>
      <c r="H124" s="592"/>
      <c r="I124" s="592"/>
      <c r="J124" s="592"/>
      <c r="K124" s="592"/>
      <c r="L124" s="592"/>
      <c r="M124" s="592"/>
    </row>
    <row r="125" ht="14.25" customHeight="1">
      <c r="A125" s="307"/>
      <c r="B125" s="307"/>
      <c r="C125" s="307"/>
      <c r="D125" s="357"/>
      <c r="E125" s="592"/>
      <c r="F125" s="592"/>
      <c r="G125" s="592"/>
      <c r="H125" s="592"/>
      <c r="I125" s="592"/>
      <c r="J125" s="592"/>
      <c r="K125" s="592"/>
      <c r="L125" s="592"/>
      <c r="M125" s="592"/>
    </row>
    <row r="126" ht="14.25" customHeight="1">
      <c r="A126" s="307"/>
      <c r="B126" s="307"/>
      <c r="C126" s="307"/>
      <c r="D126" s="357"/>
      <c r="E126" s="592"/>
      <c r="F126" s="592"/>
      <c r="G126" s="592"/>
      <c r="H126" s="592"/>
      <c r="I126" s="592"/>
      <c r="J126" s="592"/>
      <c r="K126" s="592"/>
      <c r="L126" s="592"/>
      <c r="M126" s="592"/>
    </row>
    <row r="127" ht="14.25" customHeight="1">
      <c r="A127" s="307"/>
      <c r="B127" s="307"/>
      <c r="C127" s="307"/>
      <c r="D127" s="357"/>
      <c r="E127" s="592"/>
      <c r="F127" s="592"/>
      <c r="G127" s="592"/>
      <c r="H127" s="592"/>
      <c r="I127" s="592"/>
      <c r="J127" s="592"/>
      <c r="K127" s="592"/>
      <c r="L127" s="592"/>
      <c r="M127" s="592"/>
    </row>
    <row r="128" ht="14.25" customHeight="1">
      <c r="A128" s="307"/>
      <c r="B128" s="307"/>
      <c r="C128" s="307"/>
      <c r="D128" s="357"/>
      <c r="E128" s="592"/>
      <c r="F128" s="592"/>
      <c r="G128" s="592"/>
      <c r="H128" s="592"/>
      <c r="I128" s="592"/>
      <c r="J128" s="592"/>
      <c r="K128" s="592"/>
      <c r="L128" s="592"/>
      <c r="M128" s="592"/>
    </row>
    <row r="129" ht="14.25" customHeight="1">
      <c r="A129" s="307"/>
      <c r="B129" s="307"/>
      <c r="C129" s="307"/>
      <c r="D129" s="357"/>
      <c r="E129" s="592"/>
      <c r="F129" s="592"/>
      <c r="G129" s="592"/>
      <c r="H129" s="592"/>
      <c r="I129" s="592"/>
      <c r="J129" s="592"/>
      <c r="K129" s="592"/>
      <c r="L129" s="592"/>
      <c r="M129" s="592"/>
    </row>
    <row r="130" ht="14.25" customHeight="1">
      <c r="A130" s="307"/>
      <c r="B130" s="307"/>
      <c r="C130" s="307"/>
      <c r="D130" s="357"/>
      <c r="E130" s="592"/>
      <c r="F130" s="592"/>
      <c r="G130" s="592"/>
      <c r="H130" s="592"/>
      <c r="I130" s="592"/>
      <c r="J130" s="592"/>
      <c r="K130" s="592"/>
      <c r="L130" s="592"/>
      <c r="M130" s="592"/>
    </row>
    <row r="131" ht="14.25" customHeight="1">
      <c r="A131" s="307"/>
      <c r="B131" s="307"/>
      <c r="C131" s="307"/>
      <c r="D131" s="357"/>
      <c r="E131" s="592"/>
      <c r="F131" s="592"/>
      <c r="G131" s="592"/>
      <c r="H131" s="592"/>
      <c r="I131" s="592"/>
      <c r="J131" s="592"/>
      <c r="K131" s="592"/>
      <c r="L131" s="592"/>
      <c r="M131" s="592"/>
    </row>
    <row r="132" ht="14.25" customHeight="1">
      <c r="A132" s="307"/>
      <c r="B132" s="307"/>
      <c r="C132" s="307"/>
      <c r="D132" s="357"/>
      <c r="E132" s="592"/>
      <c r="F132" s="592"/>
      <c r="G132" s="592"/>
      <c r="H132" s="592"/>
      <c r="I132" s="592"/>
      <c r="J132" s="592"/>
      <c r="K132" s="592"/>
      <c r="L132" s="592"/>
      <c r="M132" s="592"/>
    </row>
    <row r="133" ht="14.25" customHeight="1">
      <c r="A133" s="307"/>
      <c r="B133" s="307"/>
      <c r="C133" s="307"/>
      <c r="D133" s="357"/>
      <c r="E133" s="592"/>
      <c r="F133" s="592"/>
      <c r="G133" s="592"/>
      <c r="H133" s="592"/>
      <c r="I133" s="592"/>
      <c r="J133" s="592"/>
      <c r="K133" s="592"/>
      <c r="L133" s="592"/>
      <c r="M133" s="592"/>
    </row>
    <row r="134" ht="14.25" customHeight="1">
      <c r="A134" s="307"/>
      <c r="B134" s="307"/>
      <c r="C134" s="307"/>
      <c r="D134" s="357"/>
      <c r="E134" s="592"/>
      <c r="F134" s="592"/>
      <c r="G134" s="592"/>
      <c r="H134" s="592"/>
      <c r="I134" s="592"/>
      <c r="J134" s="592"/>
      <c r="K134" s="592"/>
      <c r="L134" s="592"/>
      <c r="M134" s="592"/>
    </row>
    <row r="135" ht="14.25" customHeight="1">
      <c r="A135" s="307"/>
      <c r="B135" s="307"/>
      <c r="C135" s="307"/>
      <c r="D135" s="357"/>
      <c r="E135" s="592"/>
      <c r="F135" s="592"/>
      <c r="G135" s="592"/>
      <c r="H135" s="592"/>
      <c r="I135" s="592"/>
      <c r="J135" s="592"/>
      <c r="K135" s="592"/>
      <c r="L135" s="592"/>
      <c r="M135" s="592"/>
    </row>
    <row r="136" ht="14.25" customHeight="1">
      <c r="A136" s="307"/>
      <c r="B136" s="307"/>
      <c r="C136" s="307"/>
      <c r="D136" s="357"/>
      <c r="E136" s="592"/>
      <c r="F136" s="592"/>
      <c r="G136" s="592"/>
      <c r="H136" s="592"/>
      <c r="I136" s="592"/>
      <c r="J136" s="592"/>
      <c r="K136" s="592"/>
      <c r="L136" s="592"/>
      <c r="M136" s="592"/>
    </row>
    <row r="137" ht="14.25" customHeight="1">
      <c r="A137" s="307"/>
      <c r="B137" s="307"/>
      <c r="C137" s="307"/>
      <c r="D137" s="357"/>
      <c r="E137" s="592"/>
      <c r="F137" s="592"/>
      <c r="G137" s="592"/>
      <c r="H137" s="592"/>
      <c r="I137" s="592"/>
      <c r="J137" s="592"/>
      <c r="K137" s="592"/>
      <c r="L137" s="592"/>
      <c r="M137" s="592"/>
    </row>
    <row r="138" ht="14.25" customHeight="1">
      <c r="A138" s="307"/>
      <c r="B138" s="307"/>
      <c r="C138" s="307"/>
      <c r="D138" s="357"/>
      <c r="E138" s="592"/>
      <c r="F138" s="592"/>
      <c r="G138" s="592"/>
      <c r="H138" s="592"/>
      <c r="I138" s="592"/>
      <c r="J138" s="592"/>
      <c r="K138" s="592"/>
      <c r="L138" s="592"/>
      <c r="M138" s="592"/>
    </row>
    <row r="139" ht="14.25" customHeight="1">
      <c r="A139" s="307"/>
      <c r="B139" s="307"/>
      <c r="C139" s="307"/>
      <c r="D139" s="357"/>
      <c r="E139" s="592"/>
      <c r="F139" s="592"/>
      <c r="G139" s="592"/>
      <c r="H139" s="592"/>
      <c r="I139" s="592"/>
      <c r="J139" s="592"/>
      <c r="K139" s="592"/>
      <c r="L139" s="592"/>
      <c r="M139" s="592"/>
    </row>
    <row r="140" ht="14.25" customHeight="1">
      <c r="A140" s="307"/>
      <c r="B140" s="307"/>
      <c r="C140" s="307"/>
      <c r="D140" s="357"/>
      <c r="E140" s="592"/>
      <c r="F140" s="592"/>
      <c r="G140" s="592"/>
      <c r="H140" s="592"/>
      <c r="I140" s="592"/>
      <c r="J140" s="592"/>
      <c r="K140" s="592"/>
      <c r="L140" s="592"/>
      <c r="M140" s="592"/>
    </row>
    <row r="141" ht="14.25" customHeight="1">
      <c r="A141" s="307"/>
      <c r="B141" s="307"/>
      <c r="C141" s="307"/>
      <c r="D141" s="357"/>
      <c r="E141" s="592"/>
      <c r="F141" s="592"/>
      <c r="G141" s="592"/>
      <c r="H141" s="592"/>
      <c r="I141" s="592"/>
      <c r="J141" s="592"/>
      <c r="K141" s="592"/>
      <c r="L141" s="592"/>
      <c r="M141" s="592"/>
    </row>
    <row r="142" ht="14.25" customHeight="1">
      <c r="A142" s="307"/>
      <c r="B142" s="307"/>
      <c r="C142" s="307"/>
      <c r="D142" s="357"/>
      <c r="E142" s="592"/>
      <c r="F142" s="592"/>
      <c r="G142" s="592"/>
      <c r="H142" s="592"/>
      <c r="I142" s="592"/>
      <c r="J142" s="592"/>
      <c r="K142" s="592"/>
      <c r="L142" s="592"/>
      <c r="M142" s="592"/>
    </row>
    <row r="143" ht="14.25" customHeight="1">
      <c r="A143" s="307"/>
      <c r="B143" s="307"/>
      <c r="C143" s="307"/>
      <c r="D143" s="357"/>
      <c r="E143" s="592"/>
      <c r="F143" s="592"/>
      <c r="G143" s="592"/>
      <c r="H143" s="592"/>
      <c r="I143" s="592"/>
      <c r="J143" s="592"/>
      <c r="K143" s="592"/>
      <c r="L143" s="592"/>
      <c r="M143" s="592"/>
    </row>
    <row r="144" ht="14.25" customHeight="1">
      <c r="A144" s="307"/>
      <c r="B144" s="307"/>
      <c r="C144" s="307"/>
      <c r="D144" s="357"/>
      <c r="E144" s="592"/>
      <c r="F144" s="592"/>
      <c r="G144" s="592"/>
      <c r="H144" s="592"/>
      <c r="I144" s="592"/>
      <c r="J144" s="592"/>
      <c r="K144" s="592"/>
      <c r="L144" s="592"/>
      <c r="M144" s="592"/>
    </row>
    <row r="145" ht="14.25" customHeight="1">
      <c r="A145" s="307"/>
      <c r="B145" s="307"/>
      <c r="C145" s="307"/>
      <c r="D145" s="357"/>
      <c r="E145" s="592"/>
      <c r="F145" s="592"/>
      <c r="G145" s="592"/>
      <c r="H145" s="592"/>
      <c r="I145" s="592"/>
      <c r="J145" s="592"/>
      <c r="K145" s="592"/>
      <c r="L145" s="592"/>
      <c r="M145" s="592"/>
    </row>
    <row r="146" ht="14.25" customHeight="1">
      <c r="A146" s="307"/>
      <c r="B146" s="307"/>
      <c r="C146" s="307"/>
      <c r="D146" s="357"/>
      <c r="E146" s="592"/>
      <c r="F146" s="592"/>
      <c r="G146" s="592"/>
      <c r="H146" s="592"/>
      <c r="I146" s="592"/>
      <c r="J146" s="592"/>
      <c r="K146" s="592"/>
      <c r="L146" s="592"/>
      <c r="M146" s="592"/>
    </row>
    <row r="147" ht="14.25" customHeight="1">
      <c r="A147" s="307"/>
      <c r="B147" s="307"/>
      <c r="C147" s="307"/>
      <c r="D147" s="357"/>
      <c r="E147" s="592"/>
      <c r="F147" s="592"/>
      <c r="G147" s="592"/>
      <c r="H147" s="592"/>
      <c r="I147" s="592"/>
      <c r="J147" s="592"/>
      <c r="K147" s="592"/>
      <c r="L147" s="592"/>
      <c r="M147" s="592"/>
    </row>
    <row r="148" ht="14.25" customHeight="1">
      <c r="A148" s="307"/>
      <c r="B148" s="307"/>
      <c r="C148" s="307"/>
      <c r="D148" s="357"/>
      <c r="E148" s="592"/>
      <c r="F148" s="592"/>
      <c r="G148" s="592"/>
      <c r="H148" s="592"/>
      <c r="I148" s="592"/>
      <c r="J148" s="592"/>
      <c r="K148" s="592"/>
      <c r="L148" s="592"/>
      <c r="M148" s="592"/>
    </row>
    <row r="149" ht="14.25" customHeight="1">
      <c r="A149" s="307"/>
      <c r="B149" s="307"/>
      <c r="C149" s="307"/>
      <c r="D149" s="357"/>
      <c r="E149" s="592"/>
      <c r="F149" s="592"/>
      <c r="G149" s="592"/>
      <c r="H149" s="592"/>
      <c r="I149" s="592"/>
      <c r="J149" s="592"/>
      <c r="K149" s="592"/>
      <c r="L149" s="592"/>
      <c r="M149" s="592"/>
    </row>
    <row r="150" ht="14.25" customHeight="1">
      <c r="A150" s="307"/>
      <c r="B150" s="307"/>
      <c r="C150" s="307"/>
      <c r="D150" s="357"/>
      <c r="E150" s="592"/>
      <c r="F150" s="592"/>
      <c r="G150" s="592"/>
      <c r="H150" s="592"/>
      <c r="I150" s="592"/>
      <c r="J150" s="592"/>
      <c r="K150" s="592"/>
      <c r="L150" s="592"/>
      <c r="M150" s="592"/>
    </row>
    <row r="151" ht="14.25" customHeight="1">
      <c r="A151" s="307"/>
      <c r="B151" s="307"/>
      <c r="C151" s="307"/>
      <c r="D151" s="357"/>
      <c r="E151" s="592"/>
      <c r="F151" s="592"/>
      <c r="G151" s="592"/>
      <c r="H151" s="592"/>
      <c r="I151" s="592"/>
      <c r="J151" s="592"/>
      <c r="K151" s="592"/>
      <c r="L151" s="592"/>
      <c r="M151" s="592"/>
    </row>
    <row r="152" ht="14.25" customHeight="1">
      <c r="A152" s="307"/>
      <c r="B152" s="307"/>
      <c r="C152" s="307"/>
      <c r="D152" s="357"/>
      <c r="E152" s="592"/>
      <c r="F152" s="592"/>
      <c r="G152" s="592"/>
      <c r="H152" s="592"/>
      <c r="I152" s="592"/>
      <c r="J152" s="592"/>
      <c r="K152" s="592"/>
      <c r="L152" s="592"/>
      <c r="M152" s="592"/>
    </row>
    <row r="153" ht="14.25" customHeight="1">
      <c r="A153" s="307"/>
      <c r="B153" s="307"/>
      <c r="C153" s="307"/>
      <c r="D153" s="357"/>
      <c r="E153" s="592"/>
      <c r="F153" s="592"/>
      <c r="G153" s="592"/>
      <c r="H153" s="592"/>
      <c r="I153" s="592"/>
      <c r="J153" s="592"/>
      <c r="K153" s="592"/>
      <c r="L153" s="592"/>
      <c r="M153" s="592"/>
    </row>
    <row r="154" ht="14.25" customHeight="1">
      <c r="A154" s="307"/>
      <c r="B154" s="307"/>
      <c r="C154" s="307"/>
      <c r="D154" s="357"/>
      <c r="E154" s="592"/>
      <c r="F154" s="592"/>
      <c r="G154" s="592"/>
      <c r="H154" s="592"/>
      <c r="I154" s="592"/>
      <c r="J154" s="592"/>
      <c r="K154" s="592"/>
      <c r="L154" s="592"/>
      <c r="M154" s="592"/>
    </row>
    <row r="155" ht="14.25" customHeight="1">
      <c r="A155" s="307"/>
      <c r="B155" s="307"/>
      <c r="C155" s="307"/>
      <c r="D155" s="357"/>
      <c r="E155" s="592"/>
      <c r="F155" s="592"/>
      <c r="G155" s="592"/>
      <c r="H155" s="592"/>
      <c r="I155" s="592"/>
      <c r="J155" s="592"/>
      <c r="K155" s="592"/>
      <c r="L155" s="592"/>
      <c r="M155" s="592"/>
    </row>
    <row r="156" ht="14.25" customHeight="1">
      <c r="A156" s="307"/>
      <c r="B156" s="307"/>
      <c r="C156" s="307"/>
      <c r="D156" s="357"/>
      <c r="E156" s="592"/>
      <c r="F156" s="592"/>
      <c r="G156" s="592"/>
      <c r="H156" s="592"/>
      <c r="I156" s="592"/>
      <c r="J156" s="592"/>
      <c r="K156" s="592"/>
      <c r="L156" s="592"/>
      <c r="M156" s="592"/>
    </row>
    <row r="157" ht="14.25" customHeight="1">
      <c r="A157" s="307"/>
      <c r="B157" s="307"/>
      <c r="C157" s="307"/>
      <c r="D157" s="357"/>
      <c r="E157" s="592"/>
      <c r="F157" s="592"/>
      <c r="G157" s="592"/>
      <c r="H157" s="592"/>
      <c r="I157" s="592"/>
      <c r="J157" s="592"/>
      <c r="K157" s="592"/>
      <c r="L157" s="592"/>
      <c r="M157" s="592"/>
    </row>
    <row r="158" ht="14.25" customHeight="1">
      <c r="A158" s="307"/>
      <c r="B158" s="307"/>
      <c r="C158" s="307"/>
      <c r="D158" s="357"/>
      <c r="E158" s="592"/>
      <c r="F158" s="592"/>
      <c r="G158" s="592"/>
      <c r="H158" s="592"/>
      <c r="I158" s="592"/>
      <c r="J158" s="592"/>
      <c r="K158" s="592"/>
      <c r="L158" s="592"/>
      <c r="M158" s="592"/>
    </row>
    <row r="159" ht="14.25" customHeight="1">
      <c r="A159" s="307"/>
      <c r="B159" s="307"/>
      <c r="C159" s="307"/>
      <c r="D159" s="357"/>
      <c r="E159" s="592"/>
      <c r="F159" s="592"/>
      <c r="G159" s="592"/>
      <c r="H159" s="592"/>
      <c r="I159" s="592"/>
      <c r="J159" s="592"/>
      <c r="K159" s="592"/>
      <c r="L159" s="592"/>
      <c r="M159" s="592"/>
    </row>
    <row r="160" ht="14.25" customHeight="1">
      <c r="A160" s="307"/>
      <c r="B160" s="307"/>
      <c r="C160" s="307"/>
      <c r="D160" s="357"/>
      <c r="E160" s="592"/>
      <c r="F160" s="592"/>
      <c r="G160" s="592"/>
      <c r="H160" s="592"/>
      <c r="I160" s="592"/>
      <c r="J160" s="592"/>
      <c r="K160" s="592"/>
      <c r="L160" s="592"/>
      <c r="M160" s="592"/>
    </row>
    <row r="161" ht="14.25" customHeight="1">
      <c r="A161" s="307"/>
      <c r="B161" s="307"/>
      <c r="C161" s="307"/>
      <c r="D161" s="357"/>
      <c r="E161" s="592"/>
      <c r="F161" s="592"/>
      <c r="G161" s="592"/>
      <c r="H161" s="592"/>
      <c r="I161" s="592"/>
      <c r="J161" s="592"/>
      <c r="K161" s="592"/>
      <c r="L161" s="592"/>
      <c r="M161" s="592"/>
    </row>
    <row r="162" ht="14.25" customHeight="1">
      <c r="A162" s="307"/>
      <c r="B162" s="307"/>
      <c r="C162" s="307"/>
      <c r="D162" s="357"/>
      <c r="E162" s="592"/>
      <c r="F162" s="592"/>
      <c r="G162" s="592"/>
      <c r="H162" s="592"/>
      <c r="I162" s="592"/>
      <c r="J162" s="592"/>
      <c r="K162" s="592"/>
      <c r="L162" s="592"/>
      <c r="M162" s="592"/>
    </row>
    <row r="163" ht="14.25" customHeight="1">
      <c r="A163" s="307"/>
      <c r="B163" s="307"/>
      <c r="C163" s="307"/>
      <c r="D163" s="357"/>
      <c r="E163" s="592"/>
      <c r="F163" s="592"/>
      <c r="G163" s="592"/>
      <c r="H163" s="592"/>
      <c r="I163" s="592"/>
      <c r="J163" s="592"/>
      <c r="K163" s="592"/>
      <c r="L163" s="592"/>
      <c r="M163" s="592"/>
    </row>
    <row r="164" ht="14.25" customHeight="1">
      <c r="A164" s="307"/>
      <c r="B164" s="307"/>
      <c r="C164" s="307"/>
      <c r="D164" s="357"/>
      <c r="E164" s="592"/>
      <c r="F164" s="592"/>
      <c r="G164" s="592"/>
      <c r="H164" s="592"/>
      <c r="I164" s="592"/>
      <c r="J164" s="592"/>
      <c r="K164" s="592"/>
      <c r="L164" s="592"/>
      <c r="M164" s="592"/>
    </row>
    <row r="165" ht="14.25" customHeight="1">
      <c r="A165" s="307"/>
      <c r="B165" s="307"/>
      <c r="C165" s="307"/>
      <c r="D165" s="357"/>
      <c r="E165" s="592"/>
      <c r="F165" s="592"/>
      <c r="G165" s="592"/>
      <c r="H165" s="592"/>
      <c r="I165" s="592"/>
      <c r="J165" s="592"/>
      <c r="K165" s="592"/>
      <c r="L165" s="592"/>
      <c r="M165" s="592"/>
    </row>
    <row r="166" ht="14.25" customHeight="1">
      <c r="A166" s="307"/>
      <c r="B166" s="307"/>
      <c r="C166" s="307"/>
      <c r="D166" s="357"/>
      <c r="E166" s="592"/>
      <c r="F166" s="592"/>
      <c r="G166" s="592"/>
      <c r="H166" s="592"/>
      <c r="I166" s="592"/>
      <c r="J166" s="592"/>
      <c r="K166" s="592"/>
      <c r="L166" s="592"/>
      <c r="M166" s="592"/>
    </row>
    <row r="167" ht="14.25" customHeight="1">
      <c r="A167" s="307"/>
      <c r="B167" s="307"/>
      <c r="C167" s="307"/>
      <c r="D167" s="357"/>
      <c r="E167" s="592"/>
      <c r="F167" s="592"/>
      <c r="G167" s="592"/>
      <c r="H167" s="592"/>
      <c r="I167" s="592"/>
      <c r="J167" s="592"/>
      <c r="K167" s="592"/>
      <c r="L167" s="592"/>
      <c r="M167" s="592"/>
    </row>
    <row r="168" ht="14.25" customHeight="1">
      <c r="A168" s="307"/>
      <c r="B168" s="307"/>
      <c r="C168" s="307"/>
      <c r="D168" s="357"/>
      <c r="E168" s="592"/>
      <c r="F168" s="592"/>
      <c r="G168" s="592"/>
      <c r="H168" s="592"/>
      <c r="I168" s="592"/>
      <c r="J168" s="592"/>
      <c r="K168" s="592"/>
      <c r="L168" s="592"/>
      <c r="M168" s="592"/>
    </row>
    <row r="169" ht="14.25" customHeight="1">
      <c r="A169" s="307"/>
      <c r="B169" s="307"/>
      <c r="C169" s="307"/>
      <c r="D169" s="357"/>
      <c r="E169" s="592"/>
      <c r="F169" s="592"/>
      <c r="G169" s="592"/>
      <c r="H169" s="592"/>
      <c r="I169" s="592"/>
      <c r="J169" s="592"/>
      <c r="K169" s="592"/>
      <c r="L169" s="592"/>
      <c r="M169" s="592"/>
    </row>
    <row r="170" ht="14.25" customHeight="1">
      <c r="A170" s="307"/>
      <c r="B170" s="307"/>
      <c r="C170" s="307"/>
      <c r="D170" s="357"/>
      <c r="E170" s="592"/>
      <c r="F170" s="592"/>
      <c r="G170" s="592"/>
      <c r="H170" s="592"/>
      <c r="I170" s="592"/>
      <c r="J170" s="592"/>
      <c r="K170" s="592"/>
      <c r="L170" s="592"/>
      <c r="M170" s="592"/>
    </row>
    <row r="171" ht="14.25" customHeight="1">
      <c r="A171" s="307"/>
      <c r="B171" s="307"/>
      <c r="C171" s="307"/>
      <c r="D171" s="357"/>
      <c r="E171" s="592"/>
      <c r="F171" s="592"/>
      <c r="G171" s="592"/>
      <c r="H171" s="592"/>
      <c r="I171" s="592"/>
      <c r="J171" s="592"/>
      <c r="K171" s="592"/>
      <c r="L171" s="592"/>
      <c r="M171" s="592"/>
    </row>
    <row r="172" ht="14.25" customHeight="1">
      <c r="A172" s="307"/>
      <c r="B172" s="307"/>
      <c r="C172" s="307"/>
      <c r="D172" s="357"/>
      <c r="E172" s="592"/>
      <c r="F172" s="592"/>
      <c r="G172" s="592"/>
      <c r="H172" s="592"/>
      <c r="I172" s="592"/>
      <c r="J172" s="592"/>
      <c r="K172" s="592"/>
      <c r="L172" s="592"/>
      <c r="M172" s="592"/>
    </row>
    <row r="173" ht="14.25" customHeight="1">
      <c r="A173" s="307"/>
      <c r="B173" s="307"/>
      <c r="C173" s="307"/>
      <c r="D173" s="357"/>
      <c r="E173" s="592"/>
      <c r="F173" s="592"/>
      <c r="G173" s="592"/>
      <c r="H173" s="592"/>
      <c r="I173" s="592"/>
      <c r="J173" s="592"/>
      <c r="K173" s="592"/>
      <c r="L173" s="592"/>
      <c r="M173" s="592"/>
    </row>
    <row r="174" ht="14.25" customHeight="1">
      <c r="A174" s="307"/>
      <c r="B174" s="307"/>
      <c r="C174" s="307"/>
      <c r="D174" s="357"/>
      <c r="E174" s="592"/>
      <c r="F174" s="592"/>
      <c r="G174" s="592"/>
      <c r="H174" s="592"/>
      <c r="I174" s="592"/>
      <c r="J174" s="592"/>
      <c r="K174" s="592"/>
      <c r="L174" s="592"/>
      <c r="M174" s="592"/>
    </row>
    <row r="175" ht="14.25" customHeight="1">
      <c r="A175" s="307"/>
      <c r="B175" s="307"/>
      <c r="C175" s="307"/>
      <c r="D175" s="357"/>
      <c r="E175" s="592"/>
      <c r="F175" s="592"/>
      <c r="G175" s="592"/>
      <c r="H175" s="592"/>
      <c r="I175" s="592"/>
      <c r="J175" s="592"/>
      <c r="K175" s="592"/>
      <c r="L175" s="592"/>
      <c r="M175" s="592"/>
    </row>
    <row r="176" ht="14.25" customHeight="1">
      <c r="A176" s="307"/>
      <c r="B176" s="307"/>
      <c r="C176" s="307"/>
      <c r="D176" s="357"/>
      <c r="E176" s="592"/>
      <c r="F176" s="592"/>
      <c r="G176" s="592"/>
      <c r="H176" s="592"/>
      <c r="I176" s="592"/>
      <c r="J176" s="592"/>
      <c r="K176" s="592"/>
      <c r="L176" s="592"/>
      <c r="M176" s="592"/>
    </row>
    <row r="177" ht="14.25" customHeight="1">
      <c r="A177" s="307"/>
      <c r="B177" s="307"/>
      <c r="C177" s="307"/>
      <c r="D177" s="357"/>
      <c r="E177" s="592"/>
      <c r="F177" s="592"/>
      <c r="G177" s="592"/>
      <c r="H177" s="592"/>
      <c r="I177" s="592"/>
      <c r="J177" s="592"/>
      <c r="K177" s="592"/>
      <c r="L177" s="592"/>
      <c r="M177" s="592"/>
    </row>
    <row r="178" ht="14.25" customHeight="1">
      <c r="A178" s="307"/>
      <c r="B178" s="307"/>
      <c r="C178" s="307"/>
      <c r="D178" s="357"/>
      <c r="E178" s="592"/>
      <c r="F178" s="592"/>
      <c r="G178" s="592"/>
      <c r="H178" s="592"/>
      <c r="I178" s="592"/>
      <c r="J178" s="592"/>
      <c r="K178" s="592"/>
      <c r="L178" s="592"/>
      <c r="M178" s="592"/>
    </row>
    <row r="179" ht="14.25" customHeight="1">
      <c r="A179" s="307"/>
      <c r="B179" s="307"/>
      <c r="C179" s="307"/>
      <c r="D179" s="357"/>
      <c r="E179" s="592"/>
      <c r="F179" s="592"/>
      <c r="G179" s="592"/>
      <c r="H179" s="592"/>
      <c r="I179" s="592"/>
      <c r="J179" s="592"/>
      <c r="K179" s="592"/>
      <c r="L179" s="592"/>
      <c r="M179" s="592"/>
    </row>
    <row r="180" ht="14.25" customHeight="1">
      <c r="A180" s="307"/>
      <c r="B180" s="307"/>
      <c r="C180" s="307"/>
      <c r="D180" s="357"/>
      <c r="E180" s="592"/>
      <c r="F180" s="592"/>
      <c r="G180" s="592"/>
      <c r="H180" s="592"/>
      <c r="I180" s="592"/>
      <c r="J180" s="592"/>
      <c r="K180" s="592"/>
      <c r="L180" s="592"/>
      <c r="M180" s="592"/>
    </row>
    <row r="181" ht="14.25" customHeight="1">
      <c r="A181" s="307"/>
      <c r="B181" s="307"/>
      <c r="C181" s="307"/>
      <c r="D181" s="357"/>
      <c r="E181" s="592"/>
      <c r="F181" s="592"/>
      <c r="G181" s="592"/>
      <c r="H181" s="592"/>
      <c r="I181" s="592"/>
      <c r="J181" s="592"/>
      <c r="K181" s="592"/>
      <c r="L181" s="592"/>
      <c r="M181" s="592"/>
    </row>
    <row r="182" ht="14.25" customHeight="1">
      <c r="A182" s="307"/>
      <c r="B182" s="307"/>
      <c r="C182" s="307"/>
      <c r="D182" s="357"/>
      <c r="E182" s="592"/>
      <c r="F182" s="592"/>
      <c r="G182" s="592"/>
      <c r="H182" s="592"/>
      <c r="I182" s="592"/>
      <c r="J182" s="592"/>
      <c r="K182" s="592"/>
      <c r="L182" s="592"/>
      <c r="M182" s="592"/>
    </row>
    <row r="183" ht="14.25" customHeight="1">
      <c r="A183" s="307"/>
      <c r="B183" s="307"/>
      <c r="C183" s="307"/>
      <c r="D183" s="357"/>
      <c r="E183" s="592"/>
      <c r="F183" s="592"/>
      <c r="G183" s="592"/>
      <c r="H183" s="592"/>
      <c r="I183" s="592"/>
      <c r="J183" s="592"/>
      <c r="K183" s="592"/>
      <c r="L183" s="592"/>
      <c r="M183" s="592"/>
    </row>
    <row r="184" ht="14.25" customHeight="1">
      <c r="A184" s="307"/>
      <c r="B184" s="307"/>
      <c r="C184" s="307"/>
      <c r="D184" s="357"/>
      <c r="E184" s="592"/>
      <c r="F184" s="592"/>
      <c r="G184" s="592"/>
      <c r="H184" s="592"/>
      <c r="I184" s="592"/>
      <c r="J184" s="592"/>
      <c r="K184" s="592"/>
      <c r="L184" s="592"/>
      <c r="M184" s="592"/>
    </row>
    <row r="185" ht="14.25" customHeight="1">
      <c r="A185" s="307"/>
      <c r="B185" s="307"/>
      <c r="C185" s="307"/>
      <c r="D185" s="357"/>
      <c r="E185" s="592"/>
      <c r="F185" s="592"/>
      <c r="G185" s="592"/>
      <c r="H185" s="592"/>
      <c r="I185" s="592"/>
      <c r="J185" s="592"/>
      <c r="K185" s="592"/>
      <c r="L185" s="592"/>
      <c r="M185" s="592"/>
    </row>
    <row r="186" ht="14.25" customHeight="1">
      <c r="A186" s="307"/>
      <c r="B186" s="307"/>
      <c r="C186" s="307"/>
      <c r="D186" s="357"/>
      <c r="E186" s="592"/>
      <c r="F186" s="592"/>
      <c r="G186" s="592"/>
      <c r="H186" s="592"/>
      <c r="I186" s="592"/>
      <c r="J186" s="592"/>
      <c r="K186" s="592"/>
      <c r="L186" s="592"/>
      <c r="M186" s="592"/>
    </row>
    <row r="187" ht="14.25" customHeight="1">
      <c r="A187" s="307"/>
      <c r="B187" s="307"/>
      <c r="C187" s="307"/>
      <c r="D187" s="357"/>
      <c r="E187" s="592"/>
      <c r="F187" s="592"/>
      <c r="G187" s="592"/>
      <c r="H187" s="592"/>
      <c r="I187" s="592"/>
      <c r="J187" s="592"/>
      <c r="K187" s="592"/>
      <c r="L187" s="592"/>
      <c r="M187" s="592"/>
    </row>
    <row r="188" ht="14.25" customHeight="1">
      <c r="A188" s="307"/>
      <c r="B188" s="307"/>
      <c r="C188" s="307"/>
      <c r="D188" s="357"/>
      <c r="E188" s="592"/>
      <c r="F188" s="592"/>
      <c r="G188" s="592"/>
      <c r="H188" s="592"/>
      <c r="I188" s="592"/>
      <c r="J188" s="592"/>
      <c r="K188" s="592"/>
      <c r="L188" s="592"/>
      <c r="M188" s="592"/>
    </row>
    <row r="189" ht="14.25" customHeight="1">
      <c r="A189" s="307"/>
      <c r="B189" s="307"/>
      <c r="C189" s="307"/>
      <c r="D189" s="357"/>
      <c r="E189" s="592"/>
      <c r="F189" s="592"/>
      <c r="G189" s="592"/>
      <c r="H189" s="592"/>
      <c r="I189" s="592"/>
      <c r="J189" s="592"/>
      <c r="K189" s="592"/>
      <c r="L189" s="592"/>
      <c r="M189" s="592"/>
    </row>
    <row r="190" ht="14.25" customHeight="1">
      <c r="A190" s="307"/>
      <c r="B190" s="307"/>
      <c r="C190" s="307"/>
      <c r="D190" s="357"/>
      <c r="E190" s="592"/>
      <c r="F190" s="592"/>
      <c r="G190" s="592"/>
      <c r="H190" s="592"/>
      <c r="I190" s="592"/>
      <c r="J190" s="592"/>
      <c r="K190" s="592"/>
      <c r="L190" s="592"/>
      <c r="M190" s="592"/>
    </row>
    <row r="191" ht="14.25" customHeight="1">
      <c r="A191" s="307"/>
      <c r="B191" s="307"/>
      <c r="C191" s="307"/>
      <c r="D191" s="357"/>
      <c r="E191" s="592"/>
      <c r="F191" s="592"/>
      <c r="G191" s="592"/>
      <c r="H191" s="592"/>
      <c r="I191" s="592"/>
      <c r="J191" s="592"/>
      <c r="K191" s="592"/>
      <c r="L191" s="592"/>
      <c r="M191" s="592"/>
    </row>
    <row r="192" ht="14.25" customHeight="1">
      <c r="A192" s="307"/>
      <c r="B192" s="307"/>
      <c r="C192" s="307"/>
      <c r="D192" s="357"/>
      <c r="E192" s="592"/>
      <c r="F192" s="592"/>
      <c r="G192" s="592"/>
      <c r="H192" s="592"/>
      <c r="I192" s="592"/>
      <c r="J192" s="592"/>
      <c r="K192" s="592"/>
      <c r="L192" s="592"/>
      <c r="M192" s="592"/>
    </row>
    <row r="193" ht="14.25" customHeight="1">
      <c r="A193" s="307"/>
      <c r="B193" s="307"/>
      <c r="C193" s="307"/>
      <c r="D193" s="357"/>
      <c r="E193" s="592"/>
      <c r="F193" s="592"/>
      <c r="G193" s="592"/>
      <c r="H193" s="592"/>
      <c r="I193" s="592"/>
      <c r="J193" s="592"/>
      <c r="K193" s="592"/>
      <c r="L193" s="592"/>
      <c r="M193" s="592"/>
    </row>
    <row r="194" ht="14.25" customHeight="1">
      <c r="A194" s="307"/>
      <c r="B194" s="307"/>
      <c r="C194" s="307"/>
      <c r="D194" s="357"/>
      <c r="E194" s="592"/>
      <c r="F194" s="592"/>
      <c r="G194" s="592"/>
      <c r="H194" s="592"/>
      <c r="I194" s="592"/>
      <c r="J194" s="592"/>
      <c r="K194" s="592"/>
      <c r="L194" s="592"/>
      <c r="M194" s="592"/>
    </row>
    <row r="195" ht="14.25" customHeight="1">
      <c r="A195" s="307"/>
      <c r="B195" s="307"/>
      <c r="C195" s="307"/>
      <c r="D195" s="357"/>
      <c r="E195" s="592"/>
      <c r="F195" s="592"/>
      <c r="G195" s="592"/>
      <c r="H195" s="592"/>
      <c r="I195" s="592"/>
      <c r="J195" s="592"/>
      <c r="K195" s="592"/>
      <c r="L195" s="592"/>
      <c r="M195" s="592"/>
    </row>
    <row r="196" ht="14.25" customHeight="1">
      <c r="A196" s="307"/>
      <c r="B196" s="307"/>
      <c r="C196" s="307"/>
      <c r="D196" s="357"/>
      <c r="E196" s="592"/>
      <c r="F196" s="592"/>
      <c r="G196" s="592"/>
      <c r="H196" s="592"/>
      <c r="I196" s="592"/>
      <c r="J196" s="592"/>
      <c r="K196" s="592"/>
      <c r="L196" s="592"/>
      <c r="M196" s="592"/>
    </row>
    <row r="197" ht="14.25" customHeight="1">
      <c r="A197" s="307"/>
      <c r="B197" s="307"/>
      <c r="C197" s="307"/>
      <c r="D197" s="357"/>
      <c r="E197" s="592"/>
      <c r="F197" s="592"/>
      <c r="G197" s="592"/>
      <c r="H197" s="592"/>
      <c r="I197" s="592"/>
      <c r="J197" s="592"/>
      <c r="K197" s="592"/>
      <c r="L197" s="592"/>
      <c r="M197" s="592"/>
    </row>
    <row r="198" ht="14.25" customHeight="1">
      <c r="A198" s="307"/>
      <c r="B198" s="307"/>
      <c r="C198" s="307"/>
      <c r="D198" s="357"/>
      <c r="E198" s="592"/>
      <c r="F198" s="592"/>
      <c r="G198" s="592"/>
      <c r="H198" s="592"/>
      <c r="I198" s="592"/>
      <c r="J198" s="592"/>
      <c r="K198" s="592"/>
      <c r="L198" s="592"/>
      <c r="M198" s="592"/>
    </row>
    <row r="199" ht="14.25" customHeight="1">
      <c r="A199" s="307"/>
      <c r="B199" s="307"/>
      <c r="C199" s="307"/>
      <c r="D199" s="357"/>
      <c r="E199" s="592"/>
      <c r="F199" s="592"/>
      <c r="G199" s="592"/>
      <c r="H199" s="592"/>
      <c r="I199" s="592"/>
      <c r="J199" s="592"/>
      <c r="K199" s="592"/>
      <c r="L199" s="592"/>
      <c r="M199" s="592"/>
    </row>
    <row r="200" ht="14.25" customHeight="1">
      <c r="A200" s="307"/>
      <c r="B200" s="307"/>
      <c r="C200" s="307"/>
      <c r="D200" s="357"/>
      <c r="E200" s="592"/>
      <c r="F200" s="592"/>
      <c r="G200" s="592"/>
      <c r="H200" s="592"/>
      <c r="I200" s="592"/>
      <c r="J200" s="592"/>
      <c r="K200" s="592"/>
      <c r="L200" s="592"/>
      <c r="M200" s="592"/>
    </row>
    <row r="201" ht="14.25" customHeight="1">
      <c r="A201" s="307"/>
      <c r="B201" s="307"/>
      <c r="C201" s="307"/>
      <c r="D201" s="357"/>
      <c r="E201" s="592"/>
      <c r="F201" s="592"/>
      <c r="G201" s="592"/>
      <c r="H201" s="592"/>
      <c r="I201" s="592"/>
      <c r="J201" s="592"/>
      <c r="K201" s="592"/>
      <c r="L201" s="592"/>
      <c r="M201" s="592"/>
    </row>
    <row r="202" ht="14.25" customHeight="1">
      <c r="A202" s="307"/>
      <c r="B202" s="307"/>
      <c r="C202" s="307"/>
      <c r="D202" s="357"/>
      <c r="E202" s="592"/>
      <c r="F202" s="592"/>
      <c r="G202" s="592"/>
      <c r="H202" s="592"/>
      <c r="I202" s="592"/>
      <c r="J202" s="592"/>
      <c r="K202" s="592"/>
      <c r="L202" s="592"/>
      <c r="M202" s="592"/>
    </row>
    <row r="203" ht="14.25" customHeight="1">
      <c r="A203" s="307"/>
      <c r="B203" s="307"/>
      <c r="C203" s="307"/>
      <c r="D203" s="357"/>
      <c r="E203" s="592"/>
      <c r="F203" s="592"/>
      <c r="G203" s="592"/>
      <c r="H203" s="592"/>
      <c r="I203" s="592"/>
      <c r="J203" s="592"/>
      <c r="K203" s="592"/>
      <c r="L203" s="592"/>
      <c r="M203" s="592"/>
    </row>
    <row r="204" ht="14.25" customHeight="1">
      <c r="A204" s="307"/>
      <c r="B204" s="307"/>
      <c r="C204" s="307"/>
      <c r="D204" s="357"/>
      <c r="E204" s="592"/>
      <c r="F204" s="592"/>
      <c r="G204" s="592"/>
      <c r="H204" s="592"/>
      <c r="I204" s="592"/>
      <c r="J204" s="592"/>
      <c r="K204" s="592"/>
      <c r="L204" s="592"/>
      <c r="M204" s="592"/>
    </row>
    <row r="205" ht="14.25" customHeight="1">
      <c r="A205" s="307"/>
      <c r="B205" s="307"/>
      <c r="C205" s="307"/>
      <c r="D205" s="357"/>
      <c r="E205" s="592"/>
      <c r="F205" s="592"/>
      <c r="G205" s="592"/>
      <c r="H205" s="592"/>
      <c r="I205" s="592"/>
      <c r="J205" s="592"/>
      <c r="K205" s="592"/>
      <c r="L205" s="592"/>
      <c r="M205" s="592"/>
    </row>
    <row r="206" ht="14.25" customHeight="1">
      <c r="A206" s="307"/>
      <c r="B206" s="307"/>
      <c r="C206" s="307"/>
      <c r="D206" s="357"/>
      <c r="E206" s="592"/>
      <c r="F206" s="592"/>
      <c r="G206" s="592"/>
      <c r="H206" s="592"/>
      <c r="I206" s="592"/>
      <c r="J206" s="592"/>
      <c r="K206" s="592"/>
      <c r="L206" s="592"/>
      <c r="M206" s="592"/>
    </row>
    <row r="207" ht="14.25" customHeight="1">
      <c r="A207" s="307"/>
      <c r="B207" s="307"/>
      <c r="C207" s="307"/>
      <c r="D207" s="357"/>
      <c r="E207" s="592"/>
      <c r="F207" s="592"/>
      <c r="G207" s="592"/>
      <c r="H207" s="592"/>
      <c r="I207" s="592"/>
      <c r="J207" s="592"/>
      <c r="K207" s="592"/>
      <c r="L207" s="592"/>
      <c r="M207" s="592"/>
    </row>
    <row r="208" ht="14.25" customHeight="1">
      <c r="A208" s="307"/>
      <c r="B208" s="307"/>
      <c r="C208" s="307"/>
      <c r="D208" s="357"/>
      <c r="E208" s="592"/>
      <c r="F208" s="592"/>
      <c r="G208" s="592"/>
      <c r="H208" s="592"/>
      <c r="I208" s="592"/>
      <c r="J208" s="592"/>
      <c r="K208" s="592"/>
      <c r="L208" s="592"/>
      <c r="M208" s="592"/>
    </row>
    <row r="209" ht="14.25" customHeight="1">
      <c r="A209" s="307"/>
      <c r="B209" s="307"/>
      <c r="C209" s="307"/>
      <c r="D209" s="357"/>
      <c r="E209" s="592"/>
      <c r="F209" s="592"/>
      <c r="G209" s="592"/>
      <c r="H209" s="592"/>
      <c r="I209" s="592"/>
      <c r="J209" s="592"/>
      <c r="K209" s="592"/>
      <c r="L209" s="592"/>
      <c r="M209" s="592"/>
    </row>
    <row r="210" ht="14.25" customHeight="1">
      <c r="A210" s="307"/>
      <c r="B210" s="307"/>
      <c r="C210" s="307"/>
      <c r="D210" s="357"/>
      <c r="E210" s="592"/>
      <c r="F210" s="592"/>
      <c r="G210" s="592"/>
      <c r="H210" s="592"/>
      <c r="I210" s="592"/>
      <c r="J210" s="592"/>
      <c r="K210" s="592"/>
      <c r="L210" s="592"/>
      <c r="M210" s="592"/>
    </row>
    <row r="211" ht="14.25" customHeight="1">
      <c r="A211" s="307"/>
      <c r="B211" s="307"/>
      <c r="C211" s="307"/>
      <c r="D211" s="357"/>
      <c r="E211" s="592"/>
      <c r="F211" s="592"/>
      <c r="G211" s="592"/>
      <c r="H211" s="592"/>
      <c r="I211" s="592"/>
      <c r="J211" s="592"/>
      <c r="K211" s="592"/>
      <c r="L211" s="592"/>
      <c r="M211" s="592"/>
    </row>
    <row r="212" ht="14.25" customHeight="1">
      <c r="A212" s="307"/>
      <c r="B212" s="307"/>
      <c r="C212" s="307"/>
      <c r="D212" s="357"/>
      <c r="E212" s="592"/>
      <c r="F212" s="592"/>
      <c r="G212" s="592"/>
      <c r="H212" s="592"/>
      <c r="I212" s="592"/>
      <c r="J212" s="592"/>
      <c r="K212" s="592"/>
      <c r="L212" s="592"/>
      <c r="M212" s="592"/>
    </row>
    <row r="213" ht="14.25" customHeight="1">
      <c r="A213" s="307"/>
      <c r="B213" s="307"/>
      <c r="C213" s="307"/>
      <c r="D213" s="357"/>
      <c r="E213" s="592"/>
      <c r="F213" s="592"/>
      <c r="G213" s="592"/>
      <c r="H213" s="592"/>
      <c r="I213" s="592"/>
      <c r="J213" s="592"/>
      <c r="K213" s="592"/>
      <c r="L213" s="592"/>
      <c r="M213" s="592"/>
    </row>
    <row r="214" ht="14.25" customHeight="1">
      <c r="A214" s="307"/>
      <c r="B214" s="307"/>
      <c r="C214" s="307"/>
      <c r="D214" s="357"/>
      <c r="E214" s="592"/>
      <c r="F214" s="592"/>
      <c r="G214" s="592"/>
      <c r="H214" s="592"/>
      <c r="I214" s="592"/>
      <c r="J214" s="592"/>
      <c r="K214" s="592"/>
      <c r="L214" s="592"/>
      <c r="M214" s="592"/>
    </row>
    <row r="215" ht="14.25" customHeight="1">
      <c r="A215" s="307"/>
      <c r="B215" s="307"/>
      <c r="C215" s="307"/>
      <c r="D215" s="357"/>
      <c r="E215" s="592"/>
      <c r="F215" s="592"/>
      <c r="G215" s="592"/>
      <c r="H215" s="592"/>
      <c r="I215" s="592"/>
      <c r="J215" s="592"/>
      <c r="K215" s="592"/>
      <c r="L215" s="592"/>
      <c r="M215" s="592"/>
    </row>
    <row r="216" ht="14.25" customHeight="1">
      <c r="A216" s="307"/>
      <c r="B216" s="307"/>
      <c r="C216" s="307"/>
      <c r="D216" s="357"/>
      <c r="E216" s="592"/>
      <c r="F216" s="592"/>
      <c r="G216" s="592"/>
      <c r="H216" s="592"/>
      <c r="I216" s="592"/>
      <c r="J216" s="592"/>
      <c r="K216" s="592"/>
      <c r="L216" s="592"/>
      <c r="M216" s="592"/>
    </row>
    <row r="217" ht="14.25" customHeight="1">
      <c r="A217" s="307"/>
      <c r="B217" s="307"/>
      <c r="C217" s="307"/>
      <c r="D217" s="357"/>
      <c r="E217" s="592"/>
      <c r="F217" s="592"/>
      <c r="G217" s="592"/>
      <c r="H217" s="592"/>
      <c r="I217" s="592"/>
      <c r="J217" s="592"/>
      <c r="K217" s="592"/>
      <c r="L217" s="592"/>
      <c r="M217" s="592"/>
    </row>
    <row r="218" ht="14.25" customHeight="1">
      <c r="A218" s="307"/>
      <c r="B218" s="307"/>
      <c r="C218" s="307"/>
      <c r="D218" s="357"/>
      <c r="E218" s="592"/>
      <c r="F218" s="592"/>
      <c r="G218" s="592"/>
      <c r="H218" s="592"/>
      <c r="I218" s="592"/>
      <c r="J218" s="592"/>
      <c r="K218" s="592"/>
      <c r="L218" s="592"/>
      <c r="M218" s="592"/>
    </row>
    <row r="219" ht="14.25" customHeight="1">
      <c r="A219" s="307"/>
      <c r="B219" s="307"/>
      <c r="C219" s="307"/>
      <c r="D219" s="357"/>
      <c r="E219" s="592"/>
      <c r="F219" s="592"/>
      <c r="G219" s="592"/>
      <c r="H219" s="592"/>
      <c r="I219" s="592"/>
      <c r="J219" s="592"/>
      <c r="K219" s="592"/>
      <c r="L219" s="592"/>
      <c r="M219" s="592"/>
    </row>
    <row r="220" ht="14.25" customHeight="1">
      <c r="A220" s="307"/>
      <c r="B220" s="307"/>
      <c r="C220" s="307"/>
      <c r="D220" s="357"/>
      <c r="E220" s="592"/>
      <c r="F220" s="592"/>
      <c r="G220" s="592"/>
      <c r="H220" s="592"/>
      <c r="I220" s="592"/>
      <c r="J220" s="592"/>
      <c r="K220" s="592"/>
      <c r="L220" s="592"/>
      <c r="M220" s="592"/>
    </row>
    <row r="221" ht="14.25" customHeight="1">
      <c r="A221" s="307"/>
      <c r="B221" s="307"/>
      <c r="C221" s="307"/>
      <c r="D221" s="357"/>
      <c r="E221" s="592"/>
      <c r="F221" s="592"/>
      <c r="G221" s="592"/>
      <c r="H221" s="592"/>
      <c r="I221" s="592"/>
      <c r="J221" s="592"/>
      <c r="K221" s="592"/>
      <c r="L221" s="592"/>
      <c r="M221" s="592"/>
    </row>
    <row r="222" ht="14.25" customHeight="1">
      <c r="A222" s="307"/>
      <c r="B222" s="307"/>
      <c r="C222" s="307"/>
      <c r="D222" s="357"/>
      <c r="E222" s="592"/>
      <c r="F222" s="592"/>
      <c r="G222" s="592"/>
      <c r="H222" s="592"/>
      <c r="I222" s="592"/>
      <c r="J222" s="592"/>
      <c r="K222" s="592"/>
      <c r="L222" s="592"/>
      <c r="M222" s="592"/>
    </row>
    <row r="223" ht="14.25" customHeight="1">
      <c r="A223" s="307"/>
      <c r="B223" s="307"/>
      <c r="C223" s="307"/>
      <c r="D223" s="357"/>
      <c r="E223" s="592"/>
      <c r="F223" s="592"/>
      <c r="G223" s="592"/>
      <c r="H223" s="592"/>
      <c r="I223" s="592"/>
      <c r="J223" s="592"/>
      <c r="K223" s="592"/>
      <c r="L223" s="592"/>
      <c r="M223" s="592"/>
    </row>
    <row r="224" ht="14.25" customHeight="1">
      <c r="A224" s="307"/>
      <c r="B224" s="307"/>
      <c r="C224" s="307"/>
      <c r="D224" s="357"/>
      <c r="E224" s="592"/>
      <c r="F224" s="592"/>
      <c r="G224" s="592"/>
      <c r="H224" s="592"/>
      <c r="I224" s="592"/>
      <c r="J224" s="592"/>
      <c r="K224" s="592"/>
      <c r="L224" s="592"/>
      <c r="M224" s="592"/>
    </row>
    <row r="225" ht="14.25" customHeight="1">
      <c r="A225" s="307"/>
      <c r="B225" s="307"/>
      <c r="C225" s="307"/>
      <c r="D225" s="357"/>
      <c r="E225" s="592"/>
      <c r="F225" s="592"/>
      <c r="G225" s="592"/>
      <c r="H225" s="592"/>
      <c r="I225" s="592"/>
      <c r="J225" s="592"/>
      <c r="K225" s="592"/>
      <c r="L225" s="592"/>
      <c r="M225" s="592"/>
    </row>
    <row r="226" ht="14.25" customHeight="1">
      <c r="A226" s="307"/>
      <c r="B226" s="307"/>
      <c r="C226" s="307"/>
      <c r="D226" s="357"/>
      <c r="E226" s="592"/>
      <c r="F226" s="592"/>
      <c r="G226" s="592"/>
      <c r="H226" s="592"/>
      <c r="I226" s="592"/>
      <c r="J226" s="592"/>
      <c r="K226" s="592"/>
      <c r="L226" s="592"/>
      <c r="M226" s="592"/>
    </row>
    <row r="227" ht="14.25" customHeight="1">
      <c r="A227" s="307"/>
      <c r="B227" s="307"/>
      <c r="C227" s="307"/>
      <c r="D227" s="357"/>
      <c r="E227" s="592"/>
      <c r="F227" s="592"/>
      <c r="G227" s="592"/>
      <c r="H227" s="592"/>
      <c r="I227" s="592"/>
      <c r="J227" s="592"/>
      <c r="K227" s="592"/>
      <c r="L227" s="592"/>
      <c r="M227" s="592"/>
    </row>
    <row r="228" ht="14.25" customHeight="1">
      <c r="A228" s="307"/>
      <c r="B228" s="307"/>
      <c r="C228" s="307"/>
      <c r="D228" s="357"/>
      <c r="E228" s="592"/>
      <c r="F228" s="592"/>
      <c r="G228" s="592"/>
      <c r="H228" s="592"/>
      <c r="I228" s="592"/>
      <c r="J228" s="592"/>
      <c r="K228" s="592"/>
      <c r="L228" s="592"/>
      <c r="M228" s="592"/>
    </row>
    <row r="229" ht="14.25" customHeight="1">
      <c r="A229" s="307"/>
      <c r="B229" s="307"/>
      <c r="C229" s="307"/>
      <c r="D229" s="357"/>
      <c r="E229" s="592"/>
      <c r="F229" s="592"/>
      <c r="G229" s="592"/>
      <c r="H229" s="592"/>
      <c r="I229" s="592"/>
      <c r="J229" s="592"/>
      <c r="K229" s="592"/>
      <c r="L229" s="592"/>
      <c r="M229" s="592"/>
    </row>
    <row r="230" ht="14.25" customHeight="1">
      <c r="A230" s="307"/>
      <c r="B230" s="307"/>
      <c r="C230" s="307"/>
      <c r="D230" s="357"/>
      <c r="E230" s="592"/>
      <c r="F230" s="592"/>
      <c r="G230" s="592"/>
      <c r="H230" s="592"/>
      <c r="I230" s="592"/>
      <c r="J230" s="592"/>
      <c r="K230" s="592"/>
      <c r="L230" s="592"/>
      <c r="M230" s="592"/>
    </row>
    <row r="231" ht="14.25" customHeight="1">
      <c r="A231" s="307"/>
      <c r="B231" s="307"/>
      <c r="C231" s="307"/>
      <c r="D231" s="357"/>
      <c r="E231" s="592"/>
      <c r="F231" s="592"/>
      <c r="G231" s="592"/>
      <c r="H231" s="592"/>
      <c r="I231" s="592"/>
      <c r="J231" s="592"/>
      <c r="K231" s="592"/>
      <c r="L231" s="592"/>
      <c r="M231" s="592"/>
    </row>
    <row r="232" ht="14.25" customHeight="1">
      <c r="A232" s="307"/>
      <c r="B232" s="307"/>
      <c r="C232" s="307"/>
      <c r="D232" s="357"/>
      <c r="E232" s="592"/>
      <c r="F232" s="592"/>
      <c r="G232" s="592"/>
      <c r="H232" s="592"/>
      <c r="I232" s="592"/>
      <c r="J232" s="592"/>
      <c r="K232" s="592"/>
      <c r="L232" s="592"/>
      <c r="M232" s="592"/>
    </row>
    <row r="233" ht="14.25" customHeight="1">
      <c r="A233" s="307"/>
      <c r="B233" s="307"/>
      <c r="C233" s="307"/>
      <c r="D233" s="357"/>
      <c r="E233" s="592"/>
      <c r="F233" s="592"/>
      <c r="G233" s="592"/>
      <c r="H233" s="592"/>
      <c r="I233" s="592"/>
      <c r="J233" s="592"/>
      <c r="K233" s="592"/>
      <c r="L233" s="592"/>
      <c r="M233" s="592"/>
    </row>
    <row r="234" ht="14.25" customHeight="1">
      <c r="A234" s="307"/>
      <c r="B234" s="307"/>
      <c r="C234" s="307"/>
      <c r="D234" s="357"/>
      <c r="E234" s="592"/>
      <c r="F234" s="592"/>
      <c r="G234" s="592"/>
      <c r="H234" s="592"/>
      <c r="I234" s="592"/>
      <c r="J234" s="592"/>
      <c r="K234" s="592"/>
      <c r="L234" s="592"/>
      <c r="M234" s="592"/>
    </row>
    <row r="235" ht="14.25" customHeight="1">
      <c r="A235" s="307"/>
      <c r="B235" s="307"/>
      <c r="C235" s="307"/>
      <c r="D235" s="357"/>
      <c r="E235" s="592"/>
      <c r="F235" s="592"/>
      <c r="G235" s="592"/>
      <c r="H235" s="592"/>
      <c r="I235" s="592"/>
      <c r="J235" s="592"/>
      <c r="K235" s="592"/>
      <c r="L235" s="592"/>
      <c r="M235" s="592"/>
    </row>
    <row r="236" ht="14.25" customHeight="1">
      <c r="A236" s="307"/>
      <c r="B236" s="307"/>
      <c r="C236" s="307"/>
      <c r="D236" s="357"/>
      <c r="E236" s="592"/>
      <c r="F236" s="592"/>
      <c r="G236" s="592"/>
      <c r="H236" s="592"/>
      <c r="I236" s="592"/>
      <c r="J236" s="592"/>
      <c r="K236" s="592"/>
      <c r="L236" s="592"/>
      <c r="M236" s="592"/>
    </row>
    <row r="237" ht="14.25" customHeight="1">
      <c r="A237" s="307"/>
      <c r="B237" s="307"/>
      <c r="C237" s="307"/>
      <c r="D237" s="357"/>
      <c r="E237" s="592"/>
      <c r="F237" s="592"/>
      <c r="G237" s="592"/>
      <c r="H237" s="592"/>
      <c r="I237" s="592"/>
      <c r="J237" s="592"/>
      <c r="K237" s="592"/>
      <c r="L237" s="592"/>
      <c r="M237" s="592"/>
    </row>
    <row r="238" ht="14.25" customHeight="1">
      <c r="A238" s="307"/>
      <c r="B238" s="307"/>
      <c r="C238" s="307"/>
      <c r="D238" s="357"/>
      <c r="E238" s="592"/>
      <c r="F238" s="592"/>
      <c r="G238" s="592"/>
      <c r="H238" s="592"/>
      <c r="I238" s="592"/>
      <c r="J238" s="592"/>
      <c r="K238" s="592"/>
      <c r="L238" s="592"/>
      <c r="M238" s="592"/>
    </row>
    <row r="239" ht="14.25" customHeight="1">
      <c r="A239" s="307"/>
      <c r="B239" s="307"/>
      <c r="C239" s="307"/>
      <c r="D239" s="357"/>
      <c r="E239" s="592"/>
      <c r="F239" s="592"/>
      <c r="G239" s="592"/>
      <c r="H239" s="592"/>
      <c r="I239" s="592"/>
      <c r="J239" s="592"/>
      <c r="K239" s="592"/>
      <c r="L239" s="592"/>
      <c r="M239" s="592"/>
    </row>
    <row r="240" ht="14.25" customHeight="1">
      <c r="A240" s="307"/>
      <c r="B240" s="307"/>
      <c r="C240" s="307"/>
      <c r="D240" s="357"/>
      <c r="E240" s="592"/>
      <c r="F240" s="592"/>
      <c r="G240" s="592"/>
      <c r="H240" s="592"/>
      <c r="I240" s="592"/>
      <c r="J240" s="592"/>
      <c r="K240" s="592"/>
      <c r="L240" s="592"/>
      <c r="M240" s="592"/>
    </row>
    <row r="241" ht="14.25" customHeight="1">
      <c r="A241" s="307"/>
      <c r="B241" s="307"/>
      <c r="C241" s="307"/>
      <c r="D241" s="357"/>
      <c r="E241" s="592"/>
      <c r="F241" s="592"/>
      <c r="G241" s="592"/>
      <c r="H241" s="592"/>
      <c r="I241" s="592"/>
      <c r="J241" s="592"/>
      <c r="K241" s="592"/>
      <c r="L241" s="592"/>
      <c r="M241" s="592"/>
    </row>
    <row r="242" ht="14.25" customHeight="1">
      <c r="A242" s="307"/>
      <c r="B242" s="307"/>
      <c r="C242" s="307"/>
      <c r="D242" s="357"/>
      <c r="E242" s="592"/>
      <c r="F242" s="592"/>
      <c r="G242" s="592"/>
      <c r="H242" s="592"/>
      <c r="I242" s="592"/>
      <c r="J242" s="592"/>
      <c r="K242" s="592"/>
      <c r="L242" s="592"/>
      <c r="M242" s="592"/>
    </row>
    <row r="243" ht="14.25" customHeight="1">
      <c r="A243" s="307"/>
      <c r="B243" s="307"/>
      <c r="C243" s="307"/>
      <c r="D243" s="357"/>
      <c r="E243" s="592"/>
      <c r="F243" s="592"/>
      <c r="G243" s="592"/>
      <c r="H243" s="592"/>
      <c r="I243" s="592"/>
      <c r="J243" s="592"/>
      <c r="K243" s="592"/>
      <c r="L243" s="592"/>
      <c r="M243" s="592"/>
    </row>
    <row r="244" ht="14.25" customHeight="1">
      <c r="A244" s="307"/>
      <c r="B244" s="307"/>
      <c r="C244" s="307"/>
      <c r="D244" s="357"/>
      <c r="E244" s="592"/>
      <c r="F244" s="592"/>
      <c r="G244" s="592"/>
      <c r="H244" s="592"/>
      <c r="I244" s="592"/>
      <c r="J244" s="592"/>
      <c r="K244" s="592"/>
      <c r="L244" s="592"/>
      <c r="M244" s="592"/>
    </row>
    <row r="245" ht="14.25" customHeight="1">
      <c r="A245" s="307"/>
      <c r="B245" s="307"/>
      <c r="C245" s="307"/>
      <c r="D245" s="357"/>
      <c r="E245" s="592"/>
      <c r="F245" s="592"/>
      <c r="G245" s="592"/>
      <c r="H245" s="592"/>
      <c r="I245" s="592"/>
      <c r="J245" s="592"/>
      <c r="K245" s="592"/>
      <c r="L245" s="592"/>
      <c r="M245" s="592"/>
    </row>
    <row r="246" ht="14.25" customHeight="1">
      <c r="A246" s="307"/>
      <c r="B246" s="307"/>
      <c r="C246" s="307"/>
      <c r="D246" s="357"/>
      <c r="E246" s="592"/>
      <c r="F246" s="592"/>
      <c r="G246" s="592"/>
      <c r="H246" s="592"/>
      <c r="I246" s="592"/>
      <c r="J246" s="592"/>
      <c r="K246" s="592"/>
      <c r="L246" s="592"/>
      <c r="M246" s="592"/>
    </row>
    <row r="247" ht="14.25" customHeight="1">
      <c r="A247" s="307"/>
      <c r="B247" s="307"/>
      <c r="C247" s="307"/>
      <c r="D247" s="357"/>
      <c r="E247" s="592"/>
      <c r="F247" s="592"/>
      <c r="G247" s="592"/>
      <c r="H247" s="592"/>
      <c r="I247" s="592"/>
      <c r="J247" s="592"/>
      <c r="K247" s="592"/>
      <c r="L247" s="592"/>
      <c r="M247" s="592"/>
    </row>
    <row r="248" ht="14.25" customHeight="1">
      <c r="A248" s="307"/>
      <c r="B248" s="307"/>
      <c r="C248" s="307"/>
      <c r="D248" s="357"/>
      <c r="E248" s="592"/>
      <c r="F248" s="592"/>
      <c r="G248" s="592"/>
      <c r="H248" s="592"/>
      <c r="I248" s="592"/>
      <c r="J248" s="592"/>
      <c r="K248" s="592"/>
      <c r="L248" s="592"/>
      <c r="M248" s="592"/>
    </row>
    <row r="249" ht="14.25" customHeight="1">
      <c r="A249" s="307"/>
      <c r="B249" s="307"/>
      <c r="C249" s="307"/>
      <c r="D249" s="357"/>
      <c r="E249" s="592"/>
      <c r="F249" s="592"/>
      <c r="G249" s="592"/>
      <c r="H249" s="592"/>
      <c r="I249" s="592"/>
      <c r="J249" s="592"/>
      <c r="K249" s="592"/>
      <c r="L249" s="592"/>
      <c r="M249" s="592"/>
    </row>
    <row r="250" ht="14.25" customHeight="1">
      <c r="A250" s="307"/>
      <c r="B250" s="307"/>
      <c r="C250" s="307"/>
      <c r="D250" s="357"/>
      <c r="E250" s="592"/>
      <c r="F250" s="592"/>
      <c r="G250" s="592"/>
      <c r="H250" s="592"/>
      <c r="I250" s="592"/>
      <c r="J250" s="592"/>
      <c r="K250" s="592"/>
      <c r="L250" s="592"/>
      <c r="M250" s="592"/>
    </row>
    <row r="251" ht="14.25" customHeight="1">
      <c r="A251" s="307"/>
      <c r="B251" s="307"/>
      <c r="C251" s="307"/>
      <c r="D251" s="357"/>
      <c r="E251" s="592"/>
      <c r="F251" s="592"/>
      <c r="G251" s="592"/>
      <c r="H251" s="592"/>
      <c r="I251" s="592"/>
      <c r="J251" s="592"/>
      <c r="K251" s="592"/>
      <c r="L251" s="592"/>
      <c r="M251" s="592"/>
    </row>
    <row r="252" ht="14.25" customHeight="1">
      <c r="A252" s="307"/>
      <c r="B252" s="307"/>
      <c r="C252" s="307"/>
      <c r="D252" s="357"/>
      <c r="E252" s="592"/>
      <c r="F252" s="592"/>
      <c r="G252" s="592"/>
      <c r="H252" s="592"/>
      <c r="I252" s="592"/>
      <c r="J252" s="592"/>
      <c r="K252" s="592"/>
      <c r="L252" s="592"/>
      <c r="M252" s="592"/>
    </row>
    <row r="253" ht="14.25" customHeight="1">
      <c r="A253" s="307"/>
      <c r="B253" s="307"/>
      <c r="C253" s="307"/>
      <c r="D253" s="357"/>
      <c r="E253" s="592"/>
      <c r="F253" s="592"/>
      <c r="G253" s="592"/>
      <c r="H253" s="592"/>
      <c r="I253" s="592"/>
      <c r="J253" s="592"/>
      <c r="K253" s="592"/>
      <c r="L253" s="592"/>
      <c r="M253" s="592"/>
    </row>
    <row r="254" ht="14.25" customHeight="1">
      <c r="A254" s="307"/>
      <c r="B254" s="307"/>
      <c r="C254" s="307"/>
      <c r="D254" s="357"/>
      <c r="E254" s="592"/>
      <c r="F254" s="592"/>
      <c r="G254" s="592"/>
      <c r="H254" s="592"/>
      <c r="I254" s="592"/>
      <c r="J254" s="592"/>
      <c r="K254" s="592"/>
      <c r="L254" s="592"/>
      <c r="M254" s="592"/>
    </row>
    <row r="255" ht="14.25" customHeight="1">
      <c r="A255" s="307"/>
      <c r="B255" s="307"/>
      <c r="C255" s="307"/>
      <c r="D255" s="357"/>
      <c r="E255" s="592"/>
      <c r="F255" s="592"/>
      <c r="G255" s="592"/>
      <c r="H255" s="592"/>
      <c r="I255" s="592"/>
      <c r="J255" s="592"/>
      <c r="K255" s="592"/>
      <c r="L255" s="592"/>
      <c r="M255" s="592"/>
    </row>
    <row r="256" ht="14.25" customHeight="1">
      <c r="A256" s="307"/>
      <c r="B256" s="307"/>
      <c r="C256" s="307"/>
      <c r="D256" s="357"/>
      <c r="E256" s="592"/>
      <c r="F256" s="592"/>
      <c r="G256" s="592"/>
      <c r="H256" s="592"/>
      <c r="I256" s="592"/>
      <c r="J256" s="592"/>
      <c r="K256" s="592"/>
      <c r="L256" s="592"/>
      <c r="M256" s="592"/>
    </row>
    <row r="257" ht="14.25" customHeight="1">
      <c r="A257" s="307"/>
      <c r="B257" s="307"/>
      <c r="C257" s="307"/>
      <c r="D257" s="357"/>
      <c r="E257" s="592"/>
      <c r="F257" s="592"/>
      <c r="G257" s="592"/>
      <c r="H257" s="592"/>
      <c r="I257" s="592"/>
      <c r="J257" s="592"/>
      <c r="K257" s="592"/>
      <c r="L257" s="592"/>
      <c r="M257" s="592"/>
    </row>
    <row r="258" ht="14.25" customHeight="1">
      <c r="A258" s="307"/>
      <c r="B258" s="307"/>
      <c r="C258" s="307"/>
      <c r="D258" s="357"/>
      <c r="E258" s="592"/>
      <c r="F258" s="592"/>
      <c r="G258" s="592"/>
      <c r="H258" s="592"/>
      <c r="I258" s="592"/>
      <c r="J258" s="592"/>
      <c r="K258" s="592"/>
      <c r="L258" s="592"/>
      <c r="M258" s="592"/>
    </row>
    <row r="259" ht="14.25" customHeight="1">
      <c r="A259" s="307"/>
      <c r="B259" s="307"/>
      <c r="C259" s="307"/>
      <c r="D259" s="357"/>
      <c r="E259" s="592"/>
      <c r="F259" s="592"/>
      <c r="G259" s="592"/>
      <c r="H259" s="592"/>
      <c r="I259" s="592"/>
      <c r="J259" s="592"/>
      <c r="K259" s="592"/>
      <c r="L259" s="592"/>
      <c r="M259" s="592"/>
    </row>
    <row r="260" ht="14.25" customHeight="1">
      <c r="A260" s="307"/>
      <c r="B260" s="307"/>
      <c r="C260" s="307"/>
      <c r="D260" s="357"/>
      <c r="E260" s="592"/>
      <c r="F260" s="592"/>
      <c r="G260" s="592"/>
      <c r="H260" s="592"/>
      <c r="I260" s="592"/>
      <c r="J260" s="592"/>
      <c r="K260" s="592"/>
      <c r="L260" s="592"/>
      <c r="M260" s="592"/>
    </row>
    <row r="261" ht="14.25" customHeight="1">
      <c r="A261" s="307"/>
      <c r="B261" s="307"/>
      <c r="C261" s="307"/>
      <c r="D261" s="357"/>
      <c r="E261" s="592"/>
      <c r="F261" s="592"/>
      <c r="G261" s="592"/>
      <c r="H261" s="592"/>
      <c r="I261" s="592"/>
      <c r="J261" s="592"/>
      <c r="K261" s="592"/>
      <c r="L261" s="592"/>
      <c r="M261" s="592"/>
    </row>
    <row r="262" ht="14.25" customHeight="1">
      <c r="A262" s="307"/>
      <c r="B262" s="307"/>
      <c r="C262" s="307"/>
      <c r="D262" s="357"/>
      <c r="E262" s="592"/>
      <c r="F262" s="592"/>
      <c r="G262" s="592"/>
      <c r="H262" s="592"/>
      <c r="I262" s="592"/>
      <c r="J262" s="592"/>
      <c r="K262" s="592"/>
      <c r="L262" s="592"/>
      <c r="M262" s="592"/>
    </row>
    <row r="263" ht="14.25" customHeight="1">
      <c r="A263" s="307"/>
      <c r="B263" s="307"/>
      <c r="C263" s="307"/>
      <c r="D263" s="357"/>
      <c r="E263" s="592"/>
      <c r="F263" s="592"/>
      <c r="G263" s="592"/>
      <c r="H263" s="592"/>
      <c r="I263" s="592"/>
      <c r="J263" s="592"/>
      <c r="K263" s="592"/>
      <c r="L263" s="592"/>
      <c r="M263" s="592"/>
    </row>
    <row r="264" ht="14.25" customHeight="1">
      <c r="A264" s="307"/>
      <c r="B264" s="307"/>
      <c r="C264" s="307"/>
      <c r="D264" s="357"/>
      <c r="E264" s="592"/>
      <c r="F264" s="592"/>
      <c r="G264" s="592"/>
      <c r="H264" s="592"/>
      <c r="I264" s="592"/>
      <c r="J264" s="592"/>
      <c r="K264" s="592"/>
      <c r="L264" s="592"/>
      <c r="M264" s="592"/>
    </row>
    <row r="265" ht="14.25" customHeight="1">
      <c r="A265" s="307"/>
      <c r="B265" s="307"/>
      <c r="C265" s="307"/>
      <c r="D265" s="357"/>
      <c r="E265" s="592"/>
      <c r="F265" s="592"/>
      <c r="G265" s="592"/>
      <c r="H265" s="592"/>
      <c r="I265" s="592"/>
      <c r="J265" s="592"/>
      <c r="K265" s="592"/>
      <c r="L265" s="592"/>
      <c r="M265" s="592"/>
    </row>
    <row r="266" ht="14.25" customHeight="1">
      <c r="A266" s="307"/>
      <c r="B266" s="307"/>
      <c r="C266" s="307"/>
      <c r="D266" s="357"/>
      <c r="E266" s="592"/>
      <c r="F266" s="592"/>
      <c r="G266" s="592"/>
      <c r="H266" s="592"/>
      <c r="I266" s="592"/>
      <c r="J266" s="592"/>
      <c r="K266" s="592"/>
      <c r="L266" s="592"/>
      <c r="M266" s="592"/>
    </row>
    <row r="267" ht="14.25" customHeight="1">
      <c r="A267" s="307"/>
      <c r="B267" s="307"/>
      <c r="C267" s="307"/>
      <c r="D267" s="357"/>
      <c r="E267" s="592"/>
      <c r="F267" s="592"/>
      <c r="G267" s="592"/>
      <c r="H267" s="592"/>
      <c r="I267" s="592"/>
      <c r="J267" s="592"/>
      <c r="K267" s="592"/>
      <c r="L267" s="592"/>
      <c r="M267" s="592"/>
    </row>
    <row r="268" ht="14.25" customHeight="1">
      <c r="A268" s="307"/>
      <c r="B268" s="307"/>
      <c r="C268" s="307"/>
      <c r="D268" s="357"/>
      <c r="E268" s="592"/>
      <c r="F268" s="592"/>
      <c r="G268" s="592"/>
      <c r="H268" s="592"/>
      <c r="I268" s="592"/>
      <c r="J268" s="592"/>
      <c r="K268" s="592"/>
      <c r="L268" s="592"/>
      <c r="M268" s="592"/>
    </row>
    <row r="269" ht="14.25" customHeight="1">
      <c r="A269" s="307"/>
      <c r="B269" s="307"/>
      <c r="C269" s="307"/>
      <c r="D269" s="357"/>
      <c r="E269" s="592"/>
      <c r="F269" s="592"/>
      <c r="G269" s="592"/>
      <c r="H269" s="592"/>
      <c r="I269" s="592"/>
      <c r="J269" s="592"/>
      <c r="K269" s="592"/>
      <c r="L269" s="592"/>
      <c r="M269" s="592"/>
    </row>
    <row r="270" ht="14.25" customHeight="1">
      <c r="A270" s="307"/>
      <c r="B270" s="307"/>
      <c r="C270" s="307"/>
      <c r="D270" s="357"/>
      <c r="E270" s="592"/>
      <c r="F270" s="592"/>
      <c r="G270" s="592"/>
      <c r="H270" s="592"/>
      <c r="I270" s="592"/>
      <c r="J270" s="592"/>
      <c r="K270" s="592"/>
      <c r="L270" s="592"/>
      <c r="M270" s="592"/>
    </row>
    <row r="271" ht="14.25" customHeight="1">
      <c r="A271" s="307"/>
      <c r="B271" s="307"/>
      <c r="C271" s="307"/>
      <c r="D271" s="357"/>
      <c r="E271" s="592"/>
      <c r="F271" s="592"/>
      <c r="G271" s="592"/>
      <c r="H271" s="592"/>
      <c r="I271" s="592"/>
      <c r="J271" s="592"/>
      <c r="K271" s="592"/>
      <c r="L271" s="592"/>
      <c r="M271" s="592"/>
    </row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/>
  </sheetViews>
  <sheetFormatPr customHeight="1" defaultColWidth="14.43" defaultRowHeight="15.0"/>
  <cols>
    <col customWidth="1" min="1" max="1" width="80.14"/>
    <col customWidth="1" min="2" max="2" width="40.71"/>
    <col customWidth="1" min="3" max="4" width="23.57"/>
    <col customWidth="1" hidden="1" min="5" max="5" width="18.57"/>
    <col customWidth="1" hidden="1" min="6" max="6" width="18.43"/>
    <col customWidth="1" hidden="1" min="7" max="7" width="17.43"/>
    <col customWidth="1" hidden="1" min="8" max="8" width="16.71"/>
    <col customWidth="1" hidden="1" min="9" max="9" width="19.71"/>
    <col customWidth="1" hidden="1" min="10" max="10" width="17.29"/>
    <col customWidth="1" hidden="1" min="11" max="11" width="18.57"/>
    <col customWidth="1" hidden="1" min="12" max="12" width="18.43"/>
    <col customWidth="1" min="13" max="14" width="18.43"/>
    <col customWidth="1" min="15" max="21" width="25.0"/>
  </cols>
  <sheetData>
    <row r="1" ht="24.75" customHeight="1">
      <c r="A1" s="292" t="s">
        <v>0</v>
      </c>
      <c r="B1" s="293"/>
      <c r="C1" s="294"/>
      <c r="D1" s="294"/>
      <c r="E1" s="616"/>
      <c r="F1" s="294"/>
      <c r="G1" s="294"/>
      <c r="H1" s="294"/>
      <c r="I1" s="294"/>
      <c r="J1" s="294"/>
      <c r="K1" s="294"/>
      <c r="L1" s="294"/>
      <c r="M1" s="294"/>
      <c r="N1" s="294"/>
      <c r="O1" s="295"/>
      <c r="P1" s="295"/>
      <c r="Q1" s="295"/>
      <c r="R1" s="295"/>
      <c r="S1" s="296"/>
      <c r="T1" s="295"/>
      <c r="U1" s="295"/>
      <c r="V1" s="294"/>
    </row>
    <row r="2" ht="23.25" customHeight="1">
      <c r="A2" s="297" t="s">
        <v>1</v>
      </c>
      <c r="B2" s="298"/>
      <c r="C2" s="298"/>
      <c r="D2" s="298"/>
      <c r="E2" s="617"/>
      <c r="F2" s="295"/>
      <c r="G2" s="298"/>
      <c r="H2" s="298"/>
      <c r="I2" s="298"/>
      <c r="J2" s="298"/>
      <c r="K2" s="298"/>
      <c r="L2" s="298"/>
      <c r="M2" s="298"/>
      <c r="N2" s="298"/>
      <c r="O2" s="298"/>
      <c r="P2" s="299" t="s">
        <v>611</v>
      </c>
      <c r="S2" s="296"/>
      <c r="T2" s="298"/>
      <c r="U2" s="298"/>
      <c r="V2" s="298"/>
    </row>
    <row r="3" ht="22.5" customHeight="1">
      <c r="A3" s="618" t="s">
        <v>1277</v>
      </c>
      <c r="B3" s="619"/>
      <c r="C3" s="620"/>
      <c r="D3" s="620"/>
      <c r="E3" s="621"/>
      <c r="F3" s="622"/>
      <c r="G3" s="303"/>
      <c r="H3" s="303"/>
      <c r="I3" s="303"/>
      <c r="J3" s="303"/>
      <c r="K3" s="303"/>
      <c r="L3" s="303"/>
      <c r="M3" s="303"/>
      <c r="N3" s="303"/>
      <c r="O3" s="304"/>
      <c r="S3" s="304"/>
      <c r="T3" s="304"/>
      <c r="U3" s="304"/>
    </row>
    <row r="4" ht="27.0" customHeight="1">
      <c r="A4" s="618" t="s">
        <v>3</v>
      </c>
      <c r="B4" s="619"/>
      <c r="C4" s="620"/>
      <c r="D4" s="620"/>
      <c r="E4" s="621"/>
      <c r="F4" s="622"/>
      <c r="G4" s="303"/>
      <c r="H4" s="303"/>
      <c r="I4" s="303"/>
      <c r="J4" s="303"/>
      <c r="K4" s="303"/>
      <c r="L4" s="303"/>
      <c r="M4" s="303"/>
      <c r="N4" s="303"/>
      <c r="O4" s="304"/>
      <c r="S4" s="304"/>
      <c r="T4" s="304"/>
      <c r="U4" s="304"/>
    </row>
    <row r="5" ht="23.25" customHeight="1">
      <c r="A5" s="618" t="s">
        <v>1278</v>
      </c>
      <c r="B5" s="619"/>
      <c r="C5" s="620"/>
      <c r="D5" s="620"/>
      <c r="E5" s="621"/>
      <c r="F5" s="622"/>
      <c r="G5" s="303"/>
      <c r="H5" s="303"/>
      <c r="I5" s="303"/>
      <c r="J5" s="303"/>
      <c r="K5" s="303"/>
      <c r="L5" s="303"/>
      <c r="M5" s="303"/>
      <c r="N5" s="303"/>
      <c r="O5" s="304"/>
      <c r="P5" s="304"/>
      <c r="Q5" s="304"/>
      <c r="R5" s="304"/>
      <c r="S5" s="304"/>
      <c r="T5" s="304"/>
      <c r="U5" s="304"/>
    </row>
    <row r="6" ht="16.5" customHeight="1">
      <c r="A6" s="305"/>
      <c r="B6" s="623"/>
      <c r="C6" s="624"/>
      <c r="D6" s="624"/>
      <c r="E6" s="625"/>
      <c r="F6" s="615"/>
      <c r="G6" s="305"/>
      <c r="H6" s="305"/>
      <c r="I6" s="305"/>
      <c r="J6" s="305"/>
      <c r="K6" s="305"/>
      <c r="L6" s="305"/>
      <c r="M6" s="305"/>
      <c r="N6" s="305"/>
      <c r="O6" s="307"/>
      <c r="P6" s="307"/>
      <c r="Q6" s="307"/>
      <c r="R6" s="307"/>
      <c r="S6" s="307"/>
      <c r="T6" s="307"/>
      <c r="U6" s="307"/>
    </row>
    <row r="7" ht="23.25" customHeight="1">
      <c r="A7" s="373" t="s">
        <v>5</v>
      </c>
      <c r="B7" s="373" t="s">
        <v>6</v>
      </c>
      <c r="C7" s="626" t="s">
        <v>7</v>
      </c>
      <c r="D7" s="14"/>
      <c r="E7" s="627" t="s">
        <v>1279</v>
      </c>
      <c r="F7" s="17"/>
      <c r="G7" s="17"/>
      <c r="H7" s="17"/>
      <c r="I7" s="17"/>
      <c r="J7" s="18"/>
      <c r="K7" s="628" t="s">
        <v>614</v>
      </c>
      <c r="L7" s="372"/>
      <c r="M7" s="311" t="s">
        <v>8</v>
      </c>
      <c r="N7" s="14"/>
      <c r="O7" s="312" t="s">
        <v>9</v>
      </c>
      <c r="P7" s="17"/>
      <c r="Q7" s="17"/>
      <c r="R7" s="17"/>
      <c r="S7" s="17"/>
      <c r="T7" s="18"/>
      <c r="U7" s="313" t="s">
        <v>1280</v>
      </c>
    </row>
    <row r="8" ht="1.5" customHeight="1">
      <c r="A8" s="19"/>
      <c r="B8" s="19"/>
      <c r="C8" s="20"/>
      <c r="D8" s="21"/>
      <c r="E8" s="627" t="s">
        <v>11</v>
      </c>
      <c r="F8" s="18"/>
      <c r="G8" s="627" t="s">
        <v>12</v>
      </c>
      <c r="H8" s="18"/>
      <c r="I8" s="627" t="s">
        <v>13</v>
      </c>
      <c r="J8" s="18"/>
      <c r="K8" s="629"/>
      <c r="L8" s="374"/>
      <c r="M8" s="20"/>
      <c r="N8" s="21"/>
      <c r="O8" s="312" t="s">
        <v>11</v>
      </c>
      <c r="P8" s="18"/>
      <c r="Q8" s="312" t="s">
        <v>12</v>
      </c>
      <c r="R8" s="18"/>
      <c r="S8" s="312" t="s">
        <v>13</v>
      </c>
      <c r="T8" s="18"/>
      <c r="U8" s="19"/>
    </row>
    <row r="9" ht="21.0" customHeight="1">
      <c r="A9" s="19"/>
      <c r="B9" s="19"/>
      <c r="C9" s="630" t="s">
        <v>16</v>
      </c>
      <c r="D9" s="21"/>
      <c r="E9" s="631" t="s">
        <v>17</v>
      </c>
      <c r="F9" s="632" t="s">
        <v>618</v>
      </c>
      <c r="G9" s="631" t="s">
        <v>17</v>
      </c>
      <c r="H9" s="633" t="s">
        <v>618</v>
      </c>
      <c r="I9" s="631" t="s">
        <v>17</v>
      </c>
      <c r="J9" s="632" t="s">
        <v>618</v>
      </c>
      <c r="K9" s="634"/>
      <c r="L9" s="379"/>
      <c r="M9" s="311" t="s">
        <v>16</v>
      </c>
      <c r="N9" s="14"/>
      <c r="O9" s="315" t="s">
        <v>17</v>
      </c>
      <c r="P9" s="316" t="s">
        <v>18</v>
      </c>
      <c r="Q9" s="315" t="s">
        <v>17</v>
      </c>
      <c r="R9" s="316" t="s">
        <v>18</v>
      </c>
      <c r="S9" s="315" t="s">
        <v>17</v>
      </c>
      <c r="T9" s="316" t="s">
        <v>18</v>
      </c>
      <c r="U9" s="19"/>
    </row>
    <row r="10" ht="63.0" customHeight="1">
      <c r="A10" s="26"/>
      <c r="B10" s="26"/>
      <c r="C10" s="635" t="s">
        <v>571</v>
      </c>
      <c r="D10" s="635" t="s">
        <v>572</v>
      </c>
      <c r="E10" s="26"/>
      <c r="F10" s="26"/>
      <c r="G10" s="26"/>
      <c r="H10" s="26"/>
      <c r="I10" s="26"/>
      <c r="J10" s="26"/>
      <c r="K10" s="381" t="s">
        <v>17</v>
      </c>
      <c r="L10" s="382" t="s">
        <v>618</v>
      </c>
      <c r="M10" s="318" t="s">
        <v>17</v>
      </c>
      <c r="N10" s="319" t="s">
        <v>18</v>
      </c>
      <c r="O10" s="26"/>
      <c r="P10" s="26"/>
      <c r="Q10" s="26"/>
      <c r="R10" s="26"/>
      <c r="S10" s="26"/>
      <c r="T10" s="26"/>
      <c r="U10" s="26"/>
    </row>
    <row r="11" ht="25.5" customHeight="1">
      <c r="A11" s="636" t="s">
        <v>1281</v>
      </c>
      <c r="B11" s="18"/>
      <c r="C11" s="637"/>
      <c r="D11" s="637"/>
      <c r="E11" s="638"/>
      <c r="F11" s="637"/>
      <c r="G11" s="639"/>
      <c r="H11" s="640"/>
      <c r="I11" s="637"/>
      <c r="J11" s="637"/>
      <c r="K11" s="637"/>
      <c r="L11" s="637"/>
      <c r="M11" s="637"/>
      <c r="N11" s="637"/>
      <c r="O11" s="304"/>
      <c r="P11" s="304"/>
      <c r="Q11" s="304"/>
      <c r="R11" s="304"/>
      <c r="S11" s="304"/>
      <c r="T11" s="304"/>
      <c r="U11" s="304"/>
    </row>
    <row r="12" ht="42.75" customHeight="1">
      <c r="A12" s="583" t="s">
        <v>1282</v>
      </c>
      <c r="B12" s="586"/>
      <c r="C12" s="641"/>
      <c r="D12" s="641"/>
      <c r="E12" s="638"/>
      <c r="F12" s="642"/>
      <c r="G12" s="637"/>
      <c r="H12" s="639"/>
      <c r="I12" s="637"/>
      <c r="J12" s="639"/>
      <c r="K12" s="637"/>
      <c r="L12" s="639"/>
      <c r="M12" s="639"/>
      <c r="N12" s="639"/>
      <c r="O12" s="344"/>
      <c r="P12" s="344"/>
      <c r="Q12" s="344"/>
      <c r="R12" s="344"/>
      <c r="S12" s="344"/>
      <c r="T12" s="344"/>
      <c r="U12" s="344"/>
    </row>
    <row r="13" ht="27.0" customHeight="1">
      <c r="A13" s="586" t="s">
        <v>1283</v>
      </c>
      <c r="B13" s="586" t="s">
        <v>1284</v>
      </c>
      <c r="C13" s="643"/>
      <c r="D13" s="643"/>
      <c r="E13" s="644">
        <v>27.0</v>
      </c>
      <c r="F13" s="487">
        <v>170.0</v>
      </c>
      <c r="G13" s="637"/>
      <c r="H13" s="639"/>
      <c r="I13" s="638">
        <f t="shared" ref="I13:J13" si="1">E13+G13</f>
        <v>27</v>
      </c>
      <c r="J13" s="642">
        <f t="shared" si="1"/>
        <v>170</v>
      </c>
      <c r="K13" s="644">
        <v>27.0</v>
      </c>
      <c r="L13" s="487">
        <v>170.0</v>
      </c>
      <c r="M13" s="644">
        <v>27.0</v>
      </c>
      <c r="N13" s="487">
        <v>170.0</v>
      </c>
      <c r="O13" s="344"/>
      <c r="P13" s="344"/>
      <c r="Q13" s="344"/>
      <c r="R13" s="344"/>
      <c r="S13" s="344"/>
      <c r="T13" s="344"/>
      <c r="U13" s="344"/>
    </row>
    <row r="14" ht="24.0" customHeight="1">
      <c r="A14" s="586" t="s">
        <v>1285</v>
      </c>
      <c r="B14" s="586" t="s">
        <v>1284</v>
      </c>
      <c r="C14" s="643"/>
      <c r="D14" s="643"/>
      <c r="E14" s="644">
        <v>9.0</v>
      </c>
      <c r="F14" s="487">
        <v>81.0</v>
      </c>
      <c r="G14" s="637"/>
      <c r="H14" s="639"/>
      <c r="I14" s="638">
        <f t="shared" ref="I14:J14" si="2">E14+G14</f>
        <v>9</v>
      </c>
      <c r="J14" s="642">
        <f t="shared" si="2"/>
        <v>81</v>
      </c>
      <c r="K14" s="644">
        <v>9.0</v>
      </c>
      <c r="L14" s="487">
        <v>81.0</v>
      </c>
      <c r="M14" s="644">
        <v>9.0</v>
      </c>
      <c r="N14" s="487">
        <v>81.0</v>
      </c>
      <c r="O14" s="344"/>
      <c r="P14" s="344"/>
      <c r="Q14" s="344"/>
      <c r="R14" s="344"/>
      <c r="S14" s="344"/>
      <c r="T14" s="344"/>
      <c r="U14" s="344"/>
    </row>
    <row r="15" ht="31.5" customHeight="1">
      <c r="A15" s="586" t="s">
        <v>1286</v>
      </c>
      <c r="B15" s="586" t="s">
        <v>1284</v>
      </c>
      <c r="C15" s="643"/>
      <c r="D15" s="643"/>
      <c r="E15" s="644">
        <v>5.0</v>
      </c>
      <c r="F15" s="487">
        <v>90.0</v>
      </c>
      <c r="G15" s="637"/>
      <c r="H15" s="639"/>
      <c r="I15" s="638">
        <f t="shared" ref="I15:J15" si="3">E15+G15</f>
        <v>5</v>
      </c>
      <c r="J15" s="642">
        <f t="shared" si="3"/>
        <v>90</v>
      </c>
      <c r="K15" s="644">
        <v>5.0</v>
      </c>
      <c r="L15" s="487">
        <v>90.0</v>
      </c>
      <c r="M15" s="644">
        <v>5.0</v>
      </c>
      <c r="N15" s="487">
        <v>90.0</v>
      </c>
      <c r="O15" s="344"/>
      <c r="P15" s="344"/>
      <c r="Q15" s="344"/>
      <c r="R15" s="344"/>
      <c r="S15" s="344"/>
      <c r="T15" s="344"/>
      <c r="U15" s="344"/>
    </row>
    <row r="16" ht="27.0" customHeight="1">
      <c r="A16" s="586" t="s">
        <v>1287</v>
      </c>
      <c r="B16" s="640" t="s">
        <v>1288</v>
      </c>
      <c r="C16" s="640"/>
      <c r="D16" s="640"/>
      <c r="E16" s="644"/>
      <c r="F16" s="487">
        <v>0.0</v>
      </c>
      <c r="G16" s="639"/>
      <c r="H16" s="640"/>
      <c r="I16" s="638">
        <f t="shared" ref="I16:J16" si="4">E16+G16</f>
        <v>0</v>
      </c>
      <c r="J16" s="642">
        <f t="shared" si="4"/>
        <v>0</v>
      </c>
      <c r="K16" s="644"/>
      <c r="L16" s="487">
        <v>0.0</v>
      </c>
      <c r="M16" s="644"/>
      <c r="N16" s="487">
        <v>0.0</v>
      </c>
      <c r="O16" s="344"/>
      <c r="P16" s="344"/>
      <c r="Q16" s="344"/>
      <c r="R16" s="344"/>
      <c r="S16" s="344"/>
      <c r="T16" s="344"/>
      <c r="U16" s="344"/>
    </row>
    <row r="17" ht="25.5" customHeight="1">
      <c r="A17" s="586" t="s">
        <v>1289</v>
      </c>
      <c r="B17" s="640" t="s">
        <v>1290</v>
      </c>
      <c r="C17" s="640"/>
      <c r="D17" s="640"/>
      <c r="E17" s="644">
        <v>27.0</v>
      </c>
      <c r="F17" s="487">
        <v>39.0</v>
      </c>
      <c r="G17" s="637"/>
      <c r="H17" s="637"/>
      <c r="I17" s="638">
        <f t="shared" ref="I17:J17" si="5">E17+G17</f>
        <v>27</v>
      </c>
      <c r="J17" s="642">
        <f t="shared" si="5"/>
        <v>39</v>
      </c>
      <c r="K17" s="644">
        <v>27.0</v>
      </c>
      <c r="L17" s="487">
        <v>39.0</v>
      </c>
      <c r="M17" s="644">
        <v>27.0</v>
      </c>
      <c r="N17" s="487">
        <v>39.0</v>
      </c>
      <c r="O17" s="344"/>
      <c r="P17" s="344"/>
      <c r="Q17" s="344"/>
      <c r="R17" s="344"/>
      <c r="S17" s="344"/>
      <c r="T17" s="344"/>
      <c r="U17" s="344"/>
    </row>
    <row r="18" ht="42.0" customHeight="1">
      <c r="A18" s="586" t="s">
        <v>1291</v>
      </c>
      <c r="B18" s="640" t="s">
        <v>1292</v>
      </c>
      <c r="C18" s="640"/>
      <c r="D18" s="640"/>
      <c r="E18" s="644"/>
      <c r="F18" s="487"/>
      <c r="G18" s="639"/>
      <c r="H18" s="640"/>
      <c r="I18" s="638"/>
      <c r="J18" s="642"/>
      <c r="K18" s="644"/>
      <c r="L18" s="487"/>
      <c r="M18" s="644"/>
      <c r="N18" s="487"/>
      <c r="O18" s="344"/>
      <c r="P18" s="344"/>
      <c r="Q18" s="344"/>
      <c r="R18" s="344"/>
      <c r="S18" s="344"/>
      <c r="T18" s="344"/>
      <c r="U18" s="344"/>
    </row>
    <row r="19" ht="14.25" customHeight="1">
      <c r="A19" s="586"/>
      <c r="B19" s="640"/>
      <c r="C19" s="640"/>
      <c r="D19" s="640"/>
      <c r="E19" s="644"/>
      <c r="F19" s="487"/>
      <c r="G19" s="639"/>
      <c r="H19" s="640"/>
      <c r="I19" s="638"/>
      <c r="J19" s="642"/>
      <c r="K19" s="644"/>
      <c r="L19" s="487"/>
      <c r="M19" s="644"/>
      <c r="N19" s="487"/>
      <c r="O19" s="344"/>
      <c r="P19" s="344"/>
      <c r="Q19" s="344"/>
      <c r="R19" s="344"/>
      <c r="S19" s="344"/>
      <c r="T19" s="344"/>
      <c r="U19" s="344"/>
    </row>
    <row r="20" ht="28.5" customHeight="1">
      <c r="A20" s="583" t="s">
        <v>1293</v>
      </c>
      <c r="B20" s="640"/>
      <c r="C20" s="640"/>
      <c r="D20" s="640"/>
      <c r="E20" s="644"/>
      <c r="F20" s="487"/>
      <c r="G20" s="639"/>
      <c r="H20" s="640"/>
      <c r="I20" s="638"/>
      <c r="J20" s="642"/>
      <c r="K20" s="644"/>
      <c r="L20" s="487"/>
      <c r="M20" s="644"/>
      <c r="N20" s="487"/>
      <c r="O20" s="402"/>
      <c r="P20" s="402"/>
      <c r="Q20" s="402"/>
      <c r="R20" s="402"/>
      <c r="S20" s="402"/>
      <c r="T20" s="402"/>
      <c r="U20" s="402"/>
    </row>
    <row r="21" ht="25.5" customHeight="1">
      <c r="A21" s="586" t="s">
        <v>1294</v>
      </c>
      <c r="B21" s="586" t="s">
        <v>1295</v>
      </c>
      <c r="C21" s="640"/>
      <c r="D21" s="640"/>
      <c r="E21" s="644">
        <v>170.0</v>
      </c>
      <c r="F21" s="487">
        <v>118.0</v>
      </c>
      <c r="G21" s="645"/>
      <c r="H21" s="645"/>
      <c r="I21" s="638">
        <f t="shared" ref="I21:J21" si="6">E21+G21</f>
        <v>170</v>
      </c>
      <c r="J21" s="642">
        <f t="shared" si="6"/>
        <v>118</v>
      </c>
      <c r="K21" s="644">
        <v>170.0</v>
      </c>
      <c r="L21" s="487">
        <v>118.0</v>
      </c>
      <c r="M21" s="644">
        <v>170.0</v>
      </c>
      <c r="N21" s="487">
        <v>118.0</v>
      </c>
      <c r="O21" s="344"/>
      <c r="P21" s="344"/>
      <c r="Q21" s="344"/>
      <c r="R21" s="344"/>
      <c r="S21" s="344"/>
      <c r="T21" s="344"/>
      <c r="U21" s="344"/>
    </row>
    <row r="22" ht="24.0" customHeight="1">
      <c r="A22" s="586" t="s">
        <v>1296</v>
      </c>
      <c r="B22" s="586" t="s">
        <v>1295</v>
      </c>
      <c r="C22" s="640"/>
      <c r="D22" s="640"/>
      <c r="E22" s="644">
        <v>25.0</v>
      </c>
      <c r="F22" s="487">
        <v>109.0</v>
      </c>
      <c r="G22" s="645"/>
      <c r="H22" s="645"/>
      <c r="I22" s="638">
        <f t="shared" ref="I22:J22" si="7">E22+G22</f>
        <v>25</v>
      </c>
      <c r="J22" s="642">
        <f t="shared" si="7"/>
        <v>109</v>
      </c>
      <c r="K22" s="644">
        <v>25.0</v>
      </c>
      <c r="L22" s="487">
        <v>109.0</v>
      </c>
      <c r="M22" s="644">
        <v>25.0</v>
      </c>
      <c r="N22" s="487">
        <v>109.0</v>
      </c>
      <c r="O22" s="344"/>
      <c r="P22" s="344"/>
      <c r="Q22" s="344"/>
      <c r="R22" s="344"/>
      <c r="S22" s="344"/>
      <c r="T22" s="344"/>
      <c r="U22" s="344"/>
    </row>
    <row r="23" ht="33.0" customHeight="1">
      <c r="A23" s="586" t="s">
        <v>1297</v>
      </c>
      <c r="B23" s="586" t="s">
        <v>1295</v>
      </c>
      <c r="C23" s="640"/>
      <c r="D23" s="640"/>
      <c r="E23" s="644">
        <v>25.0</v>
      </c>
      <c r="F23" s="487">
        <v>109.0</v>
      </c>
      <c r="G23" s="645"/>
      <c r="H23" s="645"/>
      <c r="I23" s="638">
        <f t="shared" ref="I23:J23" si="8">E23+G23</f>
        <v>25</v>
      </c>
      <c r="J23" s="642">
        <f t="shared" si="8"/>
        <v>109</v>
      </c>
      <c r="K23" s="644">
        <v>25.0</v>
      </c>
      <c r="L23" s="487">
        <v>109.0</v>
      </c>
      <c r="M23" s="644">
        <v>25.0</v>
      </c>
      <c r="N23" s="487">
        <v>109.0</v>
      </c>
      <c r="O23" s="344"/>
      <c r="P23" s="344"/>
      <c r="Q23" s="344"/>
      <c r="R23" s="344"/>
      <c r="S23" s="344"/>
      <c r="T23" s="344"/>
      <c r="U23" s="344"/>
    </row>
    <row r="24" ht="42.0" customHeight="1">
      <c r="A24" s="586" t="s">
        <v>1298</v>
      </c>
      <c r="B24" s="586" t="s">
        <v>1299</v>
      </c>
      <c r="C24" s="640"/>
      <c r="D24" s="640"/>
      <c r="E24" s="644">
        <v>170.0</v>
      </c>
      <c r="F24" s="487">
        <v>56.0</v>
      </c>
      <c r="G24" s="645"/>
      <c r="H24" s="645"/>
      <c r="I24" s="638">
        <f t="shared" ref="I24:J24" si="9">E24+G24</f>
        <v>170</v>
      </c>
      <c r="J24" s="642">
        <f t="shared" si="9"/>
        <v>56</v>
      </c>
      <c r="K24" s="644">
        <v>170.0</v>
      </c>
      <c r="L24" s="487">
        <v>56.0</v>
      </c>
      <c r="M24" s="644">
        <v>170.0</v>
      </c>
      <c r="N24" s="487">
        <v>56.0</v>
      </c>
      <c r="O24" s="344"/>
      <c r="P24" s="344"/>
      <c r="Q24" s="344"/>
      <c r="R24" s="344"/>
      <c r="S24" s="344"/>
      <c r="T24" s="344"/>
      <c r="U24" s="344"/>
    </row>
    <row r="25" ht="33.0" customHeight="1">
      <c r="A25" s="586" t="s">
        <v>1300</v>
      </c>
      <c r="B25" s="586" t="s">
        <v>1301</v>
      </c>
      <c r="C25" s="640"/>
      <c r="D25" s="640"/>
      <c r="E25" s="644">
        <v>1.0</v>
      </c>
      <c r="F25" s="487">
        <v>250.0</v>
      </c>
      <c r="G25" s="645"/>
      <c r="H25" s="645"/>
      <c r="I25" s="638">
        <f t="shared" ref="I25:J25" si="10">E25+G25</f>
        <v>1</v>
      </c>
      <c r="J25" s="642">
        <f t="shared" si="10"/>
        <v>250</v>
      </c>
      <c r="K25" s="644">
        <v>1.0</v>
      </c>
      <c r="L25" s="487">
        <v>250.0</v>
      </c>
      <c r="M25" s="644">
        <v>1.0</v>
      </c>
      <c r="N25" s="487">
        <v>250.0</v>
      </c>
      <c r="O25" s="344"/>
      <c r="P25" s="344"/>
      <c r="Q25" s="344"/>
      <c r="R25" s="344"/>
      <c r="S25" s="344"/>
      <c r="T25" s="344"/>
      <c r="U25" s="344"/>
    </row>
    <row r="26" ht="20.25" customHeight="1">
      <c r="A26" s="646" t="s">
        <v>71</v>
      </c>
      <c r="B26" s="586"/>
      <c r="C26" s="647"/>
      <c r="D26" s="647"/>
      <c r="E26" s="648"/>
      <c r="F26" s="511">
        <f>SUM(F13:F25)</f>
        <v>1022</v>
      </c>
      <c r="G26" s="649"/>
      <c r="H26" s="650"/>
      <c r="I26" s="649"/>
      <c r="J26" s="511">
        <f>SUM(J13:J25)</f>
        <v>1022</v>
      </c>
      <c r="K26" s="648"/>
      <c r="L26" s="511">
        <f>SUM(L13:L25)</f>
        <v>1022</v>
      </c>
      <c r="M26" s="648"/>
      <c r="N26" s="511">
        <f>SUM(N13:N25)</f>
        <v>1022</v>
      </c>
      <c r="O26" s="344"/>
      <c r="P26" s="344"/>
      <c r="Q26" s="344"/>
      <c r="R26" s="344"/>
      <c r="S26" s="344"/>
      <c r="T26" s="344"/>
      <c r="U26" s="344"/>
    </row>
    <row r="27" ht="22.5" customHeight="1">
      <c r="A27" s="350"/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</row>
    <row r="28" ht="22.5" customHeight="1">
      <c r="A28" s="67" t="s">
        <v>72</v>
      </c>
      <c r="B28" s="304"/>
      <c r="C28" s="67" t="s">
        <v>72</v>
      </c>
      <c r="D28" s="304"/>
      <c r="E28" s="296"/>
      <c r="F28" s="298"/>
      <c r="G28" s="438" t="s">
        <v>159</v>
      </c>
      <c r="H28" s="298"/>
      <c r="I28" s="298"/>
      <c r="J28" s="298"/>
      <c r="K28" s="298"/>
      <c r="L28" s="298"/>
      <c r="M28" s="298"/>
      <c r="N28" s="249" t="s">
        <v>74</v>
      </c>
      <c r="O28" s="298"/>
      <c r="P28" s="298"/>
      <c r="Q28" s="298"/>
      <c r="R28" s="298"/>
      <c r="S28" s="298"/>
      <c r="T28" s="249"/>
      <c r="U28" s="298"/>
    </row>
    <row r="29" ht="15.75" customHeight="1">
      <c r="A29" s="250"/>
      <c r="B29" s="304"/>
      <c r="C29" s="250"/>
      <c r="D29" s="304"/>
      <c r="E29" s="296"/>
      <c r="F29" s="298"/>
      <c r="G29" s="296"/>
      <c r="H29" s="298"/>
      <c r="I29" s="298"/>
      <c r="J29" s="298"/>
      <c r="K29" s="298"/>
      <c r="L29" s="298"/>
      <c r="M29" s="298"/>
      <c r="N29" s="251"/>
      <c r="O29" s="298"/>
      <c r="P29" s="298"/>
      <c r="Q29" s="298"/>
      <c r="R29" s="298"/>
      <c r="S29" s="298"/>
      <c r="T29" s="251"/>
      <c r="U29" s="298"/>
    </row>
    <row r="30" ht="12.75" customHeight="1">
      <c r="A30" s="250"/>
      <c r="B30" s="347"/>
      <c r="C30" s="250"/>
      <c r="D30" s="347"/>
      <c r="E30" s="296"/>
      <c r="F30" s="298"/>
      <c r="G30" s="296"/>
      <c r="H30" s="298"/>
      <c r="I30" s="298"/>
      <c r="J30" s="298"/>
      <c r="K30" s="298"/>
      <c r="L30" s="298"/>
      <c r="M30" s="298"/>
      <c r="N30" s="251"/>
      <c r="O30" s="298"/>
      <c r="P30" s="298"/>
      <c r="Q30" s="298"/>
      <c r="R30" s="298"/>
      <c r="S30" s="298"/>
      <c r="T30" s="251"/>
      <c r="U30" s="298"/>
    </row>
    <row r="31" ht="23.25" customHeight="1">
      <c r="A31" s="296"/>
      <c r="B31" s="347"/>
      <c r="C31" s="296"/>
      <c r="D31" s="347"/>
      <c r="E31" s="296"/>
      <c r="F31" s="298"/>
      <c r="G31" s="296"/>
      <c r="H31" s="304"/>
      <c r="I31" s="304"/>
      <c r="J31" s="304"/>
      <c r="K31" s="298"/>
      <c r="L31" s="304"/>
      <c r="M31" s="304"/>
      <c r="N31" s="251"/>
      <c r="O31" s="304"/>
      <c r="P31" s="304"/>
      <c r="Q31" s="298"/>
      <c r="R31" s="304"/>
      <c r="S31" s="304"/>
      <c r="T31" s="251"/>
      <c r="U31" s="304"/>
    </row>
    <row r="32" ht="15.75" customHeight="1">
      <c r="A32" s="250"/>
      <c r="B32" s="347"/>
      <c r="C32" s="250"/>
      <c r="D32" s="347"/>
      <c r="E32" s="296"/>
      <c r="F32" s="298"/>
      <c r="G32" s="296"/>
      <c r="H32" s="304"/>
      <c r="I32" s="304"/>
      <c r="J32" s="304"/>
      <c r="K32" s="298"/>
      <c r="L32" s="304"/>
      <c r="M32" s="304"/>
      <c r="N32" s="251"/>
      <c r="O32" s="304"/>
      <c r="P32" s="304"/>
      <c r="Q32" s="298"/>
      <c r="R32" s="304"/>
      <c r="S32" s="304"/>
      <c r="T32" s="251"/>
      <c r="U32" s="304"/>
    </row>
    <row r="33" ht="21.75" customHeight="1">
      <c r="A33" s="76" t="s">
        <v>75</v>
      </c>
      <c r="B33" s="304"/>
      <c r="C33" s="76" t="s">
        <v>75</v>
      </c>
      <c r="D33" s="304"/>
      <c r="E33" s="296"/>
      <c r="F33" s="298"/>
      <c r="G33" s="439" t="s">
        <v>76</v>
      </c>
      <c r="H33" s="304"/>
      <c r="I33" s="304"/>
      <c r="J33" s="304"/>
      <c r="K33" s="298"/>
      <c r="L33" s="304"/>
      <c r="M33" s="304"/>
      <c r="N33" s="78" t="s">
        <v>77</v>
      </c>
      <c r="O33" s="304"/>
      <c r="P33" s="304"/>
      <c r="Q33" s="298"/>
      <c r="R33" s="304"/>
      <c r="S33" s="304"/>
      <c r="T33" s="78"/>
      <c r="U33" s="304"/>
    </row>
    <row r="34" ht="18.0" customHeight="1">
      <c r="A34" s="247" t="s">
        <v>78</v>
      </c>
      <c r="B34" s="304"/>
      <c r="C34" s="247" t="s">
        <v>78</v>
      </c>
      <c r="D34" s="304"/>
      <c r="E34" s="296"/>
      <c r="F34" s="296"/>
      <c r="G34" s="438" t="s">
        <v>79</v>
      </c>
      <c r="H34" s="304"/>
      <c r="I34" s="304"/>
      <c r="J34" s="304"/>
      <c r="K34" s="298"/>
      <c r="L34" s="304"/>
      <c r="M34" s="304"/>
      <c r="N34" s="254" t="s">
        <v>80</v>
      </c>
      <c r="O34" s="304"/>
      <c r="P34" s="304"/>
      <c r="Q34" s="298"/>
      <c r="R34" s="304"/>
      <c r="S34" s="304"/>
      <c r="T34" s="254"/>
      <c r="U34" s="304"/>
    </row>
    <row r="35" ht="14.25" customHeight="1">
      <c r="A35" s="79"/>
      <c r="B35" s="80"/>
      <c r="C35" s="79"/>
      <c r="D35" s="80"/>
      <c r="E35" s="349"/>
      <c r="F35" s="349"/>
      <c r="G35" s="304"/>
      <c r="H35" s="304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</row>
    <row r="36" ht="16.5" customHeight="1">
      <c r="A36" s="305"/>
      <c r="B36" s="453"/>
      <c r="C36" s="455"/>
      <c r="D36" s="455"/>
      <c r="E36" s="625"/>
      <c r="F36" s="615"/>
      <c r="G36" s="305"/>
      <c r="H36" s="305"/>
      <c r="I36" s="305"/>
      <c r="J36" s="305"/>
      <c r="K36" s="305"/>
      <c r="L36" s="305"/>
      <c r="M36" s="305"/>
      <c r="N36" s="305"/>
      <c r="O36" s="307"/>
      <c r="P36" s="307"/>
      <c r="Q36" s="307"/>
      <c r="R36" s="307"/>
      <c r="S36" s="307"/>
      <c r="T36" s="307"/>
      <c r="U36" s="307"/>
    </row>
    <row r="37" ht="16.5" customHeight="1">
      <c r="A37" s="305"/>
      <c r="B37" s="453"/>
      <c r="C37" s="455"/>
      <c r="D37" s="455"/>
      <c r="E37" s="625"/>
      <c r="F37" s="615"/>
      <c r="G37" s="305"/>
      <c r="H37" s="305"/>
      <c r="I37" s="305"/>
      <c r="J37" s="305"/>
      <c r="K37" s="305"/>
      <c r="L37" s="305"/>
      <c r="M37" s="305"/>
      <c r="N37" s="305"/>
      <c r="O37" s="307"/>
      <c r="P37" s="307"/>
      <c r="Q37" s="307"/>
      <c r="R37" s="307"/>
      <c r="S37" s="307"/>
      <c r="T37" s="307"/>
      <c r="U37" s="307"/>
    </row>
    <row r="38" ht="16.5" customHeight="1">
      <c r="A38" s="305"/>
      <c r="B38" s="453"/>
      <c r="C38" s="455"/>
      <c r="D38" s="455"/>
      <c r="E38" s="625"/>
      <c r="F38" s="615"/>
      <c r="G38" s="305"/>
      <c r="H38" s="305"/>
      <c r="I38" s="305"/>
      <c r="J38" s="305"/>
      <c r="K38" s="305"/>
      <c r="L38" s="305"/>
      <c r="M38" s="305"/>
      <c r="N38" s="305"/>
      <c r="O38" s="307"/>
      <c r="P38" s="307"/>
      <c r="Q38" s="307"/>
      <c r="R38" s="307"/>
      <c r="S38" s="307"/>
      <c r="T38" s="307"/>
      <c r="U38" s="307"/>
    </row>
    <row r="39" ht="16.5" customHeight="1">
      <c r="A39" s="305"/>
      <c r="B39" s="453"/>
      <c r="C39" s="455"/>
      <c r="D39" s="455"/>
      <c r="E39" s="625"/>
      <c r="F39" s="615"/>
      <c r="G39" s="305"/>
      <c r="H39" s="305"/>
      <c r="I39" s="305"/>
      <c r="J39" s="305"/>
      <c r="K39" s="305"/>
      <c r="L39" s="305"/>
      <c r="M39" s="305"/>
      <c r="N39" s="305"/>
      <c r="O39" s="307"/>
      <c r="P39" s="307"/>
      <c r="Q39" s="307"/>
      <c r="R39" s="307"/>
      <c r="S39" s="307"/>
      <c r="T39" s="307"/>
      <c r="U39" s="307"/>
    </row>
    <row r="40" ht="16.5" customHeight="1">
      <c r="A40" s="305"/>
      <c r="B40" s="453"/>
      <c r="C40" s="455"/>
      <c r="D40" s="455"/>
      <c r="E40" s="625"/>
      <c r="F40" s="615"/>
      <c r="G40" s="305"/>
      <c r="H40" s="305"/>
      <c r="I40" s="305"/>
      <c r="J40" s="305"/>
      <c r="K40" s="305"/>
      <c r="L40" s="305"/>
      <c r="M40" s="305"/>
      <c r="N40" s="305"/>
      <c r="O40" s="307"/>
      <c r="P40" s="307"/>
      <c r="Q40" s="307"/>
      <c r="R40" s="307"/>
      <c r="S40" s="307"/>
      <c r="T40" s="307"/>
      <c r="U40" s="307"/>
    </row>
    <row r="41" ht="16.5" customHeight="1">
      <c r="A41" s="305"/>
      <c r="B41" s="453"/>
      <c r="D41" s="455"/>
      <c r="E41" s="625"/>
      <c r="F41" s="615"/>
      <c r="G41" s="305"/>
      <c r="H41" s="305"/>
      <c r="I41" s="305"/>
      <c r="J41" s="305"/>
      <c r="K41" s="305"/>
      <c r="L41" s="305"/>
      <c r="M41" s="305"/>
      <c r="N41" s="305"/>
      <c r="O41" s="307"/>
      <c r="P41" s="307"/>
      <c r="Q41" s="307"/>
      <c r="R41" s="307"/>
      <c r="S41" s="307"/>
      <c r="T41" s="307"/>
      <c r="U41" s="307"/>
    </row>
    <row r="42" ht="16.5" customHeight="1">
      <c r="B42" s="453"/>
      <c r="D42" s="455"/>
      <c r="E42" s="625"/>
      <c r="F42" s="615"/>
      <c r="G42" s="305"/>
      <c r="H42" s="305"/>
      <c r="I42" s="305"/>
      <c r="J42" s="305"/>
      <c r="K42" s="305"/>
      <c r="L42" s="305"/>
      <c r="M42" s="305"/>
      <c r="N42" s="305"/>
      <c r="O42" s="307"/>
      <c r="P42" s="307"/>
      <c r="Q42" s="307"/>
      <c r="R42" s="307"/>
      <c r="S42" s="307"/>
      <c r="T42" s="307"/>
      <c r="U42" s="307"/>
    </row>
    <row r="43" ht="16.5" customHeight="1">
      <c r="B43" s="453"/>
      <c r="D43" s="455"/>
      <c r="E43" s="625"/>
      <c r="F43" s="615"/>
      <c r="G43" s="305"/>
      <c r="H43" s="305"/>
      <c r="I43" s="305"/>
      <c r="J43" s="305"/>
      <c r="K43" s="305"/>
      <c r="L43" s="305"/>
      <c r="M43" s="305"/>
      <c r="N43" s="305"/>
      <c r="O43" s="307"/>
      <c r="P43" s="307"/>
      <c r="Q43" s="307"/>
      <c r="R43" s="307"/>
      <c r="S43" s="307"/>
      <c r="T43" s="307"/>
      <c r="U43" s="307"/>
    </row>
    <row r="44" ht="16.5" customHeight="1">
      <c r="B44" s="453"/>
      <c r="D44" s="455"/>
      <c r="E44" s="625"/>
      <c r="F44" s="615"/>
      <c r="G44" s="305"/>
      <c r="H44" s="305"/>
      <c r="I44" s="305"/>
      <c r="J44" s="305"/>
      <c r="K44" s="305"/>
      <c r="L44" s="305"/>
      <c r="M44" s="305"/>
      <c r="N44" s="305"/>
      <c r="O44" s="307"/>
      <c r="P44" s="307"/>
      <c r="Q44" s="307"/>
      <c r="R44" s="307"/>
      <c r="S44" s="307"/>
      <c r="T44" s="307"/>
      <c r="U44" s="307"/>
    </row>
    <row r="45" ht="16.5" customHeight="1">
      <c r="B45" s="453"/>
      <c r="D45" s="455"/>
      <c r="E45" s="625"/>
      <c r="F45" s="615"/>
      <c r="G45" s="305"/>
      <c r="H45" s="305"/>
      <c r="I45" s="305"/>
      <c r="J45" s="305"/>
      <c r="K45" s="305"/>
      <c r="L45" s="305"/>
      <c r="M45" s="305"/>
      <c r="N45" s="305"/>
      <c r="O45" s="307"/>
      <c r="P45" s="307"/>
      <c r="Q45" s="307"/>
      <c r="R45" s="307"/>
      <c r="S45" s="307"/>
      <c r="T45" s="307"/>
      <c r="U45" s="307"/>
    </row>
    <row r="46" ht="16.5" customHeight="1">
      <c r="B46" s="453"/>
      <c r="D46" s="455"/>
      <c r="E46" s="625"/>
      <c r="F46" s="615"/>
      <c r="G46" s="305"/>
      <c r="H46" s="305"/>
      <c r="I46" s="305"/>
      <c r="J46" s="305"/>
      <c r="K46" s="305"/>
      <c r="L46" s="305"/>
      <c r="M46" s="305"/>
      <c r="N46" s="305"/>
      <c r="O46" s="307"/>
      <c r="P46" s="307"/>
      <c r="Q46" s="307"/>
      <c r="R46" s="307"/>
      <c r="S46" s="307"/>
      <c r="T46" s="307"/>
      <c r="U46" s="307"/>
    </row>
    <row r="47" ht="16.5" customHeight="1">
      <c r="B47" s="453"/>
      <c r="D47" s="455"/>
      <c r="E47" s="625"/>
      <c r="F47" s="615"/>
      <c r="G47" s="305"/>
      <c r="H47" s="305"/>
      <c r="I47" s="305"/>
      <c r="J47" s="305"/>
      <c r="K47" s="305"/>
      <c r="L47" s="305"/>
      <c r="M47" s="305"/>
      <c r="N47" s="305"/>
      <c r="O47" s="307"/>
      <c r="P47" s="307"/>
      <c r="Q47" s="307"/>
      <c r="R47" s="307"/>
      <c r="S47" s="307"/>
      <c r="T47" s="307"/>
      <c r="U47" s="307"/>
    </row>
    <row r="48" ht="16.5" customHeight="1">
      <c r="B48" s="453"/>
      <c r="C48" s="455"/>
      <c r="D48" s="455"/>
      <c r="E48" s="625"/>
      <c r="F48" s="615"/>
      <c r="G48" s="305"/>
      <c r="H48" s="305"/>
      <c r="I48" s="305"/>
      <c r="J48" s="305"/>
      <c r="K48" s="305"/>
      <c r="L48" s="305"/>
      <c r="M48" s="305"/>
      <c r="N48" s="305"/>
      <c r="O48" s="307"/>
      <c r="P48" s="307"/>
      <c r="Q48" s="307"/>
      <c r="R48" s="307"/>
      <c r="S48" s="307"/>
      <c r="T48" s="307"/>
      <c r="U48" s="307"/>
    </row>
    <row r="49" ht="16.5" customHeight="1">
      <c r="B49" s="453"/>
      <c r="C49" s="455"/>
      <c r="D49" s="455"/>
      <c r="E49" s="625"/>
      <c r="F49" s="615"/>
      <c r="G49" s="305"/>
      <c r="H49" s="305"/>
      <c r="I49" s="305"/>
      <c r="J49" s="305"/>
      <c r="K49" s="305"/>
      <c r="L49" s="305"/>
      <c r="M49" s="305"/>
      <c r="N49" s="305"/>
      <c r="O49" s="307"/>
      <c r="P49" s="307"/>
      <c r="Q49" s="307"/>
      <c r="R49" s="307"/>
      <c r="S49" s="307"/>
      <c r="T49" s="307"/>
      <c r="U49" s="307"/>
    </row>
    <row r="50" ht="16.5" customHeight="1">
      <c r="B50" s="453"/>
      <c r="C50" s="455"/>
      <c r="D50" s="455"/>
      <c r="E50" s="625"/>
      <c r="F50" s="615"/>
      <c r="G50" s="305"/>
      <c r="H50" s="305"/>
      <c r="I50" s="305"/>
      <c r="J50" s="305"/>
      <c r="K50" s="305"/>
      <c r="L50" s="305"/>
      <c r="M50" s="305"/>
      <c r="N50" s="305"/>
      <c r="O50" s="307"/>
      <c r="P50" s="307"/>
      <c r="Q50" s="307"/>
      <c r="R50" s="307"/>
      <c r="S50" s="307"/>
      <c r="T50" s="307"/>
      <c r="U50" s="307"/>
    </row>
    <row r="51" ht="16.5" customHeight="1">
      <c r="A51" s="305"/>
      <c r="B51" s="453"/>
      <c r="C51" s="455"/>
      <c r="D51" s="455"/>
      <c r="E51" s="625"/>
      <c r="F51" s="615"/>
      <c r="G51" s="305"/>
      <c r="H51" s="305"/>
      <c r="I51" s="305"/>
      <c r="J51" s="305"/>
      <c r="K51" s="305"/>
      <c r="L51" s="305"/>
      <c r="M51" s="305"/>
      <c r="N51" s="305"/>
      <c r="O51" s="307"/>
      <c r="P51" s="307"/>
      <c r="Q51" s="307"/>
      <c r="R51" s="307"/>
      <c r="S51" s="307"/>
      <c r="T51" s="307"/>
      <c r="U51" s="307"/>
    </row>
    <row r="52" ht="16.5" customHeight="1">
      <c r="A52" s="305"/>
      <c r="B52" s="453"/>
      <c r="C52" s="455"/>
      <c r="D52" s="455"/>
      <c r="E52" s="625"/>
      <c r="F52" s="615"/>
      <c r="G52" s="305"/>
      <c r="H52" s="305"/>
      <c r="I52" s="305"/>
      <c r="J52" s="305"/>
      <c r="K52" s="305"/>
      <c r="L52" s="305"/>
      <c r="M52" s="305"/>
      <c r="N52" s="305"/>
      <c r="O52" s="307"/>
      <c r="P52" s="307"/>
      <c r="Q52" s="307"/>
      <c r="R52" s="307"/>
      <c r="S52" s="307"/>
      <c r="T52" s="307"/>
      <c r="U52" s="307"/>
    </row>
    <row r="53" ht="16.5" customHeight="1">
      <c r="A53" s="305"/>
      <c r="B53" s="453"/>
      <c r="C53" s="455"/>
      <c r="D53" s="455"/>
      <c r="E53" s="625"/>
      <c r="F53" s="615"/>
      <c r="G53" s="305"/>
      <c r="H53" s="305"/>
      <c r="I53" s="305"/>
      <c r="J53" s="305"/>
      <c r="K53" s="305"/>
      <c r="L53" s="305"/>
      <c r="M53" s="305"/>
      <c r="N53" s="305"/>
      <c r="O53" s="307"/>
      <c r="P53" s="307"/>
      <c r="Q53" s="307"/>
      <c r="R53" s="307"/>
      <c r="S53" s="307"/>
      <c r="T53" s="307"/>
      <c r="U53" s="307"/>
    </row>
    <row r="54" ht="16.5" customHeight="1">
      <c r="A54" s="305"/>
      <c r="B54" s="453"/>
      <c r="C54" s="455"/>
      <c r="D54" s="455"/>
      <c r="E54" s="625"/>
      <c r="F54" s="615"/>
      <c r="G54" s="305"/>
      <c r="H54" s="305"/>
      <c r="I54" s="305"/>
      <c r="J54" s="305"/>
      <c r="K54" s="305"/>
      <c r="L54" s="305"/>
      <c r="M54" s="305"/>
      <c r="N54" s="305"/>
      <c r="O54" s="307"/>
      <c r="P54" s="307"/>
      <c r="Q54" s="307"/>
      <c r="R54" s="307"/>
      <c r="S54" s="307"/>
      <c r="T54" s="307"/>
      <c r="U54" s="307"/>
    </row>
    <row r="55" ht="16.5" customHeight="1">
      <c r="A55" s="305"/>
      <c r="B55" s="453"/>
      <c r="C55" s="455"/>
      <c r="D55" s="455"/>
      <c r="E55" s="625"/>
      <c r="F55" s="615"/>
      <c r="G55" s="305"/>
      <c r="H55" s="305"/>
      <c r="I55" s="305"/>
      <c r="J55" s="305"/>
      <c r="K55" s="305"/>
      <c r="L55" s="305"/>
      <c r="M55" s="305"/>
      <c r="N55" s="305"/>
      <c r="O55" s="307"/>
      <c r="P55" s="307"/>
      <c r="Q55" s="307"/>
      <c r="R55" s="307"/>
      <c r="S55" s="307"/>
      <c r="T55" s="307"/>
      <c r="U55" s="307"/>
    </row>
    <row r="56" ht="16.5" customHeight="1">
      <c r="A56" s="305"/>
      <c r="B56" s="453"/>
      <c r="C56" s="455"/>
      <c r="D56" s="455"/>
      <c r="E56" s="625"/>
      <c r="F56" s="615"/>
      <c r="G56" s="305"/>
      <c r="H56" s="305"/>
      <c r="I56" s="305"/>
      <c r="J56" s="305"/>
      <c r="K56" s="305"/>
      <c r="L56" s="305"/>
      <c r="M56" s="305"/>
      <c r="N56" s="305"/>
      <c r="O56" s="307"/>
      <c r="P56" s="307"/>
      <c r="Q56" s="307"/>
      <c r="R56" s="307"/>
      <c r="S56" s="307"/>
      <c r="T56" s="307"/>
      <c r="U56" s="307"/>
    </row>
    <row r="57" ht="16.5" customHeight="1">
      <c r="A57" s="305"/>
      <c r="B57" s="453"/>
      <c r="C57" s="455"/>
      <c r="D57" s="455"/>
      <c r="E57" s="625"/>
      <c r="F57" s="615"/>
      <c r="G57" s="305"/>
      <c r="H57" s="305"/>
      <c r="I57" s="305"/>
      <c r="J57" s="305"/>
      <c r="K57" s="305"/>
      <c r="L57" s="305"/>
      <c r="M57" s="305"/>
      <c r="N57" s="305"/>
      <c r="O57" s="307"/>
      <c r="P57" s="307"/>
      <c r="Q57" s="307"/>
      <c r="R57" s="307"/>
      <c r="S57" s="307"/>
      <c r="T57" s="307"/>
      <c r="U57" s="307"/>
    </row>
    <row r="58" ht="16.5" customHeight="1">
      <c r="A58" s="305"/>
      <c r="B58" s="453"/>
      <c r="C58" s="455"/>
      <c r="D58" s="455"/>
      <c r="E58" s="625"/>
      <c r="F58" s="615"/>
      <c r="G58" s="305"/>
      <c r="H58" s="305"/>
      <c r="I58" s="305"/>
      <c r="J58" s="305"/>
      <c r="K58" s="305"/>
      <c r="L58" s="305"/>
      <c r="M58" s="305"/>
      <c r="N58" s="305"/>
      <c r="O58" s="307"/>
      <c r="P58" s="307"/>
      <c r="Q58" s="307"/>
      <c r="R58" s="307"/>
      <c r="S58" s="307"/>
      <c r="T58" s="307"/>
      <c r="U58" s="307"/>
    </row>
    <row r="59" ht="16.5" customHeight="1">
      <c r="A59" s="305"/>
      <c r="B59" s="453"/>
      <c r="C59" s="455"/>
      <c r="D59" s="455"/>
      <c r="E59" s="625"/>
      <c r="F59" s="615"/>
      <c r="G59" s="305"/>
      <c r="H59" s="305"/>
      <c r="I59" s="305"/>
      <c r="J59" s="305"/>
      <c r="K59" s="305"/>
      <c r="L59" s="305"/>
      <c r="M59" s="305"/>
      <c r="N59" s="305"/>
      <c r="O59" s="307"/>
      <c r="P59" s="307"/>
      <c r="Q59" s="307"/>
      <c r="R59" s="307"/>
      <c r="S59" s="307"/>
      <c r="T59" s="307"/>
      <c r="U59" s="307"/>
    </row>
    <row r="60" ht="16.5" customHeight="1">
      <c r="A60" s="305"/>
      <c r="B60" s="453"/>
      <c r="C60" s="455"/>
      <c r="D60" s="455"/>
      <c r="E60" s="625"/>
      <c r="F60" s="615"/>
      <c r="G60" s="305"/>
      <c r="H60" s="305"/>
      <c r="I60" s="305"/>
      <c r="J60" s="305"/>
      <c r="K60" s="305"/>
      <c r="L60" s="305"/>
      <c r="M60" s="305"/>
      <c r="N60" s="305"/>
      <c r="O60" s="307"/>
      <c r="P60" s="307"/>
      <c r="Q60" s="307"/>
      <c r="R60" s="307"/>
      <c r="S60" s="307"/>
      <c r="T60" s="307"/>
      <c r="U60" s="307"/>
    </row>
    <row r="61" ht="16.5" customHeight="1">
      <c r="A61" s="305"/>
      <c r="B61" s="453"/>
      <c r="C61" s="455"/>
      <c r="D61" s="455"/>
      <c r="E61" s="625"/>
      <c r="F61" s="615"/>
      <c r="G61" s="305"/>
      <c r="H61" s="305"/>
      <c r="I61" s="305"/>
      <c r="J61" s="305"/>
      <c r="K61" s="305"/>
      <c r="L61" s="305"/>
      <c r="M61" s="305"/>
      <c r="N61" s="305"/>
      <c r="O61" s="307"/>
      <c r="P61" s="307"/>
      <c r="Q61" s="307"/>
      <c r="R61" s="307"/>
      <c r="S61" s="307"/>
      <c r="T61" s="307"/>
      <c r="U61" s="307"/>
    </row>
    <row r="62" ht="16.5" customHeight="1">
      <c r="A62" s="305"/>
      <c r="B62" s="453"/>
      <c r="C62" s="455"/>
      <c r="D62" s="455"/>
      <c r="E62" s="625"/>
      <c r="F62" s="615"/>
      <c r="G62" s="305"/>
      <c r="H62" s="305"/>
      <c r="I62" s="305"/>
      <c r="J62" s="305"/>
      <c r="K62" s="305"/>
      <c r="L62" s="305"/>
      <c r="M62" s="305"/>
      <c r="N62" s="305"/>
      <c r="O62" s="307"/>
      <c r="P62" s="307"/>
      <c r="Q62" s="307"/>
      <c r="R62" s="307"/>
      <c r="S62" s="307"/>
      <c r="T62" s="307"/>
      <c r="U62" s="307"/>
    </row>
    <row r="63" ht="16.5" customHeight="1">
      <c r="A63" s="305"/>
      <c r="B63" s="453"/>
      <c r="C63" s="455"/>
      <c r="D63" s="455"/>
      <c r="E63" s="625"/>
      <c r="F63" s="615"/>
      <c r="G63" s="305"/>
      <c r="H63" s="305"/>
      <c r="I63" s="305"/>
      <c r="J63" s="305"/>
      <c r="K63" s="305"/>
      <c r="L63" s="305"/>
      <c r="M63" s="305"/>
      <c r="N63" s="305"/>
      <c r="O63" s="307"/>
      <c r="P63" s="307"/>
      <c r="Q63" s="307"/>
      <c r="R63" s="307"/>
      <c r="S63" s="307"/>
      <c r="T63" s="307"/>
      <c r="U63" s="307"/>
    </row>
    <row r="64" ht="16.5" customHeight="1">
      <c r="A64" s="305"/>
      <c r="B64" s="453"/>
      <c r="C64" s="455"/>
      <c r="D64" s="455"/>
      <c r="E64" s="625"/>
      <c r="F64" s="615"/>
      <c r="G64" s="305"/>
      <c r="H64" s="305"/>
      <c r="I64" s="305"/>
      <c r="J64" s="305"/>
      <c r="K64" s="305"/>
      <c r="L64" s="305"/>
      <c r="M64" s="305"/>
      <c r="N64" s="305"/>
      <c r="O64" s="307"/>
      <c r="P64" s="307"/>
      <c r="Q64" s="307"/>
      <c r="R64" s="307"/>
      <c r="S64" s="307"/>
      <c r="T64" s="307"/>
      <c r="U64" s="307"/>
    </row>
    <row r="65" ht="16.5" customHeight="1">
      <c r="A65" s="305"/>
      <c r="B65" s="453"/>
      <c r="C65" s="455"/>
      <c r="D65" s="455"/>
      <c r="E65" s="625"/>
      <c r="F65" s="615"/>
      <c r="G65" s="305"/>
      <c r="H65" s="305"/>
      <c r="I65" s="305"/>
      <c r="J65" s="305"/>
      <c r="K65" s="305"/>
      <c r="L65" s="305"/>
      <c r="M65" s="305"/>
      <c r="N65" s="305"/>
      <c r="O65" s="307"/>
      <c r="P65" s="307"/>
      <c r="Q65" s="307"/>
      <c r="R65" s="307"/>
      <c r="S65" s="307"/>
      <c r="T65" s="307"/>
      <c r="U65" s="307"/>
    </row>
    <row r="66" ht="16.5" customHeight="1">
      <c r="A66" s="305"/>
      <c r="B66" s="453"/>
      <c r="C66" s="455"/>
      <c r="D66" s="455"/>
      <c r="E66" s="625"/>
      <c r="F66" s="615"/>
      <c r="G66" s="305"/>
      <c r="H66" s="305"/>
      <c r="I66" s="305"/>
      <c r="J66" s="305"/>
      <c r="K66" s="305"/>
      <c r="L66" s="305"/>
      <c r="M66" s="305"/>
      <c r="N66" s="305"/>
      <c r="O66" s="307"/>
      <c r="P66" s="307"/>
      <c r="Q66" s="307"/>
      <c r="R66" s="307"/>
      <c r="S66" s="307"/>
      <c r="T66" s="307"/>
      <c r="U66" s="307"/>
    </row>
    <row r="67" ht="16.5" customHeight="1">
      <c r="A67" s="305"/>
      <c r="B67" s="453"/>
      <c r="C67" s="455"/>
      <c r="D67" s="455"/>
      <c r="E67" s="625"/>
      <c r="F67" s="615"/>
      <c r="G67" s="305"/>
      <c r="H67" s="305"/>
      <c r="I67" s="305"/>
      <c r="J67" s="305"/>
      <c r="K67" s="305"/>
      <c r="L67" s="305"/>
      <c r="M67" s="305"/>
      <c r="N67" s="305"/>
      <c r="O67" s="307"/>
      <c r="P67" s="307"/>
      <c r="Q67" s="307"/>
      <c r="R67" s="307"/>
      <c r="S67" s="307"/>
      <c r="T67" s="307"/>
      <c r="U67" s="307"/>
    </row>
    <row r="68" ht="16.5" customHeight="1">
      <c r="A68" s="305"/>
      <c r="B68" s="453"/>
      <c r="C68" s="455"/>
      <c r="D68" s="455"/>
      <c r="E68" s="625"/>
      <c r="F68" s="615"/>
      <c r="G68" s="305"/>
      <c r="H68" s="305"/>
      <c r="I68" s="305"/>
      <c r="J68" s="305"/>
      <c r="K68" s="305"/>
      <c r="L68" s="305"/>
      <c r="M68" s="305"/>
      <c r="N68" s="305"/>
      <c r="O68" s="307"/>
      <c r="P68" s="307"/>
      <c r="Q68" s="307"/>
      <c r="R68" s="307"/>
      <c r="S68" s="307"/>
      <c r="T68" s="307"/>
      <c r="U68" s="307"/>
    </row>
    <row r="69" ht="16.5" customHeight="1">
      <c r="A69" s="305"/>
      <c r="B69" s="453"/>
      <c r="C69" s="455"/>
      <c r="D69" s="455"/>
      <c r="E69" s="625"/>
      <c r="F69" s="615"/>
      <c r="G69" s="305"/>
      <c r="H69" s="305"/>
      <c r="I69" s="305"/>
      <c r="J69" s="305"/>
      <c r="K69" s="305"/>
      <c r="L69" s="305"/>
      <c r="M69" s="305"/>
      <c r="N69" s="305"/>
      <c r="O69" s="307"/>
      <c r="P69" s="307"/>
      <c r="Q69" s="307"/>
      <c r="R69" s="307"/>
      <c r="S69" s="307"/>
      <c r="T69" s="307"/>
      <c r="U69" s="307"/>
    </row>
    <row r="70" ht="16.5" customHeight="1">
      <c r="A70" s="305"/>
      <c r="B70" s="453"/>
      <c r="C70" s="455"/>
      <c r="D70" s="455"/>
      <c r="E70" s="625"/>
      <c r="F70" s="615"/>
      <c r="G70" s="305"/>
      <c r="H70" s="305"/>
      <c r="I70" s="305"/>
      <c r="J70" s="305"/>
      <c r="K70" s="305"/>
      <c r="L70" s="305"/>
      <c r="M70" s="305"/>
      <c r="N70" s="305"/>
      <c r="O70" s="307"/>
      <c r="P70" s="307"/>
      <c r="Q70" s="307"/>
      <c r="R70" s="307"/>
      <c r="S70" s="307"/>
      <c r="T70" s="307"/>
      <c r="U70" s="307"/>
    </row>
    <row r="71" ht="16.5" customHeight="1">
      <c r="A71" s="305"/>
      <c r="B71" s="453"/>
      <c r="C71" s="455"/>
      <c r="D71" s="455"/>
      <c r="E71" s="625"/>
      <c r="F71" s="615"/>
      <c r="G71" s="305"/>
      <c r="H71" s="305"/>
      <c r="I71" s="305"/>
      <c r="J71" s="305"/>
      <c r="K71" s="305"/>
      <c r="L71" s="305"/>
      <c r="M71" s="305"/>
      <c r="N71" s="305"/>
      <c r="O71" s="307"/>
      <c r="P71" s="307"/>
      <c r="Q71" s="307"/>
      <c r="R71" s="307"/>
      <c r="S71" s="307"/>
      <c r="T71" s="307"/>
      <c r="U71" s="307"/>
    </row>
    <row r="72" ht="16.5" customHeight="1">
      <c r="A72" s="305"/>
      <c r="B72" s="453"/>
      <c r="C72" s="455"/>
      <c r="D72" s="455"/>
      <c r="E72" s="625"/>
      <c r="F72" s="615"/>
      <c r="G72" s="305"/>
      <c r="H72" s="305"/>
      <c r="I72" s="305"/>
      <c r="J72" s="305"/>
      <c r="K72" s="305"/>
      <c r="L72" s="305"/>
      <c r="M72" s="305"/>
      <c r="N72" s="305"/>
      <c r="O72" s="307"/>
      <c r="P72" s="307"/>
      <c r="Q72" s="307"/>
      <c r="R72" s="307"/>
      <c r="S72" s="307"/>
      <c r="T72" s="307"/>
      <c r="U72" s="307"/>
    </row>
    <row r="73" ht="16.5" customHeight="1">
      <c r="A73" s="305"/>
      <c r="B73" s="453"/>
      <c r="C73" s="455"/>
      <c r="D73" s="455"/>
      <c r="E73" s="625"/>
      <c r="F73" s="615"/>
      <c r="G73" s="305"/>
      <c r="H73" s="305"/>
      <c r="I73" s="305"/>
      <c r="J73" s="305"/>
      <c r="K73" s="305"/>
      <c r="L73" s="305"/>
      <c r="M73" s="305"/>
      <c r="N73" s="305"/>
      <c r="O73" s="307"/>
      <c r="P73" s="307"/>
      <c r="Q73" s="307"/>
      <c r="R73" s="307"/>
      <c r="S73" s="307"/>
      <c r="T73" s="307"/>
      <c r="U73" s="307"/>
    </row>
    <row r="74" ht="16.5" customHeight="1">
      <c r="A74" s="305"/>
      <c r="B74" s="453"/>
      <c r="C74" s="455"/>
      <c r="D74" s="455"/>
      <c r="E74" s="625"/>
      <c r="F74" s="615"/>
      <c r="G74" s="305"/>
      <c r="H74" s="305"/>
      <c r="I74" s="305"/>
      <c r="J74" s="305"/>
      <c r="K74" s="305"/>
      <c r="L74" s="305"/>
      <c r="M74" s="305"/>
      <c r="N74" s="305"/>
      <c r="O74" s="307"/>
      <c r="P74" s="307"/>
      <c r="Q74" s="307"/>
      <c r="R74" s="307"/>
      <c r="S74" s="307"/>
      <c r="T74" s="307"/>
      <c r="U74" s="307"/>
    </row>
    <row r="75" ht="16.5" customHeight="1">
      <c r="A75" s="305"/>
      <c r="B75" s="453"/>
      <c r="C75" s="455"/>
      <c r="D75" s="455"/>
      <c r="E75" s="625"/>
      <c r="F75" s="615"/>
      <c r="G75" s="305"/>
      <c r="H75" s="305"/>
      <c r="I75" s="305"/>
      <c r="J75" s="305"/>
      <c r="K75" s="305"/>
      <c r="L75" s="305"/>
      <c r="M75" s="305"/>
      <c r="N75" s="305"/>
      <c r="O75" s="307"/>
      <c r="P75" s="307"/>
      <c r="Q75" s="307"/>
      <c r="R75" s="307"/>
      <c r="S75" s="307"/>
      <c r="T75" s="307"/>
      <c r="U75" s="307"/>
    </row>
    <row r="76" ht="16.5" customHeight="1">
      <c r="A76" s="305"/>
      <c r="B76" s="453"/>
      <c r="C76" s="455"/>
      <c r="D76" s="455"/>
      <c r="E76" s="625"/>
      <c r="F76" s="615"/>
      <c r="G76" s="305"/>
      <c r="H76" s="305"/>
      <c r="I76" s="305"/>
      <c r="J76" s="305"/>
      <c r="K76" s="305"/>
      <c r="L76" s="305"/>
      <c r="M76" s="305"/>
      <c r="N76" s="305"/>
      <c r="O76" s="307"/>
      <c r="P76" s="307"/>
      <c r="Q76" s="307"/>
      <c r="R76" s="307"/>
      <c r="S76" s="307"/>
      <c r="T76" s="307"/>
      <c r="U76" s="307"/>
    </row>
    <row r="77" ht="16.5" customHeight="1">
      <c r="A77" s="305"/>
      <c r="B77" s="453"/>
      <c r="C77" s="455"/>
      <c r="D77" s="455"/>
      <c r="E77" s="625"/>
      <c r="F77" s="615"/>
      <c r="G77" s="305"/>
      <c r="H77" s="305"/>
      <c r="I77" s="305"/>
      <c r="J77" s="305"/>
      <c r="K77" s="305"/>
      <c r="L77" s="305"/>
      <c r="M77" s="305"/>
      <c r="N77" s="305"/>
      <c r="O77" s="307"/>
      <c r="P77" s="307"/>
      <c r="Q77" s="307"/>
      <c r="R77" s="307"/>
      <c r="S77" s="307"/>
      <c r="T77" s="307"/>
      <c r="U77" s="307"/>
    </row>
    <row r="78" ht="16.5" customHeight="1">
      <c r="A78" s="305"/>
      <c r="B78" s="453"/>
      <c r="C78" s="455"/>
      <c r="D78" s="455"/>
      <c r="E78" s="625"/>
      <c r="F78" s="615"/>
      <c r="G78" s="305"/>
      <c r="H78" s="305"/>
      <c r="I78" s="305"/>
      <c r="J78" s="305"/>
      <c r="K78" s="305"/>
      <c r="L78" s="305"/>
      <c r="M78" s="305"/>
      <c r="N78" s="305"/>
      <c r="O78" s="307"/>
      <c r="P78" s="307"/>
      <c r="Q78" s="307"/>
      <c r="R78" s="307"/>
      <c r="S78" s="307"/>
      <c r="T78" s="307"/>
      <c r="U78" s="307"/>
    </row>
    <row r="79" ht="16.5" customHeight="1">
      <c r="A79" s="305"/>
      <c r="B79" s="453"/>
      <c r="C79" s="455"/>
      <c r="D79" s="455"/>
      <c r="E79" s="625"/>
      <c r="F79" s="615"/>
      <c r="G79" s="305"/>
      <c r="H79" s="305"/>
      <c r="I79" s="305"/>
      <c r="J79" s="305"/>
      <c r="K79" s="305"/>
      <c r="L79" s="305"/>
      <c r="M79" s="305"/>
      <c r="N79" s="305"/>
      <c r="O79" s="307"/>
      <c r="P79" s="307"/>
      <c r="Q79" s="307"/>
      <c r="R79" s="307"/>
      <c r="S79" s="307"/>
      <c r="T79" s="307"/>
      <c r="U79" s="307"/>
    </row>
    <row r="80" ht="16.5" customHeight="1">
      <c r="A80" s="305"/>
      <c r="B80" s="453"/>
      <c r="C80" s="455"/>
      <c r="D80" s="455"/>
      <c r="E80" s="625"/>
      <c r="F80" s="615"/>
      <c r="G80" s="305"/>
      <c r="H80" s="305"/>
      <c r="I80" s="305"/>
      <c r="J80" s="305"/>
      <c r="K80" s="305"/>
      <c r="L80" s="305"/>
      <c r="M80" s="305"/>
      <c r="N80" s="305"/>
      <c r="O80" s="307"/>
      <c r="P80" s="307"/>
      <c r="Q80" s="307"/>
      <c r="R80" s="307"/>
      <c r="S80" s="307"/>
      <c r="T80" s="307"/>
      <c r="U80" s="307"/>
    </row>
    <row r="81" ht="16.5" customHeight="1">
      <c r="A81" s="305"/>
      <c r="B81" s="453"/>
      <c r="C81" s="455"/>
      <c r="D81" s="455"/>
      <c r="E81" s="625"/>
      <c r="F81" s="615"/>
      <c r="G81" s="305"/>
      <c r="H81" s="305"/>
      <c r="I81" s="305"/>
      <c r="J81" s="305"/>
      <c r="K81" s="305"/>
      <c r="L81" s="305"/>
      <c r="M81" s="305"/>
      <c r="N81" s="305"/>
      <c r="O81" s="307"/>
      <c r="P81" s="307"/>
      <c r="Q81" s="307"/>
      <c r="R81" s="307"/>
      <c r="S81" s="307"/>
      <c r="T81" s="307"/>
      <c r="U81" s="307"/>
    </row>
    <row r="82" ht="16.5" customHeight="1">
      <c r="A82" s="305"/>
      <c r="B82" s="453"/>
      <c r="C82" s="455"/>
      <c r="D82" s="455"/>
      <c r="E82" s="625"/>
      <c r="F82" s="615"/>
      <c r="G82" s="305"/>
      <c r="H82" s="305"/>
      <c r="I82" s="305"/>
      <c r="J82" s="305"/>
      <c r="K82" s="305"/>
      <c r="L82" s="305"/>
      <c r="M82" s="305"/>
      <c r="N82" s="305"/>
      <c r="O82" s="307"/>
      <c r="P82" s="307"/>
      <c r="Q82" s="307"/>
      <c r="R82" s="307"/>
      <c r="S82" s="307"/>
      <c r="T82" s="307"/>
      <c r="U82" s="307"/>
    </row>
    <row r="83" ht="16.5" customHeight="1">
      <c r="A83" s="305"/>
      <c r="B83" s="453"/>
      <c r="C83" s="455"/>
      <c r="D83" s="455"/>
      <c r="E83" s="625"/>
      <c r="F83" s="615"/>
      <c r="G83" s="305"/>
      <c r="H83" s="305"/>
      <c r="I83" s="305"/>
      <c r="J83" s="305"/>
      <c r="K83" s="305"/>
      <c r="L83" s="305"/>
      <c r="M83" s="305"/>
      <c r="N83" s="305"/>
      <c r="O83" s="307"/>
      <c r="P83" s="307"/>
      <c r="Q83" s="307"/>
      <c r="R83" s="307"/>
      <c r="S83" s="307"/>
      <c r="T83" s="307"/>
      <c r="U83" s="307"/>
    </row>
    <row r="84" ht="16.5" customHeight="1">
      <c r="A84" s="305"/>
      <c r="B84" s="453"/>
      <c r="C84" s="455"/>
      <c r="D84" s="455"/>
      <c r="E84" s="625"/>
      <c r="F84" s="615"/>
      <c r="G84" s="305"/>
      <c r="H84" s="305"/>
      <c r="I84" s="305"/>
      <c r="J84" s="305"/>
      <c r="K84" s="305"/>
      <c r="L84" s="305"/>
      <c r="M84" s="305"/>
      <c r="N84" s="305"/>
      <c r="O84" s="307"/>
      <c r="P84" s="307"/>
      <c r="Q84" s="307"/>
      <c r="R84" s="307"/>
      <c r="S84" s="307"/>
      <c r="T84" s="307"/>
      <c r="U84" s="307"/>
    </row>
    <row r="85" ht="16.5" customHeight="1">
      <c r="A85" s="305"/>
      <c r="B85" s="453"/>
      <c r="C85" s="455"/>
      <c r="D85" s="455"/>
      <c r="E85" s="625"/>
      <c r="F85" s="615"/>
      <c r="G85" s="305"/>
      <c r="H85" s="305"/>
      <c r="I85" s="305"/>
      <c r="J85" s="305"/>
      <c r="K85" s="305"/>
      <c r="L85" s="305"/>
      <c r="M85" s="305"/>
      <c r="N85" s="305"/>
      <c r="O85" s="307"/>
      <c r="P85" s="307"/>
      <c r="Q85" s="307"/>
      <c r="R85" s="307"/>
      <c r="S85" s="307"/>
      <c r="T85" s="307"/>
      <c r="U85" s="307"/>
    </row>
    <row r="86" ht="16.5" customHeight="1">
      <c r="A86" s="305"/>
      <c r="B86" s="453"/>
      <c r="C86" s="455"/>
      <c r="D86" s="455"/>
      <c r="E86" s="625"/>
      <c r="F86" s="615"/>
      <c r="G86" s="305"/>
      <c r="H86" s="305"/>
      <c r="I86" s="305"/>
      <c r="J86" s="305"/>
      <c r="K86" s="305"/>
      <c r="L86" s="305"/>
      <c r="M86" s="305"/>
      <c r="N86" s="305"/>
      <c r="O86" s="307"/>
      <c r="P86" s="307"/>
      <c r="Q86" s="307"/>
      <c r="R86" s="307"/>
      <c r="S86" s="307"/>
      <c r="T86" s="307"/>
      <c r="U86" s="307"/>
    </row>
    <row r="87" ht="16.5" customHeight="1">
      <c r="A87" s="305"/>
      <c r="B87" s="453"/>
      <c r="C87" s="455"/>
      <c r="D87" s="455"/>
      <c r="E87" s="625"/>
      <c r="F87" s="615"/>
      <c r="G87" s="305"/>
      <c r="H87" s="305"/>
      <c r="I87" s="305"/>
      <c r="J87" s="305"/>
      <c r="K87" s="305"/>
      <c r="L87" s="305"/>
      <c r="M87" s="305"/>
      <c r="N87" s="305"/>
      <c r="O87" s="307"/>
      <c r="P87" s="307"/>
      <c r="Q87" s="307"/>
      <c r="R87" s="307"/>
      <c r="S87" s="307"/>
      <c r="T87" s="307"/>
      <c r="U87" s="307"/>
    </row>
    <row r="88" ht="16.5" customHeight="1">
      <c r="A88" s="305"/>
      <c r="B88" s="453"/>
      <c r="C88" s="455"/>
      <c r="D88" s="455"/>
      <c r="E88" s="625"/>
      <c r="F88" s="615"/>
      <c r="G88" s="305"/>
      <c r="H88" s="305"/>
      <c r="I88" s="305"/>
      <c r="J88" s="305"/>
      <c r="K88" s="305"/>
      <c r="L88" s="305"/>
      <c r="M88" s="305"/>
      <c r="N88" s="305"/>
      <c r="O88" s="307"/>
      <c r="P88" s="307"/>
      <c r="Q88" s="307"/>
      <c r="R88" s="307"/>
      <c r="S88" s="307"/>
      <c r="T88" s="307"/>
      <c r="U88" s="307"/>
    </row>
    <row r="89" ht="16.5" customHeight="1">
      <c r="A89" s="305"/>
      <c r="B89" s="453"/>
      <c r="C89" s="455"/>
      <c r="D89" s="455"/>
      <c r="E89" s="625"/>
      <c r="F89" s="615"/>
      <c r="G89" s="305"/>
      <c r="H89" s="305"/>
      <c r="I89" s="305"/>
      <c r="J89" s="305"/>
      <c r="K89" s="305"/>
      <c r="L89" s="305"/>
      <c r="M89" s="305"/>
      <c r="N89" s="305"/>
      <c r="O89" s="307"/>
      <c r="P89" s="307"/>
      <c r="Q89" s="307"/>
      <c r="R89" s="307"/>
      <c r="S89" s="307"/>
      <c r="T89" s="307"/>
      <c r="U89" s="307"/>
    </row>
    <row r="90" ht="16.5" customHeight="1">
      <c r="A90" s="305"/>
      <c r="B90" s="453"/>
      <c r="C90" s="455"/>
      <c r="D90" s="455"/>
      <c r="E90" s="625"/>
      <c r="F90" s="615"/>
      <c r="G90" s="305"/>
      <c r="H90" s="305"/>
      <c r="I90" s="305"/>
      <c r="J90" s="305"/>
      <c r="K90" s="305"/>
      <c r="L90" s="305"/>
      <c r="M90" s="305"/>
      <c r="N90" s="305"/>
      <c r="O90" s="307"/>
      <c r="P90" s="307"/>
      <c r="Q90" s="307"/>
      <c r="R90" s="307"/>
      <c r="S90" s="307"/>
      <c r="T90" s="307"/>
      <c r="U90" s="307"/>
    </row>
    <row r="91" ht="16.5" customHeight="1">
      <c r="A91" s="305"/>
      <c r="B91" s="453"/>
      <c r="C91" s="455"/>
      <c r="D91" s="455"/>
      <c r="E91" s="625"/>
      <c r="F91" s="615"/>
      <c r="G91" s="305"/>
      <c r="H91" s="305"/>
      <c r="I91" s="305"/>
      <c r="J91" s="305"/>
      <c r="K91" s="305"/>
      <c r="L91" s="305"/>
      <c r="M91" s="305"/>
      <c r="N91" s="305"/>
      <c r="O91" s="307"/>
      <c r="P91" s="307"/>
      <c r="Q91" s="307"/>
      <c r="R91" s="307"/>
      <c r="S91" s="307"/>
      <c r="T91" s="307"/>
      <c r="U91" s="307"/>
    </row>
    <row r="92" ht="16.5" customHeight="1">
      <c r="A92" s="305"/>
      <c r="B92" s="453"/>
      <c r="C92" s="455"/>
      <c r="D92" s="455"/>
      <c r="E92" s="625"/>
      <c r="F92" s="615"/>
      <c r="G92" s="305"/>
      <c r="H92" s="305"/>
      <c r="I92" s="305"/>
      <c r="J92" s="305"/>
      <c r="K92" s="305"/>
      <c r="L92" s="305"/>
      <c r="M92" s="305"/>
      <c r="N92" s="305"/>
      <c r="O92" s="307"/>
      <c r="P92" s="307"/>
      <c r="Q92" s="307"/>
      <c r="R92" s="307"/>
      <c r="S92" s="307"/>
      <c r="T92" s="307"/>
      <c r="U92" s="307"/>
    </row>
    <row r="93" ht="16.5" customHeight="1">
      <c r="A93" s="305"/>
      <c r="B93" s="453"/>
      <c r="C93" s="455"/>
      <c r="D93" s="455"/>
      <c r="E93" s="625"/>
      <c r="F93" s="615"/>
      <c r="G93" s="305"/>
      <c r="H93" s="305"/>
      <c r="I93" s="305"/>
      <c r="J93" s="305"/>
      <c r="K93" s="305"/>
      <c r="L93" s="305"/>
      <c r="M93" s="305"/>
      <c r="N93" s="305"/>
      <c r="O93" s="307"/>
      <c r="P93" s="307"/>
      <c r="Q93" s="307"/>
      <c r="R93" s="307"/>
      <c r="S93" s="307"/>
      <c r="T93" s="307"/>
      <c r="U93" s="307"/>
    </row>
    <row r="94" ht="16.5" customHeight="1">
      <c r="A94" s="305"/>
      <c r="B94" s="453"/>
      <c r="C94" s="455"/>
      <c r="D94" s="455"/>
      <c r="E94" s="625"/>
      <c r="F94" s="615"/>
      <c r="G94" s="305"/>
      <c r="H94" s="305"/>
      <c r="I94" s="305"/>
      <c r="J94" s="305"/>
      <c r="K94" s="305"/>
      <c r="L94" s="305"/>
      <c r="M94" s="305"/>
      <c r="N94" s="305"/>
      <c r="O94" s="307"/>
      <c r="P94" s="307"/>
      <c r="Q94" s="307"/>
      <c r="R94" s="307"/>
      <c r="S94" s="307"/>
      <c r="T94" s="307"/>
      <c r="U94" s="307"/>
    </row>
    <row r="95" ht="16.5" customHeight="1">
      <c r="A95" s="305"/>
      <c r="B95" s="453"/>
      <c r="C95" s="455"/>
      <c r="D95" s="455"/>
      <c r="E95" s="625"/>
      <c r="F95" s="615"/>
      <c r="G95" s="305"/>
      <c r="H95" s="305"/>
      <c r="I95" s="305"/>
      <c r="J95" s="305"/>
      <c r="K95" s="305"/>
      <c r="L95" s="305"/>
      <c r="M95" s="305"/>
      <c r="N95" s="305"/>
      <c r="O95" s="307"/>
      <c r="P95" s="307"/>
      <c r="Q95" s="307"/>
      <c r="R95" s="307"/>
      <c r="S95" s="307"/>
      <c r="T95" s="307"/>
      <c r="U95" s="307"/>
    </row>
    <row r="96" ht="16.5" customHeight="1">
      <c r="A96" s="305"/>
      <c r="B96" s="453"/>
      <c r="C96" s="455"/>
      <c r="D96" s="455"/>
      <c r="E96" s="625"/>
      <c r="F96" s="615"/>
      <c r="G96" s="305"/>
      <c r="H96" s="305"/>
      <c r="I96" s="305"/>
      <c r="J96" s="305"/>
      <c r="K96" s="305"/>
      <c r="L96" s="305"/>
      <c r="M96" s="305"/>
      <c r="N96" s="305"/>
      <c r="O96" s="307"/>
      <c r="P96" s="307"/>
      <c r="Q96" s="307"/>
      <c r="R96" s="307"/>
      <c r="S96" s="307"/>
      <c r="T96" s="307"/>
      <c r="U96" s="307"/>
    </row>
    <row r="97" ht="16.5" customHeight="1">
      <c r="A97" s="305"/>
      <c r="B97" s="453"/>
      <c r="C97" s="455"/>
      <c r="D97" s="455"/>
      <c r="E97" s="625"/>
      <c r="F97" s="615"/>
      <c r="G97" s="305"/>
      <c r="H97" s="305"/>
      <c r="I97" s="305"/>
      <c r="J97" s="305"/>
      <c r="K97" s="305"/>
      <c r="L97" s="305"/>
      <c r="M97" s="305"/>
      <c r="N97" s="305"/>
      <c r="O97" s="307"/>
      <c r="P97" s="307"/>
      <c r="Q97" s="307"/>
      <c r="R97" s="307"/>
      <c r="S97" s="307"/>
      <c r="T97" s="307"/>
      <c r="U97" s="307"/>
    </row>
    <row r="98" ht="16.5" customHeight="1">
      <c r="A98" s="305"/>
      <c r="B98" s="453"/>
      <c r="C98" s="455"/>
      <c r="D98" s="455"/>
      <c r="E98" s="625"/>
      <c r="F98" s="615"/>
      <c r="G98" s="305"/>
      <c r="H98" s="305"/>
      <c r="I98" s="305"/>
      <c r="J98" s="305"/>
      <c r="K98" s="305"/>
      <c r="L98" s="305"/>
      <c r="M98" s="305"/>
      <c r="N98" s="305"/>
      <c r="O98" s="307"/>
      <c r="P98" s="307"/>
      <c r="Q98" s="307"/>
      <c r="R98" s="307"/>
      <c r="S98" s="307"/>
      <c r="T98" s="307"/>
      <c r="U98" s="307"/>
    </row>
    <row r="99" ht="16.5" customHeight="1">
      <c r="A99" s="305"/>
      <c r="B99" s="453"/>
      <c r="C99" s="455"/>
      <c r="D99" s="455"/>
      <c r="E99" s="625"/>
      <c r="F99" s="615"/>
      <c r="G99" s="305"/>
      <c r="H99" s="305"/>
      <c r="I99" s="305"/>
      <c r="J99" s="305"/>
      <c r="K99" s="305"/>
      <c r="L99" s="305"/>
      <c r="M99" s="305"/>
      <c r="N99" s="305"/>
      <c r="O99" s="307"/>
      <c r="P99" s="307"/>
      <c r="Q99" s="307"/>
      <c r="R99" s="307"/>
      <c r="S99" s="307"/>
      <c r="T99" s="307"/>
      <c r="U99" s="307"/>
    </row>
    <row r="100" ht="16.5" customHeight="1">
      <c r="A100" s="305"/>
      <c r="B100" s="453"/>
      <c r="C100" s="455"/>
      <c r="D100" s="455"/>
      <c r="E100" s="625"/>
      <c r="F100" s="615"/>
      <c r="G100" s="305"/>
      <c r="H100" s="305"/>
      <c r="I100" s="305"/>
      <c r="J100" s="305"/>
      <c r="K100" s="305"/>
      <c r="L100" s="305"/>
      <c r="M100" s="305"/>
      <c r="N100" s="305"/>
      <c r="O100" s="307"/>
      <c r="P100" s="307"/>
      <c r="Q100" s="307"/>
      <c r="R100" s="307"/>
      <c r="S100" s="307"/>
      <c r="T100" s="307"/>
      <c r="U100" s="307"/>
    </row>
    <row r="101" ht="16.5" customHeight="1">
      <c r="A101" s="305"/>
      <c r="B101" s="453"/>
      <c r="C101" s="455"/>
      <c r="D101" s="455"/>
      <c r="E101" s="625"/>
      <c r="F101" s="615"/>
      <c r="G101" s="305"/>
      <c r="H101" s="305"/>
      <c r="I101" s="305"/>
      <c r="J101" s="305"/>
      <c r="K101" s="305"/>
      <c r="L101" s="305"/>
      <c r="M101" s="305"/>
      <c r="N101" s="305"/>
      <c r="O101" s="307"/>
      <c r="P101" s="307"/>
      <c r="Q101" s="307"/>
      <c r="R101" s="307"/>
      <c r="S101" s="307"/>
      <c r="T101" s="307"/>
      <c r="U101" s="307"/>
    </row>
    <row r="102" ht="16.5" customHeight="1">
      <c r="A102" s="305"/>
      <c r="B102" s="453"/>
      <c r="C102" s="455"/>
      <c r="D102" s="455"/>
      <c r="E102" s="625"/>
      <c r="F102" s="615"/>
      <c r="G102" s="305"/>
      <c r="H102" s="305"/>
      <c r="I102" s="305"/>
      <c r="J102" s="305"/>
      <c r="K102" s="305"/>
      <c r="L102" s="305"/>
      <c r="M102" s="305"/>
      <c r="N102" s="305"/>
      <c r="O102" s="307"/>
      <c r="P102" s="307"/>
      <c r="Q102" s="307"/>
      <c r="R102" s="307"/>
      <c r="S102" s="307"/>
      <c r="T102" s="307"/>
      <c r="U102" s="307"/>
    </row>
    <row r="103" ht="16.5" customHeight="1">
      <c r="A103" s="305"/>
      <c r="B103" s="453"/>
      <c r="C103" s="455"/>
      <c r="D103" s="455"/>
      <c r="E103" s="625"/>
      <c r="F103" s="615"/>
      <c r="G103" s="305"/>
      <c r="H103" s="305"/>
      <c r="I103" s="305"/>
      <c r="J103" s="305"/>
      <c r="K103" s="305"/>
      <c r="L103" s="305"/>
      <c r="M103" s="305"/>
      <c r="N103" s="305"/>
      <c r="O103" s="307"/>
      <c r="P103" s="307"/>
      <c r="Q103" s="307"/>
      <c r="R103" s="307"/>
      <c r="S103" s="307"/>
      <c r="T103" s="307"/>
      <c r="U103" s="307"/>
    </row>
    <row r="104" ht="16.5" customHeight="1">
      <c r="A104" s="305"/>
      <c r="B104" s="453"/>
      <c r="C104" s="455"/>
      <c r="D104" s="455"/>
      <c r="E104" s="625"/>
      <c r="F104" s="615"/>
      <c r="G104" s="305"/>
      <c r="H104" s="305"/>
      <c r="I104" s="305"/>
      <c r="J104" s="305"/>
      <c r="K104" s="305"/>
      <c r="L104" s="305"/>
      <c r="M104" s="305"/>
      <c r="N104" s="305"/>
      <c r="O104" s="307"/>
      <c r="P104" s="307"/>
      <c r="Q104" s="307"/>
      <c r="R104" s="307"/>
      <c r="S104" s="307"/>
      <c r="T104" s="307"/>
      <c r="U104" s="307"/>
    </row>
    <row r="105" ht="16.5" customHeight="1">
      <c r="A105" s="305"/>
      <c r="B105" s="453"/>
      <c r="C105" s="455"/>
      <c r="D105" s="455"/>
      <c r="E105" s="625"/>
      <c r="F105" s="615"/>
      <c r="G105" s="305"/>
      <c r="H105" s="305"/>
      <c r="I105" s="305"/>
      <c r="J105" s="305"/>
      <c r="K105" s="305"/>
      <c r="L105" s="305"/>
      <c r="M105" s="305"/>
      <c r="N105" s="305"/>
      <c r="O105" s="307"/>
      <c r="P105" s="307"/>
      <c r="Q105" s="307"/>
      <c r="R105" s="307"/>
      <c r="S105" s="307"/>
      <c r="T105" s="307"/>
      <c r="U105" s="307"/>
    </row>
    <row r="106" ht="16.5" customHeight="1">
      <c r="A106" s="305"/>
      <c r="B106" s="453"/>
      <c r="C106" s="455"/>
      <c r="D106" s="455"/>
      <c r="E106" s="625"/>
      <c r="F106" s="615"/>
      <c r="G106" s="305"/>
      <c r="H106" s="305"/>
      <c r="I106" s="305"/>
      <c r="J106" s="305"/>
      <c r="K106" s="305"/>
      <c r="L106" s="305"/>
      <c r="M106" s="305"/>
      <c r="N106" s="305"/>
      <c r="O106" s="307"/>
      <c r="P106" s="307"/>
      <c r="Q106" s="307"/>
      <c r="R106" s="307"/>
      <c r="S106" s="307"/>
      <c r="T106" s="307"/>
      <c r="U106" s="307"/>
    </row>
    <row r="107" ht="16.5" customHeight="1">
      <c r="A107" s="305"/>
      <c r="B107" s="453"/>
      <c r="C107" s="455"/>
      <c r="D107" s="455"/>
      <c r="E107" s="625"/>
      <c r="F107" s="615"/>
      <c r="G107" s="305"/>
      <c r="H107" s="305"/>
      <c r="I107" s="305"/>
      <c r="J107" s="305"/>
      <c r="K107" s="305"/>
      <c r="L107" s="305"/>
      <c r="M107" s="305"/>
      <c r="N107" s="305"/>
      <c r="O107" s="307"/>
      <c r="P107" s="307"/>
      <c r="Q107" s="307"/>
      <c r="R107" s="307"/>
      <c r="S107" s="307"/>
      <c r="T107" s="307"/>
      <c r="U107" s="307"/>
    </row>
    <row r="108" ht="16.5" customHeight="1">
      <c r="A108" s="305"/>
      <c r="B108" s="453"/>
      <c r="C108" s="455"/>
      <c r="D108" s="455"/>
      <c r="E108" s="625"/>
      <c r="F108" s="615"/>
      <c r="G108" s="305"/>
      <c r="H108" s="305"/>
      <c r="I108" s="305"/>
      <c r="J108" s="305"/>
      <c r="K108" s="305"/>
      <c r="L108" s="305"/>
      <c r="M108" s="305"/>
      <c r="N108" s="305"/>
      <c r="O108" s="307"/>
      <c r="P108" s="307"/>
      <c r="Q108" s="307"/>
      <c r="R108" s="307"/>
      <c r="S108" s="307"/>
      <c r="T108" s="307"/>
      <c r="U108" s="307"/>
    </row>
    <row r="109" ht="16.5" customHeight="1">
      <c r="A109" s="305"/>
      <c r="B109" s="453"/>
      <c r="C109" s="455"/>
      <c r="D109" s="455"/>
      <c r="E109" s="625"/>
      <c r="F109" s="615"/>
      <c r="G109" s="305"/>
      <c r="H109" s="305"/>
      <c r="I109" s="305"/>
      <c r="J109" s="305"/>
      <c r="K109" s="305"/>
      <c r="L109" s="305"/>
      <c r="M109" s="305"/>
      <c r="N109" s="305"/>
      <c r="O109" s="307"/>
      <c r="P109" s="307"/>
      <c r="Q109" s="307"/>
      <c r="R109" s="307"/>
      <c r="S109" s="307"/>
      <c r="T109" s="307"/>
      <c r="U109" s="307"/>
    </row>
    <row r="110" ht="16.5" customHeight="1">
      <c r="A110" s="305"/>
      <c r="B110" s="453"/>
      <c r="C110" s="455"/>
      <c r="D110" s="455"/>
      <c r="E110" s="625"/>
      <c r="F110" s="615"/>
      <c r="G110" s="305"/>
      <c r="H110" s="305"/>
      <c r="I110" s="305"/>
      <c r="J110" s="305"/>
      <c r="K110" s="305"/>
      <c r="L110" s="305"/>
      <c r="M110" s="305"/>
      <c r="N110" s="305"/>
      <c r="O110" s="307"/>
      <c r="P110" s="307"/>
      <c r="Q110" s="307"/>
      <c r="R110" s="307"/>
      <c r="S110" s="307"/>
      <c r="T110" s="307"/>
      <c r="U110" s="307"/>
    </row>
    <row r="111" ht="16.5" customHeight="1">
      <c r="A111" s="305"/>
      <c r="B111" s="453"/>
      <c r="C111" s="455"/>
      <c r="D111" s="455"/>
      <c r="E111" s="625"/>
      <c r="F111" s="615"/>
      <c r="G111" s="305"/>
      <c r="H111" s="305"/>
      <c r="I111" s="305"/>
      <c r="J111" s="305"/>
      <c r="K111" s="305"/>
      <c r="L111" s="305"/>
      <c r="M111" s="305"/>
      <c r="N111" s="305"/>
      <c r="O111" s="307"/>
      <c r="P111" s="307"/>
      <c r="Q111" s="307"/>
      <c r="R111" s="307"/>
      <c r="S111" s="307"/>
      <c r="T111" s="307"/>
      <c r="U111" s="307"/>
    </row>
    <row r="112" ht="16.5" customHeight="1">
      <c r="A112" s="305"/>
      <c r="B112" s="453"/>
      <c r="C112" s="455"/>
      <c r="D112" s="455"/>
      <c r="E112" s="625"/>
      <c r="F112" s="615"/>
      <c r="G112" s="305"/>
      <c r="H112" s="305"/>
      <c r="I112" s="305"/>
      <c r="J112" s="305"/>
      <c r="K112" s="305"/>
      <c r="L112" s="305"/>
      <c r="M112" s="305"/>
      <c r="N112" s="305"/>
      <c r="O112" s="307"/>
      <c r="P112" s="307"/>
      <c r="Q112" s="307"/>
      <c r="R112" s="307"/>
      <c r="S112" s="307"/>
      <c r="T112" s="307"/>
      <c r="U112" s="307"/>
    </row>
    <row r="113" ht="16.5" customHeight="1">
      <c r="A113" s="305"/>
      <c r="B113" s="453"/>
      <c r="C113" s="455"/>
      <c r="D113" s="455"/>
      <c r="E113" s="625"/>
      <c r="F113" s="615"/>
      <c r="G113" s="305"/>
      <c r="H113" s="305"/>
      <c r="I113" s="305"/>
      <c r="J113" s="305"/>
      <c r="K113" s="305"/>
      <c r="L113" s="305"/>
      <c r="M113" s="305"/>
      <c r="N113" s="305"/>
      <c r="O113" s="307"/>
      <c r="P113" s="307"/>
      <c r="Q113" s="307"/>
      <c r="R113" s="307"/>
      <c r="S113" s="307"/>
      <c r="T113" s="307"/>
      <c r="U113" s="307"/>
    </row>
    <row r="114" ht="16.5" customHeight="1">
      <c r="A114" s="305"/>
      <c r="B114" s="453"/>
      <c r="C114" s="455"/>
      <c r="D114" s="455"/>
      <c r="E114" s="625"/>
      <c r="F114" s="615"/>
      <c r="G114" s="305"/>
      <c r="H114" s="305"/>
      <c r="I114" s="305"/>
      <c r="J114" s="305"/>
      <c r="K114" s="305"/>
      <c r="L114" s="305"/>
      <c r="M114" s="305"/>
      <c r="N114" s="305"/>
      <c r="O114" s="307"/>
      <c r="P114" s="307"/>
      <c r="Q114" s="307"/>
      <c r="R114" s="307"/>
      <c r="S114" s="307"/>
      <c r="T114" s="307"/>
      <c r="U114" s="307"/>
    </row>
    <row r="115" ht="16.5" customHeight="1">
      <c r="A115" s="305"/>
      <c r="B115" s="453"/>
      <c r="C115" s="455"/>
      <c r="D115" s="455"/>
      <c r="E115" s="625"/>
      <c r="F115" s="615"/>
      <c r="G115" s="305"/>
      <c r="H115" s="305"/>
      <c r="I115" s="305"/>
      <c r="J115" s="305"/>
      <c r="K115" s="305"/>
      <c r="L115" s="305"/>
      <c r="M115" s="305"/>
      <c r="N115" s="305"/>
      <c r="O115" s="307"/>
      <c r="P115" s="307"/>
      <c r="Q115" s="307"/>
      <c r="R115" s="307"/>
      <c r="S115" s="307"/>
      <c r="T115" s="307"/>
      <c r="U115" s="307"/>
    </row>
    <row r="116" ht="16.5" customHeight="1">
      <c r="A116" s="305"/>
      <c r="B116" s="453"/>
      <c r="C116" s="455"/>
      <c r="D116" s="455"/>
      <c r="E116" s="625"/>
      <c r="F116" s="615"/>
      <c r="G116" s="305"/>
      <c r="H116" s="305"/>
      <c r="I116" s="305"/>
      <c r="J116" s="305"/>
      <c r="K116" s="305"/>
      <c r="L116" s="305"/>
      <c r="M116" s="305"/>
      <c r="N116" s="305"/>
      <c r="O116" s="307"/>
      <c r="P116" s="307"/>
      <c r="Q116" s="307"/>
      <c r="R116" s="307"/>
      <c r="S116" s="307"/>
      <c r="T116" s="307"/>
      <c r="U116" s="307"/>
    </row>
    <row r="117" ht="16.5" customHeight="1">
      <c r="A117" s="305"/>
      <c r="B117" s="453"/>
      <c r="C117" s="455"/>
      <c r="D117" s="455"/>
      <c r="E117" s="625"/>
      <c r="F117" s="615"/>
      <c r="G117" s="305"/>
      <c r="H117" s="305"/>
      <c r="I117" s="305"/>
      <c r="J117" s="305"/>
      <c r="K117" s="305"/>
      <c r="L117" s="305"/>
      <c r="M117" s="305"/>
      <c r="N117" s="305"/>
      <c r="O117" s="307"/>
      <c r="P117" s="307"/>
      <c r="Q117" s="307"/>
      <c r="R117" s="307"/>
      <c r="S117" s="307"/>
      <c r="T117" s="307"/>
      <c r="U117" s="307"/>
    </row>
    <row r="118" ht="16.5" customHeight="1">
      <c r="A118" s="305"/>
      <c r="B118" s="453"/>
      <c r="C118" s="455"/>
      <c r="D118" s="455"/>
      <c r="E118" s="625"/>
      <c r="F118" s="615"/>
      <c r="G118" s="305"/>
      <c r="H118" s="305"/>
      <c r="I118" s="305"/>
      <c r="J118" s="305"/>
      <c r="K118" s="305"/>
      <c r="L118" s="305"/>
      <c r="M118" s="305"/>
      <c r="N118" s="305"/>
      <c r="O118" s="307"/>
      <c r="P118" s="307"/>
      <c r="Q118" s="307"/>
      <c r="R118" s="307"/>
      <c r="S118" s="307"/>
      <c r="T118" s="307"/>
      <c r="U118" s="307"/>
    </row>
    <row r="119" ht="16.5" customHeight="1">
      <c r="A119" s="305"/>
      <c r="B119" s="453"/>
      <c r="C119" s="455"/>
      <c r="D119" s="455"/>
      <c r="E119" s="625"/>
      <c r="F119" s="615"/>
      <c r="G119" s="305"/>
      <c r="H119" s="305"/>
      <c r="I119" s="305"/>
      <c r="J119" s="305"/>
      <c r="K119" s="305"/>
      <c r="L119" s="305"/>
      <c r="M119" s="305"/>
      <c r="N119" s="305"/>
      <c r="O119" s="307"/>
      <c r="P119" s="307"/>
      <c r="Q119" s="307"/>
      <c r="R119" s="307"/>
      <c r="S119" s="307"/>
      <c r="T119" s="307"/>
      <c r="U119" s="307"/>
    </row>
    <row r="120" ht="16.5" customHeight="1">
      <c r="A120" s="305"/>
      <c r="B120" s="453"/>
      <c r="C120" s="455"/>
      <c r="D120" s="455"/>
      <c r="E120" s="625"/>
      <c r="F120" s="615"/>
      <c r="G120" s="305"/>
      <c r="H120" s="305"/>
      <c r="I120" s="305"/>
      <c r="J120" s="305"/>
      <c r="K120" s="305"/>
      <c r="L120" s="305"/>
      <c r="M120" s="305"/>
      <c r="N120" s="305"/>
      <c r="O120" s="307"/>
      <c r="P120" s="307"/>
      <c r="Q120" s="307"/>
      <c r="R120" s="307"/>
      <c r="S120" s="307"/>
      <c r="T120" s="307"/>
      <c r="U120" s="307"/>
    </row>
    <row r="121" ht="16.5" customHeight="1">
      <c r="A121" s="305"/>
      <c r="B121" s="453"/>
      <c r="C121" s="455"/>
      <c r="D121" s="455"/>
      <c r="E121" s="625"/>
      <c r="F121" s="615"/>
      <c r="G121" s="305"/>
      <c r="H121" s="305"/>
      <c r="I121" s="305"/>
      <c r="J121" s="305"/>
      <c r="K121" s="305"/>
      <c r="L121" s="305"/>
      <c r="M121" s="305"/>
      <c r="N121" s="305"/>
      <c r="O121" s="307"/>
      <c r="P121" s="307"/>
      <c r="Q121" s="307"/>
      <c r="R121" s="307"/>
      <c r="S121" s="307"/>
      <c r="T121" s="307"/>
      <c r="U121" s="307"/>
    </row>
    <row r="122" ht="16.5" customHeight="1">
      <c r="A122" s="305"/>
      <c r="B122" s="453"/>
      <c r="C122" s="455"/>
      <c r="D122" s="455"/>
      <c r="E122" s="625"/>
      <c r="F122" s="615"/>
      <c r="G122" s="305"/>
      <c r="H122" s="305"/>
      <c r="I122" s="305"/>
      <c r="J122" s="305"/>
      <c r="K122" s="305"/>
      <c r="L122" s="305"/>
      <c r="M122" s="305"/>
      <c r="N122" s="305"/>
      <c r="O122" s="307"/>
      <c r="P122" s="307"/>
      <c r="Q122" s="307"/>
      <c r="R122" s="307"/>
      <c r="S122" s="307"/>
      <c r="T122" s="307"/>
      <c r="U122" s="307"/>
    </row>
    <row r="123" ht="16.5" customHeight="1">
      <c r="A123" s="305"/>
      <c r="B123" s="453"/>
      <c r="C123" s="455"/>
      <c r="D123" s="455"/>
      <c r="E123" s="625"/>
      <c r="F123" s="615"/>
      <c r="G123" s="305"/>
      <c r="H123" s="305"/>
      <c r="I123" s="305"/>
      <c r="J123" s="305"/>
      <c r="K123" s="305"/>
      <c r="L123" s="305"/>
      <c r="M123" s="305"/>
      <c r="N123" s="305"/>
      <c r="O123" s="307"/>
      <c r="P123" s="307"/>
      <c r="Q123" s="307"/>
      <c r="R123" s="307"/>
      <c r="S123" s="307"/>
      <c r="T123" s="307"/>
      <c r="U123" s="307"/>
    </row>
    <row r="124" ht="16.5" customHeight="1">
      <c r="A124" s="305"/>
      <c r="B124" s="453"/>
      <c r="C124" s="455"/>
      <c r="D124" s="455"/>
      <c r="E124" s="625"/>
      <c r="F124" s="615"/>
      <c r="G124" s="305"/>
      <c r="H124" s="305"/>
      <c r="I124" s="305"/>
      <c r="J124" s="305"/>
      <c r="K124" s="305"/>
      <c r="L124" s="305"/>
      <c r="M124" s="305"/>
      <c r="N124" s="305"/>
      <c r="O124" s="307"/>
      <c r="P124" s="307"/>
      <c r="Q124" s="307"/>
      <c r="R124" s="307"/>
      <c r="S124" s="307"/>
      <c r="T124" s="307"/>
      <c r="U124" s="307"/>
    </row>
    <row r="125" ht="16.5" customHeight="1">
      <c r="A125" s="305"/>
      <c r="B125" s="453"/>
      <c r="C125" s="455"/>
      <c r="D125" s="455"/>
      <c r="E125" s="625"/>
      <c r="F125" s="615"/>
      <c r="G125" s="305"/>
      <c r="H125" s="305"/>
      <c r="I125" s="305"/>
      <c r="J125" s="305"/>
      <c r="K125" s="305"/>
      <c r="L125" s="305"/>
      <c r="M125" s="305"/>
      <c r="N125" s="305"/>
      <c r="O125" s="307"/>
      <c r="P125" s="307"/>
      <c r="Q125" s="307"/>
      <c r="R125" s="307"/>
      <c r="S125" s="307"/>
      <c r="T125" s="307"/>
      <c r="U125" s="307"/>
    </row>
    <row r="126" ht="16.5" customHeight="1">
      <c r="A126" s="305"/>
      <c r="B126" s="453"/>
      <c r="C126" s="455"/>
      <c r="D126" s="455"/>
      <c r="E126" s="625"/>
      <c r="F126" s="615"/>
      <c r="G126" s="305"/>
      <c r="H126" s="305"/>
      <c r="I126" s="305"/>
      <c r="J126" s="305"/>
      <c r="K126" s="305"/>
      <c r="L126" s="305"/>
      <c r="M126" s="305"/>
      <c r="N126" s="305"/>
      <c r="O126" s="307"/>
      <c r="P126" s="307"/>
      <c r="Q126" s="307"/>
      <c r="R126" s="307"/>
      <c r="S126" s="307"/>
      <c r="T126" s="307"/>
      <c r="U126" s="307"/>
    </row>
    <row r="127" ht="16.5" customHeight="1">
      <c r="A127" s="305"/>
      <c r="B127" s="453"/>
      <c r="C127" s="455"/>
      <c r="D127" s="455"/>
      <c r="E127" s="625"/>
      <c r="F127" s="615"/>
      <c r="G127" s="305"/>
      <c r="H127" s="305"/>
      <c r="I127" s="305"/>
      <c r="J127" s="305"/>
      <c r="K127" s="305"/>
      <c r="L127" s="305"/>
      <c r="M127" s="305"/>
      <c r="N127" s="305"/>
      <c r="O127" s="307"/>
      <c r="P127" s="307"/>
      <c r="Q127" s="307"/>
      <c r="R127" s="307"/>
      <c r="S127" s="307"/>
      <c r="T127" s="307"/>
      <c r="U127" s="307"/>
    </row>
    <row r="128" ht="16.5" customHeight="1">
      <c r="A128" s="305"/>
      <c r="B128" s="453"/>
      <c r="C128" s="455"/>
      <c r="D128" s="455"/>
      <c r="E128" s="625"/>
      <c r="F128" s="615"/>
      <c r="G128" s="305"/>
      <c r="H128" s="305"/>
      <c r="I128" s="305"/>
      <c r="J128" s="305"/>
      <c r="K128" s="305"/>
      <c r="L128" s="305"/>
      <c r="M128" s="305"/>
      <c r="N128" s="305"/>
      <c r="O128" s="307"/>
      <c r="P128" s="307"/>
      <c r="Q128" s="307"/>
      <c r="R128" s="307"/>
      <c r="S128" s="307"/>
      <c r="T128" s="307"/>
      <c r="U128" s="307"/>
    </row>
    <row r="129" ht="16.5" customHeight="1">
      <c r="A129" s="305"/>
      <c r="B129" s="453"/>
      <c r="C129" s="455"/>
      <c r="D129" s="455"/>
      <c r="E129" s="625"/>
      <c r="F129" s="615"/>
      <c r="G129" s="305"/>
      <c r="H129" s="305"/>
      <c r="I129" s="305"/>
      <c r="J129" s="305"/>
      <c r="K129" s="305"/>
      <c r="L129" s="305"/>
      <c r="M129" s="305"/>
      <c r="N129" s="305"/>
      <c r="O129" s="307"/>
      <c r="P129" s="307"/>
      <c r="Q129" s="307"/>
      <c r="R129" s="307"/>
      <c r="S129" s="307"/>
      <c r="T129" s="307"/>
      <c r="U129" s="307"/>
    </row>
    <row r="130" ht="16.5" customHeight="1">
      <c r="A130" s="305"/>
      <c r="B130" s="453"/>
      <c r="C130" s="455"/>
      <c r="D130" s="455"/>
      <c r="E130" s="625"/>
      <c r="F130" s="615"/>
      <c r="G130" s="305"/>
      <c r="H130" s="305"/>
      <c r="I130" s="305"/>
      <c r="J130" s="305"/>
      <c r="K130" s="305"/>
      <c r="L130" s="305"/>
      <c r="M130" s="305"/>
      <c r="N130" s="305"/>
      <c r="O130" s="307"/>
      <c r="P130" s="307"/>
      <c r="Q130" s="307"/>
      <c r="R130" s="307"/>
      <c r="S130" s="307"/>
      <c r="T130" s="307"/>
      <c r="U130" s="307"/>
    </row>
    <row r="131" ht="16.5" customHeight="1">
      <c r="A131" s="305"/>
      <c r="B131" s="453"/>
      <c r="C131" s="455"/>
      <c r="D131" s="455"/>
      <c r="E131" s="625"/>
      <c r="F131" s="615"/>
      <c r="G131" s="305"/>
      <c r="H131" s="305"/>
      <c r="I131" s="305"/>
      <c r="J131" s="305"/>
      <c r="K131" s="305"/>
      <c r="L131" s="305"/>
      <c r="M131" s="305"/>
      <c r="N131" s="305"/>
      <c r="O131" s="307"/>
      <c r="P131" s="307"/>
      <c r="Q131" s="307"/>
      <c r="R131" s="307"/>
      <c r="S131" s="307"/>
      <c r="T131" s="307"/>
      <c r="U131" s="307"/>
    </row>
    <row r="132" ht="16.5" customHeight="1">
      <c r="A132" s="305"/>
      <c r="B132" s="453"/>
      <c r="C132" s="455"/>
      <c r="D132" s="455"/>
      <c r="E132" s="625"/>
      <c r="F132" s="615"/>
      <c r="G132" s="305"/>
      <c r="H132" s="305"/>
      <c r="I132" s="305"/>
      <c r="J132" s="305"/>
      <c r="K132" s="305"/>
      <c r="L132" s="305"/>
      <c r="M132" s="305"/>
      <c r="N132" s="305"/>
      <c r="O132" s="307"/>
      <c r="P132" s="307"/>
      <c r="Q132" s="307"/>
      <c r="R132" s="307"/>
      <c r="S132" s="307"/>
      <c r="T132" s="307"/>
      <c r="U132" s="307"/>
    </row>
    <row r="133" ht="16.5" customHeight="1">
      <c r="A133" s="305"/>
      <c r="B133" s="453"/>
      <c r="C133" s="455"/>
      <c r="D133" s="455"/>
      <c r="E133" s="625"/>
      <c r="F133" s="615"/>
      <c r="G133" s="305"/>
      <c r="H133" s="305"/>
      <c r="I133" s="305"/>
      <c r="J133" s="305"/>
      <c r="K133" s="305"/>
      <c r="L133" s="305"/>
      <c r="M133" s="305"/>
      <c r="N133" s="305"/>
      <c r="O133" s="307"/>
      <c r="P133" s="307"/>
      <c r="Q133" s="307"/>
      <c r="R133" s="307"/>
      <c r="S133" s="307"/>
      <c r="T133" s="307"/>
      <c r="U133" s="307"/>
    </row>
    <row r="134" ht="16.5" customHeight="1">
      <c r="A134" s="305"/>
      <c r="B134" s="453"/>
      <c r="C134" s="455"/>
      <c r="D134" s="455"/>
      <c r="E134" s="625"/>
      <c r="F134" s="615"/>
      <c r="G134" s="305"/>
      <c r="H134" s="305"/>
      <c r="I134" s="305"/>
      <c r="J134" s="305"/>
      <c r="K134" s="305"/>
      <c r="L134" s="305"/>
      <c r="M134" s="305"/>
      <c r="N134" s="305"/>
      <c r="O134" s="307"/>
      <c r="P134" s="307"/>
      <c r="Q134" s="307"/>
      <c r="R134" s="307"/>
      <c r="S134" s="307"/>
      <c r="T134" s="307"/>
      <c r="U134" s="307"/>
    </row>
    <row r="135" ht="16.5" customHeight="1">
      <c r="A135" s="305"/>
      <c r="B135" s="453"/>
      <c r="C135" s="455"/>
      <c r="D135" s="455"/>
      <c r="E135" s="625"/>
      <c r="F135" s="615"/>
      <c r="G135" s="305"/>
      <c r="H135" s="305"/>
      <c r="I135" s="305"/>
      <c r="J135" s="305"/>
      <c r="K135" s="305"/>
      <c r="L135" s="305"/>
      <c r="M135" s="305"/>
      <c r="N135" s="305"/>
      <c r="O135" s="307"/>
      <c r="P135" s="307"/>
      <c r="Q135" s="307"/>
      <c r="R135" s="307"/>
      <c r="S135" s="307"/>
      <c r="T135" s="307"/>
      <c r="U135" s="307"/>
    </row>
    <row r="136" ht="16.5" customHeight="1">
      <c r="A136" s="305"/>
      <c r="B136" s="453"/>
      <c r="C136" s="455"/>
      <c r="D136" s="455"/>
      <c r="E136" s="625"/>
      <c r="F136" s="615"/>
      <c r="G136" s="305"/>
      <c r="H136" s="305"/>
      <c r="I136" s="305"/>
      <c r="J136" s="305"/>
      <c r="K136" s="305"/>
      <c r="L136" s="305"/>
      <c r="M136" s="305"/>
      <c r="N136" s="305"/>
      <c r="O136" s="307"/>
      <c r="P136" s="307"/>
      <c r="Q136" s="307"/>
      <c r="R136" s="307"/>
      <c r="S136" s="307"/>
      <c r="T136" s="307"/>
      <c r="U136" s="307"/>
    </row>
    <row r="137" ht="16.5" customHeight="1">
      <c r="A137" s="305"/>
      <c r="B137" s="453"/>
      <c r="C137" s="455"/>
      <c r="D137" s="455"/>
      <c r="E137" s="625"/>
      <c r="F137" s="615"/>
      <c r="G137" s="305"/>
      <c r="H137" s="305"/>
      <c r="I137" s="305"/>
      <c r="J137" s="305"/>
      <c r="K137" s="305"/>
      <c r="L137" s="305"/>
      <c r="M137" s="305"/>
      <c r="N137" s="305"/>
      <c r="O137" s="307"/>
      <c r="P137" s="307"/>
      <c r="Q137" s="307"/>
      <c r="R137" s="307"/>
      <c r="S137" s="307"/>
      <c r="T137" s="307"/>
      <c r="U137" s="307"/>
    </row>
    <row r="138" ht="16.5" customHeight="1">
      <c r="A138" s="305"/>
      <c r="B138" s="453"/>
      <c r="C138" s="455"/>
      <c r="D138" s="455"/>
      <c r="E138" s="625"/>
      <c r="F138" s="615"/>
      <c r="G138" s="305"/>
      <c r="H138" s="305"/>
      <c r="I138" s="305"/>
      <c r="J138" s="305"/>
      <c r="K138" s="305"/>
      <c r="L138" s="305"/>
      <c r="M138" s="305"/>
      <c r="N138" s="305"/>
      <c r="O138" s="307"/>
      <c r="P138" s="307"/>
      <c r="Q138" s="307"/>
      <c r="R138" s="307"/>
      <c r="S138" s="307"/>
      <c r="T138" s="307"/>
      <c r="U138" s="307"/>
    </row>
    <row r="139" ht="16.5" customHeight="1">
      <c r="A139" s="305"/>
      <c r="B139" s="453"/>
      <c r="C139" s="455"/>
      <c r="D139" s="455"/>
      <c r="E139" s="625"/>
      <c r="F139" s="615"/>
      <c r="G139" s="305"/>
      <c r="H139" s="305"/>
      <c r="I139" s="305"/>
      <c r="J139" s="305"/>
      <c r="K139" s="305"/>
      <c r="L139" s="305"/>
      <c r="M139" s="305"/>
      <c r="N139" s="305"/>
      <c r="O139" s="307"/>
      <c r="P139" s="307"/>
      <c r="Q139" s="307"/>
      <c r="R139" s="307"/>
      <c r="S139" s="307"/>
      <c r="T139" s="307"/>
      <c r="U139" s="307"/>
    </row>
    <row r="140" ht="16.5" customHeight="1">
      <c r="A140" s="305"/>
      <c r="B140" s="453"/>
      <c r="C140" s="455"/>
      <c r="D140" s="455"/>
      <c r="E140" s="625"/>
      <c r="F140" s="615"/>
      <c r="G140" s="305"/>
      <c r="H140" s="305"/>
      <c r="I140" s="305"/>
      <c r="J140" s="305"/>
      <c r="K140" s="305"/>
      <c r="L140" s="305"/>
      <c r="M140" s="305"/>
      <c r="N140" s="305"/>
      <c r="O140" s="307"/>
      <c r="P140" s="307"/>
      <c r="Q140" s="307"/>
      <c r="R140" s="307"/>
      <c r="S140" s="307"/>
      <c r="T140" s="307"/>
      <c r="U140" s="307"/>
    </row>
    <row r="141" ht="16.5" customHeight="1">
      <c r="A141" s="305"/>
      <c r="B141" s="453"/>
      <c r="C141" s="455"/>
      <c r="D141" s="455"/>
      <c r="E141" s="625"/>
      <c r="F141" s="615"/>
      <c r="G141" s="305"/>
      <c r="H141" s="305"/>
      <c r="I141" s="305"/>
      <c r="J141" s="305"/>
      <c r="K141" s="305"/>
      <c r="L141" s="305"/>
      <c r="M141" s="305"/>
      <c r="N141" s="305"/>
      <c r="O141" s="307"/>
      <c r="P141" s="307"/>
      <c r="Q141" s="307"/>
      <c r="R141" s="307"/>
      <c r="S141" s="307"/>
      <c r="T141" s="307"/>
      <c r="U141" s="307"/>
    </row>
    <row r="142" ht="16.5" customHeight="1">
      <c r="A142" s="305"/>
      <c r="B142" s="453"/>
      <c r="C142" s="455"/>
      <c r="D142" s="455"/>
      <c r="E142" s="625"/>
      <c r="F142" s="615"/>
      <c r="G142" s="305"/>
      <c r="H142" s="305"/>
      <c r="I142" s="305"/>
      <c r="J142" s="305"/>
      <c r="K142" s="305"/>
      <c r="L142" s="305"/>
      <c r="M142" s="305"/>
      <c r="N142" s="305"/>
      <c r="O142" s="307"/>
      <c r="P142" s="307"/>
      <c r="Q142" s="307"/>
      <c r="R142" s="307"/>
      <c r="S142" s="307"/>
      <c r="T142" s="307"/>
      <c r="U142" s="307"/>
    </row>
    <row r="143" ht="16.5" customHeight="1">
      <c r="A143" s="305"/>
      <c r="B143" s="453"/>
      <c r="C143" s="455"/>
      <c r="D143" s="455"/>
      <c r="E143" s="625"/>
      <c r="F143" s="615"/>
      <c r="G143" s="305"/>
      <c r="H143" s="305"/>
      <c r="I143" s="305"/>
      <c r="J143" s="305"/>
      <c r="K143" s="305"/>
      <c r="L143" s="305"/>
      <c r="M143" s="305"/>
      <c r="N143" s="305"/>
      <c r="O143" s="307"/>
      <c r="P143" s="307"/>
      <c r="Q143" s="307"/>
      <c r="R143" s="307"/>
      <c r="S143" s="307"/>
      <c r="T143" s="307"/>
      <c r="U143" s="307"/>
    </row>
    <row r="144" ht="16.5" customHeight="1">
      <c r="A144" s="305"/>
      <c r="B144" s="453"/>
      <c r="C144" s="455"/>
      <c r="D144" s="455"/>
      <c r="E144" s="625"/>
      <c r="F144" s="615"/>
      <c r="G144" s="305"/>
      <c r="H144" s="305"/>
      <c r="I144" s="305"/>
      <c r="J144" s="305"/>
      <c r="K144" s="305"/>
      <c r="L144" s="305"/>
      <c r="M144" s="305"/>
      <c r="N144" s="305"/>
      <c r="O144" s="307"/>
      <c r="P144" s="307"/>
      <c r="Q144" s="307"/>
      <c r="R144" s="307"/>
      <c r="S144" s="307"/>
      <c r="T144" s="307"/>
      <c r="U144" s="307"/>
    </row>
    <row r="145" ht="16.5" customHeight="1">
      <c r="A145" s="305"/>
      <c r="B145" s="453"/>
      <c r="C145" s="455"/>
      <c r="D145" s="455"/>
      <c r="E145" s="625"/>
      <c r="F145" s="615"/>
      <c r="G145" s="305"/>
      <c r="H145" s="305"/>
      <c r="I145" s="305"/>
      <c r="J145" s="305"/>
      <c r="K145" s="305"/>
      <c r="L145" s="305"/>
      <c r="M145" s="305"/>
      <c r="N145" s="305"/>
      <c r="O145" s="307"/>
      <c r="P145" s="307"/>
      <c r="Q145" s="307"/>
      <c r="R145" s="307"/>
      <c r="S145" s="307"/>
      <c r="T145" s="307"/>
      <c r="U145" s="307"/>
    </row>
    <row r="146" ht="16.5" customHeight="1">
      <c r="A146" s="305"/>
      <c r="B146" s="453"/>
      <c r="C146" s="455"/>
      <c r="D146" s="455"/>
      <c r="E146" s="625"/>
      <c r="F146" s="615"/>
      <c r="G146" s="305"/>
      <c r="H146" s="305"/>
      <c r="I146" s="305"/>
      <c r="J146" s="305"/>
      <c r="K146" s="305"/>
      <c r="L146" s="305"/>
      <c r="M146" s="305"/>
      <c r="N146" s="305"/>
      <c r="O146" s="307"/>
      <c r="P146" s="307"/>
      <c r="Q146" s="307"/>
      <c r="R146" s="307"/>
      <c r="S146" s="307"/>
      <c r="T146" s="307"/>
      <c r="U146" s="307"/>
    </row>
    <row r="147" ht="16.5" customHeight="1">
      <c r="A147" s="305"/>
      <c r="B147" s="453"/>
      <c r="C147" s="455"/>
      <c r="D147" s="455"/>
      <c r="E147" s="625"/>
      <c r="F147" s="615"/>
      <c r="G147" s="305"/>
      <c r="H147" s="305"/>
      <c r="I147" s="305"/>
      <c r="J147" s="305"/>
      <c r="K147" s="305"/>
      <c r="L147" s="305"/>
      <c r="M147" s="305"/>
      <c r="N147" s="305"/>
      <c r="O147" s="307"/>
      <c r="P147" s="307"/>
      <c r="Q147" s="307"/>
      <c r="R147" s="307"/>
      <c r="S147" s="307"/>
      <c r="T147" s="307"/>
      <c r="U147" s="307"/>
    </row>
    <row r="148" ht="16.5" customHeight="1">
      <c r="A148" s="305"/>
      <c r="B148" s="453"/>
      <c r="C148" s="455"/>
      <c r="D148" s="455"/>
      <c r="E148" s="625"/>
      <c r="F148" s="615"/>
      <c r="G148" s="305"/>
      <c r="H148" s="305"/>
      <c r="I148" s="305"/>
      <c r="J148" s="305"/>
      <c r="K148" s="305"/>
      <c r="L148" s="305"/>
      <c r="M148" s="305"/>
      <c r="N148" s="305"/>
      <c r="O148" s="307"/>
      <c r="P148" s="307"/>
      <c r="Q148" s="307"/>
      <c r="R148" s="307"/>
      <c r="S148" s="307"/>
      <c r="T148" s="307"/>
      <c r="U148" s="307"/>
    </row>
    <row r="149" ht="16.5" customHeight="1">
      <c r="A149" s="305"/>
      <c r="B149" s="453"/>
      <c r="C149" s="455"/>
      <c r="D149" s="455"/>
      <c r="E149" s="625"/>
      <c r="F149" s="615"/>
      <c r="G149" s="305"/>
      <c r="H149" s="305"/>
      <c r="I149" s="305"/>
      <c r="J149" s="305"/>
      <c r="K149" s="305"/>
      <c r="L149" s="305"/>
      <c r="M149" s="305"/>
      <c r="N149" s="305"/>
      <c r="O149" s="307"/>
      <c r="P149" s="307"/>
      <c r="Q149" s="307"/>
      <c r="R149" s="307"/>
      <c r="S149" s="307"/>
      <c r="T149" s="307"/>
      <c r="U149" s="307"/>
    </row>
    <row r="150" ht="16.5" customHeight="1">
      <c r="A150" s="305"/>
      <c r="B150" s="453"/>
      <c r="C150" s="455"/>
      <c r="D150" s="455"/>
      <c r="E150" s="625"/>
      <c r="F150" s="615"/>
      <c r="G150" s="305"/>
      <c r="H150" s="305"/>
      <c r="I150" s="305"/>
      <c r="J150" s="305"/>
      <c r="K150" s="305"/>
      <c r="L150" s="305"/>
      <c r="M150" s="305"/>
      <c r="N150" s="305"/>
      <c r="O150" s="307"/>
      <c r="P150" s="307"/>
      <c r="Q150" s="307"/>
      <c r="R150" s="307"/>
      <c r="S150" s="307"/>
      <c r="T150" s="307"/>
      <c r="U150" s="307"/>
    </row>
    <row r="151" ht="16.5" customHeight="1">
      <c r="A151" s="305"/>
      <c r="B151" s="453"/>
      <c r="C151" s="455"/>
      <c r="D151" s="455"/>
      <c r="E151" s="625"/>
      <c r="F151" s="615"/>
      <c r="G151" s="305"/>
      <c r="H151" s="305"/>
      <c r="I151" s="305"/>
      <c r="J151" s="305"/>
      <c r="K151" s="305"/>
      <c r="L151" s="305"/>
      <c r="M151" s="305"/>
      <c r="N151" s="305"/>
      <c r="O151" s="307"/>
      <c r="P151" s="307"/>
      <c r="Q151" s="307"/>
      <c r="R151" s="307"/>
      <c r="S151" s="307"/>
      <c r="T151" s="307"/>
      <c r="U151" s="307"/>
    </row>
    <row r="152" ht="16.5" customHeight="1">
      <c r="A152" s="305"/>
      <c r="B152" s="453"/>
      <c r="C152" s="455"/>
      <c r="D152" s="455"/>
      <c r="E152" s="625"/>
      <c r="F152" s="615"/>
      <c r="G152" s="305"/>
      <c r="H152" s="305"/>
      <c r="I152" s="305"/>
      <c r="J152" s="305"/>
      <c r="K152" s="305"/>
      <c r="L152" s="305"/>
      <c r="M152" s="305"/>
      <c r="N152" s="305"/>
      <c r="O152" s="307"/>
      <c r="P152" s="307"/>
      <c r="Q152" s="307"/>
      <c r="R152" s="307"/>
      <c r="S152" s="307"/>
      <c r="T152" s="307"/>
      <c r="U152" s="307"/>
    </row>
    <row r="153" ht="16.5" customHeight="1">
      <c r="A153" s="305"/>
      <c r="B153" s="453"/>
      <c r="C153" s="455"/>
      <c r="D153" s="455"/>
      <c r="E153" s="625"/>
      <c r="F153" s="615"/>
      <c r="G153" s="305"/>
      <c r="H153" s="305"/>
      <c r="I153" s="305"/>
      <c r="J153" s="305"/>
      <c r="K153" s="305"/>
      <c r="L153" s="305"/>
      <c r="M153" s="305"/>
      <c r="N153" s="305"/>
      <c r="O153" s="307"/>
      <c r="P153" s="307"/>
      <c r="Q153" s="307"/>
      <c r="R153" s="307"/>
      <c r="S153" s="307"/>
      <c r="T153" s="307"/>
      <c r="U153" s="307"/>
    </row>
    <row r="154" ht="16.5" customHeight="1">
      <c r="A154" s="305"/>
      <c r="B154" s="453"/>
      <c r="C154" s="455"/>
      <c r="D154" s="455"/>
      <c r="E154" s="625"/>
      <c r="F154" s="615"/>
      <c r="G154" s="305"/>
      <c r="H154" s="305"/>
      <c r="I154" s="305"/>
      <c r="J154" s="305"/>
      <c r="K154" s="305"/>
      <c r="L154" s="305"/>
      <c r="M154" s="305"/>
      <c r="N154" s="305"/>
      <c r="O154" s="307"/>
      <c r="P154" s="307"/>
      <c r="Q154" s="307"/>
      <c r="R154" s="307"/>
      <c r="S154" s="307"/>
      <c r="T154" s="307"/>
      <c r="U154" s="307"/>
    </row>
    <row r="155" ht="16.5" customHeight="1">
      <c r="A155" s="305"/>
      <c r="B155" s="453"/>
      <c r="C155" s="455"/>
      <c r="D155" s="455"/>
      <c r="E155" s="625"/>
      <c r="F155" s="615"/>
      <c r="G155" s="305"/>
      <c r="H155" s="305"/>
      <c r="I155" s="305"/>
      <c r="J155" s="305"/>
      <c r="K155" s="305"/>
      <c r="L155" s="305"/>
      <c r="M155" s="305"/>
      <c r="N155" s="305"/>
      <c r="O155" s="307"/>
      <c r="P155" s="307"/>
      <c r="Q155" s="307"/>
      <c r="R155" s="307"/>
      <c r="S155" s="307"/>
      <c r="T155" s="307"/>
      <c r="U155" s="307"/>
    </row>
    <row r="156" ht="16.5" customHeight="1">
      <c r="A156" s="305"/>
      <c r="B156" s="453"/>
      <c r="C156" s="455"/>
      <c r="D156" s="455"/>
      <c r="E156" s="625"/>
      <c r="F156" s="615"/>
      <c r="G156" s="305"/>
      <c r="H156" s="305"/>
      <c r="I156" s="305"/>
      <c r="J156" s="305"/>
      <c r="K156" s="305"/>
      <c r="L156" s="305"/>
      <c r="M156" s="305"/>
      <c r="N156" s="305"/>
      <c r="O156" s="307"/>
      <c r="P156" s="307"/>
      <c r="Q156" s="307"/>
      <c r="R156" s="307"/>
      <c r="S156" s="307"/>
      <c r="T156" s="307"/>
      <c r="U156" s="307"/>
    </row>
    <row r="157" ht="16.5" customHeight="1">
      <c r="A157" s="305"/>
      <c r="B157" s="453"/>
      <c r="C157" s="455"/>
      <c r="D157" s="455"/>
      <c r="E157" s="625"/>
      <c r="F157" s="615"/>
      <c r="G157" s="305"/>
      <c r="H157" s="305"/>
      <c r="I157" s="305"/>
      <c r="J157" s="305"/>
      <c r="K157" s="305"/>
      <c r="L157" s="305"/>
      <c r="M157" s="305"/>
      <c r="N157" s="305"/>
      <c r="O157" s="307"/>
      <c r="P157" s="307"/>
      <c r="Q157" s="307"/>
      <c r="R157" s="307"/>
      <c r="S157" s="307"/>
      <c r="T157" s="307"/>
      <c r="U157" s="307"/>
    </row>
    <row r="158" ht="16.5" customHeight="1">
      <c r="A158" s="305"/>
      <c r="B158" s="453"/>
      <c r="C158" s="455"/>
      <c r="D158" s="455"/>
      <c r="E158" s="625"/>
      <c r="F158" s="615"/>
      <c r="G158" s="305"/>
      <c r="H158" s="305"/>
      <c r="I158" s="305"/>
      <c r="J158" s="305"/>
      <c r="K158" s="305"/>
      <c r="L158" s="305"/>
      <c r="M158" s="305"/>
      <c r="N158" s="305"/>
      <c r="O158" s="307"/>
      <c r="P158" s="307"/>
      <c r="Q158" s="307"/>
      <c r="R158" s="307"/>
      <c r="S158" s="307"/>
      <c r="T158" s="307"/>
      <c r="U158" s="307"/>
    </row>
    <row r="159" ht="16.5" customHeight="1">
      <c r="A159" s="305"/>
      <c r="B159" s="453"/>
      <c r="C159" s="455"/>
      <c r="D159" s="455"/>
      <c r="E159" s="625"/>
      <c r="F159" s="615"/>
      <c r="G159" s="305"/>
      <c r="H159" s="305"/>
      <c r="I159" s="305"/>
      <c r="J159" s="305"/>
      <c r="K159" s="305"/>
      <c r="L159" s="305"/>
      <c r="M159" s="305"/>
      <c r="N159" s="305"/>
      <c r="O159" s="307"/>
      <c r="P159" s="307"/>
      <c r="Q159" s="307"/>
      <c r="R159" s="307"/>
      <c r="S159" s="307"/>
      <c r="T159" s="307"/>
      <c r="U159" s="307"/>
    </row>
    <row r="160" ht="16.5" customHeight="1">
      <c r="A160" s="305"/>
      <c r="B160" s="453"/>
      <c r="C160" s="455"/>
      <c r="D160" s="455"/>
      <c r="E160" s="625"/>
      <c r="F160" s="615"/>
      <c r="G160" s="305"/>
      <c r="H160" s="305"/>
      <c r="I160" s="305"/>
      <c r="J160" s="305"/>
      <c r="K160" s="305"/>
      <c r="L160" s="305"/>
      <c r="M160" s="305"/>
      <c r="N160" s="305"/>
      <c r="O160" s="307"/>
      <c r="P160" s="307"/>
      <c r="Q160" s="307"/>
      <c r="R160" s="307"/>
      <c r="S160" s="307"/>
      <c r="T160" s="307"/>
      <c r="U160" s="307"/>
    </row>
    <row r="161" ht="16.5" customHeight="1">
      <c r="A161" s="305"/>
      <c r="B161" s="453"/>
      <c r="C161" s="455"/>
      <c r="D161" s="455"/>
      <c r="E161" s="625"/>
      <c r="F161" s="615"/>
      <c r="G161" s="305"/>
      <c r="H161" s="305"/>
      <c r="I161" s="305"/>
      <c r="J161" s="305"/>
      <c r="K161" s="305"/>
      <c r="L161" s="305"/>
      <c r="M161" s="305"/>
      <c r="N161" s="305"/>
      <c r="O161" s="307"/>
      <c r="P161" s="307"/>
      <c r="Q161" s="307"/>
      <c r="R161" s="307"/>
      <c r="S161" s="307"/>
      <c r="T161" s="307"/>
      <c r="U161" s="307"/>
    </row>
    <row r="162" ht="16.5" customHeight="1">
      <c r="A162" s="305"/>
      <c r="B162" s="453"/>
      <c r="C162" s="455"/>
      <c r="D162" s="455"/>
      <c r="E162" s="625"/>
      <c r="F162" s="615"/>
      <c r="G162" s="305"/>
      <c r="H162" s="305"/>
      <c r="I162" s="305"/>
      <c r="J162" s="305"/>
      <c r="K162" s="305"/>
      <c r="L162" s="305"/>
      <c r="M162" s="305"/>
      <c r="N162" s="305"/>
      <c r="O162" s="307"/>
      <c r="P162" s="307"/>
      <c r="Q162" s="307"/>
      <c r="R162" s="307"/>
      <c r="S162" s="307"/>
      <c r="T162" s="307"/>
      <c r="U162" s="307"/>
    </row>
    <row r="163" ht="16.5" customHeight="1">
      <c r="A163" s="305"/>
      <c r="B163" s="453"/>
      <c r="C163" s="455"/>
      <c r="D163" s="455"/>
      <c r="E163" s="625"/>
      <c r="F163" s="615"/>
      <c r="G163" s="305"/>
      <c r="H163" s="305"/>
      <c r="I163" s="305"/>
      <c r="J163" s="305"/>
      <c r="K163" s="305"/>
      <c r="L163" s="305"/>
      <c r="M163" s="305"/>
      <c r="N163" s="305"/>
      <c r="O163" s="307"/>
      <c r="P163" s="307"/>
      <c r="Q163" s="307"/>
      <c r="R163" s="307"/>
      <c r="S163" s="307"/>
      <c r="T163" s="307"/>
      <c r="U163" s="307"/>
    </row>
    <row r="164" ht="16.5" customHeight="1">
      <c r="A164" s="305"/>
      <c r="B164" s="453"/>
      <c r="C164" s="455"/>
      <c r="D164" s="455"/>
      <c r="E164" s="625"/>
      <c r="F164" s="615"/>
      <c r="G164" s="305"/>
      <c r="H164" s="305"/>
      <c r="I164" s="305"/>
      <c r="J164" s="305"/>
      <c r="K164" s="305"/>
      <c r="L164" s="305"/>
      <c r="M164" s="305"/>
      <c r="N164" s="305"/>
      <c r="O164" s="307"/>
      <c r="P164" s="307"/>
      <c r="Q164" s="307"/>
      <c r="R164" s="307"/>
      <c r="S164" s="307"/>
      <c r="T164" s="307"/>
      <c r="U164" s="307"/>
    </row>
    <row r="165" ht="16.5" customHeight="1">
      <c r="A165" s="305"/>
      <c r="B165" s="453"/>
      <c r="C165" s="455"/>
      <c r="D165" s="455"/>
      <c r="E165" s="625"/>
      <c r="F165" s="615"/>
      <c r="G165" s="305"/>
      <c r="H165" s="305"/>
      <c r="I165" s="305"/>
      <c r="J165" s="305"/>
      <c r="K165" s="305"/>
      <c r="L165" s="305"/>
      <c r="M165" s="305"/>
      <c r="N165" s="305"/>
      <c r="O165" s="307"/>
      <c r="P165" s="307"/>
      <c r="Q165" s="307"/>
      <c r="R165" s="307"/>
      <c r="S165" s="307"/>
      <c r="T165" s="307"/>
      <c r="U165" s="307"/>
    </row>
    <row r="166" ht="16.5" customHeight="1">
      <c r="A166" s="305"/>
      <c r="B166" s="453"/>
      <c r="C166" s="455"/>
      <c r="D166" s="455"/>
      <c r="E166" s="625"/>
      <c r="F166" s="615"/>
      <c r="G166" s="305"/>
      <c r="H166" s="305"/>
      <c r="I166" s="305"/>
      <c r="J166" s="305"/>
      <c r="K166" s="305"/>
      <c r="L166" s="305"/>
      <c r="M166" s="305"/>
      <c r="N166" s="305"/>
      <c r="O166" s="307"/>
      <c r="P166" s="307"/>
      <c r="Q166" s="307"/>
      <c r="R166" s="307"/>
      <c r="S166" s="307"/>
      <c r="T166" s="307"/>
      <c r="U166" s="307"/>
    </row>
    <row r="167" ht="16.5" customHeight="1">
      <c r="A167" s="305"/>
      <c r="B167" s="453"/>
      <c r="C167" s="455"/>
      <c r="D167" s="455"/>
      <c r="E167" s="625"/>
      <c r="F167" s="615"/>
      <c r="G167" s="305"/>
      <c r="H167" s="305"/>
      <c r="I167" s="305"/>
      <c r="J167" s="305"/>
      <c r="K167" s="305"/>
      <c r="L167" s="305"/>
      <c r="M167" s="305"/>
      <c r="N167" s="305"/>
      <c r="O167" s="307"/>
      <c r="P167" s="307"/>
      <c r="Q167" s="307"/>
      <c r="R167" s="307"/>
      <c r="S167" s="307"/>
      <c r="T167" s="307"/>
      <c r="U167" s="307"/>
    </row>
    <row r="168" ht="16.5" customHeight="1">
      <c r="A168" s="305"/>
      <c r="B168" s="453"/>
      <c r="C168" s="455"/>
      <c r="D168" s="455"/>
      <c r="E168" s="625"/>
      <c r="F168" s="615"/>
      <c r="G168" s="305"/>
      <c r="H168" s="305"/>
      <c r="I168" s="305"/>
      <c r="J168" s="305"/>
      <c r="K168" s="305"/>
      <c r="L168" s="305"/>
      <c r="M168" s="305"/>
      <c r="N168" s="305"/>
      <c r="O168" s="307"/>
      <c r="P168" s="307"/>
      <c r="Q168" s="307"/>
      <c r="R168" s="307"/>
      <c r="S168" s="307"/>
      <c r="T168" s="307"/>
      <c r="U168" s="307"/>
    </row>
    <row r="169" ht="16.5" customHeight="1">
      <c r="A169" s="305"/>
      <c r="B169" s="453"/>
      <c r="C169" s="455"/>
      <c r="D169" s="455"/>
      <c r="E169" s="625"/>
      <c r="F169" s="615"/>
      <c r="G169" s="305"/>
      <c r="H169" s="305"/>
      <c r="I169" s="305"/>
      <c r="J169" s="305"/>
      <c r="K169" s="305"/>
      <c r="L169" s="305"/>
      <c r="M169" s="305"/>
      <c r="N169" s="305"/>
      <c r="O169" s="307"/>
      <c r="P169" s="307"/>
      <c r="Q169" s="307"/>
      <c r="R169" s="307"/>
      <c r="S169" s="307"/>
      <c r="T169" s="307"/>
      <c r="U169" s="307"/>
    </row>
    <row r="170" ht="16.5" customHeight="1">
      <c r="A170" s="305"/>
      <c r="B170" s="453"/>
      <c r="C170" s="455"/>
      <c r="D170" s="455"/>
      <c r="E170" s="625"/>
      <c r="F170" s="615"/>
      <c r="G170" s="305"/>
      <c r="H170" s="305"/>
      <c r="I170" s="305"/>
      <c r="J170" s="305"/>
      <c r="K170" s="305"/>
      <c r="L170" s="305"/>
      <c r="M170" s="305"/>
      <c r="N170" s="305"/>
      <c r="O170" s="307"/>
      <c r="P170" s="307"/>
      <c r="Q170" s="307"/>
      <c r="R170" s="307"/>
      <c r="S170" s="307"/>
      <c r="T170" s="307"/>
      <c r="U170" s="307"/>
    </row>
    <row r="171" ht="16.5" customHeight="1">
      <c r="A171" s="305"/>
      <c r="B171" s="453"/>
      <c r="C171" s="455"/>
      <c r="D171" s="455"/>
      <c r="E171" s="625"/>
      <c r="F171" s="615"/>
      <c r="G171" s="305"/>
      <c r="H171" s="305"/>
      <c r="I171" s="305"/>
      <c r="J171" s="305"/>
      <c r="K171" s="305"/>
      <c r="L171" s="305"/>
      <c r="M171" s="305"/>
      <c r="N171" s="305"/>
      <c r="O171" s="307"/>
      <c r="P171" s="307"/>
      <c r="Q171" s="307"/>
      <c r="R171" s="307"/>
      <c r="S171" s="307"/>
      <c r="T171" s="307"/>
      <c r="U171" s="307"/>
    </row>
    <row r="172" ht="16.5" customHeight="1">
      <c r="A172" s="305"/>
      <c r="B172" s="453"/>
      <c r="C172" s="455"/>
      <c r="D172" s="455"/>
      <c r="E172" s="625"/>
      <c r="F172" s="615"/>
      <c r="G172" s="305"/>
      <c r="H172" s="305"/>
      <c r="I172" s="305"/>
      <c r="J172" s="305"/>
      <c r="K172" s="305"/>
      <c r="L172" s="305"/>
      <c r="M172" s="305"/>
      <c r="N172" s="305"/>
      <c r="O172" s="307"/>
      <c r="P172" s="307"/>
      <c r="Q172" s="307"/>
      <c r="R172" s="307"/>
      <c r="S172" s="307"/>
      <c r="T172" s="307"/>
      <c r="U172" s="307"/>
    </row>
    <row r="173" ht="16.5" customHeight="1">
      <c r="A173" s="305"/>
      <c r="B173" s="453"/>
      <c r="C173" s="455"/>
      <c r="D173" s="455"/>
      <c r="E173" s="625"/>
      <c r="F173" s="615"/>
      <c r="G173" s="305"/>
      <c r="H173" s="305"/>
      <c r="I173" s="305"/>
      <c r="J173" s="305"/>
      <c r="K173" s="305"/>
      <c r="L173" s="305"/>
      <c r="M173" s="305"/>
      <c r="N173" s="305"/>
      <c r="O173" s="307"/>
      <c r="P173" s="307"/>
      <c r="Q173" s="307"/>
      <c r="R173" s="307"/>
      <c r="S173" s="307"/>
      <c r="T173" s="307"/>
      <c r="U173" s="307"/>
    </row>
    <row r="174" ht="16.5" customHeight="1">
      <c r="A174" s="305"/>
      <c r="B174" s="453"/>
      <c r="C174" s="455"/>
      <c r="D174" s="455"/>
      <c r="E174" s="625"/>
      <c r="F174" s="615"/>
      <c r="G174" s="305"/>
      <c r="H174" s="305"/>
      <c r="I174" s="305"/>
      <c r="J174" s="305"/>
      <c r="K174" s="305"/>
      <c r="L174" s="305"/>
      <c r="M174" s="305"/>
      <c r="N174" s="305"/>
      <c r="O174" s="307"/>
      <c r="P174" s="307"/>
      <c r="Q174" s="307"/>
      <c r="R174" s="307"/>
      <c r="S174" s="307"/>
      <c r="T174" s="307"/>
      <c r="U174" s="307"/>
    </row>
    <row r="175" ht="16.5" customHeight="1">
      <c r="A175" s="305"/>
      <c r="B175" s="453"/>
      <c r="C175" s="455"/>
      <c r="D175" s="455"/>
      <c r="E175" s="625"/>
      <c r="F175" s="615"/>
      <c r="G175" s="305"/>
      <c r="H175" s="305"/>
      <c r="I175" s="305"/>
      <c r="J175" s="305"/>
      <c r="K175" s="305"/>
      <c r="L175" s="305"/>
      <c r="M175" s="305"/>
      <c r="N175" s="305"/>
      <c r="O175" s="307"/>
      <c r="P175" s="307"/>
      <c r="Q175" s="307"/>
      <c r="R175" s="307"/>
      <c r="S175" s="307"/>
      <c r="T175" s="307"/>
      <c r="U175" s="307"/>
    </row>
    <row r="176" ht="16.5" customHeight="1">
      <c r="A176" s="305"/>
      <c r="B176" s="453"/>
      <c r="C176" s="455"/>
      <c r="D176" s="455"/>
      <c r="E176" s="625"/>
      <c r="F176" s="615"/>
      <c r="G176" s="305"/>
      <c r="H176" s="305"/>
      <c r="I176" s="305"/>
      <c r="J176" s="305"/>
      <c r="K176" s="305"/>
      <c r="L176" s="305"/>
      <c r="M176" s="305"/>
      <c r="N176" s="305"/>
      <c r="O176" s="307"/>
      <c r="P176" s="307"/>
      <c r="Q176" s="307"/>
      <c r="R176" s="307"/>
      <c r="S176" s="307"/>
      <c r="T176" s="307"/>
      <c r="U176" s="307"/>
    </row>
    <row r="177" ht="16.5" customHeight="1">
      <c r="A177" s="305"/>
      <c r="B177" s="453"/>
      <c r="C177" s="455"/>
      <c r="D177" s="455"/>
      <c r="E177" s="625"/>
      <c r="F177" s="615"/>
      <c r="G177" s="305"/>
      <c r="H177" s="305"/>
      <c r="I177" s="305"/>
      <c r="J177" s="305"/>
      <c r="K177" s="305"/>
      <c r="L177" s="305"/>
      <c r="M177" s="305"/>
      <c r="N177" s="305"/>
      <c r="O177" s="307"/>
      <c r="P177" s="307"/>
      <c r="Q177" s="307"/>
      <c r="R177" s="307"/>
      <c r="S177" s="307"/>
      <c r="T177" s="307"/>
      <c r="U177" s="307"/>
    </row>
    <row r="178" ht="16.5" customHeight="1">
      <c r="A178" s="305"/>
      <c r="B178" s="453"/>
      <c r="C178" s="455"/>
      <c r="D178" s="455"/>
      <c r="E178" s="625"/>
      <c r="F178" s="615"/>
      <c r="G178" s="305"/>
      <c r="H178" s="305"/>
      <c r="I178" s="305"/>
      <c r="J178" s="305"/>
      <c r="K178" s="305"/>
      <c r="L178" s="305"/>
      <c r="M178" s="305"/>
      <c r="N178" s="305"/>
      <c r="O178" s="307"/>
      <c r="P178" s="307"/>
      <c r="Q178" s="307"/>
      <c r="R178" s="307"/>
      <c r="S178" s="307"/>
      <c r="T178" s="307"/>
      <c r="U178" s="307"/>
    </row>
    <row r="179" ht="16.5" customHeight="1">
      <c r="A179" s="305"/>
      <c r="B179" s="453"/>
      <c r="C179" s="455"/>
      <c r="D179" s="455"/>
      <c r="E179" s="625"/>
      <c r="F179" s="615"/>
      <c r="G179" s="305"/>
      <c r="H179" s="305"/>
      <c r="I179" s="305"/>
      <c r="J179" s="305"/>
      <c r="K179" s="305"/>
      <c r="L179" s="305"/>
      <c r="M179" s="305"/>
      <c r="N179" s="305"/>
      <c r="O179" s="307"/>
      <c r="P179" s="307"/>
      <c r="Q179" s="307"/>
      <c r="R179" s="307"/>
      <c r="S179" s="307"/>
      <c r="T179" s="307"/>
      <c r="U179" s="307"/>
    </row>
    <row r="180" ht="16.5" customHeight="1">
      <c r="A180" s="305"/>
      <c r="B180" s="453"/>
      <c r="C180" s="455"/>
      <c r="D180" s="455"/>
      <c r="E180" s="625"/>
      <c r="F180" s="615"/>
      <c r="G180" s="305"/>
      <c r="H180" s="305"/>
      <c r="I180" s="305"/>
      <c r="J180" s="305"/>
      <c r="K180" s="305"/>
      <c r="L180" s="305"/>
      <c r="M180" s="305"/>
      <c r="N180" s="305"/>
      <c r="O180" s="307"/>
      <c r="P180" s="307"/>
      <c r="Q180" s="307"/>
      <c r="R180" s="307"/>
      <c r="S180" s="307"/>
      <c r="T180" s="307"/>
      <c r="U180" s="307"/>
    </row>
    <row r="181" ht="16.5" customHeight="1">
      <c r="A181" s="305"/>
      <c r="B181" s="453"/>
      <c r="C181" s="455"/>
      <c r="D181" s="455"/>
      <c r="E181" s="625"/>
      <c r="F181" s="615"/>
      <c r="G181" s="305"/>
      <c r="H181" s="305"/>
      <c r="I181" s="305"/>
      <c r="J181" s="305"/>
      <c r="K181" s="305"/>
      <c r="L181" s="305"/>
      <c r="M181" s="305"/>
      <c r="N181" s="305"/>
      <c r="O181" s="307"/>
      <c r="P181" s="307"/>
      <c r="Q181" s="307"/>
      <c r="R181" s="307"/>
      <c r="S181" s="307"/>
      <c r="T181" s="307"/>
      <c r="U181" s="307"/>
    </row>
    <row r="182" ht="16.5" customHeight="1">
      <c r="A182" s="305"/>
      <c r="B182" s="453"/>
      <c r="C182" s="455"/>
      <c r="D182" s="455"/>
      <c r="E182" s="625"/>
      <c r="F182" s="615"/>
      <c r="G182" s="305"/>
      <c r="H182" s="305"/>
      <c r="I182" s="305"/>
      <c r="J182" s="305"/>
      <c r="K182" s="305"/>
      <c r="L182" s="305"/>
      <c r="M182" s="305"/>
      <c r="N182" s="305"/>
      <c r="O182" s="307"/>
      <c r="P182" s="307"/>
      <c r="Q182" s="307"/>
      <c r="R182" s="307"/>
      <c r="S182" s="307"/>
      <c r="T182" s="307"/>
      <c r="U182" s="307"/>
    </row>
    <row r="183" ht="16.5" customHeight="1">
      <c r="A183" s="305"/>
      <c r="B183" s="453"/>
      <c r="C183" s="455"/>
      <c r="D183" s="455"/>
      <c r="E183" s="625"/>
      <c r="F183" s="615"/>
      <c r="G183" s="305"/>
      <c r="H183" s="305"/>
      <c r="I183" s="305"/>
      <c r="J183" s="305"/>
      <c r="K183" s="305"/>
      <c r="L183" s="305"/>
      <c r="M183" s="305"/>
      <c r="N183" s="305"/>
      <c r="O183" s="307"/>
      <c r="P183" s="307"/>
      <c r="Q183" s="307"/>
      <c r="R183" s="307"/>
      <c r="S183" s="307"/>
      <c r="T183" s="307"/>
      <c r="U183" s="307"/>
    </row>
    <row r="184" ht="16.5" customHeight="1">
      <c r="A184" s="305"/>
      <c r="B184" s="453"/>
      <c r="C184" s="455"/>
      <c r="D184" s="455"/>
      <c r="E184" s="625"/>
      <c r="F184" s="615"/>
      <c r="G184" s="305"/>
      <c r="H184" s="305"/>
      <c r="I184" s="305"/>
      <c r="J184" s="305"/>
      <c r="K184" s="305"/>
      <c r="L184" s="305"/>
      <c r="M184" s="305"/>
      <c r="N184" s="305"/>
      <c r="O184" s="307"/>
      <c r="P184" s="307"/>
      <c r="Q184" s="307"/>
      <c r="R184" s="307"/>
      <c r="S184" s="307"/>
      <c r="T184" s="307"/>
      <c r="U184" s="307"/>
    </row>
    <row r="185" ht="16.5" customHeight="1">
      <c r="A185" s="305"/>
      <c r="B185" s="453"/>
      <c r="C185" s="455"/>
      <c r="D185" s="455"/>
      <c r="E185" s="625"/>
      <c r="F185" s="615"/>
      <c r="G185" s="305"/>
      <c r="H185" s="305"/>
      <c r="I185" s="305"/>
      <c r="J185" s="305"/>
      <c r="K185" s="305"/>
      <c r="L185" s="305"/>
      <c r="M185" s="305"/>
      <c r="N185" s="305"/>
      <c r="O185" s="307"/>
      <c r="P185" s="307"/>
      <c r="Q185" s="307"/>
      <c r="R185" s="307"/>
      <c r="S185" s="307"/>
      <c r="T185" s="307"/>
      <c r="U185" s="307"/>
    </row>
    <row r="186" ht="16.5" customHeight="1">
      <c r="A186" s="305"/>
      <c r="B186" s="453"/>
      <c r="C186" s="455"/>
      <c r="D186" s="455"/>
      <c r="E186" s="625"/>
      <c r="F186" s="615"/>
      <c r="G186" s="305"/>
      <c r="H186" s="305"/>
      <c r="I186" s="305"/>
      <c r="J186" s="305"/>
      <c r="K186" s="305"/>
      <c r="L186" s="305"/>
      <c r="M186" s="305"/>
      <c r="N186" s="305"/>
      <c r="O186" s="307"/>
      <c r="P186" s="307"/>
      <c r="Q186" s="307"/>
      <c r="R186" s="307"/>
      <c r="S186" s="307"/>
      <c r="T186" s="307"/>
      <c r="U186" s="307"/>
    </row>
    <row r="187" ht="16.5" customHeight="1">
      <c r="A187" s="305"/>
      <c r="B187" s="453"/>
      <c r="C187" s="455"/>
      <c r="D187" s="455"/>
      <c r="E187" s="625"/>
      <c r="F187" s="615"/>
      <c r="G187" s="305"/>
      <c r="H187" s="305"/>
      <c r="I187" s="305"/>
      <c r="J187" s="305"/>
      <c r="K187" s="305"/>
      <c r="L187" s="305"/>
      <c r="M187" s="305"/>
      <c r="N187" s="305"/>
      <c r="O187" s="307"/>
      <c r="P187" s="307"/>
      <c r="Q187" s="307"/>
      <c r="R187" s="307"/>
      <c r="S187" s="307"/>
      <c r="T187" s="307"/>
      <c r="U187" s="307"/>
    </row>
    <row r="188" ht="16.5" customHeight="1">
      <c r="A188" s="305"/>
      <c r="B188" s="453"/>
      <c r="C188" s="455"/>
      <c r="D188" s="455"/>
      <c r="E188" s="625"/>
      <c r="F188" s="615"/>
      <c r="G188" s="305"/>
      <c r="H188" s="305"/>
      <c r="I188" s="305"/>
      <c r="J188" s="305"/>
      <c r="K188" s="305"/>
      <c r="L188" s="305"/>
      <c r="M188" s="305"/>
      <c r="N188" s="305"/>
      <c r="O188" s="307"/>
      <c r="P188" s="307"/>
      <c r="Q188" s="307"/>
      <c r="R188" s="307"/>
      <c r="S188" s="307"/>
      <c r="T188" s="307"/>
      <c r="U188" s="307"/>
    </row>
    <row r="189" ht="16.5" customHeight="1">
      <c r="A189" s="305"/>
      <c r="B189" s="453"/>
      <c r="C189" s="455"/>
      <c r="D189" s="455"/>
      <c r="E189" s="625"/>
      <c r="F189" s="615"/>
      <c r="G189" s="305"/>
      <c r="H189" s="305"/>
      <c r="I189" s="305"/>
      <c r="J189" s="305"/>
      <c r="K189" s="305"/>
      <c r="L189" s="305"/>
      <c r="M189" s="305"/>
      <c r="N189" s="305"/>
      <c r="O189" s="307"/>
      <c r="P189" s="307"/>
      <c r="Q189" s="307"/>
      <c r="R189" s="307"/>
      <c r="S189" s="307"/>
      <c r="T189" s="307"/>
      <c r="U189" s="307"/>
    </row>
    <row r="190" ht="16.5" customHeight="1">
      <c r="A190" s="305"/>
      <c r="B190" s="453"/>
      <c r="C190" s="455"/>
      <c r="D190" s="455"/>
      <c r="E190" s="625"/>
      <c r="F190" s="615"/>
      <c r="G190" s="305"/>
      <c r="H190" s="305"/>
      <c r="I190" s="305"/>
      <c r="J190" s="305"/>
      <c r="K190" s="305"/>
      <c r="L190" s="305"/>
      <c r="M190" s="305"/>
      <c r="N190" s="305"/>
      <c r="O190" s="307"/>
      <c r="P190" s="307"/>
      <c r="Q190" s="307"/>
      <c r="R190" s="307"/>
      <c r="S190" s="307"/>
      <c r="T190" s="307"/>
      <c r="U190" s="307"/>
    </row>
    <row r="191" ht="16.5" customHeight="1">
      <c r="A191" s="305"/>
      <c r="B191" s="453"/>
      <c r="C191" s="455"/>
      <c r="D191" s="455"/>
      <c r="E191" s="625"/>
      <c r="F191" s="615"/>
      <c r="G191" s="305"/>
      <c r="H191" s="305"/>
      <c r="I191" s="305"/>
      <c r="J191" s="305"/>
      <c r="K191" s="305"/>
      <c r="L191" s="305"/>
      <c r="M191" s="305"/>
      <c r="N191" s="305"/>
      <c r="O191" s="307"/>
      <c r="P191" s="307"/>
      <c r="Q191" s="307"/>
      <c r="R191" s="307"/>
      <c r="S191" s="307"/>
      <c r="T191" s="307"/>
      <c r="U191" s="307"/>
    </row>
    <row r="192" ht="16.5" customHeight="1">
      <c r="A192" s="305"/>
      <c r="B192" s="453"/>
      <c r="C192" s="455"/>
      <c r="D192" s="455"/>
      <c r="E192" s="625"/>
      <c r="F192" s="615"/>
      <c r="G192" s="305"/>
      <c r="H192" s="305"/>
      <c r="I192" s="305"/>
      <c r="J192" s="305"/>
      <c r="K192" s="305"/>
      <c r="L192" s="305"/>
      <c r="M192" s="305"/>
      <c r="N192" s="305"/>
      <c r="O192" s="307"/>
      <c r="P192" s="307"/>
      <c r="Q192" s="307"/>
      <c r="R192" s="307"/>
      <c r="S192" s="307"/>
      <c r="T192" s="307"/>
      <c r="U192" s="307"/>
    </row>
    <row r="193" ht="16.5" customHeight="1">
      <c r="A193" s="305"/>
      <c r="B193" s="453"/>
      <c r="C193" s="455"/>
      <c r="D193" s="455"/>
      <c r="E193" s="625"/>
      <c r="F193" s="615"/>
      <c r="G193" s="305"/>
      <c r="H193" s="305"/>
      <c r="I193" s="305"/>
      <c r="J193" s="305"/>
      <c r="K193" s="305"/>
      <c r="L193" s="305"/>
      <c r="M193" s="305"/>
      <c r="N193" s="305"/>
      <c r="O193" s="307"/>
      <c r="P193" s="307"/>
      <c r="Q193" s="307"/>
      <c r="R193" s="307"/>
      <c r="S193" s="307"/>
      <c r="T193" s="307"/>
      <c r="U193" s="307"/>
    </row>
    <row r="194" ht="16.5" customHeight="1">
      <c r="A194" s="305"/>
      <c r="B194" s="453"/>
      <c r="C194" s="455"/>
      <c r="D194" s="455"/>
      <c r="E194" s="625"/>
      <c r="F194" s="615"/>
      <c r="G194" s="305"/>
      <c r="H194" s="305"/>
      <c r="I194" s="305"/>
      <c r="J194" s="305"/>
      <c r="K194" s="305"/>
      <c r="L194" s="305"/>
      <c r="M194" s="305"/>
      <c r="N194" s="305"/>
      <c r="O194" s="307"/>
      <c r="P194" s="307"/>
      <c r="Q194" s="307"/>
      <c r="R194" s="307"/>
      <c r="S194" s="307"/>
      <c r="T194" s="307"/>
      <c r="U194" s="307"/>
    </row>
    <row r="195" ht="16.5" customHeight="1">
      <c r="A195" s="305"/>
      <c r="B195" s="453"/>
      <c r="C195" s="455"/>
      <c r="D195" s="455"/>
      <c r="E195" s="625"/>
      <c r="F195" s="615"/>
      <c r="G195" s="305"/>
      <c r="H195" s="305"/>
      <c r="I195" s="305"/>
      <c r="J195" s="305"/>
      <c r="K195" s="305"/>
      <c r="L195" s="305"/>
      <c r="M195" s="305"/>
      <c r="N195" s="305"/>
      <c r="O195" s="307"/>
      <c r="P195" s="307"/>
      <c r="Q195" s="307"/>
      <c r="R195" s="307"/>
      <c r="S195" s="307"/>
      <c r="T195" s="307"/>
      <c r="U195" s="307"/>
    </row>
    <row r="196" ht="16.5" customHeight="1">
      <c r="A196" s="305"/>
      <c r="B196" s="453"/>
      <c r="C196" s="455"/>
      <c r="D196" s="455"/>
      <c r="E196" s="625"/>
      <c r="F196" s="615"/>
      <c r="G196" s="305"/>
      <c r="H196" s="305"/>
      <c r="I196" s="305"/>
      <c r="J196" s="305"/>
      <c r="K196" s="305"/>
      <c r="L196" s="305"/>
      <c r="M196" s="305"/>
      <c r="N196" s="305"/>
      <c r="O196" s="307"/>
      <c r="P196" s="307"/>
      <c r="Q196" s="307"/>
      <c r="R196" s="307"/>
      <c r="S196" s="307"/>
      <c r="T196" s="307"/>
      <c r="U196" s="307"/>
    </row>
    <row r="197" ht="16.5" customHeight="1">
      <c r="A197" s="305"/>
      <c r="B197" s="453"/>
      <c r="C197" s="455"/>
      <c r="D197" s="455"/>
      <c r="E197" s="625"/>
      <c r="F197" s="615"/>
      <c r="G197" s="305"/>
      <c r="H197" s="305"/>
      <c r="I197" s="305"/>
      <c r="J197" s="305"/>
      <c r="K197" s="305"/>
      <c r="L197" s="305"/>
      <c r="M197" s="305"/>
      <c r="N197" s="305"/>
      <c r="O197" s="307"/>
      <c r="P197" s="307"/>
      <c r="Q197" s="307"/>
      <c r="R197" s="307"/>
      <c r="S197" s="307"/>
      <c r="T197" s="307"/>
      <c r="U197" s="307"/>
    </row>
    <row r="198" ht="13.5" customHeight="1">
      <c r="A198" s="536"/>
      <c r="B198" s="536"/>
      <c r="C198" s="536"/>
      <c r="D198" s="536"/>
      <c r="E198" s="651"/>
      <c r="F198" s="538"/>
      <c r="G198" s="536"/>
      <c r="H198" s="536"/>
      <c r="I198" s="536"/>
      <c r="J198" s="536"/>
      <c r="K198" s="536"/>
      <c r="L198" s="536"/>
      <c r="M198" s="536"/>
      <c r="N198" s="536"/>
      <c r="O198" s="307"/>
      <c r="P198" s="307"/>
      <c r="Q198" s="307"/>
      <c r="R198" s="307"/>
      <c r="S198" s="307"/>
      <c r="T198" s="307"/>
      <c r="U198" s="307"/>
    </row>
    <row r="199" ht="13.5" customHeight="1">
      <c r="A199" s="536"/>
      <c r="B199" s="536"/>
      <c r="C199" s="536"/>
      <c r="D199" s="536"/>
      <c r="E199" s="651"/>
      <c r="F199" s="538"/>
      <c r="G199" s="536"/>
      <c r="H199" s="536"/>
      <c r="I199" s="536"/>
      <c r="J199" s="536"/>
      <c r="K199" s="536"/>
      <c r="L199" s="536"/>
      <c r="M199" s="536"/>
      <c r="N199" s="536"/>
      <c r="O199" s="307"/>
      <c r="P199" s="307"/>
      <c r="Q199" s="307"/>
      <c r="R199" s="307"/>
      <c r="S199" s="307"/>
      <c r="T199" s="307"/>
      <c r="U199" s="307"/>
    </row>
    <row r="200" ht="13.5" customHeight="1">
      <c r="A200" s="536"/>
      <c r="B200" s="536"/>
      <c r="C200" s="536"/>
      <c r="D200" s="536"/>
      <c r="E200" s="651"/>
      <c r="F200" s="538"/>
      <c r="G200" s="536"/>
      <c r="H200" s="536"/>
      <c r="I200" s="536"/>
      <c r="J200" s="536"/>
      <c r="K200" s="536"/>
      <c r="L200" s="536"/>
      <c r="M200" s="536"/>
      <c r="N200" s="536"/>
      <c r="O200" s="307"/>
      <c r="P200" s="307"/>
      <c r="Q200" s="307"/>
      <c r="R200" s="307"/>
      <c r="S200" s="307"/>
      <c r="T200" s="307"/>
      <c r="U200" s="307"/>
    </row>
    <row r="201" ht="13.5" customHeight="1">
      <c r="A201" s="536"/>
      <c r="B201" s="536"/>
      <c r="C201" s="536"/>
      <c r="D201" s="536"/>
      <c r="E201" s="651"/>
      <c r="F201" s="538"/>
      <c r="G201" s="536"/>
      <c r="H201" s="536"/>
      <c r="I201" s="536"/>
      <c r="J201" s="536"/>
      <c r="K201" s="536"/>
      <c r="L201" s="536"/>
      <c r="M201" s="536"/>
      <c r="N201" s="536"/>
      <c r="O201" s="307"/>
      <c r="P201" s="307"/>
      <c r="Q201" s="307"/>
      <c r="R201" s="307"/>
      <c r="S201" s="307"/>
      <c r="T201" s="307"/>
      <c r="U201" s="307"/>
    </row>
    <row r="202" ht="13.5" customHeight="1">
      <c r="A202" s="536"/>
      <c r="B202" s="536"/>
      <c r="C202" s="536"/>
      <c r="D202" s="536"/>
      <c r="E202" s="651"/>
      <c r="F202" s="538"/>
      <c r="G202" s="536"/>
      <c r="H202" s="536"/>
      <c r="I202" s="536"/>
      <c r="J202" s="536"/>
      <c r="K202" s="536"/>
      <c r="L202" s="536"/>
      <c r="M202" s="536"/>
      <c r="N202" s="536"/>
      <c r="O202" s="307"/>
      <c r="P202" s="307"/>
      <c r="Q202" s="307"/>
      <c r="R202" s="307"/>
      <c r="S202" s="307"/>
      <c r="T202" s="307"/>
      <c r="U202" s="307"/>
    </row>
    <row r="203" ht="14.25" customHeight="1">
      <c r="O203" s="307"/>
      <c r="P203" s="307"/>
      <c r="Q203" s="307"/>
      <c r="R203" s="307"/>
      <c r="S203" s="307"/>
      <c r="T203" s="307"/>
      <c r="U203" s="307"/>
    </row>
    <row r="204" ht="14.25" customHeight="1">
      <c r="O204" s="307"/>
      <c r="P204" s="307"/>
      <c r="Q204" s="307"/>
      <c r="R204" s="307"/>
      <c r="S204" s="307"/>
      <c r="T204" s="307"/>
      <c r="U204" s="307"/>
    </row>
    <row r="205" ht="14.25" customHeight="1">
      <c r="O205" s="307"/>
      <c r="P205" s="307"/>
      <c r="Q205" s="307"/>
      <c r="R205" s="307"/>
      <c r="S205" s="307"/>
      <c r="T205" s="307"/>
      <c r="U205" s="307"/>
    </row>
    <row r="206" ht="14.25" customHeight="1">
      <c r="O206" s="307"/>
      <c r="P206" s="307"/>
      <c r="Q206" s="307"/>
      <c r="R206" s="307"/>
      <c r="S206" s="307"/>
      <c r="T206" s="307"/>
      <c r="U206" s="307"/>
    </row>
    <row r="207" ht="14.25" customHeight="1">
      <c r="O207" s="307"/>
      <c r="P207" s="307"/>
      <c r="Q207" s="307"/>
      <c r="R207" s="307"/>
      <c r="S207" s="307"/>
      <c r="T207" s="307"/>
      <c r="U207" s="307"/>
    </row>
    <row r="208" ht="14.25" customHeight="1">
      <c r="O208" s="307"/>
      <c r="P208" s="307"/>
      <c r="Q208" s="307"/>
      <c r="R208" s="307"/>
      <c r="S208" s="307"/>
      <c r="T208" s="307"/>
      <c r="U208" s="307"/>
    </row>
    <row r="209" ht="14.25" customHeight="1">
      <c r="O209" s="307"/>
      <c r="P209" s="307"/>
      <c r="Q209" s="307"/>
      <c r="R209" s="307"/>
      <c r="S209" s="307"/>
      <c r="T209" s="307"/>
      <c r="U209" s="307"/>
    </row>
    <row r="210" ht="14.25" customHeight="1">
      <c r="O210" s="307"/>
      <c r="P210" s="307"/>
      <c r="Q210" s="307"/>
      <c r="R210" s="307"/>
      <c r="S210" s="307"/>
      <c r="T210" s="307"/>
      <c r="U210" s="307"/>
    </row>
    <row r="211" ht="14.25" customHeight="1">
      <c r="O211" s="307"/>
      <c r="P211" s="307"/>
      <c r="Q211" s="307"/>
      <c r="R211" s="307"/>
      <c r="S211" s="307"/>
      <c r="T211" s="307"/>
      <c r="U211" s="307"/>
    </row>
    <row r="212" ht="14.25" customHeight="1">
      <c r="O212" s="307"/>
      <c r="P212" s="307"/>
      <c r="Q212" s="307"/>
      <c r="R212" s="307"/>
      <c r="S212" s="307"/>
      <c r="T212" s="307"/>
      <c r="U212" s="307"/>
    </row>
    <row r="213" ht="14.25" customHeight="1">
      <c r="O213" s="307"/>
      <c r="P213" s="307"/>
      <c r="Q213" s="307"/>
      <c r="R213" s="307"/>
      <c r="S213" s="307"/>
      <c r="T213" s="307"/>
      <c r="U213" s="307"/>
    </row>
    <row r="214" ht="14.25" customHeight="1">
      <c r="O214" s="307"/>
      <c r="P214" s="307"/>
      <c r="Q214" s="307"/>
      <c r="R214" s="307"/>
      <c r="S214" s="307"/>
      <c r="T214" s="307"/>
      <c r="U214" s="307"/>
    </row>
    <row r="215" ht="14.25" customHeight="1">
      <c r="O215" s="307"/>
      <c r="P215" s="307"/>
      <c r="Q215" s="307"/>
      <c r="R215" s="307"/>
      <c r="S215" s="307"/>
      <c r="T215" s="307"/>
      <c r="U215" s="307"/>
    </row>
    <row r="216" ht="14.25" customHeight="1">
      <c r="O216" s="307"/>
      <c r="P216" s="307"/>
      <c r="Q216" s="307"/>
      <c r="R216" s="307"/>
      <c r="S216" s="307"/>
      <c r="T216" s="307"/>
      <c r="U216" s="307"/>
    </row>
    <row r="217" ht="14.25" customHeight="1">
      <c r="O217" s="307"/>
      <c r="P217" s="307"/>
      <c r="Q217" s="307"/>
      <c r="R217" s="307"/>
      <c r="S217" s="307"/>
      <c r="T217" s="307"/>
      <c r="U217" s="307"/>
    </row>
    <row r="218" ht="14.25" customHeight="1">
      <c r="O218" s="307"/>
      <c r="P218" s="307"/>
      <c r="Q218" s="307"/>
      <c r="R218" s="307"/>
      <c r="S218" s="307"/>
      <c r="T218" s="307"/>
      <c r="U218" s="307"/>
    </row>
    <row r="219" ht="14.25" customHeight="1">
      <c r="O219" s="307"/>
      <c r="P219" s="307"/>
      <c r="Q219" s="307"/>
      <c r="R219" s="307"/>
      <c r="S219" s="307"/>
      <c r="T219" s="307"/>
      <c r="U219" s="307"/>
    </row>
    <row r="220" ht="14.25" customHeight="1">
      <c r="O220" s="307"/>
      <c r="P220" s="307"/>
      <c r="Q220" s="307"/>
      <c r="R220" s="307"/>
      <c r="S220" s="307"/>
      <c r="T220" s="307"/>
      <c r="U220" s="307"/>
    </row>
    <row r="221" ht="14.25" customHeight="1">
      <c r="O221" s="307"/>
      <c r="P221" s="307"/>
      <c r="Q221" s="307"/>
      <c r="R221" s="307"/>
      <c r="S221" s="307"/>
      <c r="T221" s="307"/>
      <c r="U221" s="307"/>
    </row>
    <row r="222" ht="14.25" customHeight="1">
      <c r="O222" s="307"/>
      <c r="P222" s="307"/>
      <c r="Q222" s="307"/>
      <c r="R222" s="307"/>
      <c r="S222" s="307"/>
      <c r="T222" s="307"/>
      <c r="U222" s="307"/>
    </row>
    <row r="223" ht="14.25" customHeight="1">
      <c r="O223" s="307"/>
      <c r="P223" s="307"/>
      <c r="Q223" s="307"/>
      <c r="R223" s="307"/>
      <c r="S223" s="307"/>
      <c r="T223" s="307"/>
      <c r="U223" s="307"/>
    </row>
    <row r="224" ht="14.25" customHeight="1">
      <c r="O224" s="307"/>
      <c r="P224" s="307"/>
      <c r="Q224" s="307"/>
      <c r="R224" s="307"/>
      <c r="S224" s="307"/>
      <c r="T224" s="307"/>
      <c r="U224" s="307"/>
    </row>
    <row r="225" ht="14.25" customHeight="1">
      <c r="O225" s="307"/>
      <c r="P225" s="307"/>
      <c r="Q225" s="307"/>
      <c r="R225" s="307"/>
      <c r="S225" s="307"/>
      <c r="T225" s="307"/>
      <c r="U225" s="307"/>
    </row>
    <row r="226" ht="14.25" customHeight="1">
      <c r="O226" s="307"/>
      <c r="P226" s="307"/>
      <c r="Q226" s="307"/>
      <c r="R226" s="307"/>
      <c r="S226" s="307"/>
      <c r="T226" s="307"/>
      <c r="U226" s="307"/>
    </row>
    <row r="227" ht="14.25" customHeight="1">
      <c r="O227" s="307"/>
      <c r="P227" s="307"/>
      <c r="Q227" s="307"/>
      <c r="R227" s="307"/>
      <c r="S227" s="307"/>
      <c r="T227" s="307"/>
      <c r="U227" s="307"/>
    </row>
    <row r="228" ht="14.25" customHeight="1">
      <c r="O228" s="307"/>
      <c r="P228" s="307"/>
      <c r="Q228" s="307"/>
      <c r="R228" s="307"/>
      <c r="S228" s="307"/>
      <c r="T228" s="307"/>
      <c r="U228" s="307"/>
    </row>
    <row r="229" ht="14.25" customHeight="1">
      <c r="O229" s="307"/>
      <c r="P229" s="307"/>
      <c r="Q229" s="307"/>
      <c r="R229" s="307"/>
      <c r="S229" s="307"/>
      <c r="T229" s="307"/>
      <c r="U229" s="307"/>
    </row>
    <row r="230" ht="14.25" customHeight="1">
      <c r="O230" s="307"/>
      <c r="P230" s="307"/>
      <c r="Q230" s="307"/>
      <c r="R230" s="307"/>
      <c r="S230" s="307"/>
      <c r="T230" s="307"/>
      <c r="U230" s="307"/>
    </row>
    <row r="231" ht="14.25" customHeight="1">
      <c r="O231" s="307"/>
      <c r="P231" s="307"/>
      <c r="Q231" s="307"/>
      <c r="R231" s="307"/>
      <c r="S231" s="307"/>
      <c r="T231" s="307"/>
      <c r="U231" s="307"/>
    </row>
    <row r="232" ht="14.25" customHeight="1">
      <c r="O232" s="307"/>
      <c r="P232" s="307"/>
      <c r="Q232" s="307"/>
      <c r="R232" s="307"/>
      <c r="S232" s="307"/>
      <c r="T232" s="307"/>
      <c r="U232" s="307"/>
    </row>
    <row r="233" ht="14.25" customHeight="1">
      <c r="O233" s="307"/>
      <c r="P233" s="307"/>
      <c r="Q233" s="307"/>
      <c r="R233" s="307"/>
      <c r="S233" s="307"/>
      <c r="T233" s="307"/>
      <c r="U233" s="307"/>
    </row>
    <row r="234" ht="14.25" customHeight="1">
      <c r="O234" s="307"/>
      <c r="P234" s="307"/>
      <c r="Q234" s="307"/>
      <c r="R234" s="307"/>
      <c r="S234" s="307"/>
      <c r="T234" s="307"/>
      <c r="U234" s="307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mergeCells count="30">
    <mergeCell ref="S9:S10"/>
    <mergeCell ref="T9:T10"/>
    <mergeCell ref="O7:T7"/>
    <mergeCell ref="U7:U10"/>
    <mergeCell ref="O8:P8"/>
    <mergeCell ref="Q8:R8"/>
    <mergeCell ref="S8:T8"/>
    <mergeCell ref="O9:O10"/>
    <mergeCell ref="P9:P10"/>
    <mergeCell ref="E8:F8"/>
    <mergeCell ref="G8:H8"/>
    <mergeCell ref="C7:D8"/>
    <mergeCell ref="C9:D9"/>
    <mergeCell ref="E9:E10"/>
    <mergeCell ref="F9:F10"/>
    <mergeCell ref="A11:B11"/>
    <mergeCell ref="G9:G10"/>
    <mergeCell ref="H9:H10"/>
    <mergeCell ref="I9:I10"/>
    <mergeCell ref="J9:J10"/>
    <mergeCell ref="P2:R4"/>
    <mergeCell ref="A7:A10"/>
    <mergeCell ref="B7:B10"/>
    <mergeCell ref="E7:J7"/>
    <mergeCell ref="K7:L9"/>
    <mergeCell ref="M7:N8"/>
    <mergeCell ref="I8:J8"/>
    <mergeCell ref="M9:N9"/>
    <mergeCell ref="Q9:Q10"/>
    <mergeCell ref="R9:R10"/>
  </mergeCells>
  <printOptions/>
  <pageMargins bottom="0.7480314960629921" footer="0.0" header="0.0" left="0.23622047244094488" right="0.23622047244094488" top="0.7480314960629921"/>
  <pageSetup fitToHeight="0" paperSize="14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/>
  </sheetViews>
  <sheetFormatPr customHeight="1" defaultColWidth="14.43" defaultRowHeight="15.0"/>
  <cols>
    <col customWidth="1" min="1" max="1" width="83.57"/>
    <col customWidth="1" min="2" max="2" width="34.43"/>
    <col customWidth="1" min="3" max="3" width="28.86"/>
    <col customWidth="1" min="4" max="5" width="30.57"/>
    <col customWidth="1" min="6" max="6" width="28.29"/>
    <col customWidth="1" min="7" max="7" width="26.86"/>
    <col customWidth="1" min="8" max="8" width="38.0"/>
  </cols>
  <sheetData>
    <row r="1" ht="24.75" customHeight="1">
      <c r="A1" s="652" t="s">
        <v>1302</v>
      </c>
      <c r="I1" s="652"/>
      <c r="J1" s="652"/>
      <c r="K1" s="652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  <c r="Y1" s="653"/>
      <c r="Z1" s="653"/>
    </row>
    <row r="2" ht="23.25" customHeight="1">
      <c r="A2" s="654" t="s">
        <v>1303</v>
      </c>
      <c r="I2" s="654"/>
      <c r="J2" s="654"/>
      <c r="K2" s="654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</row>
    <row r="3" ht="24.75" customHeight="1">
      <c r="A3" s="656" t="s">
        <v>1304</v>
      </c>
      <c r="I3" s="656"/>
      <c r="J3" s="656"/>
      <c r="K3" s="656"/>
      <c r="L3" s="655"/>
      <c r="M3" s="655"/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</row>
    <row r="4" ht="28.5" customHeight="1">
      <c r="A4" s="654" t="s">
        <v>1305</v>
      </c>
      <c r="I4" s="654"/>
      <c r="J4" s="654"/>
      <c r="K4" s="654"/>
      <c r="L4" s="655"/>
      <c r="M4" s="655"/>
      <c r="N4" s="655"/>
      <c r="O4" s="655"/>
      <c r="P4" s="655"/>
      <c r="Q4" s="655"/>
      <c r="R4" s="655"/>
      <c r="S4" s="655"/>
      <c r="T4" s="655"/>
      <c r="U4" s="655"/>
      <c r="V4" s="655"/>
      <c r="W4" s="655"/>
      <c r="X4" s="655"/>
      <c r="Y4" s="655"/>
      <c r="Z4" s="655"/>
    </row>
    <row r="5" ht="27.0" customHeight="1">
      <c r="A5" s="657"/>
      <c r="B5" s="655"/>
      <c r="C5" s="655"/>
      <c r="D5" s="655"/>
      <c r="E5" s="655"/>
      <c r="F5" s="655"/>
      <c r="G5" s="655"/>
      <c r="H5" s="655"/>
      <c r="I5" s="655"/>
      <c r="J5" s="655"/>
      <c r="K5" s="655"/>
      <c r="L5" s="655"/>
      <c r="M5" s="655"/>
      <c r="N5" s="655"/>
      <c r="O5" s="655"/>
      <c r="P5" s="655"/>
      <c r="Q5" s="655"/>
      <c r="R5" s="655"/>
      <c r="S5" s="655"/>
      <c r="T5" s="655"/>
      <c r="U5" s="655"/>
      <c r="V5" s="655"/>
      <c r="W5" s="655"/>
      <c r="X5" s="655"/>
      <c r="Y5" s="655"/>
      <c r="Z5" s="655"/>
    </row>
    <row r="6" ht="15.75" customHeight="1">
      <c r="A6" s="657"/>
      <c r="B6" s="655"/>
      <c r="C6" s="655"/>
      <c r="D6" s="655"/>
      <c r="E6" s="655"/>
      <c r="F6" s="655"/>
      <c r="G6" s="658"/>
      <c r="H6" s="658"/>
      <c r="I6" s="658"/>
      <c r="J6" s="658"/>
      <c r="K6" s="658"/>
      <c r="L6" s="658"/>
      <c r="M6" s="658"/>
      <c r="N6" s="658"/>
      <c r="O6" s="658"/>
      <c r="P6" s="658"/>
      <c r="Q6" s="658"/>
      <c r="R6" s="658"/>
      <c r="S6" s="658"/>
      <c r="T6" s="658"/>
      <c r="U6" s="658"/>
      <c r="V6" s="658"/>
      <c r="W6" s="658"/>
      <c r="X6" s="658"/>
      <c r="Y6" s="658"/>
      <c r="Z6" s="658"/>
    </row>
    <row r="7" ht="26.25" customHeight="1">
      <c r="A7" s="659" t="s">
        <v>1306</v>
      </c>
      <c r="B7" s="660" t="s">
        <v>1307</v>
      </c>
      <c r="C7" s="661" t="s">
        <v>8</v>
      </c>
      <c r="D7" s="662" t="s">
        <v>9</v>
      </c>
      <c r="E7" s="17"/>
      <c r="F7" s="18"/>
      <c r="G7" s="663" t="s">
        <v>1308</v>
      </c>
      <c r="H7" s="664" t="s">
        <v>1309</v>
      </c>
      <c r="I7" s="658"/>
      <c r="J7" s="658"/>
      <c r="K7" s="658"/>
      <c r="L7" s="658"/>
      <c r="M7" s="658"/>
      <c r="N7" s="658"/>
      <c r="O7" s="658"/>
      <c r="P7" s="658"/>
      <c r="Q7" s="658"/>
      <c r="R7" s="658"/>
      <c r="S7" s="658"/>
      <c r="T7" s="658"/>
      <c r="U7" s="658"/>
      <c r="V7" s="658"/>
      <c r="W7" s="658"/>
      <c r="X7" s="658"/>
      <c r="Y7" s="658"/>
      <c r="Z7" s="658"/>
    </row>
    <row r="8" ht="30.0" customHeight="1">
      <c r="A8" s="26"/>
      <c r="B8" s="26"/>
      <c r="C8" s="26"/>
      <c r="D8" s="608" t="s">
        <v>11</v>
      </c>
      <c r="E8" s="608" t="s">
        <v>12</v>
      </c>
      <c r="F8" s="665" t="s">
        <v>13</v>
      </c>
      <c r="G8" s="26"/>
      <c r="H8" s="26"/>
      <c r="I8" s="658"/>
      <c r="J8" s="658"/>
      <c r="K8" s="658"/>
      <c r="L8" s="658"/>
      <c r="M8" s="658"/>
      <c r="N8" s="658"/>
      <c r="O8" s="658"/>
      <c r="P8" s="658"/>
      <c r="Q8" s="658"/>
      <c r="R8" s="658"/>
      <c r="S8" s="658"/>
      <c r="T8" s="658"/>
      <c r="U8" s="658"/>
      <c r="V8" s="658"/>
      <c r="W8" s="658"/>
      <c r="X8" s="658"/>
      <c r="Y8" s="658"/>
      <c r="Z8" s="658"/>
    </row>
    <row r="9" ht="36.0" customHeight="1">
      <c r="A9" s="414" t="s">
        <v>1310</v>
      </c>
      <c r="B9" s="666">
        <f>RICE!D60</f>
        <v>151856.8</v>
      </c>
      <c r="C9" s="666">
        <f>RICE!F60</f>
        <v>329711.1734</v>
      </c>
      <c r="D9" s="666">
        <f>RICE!H60</f>
        <v>348197.4972</v>
      </c>
      <c r="E9" s="666">
        <f>RICE!J60</f>
        <v>146692.6328</v>
      </c>
      <c r="F9" s="666">
        <f t="shared" ref="F9:F23" si="1">D9+E9</f>
        <v>494890.13</v>
      </c>
      <c r="G9" s="574">
        <f t="shared" ref="G9:G15" si="2">F9-C9</f>
        <v>165178.9566</v>
      </c>
      <c r="H9" s="667">
        <f t="shared" ref="H9:H15" si="3">(G9/C9)*100</f>
        <v>50.09807674</v>
      </c>
    </row>
    <row r="10" ht="23.25" customHeight="1">
      <c r="A10" s="668" t="s">
        <v>1311</v>
      </c>
      <c r="B10" s="666">
        <f>CORN!D87</f>
        <v>133654.3305</v>
      </c>
      <c r="C10" s="666">
        <f>CORN!F87</f>
        <v>121670.92</v>
      </c>
      <c r="D10" s="666">
        <f>CORN!H87</f>
        <v>296172.6</v>
      </c>
      <c r="E10" s="666">
        <f>CORN!J87</f>
        <v>230317.2</v>
      </c>
      <c r="F10" s="666">
        <f t="shared" si="1"/>
        <v>526489.8</v>
      </c>
      <c r="G10" s="574">
        <f t="shared" si="2"/>
        <v>404818.88</v>
      </c>
      <c r="H10" s="667">
        <f t="shared" si="3"/>
        <v>332.7162152</v>
      </c>
    </row>
    <row r="11" ht="26.25" customHeight="1">
      <c r="A11" s="668" t="s">
        <v>1312</v>
      </c>
      <c r="B11" s="666">
        <f>HVCDP!D781</f>
        <v>2954.5</v>
      </c>
      <c r="C11" s="666">
        <f>HVCDP!F781</f>
        <v>3274.715</v>
      </c>
      <c r="D11" s="666">
        <f>HVCDP!H781</f>
        <v>10338.98182</v>
      </c>
      <c r="E11" s="666" t="str">
        <f>HVCDP!J781</f>
        <v/>
      </c>
      <c r="F11" s="666">
        <f t="shared" si="1"/>
        <v>10338.98182</v>
      </c>
      <c r="G11" s="574">
        <f t="shared" si="2"/>
        <v>7064.266825</v>
      </c>
      <c r="H11" s="667">
        <f t="shared" si="3"/>
        <v>215.7215765</v>
      </c>
    </row>
    <row r="12" ht="26.25" customHeight="1">
      <c r="A12" s="668" t="s">
        <v>1313</v>
      </c>
      <c r="B12" s="666">
        <f>NUPAP!D60</f>
        <v>3384.31872</v>
      </c>
      <c r="C12" s="666">
        <f>NUPAP!F60</f>
        <v>2812.5</v>
      </c>
      <c r="D12" s="666">
        <f>NUPAP!H60</f>
        <v>4380</v>
      </c>
      <c r="E12" s="666">
        <f>NUPAP!J60</f>
        <v>0</v>
      </c>
      <c r="F12" s="666">
        <f t="shared" si="1"/>
        <v>4380</v>
      </c>
      <c r="G12" s="574">
        <f t="shared" si="2"/>
        <v>1567.5</v>
      </c>
      <c r="H12" s="667">
        <f t="shared" si="3"/>
        <v>55.73333333</v>
      </c>
    </row>
    <row r="13" ht="26.25" customHeight="1">
      <c r="A13" s="668" t="s">
        <v>1314</v>
      </c>
      <c r="B13" s="666">
        <f>LIVESTOCK!D50</f>
        <v>4052.89</v>
      </c>
      <c r="C13" s="666">
        <f>LIVESTOCK!F50</f>
        <v>6722.2</v>
      </c>
      <c r="D13" s="666">
        <f>LIVESTOCK!H50</f>
        <v>18880.005</v>
      </c>
      <c r="E13" s="669">
        <f>LIVESTOCK!J50</f>
        <v>0</v>
      </c>
      <c r="F13" s="666">
        <f t="shared" si="1"/>
        <v>18880.005</v>
      </c>
      <c r="G13" s="574">
        <f t="shared" si="2"/>
        <v>12157.805</v>
      </c>
      <c r="H13" s="667">
        <f t="shared" si="3"/>
        <v>180.860507</v>
      </c>
    </row>
    <row r="14" ht="26.25" customHeight="1">
      <c r="A14" s="668" t="s">
        <v>1315</v>
      </c>
      <c r="B14" s="666">
        <f>OAP!F57</f>
        <v>6950</v>
      </c>
      <c r="C14" s="666">
        <f>OAP!H57</f>
        <v>1050</v>
      </c>
      <c r="D14" s="666">
        <f>OAP!R57</f>
        <v>2200</v>
      </c>
      <c r="E14" s="666" t="str">
        <f>OAP!T57</f>
        <v/>
      </c>
      <c r="F14" s="666">
        <f t="shared" si="1"/>
        <v>2200</v>
      </c>
      <c r="G14" s="574">
        <f t="shared" si="2"/>
        <v>1150</v>
      </c>
      <c r="H14" s="667">
        <f t="shared" si="3"/>
        <v>109.5238095</v>
      </c>
    </row>
    <row r="15" ht="26.25" customHeight="1">
      <c r="A15" s="670" t="s">
        <v>1316</v>
      </c>
      <c r="B15" s="666">
        <f>HALAL!D25</f>
        <v>200</v>
      </c>
      <c r="C15" s="574">
        <f>HALAL!F25</f>
        <v>175</v>
      </c>
      <c r="D15" s="574" t="str">
        <f>HALAL!H25</f>
        <v/>
      </c>
      <c r="E15" s="574" t="str">
        <f>HALAL!J25</f>
        <v/>
      </c>
      <c r="F15" s="666">
        <f t="shared" si="1"/>
        <v>0</v>
      </c>
      <c r="G15" s="667">
        <f t="shared" si="2"/>
        <v>-175</v>
      </c>
      <c r="H15" s="667">
        <f t="shared" si="3"/>
        <v>-100</v>
      </c>
    </row>
    <row r="16" ht="26.25" customHeight="1">
      <c r="A16" s="671" t="s">
        <v>1317</v>
      </c>
      <c r="B16" s="672"/>
      <c r="C16" s="673"/>
      <c r="D16" s="673"/>
      <c r="E16" s="673"/>
      <c r="F16" s="666">
        <f t="shared" si="1"/>
        <v>0</v>
      </c>
      <c r="G16" s="667"/>
      <c r="H16" s="667"/>
    </row>
    <row r="17" ht="26.25" customHeight="1">
      <c r="A17" s="668" t="s">
        <v>1318</v>
      </c>
      <c r="B17" s="666">
        <f>FMR!E71</f>
        <v>345000</v>
      </c>
      <c r="C17" s="666">
        <f>FMR!E322</f>
        <v>500000</v>
      </c>
      <c r="D17" s="666">
        <f>FMR!E331</f>
        <v>155000</v>
      </c>
      <c r="E17" s="674">
        <f>FMR!E343</f>
        <v>292200</v>
      </c>
      <c r="F17" s="666">
        <f t="shared" si="1"/>
        <v>447200</v>
      </c>
      <c r="G17" s="667">
        <f t="shared" ref="G17:G20" si="4">F17-C17</f>
        <v>-52800</v>
      </c>
      <c r="H17" s="667">
        <f t="shared" ref="H17:H20" si="5">(G17/C17)*100</f>
        <v>-10.56</v>
      </c>
    </row>
    <row r="18" ht="44.25" customHeight="1">
      <c r="A18" s="449" t="s">
        <v>1319</v>
      </c>
      <c r="B18" s="448">
        <f>'4Ks'!D58</f>
        <v>2605.55</v>
      </c>
      <c r="C18" s="450">
        <f>'4Ks'!F58</f>
        <v>3040.4</v>
      </c>
      <c r="D18" s="448">
        <f>'4Ks'!H58</f>
        <v>1015.82</v>
      </c>
      <c r="E18" s="448">
        <f>'4Ks'!J58</f>
        <v>0</v>
      </c>
      <c r="F18" s="666">
        <f t="shared" si="1"/>
        <v>1015.82</v>
      </c>
      <c r="G18" s="667">
        <f t="shared" si="4"/>
        <v>-2024.58</v>
      </c>
      <c r="H18" s="667">
        <f t="shared" si="5"/>
        <v>-66.58926457</v>
      </c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5"/>
      <c r="T18" s="675"/>
      <c r="U18" s="675"/>
      <c r="V18" s="675"/>
      <c r="W18" s="675"/>
      <c r="X18" s="675"/>
      <c r="Y18" s="675"/>
      <c r="Z18" s="675"/>
    </row>
    <row r="19" ht="37.5" customHeight="1">
      <c r="A19" s="670" t="s">
        <v>1320</v>
      </c>
      <c r="B19" s="676">
        <f>MCRA!D63</f>
        <v>1597</v>
      </c>
      <c r="C19" s="666">
        <f>MCRA!F63</f>
        <v>10717.304</v>
      </c>
      <c r="D19" s="676" t="str">
        <f>MCRA!H63</f>
        <v/>
      </c>
      <c r="E19" s="666">
        <f>MCRA!J63</f>
        <v>2845.14</v>
      </c>
      <c r="F19" s="666">
        <f t="shared" si="1"/>
        <v>2845.14</v>
      </c>
      <c r="G19" s="667">
        <f t="shared" si="4"/>
        <v>-7872.164</v>
      </c>
      <c r="H19" s="667">
        <f t="shared" si="5"/>
        <v>-73.45283851</v>
      </c>
    </row>
    <row r="20" ht="27.0" customHeight="1">
      <c r="A20" s="668" t="s">
        <v>1321</v>
      </c>
      <c r="B20" s="676" t="str">
        <f>NSHP!D26</f>
        <v/>
      </c>
      <c r="C20" s="666">
        <f>NSHP!N26</f>
        <v>1022</v>
      </c>
      <c r="D20" s="666" t="str">
        <f>NSHP!P26</f>
        <v/>
      </c>
      <c r="E20" s="669" t="str">
        <f>NSHP!R26</f>
        <v/>
      </c>
      <c r="F20" s="666">
        <f t="shared" si="1"/>
        <v>0</v>
      </c>
      <c r="G20" s="667">
        <f t="shared" si="4"/>
        <v>-1022</v>
      </c>
      <c r="H20" s="667">
        <f t="shared" si="5"/>
        <v>-100</v>
      </c>
    </row>
    <row r="21" ht="42.0" customHeight="1">
      <c r="A21" s="677" t="s">
        <v>1322</v>
      </c>
      <c r="B21" s="669"/>
      <c r="C21" s="669"/>
      <c r="D21" s="669"/>
      <c r="E21" s="669"/>
      <c r="F21" s="666">
        <f t="shared" si="1"/>
        <v>0</v>
      </c>
      <c r="G21" s="678"/>
      <c r="H21" s="398"/>
    </row>
    <row r="22" ht="33.0" customHeight="1">
      <c r="A22" s="679" t="s">
        <v>1323</v>
      </c>
      <c r="B22" s="574">
        <f>PRDP!E11</f>
        <v>15000</v>
      </c>
      <c r="C22" s="669"/>
      <c r="D22" s="669"/>
      <c r="E22" s="669"/>
      <c r="F22" s="666">
        <f t="shared" si="1"/>
        <v>0</v>
      </c>
      <c r="G22" s="678"/>
      <c r="H22" s="398"/>
    </row>
    <row r="23" ht="26.25" customHeight="1">
      <c r="A23" s="680" t="s">
        <v>13</v>
      </c>
      <c r="B23" s="681">
        <f t="shared" ref="B23:E23" si="6">SUM(B9:B22)</f>
        <v>667255.3892</v>
      </c>
      <c r="C23" s="681">
        <f t="shared" si="6"/>
        <v>980196.2124</v>
      </c>
      <c r="D23" s="681">
        <f t="shared" si="6"/>
        <v>836184.904</v>
      </c>
      <c r="E23" s="681">
        <f t="shared" si="6"/>
        <v>672054.9728</v>
      </c>
      <c r="F23" s="681">
        <f t="shared" si="1"/>
        <v>1508239.877</v>
      </c>
      <c r="G23" s="574">
        <f>F23-C23</f>
        <v>528043.6645</v>
      </c>
      <c r="H23" s="398">
        <f>(G23/C23)*100</f>
        <v>53.87122066</v>
      </c>
    </row>
    <row r="24" ht="34.5" customHeight="1">
      <c r="A24" s="682"/>
      <c r="B24" s="655"/>
      <c r="C24" s="655"/>
      <c r="D24" s="655"/>
      <c r="E24" s="655"/>
      <c r="F24" s="655"/>
      <c r="G24" s="683"/>
      <c r="H24" s="683"/>
    </row>
    <row r="25" ht="26.25" customHeight="1">
      <c r="A25" s="684" t="s">
        <v>72</v>
      </c>
      <c r="B25" s="685"/>
      <c r="C25" s="686" t="s">
        <v>528</v>
      </c>
      <c r="D25" s="687"/>
      <c r="E25" s="683"/>
      <c r="F25" s="686" t="s">
        <v>74</v>
      </c>
      <c r="G25" s="683"/>
      <c r="H25" s="683"/>
      <c r="K25" s="688"/>
      <c r="O25" s="688"/>
      <c r="P25" s="251"/>
      <c r="Q25" s="688"/>
      <c r="R25" s="688"/>
      <c r="S25" s="688"/>
      <c r="T25" s="251"/>
      <c r="U25" s="251"/>
      <c r="V25" s="251"/>
      <c r="W25" s="251"/>
      <c r="X25" s="251"/>
      <c r="Y25" s="251"/>
      <c r="Z25" s="251"/>
    </row>
    <row r="26" ht="26.25" customHeight="1">
      <c r="A26" s="689"/>
      <c r="B26" s="685"/>
      <c r="C26" s="690"/>
      <c r="D26" s="687"/>
      <c r="E26" s="683"/>
      <c r="F26" s="690"/>
      <c r="G26" s="683"/>
      <c r="H26" s="683"/>
      <c r="K26" s="688"/>
      <c r="O26" s="688"/>
      <c r="P26" s="251"/>
      <c r="Q26" s="688"/>
      <c r="R26" s="688"/>
      <c r="S26" s="688"/>
      <c r="T26" s="251"/>
      <c r="U26" s="251"/>
      <c r="V26" s="251"/>
      <c r="W26" s="251"/>
      <c r="X26" s="251"/>
      <c r="Y26" s="251"/>
      <c r="Z26" s="251"/>
    </row>
    <row r="27" ht="26.25" customHeight="1">
      <c r="A27" s="689"/>
      <c r="B27" s="685"/>
      <c r="C27" s="690"/>
      <c r="D27" s="687"/>
      <c r="E27" s="683"/>
      <c r="F27" s="690"/>
      <c r="G27" s="683"/>
      <c r="H27" s="683"/>
      <c r="K27" s="688"/>
      <c r="O27" s="688"/>
      <c r="P27" s="251"/>
      <c r="Q27" s="688"/>
      <c r="R27" s="688"/>
      <c r="S27" s="688"/>
      <c r="T27" s="251"/>
      <c r="U27" s="251"/>
      <c r="V27" s="251"/>
      <c r="W27" s="251"/>
      <c r="X27" s="251"/>
      <c r="Y27" s="251"/>
      <c r="Z27" s="251"/>
    </row>
    <row r="28" ht="28.5" customHeight="1">
      <c r="A28" s="689"/>
      <c r="B28" s="685"/>
      <c r="C28" s="690"/>
      <c r="D28" s="687"/>
      <c r="E28" s="655"/>
      <c r="F28" s="690"/>
      <c r="G28" s="685"/>
      <c r="H28" s="685"/>
      <c r="K28" s="298"/>
      <c r="O28" s="298"/>
      <c r="P28" s="251"/>
      <c r="Q28" s="298"/>
      <c r="R28" s="298"/>
      <c r="S28" s="298"/>
      <c r="T28" s="251"/>
      <c r="U28" s="251"/>
      <c r="V28" s="251"/>
      <c r="W28" s="251"/>
      <c r="X28" s="251"/>
      <c r="Y28" s="251"/>
      <c r="Z28" s="251"/>
    </row>
    <row r="29" ht="15.75" customHeight="1">
      <c r="A29" s="689"/>
      <c r="B29" s="685"/>
      <c r="C29" s="690"/>
      <c r="D29" s="687"/>
      <c r="E29" s="655"/>
      <c r="F29" s="690"/>
      <c r="G29" s="685"/>
      <c r="H29" s="685"/>
      <c r="K29" s="298"/>
      <c r="O29" s="298"/>
      <c r="P29" s="251"/>
      <c r="Q29" s="298"/>
      <c r="R29" s="298"/>
      <c r="S29" s="298"/>
      <c r="T29" s="251"/>
      <c r="U29" s="251"/>
      <c r="V29" s="251"/>
      <c r="W29" s="251"/>
      <c r="X29" s="251"/>
      <c r="Y29" s="251"/>
      <c r="Z29" s="251"/>
    </row>
    <row r="30" ht="31.5" customHeight="1">
      <c r="A30" s="691" t="s">
        <v>75</v>
      </c>
      <c r="B30" s="655"/>
      <c r="C30" s="692" t="s">
        <v>76</v>
      </c>
      <c r="D30" s="687"/>
      <c r="E30" s="655"/>
      <c r="F30" s="692" t="s">
        <v>77</v>
      </c>
      <c r="G30" s="685"/>
      <c r="H30" s="685"/>
      <c r="K30" s="298"/>
      <c r="O30" s="298"/>
      <c r="P30" s="251"/>
      <c r="Q30" s="298"/>
      <c r="R30" s="298"/>
      <c r="S30" s="298"/>
      <c r="T30" s="251"/>
      <c r="U30" s="251"/>
      <c r="V30" s="251"/>
      <c r="W30" s="251"/>
      <c r="X30" s="251"/>
      <c r="Y30" s="251"/>
      <c r="Z30" s="251"/>
    </row>
    <row r="31" ht="23.25" customHeight="1">
      <c r="A31" s="693" t="s">
        <v>78</v>
      </c>
      <c r="B31" s="655"/>
      <c r="C31" s="686" t="s">
        <v>79</v>
      </c>
      <c r="D31" s="687"/>
      <c r="E31" s="655"/>
      <c r="F31" s="686" t="s">
        <v>80</v>
      </c>
      <c r="G31" s="685"/>
      <c r="H31" s="685"/>
      <c r="K31" s="298"/>
      <c r="O31" s="298"/>
      <c r="P31" s="251"/>
      <c r="Q31" s="298"/>
      <c r="R31" s="298"/>
      <c r="S31" s="298"/>
      <c r="T31" s="251"/>
      <c r="U31" s="251"/>
      <c r="V31" s="251"/>
      <c r="W31" s="251"/>
      <c r="X31" s="251"/>
      <c r="Y31" s="251"/>
      <c r="Z31" s="251"/>
    </row>
    <row r="32" ht="15.75" customHeight="1">
      <c r="A32" s="689"/>
      <c r="B32" s="655"/>
      <c r="C32" s="655"/>
      <c r="D32" s="655"/>
      <c r="E32" s="655"/>
      <c r="F32" s="655"/>
      <c r="G32" s="690"/>
      <c r="H32" s="655"/>
      <c r="I32" s="251"/>
      <c r="J32" s="296"/>
      <c r="K32" s="296"/>
      <c r="L32" s="298"/>
      <c r="M32" s="296"/>
      <c r="N32" s="298"/>
      <c r="O32" s="298"/>
      <c r="P32" s="298"/>
      <c r="Q32" s="298"/>
      <c r="R32" s="298"/>
      <c r="S32" s="298"/>
      <c r="T32" s="251"/>
      <c r="U32" s="298"/>
      <c r="V32" s="298"/>
      <c r="W32" s="298"/>
      <c r="X32" s="298"/>
      <c r="Y32" s="298"/>
      <c r="Z32" s="298"/>
    </row>
    <row r="33" ht="21.75" customHeight="1">
      <c r="A33" s="694"/>
      <c r="B33" s="655"/>
      <c r="C33" s="655"/>
      <c r="D33" s="655"/>
      <c r="E33" s="655"/>
      <c r="F33" s="655"/>
      <c r="G33" s="435"/>
      <c r="H33" s="655"/>
      <c r="I33" s="78"/>
      <c r="J33" s="298"/>
      <c r="K33" s="296"/>
      <c r="L33" s="298"/>
      <c r="M33" s="439"/>
      <c r="N33" s="298"/>
      <c r="O33" s="298"/>
      <c r="P33" s="298"/>
      <c r="Q33" s="298"/>
      <c r="R33" s="298"/>
      <c r="S33" s="298"/>
      <c r="T33" s="78"/>
      <c r="U33" s="298"/>
      <c r="V33" s="298"/>
      <c r="W33" s="298"/>
      <c r="X33" s="298"/>
      <c r="Y33" s="298"/>
      <c r="Z33" s="298"/>
    </row>
    <row r="34" ht="25.5" customHeight="1">
      <c r="A34" s="695"/>
      <c r="B34" s="685"/>
      <c r="C34" s="655"/>
      <c r="D34" s="655"/>
      <c r="E34" s="655"/>
      <c r="F34" s="655"/>
      <c r="G34" s="696"/>
      <c r="H34" s="655"/>
      <c r="I34" s="254"/>
      <c r="J34" s="298"/>
      <c r="K34" s="296"/>
      <c r="L34" s="296"/>
      <c r="M34" s="438"/>
      <c r="N34" s="298"/>
      <c r="O34" s="298"/>
      <c r="P34" s="298"/>
      <c r="Q34" s="298"/>
      <c r="R34" s="298"/>
      <c r="S34" s="298"/>
      <c r="T34" s="254"/>
      <c r="U34" s="298"/>
      <c r="V34" s="298"/>
      <c r="W34" s="298"/>
      <c r="X34" s="298"/>
      <c r="Y34" s="298"/>
      <c r="Z34" s="298"/>
    </row>
    <row r="35" ht="14.25" customHeight="1">
      <c r="A35" s="697"/>
      <c r="B35" s="698"/>
      <c r="C35" s="655"/>
      <c r="D35" s="655"/>
      <c r="E35" s="655"/>
      <c r="F35" s="655"/>
      <c r="G35" s="683"/>
      <c r="H35" s="683"/>
      <c r="I35" s="699"/>
      <c r="J35" s="700"/>
      <c r="K35" s="356"/>
      <c r="L35" s="356"/>
      <c r="M35" s="688"/>
      <c r="N35" s="688"/>
      <c r="O35" s="504"/>
      <c r="P35" s="504"/>
      <c r="Q35" s="504"/>
      <c r="R35" s="504"/>
      <c r="S35" s="504"/>
      <c r="T35" s="504"/>
      <c r="U35" s="504"/>
      <c r="V35" s="504"/>
      <c r="W35" s="504"/>
      <c r="X35" s="504"/>
      <c r="Y35" s="504"/>
      <c r="Z35" s="504"/>
    </row>
    <row r="36" ht="14.25" customHeight="1">
      <c r="A36" s="701"/>
      <c r="B36" s="655"/>
      <c r="C36" s="655"/>
      <c r="D36" s="307"/>
      <c r="E36" s="307"/>
      <c r="F36" s="307"/>
      <c r="G36" s="658"/>
      <c r="H36" s="658"/>
    </row>
    <row r="37" ht="14.25" customHeight="1">
      <c r="A37" s="701"/>
      <c r="B37" s="655"/>
      <c r="C37" s="655"/>
      <c r="D37" s="307"/>
      <c r="E37" s="307"/>
      <c r="F37" s="307"/>
      <c r="G37" s="658"/>
      <c r="H37" s="658"/>
    </row>
    <row r="38" ht="14.25" customHeight="1">
      <c r="A38" s="701"/>
      <c r="B38" s="655"/>
      <c r="C38" s="655"/>
      <c r="D38" s="307"/>
      <c r="E38" s="307"/>
      <c r="F38" s="307"/>
      <c r="G38" s="658"/>
      <c r="H38" s="658"/>
    </row>
    <row r="39" ht="14.25" customHeight="1">
      <c r="A39" s="701"/>
      <c r="B39" s="655"/>
      <c r="C39" s="655"/>
      <c r="D39" s="307"/>
      <c r="E39" s="307"/>
      <c r="F39" s="307"/>
      <c r="G39" s="658"/>
      <c r="H39" s="658"/>
    </row>
    <row r="40" ht="14.25" customHeight="1">
      <c r="A40" s="701"/>
      <c r="B40" s="655"/>
      <c r="C40" s="655"/>
      <c r="D40" s="307"/>
      <c r="E40" s="307"/>
      <c r="F40" s="702"/>
    </row>
    <row r="41" ht="14.25" customHeight="1">
      <c r="A41" s="701"/>
      <c r="B41" s="655"/>
      <c r="C41" s="655"/>
      <c r="D41" s="307"/>
      <c r="E41" s="307"/>
    </row>
    <row r="42" ht="14.25" customHeight="1">
      <c r="A42" s="701"/>
      <c r="B42" s="655"/>
      <c r="C42" s="655"/>
      <c r="D42" s="307"/>
      <c r="E42" s="307"/>
    </row>
    <row r="43" ht="14.25" customHeight="1">
      <c r="A43" s="701"/>
      <c r="B43" s="655"/>
      <c r="C43" s="655"/>
      <c r="D43" s="307"/>
      <c r="E43" s="307"/>
      <c r="F43" s="307"/>
      <c r="G43" s="658"/>
      <c r="H43" s="658"/>
    </row>
    <row r="44" ht="14.25" customHeight="1">
      <c r="A44" s="701"/>
      <c r="B44" s="655"/>
      <c r="C44" s="655"/>
      <c r="D44" s="307"/>
      <c r="E44" s="307"/>
      <c r="F44" s="307"/>
      <c r="G44" s="658"/>
      <c r="H44" s="658"/>
    </row>
    <row r="45" ht="14.25" customHeight="1">
      <c r="A45" s="701"/>
      <c r="B45" s="655"/>
      <c r="C45" s="655"/>
      <c r="D45" s="307"/>
      <c r="E45" s="307"/>
      <c r="F45" s="307"/>
      <c r="G45" s="658"/>
      <c r="H45" s="658"/>
    </row>
    <row r="46" ht="14.25" customHeight="1">
      <c r="A46" s="701"/>
      <c r="B46" s="655"/>
      <c r="C46" s="655"/>
      <c r="D46" s="307"/>
      <c r="E46" s="307"/>
      <c r="F46" s="307"/>
      <c r="G46" s="658"/>
      <c r="H46" s="658"/>
    </row>
    <row r="47" ht="14.25" customHeight="1">
      <c r="A47" s="701"/>
      <c r="B47" s="655"/>
      <c r="C47" s="655"/>
      <c r="D47" s="307"/>
      <c r="E47" s="307"/>
      <c r="F47" s="307"/>
      <c r="G47" s="658"/>
      <c r="H47" s="658"/>
    </row>
    <row r="48" ht="14.25" customHeight="1">
      <c r="A48" s="701"/>
      <c r="B48" s="655"/>
      <c r="C48" s="655"/>
      <c r="D48" s="307"/>
      <c r="E48" s="307"/>
      <c r="F48" s="307"/>
      <c r="G48" s="658"/>
      <c r="H48" s="658"/>
    </row>
    <row r="49" ht="14.25" customHeight="1">
      <c r="A49" s="701"/>
      <c r="B49" s="655"/>
      <c r="C49" s="655"/>
      <c r="D49" s="307"/>
      <c r="E49" s="307"/>
      <c r="F49" s="307"/>
      <c r="G49" s="658"/>
      <c r="H49" s="658"/>
    </row>
    <row r="50" ht="14.25" customHeight="1">
      <c r="A50" s="701"/>
      <c r="B50" s="655"/>
      <c r="C50" s="655"/>
      <c r="D50" s="307"/>
      <c r="E50" s="307"/>
      <c r="F50" s="307"/>
      <c r="G50" s="658"/>
      <c r="H50" s="658"/>
    </row>
    <row r="51" ht="14.25" customHeight="1">
      <c r="A51" s="701"/>
      <c r="B51" s="655"/>
      <c r="C51" s="655"/>
      <c r="D51" s="307"/>
      <c r="E51" s="307"/>
      <c r="F51" s="307"/>
      <c r="G51" s="658"/>
      <c r="H51" s="658"/>
    </row>
    <row r="52" ht="14.25" customHeight="1">
      <c r="A52" s="701"/>
      <c r="B52" s="655"/>
      <c r="C52" s="655"/>
      <c r="D52" s="307"/>
      <c r="E52" s="307"/>
      <c r="F52" s="307"/>
      <c r="G52" s="658"/>
      <c r="H52" s="658"/>
    </row>
    <row r="53" ht="14.25" customHeight="1">
      <c r="A53" s="701"/>
      <c r="B53" s="655"/>
      <c r="C53" s="655"/>
      <c r="D53" s="307"/>
      <c r="E53" s="307"/>
      <c r="F53" s="307"/>
      <c r="G53" s="658"/>
      <c r="H53" s="658"/>
    </row>
    <row r="54" ht="14.25" customHeight="1">
      <c r="A54" s="701"/>
      <c r="B54" s="655"/>
      <c r="C54" s="655"/>
      <c r="D54" s="307"/>
      <c r="E54" s="307"/>
      <c r="F54" s="307"/>
      <c r="G54" s="658"/>
      <c r="H54" s="658"/>
    </row>
    <row r="55" ht="14.25" customHeight="1">
      <c r="A55" s="701"/>
      <c r="B55" s="655"/>
      <c r="C55" s="655"/>
      <c r="D55" s="307"/>
      <c r="E55" s="307"/>
      <c r="F55" s="307"/>
      <c r="G55" s="658"/>
      <c r="H55" s="658"/>
    </row>
    <row r="56" ht="14.25" customHeight="1">
      <c r="A56" s="701"/>
      <c r="B56" s="655"/>
      <c r="C56" s="655"/>
      <c r="D56" s="307"/>
      <c r="E56" s="307"/>
      <c r="F56" s="307"/>
      <c r="G56" s="658"/>
      <c r="H56" s="658"/>
    </row>
    <row r="57" ht="14.25" customHeight="1">
      <c r="A57" s="701"/>
      <c r="B57" s="655"/>
      <c r="C57" s="655"/>
      <c r="D57" s="307"/>
      <c r="E57" s="307"/>
      <c r="F57" s="307"/>
      <c r="G57" s="658"/>
      <c r="H57" s="658"/>
    </row>
    <row r="58" ht="14.25" customHeight="1">
      <c r="A58" s="701"/>
      <c r="B58" s="307"/>
      <c r="C58" s="307"/>
      <c r="D58" s="307"/>
      <c r="E58" s="307"/>
      <c r="F58" s="307"/>
      <c r="G58" s="658"/>
      <c r="H58" s="658"/>
    </row>
    <row r="59" ht="14.25" customHeight="1">
      <c r="A59" s="701"/>
      <c r="B59" s="307"/>
      <c r="C59" s="307"/>
      <c r="D59" s="307"/>
      <c r="E59" s="307"/>
      <c r="F59" s="307"/>
      <c r="G59" s="658"/>
      <c r="H59" s="658"/>
    </row>
    <row r="60" ht="14.25" customHeight="1">
      <c r="A60" s="701"/>
      <c r="B60" s="307"/>
      <c r="C60" s="307"/>
      <c r="D60" s="307"/>
      <c r="E60" s="307"/>
      <c r="F60" s="307"/>
      <c r="G60" s="658"/>
      <c r="H60" s="658"/>
    </row>
    <row r="61" ht="14.25" customHeight="1">
      <c r="A61" s="701"/>
      <c r="B61" s="307"/>
      <c r="C61" s="307"/>
      <c r="D61" s="307"/>
      <c r="E61" s="307"/>
      <c r="F61" s="307"/>
      <c r="G61" s="658"/>
      <c r="H61" s="658"/>
    </row>
    <row r="62" ht="14.25" customHeight="1">
      <c r="A62" s="701"/>
      <c r="B62" s="307"/>
      <c r="C62" s="307"/>
      <c r="D62" s="307"/>
      <c r="E62" s="307"/>
      <c r="F62" s="307"/>
      <c r="G62" s="658"/>
      <c r="H62" s="658"/>
    </row>
    <row r="63" ht="14.25" customHeight="1">
      <c r="A63" s="701"/>
      <c r="B63" s="307"/>
      <c r="C63" s="307"/>
      <c r="D63" s="307"/>
      <c r="E63" s="307"/>
      <c r="F63" s="307"/>
      <c r="G63" s="658"/>
      <c r="H63" s="658"/>
    </row>
    <row r="64" ht="14.25" customHeight="1">
      <c r="A64" s="701"/>
      <c r="B64" s="307"/>
      <c r="C64" s="307"/>
      <c r="D64" s="307"/>
      <c r="E64" s="307"/>
      <c r="F64" s="307"/>
      <c r="G64" s="658"/>
      <c r="H64" s="658"/>
    </row>
    <row r="65" ht="14.25" customHeight="1">
      <c r="A65" s="701"/>
      <c r="B65" s="307"/>
      <c r="C65" s="307"/>
      <c r="D65" s="307"/>
      <c r="E65" s="307"/>
      <c r="F65" s="307"/>
      <c r="G65" s="658"/>
      <c r="H65" s="658"/>
    </row>
    <row r="66" ht="14.25" customHeight="1">
      <c r="A66" s="701"/>
      <c r="B66" s="307"/>
      <c r="C66" s="307"/>
      <c r="D66" s="307"/>
      <c r="E66" s="307"/>
      <c r="F66" s="307"/>
      <c r="G66" s="658"/>
      <c r="H66" s="658"/>
    </row>
    <row r="67" ht="14.25" customHeight="1">
      <c r="A67" s="701"/>
      <c r="B67" s="307"/>
      <c r="C67" s="307"/>
      <c r="D67" s="307"/>
      <c r="E67" s="307"/>
      <c r="F67" s="307"/>
      <c r="G67" s="658"/>
      <c r="H67" s="658"/>
    </row>
    <row r="68" ht="14.25" customHeight="1">
      <c r="A68" s="701"/>
      <c r="B68" s="307"/>
      <c r="C68" s="307"/>
      <c r="D68" s="307"/>
      <c r="E68" s="307"/>
      <c r="F68" s="307"/>
      <c r="G68" s="658"/>
      <c r="H68" s="658"/>
    </row>
    <row r="69" ht="14.25" customHeight="1">
      <c r="A69" s="701"/>
      <c r="B69" s="307"/>
      <c r="C69" s="307"/>
      <c r="D69" s="307"/>
      <c r="E69" s="307"/>
      <c r="F69" s="307"/>
      <c r="G69" s="658"/>
      <c r="H69" s="658"/>
    </row>
    <row r="70" ht="14.25" customHeight="1">
      <c r="A70" s="701"/>
      <c r="B70" s="307"/>
      <c r="C70" s="307"/>
      <c r="D70" s="307"/>
      <c r="E70" s="307"/>
      <c r="F70" s="307"/>
      <c r="G70" s="658"/>
      <c r="H70" s="658"/>
    </row>
    <row r="71" ht="14.25" customHeight="1">
      <c r="A71" s="701"/>
      <c r="B71" s="307"/>
      <c r="C71" s="307"/>
      <c r="D71" s="307"/>
      <c r="E71" s="307"/>
      <c r="F71" s="307"/>
      <c r="G71" s="658"/>
      <c r="H71" s="658"/>
    </row>
    <row r="72" ht="14.25" customHeight="1">
      <c r="A72" s="701"/>
      <c r="B72" s="307"/>
      <c r="C72" s="307"/>
      <c r="D72" s="307"/>
      <c r="E72" s="307"/>
      <c r="F72" s="307"/>
      <c r="G72" s="658"/>
      <c r="H72" s="658"/>
    </row>
    <row r="73" ht="14.25" customHeight="1">
      <c r="A73" s="701"/>
      <c r="B73" s="307"/>
      <c r="C73" s="307"/>
      <c r="D73" s="307"/>
      <c r="E73" s="307"/>
      <c r="F73" s="307"/>
      <c r="G73" s="658"/>
      <c r="H73" s="658"/>
    </row>
    <row r="74" ht="14.25" customHeight="1">
      <c r="A74" s="701"/>
      <c r="B74" s="307"/>
      <c r="C74" s="307"/>
      <c r="D74" s="307"/>
      <c r="E74" s="307"/>
      <c r="F74" s="307"/>
      <c r="G74" s="658"/>
      <c r="H74" s="658"/>
    </row>
    <row r="75" ht="14.25" customHeight="1">
      <c r="A75" s="701"/>
      <c r="B75" s="307"/>
      <c r="C75" s="307"/>
      <c r="D75" s="307"/>
      <c r="E75" s="307"/>
      <c r="F75" s="307"/>
      <c r="G75" s="658"/>
      <c r="H75" s="658"/>
    </row>
    <row r="76" ht="14.25" customHeight="1">
      <c r="A76" s="701"/>
      <c r="B76" s="307"/>
      <c r="C76" s="307"/>
      <c r="D76" s="307"/>
      <c r="E76" s="307"/>
      <c r="F76" s="307"/>
      <c r="G76" s="658"/>
      <c r="H76" s="658"/>
    </row>
    <row r="77" ht="14.25" customHeight="1">
      <c r="A77" s="701"/>
      <c r="B77" s="307"/>
      <c r="C77" s="307"/>
      <c r="D77" s="307"/>
      <c r="E77" s="307"/>
      <c r="F77" s="307"/>
      <c r="G77" s="658"/>
      <c r="H77" s="658"/>
    </row>
    <row r="78" ht="14.25" customHeight="1">
      <c r="A78" s="701"/>
      <c r="B78" s="307"/>
      <c r="C78" s="307"/>
      <c r="D78" s="307"/>
      <c r="E78" s="307"/>
      <c r="F78" s="307"/>
      <c r="G78" s="658"/>
      <c r="H78" s="658"/>
    </row>
    <row r="79" ht="14.25" customHeight="1">
      <c r="A79" s="701"/>
      <c r="B79" s="307"/>
      <c r="C79" s="307"/>
      <c r="D79" s="307"/>
      <c r="E79" s="307"/>
      <c r="F79" s="307"/>
      <c r="G79" s="658"/>
      <c r="H79" s="658"/>
    </row>
    <row r="80" ht="14.25" customHeight="1">
      <c r="A80" s="701"/>
      <c r="B80" s="307"/>
      <c r="C80" s="307"/>
      <c r="D80" s="307"/>
      <c r="E80" s="307"/>
      <c r="F80" s="307"/>
      <c r="G80" s="658"/>
      <c r="H80" s="658"/>
    </row>
    <row r="81" ht="14.25" customHeight="1">
      <c r="A81" s="701"/>
      <c r="B81" s="307"/>
      <c r="C81" s="307"/>
      <c r="D81" s="307"/>
      <c r="E81" s="307"/>
      <c r="F81" s="307"/>
      <c r="G81" s="658"/>
      <c r="H81" s="658"/>
    </row>
    <row r="82" ht="14.25" customHeight="1">
      <c r="A82" s="701"/>
      <c r="B82" s="307"/>
      <c r="C82" s="307"/>
      <c r="D82" s="307"/>
      <c r="E82" s="307"/>
      <c r="F82" s="307"/>
      <c r="G82" s="658"/>
      <c r="H82" s="658"/>
    </row>
    <row r="83" ht="14.25" customHeight="1">
      <c r="A83" s="701"/>
      <c r="B83" s="307"/>
      <c r="C83" s="307"/>
      <c r="D83" s="307"/>
      <c r="E83" s="307"/>
      <c r="F83" s="307"/>
      <c r="G83" s="658"/>
      <c r="H83" s="658"/>
    </row>
    <row r="84" ht="14.25" customHeight="1">
      <c r="A84" s="701"/>
      <c r="B84" s="307"/>
      <c r="C84" s="307"/>
      <c r="D84" s="307"/>
      <c r="E84" s="307"/>
      <c r="F84" s="307"/>
      <c r="G84" s="658"/>
      <c r="H84" s="658"/>
    </row>
    <row r="85" ht="14.25" customHeight="1">
      <c r="A85" s="701"/>
      <c r="B85" s="307"/>
      <c r="C85" s="307"/>
      <c r="D85" s="307"/>
      <c r="E85" s="307"/>
      <c r="F85" s="307"/>
      <c r="G85" s="658"/>
      <c r="H85" s="658"/>
    </row>
    <row r="86" ht="14.25" customHeight="1">
      <c r="A86" s="701"/>
      <c r="B86" s="307"/>
      <c r="C86" s="307"/>
      <c r="D86" s="307"/>
      <c r="E86" s="307"/>
      <c r="F86" s="307"/>
      <c r="G86" s="658"/>
      <c r="H86" s="658"/>
    </row>
    <row r="87" ht="14.25" customHeight="1">
      <c r="A87" s="701"/>
      <c r="B87" s="307"/>
      <c r="C87" s="307"/>
      <c r="D87" s="307"/>
      <c r="E87" s="307"/>
      <c r="F87" s="307"/>
      <c r="G87" s="658"/>
      <c r="H87" s="658"/>
    </row>
    <row r="88" ht="14.25" customHeight="1">
      <c r="A88" s="701"/>
      <c r="B88" s="307"/>
      <c r="C88" s="307"/>
      <c r="D88" s="307"/>
      <c r="E88" s="307"/>
      <c r="F88" s="307"/>
      <c r="G88" s="658"/>
      <c r="H88" s="658"/>
    </row>
    <row r="89" ht="14.25" customHeight="1">
      <c r="A89" s="701"/>
      <c r="B89" s="307"/>
      <c r="C89" s="307"/>
      <c r="D89" s="307"/>
      <c r="E89" s="307"/>
      <c r="F89" s="307"/>
      <c r="G89" s="658"/>
      <c r="H89" s="658"/>
    </row>
    <row r="90" ht="14.25" customHeight="1">
      <c r="A90" s="701"/>
      <c r="B90" s="307"/>
      <c r="C90" s="307"/>
      <c r="D90" s="307"/>
      <c r="E90" s="307"/>
      <c r="F90" s="307"/>
      <c r="G90" s="658"/>
      <c r="H90" s="658"/>
    </row>
    <row r="91" ht="14.25" customHeight="1">
      <c r="A91" s="701"/>
      <c r="B91" s="307"/>
      <c r="C91" s="307"/>
      <c r="D91" s="307"/>
      <c r="E91" s="307"/>
      <c r="F91" s="307"/>
      <c r="G91" s="658"/>
      <c r="H91" s="658"/>
    </row>
    <row r="92" ht="14.25" customHeight="1">
      <c r="A92" s="701"/>
      <c r="B92" s="307"/>
      <c r="C92" s="307"/>
      <c r="D92" s="307"/>
      <c r="E92" s="307"/>
      <c r="F92" s="307"/>
      <c r="G92" s="658"/>
      <c r="H92" s="658"/>
    </row>
    <row r="93" ht="14.25" customHeight="1">
      <c r="A93" s="701"/>
      <c r="B93" s="307"/>
      <c r="C93" s="307"/>
      <c r="D93" s="307"/>
      <c r="E93" s="307"/>
      <c r="F93" s="307"/>
      <c r="G93" s="658"/>
      <c r="H93" s="658"/>
    </row>
    <row r="94" ht="14.25" customHeight="1">
      <c r="A94" s="701"/>
      <c r="B94" s="307"/>
      <c r="C94" s="307"/>
      <c r="D94" s="307"/>
      <c r="E94" s="307"/>
      <c r="F94" s="307"/>
      <c r="G94" s="658"/>
      <c r="H94" s="658"/>
    </row>
    <row r="95" ht="14.25" customHeight="1">
      <c r="A95" s="701"/>
      <c r="B95" s="307"/>
      <c r="C95" s="307"/>
      <c r="D95" s="307"/>
      <c r="E95" s="307"/>
      <c r="F95" s="307"/>
      <c r="G95" s="658"/>
      <c r="H95" s="658"/>
    </row>
    <row r="96" ht="14.25" customHeight="1">
      <c r="A96" s="701"/>
      <c r="B96" s="307"/>
      <c r="C96" s="307"/>
      <c r="D96" s="307"/>
      <c r="E96" s="307"/>
      <c r="F96" s="307"/>
      <c r="G96" s="658"/>
      <c r="H96" s="658"/>
    </row>
    <row r="97" ht="14.25" customHeight="1">
      <c r="A97" s="701"/>
      <c r="B97" s="307"/>
      <c r="C97" s="307"/>
      <c r="D97" s="307"/>
      <c r="E97" s="307"/>
      <c r="F97" s="307"/>
      <c r="G97" s="658"/>
      <c r="H97" s="658"/>
    </row>
    <row r="98" ht="14.25" customHeight="1">
      <c r="A98" s="701"/>
      <c r="B98" s="307"/>
      <c r="C98" s="307"/>
      <c r="D98" s="307"/>
      <c r="E98" s="307"/>
      <c r="F98" s="307"/>
      <c r="G98" s="658"/>
      <c r="H98" s="658"/>
    </row>
    <row r="99" ht="14.25" customHeight="1">
      <c r="A99" s="701"/>
      <c r="B99" s="307"/>
      <c r="C99" s="307"/>
      <c r="D99" s="307"/>
      <c r="E99" s="307"/>
      <c r="F99" s="307"/>
      <c r="G99" s="658"/>
      <c r="H99" s="658"/>
    </row>
    <row r="100" ht="14.25" customHeight="1">
      <c r="A100" s="701"/>
      <c r="B100" s="307"/>
      <c r="C100" s="307"/>
      <c r="D100" s="307"/>
      <c r="E100" s="307"/>
      <c r="F100" s="307"/>
      <c r="G100" s="658"/>
      <c r="H100" s="658"/>
    </row>
    <row r="101" ht="14.25" customHeight="1">
      <c r="A101" s="701"/>
      <c r="B101" s="307"/>
      <c r="C101" s="307"/>
      <c r="D101" s="307"/>
      <c r="E101" s="307"/>
      <c r="F101" s="307"/>
      <c r="G101" s="658"/>
      <c r="H101" s="658"/>
    </row>
    <row r="102" ht="14.25" customHeight="1">
      <c r="A102" s="701"/>
      <c r="B102" s="307"/>
      <c r="C102" s="307"/>
      <c r="D102" s="307"/>
      <c r="E102" s="307"/>
      <c r="F102" s="307"/>
      <c r="G102" s="658"/>
      <c r="H102" s="658"/>
    </row>
    <row r="103" ht="14.25" customHeight="1">
      <c r="A103" s="701"/>
      <c r="B103" s="307"/>
      <c r="C103" s="307"/>
      <c r="D103" s="307"/>
      <c r="E103" s="307"/>
      <c r="F103" s="307"/>
      <c r="G103" s="658"/>
      <c r="H103" s="658"/>
    </row>
    <row r="104" ht="14.25" customHeight="1">
      <c r="A104" s="701"/>
      <c r="B104" s="307"/>
      <c r="C104" s="307"/>
      <c r="D104" s="307"/>
      <c r="E104" s="307"/>
      <c r="F104" s="307"/>
      <c r="G104" s="658"/>
      <c r="H104" s="658"/>
    </row>
    <row r="105" ht="14.25" customHeight="1">
      <c r="A105" s="701"/>
      <c r="B105" s="307"/>
      <c r="C105" s="307"/>
      <c r="D105" s="307"/>
      <c r="E105" s="307"/>
      <c r="F105" s="307"/>
      <c r="G105" s="658"/>
      <c r="H105" s="658"/>
    </row>
    <row r="106" ht="14.25" customHeight="1">
      <c r="A106" s="701"/>
      <c r="B106" s="307"/>
      <c r="C106" s="307"/>
      <c r="D106" s="307"/>
      <c r="E106" s="307"/>
      <c r="F106" s="307"/>
      <c r="G106" s="658"/>
      <c r="H106" s="658"/>
    </row>
    <row r="107" ht="14.25" customHeight="1">
      <c r="A107" s="701"/>
      <c r="B107" s="307"/>
      <c r="C107" s="307"/>
      <c r="D107" s="307"/>
      <c r="E107" s="307"/>
      <c r="F107" s="307"/>
      <c r="G107" s="658"/>
      <c r="H107" s="658"/>
    </row>
    <row r="108" ht="14.25" customHeight="1">
      <c r="A108" s="701"/>
      <c r="B108" s="307"/>
      <c r="C108" s="307"/>
      <c r="D108" s="307"/>
      <c r="E108" s="307"/>
      <c r="F108" s="307"/>
      <c r="G108" s="658"/>
      <c r="H108" s="658"/>
    </row>
    <row r="109" ht="14.25" customHeight="1">
      <c r="A109" s="701"/>
      <c r="B109" s="307"/>
      <c r="C109" s="307"/>
      <c r="D109" s="307"/>
      <c r="E109" s="307"/>
      <c r="F109" s="307"/>
      <c r="G109" s="658"/>
      <c r="H109" s="658"/>
    </row>
    <row r="110" ht="14.25" customHeight="1">
      <c r="A110" s="701"/>
      <c r="B110" s="307"/>
      <c r="C110" s="307"/>
      <c r="D110" s="307"/>
      <c r="E110" s="307"/>
      <c r="F110" s="307"/>
      <c r="G110" s="658"/>
      <c r="H110" s="658"/>
    </row>
    <row r="111" ht="14.25" customHeight="1">
      <c r="A111" s="701"/>
      <c r="B111" s="307"/>
      <c r="C111" s="307"/>
      <c r="D111" s="307"/>
      <c r="E111" s="307"/>
      <c r="F111" s="307"/>
      <c r="G111" s="658"/>
      <c r="H111" s="658"/>
    </row>
    <row r="112" ht="14.25" customHeight="1">
      <c r="A112" s="701"/>
      <c r="B112" s="307"/>
      <c r="C112" s="307"/>
      <c r="D112" s="307"/>
      <c r="E112" s="307"/>
      <c r="F112" s="307"/>
      <c r="G112" s="658"/>
      <c r="H112" s="658"/>
    </row>
    <row r="113" ht="14.25" customHeight="1">
      <c r="A113" s="701"/>
      <c r="B113" s="307"/>
      <c r="C113" s="307"/>
      <c r="D113" s="307"/>
      <c r="E113" s="307"/>
      <c r="F113" s="307"/>
      <c r="G113" s="658"/>
      <c r="H113" s="658"/>
    </row>
    <row r="114" ht="14.25" customHeight="1">
      <c r="A114" s="701"/>
      <c r="B114" s="307"/>
      <c r="C114" s="307"/>
      <c r="D114" s="307"/>
      <c r="E114" s="307"/>
      <c r="F114" s="307"/>
      <c r="G114" s="658"/>
      <c r="H114" s="658"/>
    </row>
    <row r="115" ht="14.25" customHeight="1">
      <c r="A115" s="701"/>
      <c r="B115" s="307"/>
      <c r="C115" s="307"/>
      <c r="D115" s="307"/>
      <c r="E115" s="307"/>
      <c r="F115" s="307"/>
      <c r="G115" s="658"/>
      <c r="H115" s="658"/>
    </row>
    <row r="116" ht="14.25" customHeight="1">
      <c r="A116" s="701"/>
      <c r="B116" s="307"/>
      <c r="C116" s="307"/>
      <c r="D116" s="307"/>
      <c r="E116" s="307"/>
      <c r="F116" s="307"/>
      <c r="G116" s="658"/>
      <c r="H116" s="658"/>
    </row>
    <row r="117" ht="14.25" customHeight="1">
      <c r="A117" s="701"/>
      <c r="B117" s="307"/>
      <c r="C117" s="307"/>
      <c r="D117" s="307"/>
      <c r="E117" s="307"/>
      <c r="F117" s="307"/>
      <c r="G117" s="658"/>
      <c r="H117" s="658"/>
    </row>
    <row r="118" ht="14.25" customHeight="1">
      <c r="A118" s="701"/>
      <c r="B118" s="307"/>
      <c r="C118" s="307"/>
      <c r="D118" s="307"/>
      <c r="E118" s="307"/>
      <c r="F118" s="307"/>
      <c r="G118" s="658"/>
      <c r="H118" s="658"/>
    </row>
    <row r="119" ht="14.25" customHeight="1">
      <c r="A119" s="701"/>
      <c r="B119" s="307"/>
      <c r="C119" s="307"/>
      <c r="D119" s="307"/>
      <c r="E119" s="307"/>
      <c r="F119" s="307"/>
      <c r="G119" s="658"/>
      <c r="H119" s="658"/>
    </row>
    <row r="120" ht="14.25" customHeight="1">
      <c r="A120" s="701"/>
      <c r="B120" s="307"/>
      <c r="C120" s="307"/>
      <c r="D120" s="307"/>
      <c r="E120" s="307"/>
      <c r="F120" s="307"/>
      <c r="G120" s="658"/>
      <c r="H120" s="658"/>
    </row>
    <row r="121" ht="14.25" customHeight="1">
      <c r="A121" s="701"/>
      <c r="B121" s="307"/>
      <c r="C121" s="307"/>
      <c r="D121" s="307"/>
      <c r="E121" s="307"/>
      <c r="F121" s="307"/>
      <c r="G121" s="658"/>
      <c r="H121" s="658"/>
    </row>
    <row r="122" ht="14.25" customHeight="1">
      <c r="A122" s="701"/>
      <c r="B122" s="307"/>
      <c r="C122" s="307"/>
      <c r="D122" s="307"/>
      <c r="E122" s="307"/>
      <c r="F122" s="307"/>
      <c r="G122" s="658"/>
      <c r="H122" s="658"/>
    </row>
    <row r="123" ht="14.25" customHeight="1">
      <c r="A123" s="701"/>
      <c r="B123" s="307"/>
      <c r="C123" s="307"/>
      <c r="D123" s="307"/>
      <c r="E123" s="307"/>
      <c r="F123" s="307"/>
      <c r="G123" s="658"/>
      <c r="H123" s="658"/>
    </row>
    <row r="124" ht="14.25" customHeight="1">
      <c r="A124" s="701"/>
      <c r="B124" s="307"/>
      <c r="C124" s="307"/>
      <c r="D124" s="307"/>
      <c r="E124" s="307"/>
      <c r="F124" s="307"/>
      <c r="G124" s="658"/>
      <c r="H124" s="658"/>
    </row>
    <row r="125" ht="14.25" customHeight="1">
      <c r="A125" s="701"/>
      <c r="B125" s="307"/>
      <c r="C125" s="307"/>
      <c r="D125" s="307"/>
      <c r="E125" s="307"/>
      <c r="F125" s="307"/>
      <c r="G125" s="658"/>
      <c r="H125" s="658"/>
    </row>
    <row r="126" ht="14.25" customHeight="1">
      <c r="A126" s="701"/>
      <c r="B126" s="307"/>
      <c r="C126" s="307"/>
      <c r="D126" s="307"/>
      <c r="E126" s="307"/>
      <c r="F126" s="307"/>
      <c r="G126" s="658"/>
      <c r="H126" s="658"/>
    </row>
    <row r="127" ht="14.25" customHeight="1">
      <c r="A127" s="701"/>
      <c r="B127" s="307"/>
      <c r="C127" s="307"/>
      <c r="D127" s="307"/>
      <c r="E127" s="307"/>
      <c r="F127" s="307"/>
      <c r="G127" s="658"/>
      <c r="H127" s="658"/>
    </row>
    <row r="128" ht="14.25" customHeight="1">
      <c r="A128" s="701"/>
      <c r="B128" s="307"/>
      <c r="C128" s="307"/>
      <c r="D128" s="307"/>
      <c r="E128" s="307"/>
      <c r="F128" s="307"/>
      <c r="G128" s="658"/>
      <c r="H128" s="658"/>
    </row>
    <row r="129" ht="14.25" customHeight="1">
      <c r="A129" s="701"/>
      <c r="B129" s="307"/>
      <c r="C129" s="307"/>
      <c r="D129" s="307"/>
      <c r="E129" s="307"/>
      <c r="F129" s="307"/>
      <c r="G129" s="658"/>
      <c r="H129" s="658"/>
    </row>
    <row r="130" ht="14.25" customHeight="1">
      <c r="A130" s="701"/>
      <c r="B130" s="307"/>
      <c r="C130" s="307"/>
      <c r="D130" s="307"/>
      <c r="E130" s="307"/>
      <c r="F130" s="307"/>
      <c r="G130" s="658"/>
      <c r="H130" s="658"/>
    </row>
    <row r="131" ht="14.25" customHeight="1">
      <c r="A131" s="701"/>
      <c r="B131" s="307"/>
      <c r="C131" s="307"/>
      <c r="D131" s="307"/>
      <c r="E131" s="307"/>
      <c r="F131" s="307"/>
      <c r="G131" s="658"/>
      <c r="H131" s="658"/>
    </row>
    <row r="132" ht="14.25" customHeight="1">
      <c r="A132" s="701"/>
      <c r="B132" s="307"/>
      <c r="C132" s="307"/>
      <c r="D132" s="307"/>
      <c r="E132" s="307"/>
      <c r="F132" s="307"/>
      <c r="G132" s="658"/>
      <c r="H132" s="658"/>
    </row>
    <row r="133" ht="14.25" customHeight="1">
      <c r="A133" s="701"/>
      <c r="B133" s="307"/>
      <c r="C133" s="307"/>
      <c r="D133" s="307"/>
      <c r="E133" s="307"/>
      <c r="F133" s="307"/>
      <c r="G133" s="658"/>
      <c r="H133" s="658"/>
    </row>
    <row r="134" ht="14.25" customHeight="1">
      <c r="A134" s="701"/>
      <c r="B134" s="307"/>
      <c r="C134" s="307"/>
      <c r="D134" s="307"/>
      <c r="E134" s="307"/>
      <c r="F134" s="307"/>
      <c r="G134" s="658"/>
      <c r="H134" s="658"/>
    </row>
    <row r="135" ht="14.25" customHeight="1">
      <c r="A135" s="701"/>
      <c r="B135" s="307"/>
      <c r="C135" s="307"/>
      <c r="D135" s="307"/>
      <c r="E135" s="307"/>
      <c r="F135" s="307"/>
      <c r="G135" s="658"/>
      <c r="H135" s="658"/>
    </row>
    <row r="136" ht="14.25" customHeight="1">
      <c r="A136" s="701"/>
      <c r="B136" s="307"/>
      <c r="C136" s="307"/>
      <c r="D136" s="307"/>
      <c r="E136" s="307"/>
      <c r="F136" s="307"/>
      <c r="G136" s="658"/>
      <c r="H136" s="658"/>
    </row>
    <row r="137" ht="14.25" customHeight="1">
      <c r="A137" s="701"/>
      <c r="B137" s="307"/>
      <c r="C137" s="307"/>
      <c r="D137" s="307"/>
      <c r="E137" s="307"/>
      <c r="F137" s="307"/>
      <c r="G137" s="658"/>
      <c r="H137" s="658"/>
    </row>
    <row r="138" ht="14.25" customHeight="1">
      <c r="A138" s="701"/>
      <c r="B138" s="307"/>
      <c r="C138" s="307"/>
      <c r="D138" s="307"/>
      <c r="E138" s="307"/>
      <c r="F138" s="307"/>
      <c r="G138" s="658"/>
      <c r="H138" s="658"/>
    </row>
    <row r="139" ht="14.25" customHeight="1">
      <c r="A139" s="701"/>
      <c r="B139" s="307"/>
      <c r="C139" s="307"/>
      <c r="D139" s="307"/>
      <c r="E139" s="307"/>
      <c r="F139" s="307"/>
      <c r="G139" s="658"/>
      <c r="H139" s="658"/>
    </row>
    <row r="140" ht="14.25" customHeight="1">
      <c r="A140" s="701"/>
      <c r="B140" s="307"/>
      <c r="C140" s="307"/>
      <c r="D140" s="307"/>
      <c r="E140" s="307"/>
      <c r="F140" s="307"/>
      <c r="G140" s="658"/>
      <c r="H140" s="658"/>
    </row>
    <row r="141" ht="14.25" customHeight="1">
      <c r="A141" s="701"/>
      <c r="B141" s="307"/>
      <c r="C141" s="307"/>
      <c r="D141" s="307"/>
      <c r="E141" s="307"/>
      <c r="F141" s="307"/>
      <c r="G141" s="658"/>
      <c r="H141" s="658"/>
    </row>
    <row r="142" ht="14.25" customHeight="1">
      <c r="A142" s="701"/>
      <c r="B142" s="307"/>
      <c r="C142" s="307"/>
      <c r="D142" s="307"/>
      <c r="E142" s="307"/>
      <c r="F142" s="307"/>
      <c r="G142" s="658"/>
      <c r="H142" s="658"/>
    </row>
    <row r="143" ht="14.25" customHeight="1">
      <c r="A143" s="701"/>
      <c r="B143" s="307"/>
      <c r="C143" s="307"/>
      <c r="D143" s="307"/>
      <c r="E143" s="307"/>
      <c r="F143" s="307"/>
      <c r="G143" s="658"/>
      <c r="H143" s="658"/>
    </row>
    <row r="144" ht="14.25" customHeight="1">
      <c r="A144" s="701"/>
      <c r="B144" s="307"/>
      <c r="C144" s="307"/>
      <c r="D144" s="307"/>
      <c r="E144" s="307"/>
      <c r="F144" s="307"/>
      <c r="G144" s="658"/>
      <c r="H144" s="658"/>
    </row>
    <row r="145" ht="14.25" customHeight="1">
      <c r="A145" s="701"/>
      <c r="B145" s="307"/>
      <c r="C145" s="307"/>
      <c r="D145" s="307"/>
      <c r="E145" s="307"/>
      <c r="F145" s="307"/>
      <c r="G145" s="658"/>
      <c r="H145" s="658"/>
    </row>
    <row r="146" ht="14.25" customHeight="1">
      <c r="A146" s="701"/>
      <c r="B146" s="307"/>
      <c r="C146" s="307"/>
      <c r="D146" s="307"/>
      <c r="E146" s="307"/>
      <c r="F146" s="307"/>
      <c r="G146" s="658"/>
      <c r="H146" s="658"/>
    </row>
    <row r="147" ht="14.25" customHeight="1">
      <c r="A147" s="701"/>
      <c r="B147" s="307"/>
      <c r="C147" s="307"/>
      <c r="D147" s="307"/>
      <c r="E147" s="307"/>
      <c r="F147" s="307"/>
      <c r="G147" s="658"/>
      <c r="H147" s="658"/>
    </row>
    <row r="148" ht="14.25" customHeight="1">
      <c r="A148" s="701"/>
      <c r="B148" s="307"/>
      <c r="C148" s="307"/>
      <c r="D148" s="307"/>
      <c r="E148" s="307"/>
      <c r="F148" s="307"/>
      <c r="G148" s="658"/>
      <c r="H148" s="658"/>
    </row>
    <row r="149" ht="14.25" customHeight="1">
      <c r="A149" s="701"/>
      <c r="B149" s="307"/>
      <c r="C149" s="307"/>
      <c r="D149" s="307"/>
      <c r="E149" s="307"/>
      <c r="F149" s="307"/>
      <c r="G149" s="658"/>
      <c r="H149" s="658"/>
    </row>
    <row r="150" ht="14.25" customHeight="1">
      <c r="A150" s="701"/>
      <c r="B150" s="307"/>
      <c r="C150" s="307"/>
      <c r="D150" s="307"/>
      <c r="E150" s="307"/>
      <c r="F150" s="307"/>
      <c r="G150" s="658"/>
      <c r="H150" s="658"/>
    </row>
    <row r="151" ht="14.25" customHeight="1">
      <c r="A151" s="701"/>
      <c r="B151" s="307"/>
      <c r="C151" s="307"/>
      <c r="D151" s="307"/>
      <c r="E151" s="307"/>
      <c r="F151" s="307"/>
      <c r="G151" s="658"/>
      <c r="H151" s="658"/>
    </row>
    <row r="152" ht="14.25" customHeight="1">
      <c r="A152" s="701"/>
      <c r="B152" s="307"/>
      <c r="C152" s="307"/>
      <c r="D152" s="307"/>
      <c r="E152" s="307"/>
      <c r="F152" s="307"/>
      <c r="G152" s="658"/>
      <c r="H152" s="658"/>
    </row>
    <row r="153" ht="14.25" customHeight="1">
      <c r="A153" s="701"/>
      <c r="B153" s="307"/>
      <c r="C153" s="307"/>
      <c r="D153" s="307"/>
      <c r="E153" s="307"/>
      <c r="F153" s="307"/>
      <c r="G153" s="658"/>
      <c r="H153" s="658"/>
    </row>
    <row r="154" ht="14.25" customHeight="1">
      <c r="A154" s="701"/>
      <c r="B154" s="307"/>
      <c r="C154" s="307"/>
      <c r="D154" s="307"/>
      <c r="E154" s="307"/>
      <c r="F154" s="307"/>
      <c r="G154" s="658"/>
      <c r="H154" s="658"/>
    </row>
    <row r="155" ht="14.25" customHeight="1">
      <c r="A155" s="701"/>
      <c r="B155" s="307"/>
      <c r="C155" s="307"/>
      <c r="D155" s="307"/>
      <c r="E155" s="307"/>
      <c r="F155" s="307"/>
      <c r="G155" s="658"/>
      <c r="H155" s="658"/>
    </row>
    <row r="156" ht="14.25" customHeight="1">
      <c r="A156" s="701"/>
      <c r="B156" s="307"/>
      <c r="C156" s="307"/>
      <c r="D156" s="307"/>
      <c r="E156" s="307"/>
      <c r="F156" s="307"/>
      <c r="G156" s="658"/>
      <c r="H156" s="658"/>
    </row>
    <row r="157" ht="14.25" customHeight="1">
      <c r="A157" s="701"/>
      <c r="B157" s="307"/>
      <c r="C157" s="307"/>
      <c r="D157" s="307"/>
      <c r="E157" s="307"/>
      <c r="F157" s="307"/>
      <c r="G157" s="658"/>
      <c r="H157" s="658"/>
    </row>
    <row r="158" ht="14.25" customHeight="1">
      <c r="A158" s="701"/>
      <c r="B158" s="307"/>
      <c r="C158" s="307"/>
      <c r="D158" s="307"/>
      <c r="E158" s="307"/>
      <c r="F158" s="307"/>
      <c r="G158" s="658"/>
      <c r="H158" s="658"/>
    </row>
    <row r="159" ht="14.25" customHeight="1">
      <c r="A159" s="701"/>
      <c r="B159" s="307"/>
      <c r="C159" s="307"/>
      <c r="D159" s="307"/>
      <c r="E159" s="307"/>
      <c r="F159" s="307"/>
      <c r="G159" s="658"/>
      <c r="H159" s="658"/>
    </row>
    <row r="160" ht="14.25" customHeight="1">
      <c r="A160" s="701"/>
      <c r="B160" s="307"/>
      <c r="C160" s="307"/>
      <c r="D160" s="307"/>
      <c r="E160" s="307"/>
      <c r="F160" s="307"/>
      <c r="G160" s="658"/>
      <c r="H160" s="658"/>
    </row>
    <row r="161" ht="14.25" customHeight="1">
      <c r="A161" s="701"/>
      <c r="B161" s="307"/>
      <c r="C161" s="307"/>
      <c r="D161" s="307"/>
      <c r="E161" s="307"/>
      <c r="F161" s="307"/>
      <c r="G161" s="658"/>
      <c r="H161" s="658"/>
    </row>
    <row r="162" ht="14.25" customHeight="1">
      <c r="A162" s="701"/>
      <c r="B162" s="307"/>
      <c r="C162" s="307"/>
      <c r="D162" s="307"/>
      <c r="E162" s="307"/>
      <c r="F162" s="307"/>
      <c r="G162" s="658"/>
      <c r="H162" s="658"/>
    </row>
    <row r="163" ht="14.25" customHeight="1">
      <c r="A163" s="701"/>
      <c r="B163" s="307"/>
      <c r="C163" s="307"/>
      <c r="D163" s="307"/>
      <c r="E163" s="307"/>
      <c r="F163" s="307"/>
      <c r="G163" s="658"/>
      <c r="H163" s="658"/>
    </row>
    <row r="164" ht="14.25" customHeight="1">
      <c r="A164" s="701"/>
      <c r="B164" s="307"/>
      <c r="C164" s="307"/>
      <c r="D164" s="307"/>
      <c r="E164" s="307"/>
      <c r="F164" s="307"/>
      <c r="G164" s="658"/>
      <c r="H164" s="658"/>
    </row>
    <row r="165" ht="14.25" customHeight="1">
      <c r="A165" s="701"/>
      <c r="B165" s="307"/>
      <c r="C165" s="307"/>
      <c r="D165" s="307"/>
      <c r="E165" s="307"/>
      <c r="F165" s="307"/>
      <c r="G165" s="658"/>
      <c r="H165" s="658"/>
    </row>
    <row r="166" ht="14.25" customHeight="1">
      <c r="A166" s="701"/>
      <c r="B166" s="307"/>
      <c r="C166" s="307"/>
      <c r="D166" s="307"/>
      <c r="E166" s="307"/>
      <c r="F166" s="307"/>
      <c r="G166" s="658"/>
      <c r="H166" s="658"/>
    </row>
    <row r="167" ht="14.25" customHeight="1">
      <c r="A167" s="701"/>
      <c r="B167" s="307"/>
      <c r="C167" s="307"/>
      <c r="D167" s="307"/>
      <c r="E167" s="307"/>
      <c r="F167" s="307"/>
      <c r="G167" s="658"/>
      <c r="H167" s="658"/>
    </row>
    <row r="168" ht="14.25" customHeight="1">
      <c r="A168" s="701"/>
      <c r="B168" s="307"/>
      <c r="C168" s="307"/>
      <c r="D168" s="307"/>
      <c r="E168" s="307"/>
      <c r="F168" s="307"/>
      <c r="G168" s="658"/>
      <c r="H168" s="658"/>
    </row>
    <row r="169" ht="14.25" customHeight="1">
      <c r="A169" s="701"/>
      <c r="B169" s="307"/>
      <c r="C169" s="307"/>
      <c r="D169" s="307"/>
      <c r="E169" s="307"/>
      <c r="F169" s="307"/>
      <c r="G169" s="658"/>
      <c r="H169" s="658"/>
    </row>
    <row r="170" ht="14.25" customHeight="1">
      <c r="A170" s="701"/>
      <c r="B170" s="307"/>
      <c r="C170" s="307"/>
      <c r="D170" s="307"/>
      <c r="E170" s="307"/>
      <c r="F170" s="307"/>
      <c r="G170" s="658"/>
      <c r="H170" s="658"/>
    </row>
    <row r="171" ht="14.25" customHeight="1">
      <c r="A171" s="701"/>
      <c r="B171" s="307"/>
      <c r="C171" s="307"/>
      <c r="D171" s="307"/>
      <c r="E171" s="307"/>
      <c r="F171" s="307"/>
      <c r="G171" s="658"/>
      <c r="H171" s="658"/>
    </row>
    <row r="172" ht="14.25" customHeight="1">
      <c r="A172" s="701"/>
      <c r="B172" s="307"/>
      <c r="C172" s="307"/>
      <c r="D172" s="307"/>
      <c r="E172" s="307"/>
      <c r="F172" s="307"/>
      <c r="G172" s="658"/>
      <c r="H172" s="658"/>
    </row>
    <row r="173" ht="14.25" customHeight="1">
      <c r="A173" s="701"/>
      <c r="B173" s="307"/>
      <c r="C173" s="307"/>
      <c r="D173" s="307"/>
      <c r="E173" s="307"/>
      <c r="F173" s="307"/>
      <c r="G173" s="658"/>
      <c r="H173" s="658"/>
    </row>
    <row r="174" ht="14.25" customHeight="1">
      <c r="A174" s="701"/>
      <c r="B174" s="307"/>
      <c r="C174" s="307"/>
      <c r="D174" s="307"/>
      <c r="E174" s="307"/>
      <c r="F174" s="307"/>
      <c r="G174" s="658"/>
      <c r="H174" s="658"/>
    </row>
    <row r="175" ht="14.25" customHeight="1">
      <c r="A175" s="701"/>
      <c r="B175" s="307"/>
      <c r="C175" s="307"/>
      <c r="D175" s="307"/>
      <c r="E175" s="307"/>
      <c r="F175" s="307"/>
      <c r="G175" s="658"/>
      <c r="H175" s="658"/>
    </row>
    <row r="176" ht="14.25" customHeight="1">
      <c r="A176" s="701"/>
      <c r="B176" s="307"/>
      <c r="C176" s="307"/>
      <c r="D176" s="307"/>
      <c r="E176" s="307"/>
      <c r="F176" s="307"/>
      <c r="G176" s="658"/>
      <c r="H176" s="658"/>
    </row>
    <row r="177" ht="14.25" customHeight="1">
      <c r="A177" s="701"/>
      <c r="B177" s="307"/>
      <c r="C177" s="307"/>
      <c r="D177" s="307"/>
      <c r="E177" s="307"/>
      <c r="F177" s="307"/>
      <c r="G177" s="658"/>
      <c r="H177" s="658"/>
    </row>
    <row r="178" ht="14.25" customHeight="1">
      <c r="A178" s="701"/>
      <c r="B178" s="307"/>
      <c r="C178" s="307"/>
      <c r="D178" s="307"/>
      <c r="E178" s="307"/>
      <c r="F178" s="307"/>
      <c r="G178" s="658"/>
      <c r="H178" s="658"/>
    </row>
    <row r="179" ht="14.25" customHeight="1">
      <c r="A179" s="701"/>
      <c r="B179" s="307"/>
      <c r="C179" s="307"/>
      <c r="D179" s="307"/>
      <c r="E179" s="307"/>
      <c r="F179" s="307"/>
      <c r="G179" s="658"/>
      <c r="H179" s="658"/>
    </row>
    <row r="180" ht="14.25" customHeight="1">
      <c r="A180" s="701"/>
      <c r="B180" s="307"/>
      <c r="C180" s="307"/>
      <c r="D180" s="307"/>
      <c r="E180" s="307"/>
      <c r="F180" s="307"/>
      <c r="G180" s="658"/>
      <c r="H180" s="658"/>
    </row>
    <row r="181" ht="14.25" customHeight="1">
      <c r="A181" s="701"/>
      <c r="B181" s="307"/>
      <c r="C181" s="307"/>
      <c r="D181" s="307"/>
      <c r="E181" s="307"/>
      <c r="F181" s="307"/>
      <c r="G181" s="658"/>
      <c r="H181" s="658"/>
    </row>
    <row r="182" ht="14.25" customHeight="1">
      <c r="A182" s="701"/>
      <c r="B182" s="307"/>
      <c r="C182" s="307"/>
      <c r="D182" s="307"/>
      <c r="E182" s="307"/>
      <c r="F182" s="307"/>
      <c r="G182" s="658"/>
      <c r="H182" s="658"/>
    </row>
    <row r="183" ht="14.25" customHeight="1">
      <c r="A183" s="701"/>
      <c r="B183" s="307"/>
      <c r="C183" s="307"/>
      <c r="D183" s="307"/>
      <c r="E183" s="307"/>
      <c r="F183" s="307"/>
      <c r="G183" s="658"/>
      <c r="H183" s="658"/>
    </row>
    <row r="184" ht="14.25" customHeight="1">
      <c r="A184" s="701"/>
      <c r="B184" s="307"/>
      <c r="C184" s="307"/>
      <c r="D184" s="307"/>
      <c r="E184" s="307"/>
      <c r="F184" s="307"/>
      <c r="G184" s="658"/>
      <c r="H184" s="658"/>
    </row>
    <row r="185" ht="14.25" customHeight="1">
      <c r="A185" s="701"/>
      <c r="B185" s="307"/>
      <c r="C185" s="307"/>
      <c r="D185" s="307"/>
      <c r="E185" s="307"/>
      <c r="F185" s="307"/>
      <c r="G185" s="658"/>
      <c r="H185" s="658"/>
    </row>
    <row r="186" ht="14.25" customHeight="1">
      <c r="A186" s="701"/>
      <c r="B186" s="307"/>
      <c r="C186" s="307"/>
      <c r="D186" s="307"/>
      <c r="E186" s="307"/>
      <c r="F186" s="307"/>
      <c r="G186" s="658"/>
      <c r="H186" s="658"/>
    </row>
    <row r="187" ht="14.25" customHeight="1">
      <c r="A187" s="701"/>
      <c r="B187" s="307"/>
      <c r="C187" s="307"/>
      <c r="D187" s="307"/>
      <c r="E187" s="307"/>
      <c r="F187" s="307"/>
      <c r="G187" s="658"/>
      <c r="H187" s="658"/>
    </row>
    <row r="188" ht="14.25" customHeight="1">
      <c r="A188" s="701"/>
      <c r="B188" s="307"/>
      <c r="C188" s="307"/>
      <c r="D188" s="307"/>
      <c r="E188" s="307"/>
      <c r="F188" s="307"/>
      <c r="G188" s="658"/>
      <c r="H188" s="658"/>
    </row>
    <row r="189" ht="14.25" customHeight="1">
      <c r="A189" s="701"/>
      <c r="B189" s="307"/>
      <c r="C189" s="307"/>
      <c r="D189" s="307"/>
      <c r="E189" s="307"/>
      <c r="F189" s="307"/>
      <c r="G189" s="658"/>
      <c r="H189" s="658"/>
    </row>
    <row r="190" ht="14.25" customHeight="1">
      <c r="A190" s="701"/>
      <c r="B190" s="307"/>
      <c r="C190" s="307"/>
      <c r="D190" s="307"/>
      <c r="E190" s="307"/>
      <c r="F190" s="307"/>
      <c r="G190" s="658"/>
      <c r="H190" s="658"/>
    </row>
    <row r="191" ht="14.25" customHeight="1">
      <c r="A191" s="701"/>
      <c r="B191" s="307"/>
      <c r="C191" s="307"/>
      <c r="D191" s="307"/>
      <c r="E191" s="307"/>
      <c r="F191" s="307"/>
      <c r="G191" s="658"/>
      <c r="H191" s="658"/>
    </row>
    <row r="192" ht="14.25" customHeight="1">
      <c r="A192" s="701"/>
      <c r="B192" s="307"/>
      <c r="C192" s="307"/>
      <c r="D192" s="307"/>
      <c r="E192" s="307"/>
      <c r="F192" s="307"/>
      <c r="G192" s="658"/>
      <c r="H192" s="658"/>
    </row>
    <row r="193" ht="14.25" customHeight="1">
      <c r="A193" s="701"/>
      <c r="B193" s="307"/>
      <c r="C193" s="307"/>
      <c r="D193" s="307"/>
      <c r="E193" s="307"/>
      <c r="F193" s="307"/>
      <c r="G193" s="658"/>
      <c r="H193" s="658"/>
    </row>
    <row r="194" ht="14.25" customHeight="1">
      <c r="A194" s="701"/>
      <c r="B194" s="307"/>
      <c r="C194" s="307"/>
      <c r="D194" s="307"/>
      <c r="E194" s="307"/>
      <c r="F194" s="307"/>
      <c r="G194" s="658"/>
      <c r="H194" s="658"/>
    </row>
    <row r="195" ht="14.25" customHeight="1">
      <c r="A195" s="701"/>
      <c r="B195" s="307"/>
      <c r="C195" s="307"/>
      <c r="D195" s="307"/>
      <c r="E195" s="307"/>
      <c r="F195" s="307"/>
      <c r="G195" s="658"/>
      <c r="H195" s="658"/>
    </row>
    <row r="196" ht="14.25" customHeight="1">
      <c r="A196" s="701"/>
      <c r="B196" s="307"/>
      <c r="C196" s="307"/>
      <c r="D196" s="307"/>
      <c r="E196" s="307"/>
      <c r="F196" s="307"/>
      <c r="G196" s="658"/>
      <c r="H196" s="658"/>
    </row>
    <row r="197" ht="14.25" customHeight="1">
      <c r="A197" s="701"/>
      <c r="B197" s="307"/>
      <c r="C197" s="307"/>
      <c r="D197" s="307"/>
      <c r="E197" s="307"/>
      <c r="F197" s="307"/>
      <c r="G197" s="658"/>
      <c r="H197" s="658"/>
    </row>
    <row r="198" ht="14.25" customHeight="1">
      <c r="A198" s="701"/>
      <c r="B198" s="307"/>
      <c r="C198" s="307"/>
      <c r="D198" s="307"/>
      <c r="E198" s="307"/>
      <c r="F198" s="307"/>
      <c r="G198" s="658"/>
      <c r="H198" s="658"/>
    </row>
    <row r="199" ht="14.25" customHeight="1">
      <c r="A199" s="701"/>
      <c r="B199" s="307"/>
      <c r="C199" s="307"/>
      <c r="D199" s="307"/>
      <c r="E199" s="307"/>
      <c r="F199" s="307"/>
      <c r="G199" s="658"/>
      <c r="H199" s="658"/>
    </row>
    <row r="200" ht="14.25" customHeight="1">
      <c r="A200" s="701"/>
      <c r="B200" s="307"/>
      <c r="C200" s="307"/>
      <c r="D200" s="307"/>
      <c r="E200" s="307"/>
      <c r="F200" s="307"/>
      <c r="G200" s="658"/>
      <c r="H200" s="658"/>
    </row>
    <row r="201" ht="14.25" customHeight="1">
      <c r="A201" s="701"/>
      <c r="B201" s="307"/>
      <c r="C201" s="307"/>
      <c r="D201" s="307"/>
      <c r="E201" s="307"/>
      <c r="F201" s="307"/>
      <c r="G201" s="658"/>
      <c r="H201" s="658"/>
    </row>
    <row r="202" ht="14.25" customHeight="1">
      <c r="A202" s="701"/>
      <c r="B202" s="307"/>
      <c r="C202" s="307"/>
      <c r="D202" s="307"/>
      <c r="E202" s="307"/>
      <c r="F202" s="307"/>
      <c r="G202" s="658"/>
      <c r="H202" s="658"/>
    </row>
    <row r="203" ht="14.25" customHeight="1">
      <c r="A203" s="701"/>
      <c r="B203" s="307"/>
      <c r="C203" s="307"/>
      <c r="D203" s="307"/>
      <c r="E203" s="307"/>
      <c r="F203" s="307"/>
      <c r="G203" s="658"/>
      <c r="H203" s="658"/>
    </row>
    <row r="204" ht="14.25" customHeight="1">
      <c r="A204" s="701"/>
      <c r="B204" s="307"/>
      <c r="C204" s="307"/>
      <c r="D204" s="307"/>
      <c r="E204" s="307"/>
      <c r="F204" s="307"/>
      <c r="G204" s="658"/>
      <c r="H204" s="658"/>
    </row>
    <row r="205" ht="14.25" customHeight="1">
      <c r="A205" s="701"/>
      <c r="B205" s="307"/>
      <c r="C205" s="307"/>
      <c r="D205" s="307"/>
      <c r="E205" s="307"/>
      <c r="F205" s="307"/>
      <c r="G205" s="658"/>
      <c r="H205" s="658"/>
    </row>
    <row r="206" ht="14.25" customHeight="1">
      <c r="A206" s="701"/>
      <c r="B206" s="307"/>
      <c r="C206" s="307"/>
      <c r="D206" s="307"/>
      <c r="E206" s="307"/>
      <c r="F206" s="307"/>
      <c r="G206" s="658"/>
      <c r="H206" s="658"/>
    </row>
    <row r="207" ht="14.25" customHeight="1">
      <c r="A207" s="701"/>
      <c r="B207" s="307"/>
      <c r="C207" s="307"/>
      <c r="D207" s="307"/>
      <c r="E207" s="307"/>
      <c r="F207" s="307"/>
      <c r="G207" s="658"/>
      <c r="H207" s="658"/>
    </row>
    <row r="208" ht="14.25" customHeight="1">
      <c r="A208" s="701"/>
      <c r="B208" s="307"/>
      <c r="C208" s="307"/>
      <c r="D208" s="307"/>
      <c r="E208" s="307"/>
      <c r="F208" s="307"/>
      <c r="G208" s="658"/>
      <c r="H208" s="658"/>
    </row>
    <row r="209" ht="14.25" customHeight="1">
      <c r="A209" s="701"/>
      <c r="B209" s="307"/>
      <c r="C209" s="307"/>
      <c r="D209" s="307"/>
      <c r="E209" s="307"/>
      <c r="F209" s="307"/>
      <c r="G209" s="658"/>
      <c r="H209" s="658"/>
    </row>
    <row r="210" ht="14.25" customHeight="1">
      <c r="A210" s="701"/>
      <c r="B210" s="307"/>
      <c r="C210" s="307"/>
      <c r="D210" s="307"/>
      <c r="E210" s="307"/>
      <c r="F210" s="307"/>
      <c r="G210" s="658"/>
      <c r="H210" s="658"/>
    </row>
    <row r="211" ht="14.25" customHeight="1">
      <c r="A211" s="701"/>
      <c r="B211" s="307"/>
      <c r="C211" s="307"/>
      <c r="D211" s="307"/>
      <c r="E211" s="307"/>
      <c r="F211" s="307"/>
      <c r="G211" s="658"/>
      <c r="H211" s="658"/>
    </row>
    <row r="212" ht="14.25" customHeight="1">
      <c r="A212" s="701"/>
      <c r="B212" s="307"/>
      <c r="C212" s="307"/>
      <c r="D212" s="307"/>
      <c r="E212" s="307"/>
      <c r="F212" s="307"/>
      <c r="G212" s="658"/>
      <c r="H212" s="658"/>
    </row>
    <row r="213" ht="14.25" customHeight="1">
      <c r="A213" s="701"/>
      <c r="B213" s="307"/>
      <c r="C213" s="307"/>
      <c r="D213" s="307"/>
      <c r="E213" s="307"/>
      <c r="F213" s="307"/>
      <c r="G213" s="658"/>
      <c r="H213" s="658"/>
    </row>
    <row r="214" ht="14.25" customHeight="1">
      <c r="A214" s="701"/>
      <c r="B214" s="307"/>
      <c r="C214" s="307"/>
      <c r="D214" s="307"/>
      <c r="E214" s="307"/>
      <c r="F214" s="307"/>
      <c r="G214" s="658"/>
      <c r="H214" s="658"/>
    </row>
    <row r="215" ht="14.25" customHeight="1">
      <c r="A215" s="701"/>
      <c r="B215" s="307"/>
      <c r="C215" s="307"/>
      <c r="D215" s="307"/>
      <c r="E215" s="307"/>
      <c r="F215" s="307"/>
      <c r="G215" s="658"/>
      <c r="H215" s="658"/>
    </row>
    <row r="216" ht="14.25" customHeight="1">
      <c r="A216" s="701"/>
      <c r="B216" s="307"/>
      <c r="C216" s="307"/>
      <c r="D216" s="307"/>
      <c r="E216" s="307"/>
      <c r="F216" s="307"/>
      <c r="G216" s="658"/>
      <c r="H216" s="658"/>
    </row>
    <row r="217" ht="14.25" customHeight="1">
      <c r="A217" s="701"/>
      <c r="B217" s="307"/>
      <c r="C217" s="307"/>
      <c r="D217" s="307"/>
      <c r="E217" s="307"/>
      <c r="F217" s="307"/>
      <c r="G217" s="658"/>
      <c r="H217" s="658"/>
    </row>
    <row r="218" ht="14.25" customHeight="1">
      <c r="A218" s="701"/>
      <c r="B218" s="307"/>
      <c r="C218" s="307"/>
      <c r="D218" s="307"/>
      <c r="E218" s="307"/>
      <c r="F218" s="307"/>
      <c r="G218" s="658"/>
      <c r="H218" s="658"/>
    </row>
    <row r="219" ht="14.25" customHeight="1">
      <c r="A219" s="701"/>
      <c r="B219" s="307"/>
      <c r="C219" s="307"/>
      <c r="D219" s="307"/>
      <c r="E219" s="307"/>
      <c r="F219" s="307"/>
      <c r="G219" s="658"/>
      <c r="H219" s="658"/>
    </row>
    <row r="220" ht="14.25" customHeight="1">
      <c r="A220" s="701"/>
      <c r="B220" s="307"/>
      <c r="C220" s="307"/>
      <c r="D220" s="307"/>
      <c r="E220" s="307"/>
      <c r="F220" s="307"/>
      <c r="G220" s="658"/>
      <c r="H220" s="658"/>
    </row>
    <row r="221" ht="14.25" customHeight="1">
      <c r="A221" s="701"/>
      <c r="B221" s="307"/>
      <c r="C221" s="307"/>
      <c r="D221" s="307"/>
      <c r="E221" s="307"/>
      <c r="F221" s="307"/>
      <c r="G221" s="658"/>
      <c r="H221" s="658"/>
    </row>
    <row r="222" ht="14.25" customHeight="1">
      <c r="A222" s="701"/>
      <c r="B222" s="307"/>
      <c r="C222" s="307"/>
      <c r="D222" s="307"/>
      <c r="E222" s="307"/>
      <c r="F222" s="307"/>
      <c r="G222" s="658"/>
      <c r="H222" s="658"/>
    </row>
    <row r="223" ht="14.25" customHeight="1">
      <c r="A223" s="701"/>
      <c r="B223" s="307"/>
      <c r="C223" s="307"/>
      <c r="D223" s="307"/>
      <c r="E223" s="307"/>
      <c r="F223" s="307"/>
      <c r="G223" s="658"/>
      <c r="H223" s="658"/>
    </row>
    <row r="224" ht="14.25" customHeight="1">
      <c r="A224" s="701"/>
      <c r="B224" s="307"/>
      <c r="C224" s="307"/>
      <c r="D224" s="307"/>
      <c r="E224" s="307"/>
      <c r="F224" s="307"/>
      <c r="G224" s="658"/>
      <c r="H224" s="658"/>
    </row>
    <row r="225" ht="14.25" customHeight="1">
      <c r="A225" s="701"/>
      <c r="B225" s="307"/>
      <c r="C225" s="307"/>
      <c r="D225" s="307"/>
      <c r="E225" s="307"/>
      <c r="F225" s="307"/>
      <c r="G225" s="658"/>
      <c r="H225" s="658"/>
    </row>
    <row r="226" ht="14.25" customHeight="1">
      <c r="A226" s="701"/>
      <c r="B226" s="307"/>
      <c r="C226" s="307"/>
      <c r="D226" s="307"/>
      <c r="E226" s="307"/>
      <c r="F226" s="307"/>
      <c r="G226" s="658"/>
      <c r="H226" s="658"/>
    </row>
    <row r="227" ht="14.25" customHeight="1">
      <c r="A227" s="701"/>
      <c r="B227" s="307"/>
      <c r="C227" s="307"/>
      <c r="D227" s="307"/>
      <c r="E227" s="307"/>
      <c r="F227" s="307"/>
      <c r="G227" s="658"/>
      <c r="H227" s="658"/>
    </row>
    <row r="228" ht="15.75" customHeight="1">
      <c r="A228" s="701"/>
      <c r="B228" s="307"/>
      <c r="C228" s="307"/>
      <c r="D228" s="307"/>
      <c r="E228" s="307"/>
      <c r="F228" s="307"/>
      <c r="G228" s="658"/>
      <c r="H228" s="658"/>
    </row>
    <row r="229" ht="15.75" customHeight="1">
      <c r="A229" s="701"/>
      <c r="B229" s="307"/>
      <c r="C229" s="307"/>
      <c r="D229" s="307"/>
      <c r="E229" s="307"/>
      <c r="F229" s="307"/>
      <c r="G229" s="658"/>
      <c r="H229" s="658"/>
    </row>
    <row r="230" ht="15.75" customHeight="1">
      <c r="A230" s="701"/>
      <c r="B230" s="307"/>
      <c r="C230" s="307"/>
      <c r="D230" s="307"/>
      <c r="E230" s="307"/>
      <c r="F230" s="307"/>
      <c r="G230" s="658"/>
      <c r="H230" s="658"/>
    </row>
    <row r="231" ht="15.75" customHeight="1">
      <c r="A231" s="701"/>
      <c r="B231" s="307"/>
      <c r="C231" s="307"/>
      <c r="D231" s="307"/>
      <c r="E231" s="307"/>
      <c r="F231" s="307"/>
      <c r="G231" s="658"/>
      <c r="H231" s="658"/>
    </row>
    <row r="232" ht="15.75" customHeight="1">
      <c r="A232" s="701"/>
      <c r="B232" s="307"/>
      <c r="C232" s="307"/>
      <c r="D232" s="307"/>
      <c r="E232" s="307"/>
      <c r="F232" s="307"/>
      <c r="G232" s="658"/>
      <c r="H232" s="658"/>
    </row>
    <row r="233" ht="15.75" customHeight="1">
      <c r="A233" s="701"/>
      <c r="B233" s="307"/>
      <c r="C233" s="307"/>
      <c r="D233" s="307"/>
      <c r="E233" s="307"/>
      <c r="F233" s="307"/>
      <c r="G233" s="658"/>
      <c r="H233" s="658"/>
    </row>
    <row r="234" ht="15.75" customHeight="1">
      <c r="A234" s="701"/>
      <c r="B234" s="307"/>
      <c r="C234" s="307"/>
      <c r="D234" s="307"/>
      <c r="E234" s="307"/>
      <c r="F234" s="307"/>
      <c r="G234" s="658"/>
      <c r="H234" s="658"/>
    </row>
    <row r="235" ht="14.25" customHeight="1">
      <c r="A235" s="703"/>
      <c r="B235" s="658"/>
      <c r="C235" s="658"/>
      <c r="D235" s="658"/>
      <c r="E235" s="658"/>
      <c r="F235" s="658"/>
      <c r="G235" s="658"/>
      <c r="H235" s="658"/>
    </row>
    <row r="236" ht="14.25" customHeight="1">
      <c r="A236" s="703"/>
      <c r="B236" s="658"/>
      <c r="C236" s="658"/>
      <c r="D236" s="658"/>
      <c r="E236" s="658"/>
      <c r="F236" s="658"/>
      <c r="G236" s="658"/>
      <c r="H236" s="658"/>
    </row>
    <row r="237" ht="14.25" customHeight="1">
      <c r="A237" s="703"/>
      <c r="B237" s="658"/>
      <c r="C237" s="658"/>
      <c r="D237" s="658"/>
      <c r="E237" s="658"/>
      <c r="F237" s="658"/>
      <c r="G237" s="658"/>
      <c r="H237" s="658"/>
    </row>
    <row r="238" ht="14.25" customHeight="1">
      <c r="A238" s="703"/>
      <c r="B238" s="658"/>
      <c r="C238" s="658"/>
      <c r="D238" s="658"/>
      <c r="E238" s="658"/>
      <c r="F238" s="658"/>
      <c r="G238" s="658"/>
      <c r="H238" s="658"/>
    </row>
    <row r="239" ht="14.25" customHeight="1">
      <c r="A239" s="703"/>
      <c r="B239" s="658"/>
      <c r="C239" s="658"/>
      <c r="D239" s="658"/>
      <c r="E239" s="658"/>
      <c r="F239" s="658"/>
      <c r="G239" s="658"/>
      <c r="H239" s="658"/>
    </row>
    <row r="240" ht="14.25" customHeight="1">
      <c r="A240" s="703"/>
      <c r="B240" s="658"/>
      <c r="C240" s="658"/>
      <c r="D240" s="658"/>
      <c r="E240" s="658"/>
      <c r="F240" s="658"/>
      <c r="G240" s="658"/>
      <c r="H240" s="658"/>
    </row>
    <row r="241" ht="14.25" customHeight="1">
      <c r="A241" s="703"/>
      <c r="B241" s="658"/>
      <c r="C241" s="658"/>
      <c r="D241" s="658"/>
      <c r="E241" s="658"/>
      <c r="F241" s="658"/>
      <c r="G241" s="658"/>
      <c r="H241" s="658"/>
    </row>
    <row r="242" ht="14.25" customHeight="1">
      <c r="A242" s="703"/>
      <c r="B242" s="658"/>
      <c r="C242" s="658"/>
      <c r="D242" s="658"/>
      <c r="E242" s="658"/>
      <c r="F242" s="658"/>
      <c r="G242" s="658"/>
      <c r="H242" s="658"/>
    </row>
    <row r="243" ht="14.25" customHeight="1">
      <c r="A243" s="703"/>
      <c r="B243" s="658"/>
      <c r="C243" s="658"/>
      <c r="D243" s="658"/>
      <c r="E243" s="658"/>
      <c r="F243" s="658"/>
      <c r="G243" s="658"/>
      <c r="H243" s="658"/>
    </row>
    <row r="244" ht="14.25" customHeight="1">
      <c r="A244" s="703"/>
      <c r="B244" s="658"/>
      <c r="C244" s="658"/>
      <c r="D244" s="658"/>
      <c r="E244" s="658"/>
      <c r="F244" s="658"/>
      <c r="G244" s="658"/>
      <c r="H244" s="658"/>
    </row>
    <row r="245" ht="14.25" customHeight="1">
      <c r="A245" s="703"/>
      <c r="B245" s="658"/>
      <c r="C245" s="658"/>
      <c r="D245" s="658"/>
      <c r="E245" s="658"/>
      <c r="F245" s="658"/>
      <c r="G245" s="658"/>
      <c r="H245" s="658"/>
    </row>
    <row r="246" ht="14.25" customHeight="1">
      <c r="A246" s="703"/>
      <c r="B246" s="658"/>
      <c r="C246" s="658"/>
      <c r="D246" s="658"/>
      <c r="E246" s="658"/>
      <c r="F246" s="658"/>
      <c r="G246" s="658"/>
      <c r="H246" s="658"/>
    </row>
    <row r="247" ht="14.25" customHeight="1">
      <c r="A247" s="703"/>
      <c r="B247" s="658"/>
      <c r="C247" s="658"/>
      <c r="D247" s="658"/>
      <c r="E247" s="658"/>
      <c r="F247" s="658"/>
      <c r="G247" s="658"/>
      <c r="H247" s="658"/>
    </row>
    <row r="248" ht="14.25" customHeight="1">
      <c r="A248" s="703"/>
      <c r="B248" s="658"/>
      <c r="C248" s="658"/>
      <c r="D248" s="658"/>
      <c r="E248" s="658"/>
      <c r="F248" s="658"/>
      <c r="G248" s="658"/>
      <c r="H248" s="658"/>
    </row>
    <row r="249" ht="14.25" customHeight="1">
      <c r="A249" s="703"/>
      <c r="B249" s="658"/>
      <c r="C249" s="658"/>
      <c r="D249" s="658"/>
      <c r="E249" s="658"/>
      <c r="F249" s="658"/>
      <c r="G249" s="658"/>
      <c r="H249" s="658"/>
    </row>
    <row r="250" ht="14.25" customHeight="1">
      <c r="A250" s="703"/>
      <c r="B250" s="658"/>
      <c r="C250" s="658"/>
      <c r="D250" s="658"/>
      <c r="E250" s="658"/>
      <c r="F250" s="658"/>
      <c r="G250" s="658"/>
      <c r="H250" s="658"/>
    </row>
    <row r="251" ht="14.25" customHeight="1">
      <c r="A251" s="703"/>
      <c r="B251" s="658"/>
      <c r="C251" s="658"/>
      <c r="D251" s="658"/>
      <c r="E251" s="658"/>
      <c r="F251" s="658"/>
      <c r="G251" s="658"/>
      <c r="H251" s="658"/>
    </row>
    <row r="252" ht="14.25" customHeight="1">
      <c r="A252" s="703"/>
      <c r="B252" s="658"/>
      <c r="C252" s="658"/>
      <c r="D252" s="658"/>
      <c r="E252" s="658"/>
      <c r="F252" s="658"/>
      <c r="G252" s="658"/>
      <c r="H252" s="658"/>
    </row>
    <row r="253" ht="14.25" customHeight="1">
      <c r="A253" s="703"/>
      <c r="B253" s="658"/>
      <c r="C253" s="658"/>
      <c r="D253" s="658"/>
      <c r="E253" s="658"/>
      <c r="F253" s="658"/>
      <c r="G253" s="658"/>
      <c r="H253" s="658"/>
    </row>
    <row r="254" ht="14.25" customHeight="1">
      <c r="A254" s="703"/>
      <c r="B254" s="658"/>
      <c r="C254" s="658"/>
      <c r="D254" s="658"/>
      <c r="E254" s="658"/>
      <c r="F254" s="658"/>
      <c r="G254" s="658"/>
      <c r="H254" s="658"/>
    </row>
    <row r="255" ht="14.25" customHeight="1">
      <c r="A255" s="703"/>
      <c r="B255" s="658"/>
      <c r="C255" s="658"/>
      <c r="D255" s="658"/>
      <c r="E255" s="658"/>
      <c r="F255" s="658"/>
      <c r="G255" s="658"/>
      <c r="H255" s="658"/>
    </row>
    <row r="256" ht="14.25" customHeight="1">
      <c r="A256" s="703"/>
      <c r="B256" s="658"/>
      <c r="C256" s="658"/>
      <c r="D256" s="658"/>
      <c r="E256" s="658"/>
      <c r="F256" s="658"/>
      <c r="G256" s="658"/>
      <c r="H256" s="658"/>
    </row>
    <row r="257" ht="14.25" customHeight="1">
      <c r="A257" s="703"/>
      <c r="B257" s="658"/>
      <c r="C257" s="658"/>
      <c r="D257" s="658"/>
      <c r="E257" s="658"/>
      <c r="F257" s="658"/>
      <c r="G257" s="658"/>
      <c r="H257" s="658"/>
    </row>
    <row r="258" ht="14.25" customHeight="1">
      <c r="A258" s="703"/>
      <c r="B258" s="658"/>
      <c r="C258" s="658"/>
      <c r="D258" s="658"/>
      <c r="E258" s="658"/>
      <c r="F258" s="658"/>
      <c r="G258" s="658"/>
      <c r="H258" s="658"/>
    </row>
    <row r="259" ht="14.25" customHeight="1">
      <c r="A259" s="703"/>
      <c r="B259" s="658"/>
      <c r="C259" s="658"/>
      <c r="D259" s="658"/>
      <c r="E259" s="658"/>
      <c r="F259" s="658"/>
      <c r="G259" s="658"/>
      <c r="H259" s="658"/>
    </row>
    <row r="260" ht="14.25" customHeight="1">
      <c r="A260" s="703"/>
      <c r="B260" s="658"/>
      <c r="C260" s="658"/>
      <c r="D260" s="658"/>
      <c r="E260" s="658"/>
      <c r="F260" s="658"/>
      <c r="G260" s="658"/>
      <c r="H260" s="658"/>
    </row>
    <row r="261" ht="14.25" customHeight="1">
      <c r="A261" s="703"/>
      <c r="B261" s="658"/>
      <c r="C261" s="658"/>
      <c r="D261" s="658"/>
      <c r="E261" s="658"/>
      <c r="F261" s="658"/>
      <c r="G261" s="658"/>
      <c r="H261" s="658"/>
    </row>
    <row r="262" ht="14.25" customHeight="1">
      <c r="A262" s="703"/>
      <c r="B262" s="658"/>
      <c r="C262" s="658"/>
      <c r="D262" s="658"/>
      <c r="E262" s="658"/>
      <c r="F262" s="658"/>
      <c r="G262" s="658"/>
      <c r="H262" s="658"/>
    </row>
    <row r="263" ht="14.25" customHeight="1">
      <c r="A263" s="703"/>
      <c r="B263" s="658"/>
      <c r="C263" s="658"/>
      <c r="D263" s="658"/>
      <c r="E263" s="658"/>
      <c r="F263" s="658"/>
      <c r="G263" s="658"/>
      <c r="H263" s="658"/>
    </row>
    <row r="264" ht="14.25" customHeight="1">
      <c r="A264" s="703"/>
      <c r="B264" s="658"/>
      <c r="C264" s="658"/>
      <c r="D264" s="658"/>
      <c r="E264" s="658"/>
      <c r="F264" s="658"/>
      <c r="G264" s="658"/>
      <c r="H264" s="658"/>
    </row>
    <row r="265" ht="14.25" customHeight="1">
      <c r="A265" s="703"/>
      <c r="B265" s="658"/>
      <c r="C265" s="658"/>
      <c r="D265" s="658"/>
      <c r="E265" s="658"/>
      <c r="F265" s="658"/>
      <c r="G265" s="658"/>
      <c r="H265" s="658"/>
    </row>
    <row r="266" ht="14.25" customHeight="1">
      <c r="A266" s="703"/>
      <c r="B266" s="658"/>
      <c r="C266" s="658"/>
      <c r="D266" s="658"/>
      <c r="E266" s="658"/>
      <c r="F266" s="658"/>
      <c r="G266" s="658"/>
      <c r="H266" s="658"/>
    </row>
    <row r="267" ht="14.25" customHeight="1">
      <c r="A267" s="703"/>
      <c r="B267" s="658"/>
      <c r="C267" s="658"/>
      <c r="D267" s="658"/>
      <c r="E267" s="658"/>
      <c r="F267" s="658"/>
      <c r="G267" s="658"/>
      <c r="H267" s="658"/>
    </row>
    <row r="268" ht="14.25" customHeight="1">
      <c r="A268" s="703"/>
      <c r="B268" s="658"/>
      <c r="C268" s="658"/>
      <c r="D268" s="658"/>
      <c r="E268" s="658"/>
      <c r="F268" s="658"/>
      <c r="G268" s="658"/>
      <c r="H268" s="658"/>
    </row>
    <row r="269" ht="14.25" customHeight="1">
      <c r="A269" s="703"/>
      <c r="B269" s="658"/>
      <c r="C269" s="658"/>
      <c r="D269" s="658"/>
      <c r="E269" s="658"/>
      <c r="F269" s="658"/>
      <c r="G269" s="658"/>
      <c r="H269" s="658"/>
    </row>
    <row r="270" ht="14.25" customHeight="1">
      <c r="A270" s="703"/>
      <c r="B270" s="658"/>
      <c r="C270" s="658"/>
      <c r="D270" s="658"/>
      <c r="E270" s="658"/>
      <c r="F270" s="658"/>
      <c r="G270" s="658"/>
      <c r="H270" s="658"/>
    </row>
    <row r="271" ht="14.25" customHeight="1">
      <c r="A271" s="703"/>
      <c r="B271" s="658"/>
      <c r="C271" s="658"/>
      <c r="D271" s="658"/>
      <c r="E271" s="658"/>
      <c r="F271" s="658"/>
      <c r="G271" s="658"/>
      <c r="H271" s="658"/>
    </row>
    <row r="272" ht="14.25" customHeight="1">
      <c r="A272" s="703"/>
      <c r="B272" s="658"/>
      <c r="C272" s="658"/>
      <c r="D272" s="658"/>
      <c r="E272" s="658"/>
      <c r="F272" s="658"/>
      <c r="G272" s="658"/>
      <c r="H272" s="658"/>
    </row>
    <row r="273" ht="14.25" customHeight="1">
      <c r="A273" s="703"/>
      <c r="B273" s="658"/>
      <c r="C273" s="658"/>
      <c r="D273" s="658"/>
      <c r="E273" s="658"/>
      <c r="F273" s="658"/>
      <c r="G273" s="658"/>
      <c r="H273" s="658"/>
    </row>
    <row r="274" ht="14.25" customHeight="1">
      <c r="A274" s="703"/>
      <c r="B274" s="658"/>
      <c r="C274" s="658"/>
      <c r="D274" s="658"/>
      <c r="E274" s="658"/>
      <c r="F274" s="658"/>
      <c r="G274" s="658"/>
      <c r="H274" s="658"/>
    </row>
    <row r="275" ht="14.25" customHeight="1">
      <c r="A275" s="703"/>
      <c r="B275" s="658"/>
      <c r="C275" s="658"/>
      <c r="D275" s="658"/>
      <c r="E275" s="658"/>
      <c r="F275" s="658"/>
      <c r="G275" s="658"/>
      <c r="H275" s="658"/>
    </row>
    <row r="276" ht="14.25" customHeight="1">
      <c r="A276" s="703"/>
      <c r="B276" s="658"/>
      <c r="C276" s="658"/>
      <c r="D276" s="658"/>
      <c r="E276" s="658"/>
      <c r="F276" s="658"/>
      <c r="G276" s="658"/>
      <c r="H276" s="658"/>
    </row>
    <row r="277" ht="14.25" customHeight="1">
      <c r="A277" s="703"/>
      <c r="B277" s="658"/>
      <c r="C277" s="658"/>
      <c r="D277" s="658"/>
      <c r="E277" s="658"/>
      <c r="F277" s="658"/>
      <c r="G277" s="658"/>
      <c r="H277" s="658"/>
    </row>
    <row r="278" ht="14.25" customHeight="1">
      <c r="A278" s="703"/>
      <c r="B278" s="658"/>
      <c r="C278" s="658"/>
      <c r="D278" s="658"/>
      <c r="E278" s="658"/>
      <c r="F278" s="658"/>
      <c r="G278" s="658"/>
      <c r="H278" s="658"/>
    </row>
    <row r="279" ht="14.25" customHeight="1">
      <c r="A279" s="703"/>
      <c r="B279" s="658"/>
      <c r="C279" s="658"/>
      <c r="D279" s="658"/>
      <c r="E279" s="658"/>
      <c r="F279" s="658"/>
      <c r="G279" s="658"/>
      <c r="H279" s="658"/>
    </row>
    <row r="280" ht="14.25" customHeight="1">
      <c r="A280" s="703"/>
      <c r="B280" s="658"/>
      <c r="C280" s="658"/>
      <c r="D280" s="658"/>
      <c r="E280" s="658"/>
      <c r="F280" s="658"/>
      <c r="G280" s="658"/>
      <c r="H280" s="658"/>
    </row>
    <row r="281" ht="14.25" customHeight="1">
      <c r="A281" s="703"/>
      <c r="B281" s="658"/>
      <c r="C281" s="658"/>
      <c r="D281" s="658"/>
      <c r="E281" s="658"/>
      <c r="F281" s="658"/>
      <c r="G281" s="658"/>
      <c r="H281" s="658"/>
    </row>
    <row r="282" ht="14.25" customHeight="1">
      <c r="A282" s="703"/>
      <c r="B282" s="658"/>
      <c r="C282" s="658"/>
      <c r="D282" s="658"/>
      <c r="E282" s="658"/>
      <c r="F282" s="658"/>
      <c r="G282" s="658"/>
      <c r="H282" s="658"/>
    </row>
    <row r="283" ht="14.25" customHeight="1">
      <c r="A283" s="703"/>
      <c r="B283" s="658"/>
      <c r="C283" s="658"/>
      <c r="D283" s="658"/>
      <c r="E283" s="658"/>
      <c r="F283" s="658"/>
      <c r="G283" s="658"/>
      <c r="H283" s="658"/>
    </row>
    <row r="284" ht="14.25" customHeight="1">
      <c r="A284" s="703"/>
      <c r="B284" s="658"/>
      <c r="C284" s="658"/>
      <c r="D284" s="658"/>
      <c r="E284" s="658"/>
      <c r="F284" s="658"/>
      <c r="G284" s="658"/>
      <c r="H284" s="658"/>
    </row>
    <row r="285" ht="14.25" customHeight="1">
      <c r="A285" s="703"/>
      <c r="B285" s="658"/>
      <c r="C285" s="658"/>
      <c r="D285" s="658"/>
      <c r="E285" s="658"/>
      <c r="F285" s="658"/>
      <c r="G285" s="658"/>
      <c r="H285" s="658"/>
    </row>
    <row r="286" ht="14.25" customHeight="1">
      <c r="A286" s="703"/>
      <c r="B286" s="658"/>
      <c r="C286" s="658"/>
      <c r="D286" s="658"/>
      <c r="E286" s="658"/>
      <c r="F286" s="658"/>
      <c r="G286" s="658"/>
      <c r="H286" s="658"/>
    </row>
    <row r="287" ht="14.25" customHeight="1">
      <c r="A287" s="703"/>
      <c r="B287" s="658"/>
      <c r="C287" s="658"/>
      <c r="D287" s="658"/>
      <c r="E287" s="658"/>
      <c r="F287" s="658"/>
      <c r="G287" s="658"/>
      <c r="H287" s="658"/>
    </row>
    <row r="288" ht="14.25" customHeight="1">
      <c r="A288" s="703"/>
      <c r="B288" s="658"/>
      <c r="C288" s="658"/>
      <c r="D288" s="658"/>
      <c r="E288" s="658"/>
      <c r="F288" s="658"/>
      <c r="G288" s="658"/>
      <c r="H288" s="658"/>
    </row>
    <row r="289" ht="14.25" customHeight="1">
      <c r="A289" s="703"/>
      <c r="B289" s="658"/>
      <c r="C289" s="658"/>
      <c r="D289" s="658"/>
      <c r="E289" s="658"/>
      <c r="F289" s="658"/>
      <c r="G289" s="658"/>
      <c r="H289" s="658"/>
    </row>
    <row r="290" ht="14.25" customHeight="1">
      <c r="A290" s="703"/>
      <c r="B290" s="658"/>
      <c r="C290" s="658"/>
      <c r="D290" s="658"/>
      <c r="E290" s="658"/>
      <c r="F290" s="658"/>
      <c r="G290" s="658"/>
      <c r="H290" s="658"/>
    </row>
    <row r="291" ht="14.25" customHeight="1">
      <c r="A291" s="703"/>
      <c r="B291" s="658"/>
      <c r="C291" s="658"/>
      <c r="D291" s="658"/>
      <c r="E291" s="658"/>
      <c r="F291" s="658"/>
      <c r="G291" s="658"/>
      <c r="H291" s="658"/>
    </row>
    <row r="292" ht="14.25" customHeight="1">
      <c r="A292" s="703"/>
      <c r="B292" s="658"/>
      <c r="C292" s="658"/>
      <c r="D292" s="658"/>
      <c r="E292" s="658"/>
      <c r="F292" s="658"/>
      <c r="G292" s="658"/>
      <c r="H292" s="658"/>
    </row>
    <row r="293" ht="14.25" customHeight="1">
      <c r="A293" s="703"/>
      <c r="B293" s="658"/>
      <c r="C293" s="658"/>
      <c r="D293" s="658"/>
      <c r="E293" s="658"/>
      <c r="F293" s="658"/>
      <c r="G293" s="658"/>
      <c r="H293" s="658"/>
    </row>
    <row r="294" ht="14.25" customHeight="1">
      <c r="A294" s="703"/>
      <c r="B294" s="658"/>
      <c r="C294" s="658"/>
      <c r="D294" s="658"/>
      <c r="E294" s="658"/>
      <c r="F294" s="658"/>
      <c r="G294" s="658"/>
      <c r="H294" s="658"/>
    </row>
    <row r="295" ht="14.25" customHeight="1">
      <c r="A295" s="703"/>
      <c r="B295" s="658"/>
      <c r="C295" s="658"/>
      <c r="D295" s="658"/>
      <c r="E295" s="658"/>
      <c r="F295" s="658"/>
      <c r="G295" s="658"/>
      <c r="H295" s="658"/>
    </row>
    <row r="296" ht="14.25" customHeight="1">
      <c r="A296" s="703"/>
      <c r="B296" s="658"/>
      <c r="C296" s="658"/>
      <c r="D296" s="658"/>
      <c r="E296" s="658"/>
      <c r="F296" s="658"/>
      <c r="G296" s="658"/>
      <c r="H296" s="658"/>
    </row>
    <row r="297" ht="14.25" customHeight="1">
      <c r="A297" s="703"/>
      <c r="B297" s="658"/>
      <c r="C297" s="658"/>
      <c r="D297" s="658"/>
      <c r="E297" s="658"/>
      <c r="F297" s="658"/>
      <c r="G297" s="658"/>
      <c r="H297" s="658"/>
    </row>
    <row r="298" ht="14.25" customHeight="1">
      <c r="A298" s="703"/>
      <c r="B298" s="658"/>
      <c r="C298" s="658"/>
      <c r="D298" s="658"/>
      <c r="E298" s="658"/>
      <c r="F298" s="658"/>
      <c r="G298" s="658"/>
      <c r="H298" s="658"/>
    </row>
    <row r="299" ht="14.25" customHeight="1">
      <c r="A299" s="703"/>
      <c r="B299" s="658"/>
      <c r="C299" s="658"/>
      <c r="D299" s="658"/>
      <c r="E299" s="658"/>
      <c r="F299" s="658"/>
      <c r="G299" s="658"/>
      <c r="H299" s="658"/>
    </row>
    <row r="300" ht="14.25" customHeight="1">
      <c r="A300" s="703"/>
      <c r="B300" s="658"/>
      <c r="C300" s="658"/>
      <c r="D300" s="658"/>
      <c r="E300" s="658"/>
      <c r="F300" s="658"/>
      <c r="G300" s="658"/>
      <c r="H300" s="658"/>
    </row>
    <row r="301" ht="14.25" customHeight="1">
      <c r="A301" s="703"/>
      <c r="B301" s="658"/>
      <c r="C301" s="658"/>
      <c r="D301" s="658"/>
      <c r="E301" s="658"/>
      <c r="F301" s="658"/>
      <c r="G301" s="658"/>
      <c r="H301" s="658"/>
    </row>
    <row r="302" ht="14.25" customHeight="1">
      <c r="A302" s="703"/>
      <c r="B302" s="658"/>
      <c r="C302" s="658"/>
      <c r="D302" s="658"/>
      <c r="E302" s="658"/>
      <c r="F302" s="658"/>
      <c r="G302" s="658"/>
      <c r="H302" s="658"/>
    </row>
    <row r="303" ht="14.25" customHeight="1">
      <c r="A303" s="703"/>
      <c r="B303" s="658"/>
      <c r="C303" s="658"/>
      <c r="D303" s="658"/>
      <c r="E303" s="658"/>
      <c r="F303" s="658"/>
      <c r="G303" s="658"/>
      <c r="H303" s="658"/>
    </row>
    <row r="304" ht="14.25" customHeight="1">
      <c r="A304" s="703"/>
      <c r="B304" s="658"/>
      <c r="C304" s="658"/>
      <c r="D304" s="658"/>
      <c r="E304" s="658"/>
      <c r="F304" s="658"/>
      <c r="G304" s="658"/>
      <c r="H304" s="658"/>
    </row>
    <row r="305" ht="14.25" customHeight="1">
      <c r="A305" s="703"/>
      <c r="B305" s="658"/>
      <c r="C305" s="658"/>
      <c r="D305" s="658"/>
      <c r="E305" s="658"/>
      <c r="F305" s="658"/>
      <c r="G305" s="658"/>
      <c r="H305" s="658"/>
    </row>
    <row r="306" ht="14.25" customHeight="1">
      <c r="A306" s="703"/>
      <c r="B306" s="658"/>
      <c r="C306" s="658"/>
      <c r="D306" s="658"/>
      <c r="E306" s="658"/>
      <c r="F306" s="658"/>
      <c r="G306" s="658"/>
      <c r="H306" s="658"/>
    </row>
    <row r="307" ht="14.25" customHeight="1">
      <c r="A307" s="703"/>
      <c r="B307" s="658"/>
      <c r="C307" s="658"/>
      <c r="D307" s="658"/>
      <c r="E307" s="658"/>
      <c r="F307" s="658"/>
      <c r="G307" s="658"/>
      <c r="H307" s="658"/>
    </row>
    <row r="308" ht="14.25" customHeight="1">
      <c r="A308" s="703"/>
      <c r="B308" s="658"/>
      <c r="C308" s="658"/>
      <c r="D308" s="658"/>
      <c r="E308" s="658"/>
      <c r="F308" s="658"/>
      <c r="G308" s="658"/>
      <c r="H308" s="658"/>
    </row>
    <row r="309" ht="14.25" customHeight="1">
      <c r="A309" s="703"/>
      <c r="B309" s="658"/>
      <c r="C309" s="658"/>
      <c r="D309" s="658"/>
      <c r="E309" s="658"/>
      <c r="F309" s="658"/>
      <c r="G309" s="658"/>
      <c r="H309" s="658"/>
    </row>
    <row r="310" ht="14.25" customHeight="1">
      <c r="A310" s="703"/>
      <c r="B310" s="658"/>
      <c r="C310" s="658"/>
      <c r="D310" s="658"/>
      <c r="E310" s="658"/>
      <c r="F310" s="658"/>
      <c r="G310" s="658"/>
      <c r="H310" s="658"/>
    </row>
    <row r="311" ht="14.25" customHeight="1">
      <c r="A311" s="703"/>
      <c r="B311" s="658"/>
      <c r="C311" s="658"/>
      <c r="D311" s="658"/>
      <c r="E311" s="658"/>
      <c r="F311" s="658"/>
      <c r="G311" s="658"/>
      <c r="H311" s="658"/>
    </row>
    <row r="312" ht="14.25" customHeight="1">
      <c r="A312" s="703"/>
      <c r="B312" s="658"/>
      <c r="C312" s="658"/>
      <c r="D312" s="658"/>
      <c r="E312" s="658"/>
      <c r="F312" s="658"/>
      <c r="G312" s="658"/>
      <c r="H312" s="658"/>
    </row>
    <row r="313" ht="14.25" customHeight="1">
      <c r="A313" s="703"/>
      <c r="B313" s="658"/>
      <c r="C313" s="658"/>
      <c r="D313" s="658"/>
      <c r="E313" s="658"/>
      <c r="F313" s="658"/>
      <c r="G313" s="658"/>
      <c r="H313" s="658"/>
    </row>
    <row r="314" ht="14.25" customHeight="1">
      <c r="A314" s="703"/>
      <c r="B314" s="658"/>
      <c r="C314" s="658"/>
      <c r="D314" s="658"/>
      <c r="E314" s="658"/>
      <c r="F314" s="658"/>
      <c r="G314" s="658"/>
      <c r="H314" s="658"/>
    </row>
    <row r="315" ht="14.25" customHeight="1">
      <c r="A315" s="703"/>
      <c r="B315" s="658"/>
      <c r="C315" s="658"/>
      <c r="D315" s="658"/>
      <c r="E315" s="658"/>
      <c r="F315" s="658"/>
      <c r="G315" s="658"/>
      <c r="H315" s="658"/>
    </row>
    <row r="316" ht="14.25" customHeight="1">
      <c r="A316" s="703"/>
      <c r="B316" s="658"/>
      <c r="C316" s="658"/>
      <c r="D316" s="658"/>
      <c r="E316" s="658"/>
      <c r="F316" s="658"/>
      <c r="G316" s="658"/>
      <c r="H316" s="658"/>
    </row>
    <row r="317" ht="14.25" customHeight="1">
      <c r="A317" s="703"/>
      <c r="B317" s="658"/>
      <c r="C317" s="658"/>
      <c r="D317" s="658"/>
      <c r="E317" s="658"/>
      <c r="F317" s="658"/>
      <c r="G317" s="658"/>
      <c r="H317" s="658"/>
    </row>
    <row r="318" ht="14.25" customHeight="1">
      <c r="A318" s="703"/>
      <c r="B318" s="658"/>
      <c r="C318" s="658"/>
      <c r="D318" s="658"/>
      <c r="E318" s="658"/>
      <c r="F318" s="658"/>
      <c r="G318" s="658"/>
      <c r="H318" s="658"/>
    </row>
    <row r="319" ht="14.25" customHeight="1">
      <c r="A319" s="703"/>
      <c r="B319" s="658"/>
      <c r="C319" s="658"/>
      <c r="D319" s="658"/>
      <c r="E319" s="658"/>
      <c r="F319" s="658"/>
      <c r="G319" s="658"/>
      <c r="H319" s="658"/>
    </row>
    <row r="320" ht="14.25" customHeight="1">
      <c r="A320" s="703"/>
      <c r="B320" s="658"/>
      <c r="C320" s="658"/>
      <c r="D320" s="658"/>
      <c r="E320" s="658"/>
      <c r="F320" s="658"/>
      <c r="G320" s="658"/>
      <c r="H320" s="658"/>
    </row>
    <row r="321" ht="14.25" customHeight="1">
      <c r="A321" s="703"/>
      <c r="B321" s="658"/>
      <c r="C321" s="658"/>
      <c r="D321" s="658"/>
      <c r="E321" s="658"/>
      <c r="F321" s="658"/>
      <c r="G321" s="658"/>
      <c r="H321" s="658"/>
    </row>
    <row r="322" ht="14.25" customHeight="1">
      <c r="A322" s="703"/>
      <c r="B322" s="658"/>
      <c r="C322" s="658"/>
      <c r="D322" s="658"/>
      <c r="E322" s="658"/>
      <c r="F322" s="658"/>
      <c r="G322" s="658"/>
      <c r="H322" s="658"/>
    </row>
    <row r="323" ht="14.25" customHeight="1">
      <c r="A323" s="703"/>
      <c r="B323" s="658"/>
      <c r="C323" s="658"/>
      <c r="D323" s="658"/>
      <c r="E323" s="658"/>
      <c r="F323" s="658"/>
      <c r="G323" s="658"/>
      <c r="H323" s="658"/>
    </row>
    <row r="324" ht="14.25" customHeight="1">
      <c r="A324" s="703"/>
      <c r="B324" s="658"/>
      <c r="C324" s="658"/>
      <c r="D324" s="658"/>
      <c r="E324" s="658"/>
      <c r="F324" s="658"/>
      <c r="G324" s="658"/>
      <c r="H324" s="658"/>
    </row>
    <row r="325" ht="14.25" customHeight="1">
      <c r="A325" s="703"/>
      <c r="B325" s="658"/>
      <c r="C325" s="658"/>
      <c r="D325" s="658"/>
      <c r="E325" s="658"/>
      <c r="F325" s="658"/>
      <c r="G325" s="658"/>
      <c r="H325" s="658"/>
    </row>
    <row r="326" ht="14.25" customHeight="1">
      <c r="A326" s="703"/>
      <c r="B326" s="658"/>
      <c r="C326" s="658"/>
      <c r="D326" s="658"/>
      <c r="E326" s="658"/>
      <c r="F326" s="658"/>
      <c r="G326" s="658"/>
      <c r="H326" s="658"/>
    </row>
    <row r="327" ht="14.25" customHeight="1">
      <c r="A327" s="703"/>
      <c r="B327" s="658"/>
      <c r="C327" s="658"/>
      <c r="D327" s="658"/>
      <c r="E327" s="658"/>
      <c r="F327" s="658"/>
      <c r="G327" s="658"/>
      <c r="H327" s="658"/>
    </row>
    <row r="328" ht="14.25" customHeight="1">
      <c r="A328" s="703"/>
      <c r="B328" s="658"/>
      <c r="C328" s="658"/>
      <c r="D328" s="658"/>
      <c r="E328" s="658"/>
      <c r="F328" s="658"/>
      <c r="G328" s="658"/>
      <c r="H328" s="658"/>
    </row>
    <row r="329" ht="14.25" customHeight="1">
      <c r="A329" s="703"/>
      <c r="B329" s="658"/>
      <c r="C329" s="658"/>
      <c r="D329" s="658"/>
      <c r="E329" s="658"/>
      <c r="F329" s="658"/>
      <c r="G329" s="658"/>
      <c r="H329" s="658"/>
    </row>
    <row r="330" ht="14.25" customHeight="1">
      <c r="A330" s="703"/>
      <c r="B330" s="658"/>
      <c r="C330" s="658"/>
      <c r="D330" s="658"/>
      <c r="E330" s="658"/>
      <c r="F330" s="658"/>
      <c r="G330" s="658"/>
      <c r="H330" s="658"/>
    </row>
    <row r="331" ht="14.25" customHeight="1">
      <c r="A331" s="703"/>
      <c r="B331" s="658"/>
      <c r="C331" s="658"/>
      <c r="D331" s="658"/>
      <c r="E331" s="658"/>
      <c r="F331" s="658"/>
      <c r="G331" s="658"/>
      <c r="H331" s="658"/>
    </row>
    <row r="332" ht="14.25" customHeight="1">
      <c r="A332" s="703"/>
      <c r="B332" s="658"/>
      <c r="C332" s="658"/>
      <c r="D332" s="658"/>
      <c r="E332" s="658"/>
      <c r="F332" s="658"/>
      <c r="G332" s="658"/>
      <c r="H332" s="658"/>
    </row>
    <row r="333" ht="14.25" customHeight="1">
      <c r="A333" s="703"/>
      <c r="B333" s="658"/>
      <c r="C333" s="658"/>
      <c r="D333" s="658"/>
      <c r="E333" s="658"/>
      <c r="F333" s="658"/>
      <c r="G333" s="658"/>
      <c r="H333" s="658"/>
    </row>
    <row r="334" ht="14.25" customHeight="1">
      <c r="A334" s="703"/>
      <c r="B334" s="658"/>
      <c r="C334" s="658"/>
      <c r="D334" s="658"/>
      <c r="E334" s="658"/>
      <c r="F334" s="658"/>
      <c r="G334" s="658"/>
      <c r="H334" s="658"/>
    </row>
    <row r="335" ht="14.25" customHeight="1">
      <c r="A335" s="703"/>
      <c r="B335" s="658"/>
      <c r="C335" s="658"/>
      <c r="D335" s="658"/>
      <c r="E335" s="658"/>
      <c r="F335" s="658"/>
      <c r="G335" s="658"/>
      <c r="H335" s="658"/>
    </row>
    <row r="336" ht="14.25" customHeight="1">
      <c r="A336" s="703"/>
      <c r="B336" s="658"/>
      <c r="C336" s="658"/>
      <c r="D336" s="658"/>
      <c r="E336" s="658"/>
      <c r="F336" s="658"/>
      <c r="G336" s="658"/>
      <c r="H336" s="658"/>
    </row>
    <row r="337" ht="14.25" customHeight="1">
      <c r="A337" s="703"/>
      <c r="B337" s="658"/>
      <c r="C337" s="658"/>
      <c r="D337" s="658"/>
      <c r="E337" s="658"/>
      <c r="F337" s="658"/>
      <c r="G337" s="658"/>
      <c r="H337" s="658"/>
    </row>
    <row r="338" ht="14.25" customHeight="1">
      <c r="A338" s="703"/>
      <c r="B338" s="658"/>
      <c r="C338" s="658"/>
      <c r="D338" s="658"/>
      <c r="E338" s="658"/>
      <c r="F338" s="658"/>
      <c r="G338" s="658"/>
      <c r="H338" s="658"/>
    </row>
    <row r="339" ht="14.25" customHeight="1">
      <c r="A339" s="703"/>
      <c r="B339" s="658"/>
      <c r="C339" s="658"/>
      <c r="D339" s="658"/>
      <c r="E339" s="658"/>
      <c r="F339" s="658"/>
      <c r="G339" s="658"/>
      <c r="H339" s="658"/>
    </row>
    <row r="340" ht="14.25" customHeight="1">
      <c r="A340" s="703"/>
      <c r="B340" s="658"/>
      <c r="C340" s="658"/>
      <c r="D340" s="658"/>
      <c r="E340" s="658"/>
      <c r="F340" s="658"/>
      <c r="G340" s="658"/>
      <c r="H340" s="658"/>
    </row>
    <row r="341" ht="14.25" customHeight="1">
      <c r="A341" s="703"/>
      <c r="B341" s="658"/>
      <c r="C341" s="658"/>
      <c r="D341" s="658"/>
      <c r="E341" s="658"/>
      <c r="F341" s="658"/>
      <c r="G341" s="658"/>
      <c r="H341" s="658"/>
    </row>
    <row r="342" ht="14.25" customHeight="1">
      <c r="A342" s="703"/>
      <c r="B342" s="658"/>
      <c r="C342" s="658"/>
      <c r="D342" s="658"/>
      <c r="E342" s="658"/>
      <c r="F342" s="658"/>
      <c r="G342" s="658"/>
      <c r="H342" s="658"/>
    </row>
    <row r="343" ht="14.25" customHeight="1">
      <c r="A343" s="703"/>
      <c r="B343" s="658"/>
      <c r="C343" s="658"/>
      <c r="D343" s="658"/>
      <c r="E343" s="658"/>
      <c r="F343" s="658"/>
      <c r="G343" s="658"/>
      <c r="H343" s="658"/>
    </row>
    <row r="344" ht="14.25" customHeight="1">
      <c r="A344" s="703"/>
      <c r="B344" s="658"/>
      <c r="C344" s="658"/>
      <c r="D344" s="658"/>
      <c r="E344" s="658"/>
      <c r="F344" s="658"/>
      <c r="G344" s="658"/>
      <c r="H344" s="658"/>
    </row>
    <row r="345" ht="14.25" customHeight="1">
      <c r="A345" s="703"/>
      <c r="B345" s="658"/>
      <c r="C345" s="658"/>
      <c r="D345" s="658"/>
      <c r="E345" s="658"/>
      <c r="F345" s="658"/>
      <c r="G345" s="658"/>
      <c r="H345" s="658"/>
    </row>
    <row r="346" ht="14.25" customHeight="1">
      <c r="A346" s="703"/>
      <c r="B346" s="658"/>
      <c r="C346" s="658"/>
      <c r="D346" s="658"/>
      <c r="E346" s="658"/>
      <c r="F346" s="658"/>
      <c r="G346" s="658"/>
      <c r="H346" s="658"/>
    </row>
    <row r="347" ht="14.25" customHeight="1">
      <c r="A347" s="703"/>
      <c r="B347" s="658"/>
      <c r="C347" s="658"/>
      <c r="D347" s="658"/>
      <c r="E347" s="658"/>
      <c r="F347" s="658"/>
      <c r="G347" s="658"/>
      <c r="H347" s="658"/>
    </row>
    <row r="348" ht="14.25" customHeight="1">
      <c r="A348" s="703"/>
      <c r="B348" s="658"/>
      <c r="C348" s="658"/>
      <c r="D348" s="658"/>
      <c r="E348" s="658"/>
      <c r="F348" s="658"/>
      <c r="G348" s="658"/>
      <c r="H348" s="658"/>
    </row>
    <row r="349" ht="14.25" customHeight="1">
      <c r="A349" s="703"/>
      <c r="B349" s="658"/>
      <c r="C349" s="658"/>
      <c r="D349" s="658"/>
      <c r="E349" s="658"/>
      <c r="F349" s="658"/>
      <c r="G349" s="658"/>
      <c r="H349" s="658"/>
    </row>
    <row r="350" ht="14.25" customHeight="1">
      <c r="A350" s="703"/>
      <c r="B350" s="658"/>
      <c r="C350" s="658"/>
      <c r="D350" s="658"/>
      <c r="E350" s="658"/>
      <c r="F350" s="658"/>
      <c r="G350" s="658"/>
      <c r="H350" s="658"/>
    </row>
    <row r="351" ht="14.25" customHeight="1">
      <c r="A351" s="703"/>
      <c r="B351" s="658"/>
      <c r="C351" s="658"/>
      <c r="D351" s="658"/>
      <c r="E351" s="658"/>
      <c r="F351" s="658"/>
      <c r="G351" s="658"/>
      <c r="H351" s="658"/>
    </row>
    <row r="352" ht="14.25" customHeight="1">
      <c r="A352" s="703"/>
      <c r="B352" s="658"/>
      <c r="C352" s="658"/>
      <c r="D352" s="658"/>
      <c r="E352" s="658"/>
      <c r="F352" s="658"/>
      <c r="G352" s="658"/>
      <c r="H352" s="658"/>
    </row>
    <row r="353" ht="14.25" customHeight="1">
      <c r="A353" s="703"/>
      <c r="B353" s="658"/>
      <c r="C353" s="658"/>
      <c r="D353" s="658"/>
      <c r="E353" s="658"/>
      <c r="F353" s="658"/>
      <c r="G353" s="658"/>
      <c r="H353" s="658"/>
    </row>
    <row r="354" ht="14.25" customHeight="1">
      <c r="A354" s="703"/>
      <c r="B354" s="658"/>
      <c r="C354" s="658"/>
      <c r="D354" s="658"/>
      <c r="E354" s="658"/>
      <c r="F354" s="658"/>
      <c r="G354" s="658"/>
      <c r="H354" s="658"/>
    </row>
    <row r="355" ht="14.25" customHeight="1">
      <c r="A355" s="703"/>
      <c r="B355" s="658"/>
      <c r="C355" s="658"/>
      <c r="D355" s="658"/>
      <c r="E355" s="658"/>
      <c r="F355" s="658"/>
      <c r="G355" s="658"/>
      <c r="H355" s="658"/>
    </row>
    <row r="356" ht="14.25" customHeight="1">
      <c r="A356" s="703"/>
      <c r="B356" s="658"/>
      <c r="C356" s="658"/>
      <c r="D356" s="658"/>
      <c r="E356" s="658"/>
      <c r="F356" s="658"/>
      <c r="G356" s="658"/>
      <c r="H356" s="658"/>
    </row>
    <row r="357" ht="14.25" customHeight="1">
      <c r="A357" s="703"/>
      <c r="B357" s="658"/>
      <c r="C357" s="658"/>
      <c r="D357" s="658"/>
      <c r="E357" s="658"/>
      <c r="F357" s="658"/>
      <c r="G357" s="658"/>
      <c r="H357" s="658"/>
    </row>
    <row r="358" ht="14.25" customHeight="1">
      <c r="A358" s="703"/>
      <c r="B358" s="658"/>
      <c r="C358" s="658"/>
      <c r="D358" s="658"/>
      <c r="E358" s="658"/>
      <c r="F358" s="658"/>
      <c r="G358" s="658"/>
      <c r="H358" s="658"/>
    </row>
    <row r="359" ht="14.25" customHeight="1">
      <c r="A359" s="703"/>
      <c r="B359" s="658"/>
      <c r="C359" s="658"/>
      <c r="D359" s="658"/>
      <c r="E359" s="658"/>
      <c r="F359" s="658"/>
      <c r="G359" s="658"/>
      <c r="H359" s="658"/>
    </row>
    <row r="360" ht="14.25" customHeight="1">
      <c r="A360" s="703"/>
      <c r="B360" s="658"/>
      <c r="C360" s="658"/>
      <c r="D360" s="658"/>
      <c r="E360" s="658"/>
      <c r="F360" s="658"/>
      <c r="G360" s="658"/>
      <c r="H360" s="658"/>
    </row>
    <row r="361" ht="14.25" customHeight="1">
      <c r="A361" s="703"/>
      <c r="B361" s="658"/>
      <c r="C361" s="658"/>
      <c r="D361" s="658"/>
      <c r="E361" s="658"/>
      <c r="F361" s="658"/>
      <c r="G361" s="658"/>
      <c r="H361" s="658"/>
    </row>
    <row r="362" ht="14.25" customHeight="1">
      <c r="A362" s="703"/>
      <c r="B362" s="658"/>
      <c r="C362" s="658"/>
      <c r="D362" s="658"/>
      <c r="E362" s="658"/>
      <c r="F362" s="658"/>
      <c r="G362" s="658"/>
      <c r="H362" s="658"/>
    </row>
    <row r="363" ht="14.25" customHeight="1">
      <c r="A363" s="703"/>
      <c r="B363" s="658"/>
      <c r="C363" s="658"/>
      <c r="D363" s="658"/>
      <c r="E363" s="658"/>
      <c r="F363" s="658"/>
      <c r="G363" s="658"/>
      <c r="H363" s="658"/>
    </row>
    <row r="364" ht="14.25" customHeight="1">
      <c r="A364" s="703"/>
      <c r="B364" s="658"/>
      <c r="C364" s="658"/>
      <c r="D364" s="658"/>
      <c r="E364" s="658"/>
      <c r="F364" s="658"/>
      <c r="G364" s="658"/>
      <c r="H364" s="658"/>
    </row>
    <row r="365" ht="14.25" customHeight="1">
      <c r="A365" s="703"/>
      <c r="B365" s="658"/>
      <c r="C365" s="658"/>
      <c r="D365" s="658"/>
      <c r="E365" s="658"/>
      <c r="F365" s="658"/>
      <c r="G365" s="658"/>
      <c r="H365" s="658"/>
    </row>
    <row r="366" ht="14.25" customHeight="1">
      <c r="A366" s="703"/>
      <c r="B366" s="658"/>
      <c r="C366" s="658"/>
      <c r="D366" s="658"/>
      <c r="E366" s="658"/>
      <c r="F366" s="658"/>
      <c r="G366" s="658"/>
      <c r="H366" s="658"/>
    </row>
    <row r="367" ht="14.25" customHeight="1">
      <c r="A367" s="703"/>
      <c r="B367" s="658"/>
      <c r="C367" s="658"/>
      <c r="D367" s="658"/>
      <c r="E367" s="658"/>
      <c r="F367" s="658"/>
      <c r="G367" s="658"/>
      <c r="H367" s="658"/>
    </row>
    <row r="368" ht="14.25" customHeight="1">
      <c r="A368" s="703"/>
      <c r="B368" s="658"/>
      <c r="C368" s="658"/>
      <c r="D368" s="658"/>
      <c r="E368" s="658"/>
      <c r="F368" s="658"/>
      <c r="G368" s="658"/>
      <c r="H368" s="658"/>
    </row>
    <row r="369" ht="14.25" customHeight="1">
      <c r="A369" s="703"/>
      <c r="B369" s="658"/>
      <c r="C369" s="658"/>
      <c r="D369" s="658"/>
      <c r="E369" s="658"/>
      <c r="F369" s="658"/>
      <c r="G369" s="658"/>
      <c r="H369" s="658"/>
    </row>
    <row r="370" ht="14.25" customHeight="1">
      <c r="A370" s="703"/>
      <c r="B370" s="658"/>
      <c r="C370" s="658"/>
      <c r="D370" s="658"/>
      <c r="E370" s="658"/>
      <c r="F370" s="658"/>
      <c r="G370" s="658"/>
      <c r="H370" s="658"/>
    </row>
    <row r="371" ht="14.25" customHeight="1">
      <c r="A371" s="703"/>
      <c r="B371" s="658"/>
      <c r="C371" s="658"/>
      <c r="D371" s="658"/>
      <c r="E371" s="658"/>
      <c r="F371" s="658"/>
      <c r="G371" s="658"/>
      <c r="H371" s="658"/>
    </row>
    <row r="372" ht="14.25" customHeight="1">
      <c r="A372" s="703"/>
      <c r="B372" s="658"/>
      <c r="C372" s="658"/>
      <c r="D372" s="658"/>
      <c r="E372" s="658"/>
      <c r="F372" s="658"/>
      <c r="G372" s="658"/>
      <c r="H372" s="658"/>
    </row>
    <row r="373" ht="14.25" customHeight="1">
      <c r="A373" s="703"/>
      <c r="B373" s="658"/>
      <c r="C373" s="658"/>
      <c r="D373" s="658"/>
      <c r="E373" s="658"/>
      <c r="F373" s="658"/>
      <c r="G373" s="658"/>
      <c r="H373" s="658"/>
    </row>
    <row r="374" ht="14.25" customHeight="1">
      <c r="A374" s="703"/>
      <c r="B374" s="658"/>
      <c r="C374" s="658"/>
      <c r="D374" s="658"/>
      <c r="E374" s="658"/>
      <c r="F374" s="658"/>
      <c r="G374" s="658"/>
      <c r="H374" s="658"/>
    </row>
    <row r="375" ht="14.25" customHeight="1">
      <c r="A375" s="703"/>
      <c r="B375" s="658"/>
      <c r="C375" s="658"/>
      <c r="D375" s="658"/>
      <c r="E375" s="658"/>
      <c r="F375" s="658"/>
      <c r="G375" s="658"/>
      <c r="H375" s="658"/>
    </row>
    <row r="376" ht="14.25" customHeight="1">
      <c r="A376" s="703"/>
      <c r="B376" s="658"/>
      <c r="C376" s="658"/>
      <c r="D376" s="658"/>
      <c r="E376" s="658"/>
      <c r="F376" s="658"/>
      <c r="G376" s="658"/>
      <c r="H376" s="658"/>
    </row>
    <row r="377" ht="14.25" customHeight="1">
      <c r="A377" s="703"/>
      <c r="B377" s="658"/>
      <c r="C377" s="658"/>
      <c r="D377" s="658"/>
      <c r="E377" s="658"/>
      <c r="F377" s="658"/>
      <c r="G377" s="658"/>
      <c r="H377" s="658"/>
    </row>
    <row r="378" ht="14.25" customHeight="1">
      <c r="A378" s="703"/>
      <c r="B378" s="658"/>
      <c r="C378" s="658"/>
      <c r="D378" s="658"/>
      <c r="E378" s="658"/>
      <c r="F378" s="658"/>
      <c r="G378" s="658"/>
      <c r="H378" s="658"/>
    </row>
    <row r="379" ht="14.25" customHeight="1">
      <c r="A379" s="703"/>
      <c r="B379" s="658"/>
      <c r="C379" s="658"/>
      <c r="D379" s="658"/>
      <c r="E379" s="658"/>
      <c r="F379" s="658"/>
      <c r="G379" s="658"/>
      <c r="H379" s="658"/>
    </row>
    <row r="380" ht="14.25" customHeight="1">
      <c r="A380" s="703"/>
      <c r="B380" s="658"/>
      <c r="C380" s="658"/>
      <c r="D380" s="658"/>
      <c r="E380" s="658"/>
      <c r="F380" s="658"/>
      <c r="G380" s="658"/>
      <c r="H380" s="658"/>
    </row>
    <row r="381" ht="14.25" customHeight="1">
      <c r="A381" s="703"/>
      <c r="B381" s="658"/>
      <c r="C381" s="658"/>
      <c r="D381" s="658"/>
      <c r="E381" s="658"/>
      <c r="F381" s="658"/>
      <c r="G381" s="658"/>
      <c r="H381" s="658"/>
    </row>
    <row r="382" ht="14.25" customHeight="1">
      <c r="A382" s="703"/>
      <c r="B382" s="658"/>
      <c r="C382" s="658"/>
      <c r="D382" s="658"/>
      <c r="E382" s="658"/>
      <c r="F382" s="658"/>
      <c r="G382" s="658"/>
      <c r="H382" s="658"/>
    </row>
    <row r="383" ht="14.25" customHeight="1">
      <c r="A383" s="703"/>
      <c r="B383" s="658"/>
      <c r="C383" s="658"/>
      <c r="D383" s="658"/>
      <c r="E383" s="658"/>
      <c r="F383" s="658"/>
      <c r="G383" s="658"/>
      <c r="H383" s="658"/>
    </row>
    <row r="384" ht="14.25" customHeight="1">
      <c r="A384" s="703"/>
      <c r="B384" s="658"/>
      <c r="C384" s="658"/>
      <c r="D384" s="658"/>
      <c r="E384" s="658"/>
      <c r="F384" s="658"/>
      <c r="G384" s="658"/>
      <c r="H384" s="658"/>
    </row>
    <row r="385" ht="14.25" customHeight="1">
      <c r="A385" s="703"/>
      <c r="B385" s="658"/>
      <c r="C385" s="658"/>
      <c r="D385" s="658"/>
      <c r="E385" s="658"/>
      <c r="F385" s="658"/>
      <c r="G385" s="658"/>
      <c r="H385" s="658"/>
    </row>
    <row r="386" ht="14.25" customHeight="1">
      <c r="A386" s="703"/>
      <c r="B386" s="658"/>
      <c r="C386" s="658"/>
      <c r="D386" s="658"/>
      <c r="E386" s="658"/>
      <c r="F386" s="658"/>
      <c r="G386" s="658"/>
      <c r="H386" s="658"/>
    </row>
    <row r="387" ht="14.25" customHeight="1">
      <c r="A387" s="703"/>
      <c r="B387" s="658"/>
      <c r="C387" s="658"/>
      <c r="D387" s="658"/>
      <c r="E387" s="658"/>
      <c r="F387" s="658"/>
      <c r="G387" s="658"/>
      <c r="H387" s="658"/>
    </row>
    <row r="388" ht="14.25" customHeight="1">
      <c r="A388" s="703"/>
      <c r="B388" s="658"/>
      <c r="C388" s="658"/>
      <c r="D388" s="658"/>
      <c r="E388" s="658"/>
      <c r="F388" s="658"/>
      <c r="G388" s="658"/>
      <c r="H388" s="658"/>
    </row>
    <row r="389" ht="14.25" customHeight="1">
      <c r="A389" s="703"/>
      <c r="B389" s="658"/>
      <c r="C389" s="658"/>
      <c r="D389" s="658"/>
      <c r="E389" s="658"/>
      <c r="F389" s="658"/>
      <c r="G389" s="658"/>
      <c r="H389" s="658"/>
    </row>
    <row r="390" ht="14.25" customHeight="1">
      <c r="A390" s="703"/>
      <c r="B390" s="658"/>
      <c r="C390" s="658"/>
      <c r="D390" s="658"/>
      <c r="E390" s="658"/>
      <c r="F390" s="658"/>
      <c r="G390" s="658"/>
      <c r="H390" s="658"/>
    </row>
    <row r="391" ht="14.25" customHeight="1">
      <c r="A391" s="703"/>
      <c r="B391" s="658"/>
      <c r="C391" s="658"/>
      <c r="D391" s="658"/>
      <c r="E391" s="658"/>
      <c r="F391" s="658"/>
      <c r="G391" s="658"/>
      <c r="H391" s="658"/>
    </row>
    <row r="392" ht="14.25" customHeight="1">
      <c r="A392" s="703"/>
      <c r="B392" s="658"/>
      <c r="C392" s="658"/>
      <c r="D392" s="658"/>
      <c r="E392" s="658"/>
      <c r="F392" s="658"/>
      <c r="G392" s="658"/>
      <c r="H392" s="658"/>
    </row>
    <row r="393" ht="14.25" customHeight="1">
      <c r="A393" s="703"/>
      <c r="B393" s="658"/>
      <c r="C393" s="658"/>
      <c r="D393" s="658"/>
      <c r="E393" s="658"/>
      <c r="F393" s="658"/>
      <c r="G393" s="658"/>
      <c r="H393" s="658"/>
    </row>
    <row r="394" ht="14.25" customHeight="1">
      <c r="A394" s="703"/>
      <c r="B394" s="658"/>
      <c r="C394" s="658"/>
      <c r="D394" s="658"/>
      <c r="E394" s="658"/>
      <c r="F394" s="658"/>
      <c r="G394" s="658"/>
      <c r="H394" s="658"/>
    </row>
    <row r="395" ht="14.25" customHeight="1">
      <c r="A395" s="703"/>
      <c r="B395" s="658"/>
      <c r="C395" s="658"/>
      <c r="D395" s="658"/>
      <c r="E395" s="658"/>
      <c r="F395" s="658"/>
      <c r="G395" s="658"/>
      <c r="H395" s="658"/>
    </row>
    <row r="396" ht="14.25" customHeight="1">
      <c r="A396" s="703"/>
      <c r="B396" s="658"/>
      <c r="C396" s="658"/>
      <c r="D396" s="658"/>
      <c r="E396" s="658"/>
      <c r="F396" s="658"/>
      <c r="G396" s="658"/>
      <c r="H396" s="658"/>
    </row>
    <row r="397" ht="14.25" customHeight="1">
      <c r="A397" s="703"/>
      <c r="B397" s="658"/>
      <c r="C397" s="658"/>
      <c r="D397" s="658"/>
      <c r="E397" s="658"/>
      <c r="F397" s="658"/>
      <c r="G397" s="658"/>
      <c r="H397" s="658"/>
    </row>
    <row r="398" ht="14.25" customHeight="1">
      <c r="A398" s="703"/>
      <c r="B398" s="658"/>
      <c r="C398" s="658"/>
      <c r="D398" s="658"/>
      <c r="E398" s="658"/>
      <c r="F398" s="658"/>
      <c r="G398" s="658"/>
      <c r="H398" s="658"/>
    </row>
    <row r="399" ht="14.25" customHeight="1">
      <c r="A399" s="703"/>
      <c r="B399" s="658"/>
      <c r="C399" s="658"/>
      <c r="D399" s="658"/>
      <c r="E399" s="658"/>
      <c r="F399" s="658"/>
      <c r="G399" s="658"/>
      <c r="H399" s="658"/>
    </row>
    <row r="400" ht="14.25" customHeight="1">
      <c r="A400" s="703"/>
      <c r="B400" s="658"/>
      <c r="C400" s="658"/>
      <c r="D400" s="658"/>
      <c r="E400" s="658"/>
      <c r="F400" s="658"/>
      <c r="G400" s="658"/>
      <c r="H400" s="658"/>
    </row>
    <row r="401" ht="14.25" customHeight="1">
      <c r="A401" s="703"/>
      <c r="B401" s="658"/>
      <c r="C401" s="658"/>
      <c r="D401" s="658"/>
      <c r="E401" s="658"/>
      <c r="F401" s="658"/>
      <c r="G401" s="658"/>
      <c r="H401" s="658"/>
    </row>
    <row r="402" ht="14.25" customHeight="1">
      <c r="A402" s="703"/>
      <c r="B402" s="658"/>
      <c r="C402" s="658"/>
      <c r="D402" s="658"/>
      <c r="E402" s="658"/>
      <c r="F402" s="658"/>
      <c r="G402" s="658"/>
      <c r="H402" s="658"/>
    </row>
    <row r="403" ht="14.25" customHeight="1">
      <c r="A403" s="703"/>
      <c r="B403" s="658"/>
      <c r="C403" s="658"/>
      <c r="D403" s="658"/>
      <c r="E403" s="658"/>
      <c r="F403" s="658"/>
      <c r="G403" s="658"/>
      <c r="H403" s="658"/>
    </row>
    <row r="404" ht="14.25" customHeight="1">
      <c r="A404" s="703"/>
      <c r="B404" s="658"/>
      <c r="C404" s="658"/>
      <c r="D404" s="658"/>
      <c r="E404" s="658"/>
      <c r="F404" s="658"/>
      <c r="G404" s="658"/>
      <c r="H404" s="658"/>
    </row>
    <row r="405" ht="14.25" customHeight="1">
      <c r="A405" s="703"/>
      <c r="B405" s="658"/>
      <c r="C405" s="658"/>
      <c r="D405" s="658"/>
      <c r="E405" s="658"/>
      <c r="F405" s="658"/>
      <c r="G405" s="658"/>
      <c r="H405" s="658"/>
    </row>
    <row r="406" ht="14.25" customHeight="1">
      <c r="A406" s="703"/>
      <c r="B406" s="658"/>
      <c r="C406" s="658"/>
      <c r="D406" s="658"/>
      <c r="E406" s="658"/>
      <c r="F406" s="658"/>
      <c r="G406" s="658"/>
      <c r="H406" s="658"/>
    </row>
    <row r="407" ht="14.25" customHeight="1">
      <c r="A407" s="703"/>
      <c r="B407" s="658"/>
      <c r="C407" s="658"/>
      <c r="D407" s="658"/>
      <c r="E407" s="658"/>
      <c r="F407" s="658"/>
      <c r="G407" s="658"/>
      <c r="H407" s="658"/>
    </row>
    <row r="408" ht="14.25" customHeight="1">
      <c r="A408" s="703"/>
      <c r="B408" s="658"/>
      <c r="C408" s="658"/>
      <c r="D408" s="658"/>
      <c r="E408" s="658"/>
      <c r="F408" s="658"/>
      <c r="G408" s="658"/>
      <c r="H408" s="658"/>
    </row>
    <row r="409" ht="14.25" customHeight="1">
      <c r="A409" s="703"/>
      <c r="B409" s="658"/>
      <c r="C409" s="658"/>
      <c r="D409" s="658"/>
      <c r="E409" s="658"/>
      <c r="F409" s="658"/>
      <c r="G409" s="658"/>
      <c r="H409" s="658"/>
    </row>
    <row r="410" ht="14.25" customHeight="1">
      <c r="A410" s="703"/>
      <c r="B410" s="658"/>
      <c r="C410" s="658"/>
      <c r="D410" s="658"/>
      <c r="E410" s="658"/>
      <c r="F410" s="658"/>
      <c r="G410" s="658"/>
      <c r="H410" s="658"/>
    </row>
    <row r="411" ht="14.25" customHeight="1">
      <c r="A411" s="703"/>
      <c r="B411" s="658"/>
      <c r="C411" s="658"/>
      <c r="D411" s="658"/>
      <c r="E411" s="658"/>
      <c r="F411" s="658"/>
      <c r="G411" s="658"/>
      <c r="H411" s="658"/>
    </row>
    <row r="412" ht="14.25" customHeight="1">
      <c r="A412" s="703"/>
      <c r="B412" s="658"/>
      <c r="C412" s="658"/>
      <c r="D412" s="658"/>
      <c r="E412" s="658"/>
      <c r="F412" s="658"/>
      <c r="G412" s="658"/>
      <c r="H412" s="658"/>
    </row>
    <row r="413" ht="14.25" customHeight="1">
      <c r="A413" s="703"/>
      <c r="B413" s="658"/>
      <c r="C413" s="658"/>
      <c r="D413" s="658"/>
      <c r="E413" s="658"/>
      <c r="F413" s="658"/>
      <c r="G413" s="658"/>
      <c r="H413" s="658"/>
    </row>
    <row r="414" ht="14.25" customHeight="1">
      <c r="A414" s="703"/>
      <c r="B414" s="658"/>
      <c r="C414" s="658"/>
      <c r="D414" s="658"/>
      <c r="E414" s="658"/>
      <c r="F414" s="658"/>
      <c r="G414" s="658"/>
      <c r="H414" s="658"/>
    </row>
    <row r="415" ht="14.25" customHeight="1">
      <c r="A415" s="703"/>
      <c r="B415" s="658"/>
      <c r="C415" s="658"/>
      <c r="D415" s="658"/>
      <c r="E415" s="658"/>
      <c r="F415" s="658"/>
      <c r="G415" s="658"/>
      <c r="H415" s="658"/>
    </row>
    <row r="416" ht="14.25" customHeight="1">
      <c r="A416" s="703"/>
      <c r="B416" s="658"/>
      <c r="C416" s="658"/>
      <c r="D416" s="658"/>
      <c r="E416" s="658"/>
      <c r="F416" s="658"/>
      <c r="G416" s="658"/>
      <c r="H416" s="658"/>
    </row>
    <row r="417" ht="14.25" customHeight="1">
      <c r="A417" s="703"/>
      <c r="B417" s="658"/>
      <c r="C417" s="658"/>
      <c r="D417" s="658"/>
      <c r="E417" s="658"/>
      <c r="F417" s="658"/>
      <c r="G417" s="658"/>
      <c r="H417" s="658"/>
    </row>
    <row r="418" ht="14.25" customHeight="1">
      <c r="A418" s="703"/>
      <c r="B418" s="658"/>
      <c r="C418" s="658"/>
      <c r="D418" s="658"/>
      <c r="E418" s="658"/>
      <c r="F418" s="658"/>
      <c r="G418" s="658"/>
      <c r="H418" s="658"/>
    </row>
    <row r="419" ht="14.25" customHeight="1">
      <c r="A419" s="703"/>
      <c r="B419" s="658"/>
      <c r="C419" s="658"/>
      <c r="D419" s="658"/>
      <c r="E419" s="658"/>
      <c r="F419" s="658"/>
      <c r="G419" s="658"/>
      <c r="H419" s="658"/>
    </row>
    <row r="420" ht="14.25" customHeight="1">
      <c r="A420" s="703"/>
      <c r="B420" s="658"/>
      <c r="C420" s="658"/>
      <c r="D420" s="658"/>
      <c r="E420" s="658"/>
      <c r="F420" s="658"/>
      <c r="G420" s="658"/>
      <c r="H420" s="658"/>
    </row>
    <row r="421" ht="14.25" customHeight="1">
      <c r="A421" s="703"/>
      <c r="B421" s="658"/>
      <c r="C421" s="658"/>
      <c r="D421" s="658"/>
      <c r="E421" s="658"/>
      <c r="F421" s="658"/>
      <c r="G421" s="658"/>
      <c r="H421" s="658"/>
    </row>
    <row r="422" ht="14.25" customHeight="1">
      <c r="A422" s="703"/>
      <c r="B422" s="658"/>
      <c r="C422" s="658"/>
      <c r="D422" s="658"/>
      <c r="E422" s="658"/>
      <c r="F422" s="658"/>
      <c r="G422" s="658"/>
      <c r="H422" s="658"/>
    </row>
    <row r="423" ht="14.25" customHeight="1">
      <c r="A423" s="703"/>
      <c r="B423" s="658"/>
      <c r="C423" s="658"/>
      <c r="D423" s="658"/>
      <c r="E423" s="658"/>
      <c r="F423" s="658"/>
      <c r="G423" s="658"/>
      <c r="H423" s="658"/>
    </row>
    <row r="424" ht="14.25" customHeight="1">
      <c r="A424" s="703"/>
      <c r="B424" s="658"/>
      <c r="C424" s="658"/>
      <c r="D424" s="658"/>
      <c r="E424" s="658"/>
      <c r="F424" s="658"/>
      <c r="G424" s="658"/>
      <c r="H424" s="658"/>
    </row>
    <row r="425" ht="14.25" customHeight="1">
      <c r="A425" s="703"/>
      <c r="B425" s="658"/>
      <c r="C425" s="658"/>
      <c r="D425" s="658"/>
      <c r="E425" s="658"/>
      <c r="F425" s="658"/>
      <c r="G425" s="658"/>
      <c r="H425" s="658"/>
    </row>
    <row r="426" ht="14.25" customHeight="1">
      <c r="A426" s="703"/>
      <c r="B426" s="658"/>
      <c r="C426" s="658"/>
      <c r="D426" s="658"/>
      <c r="E426" s="658"/>
      <c r="F426" s="658"/>
      <c r="G426" s="658"/>
      <c r="H426" s="658"/>
    </row>
    <row r="427" ht="14.25" customHeight="1">
      <c r="A427" s="703"/>
      <c r="B427" s="658"/>
      <c r="C427" s="658"/>
      <c r="D427" s="658"/>
      <c r="E427" s="658"/>
      <c r="F427" s="658"/>
      <c r="G427" s="658"/>
      <c r="H427" s="658"/>
    </row>
    <row r="428" ht="14.25" customHeight="1">
      <c r="A428" s="703"/>
      <c r="B428" s="658"/>
      <c r="C428" s="658"/>
      <c r="D428" s="658"/>
      <c r="E428" s="658"/>
      <c r="F428" s="658"/>
      <c r="G428" s="658"/>
      <c r="H428" s="658"/>
    </row>
    <row r="429" ht="14.25" customHeight="1">
      <c r="A429" s="703"/>
      <c r="B429" s="658"/>
      <c r="C429" s="658"/>
      <c r="D429" s="658"/>
      <c r="E429" s="658"/>
      <c r="F429" s="658"/>
      <c r="G429" s="658"/>
      <c r="H429" s="658"/>
    </row>
    <row r="430" ht="14.25" customHeight="1">
      <c r="A430" s="703"/>
      <c r="B430" s="658"/>
      <c r="C430" s="658"/>
      <c r="D430" s="658"/>
      <c r="E430" s="658"/>
      <c r="F430" s="658"/>
      <c r="G430" s="658"/>
      <c r="H430" s="658"/>
    </row>
    <row r="431" ht="14.25" customHeight="1">
      <c r="A431" s="703"/>
      <c r="B431" s="658"/>
      <c r="C431" s="658"/>
      <c r="D431" s="658"/>
      <c r="E431" s="658"/>
      <c r="F431" s="658"/>
      <c r="G431" s="658"/>
      <c r="H431" s="658"/>
    </row>
    <row r="432" ht="14.25" customHeight="1">
      <c r="A432" s="703"/>
      <c r="B432" s="658"/>
      <c r="C432" s="658"/>
      <c r="D432" s="658"/>
      <c r="E432" s="658"/>
      <c r="F432" s="658"/>
      <c r="G432" s="658"/>
      <c r="H432" s="658"/>
    </row>
    <row r="433" ht="14.25" customHeight="1">
      <c r="A433" s="703"/>
      <c r="B433" s="658"/>
      <c r="C433" s="658"/>
      <c r="D433" s="658"/>
      <c r="E433" s="658"/>
      <c r="F433" s="658"/>
      <c r="G433" s="658"/>
      <c r="H433" s="658"/>
    </row>
    <row r="434" ht="14.25" customHeight="1">
      <c r="A434" s="703"/>
      <c r="B434" s="658"/>
      <c r="C434" s="658"/>
      <c r="D434" s="658"/>
      <c r="E434" s="658"/>
      <c r="F434" s="658"/>
      <c r="G434" s="658"/>
      <c r="H434" s="658"/>
    </row>
    <row r="435" ht="14.25" customHeight="1">
      <c r="A435" s="703"/>
      <c r="B435" s="658"/>
      <c r="C435" s="658"/>
      <c r="D435" s="658"/>
      <c r="E435" s="658"/>
      <c r="F435" s="658"/>
      <c r="G435" s="658"/>
      <c r="H435" s="658"/>
    </row>
    <row r="436" ht="14.25" customHeight="1">
      <c r="A436" s="703"/>
      <c r="B436" s="658"/>
      <c r="C436" s="658"/>
      <c r="D436" s="658"/>
      <c r="E436" s="658"/>
      <c r="F436" s="658"/>
      <c r="G436" s="658"/>
      <c r="H436" s="658"/>
    </row>
    <row r="437" ht="14.25" customHeight="1">
      <c r="A437" s="703"/>
      <c r="B437" s="658"/>
      <c r="C437" s="658"/>
      <c r="D437" s="658"/>
      <c r="E437" s="658"/>
      <c r="F437" s="658"/>
      <c r="G437" s="658"/>
      <c r="H437" s="658"/>
    </row>
    <row r="438" ht="14.25" customHeight="1">
      <c r="A438" s="703"/>
      <c r="B438" s="658"/>
      <c r="C438" s="658"/>
      <c r="D438" s="658"/>
      <c r="E438" s="658"/>
      <c r="F438" s="658"/>
      <c r="G438" s="658"/>
      <c r="H438" s="658"/>
    </row>
    <row r="439" ht="14.25" customHeight="1">
      <c r="A439" s="703"/>
      <c r="B439" s="658"/>
      <c r="C439" s="658"/>
      <c r="D439" s="658"/>
      <c r="E439" s="658"/>
      <c r="F439" s="658"/>
      <c r="G439" s="658"/>
      <c r="H439" s="658"/>
    </row>
    <row r="440" ht="14.25" customHeight="1">
      <c r="A440" s="703"/>
      <c r="B440" s="658"/>
      <c r="C440" s="658"/>
      <c r="D440" s="658"/>
      <c r="E440" s="658"/>
      <c r="F440" s="658"/>
      <c r="G440" s="658"/>
      <c r="H440" s="658"/>
    </row>
    <row r="441" ht="14.25" customHeight="1">
      <c r="A441" s="703"/>
      <c r="B441" s="658"/>
      <c r="C441" s="658"/>
      <c r="D441" s="658"/>
      <c r="E441" s="658"/>
      <c r="F441" s="658"/>
      <c r="G441" s="658"/>
      <c r="H441" s="658"/>
    </row>
    <row r="442" ht="14.25" customHeight="1">
      <c r="A442" s="703"/>
      <c r="B442" s="658"/>
      <c r="C442" s="658"/>
      <c r="D442" s="658"/>
      <c r="E442" s="658"/>
      <c r="F442" s="658"/>
      <c r="G442" s="658"/>
      <c r="H442" s="658"/>
    </row>
    <row r="443" ht="14.25" customHeight="1">
      <c r="A443" s="703"/>
      <c r="B443" s="658"/>
      <c r="C443" s="658"/>
      <c r="D443" s="658"/>
      <c r="E443" s="658"/>
      <c r="F443" s="658"/>
      <c r="G443" s="658"/>
      <c r="H443" s="658"/>
    </row>
    <row r="444" ht="14.25" customHeight="1">
      <c r="A444" s="703"/>
      <c r="B444" s="658"/>
      <c r="C444" s="658"/>
      <c r="D444" s="658"/>
      <c r="E444" s="658"/>
      <c r="F444" s="658"/>
      <c r="G444" s="658"/>
      <c r="H444" s="658"/>
    </row>
    <row r="445" ht="14.25" customHeight="1">
      <c r="A445" s="703"/>
      <c r="B445" s="658"/>
      <c r="C445" s="658"/>
      <c r="D445" s="658"/>
      <c r="E445" s="658"/>
      <c r="F445" s="658"/>
      <c r="G445" s="658"/>
      <c r="H445" s="658"/>
    </row>
    <row r="446" ht="14.25" customHeight="1">
      <c r="A446" s="703"/>
      <c r="B446" s="658"/>
      <c r="C446" s="658"/>
      <c r="D446" s="658"/>
      <c r="E446" s="658"/>
      <c r="F446" s="658"/>
      <c r="G446" s="658"/>
      <c r="H446" s="658"/>
    </row>
    <row r="447" ht="14.25" customHeight="1">
      <c r="A447" s="703"/>
      <c r="B447" s="658"/>
      <c r="C447" s="658"/>
      <c r="D447" s="658"/>
      <c r="E447" s="658"/>
      <c r="F447" s="658"/>
      <c r="G447" s="658"/>
      <c r="H447" s="658"/>
    </row>
    <row r="448" ht="14.25" customHeight="1">
      <c r="A448" s="703"/>
      <c r="B448" s="658"/>
      <c r="C448" s="658"/>
      <c r="D448" s="658"/>
      <c r="E448" s="658"/>
      <c r="F448" s="658"/>
      <c r="G448" s="658"/>
      <c r="H448" s="658"/>
    </row>
    <row r="449" ht="14.25" customHeight="1">
      <c r="A449" s="703"/>
      <c r="B449" s="658"/>
      <c r="C449" s="658"/>
      <c r="D449" s="658"/>
      <c r="E449" s="658"/>
      <c r="F449" s="658"/>
      <c r="G449" s="658"/>
      <c r="H449" s="658"/>
    </row>
    <row r="450" ht="14.25" customHeight="1">
      <c r="A450" s="703"/>
      <c r="B450" s="658"/>
      <c r="C450" s="658"/>
      <c r="D450" s="658"/>
      <c r="E450" s="658"/>
      <c r="F450" s="658"/>
      <c r="G450" s="658"/>
      <c r="H450" s="658"/>
    </row>
    <row r="451" ht="14.25" customHeight="1">
      <c r="A451" s="703"/>
      <c r="B451" s="658"/>
      <c r="C451" s="658"/>
      <c r="D451" s="658"/>
      <c r="E451" s="658"/>
      <c r="F451" s="658"/>
      <c r="G451" s="658"/>
      <c r="H451" s="658"/>
    </row>
    <row r="452" ht="14.25" customHeight="1">
      <c r="A452" s="703"/>
      <c r="B452" s="658"/>
      <c r="C452" s="658"/>
      <c r="D452" s="658"/>
      <c r="E452" s="658"/>
      <c r="F452" s="658"/>
      <c r="G452" s="658"/>
      <c r="H452" s="658"/>
    </row>
    <row r="453" ht="14.25" customHeight="1">
      <c r="A453" s="703"/>
      <c r="B453" s="658"/>
      <c r="C453" s="658"/>
      <c r="D453" s="658"/>
      <c r="E453" s="658"/>
      <c r="F453" s="658"/>
      <c r="G453" s="658"/>
      <c r="H453" s="658"/>
    </row>
    <row r="454" ht="14.25" customHeight="1">
      <c r="A454" s="703"/>
      <c r="B454" s="658"/>
      <c r="C454" s="658"/>
      <c r="D454" s="658"/>
      <c r="E454" s="658"/>
      <c r="F454" s="658"/>
      <c r="G454" s="658"/>
      <c r="H454" s="658"/>
    </row>
    <row r="455" ht="14.25" customHeight="1">
      <c r="A455" s="703"/>
      <c r="B455" s="658"/>
      <c r="C455" s="658"/>
      <c r="D455" s="658"/>
      <c r="E455" s="658"/>
      <c r="F455" s="658"/>
      <c r="G455" s="658"/>
      <c r="H455" s="658"/>
    </row>
    <row r="456" ht="14.25" customHeight="1">
      <c r="A456" s="703"/>
      <c r="B456" s="658"/>
      <c r="C456" s="658"/>
      <c r="D456" s="658"/>
      <c r="E456" s="658"/>
      <c r="F456" s="658"/>
      <c r="G456" s="658"/>
      <c r="H456" s="658"/>
    </row>
    <row r="457" ht="14.25" customHeight="1">
      <c r="A457" s="703"/>
      <c r="B457" s="658"/>
      <c r="C457" s="658"/>
      <c r="D457" s="658"/>
      <c r="E457" s="658"/>
      <c r="F457" s="658"/>
      <c r="G457" s="658"/>
      <c r="H457" s="658"/>
    </row>
    <row r="458" ht="14.25" customHeight="1">
      <c r="A458" s="703"/>
      <c r="B458" s="658"/>
      <c r="C458" s="658"/>
      <c r="D458" s="658"/>
      <c r="E458" s="658"/>
      <c r="F458" s="658"/>
      <c r="G458" s="658"/>
      <c r="H458" s="658"/>
    </row>
    <row r="459" ht="14.25" customHeight="1">
      <c r="A459" s="703"/>
      <c r="B459" s="658"/>
      <c r="C459" s="658"/>
      <c r="D459" s="658"/>
      <c r="E459" s="658"/>
      <c r="F459" s="658"/>
      <c r="G459" s="658"/>
      <c r="H459" s="658"/>
    </row>
    <row r="460" ht="14.25" customHeight="1">
      <c r="A460" s="703"/>
      <c r="B460" s="658"/>
      <c r="C460" s="658"/>
      <c r="D460" s="658"/>
      <c r="E460" s="658"/>
      <c r="F460" s="658"/>
      <c r="G460" s="658"/>
      <c r="H460" s="658"/>
    </row>
    <row r="461" ht="14.25" customHeight="1">
      <c r="A461" s="703"/>
      <c r="B461" s="658"/>
      <c r="C461" s="658"/>
      <c r="D461" s="658"/>
      <c r="E461" s="658"/>
      <c r="F461" s="658"/>
      <c r="G461" s="658"/>
      <c r="H461" s="658"/>
    </row>
    <row r="462" ht="14.25" customHeight="1">
      <c r="A462" s="703"/>
      <c r="B462" s="658"/>
      <c r="C462" s="658"/>
      <c r="D462" s="658"/>
      <c r="E462" s="658"/>
      <c r="F462" s="658"/>
      <c r="G462" s="658"/>
      <c r="H462" s="658"/>
    </row>
    <row r="463" ht="14.25" customHeight="1">
      <c r="A463" s="703"/>
      <c r="B463" s="658"/>
      <c r="C463" s="658"/>
      <c r="D463" s="658"/>
      <c r="E463" s="658"/>
      <c r="F463" s="658"/>
      <c r="G463" s="658"/>
      <c r="H463" s="658"/>
    </row>
    <row r="464" ht="14.25" customHeight="1">
      <c r="A464" s="703"/>
      <c r="B464" s="658"/>
      <c r="C464" s="658"/>
      <c r="D464" s="658"/>
      <c r="E464" s="658"/>
      <c r="F464" s="658"/>
      <c r="G464" s="658"/>
      <c r="H464" s="658"/>
    </row>
    <row r="465" ht="14.25" customHeight="1">
      <c r="A465" s="703"/>
      <c r="B465" s="658"/>
      <c r="C465" s="658"/>
      <c r="D465" s="658"/>
      <c r="E465" s="658"/>
      <c r="F465" s="658"/>
      <c r="G465" s="658"/>
      <c r="H465" s="658"/>
    </row>
    <row r="466" ht="14.25" customHeight="1">
      <c r="A466" s="703"/>
      <c r="B466" s="658"/>
      <c r="C466" s="658"/>
      <c r="D466" s="658"/>
      <c r="E466" s="658"/>
      <c r="F466" s="658"/>
      <c r="G466" s="658"/>
      <c r="H466" s="658"/>
    </row>
    <row r="467" ht="14.25" customHeight="1">
      <c r="A467" s="703"/>
      <c r="B467" s="658"/>
      <c r="C467" s="658"/>
      <c r="D467" s="658"/>
      <c r="E467" s="658"/>
      <c r="F467" s="658"/>
      <c r="G467" s="658"/>
      <c r="H467" s="658"/>
    </row>
    <row r="468" ht="14.25" customHeight="1">
      <c r="A468" s="703"/>
      <c r="B468" s="658"/>
      <c r="C468" s="658"/>
      <c r="D468" s="658"/>
      <c r="E468" s="658"/>
      <c r="F468" s="658"/>
      <c r="G468" s="658"/>
      <c r="H468" s="658"/>
    </row>
    <row r="469" ht="14.25" customHeight="1">
      <c r="A469" s="703"/>
      <c r="B469" s="658"/>
      <c r="C469" s="658"/>
      <c r="D469" s="658"/>
      <c r="E469" s="658"/>
      <c r="F469" s="658"/>
      <c r="G469" s="658"/>
      <c r="H469" s="658"/>
    </row>
    <row r="470" ht="14.25" customHeight="1">
      <c r="A470" s="703"/>
      <c r="B470" s="658"/>
      <c r="C470" s="658"/>
      <c r="D470" s="658"/>
      <c r="E470" s="658"/>
      <c r="F470" s="658"/>
      <c r="G470" s="658"/>
      <c r="H470" s="658"/>
    </row>
    <row r="471" ht="14.25" customHeight="1">
      <c r="A471" s="703"/>
      <c r="B471" s="658"/>
      <c r="C471" s="658"/>
      <c r="D471" s="658"/>
      <c r="E471" s="658"/>
      <c r="F471" s="658"/>
      <c r="G471" s="658"/>
      <c r="H471" s="658"/>
    </row>
    <row r="472" ht="14.25" customHeight="1">
      <c r="A472" s="703"/>
      <c r="B472" s="658"/>
      <c r="C472" s="658"/>
      <c r="D472" s="658"/>
      <c r="E472" s="658"/>
      <c r="F472" s="658"/>
      <c r="G472" s="658"/>
      <c r="H472" s="658"/>
    </row>
    <row r="473" ht="14.25" customHeight="1">
      <c r="A473" s="703"/>
      <c r="B473" s="658"/>
      <c r="C473" s="658"/>
      <c r="D473" s="658"/>
      <c r="E473" s="658"/>
      <c r="F473" s="658"/>
      <c r="G473" s="658"/>
      <c r="H473" s="658"/>
    </row>
    <row r="474" ht="14.25" customHeight="1">
      <c r="A474" s="703"/>
      <c r="B474" s="658"/>
      <c r="C474" s="658"/>
      <c r="D474" s="658"/>
      <c r="E474" s="658"/>
      <c r="F474" s="658"/>
      <c r="G474" s="658"/>
      <c r="H474" s="658"/>
    </row>
    <row r="475" ht="14.25" customHeight="1">
      <c r="A475" s="703"/>
      <c r="B475" s="658"/>
      <c r="C475" s="658"/>
      <c r="D475" s="658"/>
      <c r="E475" s="658"/>
      <c r="F475" s="658"/>
      <c r="G475" s="658"/>
      <c r="H475" s="658"/>
    </row>
    <row r="476" ht="14.25" customHeight="1">
      <c r="A476" s="703"/>
      <c r="B476" s="658"/>
      <c r="C476" s="658"/>
      <c r="D476" s="658"/>
      <c r="E476" s="658"/>
      <c r="F476" s="658"/>
      <c r="G476" s="658"/>
      <c r="H476" s="658"/>
    </row>
    <row r="477" ht="14.25" customHeight="1">
      <c r="A477" s="703"/>
      <c r="B477" s="658"/>
      <c r="C477" s="658"/>
      <c r="D477" s="658"/>
      <c r="E477" s="658"/>
      <c r="F477" s="658"/>
      <c r="G477" s="658"/>
      <c r="H477" s="658"/>
    </row>
    <row r="478" ht="14.25" customHeight="1">
      <c r="A478" s="703"/>
      <c r="B478" s="658"/>
      <c r="C478" s="658"/>
      <c r="D478" s="658"/>
      <c r="E478" s="658"/>
      <c r="F478" s="658"/>
      <c r="G478" s="658"/>
      <c r="H478" s="658"/>
    </row>
    <row r="479" ht="14.25" customHeight="1">
      <c r="A479" s="703"/>
      <c r="B479" s="658"/>
      <c r="C479" s="658"/>
      <c r="D479" s="658"/>
      <c r="E479" s="658"/>
      <c r="F479" s="658"/>
      <c r="G479" s="658"/>
      <c r="H479" s="658"/>
    </row>
    <row r="480" ht="14.25" customHeight="1">
      <c r="A480" s="703"/>
      <c r="B480" s="658"/>
      <c r="C480" s="658"/>
      <c r="D480" s="658"/>
      <c r="E480" s="658"/>
      <c r="F480" s="658"/>
      <c r="G480" s="658"/>
      <c r="H480" s="658"/>
    </row>
    <row r="481" ht="14.25" customHeight="1">
      <c r="A481" s="703"/>
      <c r="B481" s="658"/>
      <c r="C481" s="658"/>
      <c r="D481" s="658"/>
      <c r="E481" s="658"/>
      <c r="F481" s="658"/>
      <c r="G481" s="658"/>
      <c r="H481" s="658"/>
    </row>
    <row r="482" ht="14.25" customHeight="1">
      <c r="A482" s="703"/>
      <c r="B482" s="658"/>
      <c r="C482" s="658"/>
      <c r="D482" s="658"/>
      <c r="E482" s="658"/>
      <c r="F482" s="658"/>
      <c r="G482" s="658"/>
      <c r="H482" s="658"/>
    </row>
    <row r="483" ht="14.25" customHeight="1">
      <c r="A483" s="703"/>
      <c r="B483" s="658"/>
      <c r="C483" s="658"/>
      <c r="D483" s="658"/>
      <c r="E483" s="658"/>
      <c r="F483" s="658"/>
      <c r="G483" s="658"/>
      <c r="H483" s="658"/>
    </row>
    <row r="484" ht="14.25" customHeight="1">
      <c r="A484" s="703"/>
      <c r="B484" s="658"/>
      <c r="C484" s="658"/>
      <c r="D484" s="658"/>
      <c r="E484" s="658"/>
      <c r="F484" s="658"/>
      <c r="G484" s="658"/>
      <c r="H484" s="658"/>
    </row>
    <row r="485" ht="14.25" customHeight="1">
      <c r="A485" s="703"/>
      <c r="B485" s="658"/>
      <c r="C485" s="658"/>
      <c r="D485" s="658"/>
      <c r="E485" s="658"/>
      <c r="F485" s="658"/>
      <c r="G485" s="658"/>
      <c r="H485" s="658"/>
    </row>
    <row r="486" ht="14.25" customHeight="1">
      <c r="A486" s="703"/>
      <c r="B486" s="658"/>
      <c r="C486" s="658"/>
      <c r="D486" s="658"/>
      <c r="E486" s="658"/>
      <c r="F486" s="658"/>
      <c r="G486" s="658"/>
      <c r="H486" s="658"/>
    </row>
    <row r="487" ht="14.25" customHeight="1">
      <c r="A487" s="703"/>
      <c r="B487" s="658"/>
      <c r="C487" s="658"/>
      <c r="D487" s="658"/>
      <c r="E487" s="658"/>
      <c r="F487" s="658"/>
      <c r="G487" s="658"/>
      <c r="H487" s="658"/>
    </row>
    <row r="488" ht="14.25" customHeight="1">
      <c r="A488" s="703"/>
      <c r="B488" s="658"/>
      <c r="C488" s="658"/>
      <c r="D488" s="658"/>
      <c r="E488" s="658"/>
      <c r="F488" s="658"/>
      <c r="G488" s="658"/>
      <c r="H488" s="658"/>
    </row>
    <row r="489" ht="14.25" customHeight="1">
      <c r="A489" s="703"/>
      <c r="B489" s="658"/>
      <c r="C489" s="658"/>
      <c r="D489" s="658"/>
      <c r="E489" s="658"/>
      <c r="F489" s="658"/>
      <c r="G489" s="658"/>
      <c r="H489" s="658"/>
    </row>
    <row r="490" ht="14.25" customHeight="1">
      <c r="A490" s="703"/>
      <c r="B490" s="658"/>
      <c r="C490" s="658"/>
      <c r="D490" s="658"/>
      <c r="E490" s="658"/>
      <c r="F490" s="658"/>
      <c r="G490" s="658"/>
      <c r="H490" s="658"/>
    </row>
    <row r="491" ht="14.25" customHeight="1">
      <c r="A491" s="703"/>
      <c r="B491" s="658"/>
      <c r="C491" s="658"/>
      <c r="D491" s="658"/>
      <c r="E491" s="658"/>
      <c r="F491" s="658"/>
      <c r="G491" s="658"/>
      <c r="H491" s="658"/>
    </row>
    <row r="492" ht="14.25" customHeight="1">
      <c r="A492" s="703"/>
      <c r="B492" s="658"/>
      <c r="C492" s="658"/>
      <c r="D492" s="658"/>
      <c r="E492" s="658"/>
      <c r="F492" s="658"/>
      <c r="G492" s="658"/>
      <c r="H492" s="658"/>
    </row>
    <row r="493" ht="14.25" customHeight="1">
      <c r="A493" s="703"/>
      <c r="B493" s="658"/>
      <c r="C493" s="658"/>
      <c r="D493" s="658"/>
      <c r="E493" s="658"/>
      <c r="F493" s="658"/>
      <c r="G493" s="658"/>
      <c r="H493" s="658"/>
    </row>
    <row r="494" ht="14.25" customHeight="1">
      <c r="A494" s="703"/>
      <c r="B494" s="658"/>
      <c r="C494" s="658"/>
      <c r="D494" s="658"/>
      <c r="E494" s="658"/>
      <c r="F494" s="658"/>
      <c r="G494" s="658"/>
      <c r="H494" s="658"/>
    </row>
    <row r="495" ht="14.25" customHeight="1">
      <c r="A495" s="703"/>
      <c r="B495" s="658"/>
      <c r="C495" s="658"/>
      <c r="D495" s="658"/>
      <c r="E495" s="658"/>
      <c r="F495" s="658"/>
      <c r="G495" s="658"/>
      <c r="H495" s="658"/>
    </row>
    <row r="496" ht="14.25" customHeight="1">
      <c r="A496" s="703"/>
      <c r="B496" s="658"/>
      <c r="C496" s="658"/>
      <c r="D496" s="658"/>
      <c r="E496" s="658"/>
      <c r="F496" s="658"/>
      <c r="G496" s="658"/>
      <c r="H496" s="658"/>
    </row>
    <row r="497" ht="14.25" customHeight="1">
      <c r="A497" s="703"/>
      <c r="B497" s="658"/>
      <c r="C497" s="658"/>
      <c r="D497" s="658"/>
      <c r="E497" s="658"/>
      <c r="F497" s="658"/>
      <c r="G497" s="658"/>
      <c r="H497" s="658"/>
    </row>
    <row r="498" ht="14.25" customHeight="1">
      <c r="A498" s="703"/>
      <c r="B498" s="658"/>
      <c r="C498" s="658"/>
      <c r="D498" s="658"/>
      <c r="E498" s="658"/>
      <c r="F498" s="658"/>
      <c r="G498" s="658"/>
      <c r="H498" s="658"/>
    </row>
    <row r="499" ht="14.25" customHeight="1">
      <c r="A499" s="703"/>
      <c r="B499" s="658"/>
      <c r="C499" s="658"/>
      <c r="D499" s="658"/>
      <c r="E499" s="658"/>
      <c r="F499" s="658"/>
      <c r="G499" s="658"/>
      <c r="H499" s="658"/>
    </row>
    <row r="500" ht="14.25" customHeight="1">
      <c r="A500" s="703"/>
      <c r="B500" s="658"/>
      <c r="C500" s="658"/>
      <c r="D500" s="658"/>
      <c r="E500" s="658"/>
      <c r="F500" s="658"/>
      <c r="G500" s="658"/>
      <c r="H500" s="658"/>
    </row>
    <row r="501" ht="14.25" customHeight="1">
      <c r="A501" s="703"/>
      <c r="B501" s="658"/>
      <c r="C501" s="658"/>
      <c r="D501" s="658"/>
      <c r="E501" s="658"/>
      <c r="F501" s="658"/>
      <c r="G501" s="658"/>
      <c r="H501" s="658"/>
    </row>
    <row r="502" ht="14.25" customHeight="1">
      <c r="A502" s="703"/>
      <c r="B502" s="658"/>
      <c r="C502" s="658"/>
      <c r="D502" s="658"/>
      <c r="E502" s="658"/>
      <c r="F502" s="658"/>
      <c r="G502" s="658"/>
      <c r="H502" s="658"/>
    </row>
    <row r="503" ht="14.25" customHeight="1">
      <c r="A503" s="703"/>
      <c r="B503" s="658"/>
      <c r="C503" s="658"/>
      <c r="D503" s="658"/>
      <c r="E503" s="658"/>
      <c r="F503" s="658"/>
      <c r="G503" s="658"/>
      <c r="H503" s="658"/>
    </row>
    <row r="504" ht="14.25" customHeight="1">
      <c r="A504" s="703"/>
      <c r="B504" s="658"/>
      <c r="C504" s="658"/>
      <c r="D504" s="658"/>
      <c r="E504" s="658"/>
      <c r="F504" s="658"/>
      <c r="G504" s="658"/>
      <c r="H504" s="658"/>
    </row>
    <row r="505" ht="14.25" customHeight="1">
      <c r="A505" s="703"/>
      <c r="B505" s="658"/>
      <c r="C505" s="658"/>
      <c r="D505" s="658"/>
      <c r="E505" s="658"/>
      <c r="F505" s="658"/>
      <c r="G505" s="658"/>
      <c r="H505" s="658"/>
    </row>
    <row r="506" ht="14.25" customHeight="1">
      <c r="A506" s="703"/>
      <c r="B506" s="658"/>
      <c r="C506" s="658"/>
      <c r="D506" s="658"/>
      <c r="E506" s="658"/>
      <c r="F506" s="658"/>
      <c r="G506" s="658"/>
      <c r="H506" s="658"/>
    </row>
    <row r="507" ht="14.25" customHeight="1">
      <c r="A507" s="703"/>
      <c r="B507" s="658"/>
      <c r="C507" s="658"/>
      <c r="D507" s="658"/>
      <c r="E507" s="658"/>
      <c r="F507" s="658"/>
      <c r="G507" s="658"/>
      <c r="H507" s="658"/>
    </row>
    <row r="508" ht="14.25" customHeight="1">
      <c r="A508" s="703"/>
      <c r="B508" s="658"/>
      <c r="C508" s="658"/>
      <c r="D508" s="658"/>
      <c r="E508" s="658"/>
      <c r="F508" s="658"/>
      <c r="G508" s="658"/>
      <c r="H508" s="658"/>
    </row>
    <row r="509" ht="14.25" customHeight="1">
      <c r="A509" s="703"/>
      <c r="B509" s="658"/>
      <c r="C509" s="658"/>
      <c r="D509" s="658"/>
      <c r="E509" s="658"/>
      <c r="F509" s="658"/>
      <c r="G509" s="658"/>
      <c r="H509" s="658"/>
    </row>
    <row r="510" ht="14.25" customHeight="1">
      <c r="A510" s="703"/>
      <c r="B510" s="658"/>
      <c r="C510" s="658"/>
      <c r="D510" s="658"/>
      <c r="E510" s="658"/>
      <c r="F510" s="658"/>
      <c r="G510" s="658"/>
      <c r="H510" s="658"/>
    </row>
    <row r="511" ht="14.25" customHeight="1">
      <c r="A511" s="703"/>
      <c r="B511" s="658"/>
      <c r="C511" s="658"/>
      <c r="D511" s="658"/>
      <c r="E511" s="658"/>
      <c r="F511" s="658"/>
      <c r="G511" s="658"/>
      <c r="H511" s="658"/>
    </row>
    <row r="512" ht="14.25" customHeight="1">
      <c r="A512" s="703"/>
      <c r="B512" s="658"/>
      <c r="C512" s="658"/>
      <c r="D512" s="658"/>
      <c r="E512" s="658"/>
      <c r="F512" s="658"/>
      <c r="G512" s="658"/>
      <c r="H512" s="658"/>
    </row>
    <row r="513" ht="14.25" customHeight="1">
      <c r="A513" s="703"/>
      <c r="B513" s="658"/>
      <c r="C513" s="658"/>
      <c r="D513" s="658"/>
      <c r="E513" s="658"/>
      <c r="F513" s="658"/>
      <c r="G513" s="658"/>
      <c r="H513" s="658"/>
    </row>
    <row r="514" ht="14.25" customHeight="1">
      <c r="A514" s="703"/>
      <c r="B514" s="658"/>
      <c r="C514" s="658"/>
      <c r="D514" s="658"/>
      <c r="E514" s="658"/>
      <c r="F514" s="658"/>
      <c r="G514" s="658"/>
      <c r="H514" s="658"/>
    </row>
    <row r="515" ht="14.25" customHeight="1">
      <c r="A515" s="703"/>
      <c r="B515" s="658"/>
      <c r="C515" s="658"/>
      <c r="D515" s="658"/>
      <c r="E515" s="658"/>
      <c r="F515" s="658"/>
      <c r="G515" s="658"/>
      <c r="H515" s="658"/>
    </row>
    <row r="516" ht="14.25" customHeight="1">
      <c r="A516" s="703"/>
      <c r="B516" s="658"/>
      <c r="C516" s="658"/>
      <c r="D516" s="658"/>
      <c r="E516" s="658"/>
      <c r="F516" s="658"/>
      <c r="G516" s="658"/>
      <c r="H516" s="658"/>
    </row>
    <row r="517" ht="14.25" customHeight="1">
      <c r="A517" s="703"/>
      <c r="B517" s="658"/>
      <c r="C517" s="658"/>
      <c r="D517" s="658"/>
      <c r="E517" s="658"/>
      <c r="F517" s="658"/>
      <c r="G517" s="658"/>
      <c r="H517" s="658"/>
    </row>
    <row r="518" ht="14.25" customHeight="1">
      <c r="A518" s="703"/>
      <c r="B518" s="658"/>
      <c r="C518" s="658"/>
      <c r="D518" s="658"/>
      <c r="E518" s="658"/>
      <c r="F518" s="658"/>
      <c r="G518" s="658"/>
      <c r="H518" s="658"/>
    </row>
    <row r="519" ht="14.25" customHeight="1">
      <c r="A519" s="703"/>
      <c r="B519" s="658"/>
      <c r="C519" s="658"/>
      <c r="D519" s="658"/>
      <c r="E519" s="658"/>
      <c r="F519" s="658"/>
      <c r="G519" s="658"/>
      <c r="H519" s="658"/>
    </row>
    <row r="520" ht="14.25" customHeight="1">
      <c r="A520" s="703"/>
      <c r="B520" s="658"/>
      <c r="C520" s="658"/>
      <c r="D520" s="658"/>
      <c r="E520" s="658"/>
      <c r="F520" s="658"/>
      <c r="G520" s="658"/>
      <c r="H520" s="658"/>
    </row>
    <row r="521" ht="14.25" customHeight="1">
      <c r="A521" s="703"/>
      <c r="B521" s="658"/>
      <c r="C521" s="658"/>
      <c r="D521" s="658"/>
      <c r="E521" s="658"/>
      <c r="F521" s="658"/>
      <c r="G521" s="658"/>
      <c r="H521" s="658"/>
    </row>
    <row r="522" ht="14.25" customHeight="1">
      <c r="A522" s="703"/>
      <c r="B522" s="658"/>
      <c r="C522" s="658"/>
      <c r="D522" s="658"/>
      <c r="E522" s="658"/>
      <c r="F522" s="658"/>
      <c r="G522" s="658"/>
      <c r="H522" s="658"/>
    </row>
    <row r="523" ht="14.25" customHeight="1">
      <c r="A523" s="703"/>
      <c r="B523" s="658"/>
      <c r="C523" s="658"/>
      <c r="D523" s="658"/>
      <c r="E523" s="658"/>
      <c r="F523" s="658"/>
      <c r="G523" s="658"/>
      <c r="H523" s="658"/>
    </row>
    <row r="524" ht="14.25" customHeight="1">
      <c r="A524" s="703"/>
      <c r="B524" s="658"/>
      <c r="C524" s="658"/>
      <c r="D524" s="658"/>
      <c r="E524" s="658"/>
      <c r="F524" s="658"/>
      <c r="G524" s="658"/>
      <c r="H524" s="658"/>
    </row>
    <row r="525" ht="14.25" customHeight="1">
      <c r="A525" s="703"/>
      <c r="B525" s="658"/>
      <c r="C525" s="658"/>
      <c r="D525" s="658"/>
      <c r="E525" s="658"/>
      <c r="F525" s="658"/>
      <c r="G525" s="658"/>
      <c r="H525" s="658"/>
    </row>
    <row r="526" ht="14.25" customHeight="1">
      <c r="A526" s="703"/>
      <c r="B526" s="658"/>
      <c r="C526" s="658"/>
      <c r="D526" s="658"/>
      <c r="E526" s="658"/>
      <c r="F526" s="658"/>
      <c r="G526" s="658"/>
      <c r="H526" s="658"/>
    </row>
    <row r="527" ht="14.25" customHeight="1">
      <c r="A527" s="703"/>
      <c r="B527" s="658"/>
      <c r="C527" s="658"/>
      <c r="D527" s="658"/>
      <c r="E527" s="658"/>
      <c r="F527" s="658"/>
      <c r="G527" s="658"/>
      <c r="H527" s="658"/>
    </row>
    <row r="528" ht="14.25" customHeight="1">
      <c r="A528" s="703"/>
      <c r="B528" s="658"/>
      <c r="C528" s="658"/>
      <c r="D528" s="658"/>
      <c r="E528" s="658"/>
      <c r="F528" s="658"/>
      <c r="G528" s="658"/>
      <c r="H528" s="658"/>
    </row>
    <row r="529" ht="14.25" customHeight="1">
      <c r="A529" s="703"/>
      <c r="B529" s="658"/>
      <c r="C529" s="658"/>
      <c r="D529" s="658"/>
      <c r="E529" s="658"/>
      <c r="F529" s="658"/>
      <c r="G529" s="658"/>
      <c r="H529" s="658"/>
    </row>
    <row r="530" ht="14.25" customHeight="1">
      <c r="A530" s="703"/>
      <c r="B530" s="658"/>
      <c r="C530" s="658"/>
      <c r="D530" s="658"/>
      <c r="E530" s="658"/>
      <c r="F530" s="658"/>
      <c r="G530" s="658"/>
      <c r="H530" s="658"/>
    </row>
    <row r="531" ht="14.25" customHeight="1">
      <c r="A531" s="703"/>
      <c r="B531" s="658"/>
      <c r="C531" s="658"/>
      <c r="D531" s="658"/>
      <c r="E531" s="658"/>
      <c r="F531" s="658"/>
      <c r="G531" s="658"/>
      <c r="H531" s="658"/>
    </row>
    <row r="532" ht="14.25" customHeight="1">
      <c r="A532" s="703"/>
      <c r="B532" s="658"/>
      <c r="C532" s="658"/>
      <c r="D532" s="658"/>
      <c r="E532" s="658"/>
      <c r="F532" s="658"/>
      <c r="G532" s="658"/>
      <c r="H532" s="658"/>
    </row>
    <row r="533" ht="14.25" customHeight="1">
      <c r="A533" s="703"/>
      <c r="B533" s="658"/>
      <c r="C533" s="658"/>
      <c r="D533" s="658"/>
      <c r="E533" s="658"/>
      <c r="F533" s="658"/>
      <c r="G533" s="658"/>
      <c r="H533" s="658"/>
    </row>
    <row r="534" ht="14.25" customHeight="1">
      <c r="A534" s="703"/>
      <c r="B534" s="658"/>
      <c r="C534" s="658"/>
      <c r="D534" s="658"/>
      <c r="E534" s="658"/>
      <c r="F534" s="658"/>
      <c r="G534" s="658"/>
      <c r="H534" s="658"/>
    </row>
    <row r="535" ht="14.25" customHeight="1">
      <c r="A535" s="703"/>
      <c r="B535" s="658"/>
      <c r="C535" s="658"/>
      <c r="D535" s="658"/>
      <c r="E535" s="658"/>
      <c r="F535" s="658"/>
      <c r="G535" s="658"/>
      <c r="H535" s="658"/>
    </row>
    <row r="536" ht="14.25" customHeight="1">
      <c r="A536" s="703"/>
      <c r="B536" s="658"/>
      <c r="C536" s="658"/>
      <c r="D536" s="658"/>
      <c r="E536" s="658"/>
      <c r="F536" s="658"/>
      <c r="G536" s="658"/>
      <c r="H536" s="658"/>
    </row>
    <row r="537" ht="14.25" customHeight="1">
      <c r="A537" s="703"/>
      <c r="B537" s="658"/>
      <c r="C537" s="658"/>
      <c r="D537" s="658"/>
      <c r="E537" s="658"/>
      <c r="F537" s="658"/>
      <c r="G537" s="658"/>
      <c r="H537" s="658"/>
    </row>
    <row r="538" ht="14.25" customHeight="1">
      <c r="A538" s="703"/>
      <c r="B538" s="658"/>
      <c r="C538" s="658"/>
      <c r="D538" s="658"/>
      <c r="E538" s="658"/>
      <c r="F538" s="658"/>
      <c r="G538" s="658"/>
      <c r="H538" s="658"/>
    </row>
    <row r="539" ht="14.25" customHeight="1">
      <c r="A539" s="703"/>
      <c r="B539" s="658"/>
      <c r="C539" s="658"/>
      <c r="D539" s="658"/>
      <c r="E539" s="658"/>
      <c r="F539" s="658"/>
      <c r="G539" s="658"/>
      <c r="H539" s="658"/>
    </row>
    <row r="540" ht="14.25" customHeight="1">
      <c r="A540" s="703"/>
      <c r="B540" s="658"/>
      <c r="C540" s="658"/>
      <c r="D540" s="658"/>
      <c r="E540" s="658"/>
      <c r="F540" s="658"/>
      <c r="G540" s="658"/>
      <c r="H540" s="658"/>
    </row>
    <row r="541" ht="14.25" customHeight="1">
      <c r="A541" s="703"/>
      <c r="B541" s="658"/>
      <c r="C541" s="658"/>
      <c r="D541" s="658"/>
      <c r="E541" s="658"/>
      <c r="F541" s="658"/>
      <c r="G541" s="658"/>
      <c r="H541" s="658"/>
    </row>
    <row r="542" ht="14.25" customHeight="1">
      <c r="A542" s="703"/>
      <c r="B542" s="658"/>
      <c r="C542" s="658"/>
      <c r="D542" s="658"/>
      <c r="E542" s="658"/>
      <c r="F542" s="658"/>
      <c r="G542" s="658"/>
      <c r="H542" s="658"/>
    </row>
    <row r="543" ht="14.25" customHeight="1">
      <c r="A543" s="703"/>
      <c r="B543" s="658"/>
      <c r="C543" s="658"/>
      <c r="D543" s="658"/>
      <c r="E543" s="658"/>
      <c r="F543" s="658"/>
      <c r="G543" s="658"/>
      <c r="H543" s="658"/>
    </row>
    <row r="544" ht="14.25" customHeight="1">
      <c r="A544" s="703"/>
      <c r="B544" s="658"/>
      <c r="C544" s="658"/>
      <c r="D544" s="658"/>
      <c r="E544" s="658"/>
      <c r="F544" s="658"/>
      <c r="G544" s="658"/>
      <c r="H544" s="658"/>
    </row>
    <row r="545" ht="14.25" customHeight="1">
      <c r="A545" s="703"/>
      <c r="B545" s="658"/>
      <c r="C545" s="658"/>
      <c r="D545" s="658"/>
      <c r="E545" s="658"/>
      <c r="F545" s="658"/>
      <c r="G545" s="658"/>
      <c r="H545" s="658"/>
    </row>
    <row r="546" ht="14.25" customHeight="1">
      <c r="A546" s="703"/>
      <c r="B546" s="658"/>
      <c r="C546" s="658"/>
      <c r="D546" s="658"/>
      <c r="E546" s="658"/>
      <c r="F546" s="658"/>
      <c r="G546" s="658"/>
      <c r="H546" s="658"/>
    </row>
    <row r="547" ht="14.25" customHeight="1">
      <c r="A547" s="703"/>
      <c r="B547" s="658"/>
      <c r="C547" s="658"/>
      <c r="D547" s="658"/>
      <c r="E547" s="658"/>
      <c r="F547" s="658"/>
      <c r="G547" s="658"/>
      <c r="H547" s="658"/>
    </row>
    <row r="548" ht="14.25" customHeight="1">
      <c r="A548" s="703"/>
      <c r="B548" s="658"/>
      <c r="C548" s="658"/>
      <c r="D548" s="658"/>
      <c r="E548" s="658"/>
      <c r="F548" s="658"/>
      <c r="G548" s="658"/>
      <c r="H548" s="658"/>
    </row>
    <row r="549" ht="14.25" customHeight="1">
      <c r="A549" s="703"/>
      <c r="B549" s="658"/>
      <c r="C549" s="658"/>
      <c r="D549" s="658"/>
      <c r="E549" s="658"/>
      <c r="F549" s="658"/>
      <c r="G549" s="658"/>
      <c r="H549" s="658"/>
    </row>
    <row r="550" ht="14.25" customHeight="1">
      <c r="A550" s="703"/>
      <c r="B550" s="658"/>
      <c r="C550" s="658"/>
      <c r="D550" s="658"/>
      <c r="E550" s="658"/>
      <c r="F550" s="658"/>
      <c r="G550" s="658"/>
      <c r="H550" s="658"/>
    </row>
    <row r="551" ht="14.25" customHeight="1">
      <c r="A551" s="703"/>
      <c r="B551" s="658"/>
      <c r="C551" s="658"/>
      <c r="D551" s="658"/>
      <c r="E551" s="658"/>
      <c r="F551" s="658"/>
      <c r="G551" s="658"/>
      <c r="H551" s="658"/>
    </row>
    <row r="552" ht="14.25" customHeight="1">
      <c r="A552" s="703"/>
      <c r="B552" s="658"/>
      <c r="C552" s="658"/>
      <c r="D552" s="658"/>
      <c r="E552" s="658"/>
      <c r="F552" s="658"/>
      <c r="G552" s="658"/>
      <c r="H552" s="658"/>
    </row>
    <row r="553" ht="14.25" customHeight="1">
      <c r="A553" s="703"/>
      <c r="B553" s="658"/>
      <c r="C553" s="658"/>
      <c r="D553" s="658"/>
      <c r="E553" s="658"/>
      <c r="F553" s="658"/>
      <c r="G553" s="658"/>
      <c r="H553" s="658"/>
    </row>
    <row r="554" ht="14.25" customHeight="1">
      <c r="A554" s="703"/>
      <c r="B554" s="658"/>
      <c r="C554" s="658"/>
      <c r="D554" s="658"/>
      <c r="E554" s="658"/>
      <c r="F554" s="658"/>
      <c r="G554" s="658"/>
      <c r="H554" s="658"/>
    </row>
    <row r="555" ht="14.25" customHeight="1">
      <c r="A555" s="703"/>
      <c r="B555" s="658"/>
      <c r="C555" s="658"/>
      <c r="D555" s="658"/>
      <c r="E555" s="658"/>
      <c r="F555" s="658"/>
      <c r="G555" s="658"/>
      <c r="H555" s="658"/>
    </row>
    <row r="556" ht="14.25" customHeight="1">
      <c r="A556" s="703"/>
      <c r="B556" s="658"/>
      <c r="C556" s="658"/>
      <c r="D556" s="658"/>
      <c r="E556" s="658"/>
      <c r="F556" s="658"/>
      <c r="G556" s="658"/>
      <c r="H556" s="658"/>
    </row>
    <row r="557" ht="14.25" customHeight="1">
      <c r="A557" s="703"/>
      <c r="B557" s="658"/>
      <c r="C557" s="658"/>
      <c r="D557" s="658"/>
      <c r="E557" s="658"/>
      <c r="F557" s="658"/>
      <c r="G557" s="658"/>
      <c r="H557" s="658"/>
    </row>
    <row r="558" ht="14.25" customHeight="1">
      <c r="A558" s="703"/>
      <c r="B558" s="658"/>
      <c r="C558" s="658"/>
      <c r="D558" s="658"/>
      <c r="E558" s="658"/>
      <c r="F558" s="658"/>
      <c r="G558" s="658"/>
      <c r="H558" s="658"/>
    </row>
    <row r="559" ht="14.25" customHeight="1">
      <c r="A559" s="703"/>
      <c r="B559" s="658"/>
      <c r="C559" s="658"/>
      <c r="D559" s="658"/>
      <c r="E559" s="658"/>
      <c r="F559" s="658"/>
      <c r="G559" s="658"/>
      <c r="H559" s="658"/>
    </row>
    <row r="560" ht="14.25" customHeight="1">
      <c r="A560" s="703"/>
      <c r="B560" s="658"/>
      <c r="C560" s="658"/>
      <c r="D560" s="658"/>
      <c r="E560" s="658"/>
      <c r="F560" s="658"/>
      <c r="G560" s="658"/>
      <c r="H560" s="658"/>
    </row>
    <row r="561" ht="14.25" customHeight="1">
      <c r="A561" s="703"/>
      <c r="B561" s="658"/>
      <c r="C561" s="658"/>
      <c r="D561" s="658"/>
      <c r="E561" s="658"/>
      <c r="F561" s="658"/>
      <c r="G561" s="658"/>
      <c r="H561" s="658"/>
    </row>
    <row r="562" ht="14.25" customHeight="1">
      <c r="A562" s="703"/>
      <c r="B562" s="658"/>
      <c r="C562" s="658"/>
      <c r="D562" s="658"/>
      <c r="E562" s="658"/>
      <c r="F562" s="658"/>
      <c r="G562" s="658"/>
      <c r="H562" s="658"/>
    </row>
    <row r="563" ht="14.25" customHeight="1">
      <c r="A563" s="703"/>
      <c r="B563" s="658"/>
      <c r="C563" s="658"/>
      <c r="D563" s="658"/>
      <c r="E563" s="658"/>
      <c r="F563" s="658"/>
      <c r="G563" s="658"/>
      <c r="H563" s="658"/>
    </row>
    <row r="564" ht="14.25" customHeight="1">
      <c r="A564" s="703"/>
      <c r="B564" s="658"/>
      <c r="C564" s="658"/>
      <c r="D564" s="658"/>
      <c r="E564" s="658"/>
      <c r="F564" s="658"/>
      <c r="G564" s="658"/>
      <c r="H564" s="658"/>
    </row>
    <row r="565" ht="14.25" customHeight="1">
      <c r="A565" s="703"/>
      <c r="B565" s="658"/>
      <c r="C565" s="658"/>
      <c r="D565" s="658"/>
      <c r="E565" s="658"/>
      <c r="F565" s="658"/>
      <c r="G565" s="658"/>
      <c r="H565" s="658"/>
    </row>
    <row r="566" ht="14.25" customHeight="1">
      <c r="A566" s="703"/>
      <c r="B566" s="658"/>
      <c r="C566" s="658"/>
      <c r="D566" s="658"/>
      <c r="E566" s="658"/>
      <c r="F566" s="658"/>
      <c r="G566" s="658"/>
      <c r="H566" s="658"/>
    </row>
    <row r="567" ht="14.25" customHeight="1">
      <c r="A567" s="703"/>
      <c r="B567" s="658"/>
      <c r="C567" s="658"/>
      <c r="D567" s="658"/>
      <c r="E567" s="658"/>
      <c r="F567" s="658"/>
      <c r="G567" s="658"/>
      <c r="H567" s="658"/>
    </row>
    <row r="568" ht="14.25" customHeight="1">
      <c r="A568" s="703"/>
      <c r="B568" s="658"/>
      <c r="C568" s="658"/>
      <c r="D568" s="658"/>
      <c r="E568" s="658"/>
      <c r="F568" s="658"/>
      <c r="G568" s="658"/>
      <c r="H568" s="658"/>
    </row>
    <row r="569" ht="14.25" customHeight="1">
      <c r="A569" s="703"/>
      <c r="B569" s="658"/>
      <c r="C569" s="658"/>
      <c r="D569" s="658"/>
      <c r="E569" s="658"/>
      <c r="F569" s="658"/>
      <c r="G569" s="658"/>
      <c r="H569" s="658"/>
    </row>
    <row r="570" ht="14.25" customHeight="1">
      <c r="A570" s="703"/>
      <c r="B570" s="658"/>
      <c r="C570" s="658"/>
      <c r="D570" s="658"/>
      <c r="E570" s="658"/>
      <c r="F570" s="658"/>
      <c r="G570" s="658"/>
      <c r="H570" s="658"/>
    </row>
    <row r="571" ht="14.25" customHeight="1">
      <c r="A571" s="703"/>
      <c r="B571" s="658"/>
      <c r="C571" s="658"/>
      <c r="D571" s="658"/>
      <c r="E571" s="658"/>
      <c r="F571" s="658"/>
      <c r="G571" s="658"/>
      <c r="H571" s="658"/>
    </row>
    <row r="572" ht="14.25" customHeight="1">
      <c r="A572" s="703"/>
      <c r="B572" s="658"/>
      <c r="C572" s="658"/>
      <c r="D572" s="658"/>
      <c r="E572" s="658"/>
      <c r="F572" s="658"/>
      <c r="G572" s="658"/>
      <c r="H572" s="658"/>
    </row>
    <row r="573" ht="14.25" customHeight="1">
      <c r="A573" s="703"/>
      <c r="B573" s="658"/>
      <c r="C573" s="658"/>
      <c r="D573" s="658"/>
      <c r="E573" s="658"/>
      <c r="F573" s="658"/>
      <c r="G573" s="658"/>
      <c r="H573" s="658"/>
    </row>
    <row r="574" ht="14.25" customHeight="1">
      <c r="A574" s="703"/>
      <c r="B574" s="658"/>
      <c r="C574" s="658"/>
      <c r="D574" s="658"/>
      <c r="E574" s="658"/>
      <c r="F574" s="658"/>
      <c r="G574" s="658"/>
      <c r="H574" s="658"/>
    </row>
    <row r="575" ht="14.25" customHeight="1">
      <c r="A575" s="703"/>
      <c r="B575" s="658"/>
      <c r="C575" s="658"/>
      <c r="D575" s="658"/>
      <c r="E575" s="658"/>
      <c r="F575" s="658"/>
      <c r="G575" s="658"/>
      <c r="H575" s="658"/>
    </row>
    <row r="576" ht="14.25" customHeight="1">
      <c r="A576" s="703"/>
      <c r="B576" s="658"/>
      <c r="C576" s="658"/>
      <c r="D576" s="658"/>
      <c r="E576" s="658"/>
      <c r="F576" s="658"/>
      <c r="G576" s="658"/>
      <c r="H576" s="658"/>
    </row>
    <row r="577" ht="14.25" customHeight="1">
      <c r="A577" s="703"/>
      <c r="B577" s="658"/>
      <c r="C577" s="658"/>
      <c r="D577" s="658"/>
      <c r="E577" s="658"/>
      <c r="F577" s="658"/>
      <c r="G577" s="658"/>
      <c r="H577" s="658"/>
    </row>
    <row r="578" ht="14.25" customHeight="1">
      <c r="A578" s="703"/>
      <c r="B578" s="658"/>
      <c r="C578" s="658"/>
      <c r="D578" s="658"/>
      <c r="E578" s="658"/>
      <c r="F578" s="658"/>
      <c r="G578" s="658"/>
      <c r="H578" s="658"/>
    </row>
    <row r="579" ht="14.25" customHeight="1">
      <c r="A579" s="703"/>
      <c r="B579" s="658"/>
      <c r="C579" s="658"/>
      <c r="D579" s="658"/>
      <c r="E579" s="658"/>
      <c r="F579" s="658"/>
      <c r="G579" s="658"/>
      <c r="H579" s="658"/>
    </row>
    <row r="580" ht="14.25" customHeight="1">
      <c r="A580" s="703"/>
      <c r="B580" s="658"/>
      <c r="C580" s="658"/>
      <c r="D580" s="658"/>
      <c r="E580" s="658"/>
      <c r="F580" s="658"/>
      <c r="G580" s="658"/>
      <c r="H580" s="658"/>
    </row>
    <row r="581" ht="14.25" customHeight="1">
      <c r="A581" s="703"/>
      <c r="B581" s="658"/>
      <c r="C581" s="658"/>
      <c r="D581" s="658"/>
      <c r="E581" s="658"/>
      <c r="F581" s="658"/>
      <c r="G581" s="658"/>
      <c r="H581" s="658"/>
    </row>
    <row r="582" ht="14.25" customHeight="1">
      <c r="A582" s="703"/>
      <c r="B582" s="658"/>
      <c r="C582" s="658"/>
      <c r="D582" s="658"/>
      <c r="E582" s="658"/>
      <c r="F582" s="658"/>
      <c r="G582" s="658"/>
      <c r="H582" s="658"/>
    </row>
    <row r="583" ht="14.25" customHeight="1">
      <c r="A583" s="703"/>
      <c r="B583" s="658"/>
      <c r="C583" s="658"/>
      <c r="D583" s="658"/>
      <c r="E583" s="658"/>
      <c r="F583" s="658"/>
      <c r="G583" s="658"/>
      <c r="H583" s="658"/>
    </row>
    <row r="584" ht="14.25" customHeight="1">
      <c r="A584" s="703"/>
      <c r="B584" s="658"/>
      <c r="C584" s="658"/>
      <c r="D584" s="658"/>
      <c r="E584" s="658"/>
      <c r="F584" s="658"/>
      <c r="G584" s="658"/>
      <c r="H584" s="658"/>
    </row>
    <row r="585" ht="14.25" customHeight="1">
      <c r="A585" s="703"/>
      <c r="B585" s="658"/>
      <c r="C585" s="658"/>
      <c r="D585" s="658"/>
      <c r="E585" s="658"/>
      <c r="F585" s="658"/>
      <c r="G585" s="658"/>
      <c r="H585" s="658"/>
    </row>
    <row r="586" ht="14.25" customHeight="1">
      <c r="A586" s="703"/>
      <c r="B586" s="658"/>
      <c r="C586" s="658"/>
      <c r="D586" s="658"/>
      <c r="E586" s="658"/>
      <c r="F586" s="658"/>
      <c r="G586" s="658"/>
      <c r="H586" s="658"/>
    </row>
    <row r="587" ht="14.25" customHeight="1">
      <c r="A587" s="703"/>
      <c r="B587" s="658"/>
      <c r="C587" s="658"/>
      <c r="D587" s="658"/>
      <c r="E587" s="658"/>
      <c r="F587" s="658"/>
      <c r="G587" s="658"/>
      <c r="H587" s="658"/>
    </row>
    <row r="588" ht="14.25" customHeight="1">
      <c r="A588" s="703"/>
      <c r="B588" s="658"/>
      <c r="C588" s="658"/>
      <c r="D588" s="658"/>
      <c r="E588" s="658"/>
      <c r="F588" s="658"/>
      <c r="G588" s="658"/>
      <c r="H588" s="658"/>
    </row>
    <row r="589" ht="14.25" customHeight="1">
      <c r="A589" s="703"/>
      <c r="B589" s="658"/>
      <c r="C589" s="658"/>
      <c r="D589" s="658"/>
      <c r="E589" s="658"/>
      <c r="F589" s="658"/>
      <c r="G589" s="658"/>
      <c r="H589" s="658"/>
    </row>
    <row r="590" ht="14.25" customHeight="1">
      <c r="A590" s="703"/>
      <c r="B590" s="658"/>
      <c r="C590" s="658"/>
      <c r="D590" s="658"/>
      <c r="E590" s="658"/>
      <c r="F590" s="658"/>
      <c r="G590" s="658"/>
      <c r="H590" s="658"/>
    </row>
    <row r="591" ht="14.25" customHeight="1">
      <c r="A591" s="703"/>
      <c r="B591" s="658"/>
      <c r="C591" s="658"/>
      <c r="D591" s="658"/>
      <c r="E591" s="658"/>
      <c r="F591" s="658"/>
      <c r="G591" s="658"/>
      <c r="H591" s="658"/>
    </row>
    <row r="592" ht="14.25" customHeight="1">
      <c r="A592" s="703"/>
      <c r="B592" s="658"/>
      <c r="C592" s="658"/>
      <c r="D592" s="658"/>
      <c r="E592" s="658"/>
      <c r="F592" s="658"/>
      <c r="G592" s="658"/>
      <c r="H592" s="658"/>
    </row>
    <row r="593" ht="14.25" customHeight="1">
      <c r="A593" s="703"/>
      <c r="B593" s="658"/>
      <c r="C593" s="658"/>
      <c r="D593" s="658"/>
      <c r="E593" s="658"/>
      <c r="F593" s="658"/>
      <c r="G593" s="658"/>
      <c r="H593" s="658"/>
    </row>
    <row r="594" ht="14.25" customHeight="1">
      <c r="A594" s="703"/>
      <c r="B594" s="658"/>
      <c r="C594" s="658"/>
      <c r="D594" s="658"/>
      <c r="E594" s="658"/>
      <c r="F594" s="658"/>
      <c r="G594" s="658"/>
      <c r="H594" s="658"/>
    </row>
    <row r="595" ht="14.25" customHeight="1">
      <c r="A595" s="703"/>
      <c r="B595" s="658"/>
      <c r="C595" s="658"/>
      <c r="D595" s="658"/>
      <c r="E595" s="658"/>
      <c r="F595" s="658"/>
      <c r="G595" s="658"/>
      <c r="H595" s="658"/>
    </row>
    <row r="596" ht="14.25" customHeight="1">
      <c r="A596" s="703"/>
      <c r="B596" s="658"/>
      <c r="C596" s="658"/>
      <c r="D596" s="658"/>
      <c r="E596" s="658"/>
      <c r="F596" s="658"/>
      <c r="G596" s="658"/>
      <c r="H596" s="658"/>
    </row>
    <row r="597" ht="14.25" customHeight="1">
      <c r="A597" s="703"/>
      <c r="B597" s="658"/>
      <c r="C597" s="658"/>
      <c r="D597" s="658"/>
      <c r="E597" s="658"/>
      <c r="F597" s="658"/>
      <c r="G597" s="658"/>
      <c r="H597" s="658"/>
    </row>
    <row r="598" ht="14.25" customHeight="1">
      <c r="A598" s="703"/>
      <c r="B598" s="658"/>
      <c r="C598" s="658"/>
      <c r="D598" s="658"/>
      <c r="E598" s="658"/>
      <c r="F598" s="658"/>
      <c r="G598" s="658"/>
      <c r="H598" s="658"/>
    </row>
    <row r="599" ht="14.25" customHeight="1">
      <c r="A599" s="703"/>
      <c r="B599" s="658"/>
      <c r="C599" s="658"/>
      <c r="D599" s="658"/>
      <c r="E599" s="658"/>
      <c r="F599" s="658"/>
      <c r="G599" s="658"/>
      <c r="H599" s="658"/>
    </row>
    <row r="600" ht="14.25" customHeight="1">
      <c r="A600" s="703"/>
      <c r="B600" s="658"/>
      <c r="C600" s="658"/>
      <c r="D600" s="658"/>
      <c r="E600" s="658"/>
      <c r="F600" s="658"/>
      <c r="G600" s="658"/>
      <c r="H600" s="658"/>
    </row>
    <row r="601" ht="14.25" customHeight="1">
      <c r="A601" s="703"/>
      <c r="B601" s="658"/>
      <c r="C601" s="658"/>
      <c r="D601" s="658"/>
      <c r="E601" s="658"/>
      <c r="F601" s="658"/>
      <c r="G601" s="658"/>
      <c r="H601" s="658"/>
    </row>
    <row r="602" ht="14.25" customHeight="1">
      <c r="A602" s="703"/>
      <c r="B602" s="658"/>
      <c r="C602" s="658"/>
      <c r="D602" s="658"/>
      <c r="E602" s="658"/>
      <c r="F602" s="658"/>
      <c r="G602" s="658"/>
      <c r="H602" s="658"/>
    </row>
    <row r="603" ht="14.25" customHeight="1">
      <c r="A603" s="703"/>
      <c r="B603" s="658"/>
      <c r="C603" s="658"/>
      <c r="D603" s="658"/>
      <c r="E603" s="658"/>
      <c r="F603" s="658"/>
      <c r="G603" s="658"/>
      <c r="H603" s="658"/>
    </row>
    <row r="604" ht="14.25" customHeight="1">
      <c r="A604" s="703"/>
      <c r="B604" s="658"/>
      <c r="C604" s="658"/>
      <c r="D604" s="658"/>
      <c r="E604" s="658"/>
      <c r="F604" s="658"/>
      <c r="G604" s="658"/>
      <c r="H604" s="658"/>
    </row>
    <row r="605" ht="14.25" customHeight="1">
      <c r="A605" s="703"/>
      <c r="B605" s="658"/>
      <c r="C605" s="658"/>
      <c r="D605" s="658"/>
      <c r="E605" s="658"/>
      <c r="F605" s="658"/>
      <c r="G605" s="658"/>
      <c r="H605" s="658"/>
    </row>
    <row r="606" ht="14.25" customHeight="1">
      <c r="A606" s="703"/>
      <c r="B606" s="658"/>
      <c r="C606" s="658"/>
      <c r="D606" s="658"/>
      <c r="E606" s="658"/>
      <c r="F606" s="658"/>
      <c r="G606" s="658"/>
      <c r="H606" s="658"/>
    </row>
    <row r="607" ht="14.25" customHeight="1">
      <c r="A607" s="703"/>
      <c r="B607" s="658"/>
      <c r="C607" s="658"/>
      <c r="D607" s="658"/>
      <c r="E607" s="658"/>
      <c r="F607" s="658"/>
      <c r="G607" s="658"/>
      <c r="H607" s="658"/>
    </row>
    <row r="608" ht="14.25" customHeight="1">
      <c r="A608" s="703"/>
      <c r="B608" s="658"/>
      <c r="C608" s="658"/>
      <c r="D608" s="658"/>
      <c r="E608" s="658"/>
      <c r="F608" s="658"/>
      <c r="G608" s="658"/>
      <c r="H608" s="658"/>
    </row>
    <row r="609" ht="14.25" customHeight="1">
      <c r="A609" s="703"/>
      <c r="B609" s="658"/>
      <c r="C609" s="658"/>
      <c r="D609" s="658"/>
      <c r="E609" s="658"/>
      <c r="F609" s="658"/>
      <c r="G609" s="658"/>
      <c r="H609" s="658"/>
    </row>
    <row r="610" ht="14.25" customHeight="1">
      <c r="A610" s="703"/>
      <c r="B610" s="658"/>
      <c r="C610" s="658"/>
      <c r="D610" s="658"/>
      <c r="E610" s="658"/>
      <c r="F610" s="658"/>
      <c r="G610" s="658"/>
      <c r="H610" s="658"/>
    </row>
    <row r="611" ht="14.25" customHeight="1">
      <c r="A611" s="703"/>
      <c r="B611" s="658"/>
      <c r="C611" s="658"/>
      <c r="D611" s="658"/>
      <c r="E611" s="658"/>
      <c r="F611" s="658"/>
      <c r="G611" s="658"/>
      <c r="H611" s="658"/>
    </row>
    <row r="612" ht="14.25" customHeight="1">
      <c r="A612" s="703"/>
      <c r="B612" s="658"/>
      <c r="C612" s="658"/>
      <c r="D612" s="658"/>
      <c r="E612" s="658"/>
      <c r="F612" s="658"/>
      <c r="G612" s="658"/>
      <c r="H612" s="658"/>
    </row>
    <row r="613" ht="14.25" customHeight="1">
      <c r="A613" s="703"/>
      <c r="B613" s="658"/>
      <c r="C613" s="658"/>
      <c r="D613" s="658"/>
      <c r="E613" s="658"/>
      <c r="F613" s="658"/>
      <c r="G613" s="658"/>
      <c r="H613" s="658"/>
    </row>
    <row r="614" ht="14.25" customHeight="1">
      <c r="A614" s="703"/>
      <c r="B614" s="658"/>
      <c r="C614" s="658"/>
      <c r="D614" s="658"/>
      <c r="E614" s="658"/>
      <c r="F614" s="658"/>
      <c r="G614" s="658"/>
      <c r="H614" s="658"/>
    </row>
    <row r="615" ht="14.25" customHeight="1">
      <c r="A615" s="703"/>
      <c r="B615" s="658"/>
      <c r="C615" s="658"/>
      <c r="D615" s="658"/>
      <c r="E615" s="658"/>
      <c r="F615" s="658"/>
      <c r="G615" s="658"/>
      <c r="H615" s="658"/>
    </row>
    <row r="616" ht="14.25" customHeight="1">
      <c r="A616" s="703"/>
      <c r="B616" s="658"/>
      <c r="C616" s="658"/>
      <c r="D616" s="658"/>
      <c r="E616" s="658"/>
      <c r="F616" s="658"/>
      <c r="G616" s="658"/>
      <c r="H616" s="658"/>
    </row>
    <row r="617" ht="14.25" customHeight="1">
      <c r="A617" s="703"/>
      <c r="B617" s="658"/>
      <c r="C617" s="658"/>
      <c r="D617" s="658"/>
      <c r="E617" s="658"/>
      <c r="F617" s="658"/>
      <c r="G617" s="658"/>
      <c r="H617" s="658"/>
    </row>
    <row r="618" ht="14.25" customHeight="1">
      <c r="A618" s="703"/>
      <c r="B618" s="658"/>
      <c r="C618" s="658"/>
      <c r="D618" s="658"/>
      <c r="E618" s="658"/>
      <c r="F618" s="658"/>
      <c r="G618" s="658"/>
      <c r="H618" s="658"/>
    </row>
    <row r="619" ht="14.25" customHeight="1">
      <c r="A619" s="703"/>
      <c r="B619" s="658"/>
      <c r="C619" s="658"/>
      <c r="D619" s="658"/>
      <c r="E619" s="658"/>
      <c r="F619" s="658"/>
      <c r="G619" s="658"/>
      <c r="H619" s="658"/>
    </row>
    <row r="620" ht="14.25" customHeight="1">
      <c r="A620" s="703"/>
      <c r="B620" s="658"/>
      <c r="C620" s="658"/>
      <c r="D620" s="658"/>
      <c r="E620" s="658"/>
      <c r="F620" s="658"/>
      <c r="G620" s="658"/>
      <c r="H620" s="658"/>
    </row>
    <row r="621" ht="14.25" customHeight="1">
      <c r="A621" s="703"/>
      <c r="B621" s="658"/>
      <c r="C621" s="658"/>
      <c r="D621" s="658"/>
      <c r="E621" s="658"/>
      <c r="F621" s="658"/>
      <c r="G621" s="658"/>
      <c r="H621" s="658"/>
    </row>
    <row r="622" ht="14.25" customHeight="1">
      <c r="A622" s="703"/>
      <c r="B622" s="658"/>
      <c r="C622" s="658"/>
      <c r="D622" s="658"/>
      <c r="E622" s="658"/>
      <c r="F622" s="658"/>
      <c r="G622" s="658"/>
      <c r="H622" s="658"/>
    </row>
    <row r="623" ht="14.25" customHeight="1">
      <c r="A623" s="703"/>
      <c r="B623" s="658"/>
      <c r="C623" s="658"/>
      <c r="D623" s="658"/>
      <c r="E623" s="658"/>
      <c r="F623" s="658"/>
      <c r="G623" s="658"/>
      <c r="H623" s="658"/>
    </row>
    <row r="624" ht="14.25" customHeight="1">
      <c r="A624" s="703"/>
      <c r="B624" s="658"/>
      <c r="C624" s="658"/>
      <c r="D624" s="658"/>
      <c r="E624" s="658"/>
      <c r="F624" s="658"/>
      <c r="G624" s="658"/>
      <c r="H624" s="658"/>
    </row>
    <row r="625" ht="14.25" customHeight="1">
      <c r="A625" s="703"/>
      <c r="B625" s="658"/>
      <c r="C625" s="658"/>
      <c r="D625" s="658"/>
      <c r="E625" s="658"/>
      <c r="F625" s="658"/>
      <c r="G625" s="658"/>
      <c r="H625" s="658"/>
    </row>
    <row r="626" ht="14.25" customHeight="1">
      <c r="A626" s="703"/>
      <c r="B626" s="658"/>
      <c r="C626" s="658"/>
      <c r="D626" s="658"/>
      <c r="E626" s="658"/>
      <c r="F626" s="658"/>
      <c r="G626" s="658"/>
      <c r="H626" s="658"/>
    </row>
    <row r="627" ht="14.25" customHeight="1">
      <c r="A627" s="703"/>
      <c r="B627" s="658"/>
      <c r="C627" s="658"/>
      <c r="D627" s="658"/>
      <c r="E627" s="658"/>
      <c r="F627" s="658"/>
      <c r="G627" s="658"/>
      <c r="H627" s="658"/>
    </row>
    <row r="628" ht="14.25" customHeight="1">
      <c r="A628" s="703"/>
      <c r="B628" s="658"/>
      <c r="C628" s="658"/>
      <c r="D628" s="658"/>
      <c r="E628" s="658"/>
      <c r="F628" s="658"/>
      <c r="G628" s="658"/>
      <c r="H628" s="658"/>
    </row>
    <row r="629" ht="14.25" customHeight="1">
      <c r="A629" s="703"/>
      <c r="B629" s="658"/>
      <c r="C629" s="658"/>
      <c r="D629" s="658"/>
      <c r="E629" s="658"/>
      <c r="F629" s="658"/>
      <c r="G629" s="658"/>
      <c r="H629" s="658"/>
    </row>
    <row r="630" ht="14.25" customHeight="1">
      <c r="A630" s="703"/>
      <c r="B630" s="658"/>
      <c r="C630" s="658"/>
      <c r="D630" s="658"/>
      <c r="E630" s="658"/>
      <c r="F630" s="658"/>
      <c r="G630" s="658"/>
      <c r="H630" s="658"/>
    </row>
    <row r="631" ht="14.25" customHeight="1">
      <c r="A631" s="703"/>
      <c r="B631" s="658"/>
      <c r="C631" s="658"/>
      <c r="D631" s="658"/>
      <c r="E631" s="658"/>
      <c r="F631" s="658"/>
      <c r="G631" s="658"/>
      <c r="H631" s="658"/>
    </row>
    <row r="632" ht="14.25" customHeight="1">
      <c r="A632" s="703"/>
      <c r="B632" s="658"/>
      <c r="C632" s="658"/>
      <c r="D632" s="658"/>
      <c r="E632" s="658"/>
      <c r="F632" s="658"/>
      <c r="G632" s="658"/>
      <c r="H632" s="658"/>
    </row>
    <row r="633" ht="14.25" customHeight="1">
      <c r="A633" s="703"/>
      <c r="B633" s="658"/>
      <c r="C633" s="658"/>
      <c r="D633" s="658"/>
      <c r="E633" s="658"/>
      <c r="F633" s="658"/>
      <c r="G633" s="658"/>
      <c r="H633" s="658"/>
    </row>
    <row r="634" ht="14.25" customHeight="1">
      <c r="A634" s="703"/>
      <c r="B634" s="658"/>
      <c r="C634" s="658"/>
      <c r="D634" s="658"/>
      <c r="E634" s="658"/>
      <c r="F634" s="658"/>
      <c r="G634" s="658"/>
      <c r="H634" s="658"/>
    </row>
    <row r="635" ht="14.25" customHeight="1">
      <c r="A635" s="703"/>
      <c r="B635" s="658"/>
      <c r="C635" s="658"/>
      <c r="D635" s="658"/>
      <c r="E635" s="658"/>
      <c r="F635" s="658"/>
      <c r="G635" s="658"/>
      <c r="H635" s="658"/>
    </row>
    <row r="636" ht="14.25" customHeight="1">
      <c r="A636" s="703"/>
      <c r="B636" s="658"/>
      <c r="C636" s="658"/>
      <c r="D636" s="658"/>
      <c r="E636" s="658"/>
      <c r="F636" s="658"/>
      <c r="G636" s="658"/>
      <c r="H636" s="658"/>
    </row>
    <row r="637" ht="14.25" customHeight="1">
      <c r="A637" s="703"/>
      <c r="B637" s="658"/>
      <c r="C637" s="658"/>
      <c r="D637" s="658"/>
      <c r="E637" s="658"/>
      <c r="F637" s="658"/>
      <c r="G637" s="658"/>
      <c r="H637" s="658"/>
    </row>
    <row r="638" ht="14.25" customHeight="1">
      <c r="A638" s="703"/>
      <c r="B638" s="658"/>
      <c r="C638" s="658"/>
      <c r="D638" s="658"/>
      <c r="E638" s="658"/>
      <c r="F638" s="658"/>
      <c r="G638" s="658"/>
      <c r="H638" s="658"/>
    </row>
    <row r="639" ht="14.25" customHeight="1">
      <c r="A639" s="703"/>
      <c r="B639" s="658"/>
      <c r="C639" s="658"/>
      <c r="D639" s="658"/>
      <c r="E639" s="658"/>
      <c r="F639" s="658"/>
      <c r="G639" s="658"/>
      <c r="H639" s="658"/>
    </row>
    <row r="640" ht="14.25" customHeight="1">
      <c r="A640" s="703"/>
      <c r="B640" s="658"/>
      <c r="C640" s="658"/>
      <c r="D640" s="658"/>
      <c r="E640" s="658"/>
      <c r="F640" s="658"/>
      <c r="G640" s="658"/>
      <c r="H640" s="658"/>
    </row>
    <row r="641" ht="14.25" customHeight="1">
      <c r="A641" s="703"/>
      <c r="B641" s="658"/>
      <c r="C641" s="658"/>
      <c r="D641" s="658"/>
      <c r="E641" s="658"/>
      <c r="F641" s="658"/>
      <c r="G641" s="658"/>
      <c r="H641" s="658"/>
    </row>
    <row r="642" ht="14.25" customHeight="1">
      <c r="A642" s="703"/>
      <c r="B642" s="658"/>
      <c r="C642" s="658"/>
      <c r="D642" s="658"/>
      <c r="E642" s="658"/>
      <c r="F642" s="658"/>
      <c r="G642" s="658"/>
      <c r="H642" s="658"/>
    </row>
    <row r="643" ht="14.25" customHeight="1">
      <c r="A643" s="703"/>
      <c r="B643" s="658"/>
      <c r="C643" s="658"/>
      <c r="D643" s="658"/>
      <c r="E643" s="658"/>
      <c r="F643" s="658"/>
      <c r="G643" s="658"/>
      <c r="H643" s="658"/>
    </row>
    <row r="644" ht="14.25" customHeight="1">
      <c r="A644" s="703"/>
      <c r="B644" s="658"/>
      <c r="C644" s="658"/>
      <c r="D644" s="658"/>
      <c r="E644" s="658"/>
      <c r="F644" s="658"/>
      <c r="G644" s="658"/>
      <c r="H644" s="658"/>
    </row>
    <row r="645" ht="14.25" customHeight="1">
      <c r="A645" s="703"/>
      <c r="B645" s="658"/>
      <c r="C645" s="658"/>
      <c r="D645" s="658"/>
      <c r="E645" s="658"/>
      <c r="F645" s="658"/>
      <c r="G645" s="658"/>
      <c r="H645" s="658"/>
    </row>
    <row r="646" ht="14.25" customHeight="1">
      <c r="A646" s="703"/>
      <c r="B646" s="658"/>
      <c r="C646" s="658"/>
      <c r="D646" s="658"/>
      <c r="E646" s="658"/>
      <c r="F646" s="658"/>
      <c r="G646" s="658"/>
      <c r="H646" s="658"/>
    </row>
    <row r="647" ht="14.25" customHeight="1">
      <c r="A647" s="703"/>
      <c r="B647" s="658"/>
      <c r="C647" s="658"/>
      <c r="D647" s="658"/>
      <c r="E647" s="658"/>
      <c r="F647" s="658"/>
      <c r="G647" s="658"/>
      <c r="H647" s="658"/>
    </row>
    <row r="648" ht="14.25" customHeight="1">
      <c r="A648" s="703"/>
      <c r="B648" s="658"/>
      <c r="C648" s="658"/>
      <c r="D648" s="658"/>
      <c r="E648" s="658"/>
      <c r="F648" s="658"/>
      <c r="G648" s="658"/>
      <c r="H648" s="658"/>
    </row>
    <row r="649" ht="14.25" customHeight="1">
      <c r="A649" s="703"/>
      <c r="B649" s="658"/>
      <c r="C649" s="658"/>
      <c r="D649" s="658"/>
      <c r="E649" s="658"/>
      <c r="F649" s="658"/>
      <c r="G649" s="658"/>
      <c r="H649" s="658"/>
    </row>
    <row r="650" ht="14.25" customHeight="1">
      <c r="A650" s="703"/>
      <c r="B650" s="658"/>
      <c r="C650" s="658"/>
      <c r="D650" s="658"/>
      <c r="E650" s="658"/>
      <c r="F650" s="658"/>
      <c r="G650" s="658"/>
      <c r="H650" s="658"/>
    </row>
    <row r="651" ht="14.25" customHeight="1">
      <c r="A651" s="703"/>
      <c r="B651" s="658"/>
      <c r="C651" s="658"/>
      <c r="D651" s="658"/>
      <c r="E651" s="658"/>
      <c r="F651" s="658"/>
      <c r="G651" s="658"/>
      <c r="H651" s="658"/>
    </row>
    <row r="652" ht="14.25" customHeight="1">
      <c r="A652" s="703"/>
      <c r="B652" s="658"/>
      <c r="C652" s="658"/>
      <c r="D652" s="658"/>
      <c r="E652" s="658"/>
      <c r="F652" s="658"/>
      <c r="G652" s="658"/>
      <c r="H652" s="658"/>
    </row>
    <row r="653" ht="14.25" customHeight="1">
      <c r="A653" s="703"/>
      <c r="B653" s="658"/>
      <c r="C653" s="658"/>
      <c r="D653" s="658"/>
      <c r="E653" s="658"/>
      <c r="F653" s="658"/>
      <c r="G653" s="658"/>
      <c r="H653" s="658"/>
    </row>
    <row r="654" ht="14.25" customHeight="1">
      <c r="A654" s="703"/>
      <c r="B654" s="658"/>
      <c r="C654" s="658"/>
      <c r="D654" s="658"/>
      <c r="E654" s="658"/>
      <c r="F654" s="658"/>
      <c r="G654" s="658"/>
      <c r="H654" s="658"/>
    </row>
    <row r="655" ht="14.25" customHeight="1">
      <c r="A655" s="703"/>
      <c r="B655" s="658"/>
      <c r="C655" s="658"/>
      <c r="D655" s="658"/>
      <c r="E655" s="658"/>
      <c r="F655" s="658"/>
      <c r="G655" s="658"/>
      <c r="H655" s="658"/>
    </row>
    <row r="656" ht="14.25" customHeight="1">
      <c r="A656" s="703"/>
      <c r="B656" s="658"/>
      <c r="C656" s="658"/>
      <c r="D656" s="658"/>
      <c r="E656" s="658"/>
      <c r="F656" s="658"/>
      <c r="G656" s="658"/>
      <c r="H656" s="658"/>
    </row>
    <row r="657" ht="14.25" customHeight="1">
      <c r="A657" s="703"/>
      <c r="B657" s="658"/>
      <c r="C657" s="658"/>
      <c r="D657" s="658"/>
      <c r="E657" s="658"/>
      <c r="F657" s="658"/>
      <c r="G657" s="658"/>
      <c r="H657" s="658"/>
    </row>
    <row r="658" ht="14.25" customHeight="1">
      <c r="A658" s="703"/>
      <c r="B658" s="658"/>
      <c r="C658" s="658"/>
      <c r="D658" s="658"/>
      <c r="E658" s="658"/>
      <c r="F658" s="658"/>
      <c r="G658" s="658"/>
      <c r="H658" s="658"/>
    </row>
    <row r="659" ht="14.25" customHeight="1">
      <c r="A659" s="703"/>
      <c r="B659" s="658"/>
      <c r="C659" s="658"/>
      <c r="D659" s="658"/>
      <c r="E659" s="658"/>
      <c r="F659" s="658"/>
      <c r="G659" s="658"/>
      <c r="H659" s="658"/>
    </row>
    <row r="660" ht="14.25" customHeight="1">
      <c r="A660" s="703"/>
      <c r="B660" s="658"/>
      <c r="C660" s="658"/>
      <c r="D660" s="658"/>
      <c r="E660" s="658"/>
      <c r="F660" s="658"/>
      <c r="G660" s="658"/>
      <c r="H660" s="658"/>
    </row>
    <row r="661" ht="14.25" customHeight="1">
      <c r="A661" s="703"/>
      <c r="B661" s="658"/>
      <c r="C661" s="658"/>
      <c r="D661" s="658"/>
      <c r="E661" s="658"/>
      <c r="F661" s="658"/>
      <c r="G661" s="658"/>
      <c r="H661" s="658"/>
    </row>
    <row r="662" ht="14.25" customHeight="1">
      <c r="A662" s="703"/>
      <c r="B662" s="658"/>
      <c r="C662" s="658"/>
      <c r="D662" s="658"/>
      <c r="E662" s="658"/>
      <c r="F662" s="658"/>
      <c r="G662" s="658"/>
      <c r="H662" s="658"/>
    </row>
    <row r="663" ht="14.25" customHeight="1">
      <c r="A663" s="703"/>
      <c r="B663" s="658"/>
      <c r="C663" s="658"/>
      <c r="D663" s="658"/>
      <c r="E663" s="658"/>
      <c r="F663" s="658"/>
      <c r="G663" s="658"/>
      <c r="H663" s="658"/>
    </row>
    <row r="664" ht="14.25" customHeight="1">
      <c r="A664" s="703"/>
      <c r="B664" s="658"/>
      <c r="C664" s="658"/>
      <c r="D664" s="658"/>
      <c r="E664" s="658"/>
      <c r="F664" s="658"/>
      <c r="G664" s="658"/>
      <c r="H664" s="658"/>
    </row>
    <row r="665" ht="14.25" customHeight="1">
      <c r="A665" s="703"/>
      <c r="B665" s="658"/>
      <c r="C665" s="658"/>
      <c r="D665" s="658"/>
      <c r="E665" s="658"/>
      <c r="F665" s="658"/>
      <c r="G665" s="658"/>
      <c r="H665" s="658"/>
    </row>
    <row r="666" ht="14.25" customHeight="1">
      <c r="A666" s="703"/>
      <c r="B666" s="658"/>
      <c r="C666" s="658"/>
      <c r="D666" s="658"/>
      <c r="E666" s="658"/>
      <c r="F666" s="658"/>
      <c r="G666" s="658"/>
      <c r="H666" s="658"/>
    </row>
    <row r="667" ht="14.25" customHeight="1">
      <c r="A667" s="703"/>
      <c r="B667" s="658"/>
      <c r="C667" s="658"/>
      <c r="D667" s="658"/>
      <c r="E667" s="658"/>
      <c r="F667" s="658"/>
      <c r="G667" s="658"/>
      <c r="H667" s="658"/>
    </row>
    <row r="668" ht="14.25" customHeight="1">
      <c r="A668" s="703"/>
      <c r="B668" s="658"/>
      <c r="C668" s="658"/>
      <c r="D668" s="658"/>
      <c r="E668" s="658"/>
      <c r="F668" s="658"/>
      <c r="G668" s="658"/>
      <c r="H668" s="658"/>
    </row>
    <row r="669" ht="14.25" customHeight="1">
      <c r="A669" s="703"/>
      <c r="B669" s="658"/>
      <c r="C669" s="658"/>
      <c r="D669" s="658"/>
      <c r="E669" s="658"/>
      <c r="F669" s="658"/>
      <c r="G669" s="658"/>
      <c r="H669" s="658"/>
    </row>
    <row r="670" ht="14.25" customHeight="1">
      <c r="A670" s="703"/>
      <c r="B670" s="658"/>
      <c r="C670" s="658"/>
      <c r="D670" s="658"/>
      <c r="E670" s="658"/>
      <c r="F670" s="658"/>
      <c r="G670" s="658"/>
      <c r="H670" s="658"/>
    </row>
    <row r="671" ht="14.25" customHeight="1">
      <c r="A671" s="703"/>
      <c r="B671" s="658"/>
      <c r="C671" s="658"/>
      <c r="D671" s="658"/>
      <c r="E671" s="658"/>
      <c r="F671" s="658"/>
      <c r="G671" s="658"/>
      <c r="H671" s="658"/>
    </row>
    <row r="672" ht="14.25" customHeight="1">
      <c r="A672" s="703"/>
      <c r="B672" s="658"/>
      <c r="C672" s="658"/>
      <c r="D672" s="658"/>
      <c r="E672" s="658"/>
      <c r="F672" s="658"/>
      <c r="G672" s="658"/>
      <c r="H672" s="658"/>
    </row>
    <row r="673" ht="14.25" customHeight="1">
      <c r="A673" s="703"/>
      <c r="B673" s="658"/>
      <c r="C673" s="658"/>
      <c r="D673" s="658"/>
      <c r="E673" s="658"/>
      <c r="F673" s="658"/>
      <c r="G673" s="658"/>
      <c r="H673" s="658"/>
    </row>
    <row r="674" ht="14.25" customHeight="1">
      <c r="A674" s="703"/>
      <c r="B674" s="658"/>
      <c r="C674" s="658"/>
      <c r="D674" s="658"/>
      <c r="E674" s="658"/>
      <c r="F674" s="658"/>
      <c r="G674" s="658"/>
      <c r="H674" s="658"/>
    </row>
    <row r="675" ht="14.25" customHeight="1">
      <c r="A675" s="703"/>
      <c r="B675" s="658"/>
      <c r="C675" s="658"/>
      <c r="D675" s="658"/>
      <c r="E675" s="658"/>
      <c r="F675" s="658"/>
      <c r="G675" s="658"/>
      <c r="H675" s="658"/>
    </row>
    <row r="676" ht="14.25" customHeight="1">
      <c r="A676" s="703"/>
      <c r="B676" s="658"/>
      <c r="C676" s="658"/>
      <c r="D676" s="658"/>
      <c r="E676" s="658"/>
      <c r="F676" s="658"/>
      <c r="G676" s="658"/>
      <c r="H676" s="658"/>
    </row>
    <row r="677" ht="14.25" customHeight="1">
      <c r="A677" s="703"/>
      <c r="B677" s="658"/>
      <c r="C677" s="658"/>
      <c r="D677" s="658"/>
      <c r="E677" s="658"/>
      <c r="F677" s="658"/>
      <c r="G677" s="658"/>
      <c r="H677" s="658"/>
    </row>
    <row r="678" ht="14.25" customHeight="1">
      <c r="A678" s="703"/>
      <c r="B678" s="658"/>
      <c r="C678" s="658"/>
      <c r="D678" s="658"/>
      <c r="E678" s="658"/>
      <c r="F678" s="658"/>
      <c r="G678" s="658"/>
      <c r="H678" s="658"/>
    </row>
    <row r="679" ht="14.25" customHeight="1">
      <c r="A679" s="703"/>
      <c r="B679" s="658"/>
      <c r="C679" s="658"/>
      <c r="D679" s="658"/>
      <c r="E679" s="658"/>
      <c r="F679" s="658"/>
      <c r="G679" s="658"/>
      <c r="H679" s="658"/>
    </row>
    <row r="680" ht="14.25" customHeight="1">
      <c r="A680" s="703"/>
      <c r="B680" s="658"/>
      <c r="C680" s="658"/>
      <c r="D680" s="658"/>
      <c r="E680" s="658"/>
      <c r="F680" s="658"/>
      <c r="G680" s="658"/>
      <c r="H680" s="658"/>
    </row>
    <row r="681" ht="14.25" customHeight="1">
      <c r="A681" s="703"/>
      <c r="B681" s="658"/>
      <c r="C681" s="658"/>
      <c r="D681" s="658"/>
      <c r="E681" s="658"/>
      <c r="F681" s="658"/>
      <c r="G681" s="658"/>
      <c r="H681" s="658"/>
    </row>
    <row r="682" ht="14.25" customHeight="1">
      <c r="A682" s="703"/>
      <c r="B682" s="658"/>
      <c r="C682" s="658"/>
      <c r="D682" s="658"/>
      <c r="E682" s="658"/>
      <c r="F682" s="658"/>
      <c r="G682" s="658"/>
      <c r="H682" s="658"/>
    </row>
    <row r="683" ht="14.25" customHeight="1">
      <c r="A683" s="703"/>
      <c r="B683" s="658"/>
      <c r="C683" s="658"/>
      <c r="D683" s="658"/>
      <c r="E683" s="658"/>
      <c r="F683" s="658"/>
      <c r="G683" s="658"/>
      <c r="H683" s="658"/>
    </row>
    <row r="684" ht="14.25" customHeight="1">
      <c r="A684" s="703"/>
      <c r="B684" s="658"/>
      <c r="C684" s="658"/>
      <c r="D684" s="658"/>
      <c r="E684" s="658"/>
      <c r="F684" s="658"/>
      <c r="G684" s="658"/>
      <c r="H684" s="658"/>
    </row>
    <row r="685" ht="14.25" customHeight="1">
      <c r="A685" s="703"/>
      <c r="B685" s="658"/>
      <c r="C685" s="658"/>
      <c r="D685" s="658"/>
      <c r="E685" s="658"/>
      <c r="F685" s="658"/>
      <c r="G685" s="658"/>
      <c r="H685" s="658"/>
    </row>
    <row r="686" ht="14.25" customHeight="1">
      <c r="A686" s="703"/>
      <c r="B686" s="658"/>
      <c r="C686" s="658"/>
      <c r="D686" s="658"/>
      <c r="E686" s="658"/>
      <c r="F686" s="658"/>
      <c r="G686" s="658"/>
      <c r="H686" s="658"/>
    </row>
    <row r="687" ht="14.25" customHeight="1">
      <c r="A687" s="703"/>
      <c r="B687" s="658"/>
      <c r="C687" s="658"/>
      <c r="D687" s="658"/>
      <c r="E687" s="658"/>
      <c r="F687" s="658"/>
      <c r="G687" s="658"/>
      <c r="H687" s="658"/>
    </row>
    <row r="688" ht="14.25" customHeight="1">
      <c r="A688" s="703"/>
      <c r="B688" s="658"/>
      <c r="C688" s="658"/>
      <c r="D688" s="658"/>
      <c r="E688" s="658"/>
      <c r="F688" s="658"/>
      <c r="G688" s="658"/>
      <c r="H688" s="658"/>
    </row>
    <row r="689" ht="14.25" customHeight="1">
      <c r="A689" s="703"/>
      <c r="B689" s="658"/>
      <c r="C689" s="658"/>
      <c r="D689" s="658"/>
      <c r="E689" s="658"/>
      <c r="F689" s="658"/>
      <c r="G689" s="658"/>
      <c r="H689" s="658"/>
    </row>
    <row r="690" ht="14.25" customHeight="1">
      <c r="A690" s="703"/>
      <c r="B690" s="658"/>
      <c r="C690" s="658"/>
      <c r="D690" s="658"/>
      <c r="E690" s="658"/>
      <c r="F690" s="658"/>
      <c r="G690" s="658"/>
      <c r="H690" s="658"/>
    </row>
    <row r="691" ht="14.25" customHeight="1">
      <c r="A691" s="703"/>
      <c r="B691" s="658"/>
      <c r="C691" s="658"/>
      <c r="D691" s="658"/>
      <c r="E691" s="658"/>
      <c r="F691" s="658"/>
      <c r="G691" s="658"/>
      <c r="H691" s="658"/>
    </row>
    <row r="692" ht="14.25" customHeight="1">
      <c r="A692" s="703"/>
      <c r="B692" s="658"/>
      <c r="C692" s="658"/>
      <c r="D692" s="658"/>
      <c r="E692" s="658"/>
      <c r="F692" s="658"/>
      <c r="G692" s="658"/>
      <c r="H692" s="658"/>
    </row>
    <row r="693" ht="14.25" customHeight="1">
      <c r="A693" s="703"/>
      <c r="B693" s="658"/>
      <c r="C693" s="658"/>
      <c r="D693" s="658"/>
      <c r="E693" s="658"/>
      <c r="F693" s="658"/>
      <c r="G693" s="658"/>
      <c r="H693" s="658"/>
    </row>
    <row r="694" ht="14.25" customHeight="1">
      <c r="A694" s="703"/>
      <c r="B694" s="658"/>
      <c r="C694" s="658"/>
      <c r="D694" s="658"/>
      <c r="E694" s="658"/>
      <c r="F694" s="658"/>
      <c r="G694" s="658"/>
      <c r="H694" s="658"/>
    </row>
    <row r="695" ht="14.25" customHeight="1">
      <c r="A695" s="703"/>
      <c r="B695" s="658"/>
      <c r="C695" s="658"/>
      <c r="D695" s="658"/>
      <c r="E695" s="658"/>
      <c r="F695" s="658"/>
      <c r="G695" s="658"/>
      <c r="H695" s="658"/>
    </row>
    <row r="696" ht="14.25" customHeight="1">
      <c r="A696" s="703"/>
      <c r="B696" s="658"/>
      <c r="C696" s="658"/>
      <c r="D696" s="658"/>
      <c r="E696" s="658"/>
      <c r="F696" s="658"/>
      <c r="G696" s="658"/>
      <c r="H696" s="658"/>
    </row>
    <row r="697" ht="14.25" customHeight="1">
      <c r="A697" s="703"/>
      <c r="B697" s="658"/>
      <c r="C697" s="658"/>
      <c r="D697" s="658"/>
      <c r="E697" s="658"/>
      <c r="F697" s="658"/>
      <c r="G697" s="658"/>
      <c r="H697" s="658"/>
    </row>
    <row r="698" ht="14.25" customHeight="1">
      <c r="A698" s="703"/>
      <c r="B698" s="658"/>
      <c r="C698" s="658"/>
      <c r="D698" s="658"/>
      <c r="E698" s="658"/>
      <c r="F698" s="658"/>
      <c r="G698" s="658"/>
      <c r="H698" s="658"/>
    </row>
    <row r="699" ht="14.25" customHeight="1">
      <c r="A699" s="703"/>
      <c r="B699" s="658"/>
      <c r="C699" s="658"/>
      <c r="D699" s="658"/>
      <c r="E699" s="658"/>
      <c r="F699" s="658"/>
      <c r="G699" s="658"/>
      <c r="H699" s="658"/>
    </row>
    <row r="700" ht="14.25" customHeight="1">
      <c r="A700" s="703"/>
      <c r="B700" s="658"/>
      <c r="C700" s="658"/>
      <c r="D700" s="658"/>
      <c r="E700" s="658"/>
      <c r="F700" s="658"/>
      <c r="G700" s="658"/>
      <c r="H700" s="658"/>
    </row>
    <row r="701" ht="14.25" customHeight="1">
      <c r="A701" s="703"/>
      <c r="B701" s="658"/>
      <c r="C701" s="658"/>
      <c r="D701" s="658"/>
      <c r="E701" s="658"/>
      <c r="F701" s="658"/>
      <c r="G701" s="658"/>
      <c r="H701" s="658"/>
    </row>
    <row r="702" ht="14.25" customHeight="1">
      <c r="A702" s="703"/>
      <c r="B702" s="658"/>
      <c r="C702" s="658"/>
      <c r="D702" s="658"/>
      <c r="E702" s="658"/>
      <c r="F702" s="658"/>
      <c r="G702" s="658"/>
      <c r="H702" s="658"/>
    </row>
    <row r="703" ht="14.25" customHeight="1">
      <c r="A703" s="703"/>
      <c r="B703" s="658"/>
      <c r="C703" s="658"/>
      <c r="D703" s="658"/>
      <c r="E703" s="658"/>
      <c r="F703" s="658"/>
      <c r="G703" s="658"/>
      <c r="H703" s="658"/>
    </row>
    <row r="704" ht="14.25" customHeight="1">
      <c r="A704" s="703"/>
      <c r="B704" s="658"/>
      <c r="C704" s="658"/>
      <c r="D704" s="658"/>
      <c r="E704" s="658"/>
      <c r="F704" s="658"/>
      <c r="G704" s="658"/>
      <c r="H704" s="658"/>
    </row>
    <row r="705" ht="14.25" customHeight="1">
      <c r="A705" s="703"/>
      <c r="B705" s="658"/>
      <c r="C705" s="658"/>
      <c r="D705" s="658"/>
      <c r="E705" s="658"/>
      <c r="F705" s="658"/>
      <c r="G705" s="658"/>
      <c r="H705" s="658"/>
    </row>
    <row r="706" ht="14.25" customHeight="1">
      <c r="A706" s="703"/>
      <c r="B706" s="658"/>
      <c r="C706" s="658"/>
      <c r="D706" s="658"/>
      <c r="E706" s="658"/>
      <c r="F706" s="658"/>
      <c r="G706" s="658"/>
      <c r="H706" s="658"/>
    </row>
    <row r="707" ht="14.25" customHeight="1">
      <c r="A707" s="703"/>
      <c r="B707" s="658"/>
      <c r="C707" s="658"/>
      <c r="D707" s="658"/>
      <c r="E707" s="658"/>
      <c r="F707" s="658"/>
      <c r="G707" s="658"/>
      <c r="H707" s="658"/>
    </row>
    <row r="708" ht="14.25" customHeight="1">
      <c r="A708" s="703"/>
      <c r="B708" s="658"/>
      <c r="C708" s="658"/>
      <c r="D708" s="658"/>
      <c r="E708" s="658"/>
      <c r="F708" s="658"/>
      <c r="G708" s="658"/>
      <c r="H708" s="658"/>
    </row>
    <row r="709" ht="14.25" customHeight="1">
      <c r="A709" s="703"/>
      <c r="B709" s="658"/>
      <c r="C709" s="658"/>
      <c r="D709" s="658"/>
      <c r="E709" s="658"/>
      <c r="F709" s="658"/>
      <c r="G709" s="658"/>
      <c r="H709" s="658"/>
    </row>
    <row r="710" ht="14.25" customHeight="1">
      <c r="A710" s="703"/>
      <c r="B710" s="658"/>
      <c r="C710" s="658"/>
      <c r="D710" s="658"/>
      <c r="E710" s="658"/>
      <c r="F710" s="658"/>
      <c r="G710" s="658"/>
      <c r="H710" s="658"/>
    </row>
    <row r="711" ht="14.25" customHeight="1">
      <c r="A711" s="703"/>
      <c r="B711" s="658"/>
      <c r="C711" s="658"/>
      <c r="D711" s="658"/>
      <c r="E711" s="658"/>
      <c r="F711" s="658"/>
      <c r="G711" s="658"/>
      <c r="H711" s="658"/>
    </row>
    <row r="712" ht="14.25" customHeight="1">
      <c r="A712" s="703"/>
      <c r="B712" s="658"/>
      <c r="C712" s="658"/>
      <c r="D712" s="658"/>
      <c r="E712" s="658"/>
      <c r="F712" s="658"/>
      <c r="G712" s="658"/>
      <c r="H712" s="658"/>
    </row>
    <row r="713" ht="14.25" customHeight="1">
      <c r="A713" s="703"/>
      <c r="B713" s="658"/>
      <c r="C713" s="658"/>
      <c r="D713" s="658"/>
      <c r="E713" s="658"/>
      <c r="F713" s="658"/>
      <c r="G713" s="658"/>
      <c r="H713" s="658"/>
    </row>
    <row r="714" ht="14.25" customHeight="1">
      <c r="A714" s="703"/>
      <c r="B714" s="658"/>
      <c r="C714" s="658"/>
      <c r="D714" s="658"/>
      <c r="E714" s="658"/>
      <c r="F714" s="658"/>
      <c r="G714" s="658"/>
      <c r="H714" s="658"/>
    </row>
    <row r="715" ht="14.25" customHeight="1">
      <c r="A715" s="703"/>
      <c r="B715" s="658"/>
      <c r="C715" s="658"/>
      <c r="D715" s="658"/>
      <c r="E715" s="658"/>
      <c r="F715" s="658"/>
      <c r="G715" s="658"/>
      <c r="H715" s="658"/>
    </row>
    <row r="716" ht="14.25" customHeight="1">
      <c r="A716" s="703"/>
      <c r="B716" s="658"/>
      <c r="C716" s="658"/>
      <c r="D716" s="658"/>
      <c r="E716" s="658"/>
      <c r="F716" s="658"/>
      <c r="G716" s="658"/>
      <c r="H716" s="658"/>
    </row>
    <row r="717" ht="14.25" customHeight="1">
      <c r="A717" s="703"/>
      <c r="B717" s="658"/>
      <c r="C717" s="658"/>
      <c r="D717" s="658"/>
      <c r="E717" s="658"/>
      <c r="F717" s="658"/>
      <c r="G717" s="658"/>
      <c r="H717" s="658"/>
    </row>
    <row r="718" ht="14.25" customHeight="1">
      <c r="A718" s="703"/>
      <c r="B718" s="658"/>
      <c r="C718" s="658"/>
      <c r="D718" s="658"/>
      <c r="E718" s="658"/>
      <c r="F718" s="658"/>
      <c r="G718" s="658"/>
      <c r="H718" s="658"/>
    </row>
    <row r="719" ht="14.25" customHeight="1">
      <c r="A719" s="703"/>
      <c r="B719" s="658"/>
      <c r="C719" s="658"/>
      <c r="D719" s="658"/>
      <c r="E719" s="658"/>
      <c r="F719" s="658"/>
      <c r="G719" s="658"/>
      <c r="H719" s="658"/>
    </row>
    <row r="720" ht="14.25" customHeight="1">
      <c r="A720" s="703"/>
      <c r="B720" s="658"/>
      <c r="C720" s="658"/>
      <c r="D720" s="658"/>
      <c r="E720" s="658"/>
      <c r="F720" s="658"/>
      <c r="G720" s="658"/>
      <c r="H720" s="658"/>
    </row>
    <row r="721" ht="14.25" customHeight="1">
      <c r="A721" s="703"/>
      <c r="B721" s="658"/>
      <c r="C721" s="658"/>
      <c r="D721" s="658"/>
      <c r="E721" s="658"/>
      <c r="F721" s="658"/>
      <c r="G721" s="658"/>
      <c r="H721" s="658"/>
    </row>
    <row r="722" ht="14.25" customHeight="1">
      <c r="A722" s="703"/>
      <c r="B722" s="658"/>
      <c r="C722" s="658"/>
      <c r="D722" s="658"/>
      <c r="E722" s="658"/>
      <c r="F722" s="658"/>
      <c r="G722" s="658"/>
      <c r="H722" s="658"/>
    </row>
    <row r="723" ht="14.25" customHeight="1">
      <c r="A723" s="703"/>
      <c r="B723" s="658"/>
      <c r="C723" s="658"/>
      <c r="D723" s="658"/>
      <c r="E723" s="658"/>
      <c r="F723" s="658"/>
      <c r="G723" s="658"/>
      <c r="H723" s="658"/>
    </row>
    <row r="724" ht="14.25" customHeight="1">
      <c r="A724" s="703"/>
      <c r="B724" s="658"/>
      <c r="C724" s="658"/>
      <c r="D724" s="658"/>
      <c r="E724" s="658"/>
      <c r="F724" s="658"/>
      <c r="G724" s="658"/>
      <c r="H724" s="658"/>
    </row>
    <row r="725" ht="14.25" customHeight="1">
      <c r="A725" s="703"/>
      <c r="B725" s="658"/>
      <c r="C725" s="658"/>
      <c r="D725" s="658"/>
      <c r="E725" s="658"/>
      <c r="F725" s="658"/>
      <c r="G725" s="658"/>
      <c r="H725" s="658"/>
    </row>
    <row r="726" ht="14.25" customHeight="1">
      <c r="A726" s="703"/>
      <c r="B726" s="658"/>
      <c r="C726" s="658"/>
      <c r="D726" s="658"/>
      <c r="E726" s="658"/>
      <c r="F726" s="658"/>
      <c r="G726" s="658"/>
      <c r="H726" s="658"/>
    </row>
    <row r="727" ht="14.25" customHeight="1">
      <c r="A727" s="703"/>
      <c r="B727" s="658"/>
      <c r="C727" s="658"/>
      <c r="D727" s="658"/>
      <c r="E727" s="658"/>
      <c r="F727" s="658"/>
      <c r="G727" s="658"/>
      <c r="H727" s="658"/>
    </row>
    <row r="728" ht="14.25" customHeight="1">
      <c r="A728" s="703"/>
      <c r="B728" s="658"/>
      <c r="C728" s="658"/>
      <c r="D728" s="658"/>
      <c r="E728" s="658"/>
      <c r="F728" s="658"/>
      <c r="G728" s="658"/>
      <c r="H728" s="658"/>
    </row>
    <row r="729" ht="14.25" customHeight="1">
      <c r="A729" s="703"/>
      <c r="B729" s="658"/>
      <c r="C729" s="658"/>
      <c r="D729" s="658"/>
      <c r="E729" s="658"/>
      <c r="F729" s="658"/>
      <c r="G729" s="658"/>
      <c r="H729" s="658"/>
    </row>
    <row r="730" ht="14.25" customHeight="1">
      <c r="A730" s="703"/>
      <c r="B730" s="658"/>
      <c r="C730" s="658"/>
      <c r="D730" s="658"/>
      <c r="E730" s="658"/>
      <c r="F730" s="658"/>
      <c r="G730" s="658"/>
      <c r="H730" s="658"/>
    </row>
    <row r="731" ht="14.25" customHeight="1">
      <c r="A731" s="703"/>
      <c r="B731" s="658"/>
      <c r="C731" s="658"/>
      <c r="D731" s="658"/>
      <c r="E731" s="658"/>
      <c r="F731" s="658"/>
      <c r="G731" s="658"/>
      <c r="H731" s="658"/>
    </row>
    <row r="732" ht="14.25" customHeight="1">
      <c r="A732" s="703"/>
      <c r="B732" s="658"/>
      <c r="C732" s="658"/>
      <c r="D732" s="658"/>
      <c r="E732" s="658"/>
      <c r="F732" s="658"/>
      <c r="G732" s="658"/>
      <c r="H732" s="658"/>
    </row>
    <row r="733" ht="14.25" customHeight="1">
      <c r="A733" s="703"/>
      <c r="B733" s="658"/>
      <c r="C733" s="658"/>
      <c r="D733" s="658"/>
      <c r="E733" s="658"/>
      <c r="F733" s="658"/>
      <c r="G733" s="658"/>
      <c r="H733" s="658"/>
    </row>
    <row r="734" ht="14.25" customHeight="1">
      <c r="A734" s="703"/>
      <c r="B734" s="658"/>
      <c r="C734" s="658"/>
      <c r="D734" s="658"/>
      <c r="E734" s="658"/>
      <c r="F734" s="658"/>
      <c r="G734" s="658"/>
      <c r="H734" s="658"/>
    </row>
    <row r="735" ht="14.25" customHeight="1">
      <c r="A735" s="703"/>
      <c r="B735" s="658"/>
      <c r="C735" s="658"/>
      <c r="D735" s="658"/>
      <c r="E735" s="658"/>
      <c r="F735" s="658"/>
      <c r="G735" s="658"/>
      <c r="H735" s="658"/>
    </row>
    <row r="736" ht="14.25" customHeight="1">
      <c r="A736" s="703"/>
      <c r="B736" s="658"/>
      <c r="C736" s="658"/>
      <c r="D736" s="658"/>
      <c r="E736" s="658"/>
      <c r="F736" s="658"/>
      <c r="G736" s="658"/>
      <c r="H736" s="658"/>
    </row>
    <row r="737" ht="14.25" customHeight="1">
      <c r="A737" s="703"/>
      <c r="B737" s="658"/>
      <c r="C737" s="658"/>
      <c r="D737" s="658"/>
      <c r="E737" s="658"/>
      <c r="F737" s="658"/>
      <c r="G737" s="658"/>
      <c r="H737" s="658"/>
    </row>
    <row r="738" ht="14.25" customHeight="1">
      <c r="A738" s="703"/>
      <c r="B738" s="658"/>
      <c r="C738" s="658"/>
      <c r="D738" s="658"/>
      <c r="E738" s="658"/>
      <c r="F738" s="658"/>
      <c r="G738" s="658"/>
      <c r="H738" s="658"/>
    </row>
    <row r="739" ht="14.25" customHeight="1">
      <c r="A739" s="703"/>
      <c r="B739" s="658"/>
      <c r="C739" s="658"/>
      <c r="D739" s="658"/>
      <c r="E739" s="658"/>
      <c r="F739" s="658"/>
      <c r="G739" s="658"/>
      <c r="H739" s="658"/>
    </row>
    <row r="740" ht="14.25" customHeight="1">
      <c r="A740" s="703"/>
      <c r="B740" s="658"/>
      <c r="C740" s="658"/>
      <c r="D740" s="658"/>
      <c r="E740" s="658"/>
      <c r="F740" s="658"/>
      <c r="G740" s="658"/>
      <c r="H740" s="658"/>
    </row>
    <row r="741" ht="14.25" customHeight="1">
      <c r="A741" s="703"/>
      <c r="B741" s="658"/>
      <c r="C741" s="658"/>
      <c r="D741" s="658"/>
      <c r="E741" s="658"/>
      <c r="F741" s="658"/>
      <c r="G741" s="658"/>
      <c r="H741" s="658"/>
    </row>
    <row r="742" ht="14.25" customHeight="1">
      <c r="A742" s="703"/>
      <c r="B742" s="658"/>
      <c r="C742" s="658"/>
      <c r="D742" s="658"/>
      <c r="E742" s="658"/>
      <c r="F742" s="658"/>
      <c r="G742" s="658"/>
      <c r="H742" s="658"/>
    </row>
    <row r="743" ht="14.25" customHeight="1">
      <c r="A743" s="703"/>
      <c r="B743" s="658"/>
      <c r="C743" s="658"/>
      <c r="D743" s="658"/>
      <c r="E743" s="658"/>
      <c r="F743" s="658"/>
      <c r="G743" s="658"/>
      <c r="H743" s="658"/>
    </row>
    <row r="744" ht="14.25" customHeight="1">
      <c r="A744" s="703"/>
      <c r="B744" s="658"/>
      <c r="C744" s="658"/>
      <c r="D744" s="658"/>
      <c r="E744" s="658"/>
      <c r="F744" s="658"/>
      <c r="G744" s="658"/>
      <c r="H744" s="658"/>
    </row>
    <row r="745" ht="14.25" customHeight="1">
      <c r="A745" s="703"/>
      <c r="B745" s="658"/>
      <c r="C745" s="658"/>
      <c r="D745" s="658"/>
      <c r="E745" s="658"/>
      <c r="F745" s="658"/>
      <c r="G745" s="658"/>
      <c r="H745" s="658"/>
    </row>
    <row r="746" ht="14.25" customHeight="1">
      <c r="A746" s="703"/>
      <c r="B746" s="658"/>
      <c r="C746" s="658"/>
      <c r="D746" s="658"/>
      <c r="E746" s="658"/>
      <c r="F746" s="658"/>
      <c r="G746" s="658"/>
      <c r="H746" s="658"/>
    </row>
    <row r="747" ht="14.25" customHeight="1">
      <c r="A747" s="703"/>
      <c r="B747" s="658"/>
      <c r="C747" s="658"/>
      <c r="D747" s="658"/>
      <c r="E747" s="658"/>
      <c r="F747" s="658"/>
      <c r="G747" s="658"/>
      <c r="H747" s="658"/>
    </row>
    <row r="748" ht="14.25" customHeight="1">
      <c r="A748" s="703"/>
      <c r="B748" s="658"/>
      <c r="C748" s="658"/>
      <c r="D748" s="658"/>
      <c r="E748" s="658"/>
      <c r="F748" s="658"/>
      <c r="G748" s="658"/>
      <c r="H748" s="658"/>
    </row>
    <row r="749" ht="14.25" customHeight="1">
      <c r="A749" s="703"/>
      <c r="B749" s="658"/>
      <c r="C749" s="658"/>
      <c r="D749" s="658"/>
      <c r="E749" s="658"/>
      <c r="F749" s="658"/>
      <c r="G749" s="658"/>
      <c r="H749" s="658"/>
    </row>
    <row r="750" ht="14.25" customHeight="1">
      <c r="A750" s="703"/>
      <c r="B750" s="658"/>
      <c r="C750" s="658"/>
      <c r="D750" s="658"/>
      <c r="E750" s="658"/>
      <c r="F750" s="658"/>
      <c r="G750" s="658"/>
      <c r="H750" s="658"/>
    </row>
    <row r="751" ht="14.25" customHeight="1">
      <c r="A751" s="703"/>
      <c r="B751" s="658"/>
      <c r="C751" s="658"/>
      <c r="D751" s="658"/>
      <c r="E751" s="658"/>
      <c r="F751" s="658"/>
      <c r="G751" s="658"/>
      <c r="H751" s="658"/>
    </row>
    <row r="752" ht="14.25" customHeight="1">
      <c r="A752" s="703"/>
      <c r="B752" s="658"/>
      <c r="C752" s="658"/>
      <c r="D752" s="658"/>
      <c r="E752" s="658"/>
      <c r="F752" s="658"/>
      <c r="G752" s="658"/>
      <c r="H752" s="658"/>
    </row>
    <row r="753" ht="14.25" customHeight="1">
      <c r="A753" s="703"/>
      <c r="B753" s="658"/>
      <c r="C753" s="658"/>
      <c r="D753" s="658"/>
      <c r="E753" s="658"/>
      <c r="F753" s="658"/>
      <c r="G753" s="658"/>
      <c r="H753" s="658"/>
    </row>
    <row r="754" ht="14.25" customHeight="1">
      <c r="A754" s="703"/>
      <c r="B754" s="658"/>
      <c r="C754" s="658"/>
      <c r="D754" s="658"/>
      <c r="E754" s="658"/>
      <c r="F754" s="658"/>
      <c r="G754" s="658"/>
      <c r="H754" s="658"/>
    </row>
    <row r="755" ht="14.25" customHeight="1">
      <c r="A755" s="703"/>
      <c r="B755" s="658"/>
      <c r="C755" s="658"/>
      <c r="D755" s="658"/>
      <c r="E755" s="658"/>
      <c r="F755" s="658"/>
      <c r="G755" s="658"/>
      <c r="H755" s="658"/>
    </row>
    <row r="756" ht="14.25" customHeight="1">
      <c r="A756" s="703"/>
      <c r="B756" s="658"/>
      <c r="C756" s="658"/>
      <c r="D756" s="658"/>
      <c r="E756" s="658"/>
      <c r="F756" s="658"/>
      <c r="G756" s="658"/>
      <c r="H756" s="658"/>
    </row>
    <row r="757" ht="14.25" customHeight="1">
      <c r="A757" s="703"/>
      <c r="B757" s="658"/>
      <c r="C757" s="658"/>
      <c r="D757" s="658"/>
      <c r="E757" s="658"/>
      <c r="F757" s="658"/>
      <c r="G757" s="658"/>
      <c r="H757" s="658"/>
    </row>
    <row r="758" ht="14.25" customHeight="1">
      <c r="A758" s="703"/>
      <c r="B758" s="658"/>
      <c r="C758" s="658"/>
      <c r="D758" s="658"/>
      <c r="E758" s="658"/>
      <c r="F758" s="658"/>
      <c r="G758" s="658"/>
      <c r="H758" s="658"/>
    </row>
    <row r="759" ht="14.25" customHeight="1">
      <c r="A759" s="703"/>
      <c r="B759" s="658"/>
      <c r="C759" s="658"/>
      <c r="D759" s="658"/>
      <c r="E759" s="658"/>
      <c r="F759" s="658"/>
      <c r="G759" s="658"/>
      <c r="H759" s="658"/>
    </row>
    <row r="760" ht="14.25" customHeight="1">
      <c r="A760" s="703"/>
      <c r="B760" s="658"/>
      <c r="C760" s="658"/>
      <c r="D760" s="658"/>
      <c r="E760" s="658"/>
      <c r="F760" s="658"/>
      <c r="G760" s="658"/>
      <c r="H760" s="658"/>
    </row>
    <row r="761" ht="14.25" customHeight="1">
      <c r="A761" s="703"/>
      <c r="B761" s="658"/>
      <c r="C761" s="658"/>
      <c r="D761" s="658"/>
      <c r="E761" s="658"/>
      <c r="F761" s="658"/>
      <c r="G761" s="658"/>
      <c r="H761" s="658"/>
    </row>
    <row r="762" ht="14.25" customHeight="1">
      <c r="A762" s="703"/>
      <c r="B762" s="658"/>
      <c r="C762" s="658"/>
      <c r="D762" s="658"/>
      <c r="E762" s="658"/>
      <c r="F762" s="658"/>
      <c r="G762" s="658"/>
      <c r="H762" s="658"/>
    </row>
    <row r="763" ht="14.25" customHeight="1">
      <c r="A763" s="703"/>
      <c r="B763" s="658"/>
      <c r="C763" s="658"/>
      <c r="D763" s="658"/>
      <c r="E763" s="658"/>
      <c r="F763" s="658"/>
      <c r="G763" s="658"/>
      <c r="H763" s="658"/>
    </row>
    <row r="764" ht="14.25" customHeight="1">
      <c r="A764" s="703"/>
      <c r="B764" s="658"/>
      <c r="C764" s="658"/>
      <c r="D764" s="658"/>
      <c r="E764" s="658"/>
      <c r="F764" s="658"/>
      <c r="G764" s="658"/>
      <c r="H764" s="658"/>
    </row>
    <row r="765" ht="14.25" customHeight="1">
      <c r="A765" s="703"/>
      <c r="B765" s="658"/>
      <c r="C765" s="658"/>
      <c r="D765" s="658"/>
      <c r="E765" s="658"/>
      <c r="F765" s="658"/>
      <c r="G765" s="658"/>
      <c r="H765" s="658"/>
    </row>
    <row r="766" ht="14.25" customHeight="1">
      <c r="A766" s="703"/>
      <c r="B766" s="658"/>
      <c r="C766" s="658"/>
      <c r="D766" s="658"/>
      <c r="E766" s="658"/>
      <c r="F766" s="658"/>
      <c r="G766" s="658"/>
      <c r="H766" s="658"/>
    </row>
    <row r="767" ht="14.25" customHeight="1">
      <c r="A767" s="703"/>
      <c r="B767" s="658"/>
      <c r="C767" s="658"/>
      <c r="D767" s="658"/>
      <c r="E767" s="658"/>
      <c r="F767" s="658"/>
      <c r="G767" s="658"/>
      <c r="H767" s="658"/>
    </row>
    <row r="768" ht="14.25" customHeight="1">
      <c r="A768" s="703"/>
      <c r="B768" s="658"/>
      <c r="C768" s="658"/>
      <c r="D768" s="658"/>
      <c r="E768" s="658"/>
      <c r="F768" s="658"/>
      <c r="G768" s="658"/>
      <c r="H768" s="658"/>
    </row>
    <row r="769" ht="14.25" customHeight="1">
      <c r="A769" s="703"/>
      <c r="B769" s="658"/>
      <c r="C769" s="658"/>
      <c r="D769" s="658"/>
      <c r="E769" s="658"/>
      <c r="F769" s="658"/>
      <c r="G769" s="658"/>
      <c r="H769" s="658"/>
    </row>
    <row r="770" ht="14.25" customHeight="1">
      <c r="A770" s="703"/>
      <c r="B770" s="658"/>
      <c r="C770" s="658"/>
      <c r="D770" s="658"/>
      <c r="E770" s="658"/>
      <c r="F770" s="658"/>
      <c r="G770" s="658"/>
      <c r="H770" s="658"/>
    </row>
    <row r="771" ht="14.25" customHeight="1">
      <c r="A771" s="703"/>
      <c r="B771" s="658"/>
      <c r="C771" s="658"/>
      <c r="D771" s="658"/>
      <c r="E771" s="658"/>
      <c r="F771" s="658"/>
      <c r="G771" s="658"/>
      <c r="H771" s="658"/>
    </row>
    <row r="772" ht="14.25" customHeight="1">
      <c r="A772" s="703"/>
      <c r="B772" s="658"/>
      <c r="C772" s="658"/>
      <c r="D772" s="658"/>
      <c r="E772" s="658"/>
      <c r="F772" s="658"/>
      <c r="G772" s="658"/>
      <c r="H772" s="658"/>
    </row>
    <row r="773" ht="14.25" customHeight="1">
      <c r="A773" s="703"/>
      <c r="B773" s="658"/>
      <c r="C773" s="658"/>
      <c r="D773" s="658"/>
      <c r="E773" s="658"/>
      <c r="F773" s="658"/>
      <c r="G773" s="658"/>
      <c r="H773" s="658"/>
    </row>
    <row r="774" ht="14.25" customHeight="1">
      <c r="A774" s="703"/>
      <c r="B774" s="658"/>
      <c r="C774" s="658"/>
      <c r="D774" s="658"/>
      <c r="E774" s="658"/>
      <c r="F774" s="658"/>
      <c r="G774" s="658"/>
      <c r="H774" s="658"/>
    </row>
    <row r="775" ht="14.25" customHeight="1">
      <c r="A775" s="703"/>
      <c r="B775" s="658"/>
      <c r="C775" s="658"/>
      <c r="D775" s="658"/>
      <c r="E775" s="658"/>
      <c r="F775" s="658"/>
      <c r="G775" s="658"/>
      <c r="H775" s="658"/>
    </row>
    <row r="776" ht="14.25" customHeight="1">
      <c r="A776" s="703"/>
      <c r="B776" s="658"/>
      <c r="C776" s="658"/>
      <c r="D776" s="658"/>
      <c r="E776" s="658"/>
      <c r="F776" s="658"/>
      <c r="G776" s="658"/>
      <c r="H776" s="658"/>
    </row>
    <row r="777" ht="14.25" customHeight="1">
      <c r="A777" s="703"/>
      <c r="B777" s="658"/>
      <c r="C777" s="658"/>
      <c r="D777" s="658"/>
      <c r="E777" s="658"/>
      <c r="F777" s="658"/>
      <c r="G777" s="658"/>
      <c r="H777" s="658"/>
    </row>
    <row r="778" ht="14.25" customHeight="1">
      <c r="A778" s="703"/>
      <c r="B778" s="658"/>
      <c r="C778" s="658"/>
      <c r="D778" s="658"/>
      <c r="E778" s="658"/>
      <c r="F778" s="658"/>
      <c r="G778" s="658"/>
      <c r="H778" s="658"/>
    </row>
    <row r="779" ht="14.25" customHeight="1">
      <c r="A779" s="703"/>
      <c r="B779" s="658"/>
      <c r="C779" s="658"/>
      <c r="D779" s="658"/>
      <c r="E779" s="658"/>
      <c r="F779" s="658"/>
      <c r="G779" s="658"/>
      <c r="H779" s="658"/>
    </row>
    <row r="780" ht="14.25" customHeight="1">
      <c r="A780" s="703"/>
      <c r="B780" s="658"/>
      <c r="C780" s="658"/>
      <c r="D780" s="658"/>
      <c r="E780" s="658"/>
      <c r="F780" s="658"/>
      <c r="G780" s="658"/>
      <c r="H780" s="658"/>
    </row>
    <row r="781" ht="14.25" customHeight="1">
      <c r="A781" s="703"/>
      <c r="B781" s="658"/>
      <c r="C781" s="658"/>
      <c r="D781" s="658"/>
      <c r="E781" s="658"/>
      <c r="F781" s="658"/>
      <c r="G781" s="658"/>
      <c r="H781" s="658"/>
    </row>
    <row r="782" ht="14.25" customHeight="1">
      <c r="A782" s="703"/>
      <c r="B782" s="658"/>
      <c r="C782" s="658"/>
      <c r="D782" s="658"/>
      <c r="E782" s="658"/>
      <c r="F782" s="658"/>
      <c r="G782" s="658"/>
      <c r="H782" s="658"/>
    </row>
    <row r="783" ht="14.25" customHeight="1">
      <c r="A783" s="703"/>
      <c r="B783" s="658"/>
      <c r="C783" s="658"/>
      <c r="D783" s="658"/>
      <c r="E783" s="658"/>
      <c r="F783" s="658"/>
      <c r="G783" s="658"/>
      <c r="H783" s="658"/>
    </row>
    <row r="784" ht="14.25" customHeight="1">
      <c r="A784" s="703"/>
      <c r="B784" s="658"/>
      <c r="C784" s="658"/>
      <c r="D784" s="658"/>
      <c r="E784" s="658"/>
      <c r="F784" s="658"/>
      <c r="G784" s="658"/>
      <c r="H784" s="658"/>
    </row>
    <row r="785" ht="14.25" customHeight="1">
      <c r="A785" s="703"/>
      <c r="B785" s="658"/>
      <c r="C785" s="658"/>
      <c r="D785" s="658"/>
      <c r="E785" s="658"/>
      <c r="F785" s="658"/>
      <c r="G785" s="658"/>
      <c r="H785" s="658"/>
    </row>
    <row r="786" ht="14.25" customHeight="1">
      <c r="A786" s="703"/>
      <c r="B786" s="658"/>
      <c r="C786" s="658"/>
      <c r="D786" s="658"/>
      <c r="E786" s="658"/>
      <c r="F786" s="658"/>
      <c r="G786" s="658"/>
      <c r="H786" s="658"/>
    </row>
    <row r="787" ht="14.25" customHeight="1">
      <c r="A787" s="703"/>
      <c r="B787" s="658"/>
      <c r="C787" s="658"/>
      <c r="D787" s="658"/>
      <c r="E787" s="658"/>
      <c r="F787" s="658"/>
      <c r="G787" s="658"/>
      <c r="H787" s="658"/>
    </row>
    <row r="788" ht="14.25" customHeight="1">
      <c r="A788" s="703"/>
      <c r="B788" s="658"/>
      <c r="C788" s="658"/>
      <c r="D788" s="658"/>
      <c r="E788" s="658"/>
      <c r="F788" s="658"/>
      <c r="G788" s="658"/>
      <c r="H788" s="658"/>
    </row>
    <row r="789" ht="14.25" customHeight="1">
      <c r="A789" s="703"/>
      <c r="B789" s="658"/>
      <c r="C789" s="658"/>
      <c r="D789" s="658"/>
      <c r="E789" s="658"/>
      <c r="F789" s="658"/>
      <c r="G789" s="658"/>
      <c r="H789" s="658"/>
    </row>
    <row r="790" ht="14.25" customHeight="1">
      <c r="A790" s="703"/>
      <c r="B790" s="658"/>
      <c r="C790" s="658"/>
      <c r="D790" s="658"/>
      <c r="E790" s="658"/>
      <c r="F790" s="658"/>
      <c r="G790" s="658"/>
      <c r="H790" s="658"/>
    </row>
    <row r="791" ht="14.25" customHeight="1">
      <c r="A791" s="703"/>
      <c r="B791" s="658"/>
      <c r="C791" s="658"/>
      <c r="D791" s="658"/>
      <c r="E791" s="658"/>
      <c r="F791" s="658"/>
      <c r="G791" s="658"/>
      <c r="H791" s="658"/>
    </row>
    <row r="792" ht="14.25" customHeight="1">
      <c r="A792" s="703"/>
      <c r="B792" s="658"/>
      <c r="C792" s="658"/>
      <c r="D792" s="658"/>
      <c r="E792" s="658"/>
      <c r="F792" s="658"/>
      <c r="G792" s="658"/>
      <c r="H792" s="658"/>
    </row>
    <row r="793" ht="14.25" customHeight="1">
      <c r="A793" s="703"/>
      <c r="B793" s="658"/>
      <c r="C793" s="658"/>
      <c r="D793" s="658"/>
      <c r="E793" s="658"/>
      <c r="F793" s="658"/>
      <c r="G793" s="658"/>
      <c r="H793" s="658"/>
    </row>
    <row r="794" ht="14.25" customHeight="1">
      <c r="A794" s="703"/>
      <c r="B794" s="658"/>
      <c r="C794" s="658"/>
      <c r="D794" s="658"/>
      <c r="E794" s="658"/>
      <c r="F794" s="658"/>
      <c r="G794" s="658"/>
      <c r="H794" s="658"/>
    </row>
    <row r="795" ht="14.25" customHeight="1">
      <c r="A795" s="703"/>
      <c r="B795" s="658"/>
      <c r="C795" s="658"/>
      <c r="D795" s="658"/>
      <c r="E795" s="658"/>
      <c r="F795" s="658"/>
      <c r="G795" s="658"/>
      <c r="H795" s="658"/>
    </row>
    <row r="796" ht="14.25" customHeight="1">
      <c r="A796" s="703"/>
      <c r="B796" s="658"/>
      <c r="C796" s="658"/>
      <c r="D796" s="658"/>
      <c r="E796" s="658"/>
      <c r="F796" s="658"/>
      <c r="G796" s="658"/>
      <c r="H796" s="658"/>
    </row>
    <row r="797" ht="14.25" customHeight="1">
      <c r="A797" s="703"/>
      <c r="B797" s="658"/>
      <c r="C797" s="658"/>
      <c r="D797" s="658"/>
      <c r="E797" s="658"/>
      <c r="F797" s="658"/>
      <c r="G797" s="658"/>
      <c r="H797" s="658"/>
    </row>
    <row r="798" ht="14.25" customHeight="1">
      <c r="A798" s="703"/>
      <c r="B798" s="658"/>
      <c r="C798" s="658"/>
      <c r="D798" s="658"/>
      <c r="E798" s="658"/>
      <c r="F798" s="658"/>
      <c r="G798" s="658"/>
      <c r="H798" s="658"/>
    </row>
    <row r="799" ht="14.25" customHeight="1">
      <c r="A799" s="703"/>
      <c r="B799" s="658"/>
      <c r="C799" s="658"/>
      <c r="D799" s="658"/>
      <c r="E799" s="658"/>
      <c r="F799" s="658"/>
      <c r="G799" s="658"/>
      <c r="H799" s="658"/>
    </row>
    <row r="800" ht="14.25" customHeight="1">
      <c r="A800" s="703"/>
      <c r="B800" s="658"/>
      <c r="C800" s="658"/>
      <c r="D800" s="658"/>
      <c r="E800" s="658"/>
      <c r="F800" s="658"/>
      <c r="G800" s="658"/>
      <c r="H800" s="658"/>
    </row>
    <row r="801" ht="14.25" customHeight="1">
      <c r="A801" s="703"/>
      <c r="B801" s="658"/>
      <c r="C801" s="658"/>
      <c r="D801" s="658"/>
      <c r="E801" s="658"/>
      <c r="F801" s="658"/>
      <c r="G801" s="658"/>
      <c r="H801" s="658"/>
    </row>
    <row r="802" ht="14.25" customHeight="1">
      <c r="A802" s="703"/>
      <c r="B802" s="658"/>
      <c r="C802" s="658"/>
      <c r="D802" s="658"/>
      <c r="E802" s="658"/>
      <c r="F802" s="658"/>
      <c r="G802" s="658"/>
      <c r="H802" s="658"/>
    </row>
    <row r="803" ht="14.25" customHeight="1">
      <c r="A803" s="703"/>
      <c r="B803" s="658"/>
      <c r="C803" s="658"/>
      <c r="D803" s="658"/>
      <c r="E803" s="658"/>
      <c r="F803" s="658"/>
      <c r="G803" s="658"/>
      <c r="H803" s="658"/>
    </row>
    <row r="804" ht="14.25" customHeight="1">
      <c r="A804" s="703"/>
      <c r="B804" s="658"/>
      <c r="C804" s="658"/>
      <c r="D804" s="658"/>
      <c r="E804" s="658"/>
      <c r="F804" s="658"/>
      <c r="G804" s="658"/>
      <c r="H804" s="658"/>
    </row>
    <row r="805" ht="14.25" customHeight="1">
      <c r="A805" s="703"/>
      <c r="B805" s="658"/>
      <c r="C805" s="658"/>
      <c r="D805" s="658"/>
      <c r="E805" s="658"/>
      <c r="F805" s="658"/>
      <c r="G805" s="658"/>
      <c r="H805" s="658"/>
    </row>
    <row r="806" ht="14.25" customHeight="1">
      <c r="A806" s="703"/>
      <c r="B806" s="658"/>
      <c r="C806" s="658"/>
      <c r="D806" s="658"/>
      <c r="E806" s="658"/>
      <c r="F806" s="658"/>
      <c r="G806" s="658"/>
      <c r="H806" s="658"/>
    </row>
    <row r="807" ht="14.25" customHeight="1">
      <c r="A807" s="703"/>
      <c r="B807" s="658"/>
      <c r="C807" s="658"/>
      <c r="D807" s="658"/>
      <c r="E807" s="658"/>
      <c r="F807" s="658"/>
      <c r="G807" s="658"/>
      <c r="H807" s="658"/>
    </row>
    <row r="808" ht="14.25" customHeight="1">
      <c r="A808" s="703"/>
      <c r="B808" s="658"/>
      <c r="C808" s="658"/>
      <c r="D808" s="658"/>
      <c r="E808" s="658"/>
      <c r="F808" s="658"/>
      <c r="G808" s="658"/>
      <c r="H808" s="658"/>
    </row>
    <row r="809" ht="14.25" customHeight="1">
      <c r="A809" s="703"/>
      <c r="B809" s="658"/>
      <c r="C809" s="658"/>
      <c r="D809" s="658"/>
      <c r="E809" s="658"/>
      <c r="F809" s="658"/>
      <c r="G809" s="658"/>
      <c r="H809" s="658"/>
    </row>
    <row r="810" ht="14.25" customHeight="1">
      <c r="A810" s="703"/>
      <c r="B810" s="658"/>
      <c r="C810" s="658"/>
      <c r="D810" s="658"/>
      <c r="E810" s="658"/>
      <c r="F810" s="658"/>
      <c r="G810" s="658"/>
      <c r="H810" s="658"/>
    </row>
    <row r="811" ht="14.25" customHeight="1">
      <c r="A811" s="703"/>
      <c r="B811" s="658"/>
      <c r="C811" s="658"/>
      <c r="D811" s="658"/>
      <c r="E811" s="658"/>
      <c r="F811" s="658"/>
      <c r="G811" s="658"/>
      <c r="H811" s="658"/>
    </row>
    <row r="812" ht="14.25" customHeight="1">
      <c r="A812" s="703"/>
      <c r="B812" s="658"/>
      <c r="C812" s="658"/>
      <c r="D812" s="658"/>
      <c r="E812" s="658"/>
      <c r="F812" s="658"/>
      <c r="G812" s="658"/>
      <c r="H812" s="658"/>
    </row>
    <row r="813" ht="14.25" customHeight="1">
      <c r="A813" s="703"/>
      <c r="B813" s="658"/>
      <c r="C813" s="658"/>
      <c r="D813" s="658"/>
      <c r="E813" s="658"/>
      <c r="F813" s="658"/>
      <c r="G813" s="658"/>
      <c r="H813" s="658"/>
    </row>
    <row r="814" ht="14.25" customHeight="1">
      <c r="A814" s="703"/>
      <c r="B814" s="658"/>
      <c r="C814" s="658"/>
      <c r="D814" s="658"/>
      <c r="E814" s="658"/>
      <c r="F814" s="658"/>
      <c r="G814" s="658"/>
      <c r="H814" s="658"/>
    </row>
    <row r="815" ht="14.25" customHeight="1">
      <c r="A815" s="703"/>
      <c r="B815" s="658"/>
      <c r="C815" s="658"/>
      <c r="D815" s="658"/>
      <c r="E815" s="658"/>
      <c r="F815" s="658"/>
      <c r="G815" s="658"/>
      <c r="H815" s="658"/>
    </row>
    <row r="816" ht="14.25" customHeight="1">
      <c r="A816" s="703"/>
      <c r="B816" s="658"/>
      <c r="C816" s="658"/>
      <c r="D816" s="658"/>
      <c r="E816" s="658"/>
      <c r="F816" s="658"/>
      <c r="G816" s="658"/>
      <c r="H816" s="658"/>
    </row>
    <row r="817" ht="14.25" customHeight="1">
      <c r="A817" s="703"/>
      <c r="B817" s="658"/>
      <c r="C817" s="658"/>
      <c r="D817" s="658"/>
      <c r="E817" s="658"/>
      <c r="F817" s="658"/>
      <c r="G817" s="658"/>
      <c r="H817" s="658"/>
    </row>
    <row r="818" ht="14.25" customHeight="1">
      <c r="A818" s="703"/>
      <c r="B818" s="658"/>
      <c r="C818" s="658"/>
      <c r="D818" s="658"/>
      <c r="E818" s="658"/>
      <c r="F818" s="658"/>
      <c r="G818" s="658"/>
      <c r="H818" s="658"/>
    </row>
    <row r="819" ht="14.25" customHeight="1">
      <c r="A819" s="703"/>
      <c r="B819" s="658"/>
      <c r="C819" s="658"/>
      <c r="D819" s="658"/>
      <c r="E819" s="658"/>
      <c r="F819" s="658"/>
      <c r="G819" s="658"/>
      <c r="H819" s="658"/>
    </row>
    <row r="820" ht="14.25" customHeight="1">
      <c r="A820" s="703"/>
      <c r="B820" s="658"/>
      <c r="C820" s="658"/>
      <c r="D820" s="658"/>
      <c r="E820" s="658"/>
      <c r="F820" s="658"/>
      <c r="G820" s="658"/>
      <c r="H820" s="658"/>
    </row>
    <row r="821" ht="14.25" customHeight="1">
      <c r="A821" s="703"/>
      <c r="B821" s="658"/>
      <c r="C821" s="658"/>
      <c r="D821" s="658"/>
      <c r="E821" s="658"/>
      <c r="F821" s="658"/>
      <c r="G821" s="658"/>
      <c r="H821" s="658"/>
    </row>
    <row r="822" ht="14.25" customHeight="1">
      <c r="A822" s="703"/>
      <c r="B822" s="658"/>
      <c r="C822" s="658"/>
      <c r="D822" s="658"/>
      <c r="E822" s="658"/>
      <c r="F822" s="658"/>
      <c r="G822" s="658"/>
      <c r="H822" s="658"/>
    </row>
    <row r="823" ht="14.25" customHeight="1">
      <c r="A823" s="703"/>
      <c r="B823" s="658"/>
      <c r="C823" s="658"/>
      <c r="D823" s="658"/>
      <c r="E823" s="658"/>
      <c r="F823" s="658"/>
      <c r="G823" s="658"/>
      <c r="H823" s="658"/>
    </row>
    <row r="824" ht="14.25" customHeight="1">
      <c r="A824" s="703"/>
      <c r="B824" s="658"/>
      <c r="C824" s="658"/>
      <c r="D824" s="658"/>
      <c r="E824" s="658"/>
      <c r="F824" s="658"/>
      <c r="G824" s="658"/>
      <c r="H824" s="658"/>
    </row>
    <row r="825" ht="14.25" customHeight="1">
      <c r="A825" s="703"/>
      <c r="B825" s="658"/>
      <c r="C825" s="658"/>
      <c r="D825" s="658"/>
      <c r="E825" s="658"/>
      <c r="F825" s="658"/>
      <c r="G825" s="658"/>
      <c r="H825" s="658"/>
    </row>
    <row r="826" ht="14.25" customHeight="1">
      <c r="A826" s="703"/>
      <c r="B826" s="658"/>
      <c r="C826" s="658"/>
      <c r="D826" s="658"/>
      <c r="E826" s="658"/>
      <c r="F826" s="658"/>
      <c r="G826" s="658"/>
      <c r="H826" s="658"/>
    </row>
    <row r="827" ht="14.25" customHeight="1">
      <c r="A827" s="703"/>
      <c r="B827" s="658"/>
      <c r="C827" s="658"/>
      <c r="D827" s="658"/>
      <c r="E827" s="658"/>
      <c r="F827" s="658"/>
      <c r="G827" s="658"/>
      <c r="H827" s="658"/>
    </row>
    <row r="828" ht="14.25" customHeight="1">
      <c r="A828" s="703"/>
      <c r="B828" s="658"/>
      <c r="C828" s="658"/>
      <c r="D828" s="658"/>
      <c r="E828" s="658"/>
      <c r="F828" s="658"/>
      <c r="G828" s="658"/>
      <c r="H828" s="658"/>
    </row>
    <row r="829" ht="14.25" customHeight="1">
      <c r="A829" s="703"/>
      <c r="B829" s="658"/>
      <c r="C829" s="658"/>
      <c r="D829" s="658"/>
      <c r="E829" s="658"/>
      <c r="F829" s="658"/>
      <c r="G829" s="658"/>
      <c r="H829" s="658"/>
    </row>
    <row r="830" ht="14.25" customHeight="1">
      <c r="A830" s="703"/>
      <c r="B830" s="658"/>
      <c r="C830" s="658"/>
      <c r="D830" s="658"/>
      <c r="E830" s="658"/>
      <c r="F830" s="658"/>
      <c r="G830" s="658"/>
      <c r="H830" s="658"/>
    </row>
    <row r="831" ht="14.25" customHeight="1">
      <c r="A831" s="703"/>
      <c r="B831" s="658"/>
      <c r="C831" s="658"/>
      <c r="D831" s="658"/>
      <c r="E831" s="658"/>
      <c r="F831" s="658"/>
      <c r="G831" s="658"/>
      <c r="H831" s="658"/>
    </row>
    <row r="832" ht="14.25" customHeight="1">
      <c r="A832" s="703"/>
      <c r="B832" s="658"/>
      <c r="C832" s="658"/>
      <c r="D832" s="658"/>
      <c r="E832" s="658"/>
      <c r="F832" s="658"/>
      <c r="G832" s="658"/>
      <c r="H832" s="658"/>
    </row>
    <row r="833" ht="14.25" customHeight="1">
      <c r="A833" s="703"/>
      <c r="B833" s="658"/>
      <c r="C833" s="658"/>
      <c r="D833" s="658"/>
      <c r="E833" s="658"/>
      <c r="F833" s="658"/>
      <c r="G833" s="658"/>
      <c r="H833" s="658"/>
    </row>
    <row r="834" ht="14.25" customHeight="1">
      <c r="A834" s="703"/>
      <c r="B834" s="658"/>
      <c r="C834" s="658"/>
      <c r="D834" s="658"/>
      <c r="E834" s="658"/>
      <c r="F834" s="658"/>
      <c r="G834" s="658"/>
      <c r="H834" s="658"/>
    </row>
    <row r="835" ht="14.25" customHeight="1">
      <c r="A835" s="703"/>
      <c r="B835" s="658"/>
      <c r="C835" s="658"/>
      <c r="D835" s="658"/>
      <c r="E835" s="658"/>
      <c r="F835" s="658"/>
      <c r="G835" s="658"/>
      <c r="H835" s="658"/>
    </row>
    <row r="836" ht="14.25" customHeight="1">
      <c r="A836" s="703"/>
      <c r="B836" s="658"/>
      <c r="C836" s="658"/>
      <c r="D836" s="658"/>
      <c r="E836" s="658"/>
      <c r="F836" s="658"/>
      <c r="G836" s="658"/>
      <c r="H836" s="658"/>
    </row>
    <row r="837" ht="14.25" customHeight="1">
      <c r="A837" s="703"/>
      <c r="B837" s="658"/>
      <c r="C837" s="658"/>
      <c r="D837" s="658"/>
      <c r="E837" s="658"/>
      <c r="F837" s="658"/>
      <c r="G837" s="658"/>
      <c r="H837" s="658"/>
    </row>
    <row r="838" ht="14.25" customHeight="1">
      <c r="A838" s="703"/>
      <c r="B838" s="658"/>
      <c r="C838" s="658"/>
      <c r="D838" s="658"/>
      <c r="E838" s="658"/>
      <c r="F838" s="658"/>
      <c r="G838" s="658"/>
      <c r="H838" s="658"/>
    </row>
    <row r="839" ht="14.25" customHeight="1">
      <c r="A839" s="703"/>
      <c r="B839" s="658"/>
      <c r="C839" s="658"/>
      <c r="D839" s="658"/>
      <c r="E839" s="658"/>
      <c r="F839" s="658"/>
      <c r="G839" s="658"/>
      <c r="H839" s="658"/>
    </row>
    <row r="840" ht="14.25" customHeight="1">
      <c r="A840" s="703"/>
      <c r="B840" s="658"/>
      <c r="C840" s="658"/>
      <c r="D840" s="658"/>
      <c r="E840" s="658"/>
      <c r="F840" s="658"/>
      <c r="G840" s="658"/>
      <c r="H840" s="658"/>
    </row>
    <row r="841" ht="14.25" customHeight="1">
      <c r="A841" s="703"/>
      <c r="B841" s="658"/>
      <c r="C841" s="658"/>
      <c r="D841" s="658"/>
      <c r="E841" s="658"/>
      <c r="F841" s="658"/>
      <c r="G841" s="658"/>
      <c r="H841" s="658"/>
    </row>
    <row r="842" ht="14.25" customHeight="1">
      <c r="A842" s="703"/>
      <c r="B842" s="658"/>
      <c r="C842" s="658"/>
      <c r="D842" s="658"/>
      <c r="E842" s="658"/>
      <c r="F842" s="658"/>
      <c r="G842" s="658"/>
      <c r="H842" s="658"/>
    </row>
    <row r="843" ht="14.25" customHeight="1">
      <c r="A843" s="703"/>
      <c r="B843" s="658"/>
      <c r="C843" s="658"/>
      <c r="D843" s="658"/>
      <c r="E843" s="658"/>
      <c r="F843" s="658"/>
      <c r="G843" s="658"/>
      <c r="H843" s="658"/>
    </row>
    <row r="844" ht="14.25" customHeight="1">
      <c r="A844" s="703"/>
      <c r="B844" s="658"/>
      <c r="C844" s="658"/>
      <c r="D844" s="658"/>
      <c r="E844" s="658"/>
      <c r="F844" s="658"/>
      <c r="G844" s="658"/>
      <c r="H844" s="658"/>
    </row>
    <row r="845" ht="14.25" customHeight="1">
      <c r="A845" s="703"/>
      <c r="B845" s="658"/>
      <c r="C845" s="658"/>
      <c r="D845" s="658"/>
      <c r="E845" s="658"/>
      <c r="F845" s="658"/>
      <c r="G845" s="658"/>
      <c r="H845" s="658"/>
    </row>
    <row r="846" ht="14.25" customHeight="1">
      <c r="A846" s="703"/>
      <c r="B846" s="658"/>
      <c r="C846" s="658"/>
      <c r="D846" s="658"/>
      <c r="E846" s="658"/>
      <c r="F846" s="658"/>
      <c r="G846" s="658"/>
      <c r="H846" s="658"/>
    </row>
    <row r="847" ht="14.25" customHeight="1">
      <c r="A847" s="703"/>
      <c r="B847" s="658"/>
      <c r="C847" s="658"/>
      <c r="D847" s="658"/>
      <c r="E847" s="658"/>
      <c r="F847" s="658"/>
      <c r="G847" s="658"/>
      <c r="H847" s="658"/>
    </row>
    <row r="848" ht="14.25" customHeight="1">
      <c r="A848" s="703"/>
      <c r="B848" s="658"/>
      <c r="C848" s="658"/>
      <c r="D848" s="658"/>
      <c r="E848" s="658"/>
      <c r="F848" s="658"/>
      <c r="G848" s="658"/>
      <c r="H848" s="658"/>
    </row>
    <row r="849" ht="14.25" customHeight="1">
      <c r="A849" s="703"/>
      <c r="B849" s="658"/>
      <c r="C849" s="658"/>
      <c r="D849" s="658"/>
      <c r="E849" s="658"/>
      <c r="F849" s="658"/>
      <c r="G849" s="658"/>
      <c r="H849" s="658"/>
    </row>
    <row r="850" ht="14.25" customHeight="1">
      <c r="A850" s="703"/>
      <c r="B850" s="658"/>
      <c r="C850" s="658"/>
      <c r="D850" s="658"/>
      <c r="E850" s="658"/>
      <c r="F850" s="658"/>
      <c r="G850" s="658"/>
      <c r="H850" s="658"/>
    </row>
    <row r="851" ht="14.25" customHeight="1">
      <c r="A851" s="703"/>
      <c r="B851" s="658"/>
      <c r="C851" s="658"/>
      <c r="D851" s="658"/>
      <c r="E851" s="658"/>
      <c r="F851" s="658"/>
      <c r="G851" s="658"/>
      <c r="H851" s="658"/>
    </row>
    <row r="852" ht="14.25" customHeight="1">
      <c r="A852" s="703"/>
      <c r="B852" s="658"/>
      <c r="C852" s="658"/>
      <c r="D852" s="658"/>
      <c r="E852" s="658"/>
      <c r="F852" s="658"/>
      <c r="G852" s="658"/>
      <c r="H852" s="658"/>
    </row>
    <row r="853" ht="14.25" customHeight="1">
      <c r="A853" s="703"/>
      <c r="B853" s="658"/>
      <c r="C853" s="658"/>
      <c r="D853" s="658"/>
      <c r="E853" s="658"/>
      <c r="F853" s="658"/>
      <c r="G853" s="658"/>
      <c r="H853" s="658"/>
    </row>
    <row r="854" ht="14.25" customHeight="1">
      <c r="A854" s="703"/>
      <c r="B854" s="658"/>
      <c r="C854" s="658"/>
      <c r="D854" s="658"/>
      <c r="E854" s="658"/>
      <c r="F854" s="658"/>
      <c r="G854" s="658"/>
      <c r="H854" s="658"/>
    </row>
    <row r="855" ht="14.25" customHeight="1">
      <c r="A855" s="703"/>
      <c r="B855" s="658"/>
      <c r="C855" s="658"/>
      <c r="D855" s="658"/>
      <c r="E855" s="658"/>
      <c r="F855" s="658"/>
      <c r="G855" s="658"/>
      <c r="H855" s="658"/>
    </row>
    <row r="856" ht="14.25" customHeight="1">
      <c r="A856" s="703"/>
      <c r="B856" s="658"/>
      <c r="C856" s="658"/>
      <c r="D856" s="658"/>
      <c r="E856" s="658"/>
      <c r="F856" s="658"/>
      <c r="G856" s="658"/>
      <c r="H856" s="658"/>
    </row>
    <row r="857" ht="14.25" customHeight="1">
      <c r="A857" s="703"/>
      <c r="B857" s="658"/>
      <c r="C857" s="658"/>
      <c r="D857" s="658"/>
      <c r="E857" s="658"/>
      <c r="F857" s="658"/>
      <c r="G857" s="658"/>
      <c r="H857" s="658"/>
    </row>
    <row r="858" ht="14.25" customHeight="1">
      <c r="A858" s="703"/>
      <c r="B858" s="658"/>
      <c r="C858" s="658"/>
      <c r="D858" s="658"/>
      <c r="E858" s="658"/>
      <c r="F858" s="658"/>
      <c r="G858" s="658"/>
      <c r="H858" s="658"/>
    </row>
    <row r="859" ht="14.25" customHeight="1">
      <c r="A859" s="703"/>
      <c r="B859" s="658"/>
      <c r="C859" s="658"/>
      <c r="D859" s="658"/>
      <c r="E859" s="658"/>
      <c r="F859" s="658"/>
      <c r="G859" s="658"/>
      <c r="H859" s="658"/>
    </row>
    <row r="860" ht="14.25" customHeight="1">
      <c r="A860" s="703"/>
      <c r="B860" s="658"/>
      <c r="C860" s="658"/>
      <c r="D860" s="658"/>
      <c r="E860" s="658"/>
      <c r="F860" s="658"/>
      <c r="G860" s="658"/>
      <c r="H860" s="658"/>
    </row>
    <row r="861" ht="14.25" customHeight="1">
      <c r="A861" s="703"/>
      <c r="B861" s="658"/>
      <c r="C861" s="658"/>
      <c r="D861" s="658"/>
      <c r="E861" s="658"/>
      <c r="F861" s="658"/>
      <c r="G861" s="658"/>
      <c r="H861" s="658"/>
    </row>
    <row r="862" ht="14.25" customHeight="1">
      <c r="A862" s="703"/>
      <c r="B862" s="658"/>
      <c r="C862" s="658"/>
      <c r="D862" s="658"/>
      <c r="E862" s="658"/>
      <c r="F862" s="658"/>
      <c r="G862" s="658"/>
      <c r="H862" s="658"/>
    </row>
    <row r="863" ht="14.25" customHeight="1">
      <c r="A863" s="703"/>
      <c r="B863" s="658"/>
      <c r="C863" s="658"/>
      <c r="D863" s="658"/>
      <c r="E863" s="658"/>
      <c r="F863" s="658"/>
      <c r="G863" s="658"/>
      <c r="H863" s="658"/>
    </row>
    <row r="864" ht="14.25" customHeight="1">
      <c r="A864" s="703"/>
      <c r="B864" s="658"/>
      <c r="C864" s="658"/>
      <c r="D864" s="658"/>
      <c r="E864" s="658"/>
      <c r="F864" s="658"/>
      <c r="G864" s="658"/>
      <c r="H864" s="658"/>
    </row>
    <row r="865" ht="14.25" customHeight="1">
      <c r="A865" s="703"/>
      <c r="B865" s="658"/>
      <c r="C865" s="658"/>
      <c r="D865" s="658"/>
      <c r="E865" s="658"/>
      <c r="F865" s="658"/>
      <c r="G865" s="658"/>
      <c r="H865" s="658"/>
    </row>
    <row r="866" ht="14.25" customHeight="1">
      <c r="A866" s="703"/>
      <c r="B866" s="658"/>
      <c r="C866" s="658"/>
      <c r="D866" s="658"/>
      <c r="E866" s="658"/>
      <c r="F866" s="658"/>
      <c r="G866" s="658"/>
      <c r="H866" s="658"/>
    </row>
    <row r="867" ht="14.25" customHeight="1">
      <c r="A867" s="703"/>
      <c r="B867" s="658"/>
      <c r="C867" s="658"/>
      <c r="D867" s="658"/>
      <c r="E867" s="658"/>
      <c r="F867" s="658"/>
      <c r="G867" s="658"/>
      <c r="H867" s="658"/>
    </row>
    <row r="868" ht="14.25" customHeight="1">
      <c r="A868" s="703"/>
      <c r="B868" s="658"/>
      <c r="C868" s="658"/>
      <c r="D868" s="658"/>
      <c r="E868" s="658"/>
      <c r="F868" s="658"/>
      <c r="G868" s="658"/>
      <c r="H868" s="658"/>
    </row>
    <row r="869" ht="14.25" customHeight="1">
      <c r="A869" s="703"/>
      <c r="B869" s="658"/>
      <c r="C869" s="658"/>
      <c r="D869" s="658"/>
      <c r="E869" s="658"/>
      <c r="F869" s="658"/>
      <c r="G869" s="658"/>
      <c r="H869" s="658"/>
    </row>
    <row r="870" ht="14.25" customHeight="1">
      <c r="A870" s="703"/>
      <c r="B870" s="658"/>
      <c r="C870" s="658"/>
      <c r="D870" s="658"/>
      <c r="E870" s="658"/>
      <c r="F870" s="658"/>
      <c r="G870" s="658"/>
      <c r="H870" s="658"/>
    </row>
    <row r="871" ht="14.25" customHeight="1">
      <c r="A871" s="703"/>
      <c r="B871" s="658"/>
      <c r="C871" s="658"/>
      <c r="D871" s="658"/>
      <c r="E871" s="658"/>
      <c r="F871" s="658"/>
      <c r="G871" s="658"/>
      <c r="H871" s="658"/>
    </row>
    <row r="872" ht="14.25" customHeight="1">
      <c r="A872" s="703"/>
      <c r="B872" s="658"/>
      <c r="C872" s="658"/>
      <c r="D872" s="658"/>
      <c r="E872" s="658"/>
      <c r="F872" s="658"/>
      <c r="G872" s="658"/>
      <c r="H872" s="658"/>
    </row>
    <row r="873" ht="14.25" customHeight="1">
      <c r="A873" s="703"/>
      <c r="B873" s="658"/>
      <c r="C873" s="658"/>
      <c r="D873" s="658"/>
      <c r="E873" s="658"/>
      <c r="F873" s="658"/>
      <c r="G873" s="658"/>
      <c r="H873" s="658"/>
    </row>
    <row r="874" ht="14.25" customHeight="1">
      <c r="A874" s="703"/>
      <c r="B874" s="658"/>
      <c r="C874" s="658"/>
      <c r="D874" s="658"/>
      <c r="E874" s="658"/>
      <c r="F874" s="658"/>
      <c r="G874" s="658"/>
      <c r="H874" s="658"/>
    </row>
    <row r="875" ht="14.25" customHeight="1">
      <c r="A875" s="703"/>
      <c r="B875" s="658"/>
      <c r="C875" s="658"/>
      <c r="D875" s="658"/>
      <c r="E875" s="658"/>
      <c r="F875" s="658"/>
      <c r="G875" s="658"/>
      <c r="H875" s="658"/>
    </row>
    <row r="876" ht="14.25" customHeight="1">
      <c r="A876" s="703"/>
      <c r="B876" s="658"/>
      <c r="C876" s="658"/>
      <c r="D876" s="658"/>
      <c r="E876" s="658"/>
      <c r="F876" s="658"/>
      <c r="G876" s="658"/>
      <c r="H876" s="658"/>
    </row>
    <row r="877" ht="14.25" customHeight="1">
      <c r="A877" s="703"/>
      <c r="B877" s="658"/>
      <c r="C877" s="658"/>
      <c r="D877" s="658"/>
      <c r="E877" s="658"/>
      <c r="F877" s="658"/>
      <c r="G877" s="658"/>
      <c r="H877" s="658"/>
    </row>
    <row r="878" ht="14.25" customHeight="1">
      <c r="A878" s="703"/>
      <c r="B878" s="658"/>
      <c r="C878" s="658"/>
      <c r="D878" s="658"/>
      <c r="E878" s="658"/>
      <c r="F878" s="658"/>
      <c r="G878" s="658"/>
      <c r="H878" s="658"/>
    </row>
    <row r="879" ht="14.25" customHeight="1">
      <c r="A879" s="703"/>
      <c r="B879" s="658"/>
      <c r="C879" s="658"/>
      <c r="D879" s="658"/>
      <c r="E879" s="658"/>
      <c r="F879" s="658"/>
      <c r="G879" s="658"/>
      <c r="H879" s="658"/>
    </row>
    <row r="880" ht="14.25" customHeight="1">
      <c r="A880" s="703"/>
      <c r="B880" s="658"/>
      <c r="C880" s="658"/>
      <c r="D880" s="658"/>
      <c r="E880" s="658"/>
      <c r="F880" s="658"/>
      <c r="G880" s="658"/>
      <c r="H880" s="658"/>
    </row>
    <row r="881" ht="14.25" customHeight="1">
      <c r="A881" s="703"/>
      <c r="B881" s="658"/>
      <c r="C881" s="658"/>
      <c r="D881" s="658"/>
      <c r="E881" s="658"/>
      <c r="F881" s="658"/>
      <c r="G881" s="658"/>
      <c r="H881" s="658"/>
    </row>
    <row r="882" ht="14.25" customHeight="1">
      <c r="A882" s="703"/>
      <c r="B882" s="658"/>
      <c r="C882" s="658"/>
      <c r="D882" s="658"/>
      <c r="E882" s="658"/>
      <c r="F882" s="658"/>
      <c r="G882" s="658"/>
      <c r="H882" s="658"/>
    </row>
    <row r="883" ht="14.25" customHeight="1">
      <c r="A883" s="703"/>
      <c r="B883" s="658"/>
      <c r="C883" s="658"/>
      <c r="D883" s="658"/>
      <c r="E883" s="658"/>
      <c r="F883" s="658"/>
      <c r="G883" s="658"/>
      <c r="H883" s="658"/>
    </row>
    <row r="884" ht="14.25" customHeight="1">
      <c r="A884" s="703"/>
      <c r="B884" s="658"/>
      <c r="C884" s="658"/>
      <c r="D884" s="658"/>
      <c r="E884" s="658"/>
      <c r="F884" s="658"/>
      <c r="G884" s="658"/>
      <c r="H884" s="658"/>
    </row>
    <row r="885" ht="14.25" customHeight="1">
      <c r="A885" s="703"/>
      <c r="B885" s="658"/>
      <c r="C885" s="658"/>
      <c r="D885" s="658"/>
      <c r="E885" s="658"/>
      <c r="F885" s="658"/>
      <c r="G885" s="658"/>
      <c r="H885" s="658"/>
    </row>
    <row r="886" ht="14.25" customHeight="1">
      <c r="A886" s="703"/>
      <c r="B886" s="658"/>
      <c r="C886" s="658"/>
      <c r="D886" s="658"/>
      <c r="E886" s="658"/>
      <c r="F886" s="658"/>
      <c r="G886" s="658"/>
      <c r="H886" s="658"/>
    </row>
    <row r="887" ht="14.25" customHeight="1">
      <c r="A887" s="703"/>
      <c r="B887" s="658"/>
      <c r="C887" s="658"/>
      <c r="D887" s="658"/>
      <c r="E887" s="658"/>
      <c r="F887" s="658"/>
      <c r="G887" s="658"/>
      <c r="H887" s="658"/>
    </row>
    <row r="888" ht="14.25" customHeight="1">
      <c r="A888" s="703"/>
      <c r="B888" s="658"/>
      <c r="C888" s="658"/>
      <c r="D888" s="658"/>
      <c r="E888" s="658"/>
      <c r="F888" s="658"/>
      <c r="G888" s="658"/>
      <c r="H888" s="658"/>
    </row>
    <row r="889" ht="14.25" customHeight="1">
      <c r="A889" s="703"/>
      <c r="B889" s="658"/>
      <c r="C889" s="658"/>
      <c r="D889" s="658"/>
      <c r="E889" s="658"/>
      <c r="F889" s="658"/>
      <c r="G889" s="658"/>
      <c r="H889" s="658"/>
    </row>
    <row r="890" ht="14.25" customHeight="1">
      <c r="A890" s="703"/>
      <c r="B890" s="658"/>
      <c r="C890" s="658"/>
      <c r="D890" s="658"/>
      <c r="E890" s="658"/>
      <c r="F890" s="658"/>
      <c r="G890" s="658"/>
      <c r="H890" s="658"/>
    </row>
    <row r="891" ht="14.25" customHeight="1">
      <c r="A891" s="703"/>
      <c r="B891" s="658"/>
      <c r="C891" s="658"/>
      <c r="D891" s="658"/>
      <c r="E891" s="658"/>
      <c r="F891" s="658"/>
      <c r="G891" s="658"/>
      <c r="H891" s="658"/>
    </row>
    <row r="892" ht="14.25" customHeight="1">
      <c r="A892" s="703"/>
      <c r="B892" s="658"/>
      <c r="C892" s="658"/>
      <c r="D892" s="658"/>
      <c r="E892" s="658"/>
      <c r="F892" s="658"/>
      <c r="G892" s="658"/>
      <c r="H892" s="658"/>
    </row>
    <row r="893" ht="14.25" customHeight="1">
      <c r="A893" s="703"/>
      <c r="B893" s="658"/>
      <c r="C893" s="658"/>
      <c r="D893" s="658"/>
      <c r="E893" s="658"/>
      <c r="F893" s="658"/>
      <c r="G893" s="658"/>
      <c r="H893" s="658"/>
    </row>
    <row r="894" ht="14.25" customHeight="1">
      <c r="A894" s="703"/>
      <c r="B894" s="658"/>
      <c r="C894" s="658"/>
      <c r="D894" s="658"/>
      <c r="E894" s="658"/>
      <c r="F894" s="658"/>
      <c r="G894" s="658"/>
      <c r="H894" s="658"/>
    </row>
    <row r="895" ht="14.25" customHeight="1">
      <c r="A895" s="703"/>
      <c r="B895" s="658"/>
      <c r="C895" s="658"/>
      <c r="D895" s="658"/>
      <c r="E895" s="658"/>
      <c r="F895" s="658"/>
      <c r="G895" s="658"/>
      <c r="H895" s="658"/>
    </row>
    <row r="896" ht="14.25" customHeight="1">
      <c r="A896" s="703"/>
      <c r="B896" s="658"/>
      <c r="C896" s="658"/>
      <c r="D896" s="658"/>
      <c r="E896" s="658"/>
      <c r="F896" s="658"/>
      <c r="G896" s="658"/>
      <c r="H896" s="658"/>
    </row>
    <row r="897" ht="14.25" customHeight="1">
      <c r="A897" s="703"/>
      <c r="B897" s="658"/>
      <c r="C897" s="658"/>
      <c r="D897" s="658"/>
      <c r="E897" s="658"/>
      <c r="F897" s="658"/>
      <c r="G897" s="658"/>
      <c r="H897" s="658"/>
    </row>
    <row r="898" ht="14.25" customHeight="1">
      <c r="A898" s="703"/>
      <c r="B898" s="658"/>
      <c r="C898" s="658"/>
      <c r="D898" s="658"/>
      <c r="E898" s="658"/>
      <c r="F898" s="658"/>
      <c r="G898" s="658"/>
      <c r="H898" s="658"/>
    </row>
    <row r="899" ht="14.25" customHeight="1">
      <c r="A899" s="703"/>
      <c r="B899" s="658"/>
      <c r="C899" s="658"/>
      <c r="D899" s="658"/>
      <c r="E899" s="658"/>
      <c r="F899" s="658"/>
      <c r="G899" s="658"/>
      <c r="H899" s="658"/>
    </row>
    <row r="900" ht="14.25" customHeight="1">
      <c r="A900" s="703"/>
      <c r="B900" s="658"/>
      <c r="C900" s="658"/>
      <c r="D900" s="658"/>
      <c r="E900" s="658"/>
      <c r="F900" s="658"/>
      <c r="G900" s="658"/>
      <c r="H900" s="658"/>
    </row>
    <row r="901" ht="14.25" customHeight="1">
      <c r="A901" s="703"/>
      <c r="B901" s="658"/>
      <c r="C901" s="658"/>
      <c r="D901" s="658"/>
      <c r="E901" s="658"/>
      <c r="F901" s="658"/>
      <c r="G901" s="658"/>
      <c r="H901" s="658"/>
    </row>
    <row r="902" ht="14.25" customHeight="1">
      <c r="A902" s="703"/>
      <c r="B902" s="658"/>
      <c r="C902" s="658"/>
      <c r="D902" s="658"/>
      <c r="E902" s="658"/>
      <c r="F902" s="658"/>
      <c r="G902" s="658"/>
      <c r="H902" s="658"/>
    </row>
    <row r="903" ht="14.25" customHeight="1">
      <c r="A903" s="703"/>
      <c r="B903" s="658"/>
      <c r="C903" s="658"/>
      <c r="D903" s="658"/>
      <c r="E903" s="658"/>
      <c r="F903" s="658"/>
      <c r="G903" s="658"/>
      <c r="H903" s="658"/>
    </row>
    <row r="904" ht="14.25" customHeight="1">
      <c r="A904" s="703"/>
      <c r="B904" s="658"/>
      <c r="C904" s="658"/>
      <c r="D904" s="658"/>
      <c r="E904" s="658"/>
      <c r="F904" s="658"/>
      <c r="G904" s="658"/>
      <c r="H904" s="658"/>
    </row>
    <row r="905" ht="14.25" customHeight="1">
      <c r="A905" s="703"/>
      <c r="B905" s="658"/>
      <c r="C905" s="658"/>
      <c r="D905" s="658"/>
      <c r="E905" s="658"/>
      <c r="F905" s="658"/>
      <c r="G905" s="658"/>
      <c r="H905" s="658"/>
    </row>
    <row r="906" ht="14.25" customHeight="1">
      <c r="A906" s="703"/>
      <c r="B906" s="658"/>
      <c r="C906" s="658"/>
      <c r="D906" s="658"/>
      <c r="E906" s="658"/>
      <c r="F906" s="658"/>
      <c r="G906" s="658"/>
      <c r="H906" s="658"/>
    </row>
    <row r="907" ht="14.25" customHeight="1">
      <c r="A907" s="703"/>
      <c r="B907" s="658"/>
      <c r="C907" s="658"/>
      <c r="D907" s="658"/>
      <c r="E907" s="658"/>
      <c r="F907" s="658"/>
      <c r="G907" s="658"/>
      <c r="H907" s="658"/>
    </row>
    <row r="908" ht="14.25" customHeight="1">
      <c r="A908" s="703"/>
      <c r="B908" s="658"/>
      <c r="C908" s="658"/>
      <c r="D908" s="658"/>
      <c r="E908" s="658"/>
      <c r="F908" s="658"/>
      <c r="G908" s="658"/>
      <c r="H908" s="658"/>
    </row>
    <row r="909" ht="14.25" customHeight="1">
      <c r="A909" s="703"/>
      <c r="B909" s="658"/>
      <c r="C909" s="658"/>
      <c r="D909" s="658"/>
      <c r="E909" s="658"/>
      <c r="F909" s="658"/>
      <c r="G909" s="658"/>
      <c r="H909" s="658"/>
    </row>
    <row r="910" ht="14.25" customHeight="1">
      <c r="A910" s="703"/>
      <c r="B910" s="658"/>
      <c r="C910" s="658"/>
      <c r="D910" s="658"/>
      <c r="E910" s="658"/>
      <c r="F910" s="658"/>
      <c r="G910" s="658"/>
      <c r="H910" s="658"/>
    </row>
    <row r="911" ht="14.25" customHeight="1">
      <c r="A911" s="703"/>
      <c r="B911" s="658"/>
      <c r="C911" s="658"/>
      <c r="D911" s="658"/>
      <c r="E911" s="658"/>
      <c r="F911" s="658"/>
      <c r="G911" s="658"/>
      <c r="H911" s="658"/>
    </row>
    <row r="912" ht="14.25" customHeight="1">
      <c r="A912" s="703"/>
      <c r="B912" s="658"/>
      <c r="C912" s="658"/>
      <c r="D912" s="658"/>
      <c r="E912" s="658"/>
      <c r="F912" s="658"/>
      <c r="G912" s="658"/>
      <c r="H912" s="658"/>
    </row>
    <row r="913" ht="14.25" customHeight="1">
      <c r="A913" s="703"/>
      <c r="B913" s="658"/>
      <c r="C913" s="658"/>
      <c r="D913" s="658"/>
      <c r="E913" s="658"/>
      <c r="F913" s="658"/>
      <c r="G913" s="658"/>
      <c r="H913" s="658"/>
    </row>
    <row r="914" ht="14.25" customHeight="1">
      <c r="A914" s="703"/>
      <c r="B914" s="658"/>
      <c r="C914" s="658"/>
      <c r="D914" s="658"/>
      <c r="E914" s="658"/>
      <c r="F914" s="658"/>
      <c r="G914" s="658"/>
      <c r="H914" s="658"/>
    </row>
    <row r="915" ht="14.25" customHeight="1">
      <c r="A915" s="703"/>
      <c r="B915" s="658"/>
      <c r="C915" s="658"/>
      <c r="D915" s="658"/>
      <c r="E915" s="658"/>
      <c r="F915" s="658"/>
      <c r="G915" s="658"/>
      <c r="H915" s="658"/>
    </row>
    <row r="916" ht="14.25" customHeight="1">
      <c r="A916" s="703"/>
      <c r="B916" s="658"/>
      <c r="C916" s="658"/>
      <c r="D916" s="658"/>
      <c r="E916" s="658"/>
      <c r="F916" s="658"/>
      <c r="G916" s="658"/>
      <c r="H916" s="658"/>
    </row>
    <row r="917" ht="14.25" customHeight="1">
      <c r="A917" s="703"/>
      <c r="B917" s="658"/>
      <c r="C917" s="658"/>
      <c r="D917" s="658"/>
      <c r="E917" s="658"/>
      <c r="F917" s="658"/>
      <c r="G917" s="658"/>
      <c r="H917" s="658"/>
    </row>
    <row r="918" ht="14.25" customHeight="1">
      <c r="A918" s="703"/>
      <c r="B918" s="658"/>
      <c r="C918" s="658"/>
      <c r="D918" s="658"/>
      <c r="E918" s="658"/>
      <c r="F918" s="658"/>
      <c r="G918" s="658"/>
      <c r="H918" s="658"/>
    </row>
    <row r="919" ht="14.25" customHeight="1">
      <c r="A919" s="703"/>
      <c r="B919" s="658"/>
      <c r="C919" s="658"/>
      <c r="D919" s="658"/>
      <c r="E919" s="658"/>
      <c r="F919" s="658"/>
      <c r="G919" s="658"/>
      <c r="H919" s="658"/>
    </row>
    <row r="920" ht="14.25" customHeight="1">
      <c r="A920" s="703"/>
      <c r="B920" s="658"/>
      <c r="C920" s="658"/>
      <c r="D920" s="658"/>
      <c r="E920" s="658"/>
      <c r="F920" s="658"/>
      <c r="G920" s="658"/>
      <c r="H920" s="658"/>
    </row>
    <row r="921" ht="14.25" customHeight="1">
      <c r="A921" s="703"/>
      <c r="B921" s="658"/>
      <c r="C921" s="658"/>
      <c r="D921" s="658"/>
      <c r="E921" s="658"/>
      <c r="F921" s="658"/>
      <c r="G921" s="658"/>
      <c r="H921" s="658"/>
    </row>
    <row r="922" ht="14.25" customHeight="1">
      <c r="A922" s="703"/>
      <c r="B922" s="658"/>
      <c r="C922" s="658"/>
      <c r="D922" s="658"/>
      <c r="E922" s="658"/>
      <c r="F922" s="658"/>
      <c r="G922" s="658"/>
      <c r="H922" s="658"/>
    </row>
    <row r="923" ht="14.25" customHeight="1">
      <c r="A923" s="703"/>
      <c r="B923" s="658"/>
      <c r="C923" s="658"/>
      <c r="D923" s="658"/>
      <c r="E923" s="658"/>
      <c r="F923" s="658"/>
      <c r="G923" s="658"/>
      <c r="H923" s="658"/>
    </row>
    <row r="924" ht="14.25" customHeight="1">
      <c r="A924" s="703"/>
      <c r="B924" s="658"/>
      <c r="C924" s="658"/>
      <c r="D924" s="658"/>
      <c r="E924" s="658"/>
      <c r="F924" s="658"/>
      <c r="G924" s="658"/>
      <c r="H924" s="658"/>
    </row>
    <row r="925" ht="14.25" customHeight="1">
      <c r="A925" s="703"/>
      <c r="B925" s="658"/>
      <c r="C925" s="658"/>
      <c r="D925" s="658"/>
      <c r="E925" s="658"/>
      <c r="F925" s="658"/>
      <c r="G925" s="658"/>
      <c r="H925" s="658"/>
    </row>
    <row r="926" ht="14.25" customHeight="1">
      <c r="A926" s="703"/>
      <c r="B926" s="658"/>
      <c r="C926" s="658"/>
      <c r="D926" s="658"/>
      <c r="E926" s="658"/>
      <c r="F926" s="658"/>
      <c r="G926" s="658"/>
      <c r="H926" s="658"/>
    </row>
    <row r="927" ht="14.25" customHeight="1">
      <c r="A927" s="703"/>
      <c r="B927" s="658"/>
      <c r="C927" s="658"/>
      <c r="D927" s="658"/>
      <c r="E927" s="658"/>
      <c r="F927" s="658"/>
      <c r="G927" s="658"/>
      <c r="H927" s="658"/>
    </row>
    <row r="928" ht="14.25" customHeight="1">
      <c r="A928" s="703"/>
      <c r="B928" s="658"/>
      <c r="C928" s="658"/>
      <c r="D928" s="658"/>
      <c r="E928" s="658"/>
      <c r="F928" s="658"/>
      <c r="G928" s="658"/>
      <c r="H928" s="658"/>
    </row>
    <row r="929" ht="14.25" customHeight="1">
      <c r="A929" s="703"/>
      <c r="B929" s="658"/>
      <c r="C929" s="658"/>
      <c r="D929" s="658"/>
      <c r="E929" s="658"/>
      <c r="F929" s="658"/>
      <c r="G929" s="658"/>
      <c r="H929" s="658"/>
    </row>
    <row r="930" ht="14.25" customHeight="1">
      <c r="A930" s="703"/>
      <c r="B930" s="658"/>
      <c r="C930" s="658"/>
      <c r="D930" s="658"/>
      <c r="E930" s="658"/>
      <c r="F930" s="658"/>
      <c r="G930" s="658"/>
      <c r="H930" s="658"/>
    </row>
    <row r="931" ht="14.25" customHeight="1">
      <c r="A931" s="703"/>
      <c r="B931" s="658"/>
      <c r="C931" s="658"/>
      <c r="D931" s="658"/>
      <c r="E931" s="658"/>
      <c r="F931" s="658"/>
      <c r="G931" s="658"/>
      <c r="H931" s="658"/>
    </row>
    <row r="932" ht="14.25" customHeight="1">
      <c r="A932" s="703"/>
      <c r="B932" s="658"/>
      <c r="C932" s="658"/>
      <c r="D932" s="658"/>
      <c r="E932" s="658"/>
      <c r="F932" s="658"/>
      <c r="G932" s="658"/>
      <c r="H932" s="658"/>
    </row>
    <row r="933" ht="14.25" customHeight="1">
      <c r="A933" s="703"/>
      <c r="B933" s="658"/>
      <c r="C933" s="658"/>
      <c r="D933" s="658"/>
      <c r="E933" s="658"/>
      <c r="F933" s="658"/>
      <c r="G933" s="658"/>
      <c r="H933" s="658"/>
    </row>
    <row r="934" ht="14.25" customHeight="1">
      <c r="A934" s="703"/>
      <c r="B934" s="658"/>
      <c r="C934" s="658"/>
      <c r="D934" s="658"/>
      <c r="E934" s="658"/>
      <c r="F934" s="658"/>
      <c r="G934" s="658"/>
      <c r="H934" s="658"/>
    </row>
    <row r="935" ht="14.25" customHeight="1">
      <c r="A935" s="703"/>
      <c r="B935" s="658"/>
      <c r="C935" s="658"/>
      <c r="D935" s="658"/>
      <c r="E935" s="658"/>
      <c r="F935" s="658"/>
      <c r="G935" s="658"/>
      <c r="H935" s="658"/>
    </row>
    <row r="936" ht="14.25" customHeight="1">
      <c r="A936" s="703"/>
      <c r="B936" s="658"/>
      <c r="C936" s="658"/>
      <c r="D936" s="658"/>
      <c r="E936" s="658"/>
      <c r="F936" s="658"/>
      <c r="G936" s="658"/>
      <c r="H936" s="658"/>
    </row>
    <row r="937" ht="14.25" customHeight="1">
      <c r="A937" s="703"/>
      <c r="B937" s="658"/>
      <c r="C937" s="658"/>
      <c r="D937" s="658"/>
      <c r="E937" s="658"/>
      <c r="F937" s="658"/>
      <c r="G937" s="658"/>
      <c r="H937" s="658"/>
    </row>
    <row r="938" ht="14.25" customHeight="1">
      <c r="A938" s="703"/>
      <c r="B938" s="658"/>
      <c r="C938" s="658"/>
      <c r="D938" s="658"/>
      <c r="E938" s="658"/>
      <c r="F938" s="658"/>
      <c r="G938" s="658"/>
      <c r="H938" s="658"/>
    </row>
    <row r="939" ht="14.25" customHeight="1">
      <c r="A939" s="703"/>
      <c r="B939" s="658"/>
      <c r="C939" s="658"/>
      <c r="D939" s="658"/>
      <c r="E939" s="658"/>
      <c r="F939" s="658"/>
      <c r="G939" s="658"/>
      <c r="H939" s="658"/>
    </row>
    <row r="940" ht="14.25" customHeight="1">
      <c r="A940" s="703"/>
      <c r="B940" s="658"/>
      <c r="C940" s="658"/>
      <c r="D940" s="658"/>
      <c r="E940" s="658"/>
      <c r="F940" s="658"/>
      <c r="G940" s="658"/>
      <c r="H940" s="658"/>
    </row>
    <row r="941" ht="14.25" customHeight="1">
      <c r="A941" s="703"/>
      <c r="B941" s="658"/>
      <c r="C941" s="658"/>
      <c r="D941" s="658"/>
      <c r="E941" s="658"/>
      <c r="F941" s="658"/>
      <c r="G941" s="658"/>
      <c r="H941" s="658"/>
    </row>
    <row r="942" ht="14.25" customHeight="1">
      <c r="A942" s="703"/>
      <c r="B942" s="658"/>
      <c r="C942" s="658"/>
      <c r="D942" s="658"/>
      <c r="E942" s="658"/>
      <c r="F942" s="658"/>
      <c r="G942" s="658"/>
      <c r="H942" s="658"/>
    </row>
    <row r="943" ht="14.25" customHeight="1">
      <c r="A943" s="703"/>
      <c r="B943" s="658"/>
      <c r="C943" s="658"/>
      <c r="D943" s="658"/>
      <c r="E943" s="658"/>
      <c r="F943" s="658"/>
      <c r="G943" s="658"/>
      <c r="H943" s="658"/>
    </row>
    <row r="944" ht="14.25" customHeight="1">
      <c r="A944" s="703"/>
      <c r="B944" s="658"/>
      <c r="C944" s="658"/>
      <c r="D944" s="658"/>
      <c r="E944" s="658"/>
      <c r="F944" s="658"/>
      <c r="G944" s="658"/>
      <c r="H944" s="658"/>
    </row>
    <row r="945" ht="14.25" customHeight="1">
      <c r="A945" s="703"/>
      <c r="B945" s="658"/>
      <c r="C945" s="658"/>
      <c r="D945" s="658"/>
      <c r="E945" s="658"/>
      <c r="F945" s="658"/>
      <c r="G945" s="658"/>
      <c r="H945" s="658"/>
    </row>
    <row r="946" ht="14.25" customHeight="1">
      <c r="A946" s="703"/>
      <c r="B946" s="658"/>
      <c r="C946" s="658"/>
      <c r="D946" s="658"/>
      <c r="E946" s="658"/>
      <c r="F946" s="658"/>
      <c r="G946" s="658"/>
      <c r="H946" s="658"/>
    </row>
    <row r="947" ht="14.25" customHeight="1">
      <c r="A947" s="703"/>
      <c r="B947" s="658"/>
      <c r="C947" s="658"/>
      <c r="D947" s="658"/>
      <c r="E947" s="658"/>
      <c r="F947" s="658"/>
      <c r="G947" s="658"/>
      <c r="H947" s="658"/>
    </row>
    <row r="948" ht="14.25" customHeight="1">
      <c r="A948" s="703"/>
      <c r="B948" s="658"/>
      <c r="C948" s="658"/>
      <c r="D948" s="658"/>
      <c r="E948" s="658"/>
      <c r="F948" s="658"/>
      <c r="G948" s="658"/>
      <c r="H948" s="658"/>
    </row>
    <row r="949" ht="14.25" customHeight="1">
      <c r="A949" s="703"/>
      <c r="B949" s="658"/>
      <c r="C949" s="658"/>
      <c r="D949" s="658"/>
      <c r="E949" s="658"/>
      <c r="F949" s="658"/>
      <c r="G949" s="658"/>
      <c r="H949" s="658"/>
    </row>
    <row r="950" ht="14.25" customHeight="1">
      <c r="A950" s="703"/>
      <c r="B950" s="658"/>
      <c r="C950" s="658"/>
      <c r="D950" s="658"/>
      <c r="E950" s="658"/>
      <c r="F950" s="658"/>
      <c r="G950" s="658"/>
      <c r="H950" s="658"/>
    </row>
    <row r="951" ht="14.25" customHeight="1">
      <c r="A951" s="703"/>
      <c r="B951" s="658"/>
      <c r="C951" s="658"/>
      <c r="D951" s="658"/>
      <c r="E951" s="658"/>
      <c r="F951" s="658"/>
      <c r="G951" s="658"/>
      <c r="H951" s="658"/>
    </row>
    <row r="952" ht="14.25" customHeight="1">
      <c r="A952" s="703"/>
      <c r="B952" s="658"/>
      <c r="C952" s="658"/>
      <c r="D952" s="658"/>
      <c r="E952" s="658"/>
      <c r="F952" s="658"/>
      <c r="G952" s="658"/>
      <c r="H952" s="658"/>
    </row>
    <row r="953" ht="14.25" customHeight="1">
      <c r="A953" s="703"/>
      <c r="B953" s="658"/>
      <c r="C953" s="658"/>
      <c r="D953" s="658"/>
      <c r="E953" s="658"/>
      <c r="F953" s="658"/>
      <c r="G953" s="658"/>
      <c r="H953" s="658"/>
    </row>
    <row r="954" ht="14.25" customHeight="1">
      <c r="A954" s="703"/>
      <c r="B954" s="658"/>
      <c r="C954" s="658"/>
      <c r="D954" s="658"/>
      <c r="E954" s="658"/>
      <c r="F954" s="658"/>
      <c r="G954" s="658"/>
      <c r="H954" s="658"/>
    </row>
    <row r="955" ht="14.25" customHeight="1">
      <c r="A955" s="703"/>
      <c r="B955" s="658"/>
      <c r="C955" s="658"/>
      <c r="D955" s="658"/>
      <c r="E955" s="658"/>
      <c r="F955" s="658"/>
      <c r="G955" s="658"/>
      <c r="H955" s="658"/>
    </row>
    <row r="956" ht="14.25" customHeight="1">
      <c r="A956" s="703"/>
      <c r="B956" s="658"/>
      <c r="C956" s="658"/>
      <c r="D956" s="658"/>
      <c r="E956" s="658"/>
      <c r="F956" s="658"/>
      <c r="G956" s="658"/>
      <c r="H956" s="658"/>
    </row>
    <row r="957" ht="14.25" customHeight="1">
      <c r="A957" s="703"/>
      <c r="B957" s="658"/>
      <c r="C957" s="658"/>
      <c r="D957" s="658"/>
      <c r="E957" s="658"/>
      <c r="F957" s="658"/>
      <c r="G957" s="658"/>
      <c r="H957" s="658"/>
    </row>
    <row r="958" ht="14.25" customHeight="1">
      <c r="A958" s="703"/>
      <c r="B958" s="658"/>
      <c r="C958" s="658"/>
      <c r="D958" s="658"/>
      <c r="E958" s="658"/>
      <c r="F958" s="658"/>
      <c r="G958" s="658"/>
      <c r="H958" s="658"/>
    </row>
    <row r="959" ht="14.25" customHeight="1">
      <c r="A959" s="703"/>
      <c r="B959" s="658"/>
      <c r="C959" s="658"/>
      <c r="D959" s="658"/>
      <c r="E959" s="658"/>
      <c r="F959" s="658"/>
      <c r="G959" s="658"/>
      <c r="H959" s="658"/>
    </row>
    <row r="960" ht="14.25" customHeight="1">
      <c r="A960" s="703"/>
      <c r="B960" s="658"/>
      <c r="C960" s="658"/>
      <c r="D960" s="658"/>
      <c r="E960" s="658"/>
      <c r="F960" s="658"/>
      <c r="G960" s="658"/>
      <c r="H960" s="658"/>
    </row>
    <row r="961" ht="14.25" customHeight="1">
      <c r="A961" s="703"/>
      <c r="B961" s="658"/>
      <c r="C961" s="658"/>
      <c r="D961" s="658"/>
      <c r="E961" s="658"/>
      <c r="F961" s="658"/>
      <c r="G961" s="658"/>
      <c r="H961" s="658"/>
    </row>
    <row r="962" ht="14.25" customHeight="1">
      <c r="A962" s="703"/>
      <c r="B962" s="658"/>
      <c r="C962" s="658"/>
      <c r="D962" s="658"/>
      <c r="E962" s="658"/>
      <c r="F962" s="658"/>
      <c r="G962" s="658"/>
      <c r="H962" s="658"/>
    </row>
    <row r="963" ht="14.25" customHeight="1">
      <c r="A963" s="703"/>
      <c r="B963" s="658"/>
      <c r="C963" s="658"/>
      <c r="D963" s="658"/>
      <c r="E963" s="658"/>
      <c r="F963" s="658"/>
      <c r="G963" s="658"/>
      <c r="H963" s="658"/>
    </row>
    <row r="964" ht="14.25" customHeight="1">
      <c r="A964" s="703"/>
      <c r="B964" s="658"/>
      <c r="C964" s="658"/>
      <c r="D964" s="658"/>
      <c r="E964" s="658"/>
      <c r="F964" s="658"/>
      <c r="G964" s="658"/>
      <c r="H964" s="658"/>
    </row>
    <row r="965" ht="14.25" customHeight="1">
      <c r="A965" s="703"/>
      <c r="B965" s="658"/>
      <c r="C965" s="658"/>
      <c r="D965" s="658"/>
      <c r="E965" s="658"/>
      <c r="F965" s="658"/>
      <c r="G965" s="658"/>
      <c r="H965" s="658"/>
    </row>
    <row r="966" ht="14.25" customHeight="1">
      <c r="A966" s="703"/>
      <c r="B966" s="658"/>
      <c r="C966" s="658"/>
      <c r="D966" s="658"/>
      <c r="E966" s="658"/>
      <c r="F966" s="658"/>
      <c r="G966" s="658"/>
      <c r="H966" s="658"/>
    </row>
    <row r="967" ht="14.25" customHeight="1">
      <c r="A967" s="703"/>
      <c r="B967" s="658"/>
      <c r="C967" s="658"/>
      <c r="D967" s="658"/>
      <c r="E967" s="658"/>
      <c r="F967" s="658"/>
      <c r="G967" s="658"/>
      <c r="H967" s="658"/>
    </row>
    <row r="968" ht="14.25" customHeight="1">
      <c r="A968" s="703"/>
      <c r="B968" s="658"/>
      <c r="C968" s="658"/>
      <c r="D968" s="658"/>
      <c r="E968" s="658"/>
      <c r="F968" s="658"/>
      <c r="G968" s="658"/>
      <c r="H968" s="658"/>
    </row>
    <row r="969" ht="14.25" customHeight="1">
      <c r="A969" s="703"/>
      <c r="B969" s="658"/>
      <c r="C969" s="658"/>
      <c r="D969" s="658"/>
      <c r="E969" s="658"/>
      <c r="F969" s="658"/>
      <c r="G969" s="658"/>
      <c r="H969" s="658"/>
    </row>
    <row r="970" ht="14.25" customHeight="1">
      <c r="A970" s="703"/>
      <c r="B970" s="658"/>
      <c r="C970" s="658"/>
      <c r="D970" s="658"/>
      <c r="E970" s="658"/>
      <c r="F970" s="658"/>
      <c r="G970" s="658"/>
      <c r="H970" s="658"/>
    </row>
    <row r="971" ht="14.25" customHeight="1">
      <c r="A971" s="703"/>
      <c r="B971" s="658"/>
      <c r="C971" s="658"/>
      <c r="D971" s="658"/>
      <c r="E971" s="658"/>
      <c r="F971" s="658"/>
      <c r="G971" s="658"/>
      <c r="H971" s="658"/>
    </row>
    <row r="972" ht="14.25" customHeight="1">
      <c r="A972" s="703"/>
      <c r="B972" s="658"/>
      <c r="C972" s="658"/>
      <c r="D972" s="658"/>
      <c r="E972" s="658"/>
      <c r="F972" s="658"/>
      <c r="G972" s="658"/>
      <c r="H972" s="658"/>
    </row>
    <row r="973" ht="14.25" customHeight="1">
      <c r="A973" s="703"/>
      <c r="B973" s="658"/>
      <c r="C973" s="658"/>
      <c r="D973" s="658"/>
      <c r="E973" s="658"/>
      <c r="F973" s="658"/>
      <c r="G973" s="658"/>
      <c r="H973" s="658"/>
    </row>
    <row r="974" ht="14.25" customHeight="1">
      <c r="A974" s="703"/>
      <c r="B974" s="658"/>
      <c r="C974" s="658"/>
      <c r="D974" s="658"/>
      <c r="E974" s="658"/>
      <c r="F974" s="658"/>
      <c r="G974" s="658"/>
      <c r="H974" s="658"/>
    </row>
    <row r="975" ht="14.25" customHeight="1">
      <c r="A975" s="703"/>
      <c r="B975" s="658"/>
      <c r="C975" s="658"/>
      <c r="D975" s="658"/>
      <c r="E975" s="658"/>
      <c r="F975" s="658"/>
      <c r="G975" s="658"/>
      <c r="H975" s="658"/>
    </row>
    <row r="976" ht="14.25" customHeight="1">
      <c r="A976" s="703"/>
      <c r="B976" s="658"/>
      <c r="C976" s="658"/>
      <c r="D976" s="658"/>
      <c r="E976" s="658"/>
      <c r="F976" s="658"/>
      <c r="G976" s="658"/>
      <c r="H976" s="658"/>
    </row>
    <row r="977" ht="14.25" customHeight="1">
      <c r="A977" s="703"/>
      <c r="B977" s="658"/>
      <c r="C977" s="658"/>
      <c r="D977" s="658"/>
      <c r="E977" s="658"/>
      <c r="F977" s="658"/>
      <c r="G977" s="658"/>
      <c r="H977" s="658"/>
    </row>
    <row r="978" ht="14.25" customHeight="1">
      <c r="A978" s="703"/>
      <c r="B978" s="658"/>
      <c r="C978" s="658"/>
      <c r="D978" s="658"/>
      <c r="E978" s="658"/>
      <c r="F978" s="658"/>
      <c r="G978" s="658"/>
      <c r="H978" s="658"/>
    </row>
    <row r="979" ht="14.25" customHeight="1">
      <c r="A979" s="703"/>
      <c r="B979" s="658"/>
      <c r="C979" s="658"/>
      <c r="D979" s="658"/>
      <c r="E979" s="658"/>
      <c r="F979" s="658"/>
      <c r="G979" s="658"/>
      <c r="H979" s="658"/>
    </row>
    <row r="980" ht="14.25" customHeight="1">
      <c r="A980" s="703"/>
      <c r="B980" s="658"/>
      <c r="C980" s="658"/>
      <c r="D980" s="658"/>
      <c r="E980" s="658"/>
      <c r="F980" s="658"/>
      <c r="G980" s="658"/>
      <c r="H980" s="658"/>
    </row>
    <row r="981" ht="14.25" customHeight="1">
      <c r="A981" s="703"/>
      <c r="B981" s="658"/>
      <c r="C981" s="658"/>
      <c r="D981" s="658"/>
      <c r="E981" s="658"/>
      <c r="F981" s="658"/>
      <c r="G981" s="658"/>
      <c r="H981" s="658"/>
    </row>
    <row r="982" ht="14.25" customHeight="1">
      <c r="A982" s="703"/>
      <c r="B982" s="658"/>
      <c r="C982" s="658"/>
      <c r="D982" s="658"/>
      <c r="E982" s="658"/>
      <c r="F982" s="658"/>
      <c r="G982" s="658"/>
      <c r="H982" s="658"/>
    </row>
    <row r="983" ht="14.25" customHeight="1">
      <c r="A983" s="703"/>
      <c r="B983" s="658"/>
      <c r="C983" s="658"/>
      <c r="D983" s="658"/>
      <c r="E983" s="658"/>
      <c r="F983" s="658"/>
      <c r="G983" s="658"/>
      <c r="H983" s="658"/>
    </row>
    <row r="984" ht="14.25" customHeight="1">
      <c r="A984" s="703"/>
      <c r="B984" s="658"/>
      <c r="C984" s="658"/>
      <c r="D984" s="658"/>
      <c r="E984" s="658"/>
      <c r="F984" s="658"/>
      <c r="G984" s="658"/>
      <c r="H984" s="658"/>
    </row>
    <row r="985" ht="14.25" customHeight="1">
      <c r="A985" s="703"/>
      <c r="B985" s="658"/>
      <c r="C985" s="658"/>
      <c r="D985" s="658"/>
      <c r="E985" s="658"/>
      <c r="F985" s="658"/>
      <c r="G985" s="658"/>
      <c r="H985" s="658"/>
    </row>
    <row r="986" ht="14.25" customHeight="1">
      <c r="A986" s="703"/>
      <c r="B986" s="658"/>
      <c r="C986" s="658"/>
      <c r="D986" s="658"/>
      <c r="E986" s="658"/>
      <c r="F986" s="658"/>
      <c r="G986" s="658"/>
      <c r="H986" s="658"/>
    </row>
    <row r="987" ht="14.25" customHeight="1">
      <c r="A987" s="703"/>
      <c r="B987" s="658"/>
      <c r="C987" s="658"/>
      <c r="D987" s="658"/>
      <c r="E987" s="658"/>
      <c r="F987" s="658"/>
      <c r="G987" s="658"/>
      <c r="H987" s="658"/>
    </row>
    <row r="988" ht="14.25" customHeight="1">
      <c r="A988" s="703"/>
      <c r="B988" s="658"/>
      <c r="C988" s="658"/>
      <c r="D988" s="658"/>
      <c r="E988" s="658"/>
      <c r="F988" s="658"/>
      <c r="G988" s="658"/>
      <c r="H988" s="658"/>
    </row>
    <row r="989" ht="14.25" customHeight="1">
      <c r="A989" s="703"/>
      <c r="B989" s="658"/>
      <c r="C989" s="658"/>
      <c r="D989" s="658"/>
      <c r="E989" s="658"/>
      <c r="F989" s="658"/>
      <c r="G989" s="658"/>
      <c r="H989" s="658"/>
    </row>
    <row r="990" ht="14.25" customHeight="1">
      <c r="A990" s="703"/>
      <c r="B990" s="658"/>
      <c r="C990" s="658"/>
      <c r="D990" s="658"/>
      <c r="E990" s="658"/>
      <c r="F990" s="658"/>
      <c r="G990" s="658"/>
      <c r="H990" s="658"/>
    </row>
    <row r="991" ht="14.25" customHeight="1">
      <c r="A991" s="703"/>
      <c r="B991" s="658"/>
      <c r="C991" s="658"/>
      <c r="D991" s="658"/>
      <c r="E991" s="658"/>
      <c r="F991" s="658"/>
      <c r="G991" s="658"/>
      <c r="H991" s="658"/>
    </row>
    <row r="992" ht="14.25" customHeight="1">
      <c r="A992" s="703"/>
      <c r="B992" s="658"/>
      <c r="C992" s="658"/>
      <c r="D992" s="658"/>
      <c r="E992" s="658"/>
      <c r="F992" s="658"/>
      <c r="G992" s="658"/>
      <c r="H992" s="658"/>
    </row>
    <row r="993" ht="14.25" customHeight="1">
      <c r="A993" s="703"/>
      <c r="B993" s="658"/>
      <c r="C993" s="658"/>
      <c r="D993" s="658"/>
      <c r="E993" s="658"/>
      <c r="F993" s="658"/>
      <c r="G993" s="658"/>
      <c r="H993" s="658"/>
    </row>
    <row r="994" ht="14.25" customHeight="1">
      <c r="A994" s="703"/>
      <c r="B994" s="658"/>
      <c r="C994" s="658"/>
      <c r="D994" s="658"/>
      <c r="E994" s="658"/>
      <c r="F994" s="658"/>
      <c r="G994" s="658"/>
      <c r="H994" s="658"/>
    </row>
    <row r="995" ht="14.25" customHeight="1">
      <c r="A995" s="703"/>
      <c r="B995" s="658"/>
      <c r="C995" s="658"/>
      <c r="D995" s="658"/>
      <c r="E995" s="658"/>
      <c r="F995" s="658"/>
      <c r="G995" s="658"/>
      <c r="H995" s="658"/>
    </row>
    <row r="996" ht="14.25" customHeight="1">
      <c r="A996" s="703"/>
      <c r="B996" s="658"/>
      <c r="C996" s="658"/>
      <c r="D996" s="658"/>
      <c r="E996" s="658"/>
      <c r="F996" s="658"/>
      <c r="G996" s="658"/>
      <c r="H996" s="658"/>
    </row>
    <row r="997" ht="14.25" customHeight="1">
      <c r="A997" s="703"/>
      <c r="B997" s="658"/>
      <c r="C997" s="658"/>
      <c r="D997" s="658"/>
      <c r="E997" s="658"/>
      <c r="F997" s="658"/>
      <c r="G997" s="658"/>
      <c r="H997" s="658"/>
    </row>
    <row r="998" ht="14.25" customHeight="1">
      <c r="A998" s="703"/>
      <c r="B998" s="658"/>
      <c r="C998" s="658"/>
      <c r="D998" s="658"/>
      <c r="E998" s="658"/>
      <c r="F998" s="658"/>
      <c r="G998" s="658"/>
      <c r="H998" s="658"/>
    </row>
    <row r="999" ht="14.25" customHeight="1">
      <c r="A999" s="703"/>
      <c r="B999" s="658"/>
      <c r="C999" s="658"/>
      <c r="D999" s="658"/>
      <c r="E999" s="658"/>
      <c r="F999" s="658"/>
      <c r="G999" s="658"/>
      <c r="H999" s="658"/>
    </row>
    <row r="1000" ht="14.25" customHeight="1">
      <c r="A1000" s="703"/>
      <c r="B1000" s="658"/>
      <c r="C1000" s="658"/>
      <c r="D1000" s="658"/>
      <c r="E1000" s="658"/>
      <c r="F1000" s="658"/>
      <c r="G1000" s="658"/>
      <c r="H1000" s="658"/>
    </row>
  </sheetData>
  <mergeCells count="11">
    <mergeCell ref="D7:F7"/>
    <mergeCell ref="G7:G8"/>
    <mergeCell ref="F40:H42"/>
    <mergeCell ref="A1:H1"/>
    <mergeCell ref="A2:H2"/>
    <mergeCell ref="A3:H3"/>
    <mergeCell ref="A4:H4"/>
    <mergeCell ref="A7:A8"/>
    <mergeCell ref="B7:B8"/>
    <mergeCell ref="C7:C8"/>
    <mergeCell ref="H7:H8"/>
  </mergeCells>
  <printOptions/>
  <pageMargins bottom="0.7480314960629921" footer="0.0" header="0.0" left="0.23622047244094488" right="0.23622047244094488" top="0.7480314960629921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