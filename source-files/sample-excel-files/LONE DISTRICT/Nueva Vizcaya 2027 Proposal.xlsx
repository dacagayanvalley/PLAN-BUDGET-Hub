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E" sheetId="1" r:id="rId4"/>
    <sheet state="visible" name="CORN" sheetId="2" r:id="rId5"/>
    <sheet state="visible" name="HVCDP" sheetId="3" r:id="rId6"/>
    <sheet state="visible" name="NUPAP" sheetId="4" r:id="rId7"/>
    <sheet state="visible" name="LIVESTOCK" sheetId="5" r:id="rId8"/>
    <sheet state="visible" name="OAP" sheetId="6" r:id="rId9"/>
    <sheet state="visible" name="HALAL" sheetId="7" r:id="rId10"/>
    <sheet state="visible" name="FMR" sheetId="8" r:id="rId11"/>
    <sheet state="visible" name="SAAD" sheetId="9" r:id="rId12"/>
    <sheet state="visible" name="MCRA" sheetId="10" r:id="rId13"/>
    <sheet state="visible" name="4Ks" sheetId="11" r:id="rId14"/>
    <sheet state="visible" name="NSHP" sheetId="12" r:id="rId15"/>
    <sheet state="visible" name="COLD STORAGE" sheetId="13" r:id="rId16"/>
    <sheet state="visible" name="PRDP" sheetId="14" r:id="rId17"/>
    <sheet state="visible" name="GRAND TOTAL" sheetId="15" r:id="rId18"/>
  </sheets>
  <definedNames/>
  <calcPr/>
  <extLst>
    <ext uri="GoogleSheetsCustomDataVersion2">
      <go:sheetsCustomData xmlns:go="http://customooxmlschemas.google.com/" r:id="rId19" roundtripDataChecksum="lHnUhUKRyE2Rrv8JZzBkDNmEGtOG2pc3PHJA1lsq9as="/>
    </ext>
  </extLst>
</workbook>
</file>

<file path=xl/sharedStrings.xml><?xml version="1.0" encoding="utf-8"?>
<sst xmlns="http://schemas.openxmlformats.org/spreadsheetml/2006/main" count="2595" uniqueCount="984">
  <si>
    <t>DEPARTMENT OF AGRICULTURE-REGIONAL FIELD OFFICE NO. 02</t>
  </si>
  <si>
    <t>CY 2025 &amp; FY 2026 PROGRAM ACCOMPLISHMENTS/STATUS AND FY 2027 PLAN AND BUDGET PROPOSAL</t>
  </si>
  <si>
    <t>RICE PROGRAM</t>
  </si>
  <si>
    <t>PROVINCE: NUEVA VIZCAYA</t>
  </si>
  <si>
    <t>DISTRICT: LONE</t>
  </si>
  <si>
    <t>PROGRAM/SUBPROGRAM/
 INDICATORS</t>
  </si>
  <si>
    <t>UNIT OF MEASURE</t>
  </si>
  <si>
    <t xml:space="preserve">FY 2025 GAA </t>
  </si>
  <si>
    <t>FY 2026 GAA</t>
  </si>
  <si>
    <t>FY 2027 PROPOSAL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</si>
  <si>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</si>
  <si>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TIER 1</t>
  </si>
  <si>
    <t>TIER 2</t>
  </si>
  <si>
    <t>TOTAL</t>
  </si>
  <si>
    <t>ANNUAL PHYSICAL TARGET</t>
  </si>
  <si>
    <t xml:space="preserve">BUDGET (Actual Obligation in ₱ '000) </t>
  </si>
  <si>
    <t>ACCOMPLISHMENT</t>
  </si>
  <si>
    <t>PHYSICAL TARGET</t>
  </si>
  <si>
    <t>ANNUAL BUDGET
(₱ '000)</t>
  </si>
  <si>
    <t>I. TECHNICAL AND SUPPORT SERVICES PROGRAM (TSSP)</t>
  </si>
  <si>
    <t>A. Production Support Services (PSS)</t>
  </si>
  <si>
    <t>Fertilizer Assistance - Ameliorants (solid)</t>
  </si>
  <si>
    <t>Fertilizer Assistance - Bio Fertilizer (pack)</t>
  </si>
  <si>
    <t>Fertilizer Assistance - inorganic - hybrid area</t>
  </si>
  <si>
    <t>hectare</t>
  </si>
  <si>
    <t xml:space="preserve">A. Castañeda
Ambaguio
Aritao
Bagabag
Bambang
Bayombong
Diadi
Dupax del Norte
Dupax del Sur
Kasibu
Kayapa
Quezon
Solano
Sta. Fe
Villaverde
</t>
  </si>
  <si>
    <t>Fertilizer Assistance - inorganic - inbred area</t>
  </si>
  <si>
    <t>Seed assistance-Commercial Hybrid</t>
  </si>
  <si>
    <t>Drone voucher</t>
  </si>
  <si>
    <t>FDV/IMC for Inbred</t>
  </si>
  <si>
    <t>FDV/IMC for Hybrid</t>
  </si>
  <si>
    <t>Hermetic cocoon</t>
  </si>
  <si>
    <t>Model Farm Established- hybrid seeds distributed</t>
  </si>
  <si>
    <t>number</t>
  </si>
  <si>
    <t>Model Farm Established- Inorganic fertilizer distributed</t>
  </si>
  <si>
    <t>B. Extension Support, Education and Training Services (ESETS)</t>
  </si>
  <si>
    <t>Rice Farm Cluster Establishment</t>
  </si>
  <si>
    <t>site</t>
  </si>
  <si>
    <t>Scale-up Palayamanan for Rice Based Farm</t>
  </si>
  <si>
    <t>II. AGRICULTURAL MACHINERY, EQUIPMENT, FACILITIES AND INFRASTRUCTURES PROGRAM (AMEFIP)</t>
  </si>
  <si>
    <t>A. AGRICULTURAL MACHINERY, EQUIPMENT, AND FACILITIES SUPPORT SERVICES (AMEFSS)</t>
  </si>
  <si>
    <t>1. Provision of Post-harvest Machinery and Equipment</t>
  </si>
  <si>
    <t>Vaccum Pack Sealer</t>
  </si>
  <si>
    <t>Fork Lift</t>
  </si>
  <si>
    <t>Seed Processing center</t>
  </si>
  <si>
    <t>Rice Processing Center</t>
  </si>
  <si>
    <t>Recirculating Dryer</t>
  </si>
  <si>
    <t>Paddy Rice Hauler</t>
  </si>
  <si>
    <t>Packaging System</t>
  </si>
  <si>
    <t>Combine Harvester</t>
  </si>
  <si>
    <t>4wd Tractor</t>
  </si>
  <si>
    <t>Seeder</t>
  </si>
  <si>
    <t>4WD Tractors with accessories</t>
  </si>
  <si>
    <t>Hauling Truck</t>
  </si>
  <si>
    <t>Conveyor</t>
  </si>
  <si>
    <t>2. Construction Post Harvest Facilities</t>
  </si>
  <si>
    <t>distributed (no.)</t>
  </si>
  <si>
    <t>Upgrading RPC( Color Sorter with control tank)</t>
  </si>
  <si>
    <t>Machinery shed</t>
  </si>
  <si>
    <t>Palayshed</t>
  </si>
  <si>
    <t>Rice Straw Baler</t>
  </si>
  <si>
    <t>B. IRRIGATION NETWORK SERVICES (INS)</t>
  </si>
  <si>
    <t>constructed(no)</t>
  </si>
  <si>
    <t>SSIP construction - Diversion Dam</t>
  </si>
  <si>
    <t>SSIP construction - Irrigation Canal</t>
  </si>
  <si>
    <t>SSIP construction - Solar-Powered Irrigation System</t>
  </si>
  <si>
    <t>SSIP rehabilitation - Diversion Dam</t>
  </si>
  <si>
    <t>SSIP rehabilitation - Small Water Impounding Project</t>
  </si>
  <si>
    <t>SSIP rehabilitation - Solar-Powered Irrigation System</t>
  </si>
  <si>
    <t>GRAND TOTAL</t>
  </si>
  <si>
    <t>Prepared by:</t>
  </si>
  <si>
    <t>Reviewed by:</t>
  </si>
  <si>
    <t>In coordination with</t>
  </si>
  <si>
    <t>Concurred by:</t>
  </si>
  <si>
    <t>JONAZON JEFF T. FACTORA</t>
  </si>
  <si>
    <t>BERNADETTE T. GALOSO</t>
  </si>
  <si>
    <t>MACARIO B. ANDAL, CPA</t>
  </si>
  <si>
    <t>ROSE MARY G. AQUINO, Ph.D.</t>
  </si>
  <si>
    <t xml:space="preserve">Chief, Planning and Investment </t>
  </si>
  <si>
    <t>Chief, PMED</t>
  </si>
  <si>
    <t>Chief, Budget Section</t>
  </si>
  <si>
    <t>Regional Executive Director</t>
  </si>
  <si>
    <t xml:space="preserve">  Programming Section</t>
  </si>
  <si>
    <t>In coordination with:</t>
  </si>
  <si>
    <t>CORN PROGRAM</t>
  </si>
  <si>
    <r>
      <rPr>
        <rFont val="Arial Narrow"/>
        <b/>
        <color theme="1"/>
        <sz val="17.0"/>
      </rPr>
      <t xml:space="preserve">Remarks </t>
    </r>
    <r>
      <rPr>
        <rFont val="Arial Narrow"/>
        <b val="0"/>
        <color theme="1"/>
        <sz val="17.0"/>
      </rPr>
      <t>(Breakdown of Municipality Target for FY 2027 )</t>
    </r>
  </si>
  <si>
    <t>I. PRODUCTION SUPPORT SERVICES</t>
  </si>
  <si>
    <t>1. Registered Seed (RS) Production</t>
  </si>
  <si>
    <t>Flint</t>
  </si>
  <si>
    <t>kilograms</t>
  </si>
  <si>
    <t>Glutinous</t>
  </si>
  <si>
    <t>Inorganic Fertilizer</t>
  </si>
  <si>
    <t>2. Recommended Corn Production Technologies (RCPT)</t>
  </si>
  <si>
    <t>Hybrid</t>
  </si>
  <si>
    <t>Biofertilizer</t>
  </si>
  <si>
    <t>packs</t>
  </si>
  <si>
    <t>Plant Growth Enhancer</t>
  </si>
  <si>
    <t>Agricultural Lime</t>
  </si>
  <si>
    <t>Complete Foliar Fertilizer</t>
  </si>
  <si>
    <t>3. Yellow Corn Production Enhancement Project (YCPEP)</t>
  </si>
  <si>
    <t>Hybrid Seeds (GM)</t>
  </si>
  <si>
    <t>Bagabag, Bambang, Bayombong, Diadi, Dupax del Norte, Kayapa, Kasibu, Quezon, Solano, Villaverde</t>
  </si>
  <si>
    <t>Inorganic Fertilizer for GM</t>
  </si>
  <si>
    <t>Hybrid Seeds (Conventional)</t>
  </si>
  <si>
    <t>Inorganic Fertilizer for Conventional</t>
  </si>
  <si>
    <t>Agricultural Gypsum for Conventional</t>
  </si>
  <si>
    <t>4. Support to Cassava</t>
  </si>
  <si>
    <t>Production of cassava seed pieces</t>
  </si>
  <si>
    <t>pieces</t>
  </si>
  <si>
    <t>Bagabag, Bayombong, Quezon</t>
  </si>
  <si>
    <t>Procurement of cassava seed pieces</t>
  </si>
  <si>
    <t>Procurement of Inorganic Fertilizer</t>
  </si>
  <si>
    <t>Solar Bubble Dryer</t>
  </si>
  <si>
    <t>5. White Corn Production Enhancement Project (WCPEP)</t>
  </si>
  <si>
    <t>OPV Flint Corn Seeds</t>
  </si>
  <si>
    <t>OPV Glutinous Corn Seeds</t>
  </si>
  <si>
    <t>Diadi, Kayapa, Quezon, Solano</t>
  </si>
  <si>
    <t>5. Soybean Production Enhancement Project (SPEP)</t>
  </si>
  <si>
    <t>Soybean Seeds</t>
  </si>
  <si>
    <t>Bagabag, Quezon</t>
  </si>
  <si>
    <t>II. EXTENSION SUPPORT, EDUCATION &amp; TRAINING SERVICES</t>
  </si>
  <si>
    <t>Cassava Model Farm</t>
  </si>
  <si>
    <t>Sorghum Model Farm</t>
  </si>
  <si>
    <t>Solano</t>
  </si>
  <si>
    <t>III. AGRICULTURAL MACHINERY, EQUIPMENT AND FACILITIES INFRASTRUCTURE PROGRAM</t>
  </si>
  <si>
    <t>1. AGRICULTURAL MACHINERY, EQUIPMENT AND FACILITIES SUPPORT SERVICES</t>
  </si>
  <si>
    <t>Four-wheel drive tractor for Corn (90-95HP)</t>
  </si>
  <si>
    <t>Quezon</t>
  </si>
  <si>
    <t>Four-wheel drive tractor for Cassava (90-95HP)</t>
  </si>
  <si>
    <t>Forage Chopper</t>
  </si>
  <si>
    <t>Double-row Corn Planter</t>
  </si>
  <si>
    <t>Mechanical Four-row Planter</t>
  </si>
  <si>
    <t>Pneumatic Four-row Planter</t>
  </si>
  <si>
    <t>Hand Tractor with Corn Planter</t>
  </si>
  <si>
    <t>Soybean Seeder (9-rows)</t>
  </si>
  <si>
    <t>Two-Row Seeder</t>
  </si>
  <si>
    <t>Corn Combine Harvester</t>
  </si>
  <si>
    <t>Hauling Truck (cargo truck)</t>
  </si>
  <si>
    <t>Hauling Truck (heavy cargo truck)</t>
  </si>
  <si>
    <t>Corn Mill (village-type)</t>
  </si>
  <si>
    <t>Feed Mill</t>
  </si>
  <si>
    <t>Cassava Granulator</t>
  </si>
  <si>
    <t>Cassava Digger with Soil Remover</t>
  </si>
  <si>
    <t>Sorghum Harvester</t>
  </si>
  <si>
    <t>Sorghum Thresher</t>
  </si>
  <si>
    <t>Sorghum Dryer</t>
  </si>
  <si>
    <t>Soybean Thresher</t>
  </si>
  <si>
    <t>Soybean Seed Sorter</t>
  </si>
  <si>
    <t>Multi Crop Drying Pavement (MCDP) with Shed</t>
  </si>
  <si>
    <t>Diadi, Quezon, Villaverde</t>
  </si>
  <si>
    <t>Warehouse</t>
  </si>
  <si>
    <t>Corn Complex (Phase 1)</t>
  </si>
  <si>
    <t>Silage Silo (Bunker-type)</t>
  </si>
  <si>
    <t>Water Treatment System Facility</t>
  </si>
  <si>
    <t>Wastewater Treatment System Facility</t>
  </si>
  <si>
    <t>2. IRRIGATION NETWORK SERVICES</t>
  </si>
  <si>
    <t>Open Source Pumping Set</t>
  </si>
  <si>
    <t>unit</t>
  </si>
  <si>
    <t>Mobile Solar Powered Irrigation System</t>
  </si>
  <si>
    <t>Solar Powered Irrigation System</t>
  </si>
  <si>
    <t>HIGH VALUE CROPS DEVELOPMENT PROGRAM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</si>
  <si>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</si>
  <si>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OPERATIONS</t>
  </si>
  <si>
    <t>I. TECHNICAL AND SUPPORT SEVICES PROGRAM</t>
  </si>
  <si>
    <t>A. Production Support Services Sub-Program</t>
  </si>
  <si>
    <t>Outcome Indicators</t>
  </si>
  <si>
    <t>Beneficiaries rating the production support services (PSS) delivered to be at least satisfactory</t>
  </si>
  <si>
    <t>Deliveries of producrtion support services validated by LGU's to have been delivered at the appropriate time</t>
  </si>
  <si>
    <t>Output Indicators</t>
  </si>
  <si>
    <t>LGU's assisted with production support services</t>
  </si>
  <si>
    <t>Input Indicators</t>
  </si>
  <si>
    <t>kilogram</t>
  </si>
  <si>
    <t>Seed Distribution</t>
  </si>
  <si>
    <t>Procured</t>
  </si>
  <si>
    <t>Produced</t>
  </si>
  <si>
    <t>Distributed</t>
  </si>
  <si>
    <t>Area Planted</t>
  </si>
  <si>
    <t>Mungbean</t>
  </si>
  <si>
    <t>Peanut</t>
  </si>
  <si>
    <t>White Potato</t>
  </si>
  <si>
    <t>Hot Pepper</t>
  </si>
  <si>
    <t>Garlic</t>
  </si>
  <si>
    <t>Yellow Onion</t>
  </si>
  <si>
    <t>Shallot</t>
  </si>
  <si>
    <t>Red Onion</t>
  </si>
  <si>
    <t>Ginger</t>
  </si>
  <si>
    <t>Lowland Vegetables</t>
  </si>
  <si>
    <t>Highland Vegetables</t>
  </si>
  <si>
    <t>Malunggay</t>
  </si>
  <si>
    <t>Soybean</t>
  </si>
  <si>
    <t>Adlay</t>
  </si>
  <si>
    <t>Melon/Watermelon</t>
  </si>
  <si>
    <t>Other</t>
  </si>
  <si>
    <t>Seed for Buffer Stocking</t>
  </si>
  <si>
    <t>Planting Materials Distribution</t>
  </si>
  <si>
    <t>Black Pepper</t>
  </si>
  <si>
    <t>Bamboo</t>
  </si>
  <si>
    <t>Mushroom bags</t>
  </si>
  <si>
    <t>Vanilla</t>
  </si>
  <si>
    <t>TOTAL FRUITS</t>
  </si>
  <si>
    <t>Mango</t>
  </si>
  <si>
    <t>piece</t>
  </si>
  <si>
    <t>Banana</t>
  </si>
  <si>
    <t>Pineapple</t>
  </si>
  <si>
    <t>Durian</t>
  </si>
  <si>
    <t>Cashew</t>
  </si>
  <si>
    <t>Pili</t>
  </si>
  <si>
    <t>Citrus</t>
  </si>
  <si>
    <t>Strawberry</t>
  </si>
  <si>
    <t>Guyabano</t>
  </si>
  <si>
    <t>Mangosteen</t>
  </si>
  <si>
    <t>Lanzones</t>
  </si>
  <si>
    <t>Rambutan</t>
  </si>
  <si>
    <t>Dragonfruit</t>
  </si>
  <si>
    <t>Santol</t>
  </si>
  <si>
    <t>Abiu</t>
  </si>
  <si>
    <t>INDUSTRIAL CROPS TOTAL</t>
  </si>
  <si>
    <t>Coffee</t>
  </si>
  <si>
    <t>Cacao</t>
  </si>
  <si>
    <t>Rubber</t>
  </si>
  <si>
    <t>ALTERNATIVE STAPLE FOOD CROPS TOTAL</t>
  </si>
  <si>
    <t>Saba-banana</t>
  </si>
  <si>
    <t>Sweet potato</t>
  </si>
  <si>
    <t>Yam</t>
  </si>
  <si>
    <t>Gabi</t>
  </si>
  <si>
    <t>Arrowroot</t>
  </si>
  <si>
    <t>Ornamentals and Foilages</t>
  </si>
  <si>
    <t>Herbs and Spices</t>
  </si>
  <si>
    <t>Vetiver</t>
  </si>
  <si>
    <t>Other Farm Supplies</t>
  </si>
  <si>
    <t>Flower Inducer</t>
  </si>
  <si>
    <t>Seedling trays</t>
  </si>
  <si>
    <t>Garden tools</t>
  </si>
  <si>
    <t>Plastic crate</t>
  </si>
  <si>
    <t>Bagging Materials</t>
  </si>
  <si>
    <t>Ladder</t>
  </si>
  <si>
    <t>Hermetic bag</t>
  </si>
  <si>
    <t>Fermentation box</t>
  </si>
  <si>
    <t>Rattan basket</t>
  </si>
  <si>
    <t>Pallets</t>
  </si>
  <si>
    <t>Pruning saw</t>
  </si>
  <si>
    <t>Pruning shear</t>
  </si>
  <si>
    <t>PP bags (Grain Pro Bag)</t>
  </si>
  <si>
    <t>Plastic mulch</t>
  </si>
  <si>
    <t>UV Plastic</t>
  </si>
  <si>
    <t>Mesh Net</t>
  </si>
  <si>
    <t>Black net</t>
  </si>
  <si>
    <t>Twine</t>
  </si>
  <si>
    <t>UV tunnelling film</t>
  </si>
  <si>
    <t>Red Bag</t>
  </si>
  <si>
    <t>Fertilizers</t>
  </si>
  <si>
    <t>Inorganic fertilizer</t>
  </si>
  <si>
    <t>Organic fertilizer</t>
  </si>
  <si>
    <t>Foliar Fertilizer</t>
  </si>
  <si>
    <t>Liquid Fertilizer</t>
  </si>
  <si>
    <t>liter</t>
  </si>
  <si>
    <t>Other agri-chemical</t>
  </si>
  <si>
    <t>Pesticide</t>
  </si>
  <si>
    <t>Insecticide</t>
  </si>
  <si>
    <t>Fungicide</t>
  </si>
  <si>
    <t>Herbicide</t>
  </si>
  <si>
    <t>Pheromone Lure</t>
  </si>
  <si>
    <t>Soil Conditioner</t>
  </si>
  <si>
    <t>Rapid Test Kit (RTK)</t>
  </si>
  <si>
    <t>Biological Control Agents (distibution only)</t>
  </si>
  <si>
    <t>Trichogramma chilonis</t>
  </si>
  <si>
    <t>Earwig</t>
  </si>
  <si>
    <t>Metarhizium</t>
  </si>
  <si>
    <t>Beauveria</t>
  </si>
  <si>
    <t>Tricoderma harzianum and T.viride</t>
  </si>
  <si>
    <t>Other Irrigation Paraphernalia Distributed</t>
  </si>
  <si>
    <t>HDPE Pipe</t>
  </si>
  <si>
    <t>roll</t>
  </si>
  <si>
    <t>Water Plastic Drum</t>
  </si>
  <si>
    <t>Reservoir tank</t>
  </si>
  <si>
    <t>Small scale irrigation projects (SSIP) constructed/installed (DA Station)</t>
  </si>
  <si>
    <t>Pump and Engine Set (PISOS)</t>
  </si>
  <si>
    <t>Cistern</t>
  </si>
  <si>
    <t>Drip irrigation</t>
  </si>
  <si>
    <t>Solar-powered irrigation system</t>
  </si>
  <si>
    <t>Small scale irrigation projects (SSIP) rehabilitated (DA Station)</t>
  </si>
  <si>
    <t>Main Filtration System for Irrigation</t>
  </si>
  <si>
    <t>Production Facilities</t>
  </si>
  <si>
    <t>Establishment (DA Station)</t>
  </si>
  <si>
    <t>Rainshelter</t>
  </si>
  <si>
    <t>Greenhouse</t>
  </si>
  <si>
    <t>Screenhouse/nethouse</t>
  </si>
  <si>
    <t>Nursery</t>
  </si>
  <si>
    <t>Tissue culture laboratory</t>
  </si>
  <si>
    <t>Seed storage</t>
  </si>
  <si>
    <t>Foundation scion grove</t>
  </si>
  <si>
    <t>Clonal garden</t>
  </si>
  <si>
    <t>Budwood garden</t>
  </si>
  <si>
    <t>Index Laboratory/Indexing Facility</t>
  </si>
  <si>
    <t>Monolithic Dome Type Storage</t>
  </si>
  <si>
    <t>Nursery Multi-purpose building</t>
  </si>
  <si>
    <t>Maintenance (DA Station)</t>
  </si>
  <si>
    <t>Banana mother garden</t>
  </si>
  <si>
    <t>Index laboratory</t>
  </si>
  <si>
    <t>Fruit wine processing facility</t>
  </si>
  <si>
    <t>Multi-crop Seed Storage</t>
  </si>
  <si>
    <t>Monolithic Dome</t>
  </si>
  <si>
    <t>Vertical Farming Under Controlled Environment</t>
  </si>
  <si>
    <t>Rehabilitation (DA Station)</t>
  </si>
  <si>
    <t>Garlic hanger storage</t>
  </si>
  <si>
    <t>Rubber training center</t>
  </si>
  <si>
    <t>Drainage Canal along the production area, approx.500 lm</t>
  </si>
  <si>
    <t>Postharvest and Processing Facility Establishment (DA Station)</t>
  </si>
  <si>
    <t>Pili Postharvest and Processing Facility</t>
  </si>
  <si>
    <t>Upgarding (DA Station)</t>
  </si>
  <si>
    <t>Index Laboratory</t>
  </si>
  <si>
    <t>Support to Establishment of Production Site (External)</t>
  </si>
  <si>
    <t>Support to Gulayan Projects</t>
  </si>
  <si>
    <t>School garden</t>
  </si>
  <si>
    <t>Urban agriculture garden</t>
  </si>
  <si>
    <t>Gulayan sa bayan</t>
  </si>
  <si>
    <t>Farm production-related machinery and equipment (DA Stations)</t>
  </si>
  <si>
    <t>Tractors</t>
  </si>
  <si>
    <t>Vegetable seeder</t>
  </si>
  <si>
    <t>Hand tractor/multi-cultivator</t>
  </si>
  <si>
    <t>Power spayer</t>
  </si>
  <si>
    <t>Fertilizer applicator</t>
  </si>
  <si>
    <t>Pole prunner/ shear</t>
  </si>
  <si>
    <t>Mini-chainsaw</t>
  </si>
  <si>
    <t>Onion/garlic harvester</t>
  </si>
  <si>
    <t>Grass cutter</t>
  </si>
  <si>
    <t>Soil Auger</t>
  </si>
  <si>
    <t>Lifting machine</t>
  </si>
  <si>
    <t>Shredder</t>
  </si>
  <si>
    <t>Hauling truck</t>
  </si>
  <si>
    <t>Mobile cold storage</t>
  </si>
  <si>
    <t>Drone sprayer</t>
  </si>
  <si>
    <t>Mobile rubber clinic</t>
  </si>
  <si>
    <t>Food Dehydrator</t>
  </si>
  <si>
    <t>Support to Ensure the Production of Quality Planting Materials</t>
  </si>
  <si>
    <t>No. of seedlings tag issued / tagged</t>
  </si>
  <si>
    <t>No.of protocols optimized for disease indexing of garlic</t>
  </si>
  <si>
    <t>Plant nurseries and mother nurseries geotagged</t>
  </si>
  <si>
    <t>Consultative Meeting /Workshop on guidelines for field legumes and rootcrops</t>
  </si>
  <si>
    <t>Training on rootcrops for evaluators and inspectors conducted</t>
  </si>
  <si>
    <t>Training on field legumes for seed inspectors conducted</t>
  </si>
  <si>
    <t>Support to Sustainable Pest and Disease Management for High Value Crops (Banana, Mango, Onion)</t>
  </si>
  <si>
    <t>B. Extension Support, Education and Training Services Sub-Program</t>
  </si>
  <si>
    <t>Adoption rate of beneficiaries of extension support, education and training services</t>
  </si>
  <si>
    <t>Extension workers trained to support the capacity of LGU's</t>
  </si>
  <si>
    <t>Female</t>
  </si>
  <si>
    <t>Male</t>
  </si>
  <si>
    <t>Individual benefiaciaries provided with training support services</t>
  </si>
  <si>
    <t>Training and training-related events</t>
  </si>
  <si>
    <t>Package of Technology (POT) Conducted</t>
  </si>
  <si>
    <t>Extension worker</t>
  </si>
  <si>
    <t>Farmers</t>
  </si>
  <si>
    <t>Training of Trainers (TOT) conducted</t>
  </si>
  <si>
    <t>Extension Worker</t>
  </si>
  <si>
    <t>Season Long Training started</t>
  </si>
  <si>
    <t>Farmer's Field School (FFS) started</t>
  </si>
  <si>
    <t>School on the Air (SOA)</t>
  </si>
  <si>
    <t>Specialized Training</t>
  </si>
  <si>
    <t>Training related events</t>
  </si>
  <si>
    <t>Coffee Cupping</t>
  </si>
  <si>
    <t>Coffee Congress</t>
  </si>
  <si>
    <t>Coffee Expo</t>
  </si>
  <si>
    <t>Cacao Congress</t>
  </si>
  <si>
    <t>Banana Congress</t>
  </si>
  <si>
    <t>Durian Expo</t>
  </si>
  <si>
    <t>PCQC</t>
  </si>
  <si>
    <t>PCE</t>
  </si>
  <si>
    <t>Technology Demonstration Establishment</t>
  </si>
  <si>
    <t>Technology Demonstration (General)</t>
  </si>
  <si>
    <t>Technology Demonstration (Rejuvenation of Old Tress)</t>
  </si>
  <si>
    <t>Number of site</t>
  </si>
  <si>
    <t>Number of tress fertilized</t>
  </si>
  <si>
    <t>Calamansi</t>
  </si>
  <si>
    <t>Establishment of Learning Sites</t>
  </si>
  <si>
    <t>Learning Sites</t>
  </si>
  <si>
    <t>Urban Agriculture Garden</t>
  </si>
  <si>
    <t>Support to Agricultural Extension</t>
  </si>
  <si>
    <t>AEWs provided with incentives</t>
  </si>
  <si>
    <t>Achievers Award</t>
  </si>
  <si>
    <t>Outstanding PLGU</t>
  </si>
  <si>
    <t>Top 10 AEWs of the Year</t>
  </si>
  <si>
    <t>Model Farmer Cluster of the Year</t>
  </si>
  <si>
    <t>Best Urban Agriculture Implementer</t>
  </si>
  <si>
    <t>Best Gulayan sa Barangay Implementer</t>
  </si>
  <si>
    <t>Information, Education and Communication</t>
  </si>
  <si>
    <t>IEC Materials Dissemination</t>
  </si>
  <si>
    <t>Print disseminated</t>
  </si>
  <si>
    <t>Radio plugs aired</t>
  </si>
  <si>
    <t>TV plugs aired</t>
  </si>
  <si>
    <t>Social media plugs aired</t>
  </si>
  <si>
    <t>IEC Activities Conducted</t>
  </si>
  <si>
    <t>Press release/presscon/media interfacing</t>
  </si>
  <si>
    <t>Info Caravan</t>
  </si>
  <si>
    <t>Documentation of success stories</t>
  </si>
  <si>
    <t>Process Indicators</t>
  </si>
  <si>
    <t>Radio plugs produced</t>
  </si>
  <si>
    <t>TV plugs produced</t>
  </si>
  <si>
    <t>Research and Development Sub-Program</t>
  </si>
  <si>
    <t>Outcome Indicator</t>
  </si>
  <si>
    <t>No outcome indicator since R&amp;D activities serves as inputs to other programs/sub-program</t>
  </si>
  <si>
    <t>Research and Development Activities Funded</t>
  </si>
  <si>
    <t>Applied Research</t>
  </si>
  <si>
    <t>Production related research activities</t>
  </si>
  <si>
    <t>New</t>
  </si>
  <si>
    <t>New Production-related R&amp;D activities funded</t>
  </si>
  <si>
    <t>New Production-related R&amp;D activities conducted</t>
  </si>
  <si>
    <t>Continuing</t>
  </si>
  <si>
    <t>Continuing Production-related R&amp;D activities funded</t>
  </si>
  <si>
    <t>Continuing Production-related R&amp;D activities conducted</t>
  </si>
  <si>
    <t>Postharvest related research activities</t>
  </si>
  <si>
    <t>New Postharvest-related R&amp;D activities funded</t>
  </si>
  <si>
    <t>New Postharvest-related R&amp;D activities conducted</t>
  </si>
  <si>
    <t>Continuing Postharvest-related R&amp;D activities funded</t>
  </si>
  <si>
    <t>Continuing Postharvest-related R&amp;D activities conducted</t>
  </si>
  <si>
    <t>Technology Commerlization R&amp;D Activities</t>
  </si>
  <si>
    <t>II. AGRICULTURAL MACHINERY, EQUIPMENT, FACILITES AND INFRASTRUCTURE PROGRAM</t>
  </si>
  <si>
    <t>A. Agricultural Machinery, Equipment and Facilities Support Services Sub-Program</t>
  </si>
  <si>
    <t>Beneficiaries rating the agricultural machinery, equipment, equipment and facilities provided to be at least satisfactory</t>
  </si>
  <si>
    <t>LGUs provided with agricultural machineries, equipment and facilities</t>
  </si>
  <si>
    <t>Farm Production-related Machinery and Equipment Distribution</t>
  </si>
  <si>
    <t>Beneficiaries</t>
  </si>
  <si>
    <t>Tractor</t>
  </si>
  <si>
    <t>Multi cultivator</t>
  </si>
  <si>
    <t>Power sprayer</t>
  </si>
  <si>
    <t>Pole/power pruner</t>
  </si>
  <si>
    <t>Soil auger</t>
  </si>
  <si>
    <t>Fogging machine</t>
  </si>
  <si>
    <t>Boom type sprayer</t>
  </si>
  <si>
    <t>Pruning machine</t>
  </si>
  <si>
    <t>Drone Sprayer</t>
  </si>
  <si>
    <t>Onion seeder</t>
  </si>
  <si>
    <t>Production Facilities Establishment</t>
  </si>
  <si>
    <t>Screenhouse</t>
  </si>
  <si>
    <t xml:space="preserve">School Garden </t>
  </si>
  <si>
    <t>Gulayan sa Barangay</t>
  </si>
  <si>
    <t>Mushroom culture laboratory</t>
  </si>
  <si>
    <t>Village level Biocon Laboratory</t>
  </si>
  <si>
    <t>Composting Facilities for Biodegradable Wastes (CFBWs) Technology Package</t>
  </si>
  <si>
    <t>Postharvest/processing equipment and machineries distributed/constructed</t>
  </si>
  <si>
    <t>Banana Chipper</t>
  </si>
  <si>
    <t>Banana fryer</t>
  </si>
  <si>
    <t>Cashew decorticator</t>
  </si>
  <si>
    <t>Pineapple decorticating machine</t>
  </si>
  <si>
    <t>Coffee huller</t>
  </si>
  <si>
    <t>Coffee pulper</t>
  </si>
  <si>
    <t>Coffee roaster</t>
  </si>
  <si>
    <t>Coffee grinder</t>
  </si>
  <si>
    <t>Coffee sorter</t>
  </si>
  <si>
    <t>Cacao Huller</t>
  </si>
  <si>
    <t>Cacao Bean Cutter</t>
  </si>
  <si>
    <t>Cacao Bean Sorter</t>
  </si>
  <si>
    <t>Cacao grinder</t>
  </si>
  <si>
    <t>Cacao roaster</t>
  </si>
  <si>
    <t>Cacao winnower</t>
  </si>
  <si>
    <t>Cacao melanger</t>
  </si>
  <si>
    <t>Coffee/Cacao dryer (Mechanical)</t>
  </si>
  <si>
    <t>Collapsible dryer</t>
  </si>
  <si>
    <t>Cashew shelling machine</t>
  </si>
  <si>
    <t>Mungbean sheller</t>
  </si>
  <si>
    <t>Peanut sheller</t>
  </si>
  <si>
    <t>Multi-commodity solar dryer</t>
  </si>
  <si>
    <t>Extractor</t>
  </si>
  <si>
    <t>Moisture meter</t>
  </si>
  <si>
    <t>Distilling Machine</t>
  </si>
  <si>
    <t>Hot water treatment tank</t>
  </si>
  <si>
    <t>Vacuum sealer</t>
  </si>
  <si>
    <t>Vacuum fryer</t>
  </si>
  <si>
    <t>Vacuum cooling system</t>
  </si>
  <si>
    <t>Hermetic bag for coffee</t>
  </si>
  <si>
    <t xml:space="preserve">Plastic Crate </t>
  </si>
  <si>
    <t>Refrigerated van</t>
  </si>
  <si>
    <t>Tempering Machine</t>
  </si>
  <si>
    <t>Zero Emission Cooling Chamber (ZECC)</t>
  </si>
  <si>
    <t>Bubbler</t>
  </si>
  <si>
    <t>Pili Sorter</t>
  </si>
  <si>
    <t>Pili Depulper</t>
  </si>
  <si>
    <t>Pili Nut Cracker</t>
  </si>
  <si>
    <t>Pili Testa Remover</t>
  </si>
  <si>
    <t>Pili Dehydrator</t>
  </si>
  <si>
    <t>Pili Grinder</t>
  </si>
  <si>
    <t>Pili Elemi Oil Extractor</t>
  </si>
  <si>
    <t>Pili Pulp Oil Extractor</t>
  </si>
  <si>
    <t>Pili Kernel Oil Extractor</t>
  </si>
  <si>
    <t>Deck Oven</t>
  </si>
  <si>
    <t>Sweet Potato Chipper</t>
  </si>
  <si>
    <t>Sweet Potato Pulverizer</t>
  </si>
  <si>
    <t>Sweet Potato Noodle-Maker</t>
  </si>
  <si>
    <t>Freeze Dryer</t>
  </si>
  <si>
    <t>Spray Dryer</t>
  </si>
  <si>
    <t>Blast Freezer</t>
  </si>
  <si>
    <t>Postharvest Facility Establishment</t>
  </si>
  <si>
    <t>Tramline</t>
  </si>
  <si>
    <t>Onion hanger storage</t>
  </si>
  <si>
    <t>Onion cold storage</t>
  </si>
  <si>
    <t>Multi-commodity cold storage</t>
  </si>
  <si>
    <t>Fermentation facility for cacao</t>
  </si>
  <si>
    <t>Packaging house facility/Consolidation shed</t>
  </si>
  <si>
    <t xml:space="preserve">Dehydration Facility </t>
  </si>
  <si>
    <t>Cacao storage</t>
  </si>
  <si>
    <t>Cacao postharvest facility</t>
  </si>
  <si>
    <t>Pre-fabricated coffee storage</t>
  </si>
  <si>
    <t>Greenhouse type solar dryer</t>
  </si>
  <si>
    <t>Pili postharvest facility</t>
  </si>
  <si>
    <t>Bamboo Curing Facility</t>
  </si>
  <si>
    <t>Vegetable / Onion Sorter Facility</t>
  </si>
  <si>
    <t>Zero Energy Cooling Chmaber</t>
  </si>
  <si>
    <t>Community Based Processing Facility Establishment</t>
  </si>
  <si>
    <t>Banana chips processing facility</t>
  </si>
  <si>
    <t>Calamansi oil extracting facility</t>
  </si>
  <si>
    <t>Citrus/Calamansi juice/powder processing facility</t>
  </si>
  <si>
    <t>Mango chips/juice processing facility</t>
  </si>
  <si>
    <t>Coffee product processing facility</t>
  </si>
  <si>
    <t>Coffee development hub</t>
  </si>
  <si>
    <t>Cacao products processing facility</t>
  </si>
  <si>
    <t>Onion processing facility</t>
  </si>
  <si>
    <t>Pili processing facility</t>
  </si>
  <si>
    <t>Vegetable semi-processed processing facility</t>
  </si>
  <si>
    <t>Rootcrops chips/flour processing facility</t>
  </si>
  <si>
    <t>Banana wine processing facility</t>
  </si>
  <si>
    <t>Cashew processing facility</t>
  </si>
  <si>
    <t>Mungbean products processing facility</t>
  </si>
  <si>
    <t>Fruits and vegetables processing facility</t>
  </si>
  <si>
    <t>Pineapple Processing Facility</t>
  </si>
  <si>
    <t>Peanut processing facility</t>
  </si>
  <si>
    <t>Citrusprocessing facility</t>
  </si>
  <si>
    <t>Onion processing facility (dehydrated onion leaves)</t>
  </si>
  <si>
    <t>B. Irrigation Network Services Sub-Program</t>
  </si>
  <si>
    <t>Service area generated form the establishment and installation of small scale irrigation projects (SSPI's)</t>
  </si>
  <si>
    <t>LGU's assisted with the small-scale irrigatoin projects (SSIP's)</t>
  </si>
  <si>
    <t>Small scale irrigation projects (SSIP) constructed/installed</t>
  </si>
  <si>
    <t>Service area</t>
  </si>
  <si>
    <t>Small Farm Reservoir</t>
  </si>
  <si>
    <t>Spring Development</t>
  </si>
  <si>
    <t>Pump and Engine Set (STW)</t>
  </si>
  <si>
    <t>Drip Irrigation System</t>
  </si>
  <si>
    <t>Wind Pump (Pump Irrigation System)</t>
  </si>
  <si>
    <t>Ramp Pump (Pump Irrigation System)</t>
  </si>
  <si>
    <t>Solar-Powered Irrigation System</t>
  </si>
  <si>
    <t>Fertigation System</t>
  </si>
  <si>
    <t>NATIONAL URBAN AND PERI-URBAN AGRICULTURE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</si>
  <si>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</si>
  <si>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I.A. Production Support Services Sub-Program</t>
  </si>
  <si>
    <t>Seeds Procured for Distribution</t>
  </si>
  <si>
    <t>kilograms distributed</t>
  </si>
  <si>
    <t>Planting Materials for Distribution</t>
  </si>
  <si>
    <t>Fruit Bearing Tree (seedlings)</t>
  </si>
  <si>
    <t>Strawberry (cuttings)</t>
  </si>
  <si>
    <t>Calamansi (seedlings)</t>
  </si>
  <si>
    <t>Soil Mix/Fertilizer:</t>
  </si>
  <si>
    <t>Organic Fertilizer - solid</t>
  </si>
  <si>
    <t>Soilless Media/Potting Mix</t>
  </si>
  <si>
    <t>Liquid Fertilizer - Hydroponic Solution</t>
  </si>
  <si>
    <t>Other Farm Inputs</t>
  </si>
  <si>
    <t>Seedling Tray</t>
  </si>
  <si>
    <t>Plastic Mulch</t>
  </si>
  <si>
    <t>rolls</t>
  </si>
  <si>
    <t>Water Sprinkler</t>
  </si>
  <si>
    <t>Set of Garden Tools</t>
  </si>
  <si>
    <t>Clay Pot</t>
  </si>
  <si>
    <t>Soft pots</t>
  </si>
  <si>
    <t>Stackable pots</t>
  </si>
  <si>
    <t>Plastic Drum</t>
  </si>
  <si>
    <t>Garden Hose</t>
  </si>
  <si>
    <t>Wheel Barrow</t>
  </si>
  <si>
    <t>I.B. Extension Support, Education and Training Services Sub-Program</t>
  </si>
  <si>
    <t>II.A. Agricultural Machinery, Equipment and Facilities Support Services Sub-Program</t>
  </si>
  <si>
    <t>Farm production-related machinery and equipment distributed</t>
  </si>
  <si>
    <t>Mini-tilling Machine</t>
  </si>
  <si>
    <t>Multi-cultivator</t>
  </si>
  <si>
    <t>Other facilities and activities</t>
  </si>
  <si>
    <t>Poultry Housing with Module</t>
  </si>
  <si>
    <t>Mushroom House with Spawn</t>
  </si>
  <si>
    <t>Greenhouse with Hydroponics and Water System</t>
  </si>
  <si>
    <t>Rabbit Module with Housing</t>
  </si>
  <si>
    <t>Postharvest/processing equipment and machineries distributed/ constructed</t>
  </si>
  <si>
    <t>Production Facility Constructed/Established</t>
  </si>
  <si>
    <t>Poultry Housing constructed</t>
  </si>
  <si>
    <t>Mushroom Fruiting House established</t>
  </si>
  <si>
    <t>Greenhouse with Hydroponics</t>
  </si>
  <si>
    <t>II.B. Irrigation Network Services (INS) Sub-program</t>
  </si>
  <si>
    <t>LIVESTOCK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</si>
  <si>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</si>
  <si>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1. National Animal Genetic Resources Improvement Program</t>
  </si>
  <si>
    <t>1.1. Unified National Artificial Insemination Program</t>
  </si>
  <si>
    <t>Cattle</t>
  </si>
  <si>
    <t>Goat</t>
  </si>
  <si>
    <t xml:space="preserve"> Planting Materials Distributed</t>
  </si>
  <si>
    <t>2. Philippine Native Animal Development</t>
  </si>
  <si>
    <t>Native Chicken Distribtuion</t>
  </si>
  <si>
    <t>Duck Distribution</t>
  </si>
  <si>
    <t>1.2. Development, Maintenance, and  Rehabilitation / Upgrading of Government Stock Farms and  Other  Facilities</t>
  </si>
  <si>
    <t>Goat (Meat type)</t>
  </si>
  <si>
    <t>Goat (Dairy type)</t>
  </si>
  <si>
    <t>Sheep</t>
  </si>
  <si>
    <t>2. Support to Prevention and Control of Economically Important Diseases</t>
  </si>
  <si>
    <t>1. Drug and Biologic Support</t>
  </si>
  <si>
    <t>2. Calibrated sentinelling and Repopulation</t>
  </si>
  <si>
    <t>Piglets Distributed</t>
  </si>
  <si>
    <t>Feeds Distributed</t>
  </si>
  <si>
    <t>Test Kit Distributed</t>
  </si>
  <si>
    <t>3. Livestock Economic Enterprise Development (LEED)</t>
  </si>
  <si>
    <t>Chicken Multiplier Farm</t>
  </si>
  <si>
    <t>Goat Multiplier Farm</t>
  </si>
  <si>
    <t>Sheep Multiplier Farm</t>
  </si>
  <si>
    <t xml:space="preserve"> </t>
  </si>
  <si>
    <t>1. Production Facilities Established</t>
  </si>
  <si>
    <t>1.1 Livestock Economic Enterprise Development (LEED)</t>
  </si>
  <si>
    <t>Cattle Multiplier Farm</t>
  </si>
  <si>
    <t>Duck Multiplier Farm</t>
  </si>
  <si>
    <t>Honeybee Multiplier Farm</t>
  </si>
  <si>
    <t>Carabao Multiplier</t>
  </si>
  <si>
    <t>Silage Facility</t>
  </si>
  <si>
    <t>Provision of Equipment and Facilities</t>
  </si>
  <si>
    <t>Procurement of Solar Sets</t>
  </si>
  <si>
    <t>Provision of Animal hauling trucks</t>
  </si>
  <si>
    <t>Provision of tractor</t>
  </si>
  <si>
    <t>CAPITAL OUTLAY</t>
  </si>
  <si>
    <t>Improvement of goat housing</t>
  </si>
  <si>
    <t>Establishment of poultry house</t>
  </si>
  <si>
    <t>Establishment of isolation area</t>
  </si>
  <si>
    <t>Establishment of water irrigation system for corn silage</t>
  </si>
  <si>
    <t>DA-NVES fencing premises</t>
  </si>
  <si>
    <t>Establishment of forage nursery</t>
  </si>
  <si>
    <t>ORGANIC AGRICULTURE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</si>
  <si>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</si>
  <si>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 TECHNICAL AND SUPPORT SERVICES PROGRAM</t>
  </si>
  <si>
    <t>I.1. Production Support Services Sub-program</t>
  </si>
  <si>
    <t>A. On- station seeds production and distribution</t>
  </si>
  <si>
    <t>a.1. Vegetables</t>
  </si>
  <si>
    <t>Individual provided with vegetable seeds</t>
  </si>
  <si>
    <t>Group</t>
  </si>
  <si>
    <t>Assorted Open-pollinated varieties</t>
  </si>
  <si>
    <t>kg</t>
  </si>
  <si>
    <t>Provincewide</t>
  </si>
  <si>
    <t>a.2. Rice</t>
  </si>
  <si>
    <t>Individual provided with upland rice seeds</t>
  </si>
  <si>
    <t>Upland rice</t>
  </si>
  <si>
    <t>a.3. Corn</t>
  </si>
  <si>
    <t>Individual provided with OPV corn seeds</t>
  </si>
  <si>
    <t>OPV Corn</t>
  </si>
  <si>
    <t>a.3. Peanut</t>
  </si>
  <si>
    <t>Kg</t>
  </si>
  <si>
    <t>B. Farm supplies distributed</t>
  </si>
  <si>
    <t>Seedling Trays (100 holes)</t>
  </si>
  <si>
    <t>Pieces</t>
  </si>
  <si>
    <t>UV Plastic 6mil UV polyethylene plastic film for green house (7mX90mx.006 inch)</t>
  </si>
  <si>
    <t>Rolls</t>
  </si>
  <si>
    <t>C. Establishment of Organic Seeds Centers</t>
  </si>
  <si>
    <t>II. AGRICULTURAL, MACHIENERIES, FACILITIES AND INFRASTRUCTURE PROGAM</t>
  </si>
  <si>
    <t>A. Agricultural and Fishery Machinery, Equipment and Facilities Support Services Sub-program</t>
  </si>
  <si>
    <t>1. Provision of Agricultural Equipment and Facilities</t>
  </si>
  <si>
    <t>1.1 Provision of Shredder Machines</t>
  </si>
  <si>
    <t>1.2. Provision of Cultivator</t>
  </si>
  <si>
    <t>1.3. Greenhouse</t>
  </si>
  <si>
    <t>1.4. Production Facility for Organic Fertilizer Production</t>
  </si>
  <si>
    <t>1. RUNRUNO MULTIPURPOSE COOPERATIVE, Runruno, Quezon, Nueva Vizcaya
2. DUR-AS Agriculture Cooperative, Duruarug, Diadi, Nueva Vizcaya</t>
  </si>
  <si>
    <t>1.5. Establishment of Rain Shelter</t>
  </si>
  <si>
    <t>1.6. Establishment of Poultry House</t>
  </si>
  <si>
    <t>B.Irrigation Network Services (INS) Sub-program</t>
  </si>
  <si>
    <t>1. Small Scale Irrigation Projects (SSIP) Construction/Installation</t>
  </si>
  <si>
    <t>1.1 Solar Pump with drilling</t>
  </si>
  <si>
    <t>Nueva Vizcaya PGS Inc.</t>
  </si>
  <si>
    <t>1.2. Provision of Dual Purpose Pump and Engine</t>
  </si>
  <si>
    <t>HALAL DEVELOPMENT INDUSTRY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</si>
  <si>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</si>
  <si>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A. Extension Support, Education and Training Services</t>
  </si>
  <si>
    <t>1. Advanced Training cum Production on Halal Farming Systems</t>
  </si>
  <si>
    <t>Halal orientation conducted</t>
  </si>
  <si>
    <t>Participants</t>
  </si>
  <si>
    <t>2. Halal Product Certification Assistance</t>
  </si>
  <si>
    <t>Kasibu</t>
  </si>
  <si>
    <t>Product for certification</t>
  </si>
  <si>
    <t>3. Assistance on the Production of DA Assisted Halal Certified Products</t>
  </si>
  <si>
    <t>Products assisted</t>
  </si>
  <si>
    <t>4. Training on Halal Compliance, Certification, and Export Requirements (Ube &amp; Coffee)</t>
  </si>
  <si>
    <t>5. Training on Postharvest Handling</t>
  </si>
  <si>
    <t>PRODUCTION SUPPORT SERVICES</t>
  </si>
  <si>
    <t>Provision of Coffee Drip Irrigation System</t>
  </si>
  <si>
    <t>Kasibu, Kayapa, Ambaguio, Dupax Del Sur, Bagabag</t>
  </si>
  <si>
    <t>B. Field Program Management Activities (FPMA)</t>
  </si>
  <si>
    <t>1. Halal Product Certification Assistance</t>
  </si>
  <si>
    <t xml:space="preserve">Hiring of </t>
  </si>
  <si>
    <t>FARM-TO-MARKET ROAD DEVELOPMENT PROGRAM</t>
  </si>
  <si>
    <t>MUNICIPALITY</t>
  </si>
  <si>
    <t>LOCATION (BARANGAY)</t>
  </si>
  <si>
    <t xml:space="preserve">NAME OF PROJECTS </t>
  </si>
  <si>
    <t>ESTIMATED LENGTH (KM)</t>
  </si>
  <si>
    <t>ESTIMATED AMOUNT
(₱ '000)</t>
  </si>
  <si>
    <t>FY 2025 GAA</t>
  </si>
  <si>
    <t>Bagabag</t>
  </si>
  <si>
    <t>Baretbet-Pogonsino</t>
  </si>
  <si>
    <t>Concreting of Baretbet-Pogonsino Section FMR, Brgy. Baretbet-Pogonsino, Bagabag, Nueva Vizcaya</t>
  </si>
  <si>
    <t>Murong, Bagabag</t>
  </si>
  <si>
    <t>Opening and Concreting of Tay-a-Santor FMR, Brgy. Murong, Bagabag, Nueva Vzicaya</t>
  </si>
  <si>
    <t>Quirino - San Geronimo</t>
  </si>
  <si>
    <t>Opening and Concreting of FMR at Brgy. Quirino - San Geronimo , Bagabag, Nueva Vizcaya</t>
  </si>
  <si>
    <t>Baretbet</t>
  </si>
  <si>
    <t>Upgrading of Baretbet- Dumayop-Masina FMR,Brgy. Baretbet, Bagabag, Nueva Vizcaya</t>
  </si>
  <si>
    <t>Upgrading/Concreting of Santiago Road FMR , Sitio Amballo North - Amballo South, Brgy. Baretbet, Bagabag, Nueva Vizcaya</t>
  </si>
  <si>
    <t>Solono</t>
  </si>
  <si>
    <t>Commonal</t>
  </si>
  <si>
    <t>Concreting of Brgy. Commonal FMR, Brgy. Commonal, Solono, Nueva Vizcaya</t>
  </si>
  <si>
    <t>Bambang</t>
  </si>
  <si>
    <t>Dinili- Calaocan</t>
  </si>
  <si>
    <t>Concreting of Brgy. Dinili FMR, Brgy. Calaocan, Bambang, Nueva Vizcaya</t>
  </si>
  <si>
    <t>Kayapa</t>
  </si>
  <si>
    <t>Cabayo- Balete, Kayapa, Nueva Vizcaya</t>
  </si>
  <si>
    <t>Concreting of Cabayo- Balete FMR, Brgy. Cabayo- Balete, Kayapa, Nueva Vizcaya</t>
  </si>
  <si>
    <t>Nantawakan, Kasibu, Nueva Vizcaya</t>
  </si>
  <si>
    <t>Concreting of Nantawakan FMR, Brgy. Nantawakan, Kasibu, Nueva Vizcaya</t>
  </si>
  <si>
    <t>San Fernando</t>
  </si>
  <si>
    <t>Concreting of Mapatang San Fernando FMR, Brgy. San Fernando, Bambang, Nueva Vizcaya</t>
  </si>
  <si>
    <t>Barat</t>
  </si>
  <si>
    <t>Concreting of Brgy. Barat- Brgy. Macalanga-Brgy. Pallas-Brgy. Salinas FMR, Bambang, 
Nueva Vizcaya</t>
  </si>
  <si>
    <t>Sta. Fe</t>
  </si>
  <si>
    <t>Pallay Unib</t>
  </si>
  <si>
    <t>Concreting of Pallay Unib FMR, Brgy. Unib Sta. Fe Nueva Vizcaya</t>
  </si>
  <si>
    <t>Alfonso Castañeda</t>
  </si>
  <si>
    <t>Lublub</t>
  </si>
  <si>
    <t>Concreting of Purok 6 to Purok 10 FMR, Brgy. Lublub, Alfonso Castañeda, Nueva Vizcaya</t>
  </si>
  <si>
    <t>Santa Fe</t>
  </si>
  <si>
    <t>Baracbac</t>
  </si>
  <si>
    <t>Concreting of Purok 4, Brgy. Baracbac FMR, Brgy. Baracbac, Santa Fe, Nueva Vizcaya</t>
  </si>
  <si>
    <t>Calitlitan</t>
  </si>
  <si>
    <t xml:space="preserve">Concreting of Brgy. Calitlitan to Brgy. Buyasyas FMR, Brgy. Calitlitan, Aritao and Brgy. Buyasyas, </t>
  </si>
  <si>
    <t>Aritao</t>
  </si>
  <si>
    <t>Balite</t>
  </si>
  <si>
    <t>Concreting of Brgy. Balite FMR, Brgy. Balite, Aritao, Nueva Vizcaya</t>
  </si>
  <si>
    <t>Beti</t>
  </si>
  <si>
    <t>Concreting of Sitio Mabauang (Upper and Lower) FMR, Brgy. Beti, Aritao, Nueva Vizcaya</t>
  </si>
  <si>
    <t>Bayombong</t>
  </si>
  <si>
    <t>Busilac</t>
  </si>
  <si>
    <t>Concreting of Brgy. Busilac, Sitio Simmusu and Sitio Pacpaco, Purok 7 FMR, 
Brgy. Busilac, Bayombong, Nueva Vizcaya
Nueva Vizcaya</t>
  </si>
  <si>
    <t>Cabuaan</t>
  </si>
  <si>
    <t>Concreting of Brgy. Cabuaan, Ladao Road, Purok 4 FMR, Brgy. Cabuaan, 
Bayombong, Nueva Vizcaya</t>
  </si>
  <si>
    <t>Magapuy</t>
  </si>
  <si>
    <t>Concreting of Brgy. Magapuy, Purok 6, Bantil Road FMR, Brgy. Magapuy,</t>
  </si>
  <si>
    <t>Dupax Del Sur</t>
  </si>
  <si>
    <t>Kimbutan</t>
  </si>
  <si>
    <t>Concreting of Kimbutan (Purok Gunot-Pinakdetan) FMR, Brgy. Kimbutan, 
Dupax del Sur, Nueva Vizcaya</t>
  </si>
  <si>
    <t>Pao</t>
  </si>
  <si>
    <t>Construction of Brgy. Pao FMR, Brgy. Pao, Kasibu, Nueva Vizcaya</t>
  </si>
  <si>
    <t>Villaverde</t>
  </si>
  <si>
    <t>Sawmill</t>
  </si>
  <si>
    <t>Concreting of Sawmill FMR, Brgy. Sawmill, Villaverde, Nueva Vizcaya</t>
  </si>
  <si>
    <t>Pinayag</t>
  </si>
  <si>
    <t>Concreting of Pantal-Pinayag, Gubot, Latbang FMR, Brgy. Pinayag, Kayapa, Nueva Vizcaya</t>
  </si>
  <si>
    <t>FY 2027 PROPOSAL (TIER I)</t>
  </si>
  <si>
    <t>Ambaguio</t>
  </si>
  <si>
    <t xml:space="preserve">Poblacion </t>
  </si>
  <si>
    <t>Construction of Natebwek-Bacwit FMR, Brgy. Poblacion, Ambaguio, Nueva Vizcaya</t>
  </si>
  <si>
    <t xml:space="preserve">Babadi </t>
  </si>
  <si>
    <t>Concreting of Brgy Babadi (Ganza-Buhlangan) FMR, Brgy. Babadi, Kayapa, Nueva Vizcaya</t>
  </si>
  <si>
    <t xml:space="preserve">Macalong </t>
  </si>
  <si>
    <t>Concreting of Brgy Macalong (Cell Site) FMR, 
Brgy Macalong, Kasibu, Nueva Vizcaya</t>
  </si>
  <si>
    <t>Alfonso 
Castaneda</t>
  </si>
  <si>
    <t>Concreting of Balintogon-Diwakwak FMR, Brgy. Lublub, Alfonso Castañeda, Nueva Vizcaya</t>
  </si>
  <si>
    <t xml:space="preserve">Carolotan </t>
  </si>
  <si>
    <t>Concreting of Carolotan (Dalayap) - Ganao- Sanguit FMR, Brgy. Carolotan, Dupax del Sur, Nueva Vizcaya</t>
  </si>
  <si>
    <t>Tactac</t>
  </si>
  <si>
    <t>Concreting of Tactac-Atbu FMR, Brgy. Atbu, Sta. Fe, Nueva Vizcaya</t>
  </si>
  <si>
    <t>SUBTOTAL</t>
  </si>
  <si>
    <t>FY 2027 PROPOSAL (TIER II)</t>
  </si>
  <si>
    <t>Villaflores</t>
  </si>
  <si>
    <t>Concreting of Villaflores to Tac-tac FMR, Brgy. Villaflores, Santa Fe, Nueva Vizcaya</t>
  </si>
  <si>
    <t>Camamasi</t>
  </si>
  <si>
    <t>Concreting of Joker Section-Brgy Biyoy FMR, Brgy. Camamasi, Kasibu, Nueva Vizcaya</t>
  </si>
  <si>
    <t>Acacia</t>
  </si>
  <si>
    <t>Concreting of Acacia-Binalian (Padang to Centro Section) FMR, Brgy. Acacia, Kayapa, Nueva Vizcaya</t>
  </si>
  <si>
    <t>Tiblac</t>
  </si>
  <si>
    <t>Concreting of Labbi FMR, Brgy Tiblac, 
Ambaguio, Nueva Vizcaya</t>
  </si>
  <si>
    <t>Diadi</t>
  </si>
  <si>
    <t>San Pablo</t>
  </si>
  <si>
    <t>Concreting of Guyabano Road FMR, Brgy San Pablo, Diadi, Nueva Vizcaya</t>
  </si>
  <si>
    <t>Duruarog</t>
  </si>
  <si>
    <t>Concreting of Purok 5 (Burburnay) FMR, Brgy. Duruarog, Diadi, Nueva Vizcaya</t>
  </si>
  <si>
    <t>Upgrading of Amballo South-Mantanibong FMR, Brgy. Baretbet, Bagabag, Nueva Vizcaya</t>
  </si>
  <si>
    <t>Murong</t>
  </si>
  <si>
    <t>Concreting of Murong (Kateppangan) - Careb FMR, Brgy. Murong, Bagabag, Nueva Vizcaya</t>
  </si>
  <si>
    <t>Bintawan sur</t>
  </si>
  <si>
    <t>Concreting of Brgy Bintawan Sur (Lalatton to Mapaina) FMR, Villaverde, Nueva Vizcaya</t>
  </si>
  <si>
    <t>Casat</t>
  </si>
  <si>
    <t>Concreting of Casat-Masoc (Perez Road) FMR, Brgy Casat, Bayombong, Nueva Vizcaya</t>
  </si>
  <si>
    <t>Bansing</t>
  </si>
  <si>
    <t>Concreting of Brgy Bansing (Purok 4 to Purok 3) FMR, Bayombong, Nueva Vizcaya</t>
  </si>
  <si>
    <t>Runruno</t>
  </si>
  <si>
    <t>Upgrading of Abroad-Dumaliguia FMR, Brgy Runruno, Quezon, Nueva Vizcaya</t>
  </si>
  <si>
    <t>Bonifacio</t>
  </si>
  <si>
    <t>Concreting of Brgy Bonifacio (Burburnay) FMR, Brgy. Bonifacio, Quezon, Nueva Vizcaya</t>
  </si>
  <si>
    <t>Dupax Del Norte</t>
  </si>
  <si>
    <t>Inaban</t>
  </si>
  <si>
    <t>Concreting of Pelagio Street FMR, Brgy Inaban, Brgy. Inaban, Dupax del Norte, Nueva Vizcaya</t>
  </si>
  <si>
    <t>Malasin</t>
  </si>
  <si>
    <t>Concreting of Malasin (Accon)-Canabay FMR, Brgy. Malasin, Dupax del Norte, Nueva Vizcaya</t>
  </si>
  <si>
    <t>Sto Domingo West</t>
  </si>
  <si>
    <t>Concreting of Sto Domingo West FMR, Brgy. Sto. Domingo West, Bambang, Nueva Vizcaya</t>
  </si>
  <si>
    <t>Indiana</t>
  </si>
  <si>
    <t>Concreting of Brgy Indiana (Kabayabasan to Purok 2) FMR, Brgy. Indiana, Bambang, Nueva Vizcaya</t>
  </si>
  <si>
    <t>Ocao-Capiniaan</t>
  </si>
  <si>
    <t>Concreting of Brgy. Ocao-Capiniaan FMR, Brgy. Ocao to Brgy. Capiniaan, Aritao, Nueva Vizcaya</t>
  </si>
  <si>
    <t>Baan</t>
  </si>
  <si>
    <t>Concreting of Upper Baan FMR, Brgy. Upper Baan,  Aritao, Nueva Vizcaya</t>
  </si>
  <si>
    <t>Wacal</t>
  </si>
  <si>
    <t>Concreting of Brgy. Wacal FMR, Wacal, Brgy. Wacal, Solano, Nueva Vizcaya</t>
  </si>
  <si>
    <t>Quirino</t>
  </si>
  <si>
    <t>Concreting of Brgy Quirino FMR, Brgy. Quirino, Solano, Nueva Vizcaya</t>
  </si>
  <si>
    <t>Mangayang</t>
  </si>
  <si>
    <t>Concreting of Brgy Mangayang (Ambueyo) FMR, Brgy. Mangayang, Dupax del Sur, Nueva Vizcaya</t>
  </si>
  <si>
    <t>Alfonso Castaneda</t>
  </si>
  <si>
    <t>Galintuha</t>
  </si>
  <si>
    <t>Construction of Purok 4 FMR, Brgy Galintuja, Alfonso Castañeda, Nueva Vizcaya</t>
  </si>
  <si>
    <t>DEPARTMENT OF AGRICULTURE-REGIONAL FIELD OFFICE 02</t>
  </si>
  <si>
    <t>SPECIAL AREA FOR AGRICULTURAL DEVELOPMENT (SAAD)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</si>
  <si>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</si>
  <si>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 SOCIAL PREPARATION</t>
  </si>
  <si>
    <t>A. Community Needs Assessment (CNA)</t>
  </si>
  <si>
    <t>Villaverde  Amabguio</t>
  </si>
  <si>
    <t>a.1 Orientations, Meetings, Assessments and Consultation conducted</t>
  </si>
  <si>
    <t xml:space="preserve"> a.2 Beneficiary Needs Assessment/ 
Participatory Rural Appraisal (PRA) conducted</t>
  </si>
  <si>
    <t>group</t>
  </si>
  <si>
    <t>B. Beneficiary Capacitation and General Development</t>
  </si>
  <si>
    <t>b.1 Capability Building activities conducted</t>
  </si>
  <si>
    <t>C. Database and Profiling</t>
  </si>
  <si>
    <t>c.1 Beneficiary Profiling conducted</t>
  </si>
  <si>
    <t>c.2 Database Uploading conducted</t>
  </si>
  <si>
    <t>II. FOOD PRODUCTION AND LIVELIHOOD INTERVENTIONS</t>
  </si>
  <si>
    <t>1. HVC-based Project distributed</t>
  </si>
  <si>
    <t>2. Specialized Trainings conducted</t>
  </si>
  <si>
    <t>III. MARKETING ASSISTANCE AND ENTERPRISE DEVELOPMENT</t>
  </si>
  <si>
    <t>1. Market-related trainings conducted</t>
  </si>
  <si>
    <t>2. Partially established CBEs</t>
  </si>
  <si>
    <t>IV. PROGRAM MANAGEMENT</t>
  </si>
  <si>
    <t>4.1. Project Management Offices Maintained</t>
  </si>
  <si>
    <t xml:space="preserve">     4.1.1. Hiring/renewal of manpower</t>
  </si>
  <si>
    <t xml:space="preserve">          A. RPMSO</t>
  </si>
  <si>
    <t xml:space="preserve">          B. PPMSO</t>
  </si>
  <si>
    <t xml:space="preserve">     4.1.2 Office Oprating Requirements</t>
  </si>
  <si>
    <t>4.2. Review and Planning Workshop</t>
  </si>
  <si>
    <t xml:space="preserve">          A. Plan and Budget Preparation (PBP)</t>
  </si>
  <si>
    <t xml:space="preserve">          B. Budget Execution Document (BED) Preparation</t>
  </si>
  <si>
    <t>4.3. Monitoring and Evaluation</t>
  </si>
  <si>
    <t xml:space="preserve">     4.3.1. Conduct of Performance and Budget</t>
  </si>
  <si>
    <t xml:space="preserve">     4.3.2. Implementation of management information</t>
  </si>
  <si>
    <t xml:space="preserve">          - Sub-project monitoring</t>
  </si>
  <si>
    <t>4.4. Project Assessment (PA)</t>
  </si>
  <si>
    <t>4.5. Quarterly Assessment Review</t>
  </si>
  <si>
    <t xml:space="preserve">     4.3.1. National Assessment</t>
  </si>
  <si>
    <t xml:space="preserve">     4.3.2. Regional Assessment</t>
  </si>
  <si>
    <t>Note: FY 2027 budget allocation for the Social Preparation and MAED is by component.</t>
  </si>
  <si>
    <t>MAINSTREAMING CLIMATE RESILIENT AGRICULTURE (MCRA) TO THE REGIONAL PROGRAMS AND PROJECTS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</si>
  <si>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</si>
  <si>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TECHNICAL AND SUPPORT SEVICES PROGRAM</t>
  </si>
  <si>
    <t>I. Production Support Services Sub-Program</t>
  </si>
  <si>
    <t>1. Production and Livelihood Support
  to Farmers-Cooperators</t>
  </si>
  <si>
    <t>- Swine dispersal</t>
  </si>
  <si>
    <t>Number</t>
  </si>
  <si>
    <t>- Ready to lay chicken with battery cage</t>
  </si>
  <si>
    <t>- feeds and biologics</t>
  </si>
  <si>
    <t>lot</t>
  </si>
  <si>
    <t>Technical and Scientific Equipment</t>
  </si>
  <si>
    <t>Automated Weather Station (AWS) established and agro climatic Advisory (ACAP) for Cagayan Valley</t>
  </si>
  <si>
    <t>II. Extension Support, Education and Training Services Sub-Program</t>
  </si>
  <si>
    <t>III. AGRICULTURAL MACHINERY, EQUIPMENT, FACILITES AND INFRASTRUCTURE PROGRAM</t>
  </si>
  <si>
    <t>1. Agricultural Machinery, Equipment and Facilities Support Services Sub-Program</t>
  </si>
  <si>
    <t>Peletizer</t>
  </si>
  <si>
    <t>2. Irrigation Network Services (INS) Sub-program</t>
  </si>
  <si>
    <t>OIC-Chief, PMED</t>
  </si>
  <si>
    <t>KABUHAYAN AT KAUNLARAN NG KABABAYANG KATUTUBO (4Ks)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</si>
  <si>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</si>
  <si>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 PRODUCTION AND LIVELIHOOD COMPONENT</t>
  </si>
  <si>
    <t>Provision of Agricultural Inputs and Livestock</t>
  </si>
  <si>
    <t>1.  Corn and Cassava Related Activity</t>
  </si>
  <si>
    <t>GM Hybrid Corn Seeds</t>
  </si>
  <si>
    <t>no. of kg distributed</t>
  </si>
  <si>
    <t>-</t>
  </si>
  <si>
    <t>c. Cassava Seed Pieces</t>
  </si>
  <si>
    <t>no. of seedpieces distributed</t>
  </si>
  <si>
    <t>2. High Value Crops Related Activity</t>
  </si>
  <si>
    <t>Upland Vegetables</t>
  </si>
  <si>
    <t>Dupax Del Norte and Kayapa</t>
  </si>
  <si>
    <t>Fruit Bearing Trees</t>
  </si>
  <si>
    <t>no. of pcs distributed</t>
  </si>
  <si>
    <t>Organic Fertilizer</t>
  </si>
  <si>
    <t>Ube Planting Materials</t>
  </si>
  <si>
    <t>Ginger Planting Materials</t>
  </si>
  <si>
    <t>Taro/Galyang Planting Materials</t>
  </si>
  <si>
    <t>Banana Planting Materials</t>
  </si>
  <si>
    <t>3. Livestock Related Activity</t>
  </si>
  <si>
    <t>a. Native Chicken</t>
  </si>
  <si>
    <t>no. of head distributed</t>
  </si>
  <si>
    <t>b. Duck</t>
  </si>
  <si>
    <t>a. Goat</t>
  </si>
  <si>
    <t xml:space="preserve">b. Carabao </t>
  </si>
  <si>
    <t>e. Native/Upgraded Pig</t>
  </si>
  <si>
    <t>4. Agricultural Machineries Tools and Equipment</t>
  </si>
  <si>
    <t>a. Hand Tractor with Implement</t>
  </si>
  <si>
    <t>No. of units</t>
  </si>
  <si>
    <t>b. Motorized boat</t>
  </si>
  <si>
    <t>c. Micro-Tiller</t>
  </si>
  <si>
    <t>d. Knapsack Sprayer</t>
  </si>
  <si>
    <t>e. Grass Cutter</t>
  </si>
  <si>
    <t>f. Garden Hose</t>
  </si>
  <si>
    <t>No. of rolls</t>
  </si>
  <si>
    <t>g. Plastic Mulch</t>
  </si>
  <si>
    <t>h. Garden Tools</t>
  </si>
  <si>
    <t>No. of pcs</t>
  </si>
  <si>
    <t>i. Open Source Pump Set</t>
  </si>
  <si>
    <t>2.2. Provision of agricultural machineries</t>
  </si>
  <si>
    <t>2.2.1. Corn and Cassava Related Activity</t>
  </si>
  <si>
    <t>a. Hand Tractor with planter</t>
  </si>
  <si>
    <t>no. of unit distributed</t>
  </si>
  <si>
    <t>b. Hand Tractor with Two-Row Planter</t>
  </si>
  <si>
    <t>c. Power Tiller/Cultivator</t>
  </si>
  <si>
    <t>2.2.2. Fishery Related Activity</t>
  </si>
  <si>
    <t>a. Fishing Boat with Fish Net</t>
  </si>
  <si>
    <t>II.2. PROVISION FOR AGRI-FISHERIES LIVELIHOOD PACKAGES</t>
  </si>
  <si>
    <t>I. Agri-fisheries production input, production machinery and irrigation network services</t>
  </si>
  <si>
    <t>High Value Crops, Rootcrops, and Native Pig, Chicken and Ducks Production SP</t>
  </si>
  <si>
    <t>no. of sub-project/IPO</t>
  </si>
  <si>
    <t xml:space="preserve">DEPARTMENT OF AGRICULTURE-REGIONAL FIELD OFFICE 02 </t>
  </si>
  <si>
    <t>NATIONAL SOIL HEALTH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</si>
  <si>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</si>
  <si>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National Soil Health Program (Tier II)</t>
  </si>
  <si>
    <t>I. Operation of Regional Soil Laboratories in support to NSHP Activities</t>
  </si>
  <si>
    <t>1.1 Soil Analysis</t>
  </si>
  <si>
    <t>number of samples</t>
  </si>
  <si>
    <t>1.2 Fertilizer Analysis</t>
  </si>
  <si>
    <t>1.3 Plant Tissue Analysis</t>
  </si>
  <si>
    <t>1.4 Participation to Proficiency  Testing</t>
  </si>
  <si>
    <t>Number of PT participated</t>
  </si>
  <si>
    <t>1.5 STK Production/distribution</t>
  </si>
  <si>
    <t>number of STK Produced/ distributed</t>
  </si>
  <si>
    <t>1.6 Maintenance of Regulatory/Statutory issuances acquired</t>
  </si>
  <si>
    <t>number  of regulatory/ statutory issuances acquired/ maintained</t>
  </si>
  <si>
    <t>II. Operation of Mobile Soil Laboratory</t>
  </si>
  <si>
    <t>2.1 Soil Chemical Analysis (STK/Chemical)</t>
  </si>
  <si>
    <t>no. of sample analyzed</t>
  </si>
  <si>
    <t>2.2. Soil Physical Analysis</t>
  </si>
  <si>
    <t>2.3 Soil Microbiological Analysis</t>
  </si>
  <si>
    <t>2.4 Distribution of Soil Health card</t>
  </si>
  <si>
    <t>no. of Soil Health Card distributed</t>
  </si>
  <si>
    <t>2.5 Trainings conducted</t>
  </si>
  <si>
    <t>no. of training conducted</t>
  </si>
  <si>
    <t>*Program Implementation only started on FY 2025</t>
  </si>
  <si>
    <t>COLD STORAGE EXPANSION*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</si>
  <si>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</si>
  <si>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Participation to Proficiency Testing Program</t>
  </si>
  <si>
    <t>PHILIPPINE RURAL DEVELOPMENT PROJECT*</t>
  </si>
  <si>
    <t>FY 2026 UNDER PROCUREMENT</t>
  </si>
  <si>
    <t>Pangawan, Banao</t>
  </si>
  <si>
    <t>Upgrading of Pangawan-Banao Farm to Market Road</t>
  </si>
  <si>
    <t>FY 2026 PIPELINED/PROPOSAL</t>
  </si>
  <si>
    <t>Tadji, Tukod</t>
  </si>
  <si>
    <t>Rehabilitation of Tadji-Tukod Farm to Market Road</t>
  </si>
  <si>
    <t xml:space="preserve"> Concurred by:</t>
  </si>
  <si>
    <t>CY 2025, FY 2026, AND FY 2027 BUDGET SUMMARY (₱ '000)</t>
  </si>
  <si>
    <t>REGION 02</t>
  </si>
  <si>
    <t>NUEVA VIZCAYA PROVINCE</t>
  </si>
  <si>
    <t xml:space="preserve">LONE DISTRICT </t>
  </si>
  <si>
    <t>PROGRAM/PROJECT FUND SOURCE</t>
  </si>
  <si>
    <t>CY 2025 GAA</t>
  </si>
  <si>
    <t>Variance</t>
  </si>
  <si>
    <t>% Change (Increase/Decrease)</t>
  </si>
  <si>
    <t>Operations</t>
  </si>
  <si>
    <t>National Rice Program</t>
  </si>
  <si>
    <t>National Corn Program</t>
  </si>
  <si>
    <t>National High Value Crops Development Program</t>
  </si>
  <si>
    <t>National Urban and Peri-Urban Agriculture Program</t>
  </si>
  <si>
    <t>National Livestock Program</t>
  </si>
  <si>
    <t>National Organic Agriculture Program</t>
  </si>
  <si>
    <t>HALAL Program</t>
  </si>
  <si>
    <t>Locally Funded Projects</t>
  </si>
  <si>
    <t>Farm-to-Market Road (FMR) Development Program</t>
  </si>
  <si>
    <t>Special Area for Agricultural Development (SAAD) Program</t>
  </si>
  <si>
    <t>Kabuhayan at Kaunlaran ng Kababayang Katutubo (4Ks) Program</t>
  </si>
  <si>
    <t>Mainstreaming Climate Resilient Agriculture (MCRA) to the Regional Programs &amp; Projects</t>
  </si>
  <si>
    <t>National Soil Health Program*</t>
  </si>
  <si>
    <t>Cold Storage Expansion*</t>
  </si>
  <si>
    <t>Foreign Assisted Project</t>
  </si>
  <si>
    <t>Philippine Rural Development Projects**</t>
  </si>
  <si>
    <t>Philippine Rural Development Projects***</t>
  </si>
  <si>
    <t>*Program Implementation started on FY 2025</t>
  </si>
  <si>
    <t>** Under Procurement</t>
  </si>
  <si>
    <t>***Pipelined/Proposal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</si>
</sst>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_);_(* \(#,##0\);_(* &quot;-&quot;??_);_(@_)"/>
    <numFmt numFmtId="165" formatCode="_-* #,##0_-;\-* #,##0_-;_-* &quot;-&quot;??_-;_-@"/>
    <numFmt numFmtId="166" formatCode="_(* #,##0.00_);_(* \(#,##0.00\);_(* &quot;-&quot;??_);_(@_)"/>
    <numFmt numFmtId="167" formatCode="_(* #,##0.0_);_(* \(#,##0.0\);_(* &quot;-&quot;??_);_(@_)"/>
    <numFmt numFmtId="168" formatCode="_-* #,##0.00_-;\-* #,##0.00_-;_-* &quot;-&quot;??_-;_-@"/>
    <numFmt numFmtId="169" formatCode="_(* #,##0.00_);_(* \(#,##0.00\);_(* &quot;-&quot;??.0_);_(@_)"/>
    <numFmt numFmtId="170" formatCode="_-* #,##0.00_-;\-* #,##0.00_-;_-* &quot;-&quot;??.00_-;_-@"/>
    <numFmt numFmtId="171" formatCode="#,##0.000"/>
    <numFmt numFmtId="172" formatCode="#,##0.0"/>
    <numFmt numFmtId="173" formatCode="_ * #,##0_ ;_ * \-#,##0_ ;_ * &quot;-&quot;??_ ;_ @_ "/>
  </numFmts>
  <fonts count="51">
    <font>
      <sz val="11.0"/>
      <color theme="1"/>
      <name val="Calibri"/>
      <scheme val="minor"/>
    </font>
    <font>
      <b/>
      <sz val="20.0"/>
      <color theme="1"/>
      <name val="Arial"/>
    </font>
    <font>
      <sz val="11.0"/>
      <color theme="1"/>
      <name val="Calibri"/>
    </font>
    <font>
      <i/>
      <sz val="14.0"/>
      <color theme="1"/>
      <name val="Calibri"/>
    </font>
    <font>
      <b/>
      <sz val="20.0"/>
      <color rgb="FF000000"/>
      <name val="Arial"/>
    </font>
    <font>
      <sz val="20.0"/>
      <color rgb="FF000000"/>
      <name val="Arial"/>
    </font>
    <font>
      <sz val="20.0"/>
      <color theme="1"/>
      <name val="Arial"/>
    </font>
    <font>
      <sz val="16.0"/>
      <color theme="1"/>
      <name val="Arial"/>
    </font>
    <font>
      <b/>
      <sz val="16.0"/>
      <color theme="1"/>
      <name val="Arial"/>
    </font>
    <font/>
    <font>
      <b/>
      <sz val="17.0"/>
      <color theme="1"/>
      <name val="Arial"/>
    </font>
    <font>
      <sz val="17.0"/>
      <color theme="1"/>
      <name val="Arial"/>
    </font>
    <font>
      <sz val="16.0"/>
      <color rgb="FF000000"/>
      <name val="Arial"/>
    </font>
    <font>
      <sz val="17.0"/>
      <color rgb="FF000000"/>
      <name val="Arial"/>
    </font>
    <font>
      <sz val="16.0"/>
      <color theme="1"/>
      <name val="Calibri"/>
    </font>
    <font>
      <b/>
      <sz val="15.0"/>
      <color theme="1"/>
      <name val="Arial"/>
    </font>
    <font>
      <b/>
      <sz val="16.0"/>
      <color rgb="FF000000"/>
      <name val="Arial"/>
    </font>
    <font>
      <sz val="14.0"/>
      <color theme="1"/>
      <name val="Arial"/>
    </font>
    <font>
      <sz val="10.0"/>
      <color theme="1"/>
      <name val="Arial"/>
    </font>
    <font>
      <b/>
      <sz val="20.0"/>
      <color theme="1"/>
      <name val="Arial Narrow"/>
    </font>
    <font>
      <sz val="11.0"/>
      <color theme="1"/>
      <name val="Arial Narrow"/>
    </font>
    <font>
      <sz val="12.0"/>
      <color theme="1"/>
      <name val="Arial Narrow"/>
    </font>
    <font>
      <color theme="1"/>
      <name val="Arial Narrow"/>
    </font>
    <font>
      <i/>
      <sz val="14.0"/>
      <color theme="1"/>
      <name val="Arial Narrow"/>
    </font>
    <font>
      <b/>
      <sz val="20.0"/>
      <color rgb="FF000000"/>
      <name val="Arial Narrow"/>
    </font>
    <font>
      <sz val="20.0"/>
      <color rgb="FF000000"/>
      <name val="Arial Narrow"/>
    </font>
    <font>
      <sz val="20.0"/>
      <color theme="1"/>
      <name val="Arial Narrow"/>
    </font>
    <font>
      <sz val="12.0"/>
      <color rgb="FF000000"/>
      <name val="Arial Narrow"/>
    </font>
    <font>
      <b/>
      <sz val="16.0"/>
      <color theme="1"/>
      <name val="Arial Narrow"/>
    </font>
    <font>
      <b/>
      <sz val="17.0"/>
      <color theme="1"/>
      <name val="Arial Narrow"/>
    </font>
    <font>
      <b/>
      <sz val="16.0"/>
      <color rgb="FF000000"/>
      <name val="Arial Narrow"/>
    </font>
    <font>
      <sz val="16.0"/>
      <color rgb="FF000000"/>
      <name val="Arial Narrow"/>
    </font>
    <font>
      <sz val="16.0"/>
      <color theme="1"/>
      <name val="Arial Narrow"/>
    </font>
    <font>
      <b/>
      <sz val="16.0"/>
      <color rgb="FFFF0000"/>
      <name val="Arial Narrow"/>
    </font>
    <font>
      <b/>
      <sz val="12.0"/>
      <color theme="1"/>
      <name val="Arial Narrow"/>
    </font>
    <font>
      <sz val="14.0"/>
      <color theme="1"/>
      <name val="Arial Narrow"/>
    </font>
    <font>
      <sz val="10.0"/>
      <color theme="1"/>
      <name val="Arial Narrow"/>
    </font>
    <font>
      <sz val="14.0"/>
      <color rgb="FF000000"/>
      <name val="Calibri"/>
    </font>
    <font>
      <b/>
      <sz val="17.0"/>
      <color rgb="FF000000"/>
      <name val="Arial"/>
    </font>
    <font>
      <i/>
      <sz val="16.0"/>
      <color rgb="FF000000"/>
      <name val="Arial"/>
    </font>
    <font>
      <b/>
      <i/>
      <sz val="16.0"/>
      <color rgb="FF000000"/>
      <name val="Arial"/>
    </font>
    <font>
      <color theme="1"/>
      <name val="Calibri"/>
      <scheme val="minor"/>
    </font>
    <font>
      <i/>
      <sz val="12.0"/>
      <color theme="1"/>
      <name val="Arial"/>
    </font>
    <font>
      <sz val="11.0"/>
      <color theme="1"/>
      <name val="Arial"/>
    </font>
    <font>
      <i/>
      <sz val="16.0"/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20.0"/>
      <color theme="1"/>
      <name val="Calibri"/>
    </font>
    <font>
      <b/>
      <sz val="14.0"/>
      <color theme="1"/>
      <name val="Arial"/>
    </font>
    <font>
      <sz val="10.0"/>
      <color rgb="FF000000"/>
      <name val="Arial"/>
    </font>
    <font>
      <sz val="14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" xfId="0" applyFont="1" applyNumberForma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 shrinkToFit="0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1" fillId="3" fontId="8" numFmtId="0" xfId="0" applyAlignment="1" applyBorder="1" applyFill="1" applyFont="1">
      <alignment horizontal="center" shrinkToFit="0" vertical="center" wrapText="1"/>
    </xf>
    <xf borderId="2" fillId="3" fontId="8" numFmtId="3" xfId="0" applyAlignment="1" applyBorder="1" applyFont="1" applyNumberFormat="1">
      <alignment horizontal="center" shrinkToFit="0" vertical="center" wrapText="1"/>
    </xf>
    <xf borderId="3" fillId="0" fontId="9" numFmtId="0" xfId="0" applyBorder="1" applyFont="1"/>
    <xf borderId="2" fillId="2" fontId="10" numFmtId="3" xfId="0" applyAlignment="1" applyBorder="1" applyFont="1" applyNumberFormat="1">
      <alignment horizontal="center" shrinkToFit="0" vertical="center" wrapText="1"/>
    </xf>
    <xf borderId="4" fillId="2" fontId="8" numFmtId="3" xfId="0" applyAlignment="1" applyBorder="1" applyFont="1" applyNumberFormat="1">
      <alignment horizontal="center" readingOrder="0" shrinkToFit="0" vertical="center" wrapText="1"/>
    </xf>
    <xf borderId="5" fillId="0" fontId="9" numFmtId="0" xfId="0" applyBorder="1" applyFont="1"/>
    <xf borderId="6" fillId="0" fontId="9" numFmtId="0" xfId="0" applyBorder="1" applyFont="1"/>
    <xf borderId="1" fillId="2" fontId="10" numFmtId="0" xfId="0" applyAlignment="1" applyBorder="1" applyFont="1">
      <alignment horizontal="center" readingOrder="0" shrinkToFit="0" vertical="center" wrapText="1"/>
    </xf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4" fillId="2" fontId="8" numFmtId="3" xfId="0" applyAlignment="1" applyBorder="1" applyFont="1" applyNumberFormat="1">
      <alignment horizontal="center" shrinkToFit="0" vertical="center" wrapText="1"/>
    </xf>
    <xf borderId="7" fillId="3" fontId="8" numFmtId="165" xfId="0" applyAlignment="1" applyBorder="1" applyFont="1" applyNumberFormat="1">
      <alignment horizontal="center" shrinkToFit="0" vertical="center" wrapText="1"/>
    </xf>
    <xf borderId="7" fillId="3" fontId="8" numFmtId="4" xfId="0" applyAlignment="1" applyBorder="1" applyFont="1" applyNumberFormat="1">
      <alignment horizontal="center" readingOrder="0" shrinkToFit="0" vertical="center" wrapText="1"/>
    </xf>
    <xf borderId="2" fillId="2" fontId="10" numFmtId="3" xfId="0" applyAlignment="1" applyBorder="1" applyFont="1" applyNumberFormat="1">
      <alignment horizontal="center" readingOrder="0" shrinkToFit="0" vertical="center" wrapText="1"/>
    </xf>
    <xf borderId="1" fillId="2" fontId="8" numFmtId="3" xfId="0" applyAlignment="1" applyBorder="1" applyFont="1" applyNumberFormat="1">
      <alignment horizontal="center" shrinkToFit="0" vertical="center" wrapText="1"/>
    </xf>
    <xf borderId="1" fillId="2" fontId="10" numFmtId="166" xfId="0" applyAlignment="1" applyBorder="1" applyFont="1" applyNumberFormat="1">
      <alignment horizontal="center" shrinkToFit="0" vertical="center" wrapText="1"/>
    </xf>
    <xf borderId="10" fillId="0" fontId="9" numFmtId="0" xfId="0" applyBorder="1" applyFont="1"/>
    <xf borderId="1" fillId="2" fontId="10" numFmtId="3" xfId="0" applyAlignment="1" applyBorder="1" applyFont="1" applyNumberFormat="1">
      <alignment horizontal="center" shrinkToFit="0" vertical="center" wrapText="1"/>
    </xf>
    <xf borderId="11" fillId="0" fontId="8" numFmtId="164" xfId="0" applyAlignment="1" applyBorder="1" applyFont="1" applyNumberFormat="1">
      <alignment shrinkToFit="0" vertical="center" wrapText="1"/>
    </xf>
    <xf borderId="11" fillId="0" fontId="7" numFmtId="164" xfId="0" applyAlignment="1" applyBorder="1" applyFont="1" applyNumberFormat="1">
      <alignment horizontal="center" shrinkToFit="0" vertical="center" wrapText="1"/>
    </xf>
    <xf borderId="11" fillId="0" fontId="7" numFmtId="164" xfId="0" applyAlignment="1" applyBorder="1" applyFont="1" applyNumberFormat="1">
      <alignment shrinkToFit="0" vertical="center" wrapText="1"/>
    </xf>
    <xf borderId="11" fillId="0" fontId="8" numFmtId="166" xfId="0" applyAlignment="1" applyBorder="1" applyFont="1" applyNumberFormat="1">
      <alignment horizontal="right" shrinkToFit="0" vertical="center" wrapText="1"/>
    </xf>
    <xf borderId="11" fillId="0" fontId="8" numFmtId="4" xfId="0" applyAlignment="1" applyBorder="1" applyFont="1" applyNumberFormat="1">
      <alignment horizontal="right" shrinkToFit="0" vertical="center" wrapText="1"/>
    </xf>
    <xf borderId="11" fillId="0" fontId="7" numFmtId="3" xfId="0" applyAlignment="1" applyBorder="1" applyFont="1" applyNumberFormat="1">
      <alignment shrinkToFit="0" vertical="center" wrapText="1"/>
    </xf>
    <xf borderId="11" fillId="0" fontId="8" numFmtId="4" xfId="0" applyAlignment="1" applyBorder="1" applyFont="1" applyNumberFormat="1">
      <alignment horizontal="right" shrinkToFit="0" wrapText="1"/>
    </xf>
    <xf borderId="11" fillId="0" fontId="7" numFmtId="0" xfId="0" applyAlignment="1" applyBorder="1" applyFont="1">
      <alignment shrinkToFit="0" vertical="center" wrapText="1"/>
    </xf>
    <xf borderId="11" fillId="3" fontId="8" numFmtId="164" xfId="0" applyAlignment="1" applyBorder="1" applyFont="1" applyNumberFormat="1">
      <alignment shrinkToFit="0" vertical="center" wrapText="1"/>
    </xf>
    <xf borderId="11" fillId="3" fontId="7" numFmtId="164" xfId="0" applyAlignment="1" applyBorder="1" applyFont="1" applyNumberFormat="1">
      <alignment horizontal="center" shrinkToFit="0" vertical="center" wrapText="1"/>
    </xf>
    <xf borderId="11" fillId="3" fontId="7" numFmtId="164" xfId="0" applyAlignment="1" applyBorder="1" applyFont="1" applyNumberFormat="1">
      <alignment shrinkToFit="0" vertical="center" wrapText="1"/>
    </xf>
    <xf borderId="11" fillId="3" fontId="8" numFmtId="166" xfId="0" applyAlignment="1" applyBorder="1" applyFont="1" applyNumberFormat="1">
      <alignment horizontal="right" shrinkToFit="0" vertical="center" wrapText="1"/>
    </xf>
    <xf borderId="11" fillId="2" fontId="2" numFmtId="164" xfId="0" applyBorder="1" applyFont="1" applyNumberFormat="1"/>
    <xf borderId="11" fillId="3" fontId="7" numFmtId="0" xfId="0" applyAlignment="1" applyBorder="1" applyFont="1">
      <alignment horizontal="center" shrinkToFit="0" vertical="center" wrapText="1"/>
    </xf>
    <xf borderId="11" fillId="3" fontId="7" numFmtId="166" xfId="0" applyAlignment="1" applyBorder="1" applyFont="1" applyNumberFormat="1">
      <alignment shrinkToFit="0" vertical="center" wrapText="1"/>
    </xf>
    <xf borderId="11" fillId="0" fontId="7" numFmtId="4" xfId="0" applyAlignment="1" applyBorder="1" applyFont="1" applyNumberFormat="1">
      <alignment shrinkToFit="0" vertical="center" wrapText="1"/>
    </xf>
    <xf borderId="11" fillId="0" fontId="7" numFmtId="4" xfId="0" applyAlignment="1" applyBorder="1" applyFont="1" applyNumberFormat="1">
      <alignment horizontal="right" shrinkToFit="0" wrapText="1"/>
    </xf>
    <xf borderId="11" fillId="0" fontId="7" numFmtId="166" xfId="0" applyAlignment="1" applyBorder="1" applyFont="1" applyNumberFormat="1">
      <alignment shrinkToFit="0" vertical="center" wrapText="1"/>
    </xf>
    <xf borderId="11" fillId="3" fontId="7" numFmtId="0" xfId="0" applyAlignment="1" applyBorder="1" applyFont="1">
      <alignment shrinkToFit="0" vertical="center" wrapText="1"/>
    </xf>
    <xf borderId="11" fillId="0" fontId="7" numFmtId="164" xfId="0" applyAlignment="1" applyBorder="1" applyFont="1" applyNumberFormat="1">
      <alignment horizontal="right" shrinkToFit="0" vertical="center" wrapText="1"/>
    </xf>
    <xf borderId="11" fillId="0" fontId="7" numFmtId="166" xfId="0" applyAlignment="1" applyBorder="1" applyFont="1" applyNumberFormat="1">
      <alignment horizontal="right" shrinkToFit="0" vertical="center" wrapText="1"/>
    </xf>
    <xf borderId="11" fillId="3" fontId="7" numFmtId="4" xfId="0" applyAlignment="1" applyBorder="1" applyFont="1" applyNumberFormat="1">
      <alignment shrinkToFit="0" vertical="center" wrapText="1"/>
    </xf>
    <xf borderId="11" fillId="3" fontId="11" numFmtId="164" xfId="0" applyAlignment="1" applyBorder="1" applyFont="1" applyNumberFormat="1">
      <alignment shrinkToFit="0" vertical="center" wrapText="1"/>
    </xf>
    <xf borderId="11" fillId="0" fontId="12" numFmtId="4" xfId="0" applyAlignment="1" applyBorder="1" applyFont="1" applyNumberFormat="1">
      <alignment shrinkToFit="0" vertical="center" wrapText="1"/>
    </xf>
    <xf borderId="11" fillId="2" fontId="7" numFmtId="164" xfId="0" applyAlignment="1" applyBorder="1" applyFont="1" applyNumberFormat="1">
      <alignment horizontal="right" readingOrder="0" shrinkToFit="0" wrapText="1"/>
    </xf>
    <xf borderId="11" fillId="0" fontId="7" numFmtId="4" xfId="0" applyAlignment="1" applyBorder="1" applyFont="1" applyNumberFormat="1">
      <alignment horizontal="right" readingOrder="0" shrinkToFit="0" wrapText="1"/>
    </xf>
    <xf borderId="11" fillId="0" fontId="11" numFmtId="3" xfId="0" applyAlignment="1" applyBorder="1" applyFont="1" applyNumberFormat="1">
      <alignment readingOrder="0" shrinkToFit="0" vertical="center" wrapText="1"/>
    </xf>
    <xf borderId="11" fillId="0" fontId="7" numFmtId="166" xfId="0" applyAlignment="1" applyBorder="1" applyFont="1" applyNumberFormat="1">
      <alignment readingOrder="0" shrinkToFit="0" vertical="center" wrapText="1"/>
    </xf>
    <xf borderId="11" fillId="0" fontId="10" numFmtId="3" xfId="0" applyAlignment="1" applyBorder="1" applyFont="1" applyNumberFormat="1">
      <alignment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1" fillId="0" fontId="13" numFmtId="4" xfId="0" applyAlignment="1" applyBorder="1" applyFont="1" applyNumberFormat="1">
      <alignment shrinkToFit="0" vertical="center" wrapText="1"/>
    </xf>
    <xf borderId="11" fillId="0" fontId="11" numFmtId="3" xfId="0" applyAlignment="1" applyBorder="1" applyFont="1" applyNumberFormat="1">
      <alignment shrinkToFit="0" vertical="center" wrapText="1"/>
    </xf>
    <xf borderId="11" fillId="3" fontId="7" numFmtId="3" xfId="0" applyAlignment="1" applyBorder="1" applyFont="1" applyNumberFormat="1">
      <alignment shrinkToFit="0" vertical="center" wrapText="1"/>
    </xf>
    <xf borderId="11" fillId="2" fontId="2" numFmtId="3" xfId="0" applyBorder="1" applyFont="1" applyNumberFormat="1"/>
    <xf borderId="11" fillId="0" fontId="2" numFmtId="4" xfId="0" applyBorder="1" applyFont="1" applyNumberFormat="1"/>
    <xf borderId="11" fillId="0" fontId="7" numFmtId="0" xfId="0" applyAlignment="1" applyBorder="1" applyFont="1">
      <alignment shrinkToFit="0" vertical="bottom" wrapText="1"/>
    </xf>
    <xf borderId="11" fillId="2" fontId="7" numFmtId="3" xfId="0" applyAlignment="1" applyBorder="1" applyFont="1" applyNumberFormat="1">
      <alignment horizontal="right" shrinkToFit="0" wrapText="1"/>
    </xf>
    <xf borderId="11" fillId="0" fontId="7" numFmtId="3" xfId="0" applyAlignment="1" applyBorder="1" applyFont="1" applyNumberFormat="1">
      <alignment readingOrder="0" shrinkToFit="0" vertical="center" wrapText="1"/>
    </xf>
    <xf borderId="11" fillId="0" fontId="7" numFmtId="4" xfId="0" applyAlignment="1" applyBorder="1" applyFont="1" applyNumberFormat="1">
      <alignment readingOrder="0" shrinkToFit="0" vertical="center" wrapText="1"/>
    </xf>
    <xf borderId="12" fillId="0" fontId="11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1" fillId="3" fontId="11" numFmtId="0" xfId="0" applyAlignment="1" applyBorder="1" applyFont="1">
      <alignment shrinkToFit="0" vertical="center" wrapText="1"/>
    </xf>
    <xf borderId="11" fillId="0" fontId="11" numFmtId="4" xfId="0" applyAlignment="1" applyBorder="1" applyFont="1" applyNumberFormat="1">
      <alignment shrinkToFit="0" vertical="center" wrapText="1"/>
    </xf>
    <xf borderId="11" fillId="2" fontId="2" numFmtId="0" xfId="0" applyBorder="1" applyFont="1"/>
    <xf borderId="1" fillId="0" fontId="7" numFmtId="0" xfId="0" applyAlignment="1" applyBorder="1" applyFont="1">
      <alignment shrinkToFit="0" vertical="center" wrapText="1"/>
    </xf>
    <xf borderId="11" fillId="0" fontId="7" numFmtId="164" xfId="0" applyAlignment="1" applyBorder="1" applyFont="1" applyNumberFormat="1">
      <alignment horizontal="right" shrinkToFit="0" wrapText="1"/>
    </xf>
    <xf borderId="11" fillId="0" fontId="7" numFmtId="166" xfId="0" applyAlignment="1" applyBorder="1" applyFont="1" applyNumberFormat="1">
      <alignment horizontal="right" shrinkToFit="0" wrapText="1"/>
    </xf>
    <xf borderId="11" fillId="3" fontId="8" numFmtId="0" xfId="0" applyAlignment="1" applyBorder="1" applyFont="1">
      <alignment shrinkToFit="0" vertical="center" wrapText="1"/>
    </xf>
    <xf borderId="11" fillId="0" fontId="11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1" fillId="0" fontId="14" numFmtId="4" xfId="0" applyAlignment="1" applyBorder="1" applyFont="1" applyNumberFormat="1">
      <alignment readingOrder="0"/>
    </xf>
    <xf borderId="11" fillId="0" fontId="8" numFmtId="0" xfId="0" applyAlignment="1" applyBorder="1" applyFont="1">
      <alignment shrinkToFit="0" vertical="center" wrapText="1"/>
    </xf>
    <xf borderId="11" fillId="0" fontId="2" numFmtId="0" xfId="0" applyBorder="1" applyFont="1"/>
    <xf borderId="11" fillId="0" fontId="15" numFmtId="4" xfId="0" applyBorder="1" applyFont="1" applyNumberFormat="1"/>
    <xf borderId="11" fillId="0" fontId="8" numFmtId="4" xfId="0" applyBorder="1" applyFont="1" applyNumberFormat="1"/>
    <xf borderId="11" fillId="0" fontId="16" numFmtId="0" xfId="0" applyAlignment="1" applyBorder="1" applyFont="1">
      <alignment shrinkToFit="0" vertical="center" wrapText="1"/>
    </xf>
    <xf borderId="11" fillId="0" fontId="7" numFmtId="2" xfId="0" applyAlignment="1" applyBorder="1" applyFont="1" applyNumberFormat="1">
      <alignment shrinkToFit="0" vertical="center" wrapText="1"/>
    </xf>
    <xf borderId="11" fillId="0" fontId="7" numFmtId="4" xfId="0" applyAlignment="1" applyBorder="1" applyFont="1" applyNumberFormat="1">
      <alignment horizontal="right" shrinkToFit="0" vertical="center" wrapText="1"/>
    </xf>
    <xf borderId="11" fillId="0" fontId="7" numFmtId="3" xfId="0" applyAlignment="1" applyBorder="1" applyFont="1" applyNumberFormat="1">
      <alignment horizontal="right" shrinkToFit="0" wrapText="1"/>
    </xf>
    <xf borderId="11" fillId="0" fontId="8" numFmtId="0" xfId="0" applyAlignment="1" applyBorder="1" applyFont="1">
      <alignment horizontal="center" shrinkToFit="0" vertical="center" wrapText="1"/>
    </xf>
    <xf borderId="11" fillId="0" fontId="8" numFmtId="3" xfId="0" applyAlignment="1" applyBorder="1" applyFont="1" applyNumberFormat="1">
      <alignment shrinkToFit="0" vertical="center" wrapText="1"/>
    </xf>
    <xf borderId="13" fillId="2" fontId="17" numFmtId="164" xfId="0" applyAlignment="1" applyBorder="1" applyFont="1" applyNumberFormat="1">
      <alignment shrinkToFit="0" wrapText="1"/>
    </xf>
    <xf borderId="13" fillId="2" fontId="17" numFmtId="0" xfId="0" applyAlignment="1" applyBorder="1" applyFont="1">
      <alignment shrinkToFit="0" wrapText="1"/>
    </xf>
    <xf borderId="13" fillId="2" fontId="17" numFmtId="164" xfId="0" applyBorder="1" applyFont="1" applyNumberFormat="1"/>
    <xf borderId="13" fillId="2" fontId="2" numFmtId="0" xfId="0" applyBorder="1" applyFont="1"/>
    <xf borderId="13" fillId="2" fontId="17" numFmtId="164" xfId="0" applyAlignment="1" applyBorder="1" applyFont="1" applyNumberFormat="1">
      <alignment vertical="top"/>
    </xf>
    <xf borderId="13" fillId="2" fontId="2" numFmtId="164" xfId="0" applyBorder="1" applyFont="1" applyNumberFormat="1"/>
    <xf borderId="0" fillId="0" fontId="17" numFmtId="0" xfId="0" applyAlignment="1" applyFont="1">
      <alignment vertical="center"/>
    </xf>
    <xf borderId="13" fillId="2" fontId="8" numFmtId="164" xfId="0" applyBorder="1" applyFont="1" applyNumberFormat="1"/>
    <xf borderId="13" fillId="2" fontId="17" numFmtId="0" xfId="0" applyAlignment="1" applyBorder="1" applyFont="1">
      <alignment vertical="top"/>
    </xf>
    <xf borderId="13" fillId="2" fontId="7" numFmtId="164" xfId="0" applyAlignment="1" applyBorder="1" applyFont="1" applyNumberFormat="1">
      <alignment shrinkToFit="0" vertical="center" wrapText="1"/>
    </xf>
    <xf borderId="0" fillId="0" fontId="7" numFmtId="164" xfId="0" applyAlignment="1" applyFont="1" applyNumberFormat="1">
      <alignment vertical="bottom"/>
    </xf>
    <xf borderId="13" fillId="2" fontId="7" numFmtId="164" xfId="0" applyAlignment="1" applyBorder="1" applyFont="1" applyNumberFormat="1">
      <alignment vertical="center"/>
    </xf>
    <xf borderId="0" fillId="0" fontId="2" numFmtId="164" xfId="0" applyAlignment="1" applyFont="1" applyNumberFormat="1">
      <alignment vertical="bottom"/>
    </xf>
    <xf borderId="13" fillId="2" fontId="8" numFmtId="164" xfId="0" applyAlignment="1" applyBorder="1" applyFont="1" applyNumberFormat="1">
      <alignment vertical="center"/>
    </xf>
    <xf borderId="0" fillId="0" fontId="8" numFmtId="164" xfId="0" applyAlignment="1" applyFont="1" applyNumberFormat="1">
      <alignment vertical="bottom"/>
    </xf>
    <xf borderId="13" fillId="2" fontId="17" numFmtId="164" xfId="0" applyAlignment="1" applyBorder="1" applyFont="1" applyNumberFormat="1">
      <alignment vertical="center"/>
    </xf>
    <xf borderId="0" fillId="0" fontId="18" numFmtId="0" xfId="0" applyAlignment="1" applyFont="1">
      <alignment vertical="center"/>
    </xf>
    <xf borderId="0" fillId="0" fontId="7" numFmtId="3" xfId="0" applyFont="1" applyNumberFormat="1"/>
    <xf borderId="0" fillId="0" fontId="17" numFmtId="3" xfId="0" applyFont="1" applyNumberFormat="1"/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19" numFmtId="0" xfId="0" applyFont="1"/>
    <xf borderId="0" fillId="0" fontId="20" numFmtId="0" xfId="0" applyFont="1"/>
    <xf borderId="0" fillId="0" fontId="20" numFmtId="4" xfId="0" applyFont="1" applyNumberFormat="1"/>
    <xf borderId="0" fillId="0" fontId="21" numFmtId="0" xfId="0" applyFont="1"/>
    <xf borderId="0" fillId="0" fontId="19" numFmtId="0" xfId="0" applyAlignment="1" applyFont="1">
      <alignment readingOrder="0"/>
    </xf>
    <xf borderId="0" fillId="0" fontId="22" numFmtId="0" xfId="0" applyFont="1"/>
    <xf borderId="0" fillId="2" fontId="23" numFmtId="0" xfId="0" applyAlignment="1" applyFont="1">
      <alignment readingOrder="0" shrinkToFit="0" wrapText="1"/>
    </xf>
    <xf borderId="0" fillId="0" fontId="24" numFmtId="0" xfId="0" applyAlignment="1" applyFont="1">
      <alignment readingOrder="0"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0" fontId="26" numFmtId="0" xfId="0" applyAlignment="1" applyFont="1">
      <alignment vertical="center"/>
    </xf>
    <xf borderId="0" fillId="0" fontId="24" numFmtId="0" xfId="0" applyAlignment="1" applyFont="1">
      <alignment shrinkToFit="0" vertical="center" wrapText="1"/>
    </xf>
    <xf borderId="0" fillId="0" fontId="27" numFmtId="0" xfId="0" applyAlignment="1" applyFont="1">
      <alignment vertical="center"/>
    </xf>
    <xf borderId="0" fillId="0" fontId="27" numFmtId="0" xfId="0" applyAlignment="1" applyFont="1">
      <alignment horizontal="center" vertical="center"/>
    </xf>
    <xf borderId="0" fillId="3" fontId="27" numFmtId="3" xfId="0" applyAlignment="1" applyFont="1" applyNumberFormat="1">
      <alignment vertical="center"/>
    </xf>
    <xf borderId="0" fillId="3" fontId="27" numFmtId="0" xfId="0" applyAlignment="1" applyFont="1">
      <alignment vertical="center"/>
    </xf>
    <xf borderId="1" fillId="3" fontId="28" numFmtId="0" xfId="0" applyAlignment="1" applyBorder="1" applyFont="1">
      <alignment horizontal="center" shrinkToFit="0" vertical="center" wrapText="1"/>
    </xf>
    <xf borderId="2" fillId="3" fontId="28" numFmtId="3" xfId="0" applyAlignment="1" applyBorder="1" applyFont="1" applyNumberFormat="1">
      <alignment horizontal="center" shrinkToFit="0" vertical="center" wrapText="1"/>
    </xf>
    <xf borderId="2" fillId="2" fontId="29" numFmtId="3" xfId="0" applyAlignment="1" applyBorder="1" applyFont="1" applyNumberFormat="1">
      <alignment horizontal="center" shrinkToFit="0" vertical="center" wrapText="1"/>
    </xf>
    <xf borderId="4" fillId="2" fontId="28" numFmtId="3" xfId="0" applyAlignment="1" applyBorder="1" applyFont="1" applyNumberFormat="1">
      <alignment horizontal="center" readingOrder="0" shrinkToFit="0" vertical="center" wrapText="1"/>
    </xf>
    <xf borderId="1" fillId="2" fontId="29" numFmtId="0" xfId="0" applyAlignment="1" applyBorder="1" applyFont="1">
      <alignment horizontal="center" readingOrder="0" shrinkToFit="0" vertical="center" wrapText="1"/>
    </xf>
    <xf borderId="4" fillId="2" fontId="28" numFmtId="3" xfId="0" applyAlignment="1" applyBorder="1" applyFont="1" applyNumberFormat="1">
      <alignment horizontal="center" shrinkToFit="0" vertical="center" wrapText="1"/>
    </xf>
    <xf borderId="7" fillId="3" fontId="28" numFmtId="165" xfId="0" applyAlignment="1" applyBorder="1" applyFont="1" applyNumberFormat="1">
      <alignment horizontal="center" shrinkToFit="0" vertical="center" wrapText="1"/>
    </xf>
    <xf borderId="7" fillId="3" fontId="28" numFmtId="4" xfId="0" applyAlignment="1" applyBorder="1" applyFont="1" applyNumberFormat="1">
      <alignment horizontal="center" readingOrder="0" shrinkToFit="0" vertical="center" wrapText="1"/>
    </xf>
    <xf borderId="2" fillId="2" fontId="29" numFmtId="3" xfId="0" applyAlignment="1" applyBorder="1" applyFont="1" applyNumberFormat="1">
      <alignment horizontal="center" readingOrder="0" shrinkToFit="0" vertical="center" wrapText="1"/>
    </xf>
    <xf borderId="1" fillId="2" fontId="28" numFmtId="3" xfId="0" applyAlignment="1" applyBorder="1" applyFont="1" applyNumberFormat="1">
      <alignment horizontal="center" shrinkToFit="0" vertical="center" wrapText="1"/>
    </xf>
    <xf borderId="1" fillId="2" fontId="29" numFmtId="166" xfId="0" applyAlignment="1" applyBorder="1" applyFont="1" applyNumberFormat="1">
      <alignment horizontal="center" shrinkToFit="0" vertical="center" wrapText="1"/>
    </xf>
    <xf borderId="1" fillId="2" fontId="29" numFmtId="3" xfId="0" applyAlignment="1" applyBorder="1" applyFont="1" applyNumberFormat="1">
      <alignment horizontal="center" shrinkToFit="0" vertical="center" wrapText="1"/>
    </xf>
    <xf borderId="11" fillId="0" fontId="30" numFmtId="0" xfId="0" applyAlignment="1" applyBorder="1" applyFont="1">
      <alignment shrinkToFit="0" vertical="center" wrapText="1"/>
    </xf>
    <xf borderId="11" fillId="0" fontId="30" numFmtId="0" xfId="0" applyAlignment="1" applyBorder="1" applyFont="1">
      <alignment horizontal="center" vertical="center"/>
    </xf>
    <xf borderId="11" fillId="3" fontId="30" numFmtId="3" xfId="0" applyAlignment="1" applyBorder="1" applyFont="1" applyNumberFormat="1">
      <alignment vertical="center"/>
    </xf>
    <xf borderId="11" fillId="3" fontId="30" numFmtId="166" xfId="0" applyAlignment="1" applyBorder="1" applyFont="1" applyNumberFormat="1">
      <alignment vertical="center"/>
    </xf>
    <xf borderId="11" fillId="0" fontId="30" numFmtId="166" xfId="0" applyAlignment="1" applyBorder="1" applyFont="1" applyNumberFormat="1">
      <alignment vertical="center"/>
    </xf>
    <xf borderId="11" fillId="0" fontId="31" numFmtId="0" xfId="0" applyAlignment="1" applyBorder="1" applyFont="1">
      <alignment horizontal="center" vertical="center"/>
    </xf>
    <xf borderId="11" fillId="3" fontId="31" numFmtId="3" xfId="0" applyAlignment="1" applyBorder="1" applyFont="1" applyNumberFormat="1">
      <alignment vertical="center"/>
    </xf>
    <xf borderId="11" fillId="3" fontId="31" numFmtId="166" xfId="0" applyAlignment="1" applyBorder="1" applyFont="1" applyNumberFormat="1">
      <alignment vertical="center"/>
    </xf>
    <xf borderId="11" fillId="0" fontId="31" numFmtId="166" xfId="0" applyAlignment="1" applyBorder="1" applyFont="1" applyNumberFormat="1">
      <alignment vertical="center"/>
    </xf>
    <xf borderId="11" fillId="0" fontId="31" numFmtId="0" xfId="0" applyAlignment="1" applyBorder="1" applyFont="1">
      <alignment horizontal="left" shrinkToFit="0" vertical="center" wrapText="1"/>
    </xf>
    <xf borderId="11" fillId="0" fontId="31" numFmtId="0" xfId="0" applyAlignment="1" applyBorder="1" applyFont="1">
      <alignment shrinkToFit="0" vertical="center" wrapText="1"/>
    </xf>
    <xf borderId="11" fillId="0" fontId="32" numFmtId="0" xfId="0" applyAlignment="1" applyBorder="1" applyFont="1">
      <alignment shrinkToFit="0" wrapText="1"/>
    </xf>
    <xf borderId="11" fillId="0" fontId="32" numFmtId="166" xfId="0" applyAlignment="1" applyBorder="1" applyFont="1" applyNumberFormat="1">
      <alignment horizontal="right" readingOrder="0"/>
    </xf>
    <xf borderId="11" fillId="0" fontId="32" numFmtId="166" xfId="0" applyAlignment="1" applyBorder="1" applyFont="1" applyNumberFormat="1">
      <alignment horizontal="right"/>
    </xf>
    <xf borderId="11" fillId="0" fontId="32" numFmtId="3" xfId="0" applyAlignment="1" applyBorder="1" applyFont="1" applyNumberFormat="1">
      <alignment horizontal="right" shrinkToFit="0" vertical="bottom" wrapText="1"/>
    </xf>
    <xf borderId="11" fillId="0" fontId="32" numFmtId="3" xfId="0" applyAlignment="1" applyBorder="1" applyFont="1" applyNumberFormat="1">
      <alignment horizontal="right" vertical="bottom"/>
    </xf>
    <xf borderId="11" fillId="0" fontId="32" numFmtId="4" xfId="0" applyAlignment="1" applyBorder="1" applyFont="1" applyNumberFormat="1">
      <alignment horizontal="right" vertical="bottom"/>
    </xf>
    <xf borderId="1" fillId="0" fontId="31" numFmtId="166" xfId="0" applyAlignment="1" applyBorder="1" applyFont="1" applyNumberFormat="1">
      <alignment readingOrder="0" shrinkToFit="0" vertical="center" wrapText="1"/>
    </xf>
    <xf borderId="11" fillId="0" fontId="2" numFmtId="166" xfId="0" applyBorder="1" applyFont="1" applyNumberFormat="1"/>
    <xf borderId="11" fillId="0" fontId="31" numFmtId="166" xfId="0" applyAlignment="1" applyBorder="1" applyFont="1" applyNumberFormat="1">
      <alignment readingOrder="0" vertical="center"/>
    </xf>
    <xf borderId="11" fillId="0" fontId="31" numFmtId="3" xfId="0" applyAlignment="1" applyBorder="1" applyFont="1" applyNumberFormat="1">
      <alignment vertical="center"/>
    </xf>
    <xf borderId="11" fillId="0" fontId="31" numFmtId="166" xfId="0" applyAlignment="1" applyBorder="1" applyFont="1" applyNumberFormat="1">
      <alignment readingOrder="0" shrinkToFit="0" vertical="center" wrapText="1"/>
    </xf>
    <xf borderId="11" fillId="0" fontId="2" numFmtId="166" xfId="0" applyAlignment="1" applyBorder="1" applyFont="1" applyNumberFormat="1">
      <alignment readingOrder="0"/>
    </xf>
    <xf borderId="11" fillId="0" fontId="33" numFmtId="166" xfId="0" applyAlignment="1" applyBorder="1" applyFont="1" applyNumberFormat="1">
      <alignment vertical="center"/>
    </xf>
    <xf borderId="11" fillId="0" fontId="32" numFmtId="0" xfId="0" applyAlignment="1" applyBorder="1" applyFont="1">
      <alignment shrinkToFit="0" vertical="center" wrapText="1"/>
    </xf>
    <xf borderId="11" fillId="0" fontId="32" numFmtId="0" xfId="0" applyAlignment="1" applyBorder="1" applyFont="1">
      <alignment horizontal="center" vertical="center"/>
    </xf>
    <xf borderId="11" fillId="0" fontId="28" numFmtId="0" xfId="0" applyAlignment="1" applyBorder="1" applyFont="1">
      <alignment shrinkToFit="0" wrapText="1"/>
    </xf>
    <xf borderId="11" fillId="0" fontId="2" numFmtId="3" xfId="0" applyBorder="1" applyFont="1" applyNumberFormat="1"/>
    <xf borderId="11" fillId="0" fontId="32" numFmtId="0" xfId="0" applyAlignment="1" applyBorder="1" applyFont="1">
      <alignment horizontal="center"/>
    </xf>
    <xf borderId="11" fillId="0" fontId="31" numFmtId="0" xfId="0" applyAlignment="1" applyBorder="1" applyFont="1">
      <alignment readingOrder="0" shrinkToFit="0" vertical="center" wrapText="1"/>
    </xf>
    <xf borderId="11" fillId="3" fontId="32" numFmtId="3" xfId="0" applyAlignment="1" applyBorder="1" applyFont="1" applyNumberFormat="1">
      <alignment vertical="center"/>
    </xf>
    <xf borderId="11" fillId="3" fontId="32" numFmtId="166" xfId="0" applyAlignment="1" applyBorder="1" applyFont="1" applyNumberFormat="1">
      <alignment vertical="center"/>
    </xf>
    <xf borderId="11" fillId="0" fontId="32" numFmtId="166" xfId="0" applyAlignment="1" applyBorder="1" applyFont="1" applyNumberFormat="1">
      <alignment vertical="center"/>
    </xf>
    <xf borderId="11" fillId="0" fontId="32" numFmtId="166" xfId="0" applyAlignment="1" applyBorder="1" applyFont="1" applyNumberFormat="1">
      <alignment readingOrder="0" vertical="center"/>
    </xf>
    <xf borderId="11" fillId="0" fontId="32" numFmtId="0" xfId="0" applyAlignment="1" applyBorder="1" applyFont="1">
      <alignment vertical="center"/>
    </xf>
    <xf borderId="11" fillId="0" fontId="28" numFmtId="0" xfId="0" applyAlignment="1" applyBorder="1" applyFont="1">
      <alignment shrinkToFit="0" vertical="center" wrapText="1"/>
    </xf>
    <xf borderId="11" fillId="0" fontId="28" numFmtId="0" xfId="0" applyAlignment="1" applyBorder="1" applyFont="1">
      <alignment horizontal="center" vertical="center"/>
    </xf>
    <xf borderId="11" fillId="3" fontId="28" numFmtId="3" xfId="0" applyAlignment="1" applyBorder="1" applyFont="1" applyNumberFormat="1">
      <alignment vertical="center"/>
    </xf>
    <xf borderId="11" fillId="3" fontId="28" numFmtId="166" xfId="0" applyAlignment="1" applyBorder="1" applyFont="1" applyNumberFormat="1">
      <alignment vertical="center"/>
    </xf>
    <xf borderId="11" fillId="0" fontId="28" numFmtId="166" xfId="0" applyAlignment="1" applyBorder="1" applyFont="1" applyNumberFormat="1">
      <alignment vertical="center"/>
    </xf>
    <xf borderId="11" fillId="3" fontId="32" numFmtId="0" xfId="0" applyAlignment="1" applyBorder="1" applyFont="1">
      <alignment vertical="center"/>
    </xf>
    <xf borderId="11" fillId="3" fontId="32" numFmtId="0" xfId="0" applyAlignment="1" applyBorder="1" applyFont="1">
      <alignment horizontal="center" vertical="center"/>
    </xf>
    <xf borderId="11" fillId="0" fontId="30" numFmtId="0" xfId="0" applyAlignment="1" applyBorder="1" applyFont="1">
      <alignment horizontal="center" shrinkToFit="0" vertical="center" wrapText="1"/>
    </xf>
    <xf borderId="13" fillId="3" fontId="21" numFmtId="0" xfId="0" applyAlignment="1" applyBorder="1" applyFont="1">
      <alignment vertical="center"/>
    </xf>
    <xf borderId="13" fillId="3" fontId="21" numFmtId="0" xfId="0" applyAlignment="1" applyBorder="1" applyFont="1">
      <alignment horizontal="center" vertical="center"/>
    </xf>
    <xf borderId="13" fillId="2" fontId="21" numFmtId="164" xfId="0" applyAlignment="1" applyBorder="1" applyFont="1" applyNumberFormat="1">
      <alignment shrinkToFit="0" wrapText="1"/>
    </xf>
    <xf borderId="0" fillId="3" fontId="21" numFmtId="3" xfId="0" applyFont="1" applyNumberFormat="1"/>
    <xf borderId="0" fillId="3" fontId="21" numFmtId="0" xfId="0" applyFont="1"/>
    <xf borderId="13" fillId="2" fontId="21" numFmtId="164" xfId="0" applyBorder="1" applyFont="1" applyNumberFormat="1"/>
    <xf borderId="13" fillId="2" fontId="34" numFmtId="164" xfId="0" applyBorder="1" applyFont="1" applyNumberFormat="1"/>
    <xf borderId="13" fillId="2" fontId="21" numFmtId="0" xfId="0" applyAlignment="1" applyBorder="1" applyFont="1">
      <alignment vertical="top"/>
    </xf>
    <xf borderId="13" fillId="2" fontId="21" numFmtId="0" xfId="0" applyBorder="1" applyFont="1"/>
    <xf borderId="0" fillId="0" fontId="21" numFmtId="0" xfId="0" applyAlignment="1" applyFont="1">
      <alignment vertical="center"/>
    </xf>
    <xf borderId="13" fillId="2" fontId="32" numFmtId="164" xfId="0" applyAlignment="1" applyBorder="1" applyFont="1" applyNumberFormat="1">
      <alignment shrinkToFit="0" vertical="center" wrapText="1"/>
    </xf>
    <xf borderId="0" fillId="0" fontId="32" numFmtId="0" xfId="0" applyAlignment="1" applyFont="1">
      <alignment vertical="center"/>
    </xf>
    <xf borderId="0" fillId="0" fontId="32" numFmtId="164" xfId="0" applyAlignment="1" applyFont="1" applyNumberFormat="1">
      <alignment vertical="bottom"/>
    </xf>
    <xf borderId="13" fillId="2" fontId="35" numFmtId="164" xfId="0" applyAlignment="1" applyBorder="1" applyFont="1" applyNumberFormat="1">
      <alignment vertical="top"/>
    </xf>
    <xf borderId="13" fillId="2" fontId="32" numFmtId="164" xfId="0" applyAlignment="1" applyBorder="1" applyFont="1" applyNumberFormat="1">
      <alignment vertical="center"/>
    </xf>
    <xf borderId="0" fillId="0" fontId="20" numFmtId="164" xfId="0" applyAlignment="1" applyFont="1" applyNumberFormat="1">
      <alignment vertical="bottom"/>
    </xf>
    <xf borderId="13" fillId="2" fontId="20" numFmtId="164" xfId="0" applyBorder="1" applyFont="1" applyNumberFormat="1"/>
    <xf borderId="13" fillId="2" fontId="28" numFmtId="164" xfId="0" applyAlignment="1" applyBorder="1" applyFont="1" applyNumberFormat="1">
      <alignment vertical="center"/>
    </xf>
    <xf borderId="0" fillId="0" fontId="28" numFmtId="164" xfId="0" applyAlignment="1" applyFont="1" applyNumberFormat="1">
      <alignment vertical="bottom"/>
    </xf>
    <xf borderId="13" fillId="2" fontId="28" numFmtId="164" xfId="0" applyBorder="1" applyFont="1" applyNumberFormat="1"/>
    <xf borderId="13" fillId="2" fontId="35" numFmtId="164" xfId="0" applyAlignment="1" applyBorder="1" applyFont="1" applyNumberFormat="1">
      <alignment vertical="center"/>
    </xf>
    <xf borderId="13" fillId="2" fontId="35" numFmtId="164" xfId="0" applyBorder="1" applyFont="1" applyNumberFormat="1"/>
    <xf borderId="0" fillId="0" fontId="36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2" numFmtId="0" xfId="0" applyFont="1"/>
    <xf borderId="0" fillId="3" fontId="22" numFmtId="3" xfId="0" applyFont="1" applyNumberFormat="1"/>
    <xf borderId="0" fillId="3" fontId="22" numFmtId="0" xfId="0" applyFont="1"/>
    <xf borderId="0" fillId="0" fontId="4" numFmtId="0" xfId="0" applyAlignment="1" applyFont="1">
      <alignment readingOrder="0" shrinkToFit="0" vertical="center" wrapText="1"/>
    </xf>
    <xf borderId="0" fillId="0" fontId="7" numFmtId="166" xfId="0" applyAlignment="1" applyFont="1" applyNumberFormat="1">
      <alignment vertical="center"/>
    </xf>
    <xf borderId="0" fillId="0" fontId="7" numFmtId="166" xfId="0" applyAlignment="1" applyFont="1" applyNumberFormat="1">
      <alignment horizontal="center" shrinkToFit="0" vertical="center" wrapText="1"/>
    </xf>
    <xf borderId="11" fillId="2" fontId="16" numFmtId="166" xfId="0" applyAlignment="1" applyBorder="1" applyFont="1" applyNumberFormat="1">
      <alignment vertical="center"/>
    </xf>
    <xf borderId="11" fillId="0" fontId="16" numFmtId="166" xfId="0" applyAlignment="1" applyBorder="1" applyFont="1" applyNumberFormat="1">
      <alignment horizontal="center" shrinkToFit="0" vertical="center" wrapText="1"/>
    </xf>
    <xf borderId="11" fillId="0" fontId="16" numFmtId="167" xfId="0" applyAlignment="1" applyBorder="1" applyFont="1" applyNumberFormat="1">
      <alignment vertical="center"/>
    </xf>
    <xf borderId="11" fillId="0" fontId="16" numFmtId="4" xfId="0" applyAlignment="1" applyBorder="1" applyFont="1" applyNumberFormat="1">
      <alignment vertical="center"/>
    </xf>
    <xf borderId="11" fillId="0" fontId="16" numFmtId="166" xfId="0" applyAlignment="1" applyBorder="1" applyFont="1" applyNumberFormat="1">
      <alignment vertical="center"/>
    </xf>
    <xf borderId="0" fillId="0" fontId="16" numFmtId="166" xfId="0" applyAlignment="1" applyFont="1" applyNumberFormat="1">
      <alignment vertical="center"/>
    </xf>
    <xf borderId="11" fillId="2" fontId="16" numFmtId="166" xfId="0" applyAlignment="1" applyBorder="1" applyFont="1" applyNumberFormat="1">
      <alignment horizontal="left" shrinkToFit="0" vertical="center" wrapText="1"/>
    </xf>
    <xf borderId="11" fillId="0" fontId="12" numFmtId="166" xfId="0" applyAlignment="1" applyBorder="1" applyFont="1" applyNumberFormat="1">
      <alignment horizontal="center" shrinkToFit="0" vertical="center" wrapText="1"/>
    </xf>
    <xf borderId="11" fillId="0" fontId="12" numFmtId="167" xfId="0" applyAlignment="1" applyBorder="1" applyFont="1" applyNumberFormat="1">
      <alignment vertical="center"/>
    </xf>
    <xf borderId="11" fillId="0" fontId="12" numFmtId="165" xfId="0" applyAlignment="1" applyBorder="1" applyFont="1" applyNumberFormat="1">
      <alignment vertical="center"/>
    </xf>
    <xf borderId="11" fillId="2" fontId="16" numFmtId="166" xfId="0" applyAlignment="1" applyBorder="1" applyFont="1" applyNumberFormat="1">
      <alignment horizontal="left" vertical="center"/>
    </xf>
    <xf borderId="11" fillId="0" fontId="16" numFmtId="166" xfId="0" applyAlignment="1" applyBorder="1" applyFont="1" applyNumberFormat="1">
      <alignment horizontal="left" vertical="center"/>
    </xf>
    <xf borderId="11" fillId="0" fontId="12" numFmtId="4" xfId="0" applyAlignment="1" applyBorder="1" applyFont="1" applyNumberFormat="1">
      <alignment vertical="center"/>
    </xf>
    <xf borderId="11" fillId="0" fontId="12" numFmtId="166" xfId="0" applyAlignment="1" applyBorder="1" applyFont="1" applyNumberFormat="1">
      <alignment vertical="center"/>
    </xf>
    <xf borderId="11" fillId="0" fontId="7" numFmtId="0" xfId="0" applyAlignment="1" applyBorder="1" applyFont="1">
      <alignment vertical="center"/>
    </xf>
    <xf borderId="11" fillId="0" fontId="12" numFmtId="166" xfId="0" applyAlignment="1" applyBorder="1" applyFont="1" applyNumberFormat="1">
      <alignment horizontal="left" vertical="center"/>
    </xf>
    <xf borderId="11" fillId="2" fontId="12" numFmtId="166" xfId="0" applyAlignment="1" applyBorder="1" applyFont="1" applyNumberFormat="1">
      <alignment horizontal="left" vertical="center"/>
    </xf>
    <xf borderId="11" fillId="0" fontId="11" numFmtId="0" xfId="0" applyAlignment="1" applyBorder="1" applyFont="1">
      <alignment readingOrder="0" vertical="center"/>
    </xf>
    <xf borderId="11" fillId="0" fontId="7" numFmtId="166" xfId="0" applyAlignment="1" applyBorder="1" applyFont="1" applyNumberFormat="1">
      <alignment vertical="center"/>
    </xf>
    <xf borderId="11" fillId="0" fontId="7" numFmtId="166" xfId="0" applyAlignment="1" applyBorder="1" applyFont="1" applyNumberFormat="1">
      <alignment readingOrder="0" vertical="center"/>
    </xf>
    <xf borderId="11" fillId="0" fontId="13" numFmtId="4" xfId="0" applyAlignment="1" applyBorder="1" applyFont="1" applyNumberFormat="1">
      <alignment vertical="center"/>
    </xf>
    <xf borderId="11" fillId="0" fontId="13" numFmtId="165" xfId="0" applyAlignment="1" applyBorder="1" applyFont="1" applyNumberFormat="1">
      <alignment vertical="center"/>
    </xf>
    <xf borderId="11" fillId="0" fontId="11" numFmtId="166" xfId="0" applyAlignment="1" applyBorder="1" applyFont="1" applyNumberFormat="1">
      <alignment readingOrder="0" vertical="center"/>
    </xf>
    <xf borderId="11" fillId="0" fontId="13" numFmtId="166" xfId="0" applyAlignment="1" applyBorder="1" applyFont="1" applyNumberFormat="1">
      <alignment vertical="center"/>
    </xf>
    <xf borderId="11" fillId="0" fontId="11" numFmtId="168" xfId="0" applyBorder="1" applyFont="1" applyNumberFormat="1"/>
    <xf borderId="11" fillId="2" fontId="12" numFmtId="0" xfId="0" applyAlignment="1" applyBorder="1" applyFont="1">
      <alignment horizontal="left" vertical="center"/>
    </xf>
    <xf borderId="11" fillId="0" fontId="37" numFmtId="166" xfId="0" applyAlignment="1" applyBorder="1" applyFont="1" applyNumberFormat="1">
      <alignment horizontal="left"/>
    </xf>
    <xf borderId="11" fillId="2" fontId="38" numFmtId="166" xfId="0" applyAlignment="1" applyBorder="1" applyFont="1" applyNumberFormat="1">
      <alignment horizontal="left" vertical="center"/>
    </xf>
    <xf borderId="11" fillId="2" fontId="13" numFmtId="166" xfId="0" applyAlignment="1" applyBorder="1" applyFont="1" applyNumberFormat="1">
      <alignment horizontal="left" readingOrder="0" vertical="center"/>
    </xf>
    <xf borderId="11" fillId="0" fontId="12" numFmtId="0" xfId="0" applyAlignment="1" applyBorder="1" applyFont="1">
      <alignment horizontal="center" shrinkToFit="0" vertical="center" wrapText="1"/>
    </xf>
    <xf borderId="11" fillId="2" fontId="16" numFmtId="0" xfId="0" applyAlignment="1" applyBorder="1" applyFont="1">
      <alignment horizontal="left" vertical="center"/>
    </xf>
    <xf borderId="11" fillId="4" fontId="12" numFmtId="166" xfId="0" applyAlignment="1" applyBorder="1" applyFill="1" applyFont="1" applyNumberFormat="1">
      <alignment horizontal="left" vertical="center"/>
    </xf>
    <xf borderId="11" fillId="0" fontId="39" numFmtId="166" xfId="0" applyAlignment="1" applyBorder="1" applyFont="1" applyNumberFormat="1">
      <alignment horizontal="left" vertical="center"/>
    </xf>
    <xf borderId="11" fillId="0" fontId="39" numFmtId="0" xfId="0" applyAlignment="1" applyBorder="1" applyFont="1">
      <alignment horizontal="left" vertical="center"/>
    </xf>
    <xf borderId="11" fillId="2" fontId="40" numFmtId="166" xfId="0" applyAlignment="1" applyBorder="1" applyFont="1" applyNumberFormat="1">
      <alignment horizontal="left" vertical="center"/>
    </xf>
    <xf borderId="11" fillId="2" fontId="39" numFmtId="166" xfId="0" applyAlignment="1" applyBorder="1" applyFont="1" applyNumberFormat="1">
      <alignment horizontal="left" vertical="center"/>
    </xf>
    <xf borderId="11" fillId="2" fontId="12" numFmtId="166" xfId="0" applyAlignment="1" applyBorder="1" applyFont="1" applyNumberFormat="1">
      <alignment vertical="center"/>
    </xf>
    <xf borderId="11" fillId="0" fontId="8" numFmtId="166" xfId="0" applyAlignment="1" applyBorder="1" applyFont="1" applyNumberFormat="1">
      <alignment vertical="center"/>
    </xf>
    <xf borderId="11" fillId="0" fontId="38" numFmtId="166" xfId="0" applyAlignment="1" applyBorder="1" applyFont="1" applyNumberFormat="1">
      <alignment vertical="center"/>
    </xf>
    <xf borderId="11" fillId="0" fontId="16" numFmtId="166" xfId="0" applyAlignment="1" applyBorder="1" applyFont="1" applyNumberFormat="1">
      <alignment horizontal="left" shrinkToFit="0" vertical="center" wrapText="1"/>
    </xf>
    <xf borderId="11" fillId="0" fontId="12" numFmtId="166" xfId="0" applyAlignment="1" applyBorder="1" applyFont="1" applyNumberFormat="1">
      <alignment horizontal="left" shrinkToFit="0" vertical="center" wrapText="1"/>
    </xf>
    <xf borderId="11" fillId="2" fontId="13" numFmtId="166" xfId="0" applyAlignment="1" applyBorder="1" applyFont="1" applyNumberFormat="1">
      <alignment horizontal="left" vertical="center"/>
    </xf>
    <xf borderId="11" fillId="0" fontId="13" numFmtId="166" xfId="0" applyAlignment="1" applyBorder="1" applyFont="1" applyNumberFormat="1">
      <alignment horizontal="center" shrinkToFit="0" vertical="center" wrapText="1"/>
    </xf>
    <xf borderId="11" fillId="2" fontId="13" numFmtId="166" xfId="0" applyAlignment="1" applyBorder="1" applyFont="1" applyNumberFormat="1">
      <alignment readingOrder="0" vertical="center"/>
    </xf>
    <xf borderId="11" fillId="0" fontId="12" numFmtId="165" xfId="0" applyAlignment="1" applyBorder="1" applyFont="1" applyNumberFormat="1">
      <alignment shrinkToFit="0" vertical="center" wrapText="1"/>
    </xf>
    <xf borderId="11" fillId="0" fontId="12" numFmtId="166" xfId="0" applyAlignment="1" applyBorder="1" applyFont="1" applyNumberFormat="1">
      <alignment shrinkToFit="0" vertical="center" wrapText="1"/>
    </xf>
    <xf borderId="11" fillId="0" fontId="8" numFmtId="4" xfId="0" applyAlignment="1" applyBorder="1" applyFont="1" applyNumberFormat="1">
      <alignment vertical="center"/>
    </xf>
    <xf borderId="11" fillId="2" fontId="16" numFmtId="166" xfId="0" applyAlignment="1" applyBorder="1" applyFont="1" applyNumberFormat="1">
      <alignment horizontal="center" vertical="center"/>
    </xf>
    <xf borderId="13" fillId="2" fontId="16" numFmtId="166" xfId="0" applyAlignment="1" applyBorder="1" applyFont="1" applyNumberFormat="1">
      <alignment horizontal="center" vertical="center"/>
    </xf>
    <xf borderId="0" fillId="0" fontId="12" numFmtId="166" xfId="0" applyAlignment="1" applyFont="1" applyNumberFormat="1">
      <alignment horizontal="center" shrinkToFit="0" vertical="center" wrapText="1"/>
    </xf>
    <xf borderId="0" fillId="0" fontId="12" numFmtId="165" xfId="0" applyAlignment="1" applyFont="1" applyNumberFormat="1">
      <alignment vertical="center"/>
    </xf>
    <xf borderId="0" fillId="0" fontId="16" numFmtId="4" xfId="0" applyAlignment="1" applyFont="1" applyNumberFormat="1">
      <alignment vertical="center"/>
    </xf>
    <xf borderId="0" fillId="0" fontId="8" numFmtId="4" xfId="0" applyAlignment="1" applyFont="1" applyNumberFormat="1">
      <alignment vertical="center"/>
    </xf>
    <xf borderId="13" fillId="2" fontId="7" numFmtId="0" xfId="0" applyAlignment="1" applyBorder="1" applyFont="1">
      <alignment vertical="top"/>
    </xf>
    <xf borderId="13" fillId="2" fontId="14" numFmtId="0" xfId="0" applyBorder="1" applyFont="1"/>
    <xf borderId="0" fillId="0" fontId="14" numFmtId="0" xfId="0" applyFont="1"/>
    <xf borderId="13" fillId="2" fontId="7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4" fillId="2" fontId="7" numFmtId="166" xfId="0" applyAlignment="1" applyBorder="1" applyFont="1" applyNumberFormat="1">
      <alignment vertical="center"/>
    </xf>
    <xf borderId="11" fillId="2" fontId="8" numFmtId="166" xfId="0" applyAlignment="1" applyBorder="1" applyFont="1" applyNumberFormat="1">
      <alignment vertical="center"/>
    </xf>
    <xf borderId="11" fillId="2" fontId="7" numFmtId="166" xfId="0" applyAlignment="1" applyBorder="1" applyFont="1" applyNumberFormat="1">
      <alignment vertical="center"/>
    </xf>
    <xf borderId="11" fillId="0" fontId="8" numFmtId="168" xfId="0" applyAlignment="1" applyBorder="1" applyFont="1" applyNumberFormat="1">
      <alignment vertical="center"/>
    </xf>
    <xf borderId="11" fillId="0" fontId="8" numFmtId="169" xfId="0" applyAlignment="1" applyBorder="1" applyFont="1" applyNumberFormat="1">
      <alignment vertical="center"/>
    </xf>
    <xf borderId="11" fillId="0" fontId="7" numFmtId="165" xfId="0" applyAlignment="1" applyBorder="1" applyFont="1" applyNumberFormat="1">
      <alignment vertical="center"/>
    </xf>
    <xf borderId="11" fillId="2" fontId="8" numFmtId="166" xfId="0" applyAlignment="1" applyBorder="1" applyFont="1" applyNumberFormat="1">
      <alignment horizontal="right" vertical="center"/>
    </xf>
    <xf borderId="11" fillId="0" fontId="8" numFmtId="170" xfId="0" applyAlignment="1" applyBorder="1" applyFont="1" applyNumberFormat="1">
      <alignment vertical="center"/>
    </xf>
    <xf borderId="11" fillId="2" fontId="8" numFmtId="0" xfId="0" applyAlignment="1" applyBorder="1" applyFont="1">
      <alignment vertical="center"/>
    </xf>
    <xf borderId="11" fillId="2" fontId="7" numFmtId="0" xfId="0" applyAlignment="1" applyBorder="1" applyFont="1">
      <alignment vertical="center"/>
    </xf>
    <xf borderId="11" fillId="0" fontId="7" numFmtId="168" xfId="0" applyAlignment="1" applyBorder="1" applyFont="1" applyNumberFormat="1">
      <alignment vertical="center"/>
    </xf>
    <xf borderId="11" fillId="2" fontId="7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vertical="center"/>
    </xf>
    <xf borderId="11" fillId="0" fontId="11" numFmtId="168" xfId="0" applyAlignment="1" applyBorder="1" applyFont="1" applyNumberFormat="1">
      <alignment vertical="center"/>
    </xf>
    <xf borderId="11" fillId="0" fontId="11" numFmtId="165" xfId="0" applyAlignment="1" applyBorder="1" applyFont="1" applyNumberFormat="1">
      <alignment vertical="center"/>
    </xf>
    <xf borderId="11" fillId="0" fontId="11" numFmtId="170" xfId="0" applyAlignment="1" applyBorder="1" applyFont="1" applyNumberFormat="1">
      <alignment vertical="center"/>
    </xf>
    <xf borderId="11" fillId="0" fontId="7" numFmtId="170" xfId="0" applyAlignment="1" applyBorder="1" applyFont="1" applyNumberFormat="1">
      <alignment vertical="center"/>
    </xf>
    <xf borderId="11" fillId="2" fontId="11" numFmtId="0" xfId="0" applyAlignment="1" applyBorder="1" applyFont="1">
      <alignment vertical="center"/>
    </xf>
    <xf borderId="11" fillId="2" fontId="7" numFmtId="0" xfId="0" applyAlignment="1" applyBorder="1" applyFont="1">
      <alignment horizontal="center" vertical="center"/>
    </xf>
    <xf borderId="11" fillId="2" fontId="8" numFmtId="0" xfId="0" applyAlignment="1" applyBorder="1" applyFont="1">
      <alignment shrinkToFit="0" vertical="center" wrapText="1"/>
    </xf>
    <xf borderId="11" fillId="0" fontId="7" numFmtId="4" xfId="0" applyAlignment="1" applyBorder="1" applyFont="1" applyNumberFormat="1">
      <alignment vertical="center"/>
    </xf>
    <xf borderId="11" fillId="0" fontId="11" numFmtId="4" xfId="0" applyAlignment="1" applyBorder="1" applyFont="1" applyNumberFormat="1">
      <alignment vertical="center"/>
    </xf>
    <xf borderId="11" fillId="2" fontId="7" numFmtId="165" xfId="0" applyAlignment="1" applyBorder="1" applyFont="1" applyNumberFormat="1">
      <alignment vertical="center"/>
    </xf>
    <xf borderId="11" fillId="2" fontId="7" numFmtId="4" xfId="0" applyAlignment="1" applyBorder="1" applyFont="1" applyNumberFormat="1">
      <alignment vertical="center"/>
    </xf>
    <xf borderId="11" fillId="2" fontId="7" numFmtId="0" xfId="0" applyAlignment="1" applyBorder="1" applyFont="1">
      <alignment shrinkToFit="0" vertical="center" wrapText="1"/>
    </xf>
    <xf borderId="11" fillId="2" fontId="11" numFmtId="0" xfId="0" applyAlignment="1" applyBorder="1" applyFont="1">
      <alignment horizontal="center" vertical="center"/>
    </xf>
    <xf borderId="11" fillId="2" fontId="11" numFmtId="165" xfId="0" applyAlignment="1" applyBorder="1" applyFont="1" applyNumberFormat="1">
      <alignment vertical="center"/>
    </xf>
    <xf borderId="11" fillId="2" fontId="11" numFmtId="4" xfId="0" applyAlignment="1" applyBorder="1" applyFont="1" applyNumberFormat="1">
      <alignment vertical="center"/>
    </xf>
    <xf borderId="11" fillId="2" fontId="8" numFmtId="0" xfId="0" applyAlignment="1" applyBorder="1" applyFont="1">
      <alignment horizontal="center" vertical="center"/>
    </xf>
    <xf borderId="11" fillId="0" fontId="8" numFmtId="4" xfId="0" applyAlignment="1" applyBorder="1" applyFont="1" applyNumberFormat="1">
      <alignment readingOrder="0" vertical="center"/>
    </xf>
    <xf borderId="13" fillId="2" fontId="17" numFmtId="165" xfId="0" applyAlignment="1" applyBorder="1" applyFont="1" applyNumberFormat="1">
      <alignment vertical="center"/>
    </xf>
    <xf borderId="0" fillId="0" fontId="7" numFmtId="168" xfId="0" applyAlignment="1" applyFont="1" applyNumberFormat="1">
      <alignment vertical="center"/>
    </xf>
    <xf borderId="11" fillId="0" fontId="8" numFmtId="0" xfId="0" applyAlignment="1" applyBorder="1" applyFont="1">
      <alignment horizontal="left" shrinkToFit="0" vertical="center" wrapText="1"/>
    </xf>
    <xf borderId="11" fillId="0" fontId="8" numFmtId="166" xfId="0" applyAlignment="1" applyBorder="1" applyFont="1" applyNumberFormat="1">
      <alignment horizontal="center" shrinkToFit="0" vertical="center" wrapText="1"/>
    </xf>
    <xf borderId="0" fillId="0" fontId="8" numFmtId="166" xfId="0" applyAlignment="1" applyFont="1" applyNumberFormat="1">
      <alignment horizontal="center" shrinkToFit="0" vertical="center" wrapText="1"/>
    </xf>
    <xf borderId="11" fillId="0" fontId="7" numFmtId="164" xfId="0" applyAlignment="1" applyBorder="1" applyFont="1" applyNumberFormat="1">
      <alignment horizontal="center" vertical="center"/>
    </xf>
    <xf borderId="11" fillId="0" fontId="8" numFmtId="164" xfId="0" applyAlignment="1" applyBorder="1" applyFont="1" applyNumberFormat="1">
      <alignment horizontal="right" shrinkToFit="0" vertical="center" wrapText="1"/>
    </xf>
    <xf borderId="11" fillId="0" fontId="7" numFmtId="0" xfId="0" applyAlignment="1" applyBorder="1" applyFont="1">
      <alignment horizontal="center" vertical="center"/>
    </xf>
    <xf borderId="11" fillId="0" fontId="7" numFmtId="164" xfId="0" applyAlignment="1" applyBorder="1" applyFont="1" applyNumberFormat="1">
      <alignment vertical="center"/>
    </xf>
    <xf borderId="11" fillId="0" fontId="8" numFmtId="4" xfId="0" applyAlignment="1" applyBorder="1" applyFont="1" applyNumberFormat="1">
      <alignment horizontal="center" shrinkToFit="0" vertical="center" wrapText="1"/>
    </xf>
    <xf borderId="11" fillId="0" fontId="13" numFmtId="168" xfId="0" applyAlignment="1" applyBorder="1" applyFont="1" applyNumberFormat="1">
      <alignment horizontal="right" vertical="center"/>
    </xf>
    <xf borderId="11" fillId="0" fontId="11" numFmtId="164" xfId="0" applyAlignment="1" applyBorder="1" applyFont="1" applyNumberFormat="1">
      <alignment vertical="center"/>
    </xf>
    <xf borderId="11" fillId="0" fontId="7" numFmtId="4" xfId="0" applyAlignment="1" applyBorder="1" applyFont="1" applyNumberFormat="1">
      <alignment readingOrder="0" vertical="center"/>
    </xf>
    <xf borderId="11" fillId="2" fontId="12" numFmtId="0" xfId="0" applyAlignment="1" applyBorder="1" applyFont="1">
      <alignment horizontal="left" readingOrder="0" shrinkToFit="0" vertical="center" wrapText="1"/>
    </xf>
    <xf borderId="11" fillId="0" fontId="10" numFmtId="0" xfId="0" applyBorder="1" applyFont="1"/>
    <xf borderId="11" fillId="0" fontId="7" numFmtId="0" xfId="0" applyBorder="1" applyFont="1"/>
    <xf borderId="11" fillId="0" fontId="12" numFmtId="168" xfId="0" applyAlignment="1" applyBorder="1" applyFont="1" applyNumberFormat="1">
      <alignment horizontal="right" vertical="center"/>
    </xf>
    <xf borderId="11" fillId="0" fontId="13" numFmtId="164" xfId="0" applyAlignment="1" applyBorder="1" applyFont="1" applyNumberFormat="1">
      <alignment horizontal="right" vertical="center"/>
    </xf>
    <xf borderId="11" fillId="0" fontId="7" numFmtId="166" xfId="0" applyAlignment="1" applyBorder="1" applyFont="1" applyNumberFormat="1">
      <alignment horizontal="center" readingOrder="0" shrinkToFit="0" vertical="center" wrapText="1"/>
    </xf>
    <xf borderId="11" fillId="0" fontId="7" numFmtId="4" xfId="0" applyAlignment="1" applyBorder="1" applyFont="1" applyNumberFormat="1">
      <alignment horizontal="center" shrinkToFit="0" vertical="center" wrapText="1"/>
    </xf>
    <xf borderId="11" fillId="0" fontId="7" numFmtId="166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readingOrder="0" vertical="center"/>
    </xf>
    <xf borderId="11" fillId="0" fontId="12" numFmtId="168" xfId="0" applyAlignment="1" applyBorder="1" applyFont="1" applyNumberFormat="1">
      <alignment vertical="center"/>
    </xf>
    <xf borderId="11" fillId="0" fontId="16" numFmtId="168" xfId="0" applyAlignment="1" applyBorder="1" applyFont="1" applyNumberFormat="1">
      <alignment vertical="center"/>
    </xf>
    <xf borderId="11" fillId="0" fontId="8" numFmtId="168" xfId="0" applyAlignment="1" applyBorder="1" applyFont="1" applyNumberFormat="1">
      <alignment horizontal="right" shrinkToFit="0" vertical="center" wrapText="1"/>
    </xf>
    <xf borderId="11" fillId="0" fontId="13" numFmtId="168" xfId="0" applyAlignment="1" applyBorder="1" applyFont="1" applyNumberFormat="1">
      <alignment vertical="center"/>
    </xf>
    <xf borderId="11" fillId="0" fontId="11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readingOrder="0" shrinkToFit="0" vertical="center" wrapText="1"/>
    </xf>
    <xf borderId="11" fillId="0" fontId="7" numFmtId="0" xfId="0" applyAlignment="1" applyBorder="1" applyFont="1">
      <alignment readingOrder="0" shrinkToFit="0" vertical="center" wrapText="1"/>
    </xf>
    <xf borderId="11" fillId="2" fontId="7" numFmtId="0" xfId="0" applyAlignment="1" applyBorder="1" applyFont="1">
      <alignment readingOrder="0" shrinkToFit="0" vertical="center" wrapText="1"/>
    </xf>
    <xf borderId="11" fillId="2" fontId="7" numFmtId="0" xfId="0" applyAlignment="1" applyBorder="1" applyFont="1">
      <alignment horizontal="center" readingOrder="0" shrinkToFit="0" vertical="center" wrapText="1"/>
    </xf>
    <xf borderId="11" fillId="2" fontId="7" numFmtId="168" xfId="0" applyAlignment="1" applyBorder="1" applyFont="1" applyNumberFormat="1">
      <alignment vertical="center"/>
    </xf>
    <xf borderId="11" fillId="2" fontId="7" numFmtId="164" xfId="0" applyAlignment="1" applyBorder="1" applyFont="1" applyNumberFormat="1">
      <alignment vertical="center"/>
    </xf>
    <xf borderId="11" fillId="2" fontId="7" numFmtId="0" xfId="0" applyAlignment="1" applyBorder="1" applyFont="1">
      <alignment readingOrder="0" vertical="center"/>
    </xf>
    <xf borderId="11" fillId="2" fontId="7" numFmtId="4" xfId="0" applyAlignment="1" applyBorder="1" applyFont="1" applyNumberFormat="1">
      <alignment readingOrder="0" vertical="center"/>
    </xf>
    <xf borderId="13" fillId="2" fontId="7" numFmtId="165" xfId="0" applyAlignment="1" applyBorder="1" applyFont="1" applyNumberFormat="1">
      <alignment vertical="center"/>
    </xf>
    <xf borderId="13" fillId="2" fontId="7" numFmtId="4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5" numFmtId="4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2" fontId="3" numFmtId="0" xfId="0" applyAlignment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6" numFmtId="4" xfId="0" applyAlignment="1" applyFont="1" applyNumberFormat="1">
      <alignment vertical="center"/>
    </xf>
    <xf borderId="0" fillId="0" fontId="8" numFmtId="0" xfId="0" applyAlignment="1" applyFont="1">
      <alignment shrinkToFit="0" vertical="center" wrapText="1"/>
    </xf>
    <xf borderId="0" fillId="0" fontId="7" numFmtId="4" xfId="0" applyAlignment="1" applyFont="1" applyNumberFormat="1">
      <alignment vertical="center"/>
    </xf>
    <xf borderId="1" fillId="2" fontId="10" numFmtId="4" xfId="0" applyAlignment="1" applyBorder="1" applyFont="1" applyNumberFormat="1">
      <alignment horizontal="center" shrinkToFit="0" vertical="center" wrapText="1"/>
    </xf>
    <xf borderId="11" fillId="0" fontId="8" numFmtId="4" xfId="0" applyAlignment="1" applyBorder="1" applyFont="1" applyNumberFormat="1">
      <alignment shrinkToFit="0" vertical="center" wrapText="1"/>
    </xf>
    <xf borderId="11" fillId="0" fontId="16" numFmtId="0" xfId="0" applyAlignment="1" applyBorder="1" applyFont="1">
      <alignment horizontal="left" shrinkToFit="0" vertical="center" wrapText="1"/>
    </xf>
    <xf borderId="11" fillId="0" fontId="12" numFmtId="0" xfId="0" applyAlignment="1" applyBorder="1" applyFont="1">
      <alignment horizontal="left" shrinkToFit="0" vertical="center" wrapText="1"/>
    </xf>
    <xf borderId="11" fillId="0" fontId="7" numFmtId="0" xfId="0" applyAlignment="1" applyBorder="1" applyFont="1">
      <alignment horizontal="right" shrinkToFit="0" vertical="center" wrapText="1"/>
    </xf>
    <xf borderId="11" fillId="0" fontId="11" numFmtId="0" xfId="0" applyAlignment="1" applyBorder="1" applyFont="1">
      <alignment readingOrder="0" shrinkToFit="0" vertical="center" wrapText="1"/>
    </xf>
    <xf borderId="11" fillId="0" fontId="11" numFmtId="4" xfId="0" applyAlignment="1" applyBorder="1" applyFont="1" applyNumberFormat="1">
      <alignment readingOrder="0" shrinkToFit="0" vertical="center" wrapText="1"/>
    </xf>
    <xf borderId="11" fillId="0" fontId="38" numFmtId="0" xfId="0" applyAlignment="1" applyBorder="1" applyFont="1">
      <alignment horizontal="left" readingOrder="0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11" fillId="0" fontId="12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shrinkToFit="0" vertical="center" wrapText="1"/>
    </xf>
    <xf borderId="11" fillId="0" fontId="10" numFmtId="4" xfId="0" applyAlignment="1" applyBorder="1" applyFont="1" applyNumberFormat="1">
      <alignment shrinkToFit="0" vertical="center" wrapText="1"/>
    </xf>
    <xf borderId="11" fillId="0" fontId="10" numFmtId="0" xfId="0" applyAlignment="1" applyBorder="1" applyFont="1">
      <alignment readingOrder="0" shrinkToFit="0" vertical="center" wrapText="1"/>
    </xf>
    <xf borderId="11" fillId="0" fontId="10" numFmtId="4" xfId="0" applyAlignment="1" applyBorder="1" applyFont="1" applyNumberFormat="1">
      <alignment readingOrder="0" shrinkToFit="0" vertical="center" wrapText="1"/>
    </xf>
    <xf borderId="11" fillId="0" fontId="13" numFmtId="0" xfId="0" applyAlignment="1" applyBorder="1" applyFont="1">
      <alignment horizontal="left" shrinkToFit="0" vertical="center" wrapText="1"/>
    </xf>
    <xf borderId="11" fillId="0" fontId="8" numFmtId="166" xfId="0" applyAlignment="1" applyBorder="1" applyFont="1" applyNumberFormat="1">
      <alignment shrinkToFit="0" vertical="center" wrapText="1"/>
    </xf>
    <xf borderId="11" fillId="0" fontId="8" numFmtId="4" xfId="0" applyAlignment="1" applyBorder="1" applyFont="1" applyNumberFormat="1">
      <alignment readingOrder="0" shrinkToFit="0" vertical="center" wrapText="1"/>
    </xf>
    <xf borderId="13" fillId="3" fontId="7" numFmtId="0" xfId="0" applyAlignment="1" applyBorder="1" applyFont="1">
      <alignment shrinkToFit="0" vertical="center" wrapText="1"/>
    </xf>
    <xf borderId="13" fillId="2" fontId="17" numFmtId="164" xfId="0" applyAlignment="1" applyBorder="1" applyFont="1" applyNumberFormat="1">
      <alignment shrinkToFit="0" vertical="center" wrapText="1"/>
    </xf>
    <xf borderId="13" fillId="2" fontId="17" numFmtId="0" xfId="0" applyAlignment="1" applyBorder="1" applyFont="1">
      <alignment shrinkToFit="0" vertical="center" wrapText="1"/>
    </xf>
    <xf borderId="0" fillId="0" fontId="2" numFmtId="164" xfId="0" applyAlignment="1" applyFont="1" applyNumberFormat="1">
      <alignment vertical="center"/>
    </xf>
    <xf borderId="0" fillId="0" fontId="17" numFmtId="4" xfId="0" applyAlignment="1" applyFont="1" applyNumberFormat="1">
      <alignment vertical="center"/>
    </xf>
    <xf borderId="13" fillId="2" fontId="2" numFmtId="164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13" fillId="2" fontId="2" numFmtId="0" xfId="0" applyAlignment="1" applyBorder="1" applyFont="1">
      <alignment vertical="center"/>
    </xf>
    <xf borderId="13" fillId="2" fontId="17" numFmtId="0" xfId="0" applyAlignment="1" applyBorder="1" applyFont="1">
      <alignment vertical="center"/>
    </xf>
    <xf borderId="0" fillId="0" fontId="41" numFmtId="0" xfId="0" applyAlignment="1" applyFont="1">
      <alignment vertical="center"/>
    </xf>
    <xf borderId="0" fillId="0" fontId="7" numFmtId="164" xfId="0" applyAlignment="1" applyFont="1" applyNumberFormat="1">
      <alignment vertical="center"/>
    </xf>
    <xf borderId="0" fillId="0" fontId="41" numFmtId="4" xfId="0" applyAlignment="1" applyFont="1" applyNumberFormat="1">
      <alignment vertical="center"/>
    </xf>
    <xf borderId="0" fillId="0" fontId="8" numFmtId="164" xfId="0" applyAlignment="1" applyFont="1" applyNumberFormat="1">
      <alignment vertical="center"/>
    </xf>
    <xf borderId="0" fillId="0" fontId="1" numFmtId="0" xfId="0" applyAlignment="1" applyFont="1">
      <alignment horizontal="left"/>
    </xf>
    <xf borderId="0" fillId="0" fontId="1" numFmtId="166" xfId="0" applyFont="1" applyNumberFormat="1"/>
    <xf borderId="0" fillId="0" fontId="7" numFmtId="168" xfId="0" applyAlignment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13" fillId="2" fontId="1" numFmtId="166" xfId="0" applyBorder="1" applyFont="1" applyNumberFormat="1"/>
    <xf borderId="11" fillId="0" fontId="7" numFmtId="168" xfId="0" applyAlignment="1" applyBorder="1" applyFont="1" applyNumberFormat="1">
      <alignment horizontal="right" shrinkToFit="0" vertical="center" wrapText="1"/>
    </xf>
    <xf borderId="11" fillId="0" fontId="7" numFmtId="168" xfId="0" applyAlignment="1" applyBorder="1" applyFont="1" applyNumberFormat="1">
      <alignment shrinkToFit="0" vertical="center" wrapText="1"/>
    </xf>
    <xf borderId="11" fillId="0" fontId="7" numFmtId="3" xfId="0" applyAlignment="1" applyBorder="1" applyFont="1" applyNumberFormat="1">
      <alignment readingOrder="0" vertical="center"/>
    </xf>
    <xf borderId="11" fillId="0" fontId="7" numFmtId="3" xfId="0" applyAlignment="1" applyBorder="1" applyFont="1" applyNumberFormat="1">
      <alignment vertical="center"/>
    </xf>
    <xf borderId="11" fillId="2" fontId="7" numFmtId="0" xfId="0" applyAlignment="1" applyBorder="1" applyFont="1">
      <alignment shrinkToFit="0" vertical="bottom" wrapText="1"/>
    </xf>
    <xf borderId="11" fillId="0" fontId="7" numFmtId="0" xfId="0" applyAlignment="1" applyBorder="1" applyFont="1">
      <alignment horizontal="center" shrinkToFit="0" wrapText="1"/>
    </xf>
    <xf borderId="11" fillId="0" fontId="2" numFmtId="168" xfId="0" applyBorder="1" applyFont="1" applyNumberFormat="1"/>
    <xf borderId="11" fillId="0" fontId="7" numFmtId="3" xfId="0" applyAlignment="1" applyBorder="1" applyFont="1" applyNumberFormat="1">
      <alignment horizontal="right"/>
    </xf>
    <xf borderId="11" fillId="0" fontId="7" numFmtId="4" xfId="0" applyAlignment="1" applyBorder="1" applyFont="1" applyNumberFormat="1">
      <alignment horizontal="right"/>
    </xf>
    <xf borderId="11" fillId="0" fontId="7" numFmtId="4" xfId="0" applyAlignment="1" applyBorder="1" applyFont="1" applyNumberFormat="1">
      <alignment readingOrder="0"/>
    </xf>
    <xf borderId="11" fillId="2" fontId="7" numFmtId="0" xfId="0" applyAlignment="1" applyBorder="1" applyFont="1">
      <alignment vertical="bottom"/>
    </xf>
    <xf borderId="11" fillId="2" fontId="8" numFmtId="0" xfId="0" applyAlignment="1" applyBorder="1" applyFont="1">
      <alignment vertical="bottom"/>
    </xf>
    <xf borderId="11" fillId="2" fontId="7" numFmtId="0" xfId="0" applyAlignment="1" applyBorder="1" applyFont="1">
      <alignment horizontal="left"/>
    </xf>
    <xf borderId="11" fillId="0" fontId="7" numFmtId="0" xfId="0" applyAlignment="1" applyBorder="1" applyFont="1">
      <alignment horizontal="center" readingOrder="0" shrinkToFit="0" vertical="center" wrapText="1"/>
    </xf>
    <xf borderId="13" fillId="2" fontId="7" numFmtId="0" xfId="0" applyAlignment="1" applyBorder="1" applyFont="1">
      <alignment shrinkToFit="0" vertical="center" wrapText="1"/>
    </xf>
    <xf borderId="0" fillId="2" fontId="7" numFmtId="168" xfId="0" applyAlignment="1" applyFont="1" applyNumberFormat="1">
      <alignment shrinkToFit="0" vertical="center" wrapText="1"/>
    </xf>
    <xf borderId="13" fillId="2" fontId="17" numFmtId="165" xfId="0" applyAlignment="1" applyBorder="1" applyFont="1" applyNumberFormat="1">
      <alignment vertical="top"/>
    </xf>
    <xf borderId="13" fillId="2" fontId="2" numFmtId="165" xfId="0" applyBorder="1" applyFont="1" applyNumberFormat="1"/>
    <xf borderId="0" fillId="0" fontId="2" numFmtId="166" xfId="0" applyFont="1" applyNumberFormat="1"/>
    <xf borderId="13" fillId="2" fontId="7" numFmtId="168" xfId="0" applyAlignment="1" applyBorder="1" applyFont="1" applyNumberFormat="1">
      <alignment shrinkToFit="0" vertical="center" wrapText="1"/>
    </xf>
    <xf borderId="13" fillId="2" fontId="8" numFmtId="0" xfId="0" applyAlignment="1" applyBorder="1" applyFont="1">
      <alignment shrinkToFit="0" vertical="center" wrapText="1"/>
    </xf>
    <xf borderId="0" fillId="0" fontId="8" numFmtId="0" xfId="0" applyFont="1"/>
    <xf borderId="0" fillId="0" fontId="8" numFmtId="2" xfId="0" applyFont="1" applyNumberFormat="1"/>
    <xf borderId="0" fillId="0" fontId="8" numFmtId="0" xfId="0" applyAlignment="1" applyFont="1">
      <alignment readingOrder="0"/>
    </xf>
    <xf borderId="0" fillId="0" fontId="8" numFmtId="0" xfId="0" applyAlignment="1" applyFont="1">
      <alignment vertical="center"/>
    </xf>
    <xf borderId="0" fillId="0" fontId="7" numFmtId="171" xfId="0" applyAlignment="1" applyFont="1" applyNumberFormat="1">
      <alignment vertical="center"/>
    </xf>
    <xf borderId="0" fillId="0" fontId="7" numFmtId="2" xfId="0" applyAlignment="1" applyFont="1" applyNumberFormat="1">
      <alignment vertical="center"/>
    </xf>
    <xf borderId="11" fillId="3" fontId="8" numFmtId="0" xfId="0" applyAlignment="1" applyBorder="1" applyFont="1">
      <alignment horizontal="center" shrinkToFit="0" vertical="center" wrapText="1"/>
    </xf>
    <xf borderId="11" fillId="3" fontId="8" numFmtId="171" xfId="0" applyAlignment="1" applyBorder="1" applyFont="1" applyNumberFormat="1">
      <alignment horizontal="center" shrinkToFit="0" vertical="center" wrapText="1"/>
    </xf>
    <xf borderId="11" fillId="3" fontId="8" numFmtId="4" xfId="0" applyAlignment="1" applyBorder="1" applyFont="1" applyNumberFormat="1">
      <alignment horizontal="center" shrinkToFit="0" vertical="center" wrapText="1"/>
    </xf>
    <xf borderId="0" fillId="0" fontId="7" numFmtId="2" xfId="0" applyAlignment="1" applyFont="1" applyNumberFormat="1">
      <alignment shrinkToFit="0" vertical="center" wrapText="1"/>
    </xf>
    <xf borderId="4" fillId="3" fontId="8" numFmtId="0" xfId="0" applyAlignment="1" applyBorder="1" applyFont="1">
      <alignment shrinkToFit="0" vertical="center" wrapText="1"/>
    </xf>
    <xf borderId="13" fillId="5" fontId="7" numFmtId="2" xfId="0" applyAlignment="1" applyBorder="1" applyFill="1" applyFont="1" applyNumberFormat="1">
      <alignment vertical="center"/>
    </xf>
    <xf borderId="13" fillId="5" fontId="7" numFmtId="0" xfId="0" applyBorder="1" applyFont="1"/>
    <xf borderId="13" fillId="5" fontId="7" numFmtId="0" xfId="0" applyAlignment="1" applyBorder="1" applyFont="1">
      <alignment vertical="center"/>
    </xf>
    <xf borderId="13" fillId="5" fontId="7" numFmtId="164" xfId="0" applyAlignment="1" applyBorder="1" applyFont="1" applyNumberFormat="1">
      <alignment vertical="center"/>
    </xf>
    <xf borderId="0" fillId="5" fontId="7" numFmtId="0" xfId="0" applyAlignment="1" applyFont="1">
      <alignment vertical="center"/>
    </xf>
    <xf borderId="11" fillId="2" fontId="8" numFmtId="164" xfId="0" applyAlignment="1" applyBorder="1" applyFont="1" applyNumberFormat="1">
      <alignment horizontal="center" shrinkToFit="0" vertical="center" wrapText="1"/>
    </xf>
    <xf borderId="11" fillId="0" fontId="7" numFmtId="171" xfId="0" applyAlignment="1" applyBorder="1" applyFont="1" applyNumberFormat="1">
      <alignment horizontal="right" shrinkToFit="0" vertical="center" wrapText="1"/>
    </xf>
    <xf borderId="13" fillId="2" fontId="7" numFmtId="2" xfId="0" applyAlignment="1" applyBorder="1" applyFont="1" applyNumberFormat="1">
      <alignment vertical="center"/>
    </xf>
    <xf borderId="0" fillId="0" fontId="7" numFmtId="0" xfId="0" applyFont="1"/>
    <xf borderId="13" fillId="2" fontId="8" numFmtId="2" xfId="0" applyAlignment="1" applyBorder="1" applyFont="1" applyNumberFormat="1">
      <alignment vertical="center"/>
    </xf>
    <xf borderId="13" fillId="2" fontId="7" numFmtId="166" xfId="0" applyAlignment="1" applyBorder="1" applyFont="1" applyNumberFormat="1">
      <alignment vertical="center"/>
    </xf>
    <xf borderId="4" fillId="0" fontId="8" numFmtId="164" xfId="0" applyAlignment="1" applyBorder="1" applyFont="1" applyNumberFormat="1">
      <alignment horizontal="center" shrinkToFit="0" wrapText="1"/>
    </xf>
    <xf borderId="11" fillId="2" fontId="8" numFmtId="171" xfId="0" applyAlignment="1" applyBorder="1" applyFont="1" applyNumberFormat="1">
      <alignment horizontal="right" shrinkToFit="0" vertical="center" wrapText="1"/>
    </xf>
    <xf borderId="0" fillId="0" fontId="7" numFmtId="3" xfId="0" applyAlignment="1" applyFont="1" applyNumberFormat="1">
      <alignment vertical="center"/>
    </xf>
    <xf borderId="0" fillId="0" fontId="7" numFmtId="165" xfId="0" applyAlignment="1" applyFont="1" applyNumberFormat="1">
      <alignment vertical="center"/>
    </xf>
    <xf borderId="15" fillId="4" fontId="10" numFmtId="0" xfId="0" applyAlignment="1" applyBorder="1" applyFont="1">
      <alignment shrinkToFit="0" vertical="center" wrapText="1"/>
    </xf>
    <xf borderId="16" fillId="0" fontId="9" numFmtId="0" xfId="0" applyBorder="1" applyFont="1"/>
    <xf borderId="17" fillId="0" fontId="9" numFmtId="0" xfId="0" applyBorder="1" applyFont="1"/>
    <xf borderId="11" fillId="0" fontId="7" numFmtId="4" xfId="0" applyAlignment="1" applyBorder="1" applyFont="1" applyNumberFormat="1">
      <alignment horizontal="right" readingOrder="0" shrinkToFit="0" vertical="center" wrapText="1"/>
    </xf>
    <xf borderId="4" fillId="0" fontId="8" numFmtId="0" xfId="0" applyAlignment="1" applyBorder="1" applyFont="1">
      <alignment horizontal="center"/>
    </xf>
    <xf borderId="11" fillId="2" fontId="8" numFmtId="171" xfId="0" applyAlignment="1" applyBorder="1" applyFont="1" applyNumberFormat="1">
      <alignment horizontal="right" shrinkToFit="0" wrapText="1"/>
    </xf>
    <xf borderId="11" fillId="2" fontId="8" numFmtId="4" xfId="0" applyAlignment="1" applyBorder="1" applyFont="1" applyNumberFormat="1">
      <alignment horizontal="right" shrinkToFit="0" wrapText="1"/>
    </xf>
    <xf borderId="4" fillId="6" fontId="8" numFmtId="0" xfId="0" applyAlignment="1" applyBorder="1" applyFill="1" applyFont="1">
      <alignment horizontal="left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1" fillId="0" fontId="8" numFmtId="171" xfId="0" applyAlignment="1" applyBorder="1" applyFont="1" applyNumberFormat="1">
      <alignment horizontal="right" shrinkToFit="0" vertical="center" wrapText="1"/>
    </xf>
    <xf borderId="11" fillId="0" fontId="7" numFmtId="171" xfId="0" applyAlignment="1" applyBorder="1" applyFont="1" applyNumberFormat="1">
      <alignment shrinkToFit="0" vertical="center" wrapText="1"/>
    </xf>
    <xf borderId="4" fillId="6" fontId="8" numFmtId="0" xfId="0" applyAlignment="1" applyBorder="1" applyFont="1">
      <alignment readingOrder="0" shrinkToFit="0" vertical="center" wrapText="1"/>
    </xf>
    <xf borderId="11" fillId="2" fontId="7" numFmtId="4" xfId="0" applyAlignment="1" applyBorder="1" applyFont="1" applyNumberFormat="1">
      <alignment horizontal="center" vertical="bottom"/>
    </xf>
    <xf borderId="0" fillId="0" fontId="7" numFmtId="2" xfId="0" applyAlignment="1" applyFont="1" applyNumberFormat="1">
      <alignment readingOrder="0" shrinkToFit="0" vertical="center" wrapText="1"/>
    </xf>
    <xf borderId="11" fillId="0" fontId="7" numFmtId="4" xfId="0" applyAlignment="1" applyBorder="1" applyFont="1" applyNumberFormat="1">
      <alignment horizontal="center" vertical="bottom"/>
    </xf>
    <xf borderId="11" fillId="2" fontId="7" numFmtId="3" xfId="0" applyAlignment="1" applyBorder="1" applyFont="1" applyNumberFormat="1">
      <alignment horizontal="center" shrinkToFit="0" wrapText="1"/>
    </xf>
    <xf borderId="11" fillId="0" fontId="7" numFmtId="2" xfId="0" applyAlignment="1" applyBorder="1" applyFont="1" applyNumberFormat="1">
      <alignment horizontal="center" vertical="bottom"/>
    </xf>
    <xf borderId="11" fillId="2" fontId="7" numFmtId="4" xfId="0" applyAlignment="1" applyBorder="1" applyFont="1" applyNumberFormat="1">
      <alignment horizontal="center" shrinkToFit="0" wrapText="1"/>
    </xf>
    <xf borderId="11" fillId="0" fontId="8" numFmtId="2" xfId="0" applyAlignment="1" applyBorder="1" applyFont="1" applyNumberFormat="1">
      <alignment horizontal="right" shrinkToFit="0" vertical="center" wrapText="1"/>
    </xf>
    <xf borderId="0" fillId="0" fontId="2" numFmtId="2" xfId="0" applyFont="1" applyNumberFormat="1"/>
    <xf borderId="0" fillId="0" fontId="41" numFmtId="2" xfId="0" applyFont="1" applyNumberFormat="1"/>
    <xf borderId="13" fillId="2" fontId="1" numFmtId="166" xfId="0" applyAlignment="1" applyBorder="1" applyFont="1" applyNumberFormat="1">
      <alignment vertical="center"/>
    </xf>
    <xf borderId="13" fillId="2" fontId="6" numFmtId="166" xfId="0" applyAlignment="1" applyBorder="1" applyFont="1" applyNumberFormat="1">
      <alignment vertical="center"/>
    </xf>
    <xf borderId="13" fillId="2" fontId="6" numFmtId="0" xfId="0" applyAlignment="1" applyBorder="1" applyFont="1">
      <alignment vertical="center"/>
    </xf>
    <xf borderId="0" fillId="2" fontId="6" numFmtId="0" xfId="0" applyAlignment="1" applyFont="1">
      <alignment vertical="center"/>
    </xf>
    <xf borderId="13" fillId="2" fontId="1" numFmtId="0" xfId="0" applyAlignment="1" applyBorder="1" applyFont="1">
      <alignment vertical="center"/>
    </xf>
    <xf borderId="0" fillId="2" fontId="7" numFmtId="0" xfId="0" applyAlignment="1" applyFont="1">
      <alignment vertical="center"/>
    </xf>
    <xf borderId="14" fillId="2" fontId="7" numFmtId="0" xfId="0" applyAlignment="1" applyBorder="1" applyFont="1">
      <alignment vertical="center"/>
    </xf>
    <xf borderId="11" fillId="2" fontId="8" numFmtId="164" xfId="0" applyAlignment="1" applyBorder="1" applyFont="1" applyNumberFormat="1">
      <alignment shrinkToFit="0" vertical="center" wrapText="1"/>
    </xf>
    <xf borderId="11" fillId="2" fontId="7" numFmtId="164" xfId="0" applyAlignment="1" applyBorder="1" applyFont="1" applyNumberFormat="1">
      <alignment shrinkToFit="0" vertical="center" wrapText="1"/>
    </xf>
    <xf borderId="11" fillId="2" fontId="8" numFmtId="166" xfId="0" applyAlignment="1" applyBorder="1" applyFont="1" applyNumberFormat="1">
      <alignment horizontal="right" shrinkToFit="0" vertical="center" wrapText="1"/>
    </xf>
    <xf borderId="11" fillId="2" fontId="8" numFmtId="4" xfId="0" applyAlignment="1" applyBorder="1" applyFont="1" applyNumberFormat="1">
      <alignment readingOrder="0" shrinkToFit="0" vertical="center" wrapText="1"/>
    </xf>
    <xf borderId="11" fillId="2" fontId="7" numFmtId="166" xfId="0" applyAlignment="1" applyBorder="1" applyFont="1" applyNumberFormat="1">
      <alignment shrinkToFit="0" vertical="center" wrapText="1"/>
    </xf>
    <xf borderId="11" fillId="2" fontId="7" numFmtId="4" xfId="0" applyAlignment="1" applyBorder="1" applyFont="1" applyNumberFormat="1">
      <alignment shrinkToFit="0" vertical="center" wrapText="1"/>
    </xf>
    <xf borderId="11" fillId="2" fontId="7" numFmtId="165" xfId="0" applyAlignment="1" applyBorder="1" applyFont="1" applyNumberFormat="1">
      <alignment horizontal="center" shrinkToFit="0" vertical="center" wrapText="1"/>
    </xf>
    <xf borderId="11" fillId="2" fontId="7" numFmtId="3" xfId="0" applyAlignment="1" applyBorder="1" applyFont="1" applyNumberFormat="1">
      <alignment shrinkToFit="0" vertical="center" wrapText="1"/>
    </xf>
    <xf borderId="11" fillId="2" fontId="8" numFmtId="4" xfId="0" applyAlignment="1" applyBorder="1" applyFont="1" applyNumberFormat="1">
      <alignment horizontal="right" shrinkToFit="0" vertical="center" wrapText="1"/>
    </xf>
    <xf borderId="11" fillId="2" fontId="8" numFmtId="4" xfId="0" applyAlignment="1" applyBorder="1" applyFont="1" applyNumberFormat="1">
      <alignment shrinkToFit="0" vertical="center" wrapText="1"/>
    </xf>
    <xf borderId="11" fillId="2" fontId="7" numFmtId="0" xfId="0" applyAlignment="1" applyBorder="1" applyFont="1">
      <alignment horizontal="right" shrinkToFit="0" vertical="center" wrapText="1"/>
    </xf>
    <xf borderId="11" fillId="2" fontId="7" numFmtId="4" xfId="0" applyAlignment="1" applyBorder="1" applyFont="1" applyNumberFormat="1">
      <alignment horizontal="right" shrinkToFit="0" vertical="center" wrapText="1"/>
    </xf>
    <xf borderId="11" fillId="2" fontId="7" numFmtId="166" xfId="0" applyAlignment="1" applyBorder="1" applyFont="1" applyNumberFormat="1">
      <alignment horizontal="right" shrinkToFit="0" vertical="center" wrapText="1"/>
    </xf>
    <xf borderId="11" fillId="2" fontId="7" numFmtId="164" xfId="0" applyAlignment="1" applyBorder="1" applyFont="1" applyNumberFormat="1">
      <alignment readingOrder="0" shrinkToFit="0" vertical="center" wrapText="1"/>
    </xf>
    <xf borderId="11" fillId="2" fontId="7" numFmtId="4" xfId="0" applyAlignment="1" applyBorder="1" applyFont="1" applyNumberFormat="1">
      <alignment readingOrder="0" shrinkToFit="0" vertical="center" wrapText="1"/>
    </xf>
    <xf borderId="11" fillId="2" fontId="7" numFmtId="165" xfId="0" applyAlignment="1" applyBorder="1" applyFont="1" applyNumberFormat="1">
      <alignment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3" fillId="2" fontId="42" numFmtId="0" xfId="0" applyAlignment="1" applyBorder="1" applyFont="1">
      <alignment readingOrder="0" vertical="center"/>
    </xf>
    <xf borderId="0" fillId="2" fontId="17" numFmtId="0" xfId="0" applyAlignment="1" applyFont="1">
      <alignment vertical="center"/>
    </xf>
    <xf borderId="0" fillId="2" fontId="6" numFmtId="4" xfId="0" applyAlignment="1" applyFont="1" applyNumberFormat="1">
      <alignment vertical="center"/>
    </xf>
    <xf borderId="11" fillId="2" fontId="8" numFmtId="170" xfId="0" applyAlignment="1" applyBorder="1" applyFont="1" applyNumberFormat="1">
      <alignment horizontal="right" vertical="center"/>
    </xf>
    <xf borderId="11" fillId="0" fontId="8" numFmtId="0" xfId="0" applyAlignment="1" applyBorder="1" applyFont="1">
      <alignment vertical="center"/>
    </xf>
    <xf borderId="11" fillId="2" fontId="8" numFmtId="166" xfId="0" applyAlignment="1" applyBorder="1" applyFont="1" applyNumberFormat="1">
      <alignment shrinkToFit="0" wrapText="1"/>
    </xf>
    <xf quotePrefix="1" borderId="11" fillId="2" fontId="7" numFmtId="0" xfId="0" applyAlignment="1" applyBorder="1" applyFont="1">
      <alignment shrinkToFit="0" vertical="center" wrapText="1"/>
    </xf>
    <xf borderId="11" fillId="2" fontId="7" numFmtId="170" xfId="0" applyAlignment="1" applyBorder="1" applyFont="1" applyNumberFormat="1">
      <alignment horizontal="right" vertical="center"/>
    </xf>
    <xf borderId="11" fillId="2" fontId="7" numFmtId="170" xfId="0" applyAlignment="1" applyBorder="1" applyFont="1" applyNumberFormat="1">
      <alignment vertical="center"/>
    </xf>
    <xf borderId="11" fillId="2" fontId="10" numFmtId="170" xfId="0" applyAlignment="1" applyBorder="1" applyFont="1" applyNumberFormat="1">
      <alignment vertical="center"/>
    </xf>
    <xf borderId="11" fillId="2" fontId="11" numFmtId="170" xfId="0" applyAlignment="1" applyBorder="1" applyFont="1" applyNumberFormat="1">
      <alignment vertical="center"/>
    </xf>
    <xf borderId="11" fillId="2" fontId="10" numFmtId="170" xfId="0" applyAlignment="1" applyBorder="1" applyFont="1" applyNumberFormat="1">
      <alignment horizontal="right" vertical="center"/>
    </xf>
    <xf borderId="0" fillId="0" fontId="1" numFmtId="166" xfId="0" applyAlignment="1" applyFont="1" applyNumberFormat="1">
      <alignment vertical="center"/>
    </xf>
    <xf borderId="0" fillId="0" fontId="6" numFmtId="166" xfId="0" applyAlignment="1" applyFont="1" applyNumberFormat="1">
      <alignment vertical="center"/>
    </xf>
    <xf borderId="11" fillId="0" fontId="7" numFmtId="165" xfId="0" applyAlignment="1" applyBorder="1" applyFont="1" applyNumberFormat="1">
      <alignment horizontal="right" shrinkToFit="0" vertical="center" wrapText="1"/>
    </xf>
    <xf borderId="11" fillId="0" fontId="8" numFmtId="3" xfId="0" applyAlignment="1" applyBorder="1" applyFont="1" applyNumberFormat="1">
      <alignment horizontal="right" shrinkToFit="0" vertical="center" wrapText="1"/>
    </xf>
    <xf borderId="11" fillId="0" fontId="7" numFmtId="168" xfId="0" applyBorder="1" applyFont="1" applyNumberFormat="1"/>
    <xf borderId="11" fillId="0" fontId="11" numFmtId="172" xfId="0" applyAlignment="1" applyBorder="1" applyFont="1" applyNumberFormat="1">
      <alignment vertical="center"/>
    </xf>
    <xf borderId="11" fillId="0" fontId="7" numFmtId="173" xfId="0" applyBorder="1" applyFont="1" applyNumberFormat="1"/>
    <xf borderId="11" fillId="0" fontId="8" numFmtId="165" xfId="0" applyAlignment="1" applyBorder="1" applyFont="1" applyNumberFormat="1">
      <alignment horizontal="right" shrinkToFit="0" vertical="center" wrapText="1"/>
    </xf>
    <xf borderId="13" fillId="2" fontId="6" numFmtId="164" xfId="0" applyAlignment="1" applyBorder="1" applyFont="1" applyNumberFormat="1">
      <alignment vertical="center"/>
    </xf>
    <xf borderId="0" fillId="0" fontId="5" numFmtId="3" xfId="0" applyAlignment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0" fontId="43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12" numFmtId="3" xfId="0" applyAlignment="1" applyFont="1" applyNumberFormat="1">
      <alignment vertical="center"/>
    </xf>
    <xf borderId="0" fillId="0" fontId="12" numFmtId="166" xfId="0" applyAlignment="1" applyFont="1" applyNumberFormat="1">
      <alignment vertical="center"/>
    </xf>
    <xf borderId="4" fillId="0" fontId="8" numFmtId="0" xfId="0" applyAlignment="1" applyBorder="1" applyFont="1">
      <alignment shrinkToFit="0" vertical="center" wrapText="1"/>
    </xf>
    <xf borderId="11" fillId="0" fontId="12" numFmtId="4" xfId="0" applyAlignment="1" applyBorder="1" applyFont="1" applyNumberFormat="1">
      <alignment horizontal="right" shrinkToFit="0" vertical="center" wrapText="1"/>
    </xf>
    <xf borderId="11" fillId="0" fontId="12" numFmtId="3" xfId="0" applyAlignment="1" applyBorder="1" applyFont="1" applyNumberFormat="1">
      <alignment horizontal="right" shrinkToFit="0" vertical="center" wrapText="1"/>
    </xf>
    <xf borderId="11" fillId="0" fontId="12" numFmtId="166" xfId="0" applyAlignment="1" applyBorder="1" applyFont="1" applyNumberFormat="1">
      <alignment horizontal="right" shrinkToFit="0" vertical="center" wrapText="1"/>
    </xf>
    <xf borderId="11" fillId="0" fontId="12" numFmtId="164" xfId="0" applyAlignment="1" applyBorder="1" applyFont="1" applyNumberFormat="1">
      <alignment horizontal="right" shrinkToFit="0" vertical="center" wrapText="1"/>
    </xf>
    <xf borderId="11" fillId="0" fontId="43" numFmtId="0" xfId="0" applyAlignment="1" applyBorder="1" applyFont="1">
      <alignment vertical="center"/>
    </xf>
    <xf borderId="11" fillId="0" fontId="8" numFmtId="3" xfId="0" applyAlignment="1" applyBorder="1" applyFont="1" applyNumberFormat="1">
      <alignment horizontal="center" shrinkToFit="0" vertical="center" wrapText="1"/>
    </xf>
    <xf borderId="13" fillId="3" fontId="44" numFmtId="0" xfId="0" applyAlignment="1" applyBorder="1" applyFont="1">
      <alignment vertical="center"/>
    </xf>
    <xf borderId="13" fillId="3" fontId="7" numFmtId="0" xfId="0" applyAlignment="1" applyBorder="1" applyFont="1">
      <alignment horizontal="center" vertical="center"/>
    </xf>
    <xf borderId="13" fillId="3" fontId="12" numFmtId="3" xfId="0" applyAlignment="1" applyBorder="1" applyFont="1" applyNumberFormat="1">
      <alignment vertical="center"/>
    </xf>
    <xf borderId="13" fillId="3" fontId="7" numFmtId="166" xfId="0" applyAlignment="1" applyBorder="1" applyFont="1" applyNumberFormat="1">
      <alignment vertical="center"/>
    </xf>
    <xf borderId="0" fillId="2" fontId="17" numFmtId="164" xfId="0" applyAlignment="1" applyFont="1" applyNumberFormat="1">
      <alignment vertical="center"/>
    </xf>
    <xf borderId="0" fillId="0" fontId="43" numFmtId="0" xfId="0" applyAlignment="1" applyFont="1">
      <alignment horizontal="center" vertical="center"/>
    </xf>
    <xf borderId="0" fillId="0" fontId="43" numFmtId="0" xfId="0" applyFont="1"/>
    <xf borderId="11" fillId="0" fontId="8" numFmtId="0" xfId="0" applyAlignment="1" applyBorder="1" applyFont="1">
      <alignment horizontal="left" vertical="center"/>
    </xf>
    <xf borderId="11" fillId="0" fontId="16" numFmtId="0" xfId="0" applyAlignment="1" applyBorder="1" applyFont="1">
      <alignment horizontal="center" vertical="center"/>
    </xf>
    <xf borderId="11" fillId="0" fontId="16" numFmtId="3" xfId="0" applyAlignment="1" applyBorder="1" applyFont="1" applyNumberFormat="1">
      <alignment vertical="center"/>
    </xf>
    <xf borderId="11" fillId="0" fontId="16" numFmtId="0" xfId="0" applyAlignment="1" applyBorder="1" applyFont="1">
      <alignment vertical="center"/>
    </xf>
    <xf borderId="11" fillId="0" fontId="16" numFmtId="4" xfId="0" applyAlignment="1" applyBorder="1" applyFont="1" applyNumberFormat="1">
      <alignment readingOrder="0" vertical="center"/>
    </xf>
    <xf borderId="11" fillId="0" fontId="7" numFmtId="4" xfId="0" applyBorder="1" applyFont="1" applyNumberFormat="1"/>
    <xf borderId="11" fillId="0" fontId="8" numFmtId="4" xfId="0" applyAlignment="1" applyBorder="1" applyFont="1" applyNumberFormat="1">
      <alignment readingOrder="0"/>
    </xf>
    <xf borderId="11" fillId="0" fontId="7" numFmtId="0" xfId="0" applyBorder="1" applyFont="1"/>
    <xf borderId="11" fillId="0" fontId="12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right" vertical="center"/>
    </xf>
    <xf borderId="11" fillId="0" fontId="12" numFmtId="0" xfId="0" applyAlignment="1" applyBorder="1" applyFont="1">
      <alignment vertical="center"/>
    </xf>
    <xf borderId="11" fillId="0" fontId="7" numFmtId="0" xfId="0" applyAlignment="1" applyBorder="1" applyFont="1">
      <alignment horizontal="left" vertical="center"/>
    </xf>
    <xf borderId="11" fillId="0" fontId="12" numFmtId="3" xfId="0" applyAlignment="1" applyBorder="1" applyFont="1" applyNumberFormat="1">
      <alignment vertical="center"/>
    </xf>
    <xf borderId="11" fillId="0" fontId="16" numFmtId="0" xfId="0" applyAlignment="1" applyBorder="1" applyFont="1">
      <alignment horizontal="center" shrinkToFit="0" vertical="center" wrapText="1"/>
    </xf>
    <xf borderId="11" fillId="0" fontId="43" numFmtId="0" xfId="0" applyBorder="1" applyFont="1"/>
    <xf borderId="13" fillId="2" fontId="45" numFmtId="166" xfId="0" applyAlignment="1" applyBorder="1" applyFont="1" applyNumberFormat="1">
      <alignment vertical="center"/>
    </xf>
    <xf borderId="13" fillId="2" fontId="46" numFmtId="166" xfId="0" applyAlignment="1" applyBorder="1" applyFont="1" applyNumberFormat="1">
      <alignment vertical="center"/>
    </xf>
    <xf borderId="13" fillId="2" fontId="46" numFmtId="164" xfId="0" applyAlignment="1" applyBorder="1" applyFont="1" applyNumberFormat="1">
      <alignment vertical="center"/>
    </xf>
    <xf borderId="13" fillId="2" fontId="46" numFmtId="4" xfId="0" applyAlignment="1" applyBorder="1" applyFont="1" applyNumberFormat="1">
      <alignment vertical="center"/>
    </xf>
    <xf borderId="13" fillId="2" fontId="6" numFmtId="167" xfId="0" applyAlignment="1" applyBorder="1" applyFont="1" applyNumberFormat="1">
      <alignment vertical="center"/>
    </xf>
    <xf borderId="13" fillId="2" fontId="6" numFmtId="165" xfId="0" applyAlignment="1" applyBorder="1" applyFont="1" applyNumberFormat="1">
      <alignment vertical="center"/>
    </xf>
    <xf borderId="13" fillId="2" fontId="6" numFmtId="4" xfId="0" applyAlignment="1" applyBorder="1" applyFont="1" applyNumberFormat="1">
      <alignment vertical="center"/>
    </xf>
    <xf borderId="0" fillId="0" fontId="45" numFmtId="0" xfId="0" applyAlignment="1" applyFont="1">
      <alignment readingOrder="0"/>
    </xf>
    <xf borderId="13" fillId="2" fontId="45" numFmtId="0" xfId="0" applyAlignment="1" applyBorder="1" applyFont="1">
      <alignment vertical="center"/>
    </xf>
    <xf borderId="0" fillId="0" fontId="45" numFmtId="0" xfId="0" applyAlignment="1" applyFont="1">
      <alignment vertical="center"/>
    </xf>
    <xf borderId="0" fillId="0" fontId="46" numFmtId="0" xfId="0" applyAlignment="1" applyFont="1">
      <alignment vertical="center"/>
    </xf>
    <xf borderId="0" fillId="0" fontId="46" numFmtId="171" xfId="0" applyAlignment="1" applyFont="1" applyNumberFormat="1">
      <alignment vertical="center"/>
    </xf>
    <xf borderId="0" fillId="0" fontId="47" numFmtId="0" xfId="0" applyFont="1"/>
    <xf borderId="11" fillId="5" fontId="48" numFmtId="0" xfId="0" applyAlignment="1" applyBorder="1" applyFont="1">
      <alignment horizontal="center" shrinkToFit="0" vertical="center" wrapText="1"/>
    </xf>
    <xf borderId="11" fillId="5" fontId="48" numFmtId="171" xfId="0" applyAlignment="1" applyBorder="1" applyFont="1" applyNumberFormat="1">
      <alignment horizontal="center" shrinkToFit="0" vertical="center" wrapText="1"/>
    </xf>
    <xf borderId="11" fillId="5" fontId="48" numFmtId="4" xfId="0" applyAlignment="1" applyBorder="1" applyFont="1" applyNumberFormat="1">
      <alignment horizontal="center" shrinkToFit="0" vertical="center" wrapText="1"/>
    </xf>
    <xf borderId="4" fillId="5" fontId="48" numFmtId="0" xfId="0" applyAlignment="1" applyBorder="1" applyFont="1">
      <alignment readingOrder="0" shrinkToFit="0" vertical="center" wrapText="1"/>
    </xf>
    <xf borderId="11" fillId="2" fontId="17" numFmtId="0" xfId="0" applyAlignment="1" applyBorder="1" applyFont="1">
      <alignment shrinkToFit="0" vertical="center" wrapText="1"/>
    </xf>
    <xf borderId="11" fillId="0" fontId="17" numFmtId="0" xfId="0" applyAlignment="1" applyBorder="1" applyFont="1">
      <alignment vertical="center"/>
    </xf>
    <xf borderId="11" fillId="2" fontId="17" numFmtId="171" xfId="0" applyAlignment="1" applyBorder="1" applyFont="1" applyNumberFormat="1">
      <alignment horizontal="right" shrinkToFit="0" vertical="center" wrapText="1"/>
    </xf>
    <xf borderId="11" fillId="2" fontId="17" numFmtId="4" xfId="0" applyAlignment="1" applyBorder="1" applyFont="1" applyNumberFormat="1">
      <alignment horizontal="right" shrinkToFit="0" vertical="center" wrapText="1"/>
    </xf>
    <xf borderId="0" fillId="0" fontId="14" numFmtId="0" xfId="0" applyAlignment="1" applyFont="1">
      <alignment vertical="center"/>
    </xf>
    <xf borderId="4" fillId="5" fontId="48" numFmtId="0" xfId="0" applyAlignment="1" applyBorder="1" applyFont="1">
      <alignment readingOrder="0" shrinkToFit="0" wrapText="1"/>
    </xf>
    <xf borderId="11" fillId="2" fontId="17" numFmtId="0" xfId="0" applyAlignment="1" applyBorder="1" applyFont="1">
      <alignment horizontal="left" shrinkToFit="0" vertical="center" wrapText="1"/>
    </xf>
    <xf borderId="4" fillId="2" fontId="48" numFmtId="0" xfId="0" applyAlignment="1" applyBorder="1" applyFont="1">
      <alignment horizontal="center" shrinkToFit="0" vertical="center" wrapText="1"/>
    </xf>
    <xf borderId="11" fillId="2" fontId="48" numFmtId="171" xfId="0" applyAlignment="1" applyBorder="1" applyFont="1" applyNumberFormat="1">
      <alignment horizontal="right" shrinkToFit="0" vertical="center" wrapText="1"/>
    </xf>
    <xf borderId="13" fillId="2" fontId="44" numFmtId="164" xfId="0" applyAlignment="1" applyBorder="1" applyFont="1" applyNumberFormat="1">
      <alignment vertical="center"/>
    </xf>
    <xf borderId="13" fillId="2" fontId="17" numFmtId="164" xfId="0" applyAlignment="1" applyBorder="1" applyFont="1" applyNumberFormat="1">
      <alignment horizontal="left" vertical="center"/>
    </xf>
    <xf borderId="0" fillId="0" fontId="17" numFmtId="0" xfId="0" applyFont="1"/>
    <xf borderId="13" fillId="2" fontId="7" numFmtId="164" xfId="0" applyAlignment="1" applyBorder="1" applyFont="1" applyNumberFormat="1">
      <alignment horizontal="left" vertical="center"/>
    </xf>
    <xf borderId="13" fillId="2" fontId="8" numFmtId="164" xfId="0" applyAlignment="1" applyBorder="1" applyFont="1" applyNumberFormat="1">
      <alignment horizontal="left" vertical="center"/>
    </xf>
    <xf borderId="13" fillId="2" fontId="17" numFmtId="166" xfId="0" applyAlignment="1" applyBorder="1" applyFont="1" applyNumberFormat="1">
      <alignment vertical="center"/>
    </xf>
    <xf borderId="0" fillId="0" fontId="4" numFmtId="0" xfId="0" applyAlignment="1" applyFont="1">
      <alignment horizontal="center" readingOrder="0" vertical="center"/>
    </xf>
    <xf borderId="0" fillId="0" fontId="49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4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shrinkToFit="0" vertical="center" wrapText="1"/>
    </xf>
    <xf borderId="11" fillId="2" fontId="8" numFmtId="0" xfId="0" applyAlignment="1" applyBorder="1" applyFont="1">
      <alignment horizontal="center" readingOrder="0" vertical="center"/>
    </xf>
    <xf borderId="11" fillId="0" fontId="48" numFmtId="0" xfId="0" applyAlignment="1" applyBorder="1" applyFont="1">
      <alignment horizontal="left" vertical="center"/>
    </xf>
    <xf borderId="11" fillId="0" fontId="7" numFmtId="168" xfId="0" applyAlignment="1" applyBorder="1" applyFont="1" applyNumberFormat="1">
      <alignment horizontal="right" vertical="center"/>
    </xf>
    <xf borderId="4" fillId="0" fontId="7" numFmtId="168" xfId="0" applyAlignment="1" applyBorder="1" applyFont="1" applyNumberFormat="1">
      <alignment horizontal="right" vertical="center"/>
    </xf>
    <xf borderId="4" fillId="0" fontId="17" numFmtId="0" xfId="0" applyAlignment="1" applyBorder="1" applyFont="1">
      <alignment vertical="center"/>
    </xf>
    <xf borderId="4" fillId="0" fontId="7" numFmtId="166" xfId="0" applyAlignment="1" applyBorder="1" applyFont="1" applyNumberFormat="1">
      <alignment vertical="center"/>
    </xf>
    <xf borderId="11" fillId="0" fontId="7" numFmtId="2" xfId="0" applyAlignment="1" applyBorder="1" applyFont="1" applyNumberFormat="1">
      <alignment horizontal="right" vertical="center"/>
    </xf>
    <xf borderId="11" fillId="0" fontId="48" numFmtId="0" xfId="0" applyAlignment="1" applyBorder="1" applyFont="1">
      <alignment vertical="center"/>
    </xf>
    <xf borderId="11" fillId="0" fontId="43" numFmtId="168" xfId="0" applyAlignment="1" applyBorder="1" applyFont="1" applyNumberFormat="1">
      <alignment vertical="center"/>
    </xf>
    <xf borderId="11" fillId="0" fontId="17" numFmtId="0" xfId="0" applyAlignment="1" applyBorder="1" applyFont="1">
      <alignment horizontal="left" vertical="center"/>
    </xf>
    <xf borderId="11" fillId="0" fontId="50" numFmtId="0" xfId="0" applyAlignment="1" applyBorder="1" applyFont="1">
      <alignment horizontal="left" vertical="center"/>
    </xf>
    <xf borderId="11" fillId="0" fontId="7" numFmtId="168" xfId="0" applyAlignment="1" applyBorder="1" applyFont="1" applyNumberFormat="1">
      <alignment readingOrder="0" vertical="center"/>
    </xf>
    <xf borderId="4" fillId="0" fontId="7" numFmtId="168" xfId="0" applyAlignment="1" applyBorder="1" applyFont="1" applyNumberFormat="1">
      <alignment horizontal="right" readingOrder="0" vertical="center"/>
    </xf>
    <xf borderId="4" fillId="0" fontId="7" numFmtId="166" xfId="0" applyAlignment="1" applyBorder="1" applyFont="1" applyNumberFormat="1">
      <alignment readingOrder="0" vertical="center"/>
    </xf>
    <xf borderId="11" fillId="0" fontId="50" numFmtId="0" xfId="0" applyAlignment="1" applyBorder="1" applyFont="1">
      <alignment horizontal="left" shrinkToFit="0" vertical="center" wrapText="1"/>
    </xf>
    <xf borderId="11" fillId="0" fontId="7" numFmtId="2" xfId="0" applyAlignment="1" applyBorder="1" applyFont="1" applyNumberFormat="1">
      <alignment horizontal="right" readingOrder="0" vertical="center"/>
    </xf>
    <xf borderId="11" fillId="0" fontId="48" numFmtId="0" xfId="0" applyAlignment="1" applyBorder="1" applyFont="1">
      <alignment horizontal="center" vertical="center"/>
    </xf>
    <xf borderId="4" fillId="0" fontId="8" numFmtId="168" xfId="0" applyAlignment="1" applyBorder="1" applyFont="1" applyNumberFormat="1">
      <alignment vertical="center"/>
    </xf>
    <xf borderId="4" fillId="0" fontId="8" numFmtId="166" xfId="0" applyAlignment="1" applyBorder="1" applyFont="1" applyNumberFormat="1">
      <alignment vertical="center"/>
    </xf>
    <xf borderId="11" fillId="0" fontId="8" numFmtId="2" xfId="0" applyAlignment="1" applyBorder="1" applyFont="1" applyNumberFormat="1">
      <alignment horizontal="right" vertical="center"/>
    </xf>
    <xf borderId="13" fillId="2" fontId="43" numFmtId="0" xfId="0" applyAlignment="1" applyBorder="1" applyFont="1">
      <alignment vertical="center"/>
    </xf>
    <xf borderId="13" fillId="2" fontId="43" numFmtId="164" xfId="0" applyAlignment="1" applyBorder="1" applyFont="1" applyNumberFormat="1">
      <alignment vertical="center"/>
    </xf>
    <xf borderId="0" fillId="2" fontId="43" numFmtId="164" xfId="0" applyAlignment="1" applyFont="1" applyNumberFormat="1">
      <alignment vertical="center"/>
    </xf>
    <xf borderId="0" fillId="0" fontId="43" numFmtId="3" xfId="0" applyAlignment="1" applyFont="1" applyNumberFormat="1">
      <alignment vertical="center"/>
    </xf>
    <xf borderId="0" fillId="0" fontId="43" numFmtId="166" xfId="0" applyAlignment="1" applyFont="1" applyNumberFormat="1">
      <alignment vertical="center"/>
    </xf>
    <xf borderId="13" fillId="2" fontId="43" numFmtId="165" xfId="0" applyAlignment="1" applyBorder="1" applyFont="1" applyNumberFormat="1">
      <alignment vertical="center"/>
    </xf>
    <xf borderId="13" fillId="2" fontId="43" numFmtId="166" xfId="0" applyAlignment="1" applyBorder="1" applyFont="1" applyNumberFormat="1">
      <alignment vertical="center"/>
    </xf>
    <xf borderId="13" fillId="2" fontId="43" numFmtId="3" xfId="0" applyAlignment="1" applyBorder="1" applyFont="1" applyNumberFormat="1">
      <alignment vertical="center"/>
    </xf>
    <xf borderId="0" fillId="0" fontId="43" numFmtId="4" xfId="0" applyAlignment="1" applyFont="1" applyNumberFormat="1">
      <alignment vertical="center"/>
    </xf>
    <xf borderId="0" fillId="2" fontId="8" numFmtId="164" xfId="0" applyAlignment="1" applyFont="1" applyNumberFormat="1">
      <alignment vertical="center"/>
    </xf>
    <xf borderId="0" fillId="0" fontId="43" numFmtId="165" xfId="0" applyAlignment="1" applyFont="1" applyNumberFormat="1">
      <alignment vertical="center"/>
    </xf>
    <xf borderId="0" fillId="0" fontId="7" numFmtId="0" xfId="0" applyAlignment="1" applyFont="1">
      <alignment readingOrder="0" vertical="center"/>
    </xf>
    <xf borderId="0" fillId="0" fontId="7" numFmtId="170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85.0"/>
    <col customWidth="1" min="2" max="2" width="22.71"/>
    <col customWidth="1" min="3" max="3" width="24.86"/>
    <col customWidth="1" min="4" max="4" width="22.0"/>
    <col customWidth="1" min="5" max="5" width="26.29"/>
    <col customWidth="1" min="6" max="6" width="24.43"/>
    <col customWidth="1" min="7" max="7" width="26.57"/>
    <col customWidth="1" min="8" max="8" width="24.43"/>
    <col customWidth="1" min="9" max="9" width="24.14"/>
    <col customWidth="1" min="10" max="11" width="27.0"/>
    <col customWidth="1" min="12" max="12" width="26.29"/>
    <col customWidth="1" min="13" max="13" width="33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4"/>
      <c r="L1" s="2"/>
      <c r="M1" s="2"/>
    </row>
    <row r="2">
      <c r="A2" s="5" t="s">
        <v>1</v>
      </c>
      <c r="B2" s="2"/>
      <c r="C2" s="2"/>
      <c r="D2" s="2"/>
      <c r="E2" s="2"/>
      <c r="F2" s="2"/>
      <c r="G2" s="2"/>
      <c r="H2" s="6"/>
      <c r="K2" s="4"/>
      <c r="L2" s="2"/>
      <c r="M2" s="2"/>
    </row>
    <row r="3">
      <c r="A3" s="7" t="s">
        <v>2</v>
      </c>
      <c r="B3" s="8"/>
      <c r="C3" s="9"/>
      <c r="D3" s="9"/>
      <c r="E3" s="9"/>
      <c r="F3" s="9"/>
      <c r="G3" s="9"/>
      <c r="K3" s="9"/>
      <c r="L3" s="9"/>
      <c r="M3" s="9"/>
    </row>
    <row r="4" ht="25.5" customHeight="1">
      <c r="A4" s="7" t="s">
        <v>3</v>
      </c>
      <c r="B4" s="8"/>
      <c r="C4" s="9"/>
      <c r="D4" s="9"/>
      <c r="E4" s="9"/>
      <c r="F4" s="9"/>
      <c r="G4" s="9"/>
      <c r="K4" s="9"/>
      <c r="L4" s="9"/>
      <c r="M4" s="9"/>
    </row>
    <row r="5">
      <c r="A5" s="7" t="s">
        <v>4</v>
      </c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ht="15.75" customHeight="1">
      <c r="A6" s="10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ht="21.0" customHeight="1">
      <c r="A7" s="13" t="s">
        <v>5</v>
      </c>
      <c r="B7" s="13" t="s">
        <v>6</v>
      </c>
      <c r="C7" s="14" t="s">
        <v>7</v>
      </c>
      <c r="D7" s="15"/>
      <c r="E7" s="16" t="s">
        <v>8</v>
      </c>
      <c r="F7" s="15"/>
      <c r="G7" s="17" t="s">
        <v>9</v>
      </c>
      <c r="H7" s="18"/>
      <c r="I7" s="18"/>
      <c r="J7" s="18"/>
      <c r="K7" s="18"/>
      <c r="L7" s="19"/>
      <c r="M7" s="20" t="s">
        <v>10</v>
      </c>
    </row>
    <row r="8">
      <c r="A8" s="21"/>
      <c r="B8" s="21"/>
      <c r="C8" s="22"/>
      <c r="D8" s="23"/>
      <c r="E8" s="22"/>
      <c r="F8" s="23"/>
      <c r="G8" s="24" t="s">
        <v>11</v>
      </c>
      <c r="H8" s="19"/>
      <c r="I8" s="24" t="s">
        <v>12</v>
      </c>
      <c r="J8" s="19"/>
      <c r="K8" s="24" t="s">
        <v>13</v>
      </c>
      <c r="L8" s="19"/>
      <c r="M8" s="21"/>
    </row>
    <row r="9">
      <c r="A9" s="21"/>
      <c r="B9" s="21"/>
      <c r="C9" s="25" t="s">
        <v>14</v>
      </c>
      <c r="D9" s="26" t="s">
        <v>15</v>
      </c>
      <c r="E9" s="27" t="s">
        <v>16</v>
      </c>
      <c r="F9" s="15"/>
      <c r="G9" s="28" t="s">
        <v>17</v>
      </c>
      <c r="H9" s="29" t="s">
        <v>18</v>
      </c>
      <c r="I9" s="28" t="s">
        <v>17</v>
      </c>
      <c r="J9" s="29" t="s">
        <v>18</v>
      </c>
      <c r="K9" s="28" t="s">
        <v>17</v>
      </c>
      <c r="L9" s="29" t="s">
        <v>18</v>
      </c>
      <c r="M9" s="21"/>
    </row>
    <row r="10" ht="65.25" customHeight="1">
      <c r="A10" s="30"/>
      <c r="B10" s="30"/>
      <c r="C10" s="30"/>
      <c r="D10" s="30"/>
      <c r="E10" s="31" t="s">
        <v>17</v>
      </c>
      <c r="F10" s="29" t="s">
        <v>18</v>
      </c>
      <c r="G10" s="30"/>
      <c r="H10" s="30"/>
      <c r="I10" s="30"/>
      <c r="J10" s="30"/>
      <c r="K10" s="30"/>
      <c r="L10" s="30"/>
      <c r="M10" s="30"/>
    </row>
    <row r="11">
      <c r="A11" s="32" t="s">
        <v>19</v>
      </c>
      <c r="B11" s="33"/>
      <c r="C11" s="34"/>
      <c r="D11" s="35">
        <f>D12+D24</f>
        <v>169094.59</v>
      </c>
      <c r="E11" s="34"/>
      <c r="F11" s="36">
        <f>F12+F24</f>
        <v>298457</v>
      </c>
      <c r="G11" s="34"/>
      <c r="H11" s="36">
        <f>H12+H24</f>
        <v>148500</v>
      </c>
      <c r="I11" s="37"/>
      <c r="J11" s="38">
        <f>J12+J24</f>
        <v>113686.1</v>
      </c>
      <c r="K11" s="34"/>
      <c r="L11" s="38">
        <f>L12+L24</f>
        <v>262186.1</v>
      </c>
      <c r="M11" s="39"/>
    </row>
    <row r="12">
      <c r="A12" s="40" t="s">
        <v>20</v>
      </c>
      <c r="B12" s="41"/>
      <c r="C12" s="42"/>
      <c r="D12" s="43">
        <f>SUM(D13:D17)</f>
        <v>169094.59</v>
      </c>
      <c r="E12" s="42"/>
      <c r="F12" s="36">
        <f>SUM(F14:F23)</f>
        <v>298457</v>
      </c>
      <c r="G12" s="44"/>
      <c r="H12" s="36">
        <f>SUM(H14:H23)</f>
        <v>148500</v>
      </c>
      <c r="I12" s="37"/>
      <c r="J12" s="38">
        <f>SUM(J14:J23)</f>
        <v>113686.1</v>
      </c>
      <c r="K12" s="34"/>
      <c r="L12" s="38">
        <f>SUM(L14:L23)</f>
        <v>262186.1</v>
      </c>
      <c r="M12" s="39"/>
    </row>
    <row r="13" ht="27.0" customHeight="1">
      <c r="A13" s="42" t="s">
        <v>21</v>
      </c>
      <c r="B13" s="45"/>
      <c r="C13" s="42">
        <v>15198.0</v>
      </c>
      <c r="D13" s="46">
        <v>14028.92</v>
      </c>
      <c r="E13" s="42"/>
      <c r="F13" s="47"/>
      <c r="G13" s="44"/>
      <c r="H13" s="48"/>
      <c r="I13" s="37"/>
      <c r="J13" s="49"/>
      <c r="K13" s="34"/>
      <c r="L13" s="49"/>
      <c r="M13" s="39"/>
    </row>
    <row r="14" ht="27.0" customHeight="1">
      <c r="A14" s="50" t="s">
        <v>22</v>
      </c>
      <c r="B14" s="45"/>
      <c r="C14" s="42">
        <v>14028.0</v>
      </c>
      <c r="D14" s="42">
        <v>14028.0</v>
      </c>
      <c r="E14" s="42"/>
      <c r="F14" s="47"/>
      <c r="G14" s="44"/>
      <c r="H14" s="48"/>
      <c r="I14" s="37"/>
      <c r="J14" s="49"/>
      <c r="K14" s="51"/>
      <c r="L14" s="52"/>
      <c r="M14" s="39"/>
    </row>
    <row r="15" ht="25.5" customHeight="1">
      <c r="A15" s="50" t="s">
        <v>23</v>
      </c>
      <c r="B15" s="45" t="s">
        <v>24</v>
      </c>
      <c r="C15" s="42">
        <v>16314.0</v>
      </c>
      <c r="D15" s="53">
        <v>55467.6</v>
      </c>
      <c r="E15" s="54">
        <v>22775.0</v>
      </c>
      <c r="F15" s="55">
        <v>77435.0</v>
      </c>
      <c r="G15" s="56">
        <v>13500.0</v>
      </c>
      <c r="H15" s="57">
        <v>27000.0</v>
      </c>
      <c r="I15" s="58">
        <v>1726.0</v>
      </c>
      <c r="J15" s="59">
        <v>3452.0</v>
      </c>
      <c r="K15" s="60">
        <f t="shared" ref="K15:L15" si="1">G15+I15</f>
        <v>15226</v>
      </c>
      <c r="L15" s="35">
        <f t="shared" si="1"/>
        <v>30452</v>
      </c>
      <c r="M15" s="61" t="s">
        <v>25</v>
      </c>
    </row>
    <row r="16" ht="33.0" customHeight="1">
      <c r="A16" s="50" t="s">
        <v>26</v>
      </c>
      <c r="B16" s="45" t="s">
        <v>24</v>
      </c>
      <c r="C16" s="42"/>
      <c r="D16" s="42"/>
      <c r="E16" s="54">
        <v>30858.0</v>
      </c>
      <c r="F16" s="62">
        <v>104917.0</v>
      </c>
      <c r="G16" s="56">
        <v>13500.0</v>
      </c>
      <c r="H16" s="57">
        <v>27000.0</v>
      </c>
      <c r="I16" s="63"/>
      <c r="J16" s="49"/>
      <c r="K16" s="60">
        <f t="shared" ref="K16:L16" si="2">G16+I16</f>
        <v>13500</v>
      </c>
      <c r="L16" s="35">
        <f t="shared" si="2"/>
        <v>27000</v>
      </c>
      <c r="M16" s="21"/>
    </row>
    <row r="17" ht="23.25" customHeight="1">
      <c r="A17" s="50" t="s">
        <v>27</v>
      </c>
      <c r="B17" s="45" t="s">
        <v>24</v>
      </c>
      <c r="C17" s="42">
        <v>17114.0</v>
      </c>
      <c r="D17" s="53">
        <v>85570.07</v>
      </c>
      <c r="E17" s="54">
        <v>22775.0</v>
      </c>
      <c r="F17" s="55">
        <v>113875.0</v>
      </c>
      <c r="G17" s="56">
        <v>13500.0</v>
      </c>
      <c r="H17" s="57">
        <v>94500.0</v>
      </c>
      <c r="I17" s="58">
        <v>1276.0</v>
      </c>
      <c r="J17" s="59">
        <v>12686.1</v>
      </c>
      <c r="K17" s="60">
        <f t="shared" ref="K17:L17" si="3">G17+I17</f>
        <v>14776</v>
      </c>
      <c r="L17" s="35">
        <f t="shared" si="3"/>
        <v>107186.1</v>
      </c>
      <c r="M17" s="21"/>
    </row>
    <row r="18" hidden="1">
      <c r="A18" s="50" t="s">
        <v>28</v>
      </c>
      <c r="B18" s="45"/>
      <c r="C18" s="50"/>
      <c r="D18" s="53"/>
      <c r="E18" s="64"/>
      <c r="F18" s="47"/>
      <c r="G18" s="65"/>
      <c r="H18" s="66"/>
      <c r="I18" s="37"/>
      <c r="J18" s="47"/>
      <c r="K18" s="60">
        <f t="shared" ref="K18:L18" si="4">G18+I18</f>
        <v>0</v>
      </c>
      <c r="L18" s="35">
        <f t="shared" si="4"/>
        <v>0</v>
      </c>
      <c r="M18" s="21"/>
    </row>
    <row r="19" ht="36.0" customHeight="1">
      <c r="A19" s="67" t="s">
        <v>29</v>
      </c>
      <c r="B19" s="45"/>
      <c r="C19" s="50"/>
      <c r="D19" s="53"/>
      <c r="E19" s="64"/>
      <c r="F19" s="47"/>
      <c r="G19" s="68"/>
      <c r="H19" s="48"/>
      <c r="I19" s="69">
        <v>26634.0</v>
      </c>
      <c r="J19" s="70">
        <f>62528200/1000</f>
        <v>62528.2</v>
      </c>
      <c r="K19" s="60">
        <f t="shared" ref="K19:L19" si="5">G19+I19</f>
        <v>26634</v>
      </c>
      <c r="L19" s="35">
        <f t="shared" si="5"/>
        <v>62528.2</v>
      </c>
      <c r="M19" s="21"/>
    </row>
    <row r="20" ht="36.0" customHeight="1">
      <c r="A20" s="67" t="s">
        <v>30</v>
      </c>
      <c r="B20" s="45"/>
      <c r="C20" s="50"/>
      <c r="D20" s="53"/>
      <c r="E20" s="64"/>
      <c r="F20" s="47"/>
      <c r="G20" s="68"/>
      <c r="H20" s="48"/>
      <c r="I20" s="69">
        <v>15226.0</v>
      </c>
      <c r="J20" s="70">
        <v>35019.8</v>
      </c>
      <c r="K20" s="60">
        <f t="shared" ref="K20:L20" si="6">G20+I20</f>
        <v>15226</v>
      </c>
      <c r="L20" s="35">
        <f t="shared" si="6"/>
        <v>35019.8</v>
      </c>
      <c r="M20" s="30"/>
    </row>
    <row r="21" ht="36.0" customHeight="1">
      <c r="A21" s="50" t="s">
        <v>31</v>
      </c>
      <c r="B21" s="45"/>
      <c r="C21" s="50"/>
      <c r="D21" s="53"/>
      <c r="E21" s="64"/>
      <c r="F21" s="47"/>
      <c r="G21" s="68"/>
      <c r="H21" s="48"/>
      <c r="I21" s="37"/>
      <c r="J21" s="47"/>
      <c r="K21" s="63"/>
      <c r="L21" s="52"/>
      <c r="M21" s="39"/>
    </row>
    <row r="22" ht="36.0" customHeight="1">
      <c r="A22" s="71" t="s">
        <v>32</v>
      </c>
      <c r="B22" s="72" t="s">
        <v>33</v>
      </c>
      <c r="C22" s="50"/>
      <c r="D22" s="53"/>
      <c r="E22" s="73">
        <v>100.0</v>
      </c>
      <c r="F22" s="74">
        <v>700.0</v>
      </c>
      <c r="G22" s="75"/>
      <c r="H22" s="48"/>
      <c r="I22" s="37"/>
      <c r="J22" s="47"/>
      <c r="K22" s="63"/>
      <c r="L22" s="52"/>
      <c r="M22" s="76"/>
    </row>
    <row r="23" ht="42.0" customHeight="1">
      <c r="A23" s="71" t="s">
        <v>34</v>
      </c>
      <c r="B23" s="72" t="s">
        <v>33</v>
      </c>
      <c r="C23" s="50"/>
      <c r="D23" s="53"/>
      <c r="E23" s="73">
        <v>100.0</v>
      </c>
      <c r="F23" s="74">
        <v>1530.0</v>
      </c>
      <c r="G23" s="77"/>
      <c r="H23" s="78"/>
      <c r="I23" s="37"/>
      <c r="J23" s="47"/>
      <c r="K23" s="63"/>
      <c r="L23" s="52"/>
      <c r="M23" s="30"/>
    </row>
    <row r="24" ht="54.75" customHeight="1">
      <c r="A24" s="79" t="s">
        <v>35</v>
      </c>
      <c r="B24" s="45"/>
      <c r="C24" s="50"/>
      <c r="D24" s="53" t="str">
        <f>D25</f>
        <v/>
      </c>
      <c r="E24" s="50"/>
      <c r="F24" s="47"/>
      <c r="G24" s="66"/>
      <c r="H24" s="48"/>
      <c r="I24" s="37"/>
      <c r="J24" s="47"/>
      <c r="K24" s="63"/>
      <c r="L24" s="52"/>
      <c r="M24" s="39"/>
    </row>
    <row r="25" ht="27.75" customHeight="1">
      <c r="A25" s="80" t="s">
        <v>36</v>
      </c>
      <c r="B25" s="81" t="s">
        <v>37</v>
      </c>
      <c r="C25" s="39"/>
      <c r="D25" s="47"/>
      <c r="E25" s="34"/>
      <c r="F25" s="49"/>
      <c r="G25" s="82">
        <v>5.0</v>
      </c>
      <c r="H25" s="82">
        <v>33430.0</v>
      </c>
      <c r="I25" s="37"/>
      <c r="J25" s="47"/>
      <c r="K25" s="60">
        <f t="shared" ref="K25:L25" si="7">G25+I25</f>
        <v>5</v>
      </c>
      <c r="L25" s="35">
        <f t="shared" si="7"/>
        <v>33430</v>
      </c>
      <c r="M25" s="39"/>
    </row>
    <row r="26" ht="31.5" customHeight="1">
      <c r="A26" s="39" t="s">
        <v>38</v>
      </c>
      <c r="B26" s="81" t="s">
        <v>37</v>
      </c>
      <c r="C26" s="47"/>
      <c r="D26" s="47"/>
      <c r="E26" s="47"/>
      <c r="F26" s="47"/>
      <c r="G26" s="82">
        <v>12.0</v>
      </c>
      <c r="H26" s="57">
        <v>6000.0</v>
      </c>
      <c r="I26" s="37"/>
      <c r="J26" s="47"/>
      <c r="K26" s="60">
        <f t="shared" ref="K26:L26" si="8">G26+I26</f>
        <v>12</v>
      </c>
      <c r="L26" s="35">
        <f t="shared" si="8"/>
        <v>6000</v>
      </c>
      <c r="M26" s="39"/>
    </row>
    <row r="27" ht="15.75" customHeight="1">
      <c r="A27" s="39"/>
      <c r="B27" s="81"/>
      <c r="C27" s="47"/>
      <c r="D27" s="47"/>
      <c r="E27" s="47"/>
      <c r="F27" s="47"/>
      <c r="G27" s="66"/>
      <c r="H27" s="38"/>
      <c r="I27" s="37"/>
      <c r="J27" s="47"/>
      <c r="K27" s="39"/>
      <c r="L27" s="47"/>
      <c r="M27" s="39"/>
    </row>
    <row r="28" ht="75.75" customHeight="1">
      <c r="A28" s="83" t="s">
        <v>39</v>
      </c>
      <c r="B28" s="81"/>
      <c r="C28" s="39"/>
      <c r="D28" s="36">
        <f>D29+D52</f>
        <v>2562.5</v>
      </c>
      <c r="E28" s="39"/>
      <c r="F28" s="36">
        <f>F29+F52</f>
        <v>5100</v>
      </c>
      <c r="G28" s="84"/>
      <c r="H28" s="85"/>
      <c r="I28" s="37"/>
      <c r="J28" s="36"/>
      <c r="K28" s="39"/>
      <c r="L28" s="36"/>
      <c r="M28" s="39"/>
    </row>
    <row r="29" ht="48.75" customHeight="1">
      <c r="A29" s="83" t="s">
        <v>40</v>
      </c>
      <c r="B29" s="81"/>
      <c r="C29" s="39"/>
      <c r="D29" s="36">
        <f>SUM(D31:D49)</f>
        <v>2562.5</v>
      </c>
      <c r="E29" s="39"/>
      <c r="F29" s="36">
        <f>SUM(F30:F50)</f>
        <v>0</v>
      </c>
      <c r="G29" s="84"/>
      <c r="H29" s="86"/>
      <c r="I29" s="37"/>
      <c r="J29" s="36"/>
      <c r="K29" s="39"/>
      <c r="L29" s="36"/>
      <c r="M29" s="39"/>
    </row>
    <row r="30" ht="36.75" customHeight="1">
      <c r="A30" s="87" t="s">
        <v>41</v>
      </c>
      <c r="B30" s="81"/>
      <c r="C30" s="39"/>
      <c r="D30" s="88"/>
      <c r="E30" s="39"/>
      <c r="F30" s="47"/>
      <c r="G30" s="84"/>
      <c r="H30" s="66"/>
      <c r="I30" s="37"/>
      <c r="J30" s="47"/>
      <c r="K30" s="39"/>
      <c r="L30" s="49"/>
      <c r="M30" s="39"/>
    </row>
    <row r="31" ht="26.25" customHeight="1">
      <c r="A31" s="39" t="s">
        <v>42</v>
      </c>
      <c r="B31" s="81" t="s">
        <v>33</v>
      </c>
      <c r="C31" s="39">
        <v>1.0</v>
      </c>
      <c r="D31" s="47">
        <v>2000.0</v>
      </c>
      <c r="E31" s="39"/>
      <c r="F31" s="47"/>
      <c r="G31" s="84"/>
      <c r="H31" s="66"/>
      <c r="I31" s="37"/>
      <c r="J31" s="47"/>
      <c r="K31" s="39"/>
      <c r="L31" s="89"/>
      <c r="M31" s="39"/>
    </row>
    <row r="32" ht="21.75" customHeight="1">
      <c r="A32" s="39" t="s">
        <v>43</v>
      </c>
      <c r="B32" s="81" t="s">
        <v>33</v>
      </c>
      <c r="C32" s="39">
        <v>1.0</v>
      </c>
      <c r="D32" s="47">
        <v>562.5</v>
      </c>
      <c r="E32" s="39"/>
      <c r="F32" s="47"/>
      <c r="G32" s="84"/>
      <c r="H32" s="66"/>
      <c r="I32" s="37"/>
      <c r="J32" s="47"/>
      <c r="K32" s="39"/>
      <c r="L32" s="89"/>
      <c r="M32" s="39"/>
    </row>
    <row r="33" ht="15.75" hidden="1" customHeight="1">
      <c r="A33" s="39" t="s">
        <v>44</v>
      </c>
      <c r="B33" s="81" t="s">
        <v>33</v>
      </c>
      <c r="C33" s="39"/>
      <c r="D33" s="47"/>
      <c r="E33" s="39"/>
      <c r="F33" s="47"/>
      <c r="G33" s="84"/>
      <c r="H33" s="66"/>
      <c r="I33" s="37"/>
      <c r="J33" s="47"/>
      <c r="K33" s="39"/>
      <c r="L33" s="89"/>
      <c r="M33" s="39"/>
    </row>
    <row r="34" ht="15.75" hidden="1" customHeight="1">
      <c r="A34" s="39" t="s">
        <v>45</v>
      </c>
      <c r="B34" s="81" t="s">
        <v>33</v>
      </c>
      <c r="C34" s="39"/>
      <c r="D34" s="47"/>
      <c r="E34" s="39"/>
      <c r="F34" s="47"/>
      <c r="G34" s="84"/>
      <c r="H34" s="66"/>
      <c r="I34" s="37"/>
      <c r="J34" s="47"/>
      <c r="K34" s="39"/>
      <c r="L34" s="89"/>
      <c r="M34" s="39"/>
    </row>
    <row r="35" ht="15.75" hidden="1" customHeight="1">
      <c r="A35" s="39" t="s">
        <v>46</v>
      </c>
      <c r="B35" s="81" t="s">
        <v>33</v>
      </c>
      <c r="C35" s="39"/>
      <c r="D35" s="47"/>
      <c r="E35" s="39"/>
      <c r="F35" s="47"/>
      <c r="G35" s="84"/>
      <c r="H35" s="66"/>
      <c r="I35" s="37"/>
      <c r="J35" s="47"/>
      <c r="K35" s="39"/>
      <c r="L35" s="89"/>
      <c r="M35" s="39"/>
    </row>
    <row r="36" ht="15.75" hidden="1" customHeight="1">
      <c r="A36" s="39" t="s">
        <v>47</v>
      </c>
      <c r="B36" s="81" t="s">
        <v>33</v>
      </c>
      <c r="C36" s="39"/>
      <c r="D36" s="49"/>
      <c r="E36" s="39"/>
      <c r="F36" s="47"/>
      <c r="G36" s="84"/>
      <c r="H36" s="66"/>
      <c r="I36" s="37"/>
      <c r="J36" s="47"/>
      <c r="K36" s="39"/>
      <c r="L36" s="89"/>
      <c r="M36" s="39"/>
    </row>
    <row r="37" ht="15.75" hidden="1" customHeight="1">
      <c r="A37" s="39" t="s">
        <v>48</v>
      </c>
      <c r="B37" s="81" t="s">
        <v>33</v>
      </c>
      <c r="C37" s="39"/>
      <c r="D37" s="39"/>
      <c r="E37" s="39"/>
      <c r="F37" s="47"/>
      <c r="G37" s="84"/>
      <c r="H37" s="66"/>
      <c r="I37" s="37"/>
      <c r="J37" s="47"/>
      <c r="K37" s="39"/>
      <c r="L37" s="89"/>
      <c r="M37" s="39"/>
    </row>
    <row r="38" ht="15.75" hidden="1" customHeight="1">
      <c r="A38" s="39" t="s">
        <v>49</v>
      </c>
      <c r="B38" s="81" t="s">
        <v>33</v>
      </c>
      <c r="C38" s="39"/>
      <c r="D38" s="47"/>
      <c r="E38" s="39"/>
      <c r="F38" s="47"/>
      <c r="G38" s="84"/>
      <c r="H38" s="66"/>
      <c r="I38" s="37"/>
      <c r="J38" s="47"/>
      <c r="K38" s="39"/>
      <c r="L38" s="89"/>
      <c r="M38" s="39"/>
    </row>
    <row r="39" ht="15.75" hidden="1" customHeight="1">
      <c r="A39" s="39" t="s">
        <v>50</v>
      </c>
      <c r="B39" s="81" t="s">
        <v>33</v>
      </c>
      <c r="C39" s="39"/>
      <c r="D39" s="39"/>
      <c r="E39" s="39"/>
      <c r="F39" s="47"/>
      <c r="G39" s="84"/>
      <c r="H39" s="66"/>
      <c r="I39" s="37"/>
      <c r="J39" s="47"/>
      <c r="K39" s="39"/>
      <c r="L39" s="89"/>
      <c r="M39" s="39"/>
    </row>
    <row r="40" ht="25.5" customHeight="1">
      <c r="A40" s="39" t="s">
        <v>51</v>
      </c>
      <c r="B40" s="81" t="s">
        <v>33</v>
      </c>
      <c r="C40" s="47"/>
      <c r="D40" s="47"/>
      <c r="E40" s="39"/>
      <c r="F40" s="47"/>
      <c r="G40" s="84"/>
      <c r="H40" s="66"/>
      <c r="I40" s="37"/>
      <c r="J40" s="47"/>
      <c r="K40" s="39"/>
      <c r="L40" s="89"/>
      <c r="M40" s="39"/>
    </row>
    <row r="41" ht="24.75" customHeight="1">
      <c r="A41" s="39" t="s">
        <v>52</v>
      </c>
      <c r="B41" s="81" t="s">
        <v>33</v>
      </c>
      <c r="C41" s="47"/>
      <c r="D41" s="47"/>
      <c r="E41" s="39"/>
      <c r="F41" s="47"/>
      <c r="G41" s="66"/>
      <c r="H41" s="66"/>
      <c r="I41" s="37"/>
      <c r="J41" s="47"/>
      <c r="K41" s="39"/>
      <c r="L41" s="89"/>
      <c r="M41" s="39"/>
    </row>
    <row r="42" ht="27.75" customHeight="1">
      <c r="A42" s="39" t="s">
        <v>53</v>
      </c>
      <c r="B42" s="81" t="s">
        <v>33</v>
      </c>
      <c r="C42" s="47"/>
      <c r="D42" s="47"/>
      <c r="E42" s="39"/>
      <c r="F42" s="47"/>
      <c r="G42" s="66"/>
      <c r="H42" s="66"/>
      <c r="I42" s="90"/>
      <c r="J42" s="48"/>
      <c r="K42" s="63"/>
      <c r="L42" s="89"/>
      <c r="M42" s="39"/>
    </row>
    <row r="43" ht="15.75" hidden="1" customHeight="1">
      <c r="A43" s="39" t="s">
        <v>54</v>
      </c>
      <c r="B43" s="81" t="s">
        <v>33</v>
      </c>
      <c r="C43" s="47"/>
      <c r="D43" s="47"/>
      <c r="E43" s="47"/>
      <c r="F43" s="47"/>
      <c r="G43" s="66"/>
      <c r="H43" s="66"/>
      <c r="I43" s="37"/>
      <c r="J43" s="47"/>
      <c r="K43" s="47"/>
      <c r="L43" s="89"/>
      <c r="M43" s="39"/>
    </row>
    <row r="44" ht="25.5" customHeight="1">
      <c r="A44" s="83" t="s">
        <v>55</v>
      </c>
      <c r="B44" s="81"/>
      <c r="C44" s="47"/>
      <c r="D44" s="47"/>
      <c r="E44" s="47"/>
      <c r="F44" s="47"/>
      <c r="G44" s="66"/>
      <c r="H44" s="66"/>
      <c r="I44" s="37"/>
      <c r="J44" s="47"/>
      <c r="K44" s="47"/>
      <c r="L44" s="89"/>
      <c r="M44" s="39"/>
    </row>
    <row r="45" ht="30.0" customHeight="1">
      <c r="A45" s="39" t="s">
        <v>46</v>
      </c>
      <c r="B45" s="81" t="s">
        <v>56</v>
      </c>
      <c r="C45" s="47"/>
      <c r="D45" s="47"/>
      <c r="E45" s="47"/>
      <c r="F45" s="47"/>
      <c r="G45" s="66"/>
      <c r="H45" s="66"/>
      <c r="I45" s="37"/>
      <c r="J45" s="47"/>
      <c r="K45" s="47"/>
      <c r="L45" s="89"/>
      <c r="M45" s="39"/>
    </row>
    <row r="46" ht="15.75" hidden="1" customHeight="1">
      <c r="A46" s="39" t="s">
        <v>57</v>
      </c>
      <c r="B46" s="81" t="s">
        <v>56</v>
      </c>
      <c r="C46" s="47"/>
      <c r="D46" s="47"/>
      <c r="E46" s="47"/>
      <c r="F46" s="47"/>
      <c r="G46" s="66"/>
      <c r="H46" s="66"/>
      <c r="I46" s="37"/>
      <c r="J46" s="47"/>
      <c r="K46" s="47"/>
      <c r="L46" s="89"/>
      <c r="M46" s="39"/>
    </row>
    <row r="47" ht="15.75" hidden="1" customHeight="1">
      <c r="A47" s="39" t="s">
        <v>58</v>
      </c>
      <c r="B47" s="81"/>
      <c r="C47" s="47"/>
      <c r="D47" s="47"/>
      <c r="E47" s="47"/>
      <c r="F47" s="47"/>
      <c r="G47" s="66"/>
      <c r="H47" s="66"/>
      <c r="I47" s="37"/>
      <c r="J47" s="47"/>
      <c r="K47" s="47"/>
      <c r="L47" s="89"/>
      <c r="M47" s="39"/>
    </row>
    <row r="48" ht="27.75" customHeight="1">
      <c r="A48" s="39" t="s">
        <v>59</v>
      </c>
      <c r="B48" s="81"/>
      <c r="C48" s="47"/>
      <c r="D48" s="47"/>
      <c r="E48" s="47"/>
      <c r="F48" s="47"/>
      <c r="G48" s="66"/>
      <c r="H48" s="66"/>
      <c r="I48" s="37"/>
      <c r="J48" s="47"/>
      <c r="K48" s="47"/>
      <c r="L48" s="89"/>
      <c r="M48" s="39"/>
    </row>
    <row r="49" ht="27.75" customHeight="1">
      <c r="A49" s="39" t="s">
        <v>60</v>
      </c>
      <c r="B49" s="81"/>
      <c r="C49" s="47"/>
      <c r="D49" s="47"/>
      <c r="E49" s="47"/>
      <c r="F49" s="47"/>
      <c r="G49" s="66"/>
      <c r="H49" s="66"/>
      <c r="I49" s="37"/>
      <c r="J49" s="47"/>
      <c r="K49" s="47"/>
      <c r="L49" s="89"/>
      <c r="M49" s="39"/>
    </row>
    <row r="50" ht="15.75" hidden="1" customHeight="1">
      <c r="A50" s="39"/>
      <c r="B50" s="81"/>
      <c r="C50" s="47"/>
      <c r="D50" s="47"/>
      <c r="E50" s="39"/>
      <c r="F50" s="47"/>
      <c r="G50" s="66"/>
      <c r="H50" s="38"/>
      <c r="I50" s="37"/>
      <c r="J50" s="47"/>
      <c r="K50" s="39"/>
      <c r="L50" s="89"/>
      <c r="M50" s="39"/>
    </row>
    <row r="51" ht="15.75" hidden="1" customHeight="1">
      <c r="A51" s="39"/>
      <c r="B51" s="81"/>
      <c r="C51" s="47"/>
      <c r="D51" s="47"/>
      <c r="E51" s="39"/>
      <c r="F51" s="47"/>
      <c r="G51" s="66"/>
      <c r="H51" s="66"/>
      <c r="I51" s="37"/>
      <c r="J51" s="47"/>
      <c r="K51" s="39"/>
      <c r="L51" s="47"/>
      <c r="M51" s="39"/>
    </row>
    <row r="52" ht="26.25" customHeight="1">
      <c r="A52" s="83" t="s">
        <v>61</v>
      </c>
      <c r="B52" s="81" t="s">
        <v>62</v>
      </c>
      <c r="C52" s="39"/>
      <c r="D52" s="36">
        <f>SUM(D53:D58)</f>
        <v>0</v>
      </c>
      <c r="E52" s="47"/>
      <c r="F52" s="36">
        <f>F56</f>
        <v>5100</v>
      </c>
      <c r="G52" s="66"/>
      <c r="H52" s="38"/>
      <c r="I52" s="37"/>
      <c r="J52" s="36"/>
      <c r="K52" s="39"/>
      <c r="L52" s="36"/>
      <c r="M52" s="39"/>
    </row>
    <row r="53" ht="15.75" hidden="1" customHeight="1">
      <c r="A53" s="39" t="s">
        <v>63</v>
      </c>
      <c r="B53" s="81" t="s">
        <v>33</v>
      </c>
      <c r="C53" s="39"/>
      <c r="D53" s="36"/>
      <c r="E53" s="47"/>
      <c r="F53" s="47"/>
      <c r="G53" s="66"/>
      <c r="H53" s="66"/>
      <c r="I53" s="37"/>
      <c r="J53" s="36"/>
      <c r="K53" s="39"/>
      <c r="L53" s="89"/>
      <c r="M53" s="39"/>
    </row>
    <row r="54" ht="15.75" hidden="1" customHeight="1">
      <c r="A54" s="39" t="s">
        <v>64</v>
      </c>
      <c r="B54" s="81" t="s">
        <v>33</v>
      </c>
      <c r="C54" s="39"/>
      <c r="D54" s="36"/>
      <c r="E54" s="47"/>
      <c r="F54" s="47"/>
      <c r="G54" s="66"/>
      <c r="H54" s="66"/>
      <c r="I54" s="37"/>
      <c r="J54" s="36"/>
      <c r="K54" s="39"/>
      <c r="L54" s="89"/>
      <c r="M54" s="39"/>
    </row>
    <row r="55" ht="15.75" hidden="1" customHeight="1">
      <c r="A55" s="39" t="s">
        <v>65</v>
      </c>
      <c r="B55" s="81" t="s">
        <v>33</v>
      </c>
      <c r="C55" s="39"/>
      <c r="D55" s="36"/>
      <c r="E55" s="47"/>
      <c r="F55" s="47"/>
      <c r="G55" s="66"/>
      <c r="H55" s="66"/>
      <c r="I55" s="37"/>
      <c r="J55" s="36"/>
      <c r="K55" s="39"/>
      <c r="L55" s="89"/>
      <c r="M55" s="39"/>
    </row>
    <row r="56" ht="18.75" customHeight="1">
      <c r="A56" s="80" t="s">
        <v>66</v>
      </c>
      <c r="B56" s="81" t="s">
        <v>33</v>
      </c>
      <c r="C56" s="39"/>
      <c r="D56" s="36"/>
      <c r="E56" s="63">
        <v>1.0</v>
      </c>
      <c r="F56" s="74">
        <v>5100.0</v>
      </c>
      <c r="G56" s="90"/>
      <c r="H56" s="48"/>
      <c r="I56" s="37"/>
      <c r="J56" s="47"/>
      <c r="K56" s="63"/>
      <c r="L56" s="74"/>
      <c r="M56" s="39"/>
    </row>
    <row r="57" ht="29.25" customHeight="1">
      <c r="A57" s="80" t="s">
        <v>67</v>
      </c>
      <c r="B57" s="81" t="s">
        <v>33</v>
      </c>
      <c r="C57" s="39"/>
      <c r="D57" s="36"/>
      <c r="E57" s="47"/>
      <c r="F57" s="47"/>
      <c r="G57" s="66"/>
      <c r="H57" s="66"/>
      <c r="I57" s="37"/>
      <c r="J57" s="36"/>
      <c r="K57" s="39"/>
      <c r="L57" s="89"/>
      <c r="M57" s="39"/>
    </row>
    <row r="58" ht="15.75" hidden="1" customHeight="1">
      <c r="A58" s="39" t="s">
        <v>68</v>
      </c>
      <c r="B58" s="81" t="s">
        <v>33</v>
      </c>
      <c r="C58" s="39"/>
      <c r="D58" s="47"/>
      <c r="E58" s="47"/>
      <c r="F58" s="47"/>
      <c r="G58" s="66"/>
      <c r="H58" s="66"/>
      <c r="I58" s="37"/>
      <c r="J58" s="47"/>
      <c r="K58" s="39"/>
      <c r="L58" s="89"/>
      <c r="M58" s="39"/>
    </row>
    <row r="59" ht="31.5" customHeight="1">
      <c r="A59" s="91" t="s">
        <v>69</v>
      </c>
      <c r="B59" s="81"/>
      <c r="C59" s="47"/>
      <c r="D59" s="36">
        <f>D52+D29+D24+D12</f>
        <v>171657.09</v>
      </c>
      <c r="E59" s="47"/>
      <c r="F59" s="36">
        <f>F52+F29+F24+F12</f>
        <v>303557</v>
      </c>
      <c r="G59" s="66"/>
      <c r="H59" s="36">
        <f>sum(H15:H57)</f>
        <v>187930</v>
      </c>
      <c r="I59" s="92"/>
      <c r="J59" s="36">
        <f>J52+J29+J24+J12</f>
        <v>113686.1</v>
      </c>
      <c r="K59" s="83"/>
      <c r="L59" s="36">
        <f>L52+L29+L24+L12</f>
        <v>262186.1</v>
      </c>
      <c r="M59" s="39"/>
    </row>
    <row r="60" ht="21.0" hidden="1" customHeight="1">
      <c r="A60" s="93" t="s">
        <v>70</v>
      </c>
      <c r="B60" s="94" t="s">
        <v>71</v>
      </c>
      <c r="C60" s="95" t="s">
        <v>72</v>
      </c>
      <c r="D60" s="4"/>
      <c r="E60" s="96"/>
      <c r="F60" s="4"/>
      <c r="G60" s="96"/>
      <c r="H60" s="4"/>
      <c r="I60" s="2"/>
      <c r="J60" s="97" t="s">
        <v>73</v>
      </c>
      <c r="K60" s="2"/>
      <c r="L60" s="2"/>
      <c r="M60" s="12"/>
    </row>
    <row r="61" ht="15.0" hidden="1" customHeight="1">
      <c r="A61" s="98"/>
      <c r="B61" s="98"/>
      <c r="C61" s="98"/>
      <c r="D61" s="4"/>
      <c r="E61" s="96"/>
      <c r="F61" s="2"/>
      <c r="G61" s="96"/>
      <c r="H61" s="2"/>
      <c r="I61" s="2"/>
      <c r="J61" s="98"/>
      <c r="K61" s="2"/>
      <c r="L61" s="2"/>
      <c r="M61" s="99"/>
    </row>
    <row r="62" ht="15.75" hidden="1" customHeight="1">
      <c r="A62" s="98"/>
      <c r="B62" s="98"/>
      <c r="C62" s="98"/>
      <c r="D62" s="4"/>
      <c r="E62" s="96"/>
      <c r="F62" s="4"/>
      <c r="G62" s="96"/>
      <c r="H62" s="4"/>
      <c r="I62" s="2"/>
      <c r="J62" s="98"/>
      <c r="K62" s="2"/>
      <c r="L62" s="2"/>
      <c r="M62" s="12"/>
    </row>
    <row r="63" ht="15.75" hidden="1" customHeight="1">
      <c r="A63" s="98"/>
      <c r="B63" s="96"/>
      <c r="C63" s="98"/>
      <c r="D63" s="4"/>
      <c r="E63" s="96"/>
      <c r="F63" s="4"/>
      <c r="G63" s="96"/>
      <c r="H63" s="4"/>
      <c r="I63" s="2"/>
      <c r="J63" s="98"/>
      <c r="K63" s="2"/>
      <c r="L63" s="2"/>
      <c r="M63" s="12"/>
    </row>
    <row r="64" ht="15.75" hidden="1" customHeight="1">
      <c r="A64" s="98"/>
      <c r="B64" s="98"/>
      <c r="C64" s="98"/>
      <c r="D64" s="4"/>
      <c r="E64" s="96"/>
      <c r="F64" s="4"/>
      <c r="G64" s="96"/>
      <c r="H64" s="4"/>
      <c r="I64" s="2"/>
      <c r="J64" s="98"/>
      <c r="K64" s="2"/>
      <c r="L64" s="2"/>
      <c r="M64" s="12"/>
    </row>
    <row r="65" ht="21.75" hidden="1" customHeight="1">
      <c r="A65" s="100" t="s">
        <v>74</v>
      </c>
      <c r="B65" s="100" t="s">
        <v>75</v>
      </c>
      <c r="C65" s="100" t="s">
        <v>76</v>
      </c>
      <c r="D65" s="4"/>
      <c r="E65" s="96"/>
      <c r="F65" s="4"/>
      <c r="G65" s="96"/>
      <c r="H65" s="4"/>
      <c r="I65" s="2"/>
      <c r="J65" s="100" t="s">
        <v>77</v>
      </c>
      <c r="K65" s="2"/>
      <c r="L65" s="2"/>
      <c r="M65" s="2"/>
    </row>
    <row r="66" ht="24.0" hidden="1" customHeight="1">
      <c r="A66" s="93" t="s">
        <v>78</v>
      </c>
      <c r="B66" s="95" t="s">
        <v>79</v>
      </c>
      <c r="C66" s="95" t="s">
        <v>80</v>
      </c>
      <c r="D66" s="4"/>
      <c r="E66" s="96"/>
      <c r="F66" s="4"/>
      <c r="G66" s="96"/>
      <c r="H66" s="4"/>
      <c r="I66" s="2"/>
      <c r="J66" s="95" t="s">
        <v>81</v>
      </c>
      <c r="K66" s="2"/>
      <c r="L66" s="2"/>
      <c r="M66" s="2"/>
    </row>
    <row r="67" ht="3.75" hidden="1" customHeight="1">
      <c r="A67" s="101" t="s">
        <v>82</v>
      </c>
      <c r="B67" s="9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5.75" customHeight="1">
      <c r="J68" s="2"/>
      <c r="K68" s="2"/>
      <c r="L68" s="2"/>
      <c r="M68" s="2"/>
    </row>
    <row r="69" ht="15.75" customHeight="1">
      <c r="J69" s="2"/>
      <c r="K69" s="2"/>
      <c r="L69" s="2"/>
      <c r="M69" s="2"/>
    </row>
    <row r="70" ht="23.25" customHeight="1">
      <c r="A70" s="102" t="s">
        <v>70</v>
      </c>
      <c r="B70" s="12"/>
      <c r="E70" s="103" t="s">
        <v>83</v>
      </c>
      <c r="J70" s="2"/>
      <c r="K70" s="2"/>
      <c r="L70" s="97" t="s">
        <v>73</v>
      </c>
      <c r="M70" s="2"/>
    </row>
    <row r="71" ht="15.75" customHeight="1">
      <c r="A71" s="104"/>
      <c r="B71" s="12"/>
      <c r="E71" s="105"/>
      <c r="J71" s="2"/>
      <c r="K71" s="2"/>
      <c r="L71" s="98"/>
      <c r="M71" s="2"/>
    </row>
    <row r="72" ht="15.75" customHeight="1">
      <c r="A72" s="104"/>
      <c r="B72" s="12"/>
      <c r="E72" s="105"/>
      <c r="J72" s="2"/>
      <c r="K72" s="2"/>
      <c r="L72" s="98"/>
      <c r="M72" s="2"/>
    </row>
    <row r="73" ht="15.75" customHeight="1">
      <c r="B73" s="12"/>
      <c r="E73" s="105"/>
      <c r="F73" s="12"/>
      <c r="G73" s="12"/>
      <c r="H73" s="12"/>
      <c r="J73" s="12"/>
      <c r="K73" s="12"/>
      <c r="L73" s="98"/>
      <c r="M73" s="12"/>
    </row>
    <row r="74" ht="15.75" customHeight="1">
      <c r="A74" s="104"/>
      <c r="B74" s="12"/>
      <c r="E74" s="105"/>
      <c r="F74" s="12"/>
      <c r="G74" s="12"/>
      <c r="H74" s="12"/>
      <c r="J74" s="12"/>
      <c r="K74" s="12"/>
      <c r="L74" s="98"/>
      <c r="M74" s="12"/>
    </row>
    <row r="75" ht="21.0" customHeight="1">
      <c r="A75" s="106" t="s">
        <v>75</v>
      </c>
      <c r="B75" s="12"/>
      <c r="E75" s="107" t="s">
        <v>76</v>
      </c>
      <c r="F75" s="12"/>
      <c r="G75" s="12"/>
      <c r="H75" s="12"/>
      <c r="J75" s="12"/>
      <c r="K75" s="12"/>
      <c r="L75" s="100" t="s">
        <v>77</v>
      </c>
      <c r="M75" s="12"/>
    </row>
    <row r="76">
      <c r="A76" s="108" t="s">
        <v>79</v>
      </c>
      <c r="B76" s="12"/>
      <c r="E76" s="103" t="s">
        <v>80</v>
      </c>
      <c r="F76" s="12"/>
      <c r="G76" s="12"/>
      <c r="H76" s="12"/>
      <c r="J76" s="12"/>
      <c r="K76" s="12"/>
      <c r="L76" s="95" t="s">
        <v>81</v>
      </c>
      <c r="M76" s="12"/>
    </row>
    <row r="77" ht="15.75" customHeight="1">
      <c r="A77" s="109"/>
      <c r="B77" s="109"/>
      <c r="C77" s="12"/>
      <c r="D77" s="109"/>
      <c r="E77" s="12"/>
      <c r="F77" s="12"/>
      <c r="G77" s="12"/>
      <c r="H77" s="12"/>
      <c r="I77" s="12"/>
      <c r="J77" s="12"/>
      <c r="K77" s="12"/>
      <c r="L77" s="12"/>
      <c r="M77" s="12"/>
    </row>
    <row r="78" ht="15.75" customHeight="1">
      <c r="B78" s="110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ht="15.75" customHeight="1">
      <c r="B79" s="1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ht="15.75" customHeight="1">
      <c r="A80" s="112"/>
      <c r="B80" s="1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ht="15.75" customHeight="1">
      <c r="A81" s="112"/>
      <c r="B81" s="11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ht="15.75" customHeight="1">
      <c r="A82" s="112"/>
      <c r="B82" s="113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ht="15.75" customHeight="1">
      <c r="A83" s="112"/>
      <c r="B83" s="113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ht="15.75" customHeight="1">
      <c r="A84" s="112"/>
      <c r="B84" s="113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ht="15.75" customHeight="1">
      <c r="A85" s="112"/>
      <c r="B85" s="113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ht="15.75" customHeight="1">
      <c r="A86" s="112"/>
      <c r="B86" s="113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ht="15.75" customHeight="1">
      <c r="A87" s="112"/>
      <c r="B87" s="113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ht="15.75" customHeight="1">
      <c r="A88" s="112"/>
      <c r="B88" s="113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ht="15.75" customHeight="1">
      <c r="A89" s="112"/>
      <c r="B89" s="113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ht="15.75" customHeight="1">
      <c r="A90" s="112"/>
      <c r="B90" s="113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ht="15.75" customHeight="1">
      <c r="A91" s="112"/>
      <c r="B91" s="113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ht="15.75" customHeight="1">
      <c r="A92" s="112"/>
      <c r="B92" s="113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ht="15.75" customHeight="1">
      <c r="A93" s="112"/>
      <c r="B93" s="113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ht="15.75" customHeight="1">
      <c r="A94" s="112"/>
      <c r="B94" s="113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ht="15.75" customHeight="1">
      <c r="A95" s="112"/>
      <c r="B95" s="113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ht="15.75" customHeight="1">
      <c r="A96" s="112"/>
      <c r="B96" s="113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ht="15.75" customHeight="1">
      <c r="A97" s="112"/>
      <c r="B97" s="11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ht="15.75" customHeight="1">
      <c r="A98" s="112"/>
      <c r="B98" s="113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ht="15.75" customHeight="1">
      <c r="A99" s="112"/>
      <c r="B99" s="113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ht="15.75" customHeight="1">
      <c r="A100" s="112"/>
      <c r="B100" s="113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ht="15.75" customHeight="1">
      <c r="A101" s="112"/>
      <c r="B101" s="113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ht="15.75" customHeight="1">
      <c r="A102" s="112"/>
      <c r="B102" s="113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ht="15.75" customHeight="1">
      <c r="A103" s="112"/>
      <c r="B103" s="113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ht="15.75" customHeight="1">
      <c r="A104" s="112"/>
      <c r="B104" s="113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ht="15.75" customHeight="1">
      <c r="A105" s="112"/>
      <c r="B105" s="113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ht="15.75" customHeight="1">
      <c r="A106" s="112"/>
      <c r="B106" s="113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ht="15.75" customHeight="1">
      <c r="A107" s="112"/>
      <c r="B107" s="113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ht="15.75" customHeight="1">
      <c r="A108" s="112"/>
      <c r="B108" s="113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ht="15.75" customHeight="1">
      <c r="A109" s="112"/>
      <c r="B109" s="113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ht="15.75" customHeight="1">
      <c r="A110" s="112"/>
      <c r="B110" s="113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ht="15.75" customHeight="1">
      <c r="A111" s="112"/>
      <c r="B111" s="113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ht="15.75" customHeight="1">
      <c r="A112" s="112"/>
      <c r="B112" s="113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ht="15.75" customHeight="1">
      <c r="A113" s="112"/>
      <c r="B113" s="113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ht="15.75" customHeight="1">
      <c r="A114" s="112"/>
      <c r="B114" s="113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ht="15.75" customHeight="1">
      <c r="A115" s="112"/>
      <c r="B115" s="113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ht="15.75" customHeight="1">
      <c r="A116" s="112"/>
      <c r="B116" s="11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ht="15.75" customHeight="1">
      <c r="A117" s="112"/>
      <c r="B117" s="113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ht="15.75" customHeight="1">
      <c r="A118" s="112"/>
      <c r="B118" s="113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ht="15.75" customHeight="1">
      <c r="A119" s="112"/>
      <c r="B119" s="113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ht="15.75" customHeight="1">
      <c r="A120" s="112"/>
      <c r="B120" s="113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ht="15.75" customHeight="1">
      <c r="A121" s="112"/>
      <c r="B121" s="113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ht="15.75" customHeight="1">
      <c r="A122" s="112"/>
      <c r="B122" s="113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ht="15.75" customHeight="1">
      <c r="A123" s="112"/>
      <c r="B123" s="113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ht="15.75" customHeight="1">
      <c r="A124" s="112"/>
      <c r="B124" s="113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ht="15.75" customHeight="1">
      <c r="A125" s="112"/>
      <c r="B125" s="113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ht="15.75" customHeight="1">
      <c r="A126" s="112"/>
      <c r="B126" s="113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ht="15.75" customHeight="1">
      <c r="A127" s="112"/>
      <c r="B127" s="113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ht="15.75" customHeight="1">
      <c r="A128" s="112"/>
      <c r="B128" s="113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ht="15.75" customHeight="1">
      <c r="A129" s="112"/>
      <c r="B129" s="113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ht="15.75" customHeight="1">
      <c r="A130" s="112"/>
      <c r="B130" s="113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ht="15.75" customHeight="1">
      <c r="A131" s="112"/>
      <c r="B131" s="113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ht="15.75" customHeight="1">
      <c r="A132" s="112"/>
      <c r="B132" s="113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ht="15.75" customHeight="1">
      <c r="A133" s="112"/>
      <c r="B133" s="113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ht="15.75" customHeight="1">
      <c r="A134" s="112"/>
      <c r="B134" s="113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ht="15.75" customHeight="1">
      <c r="A135" s="112"/>
      <c r="B135" s="113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ht="15.75" customHeight="1">
      <c r="A136" s="112"/>
      <c r="B136" s="113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ht="15.75" customHeight="1">
      <c r="A137" s="112"/>
      <c r="B137" s="113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ht="15.75" customHeight="1">
      <c r="A138" s="112"/>
      <c r="B138" s="113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ht="15.75" customHeight="1">
      <c r="A139" s="112"/>
      <c r="B139" s="113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ht="15.75" customHeight="1">
      <c r="A140" s="112"/>
      <c r="B140" s="113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ht="15.75" customHeight="1">
      <c r="A141" s="112"/>
      <c r="B141" s="113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ht="15.75" customHeight="1">
      <c r="A142" s="112"/>
      <c r="B142" s="113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ht="15.75" customHeight="1">
      <c r="A143" s="112"/>
      <c r="B143" s="113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ht="15.75" customHeight="1">
      <c r="A144" s="112"/>
      <c r="B144" s="113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ht="15.75" customHeight="1">
      <c r="A145" s="112"/>
      <c r="B145" s="113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ht="15.75" customHeight="1">
      <c r="A146" s="112"/>
      <c r="B146" s="113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ht="15.75" customHeight="1">
      <c r="A147" s="112"/>
      <c r="B147" s="113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ht="15.75" customHeight="1">
      <c r="A148" s="112"/>
      <c r="B148" s="113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ht="15.75" customHeight="1">
      <c r="A149" s="112"/>
      <c r="B149" s="1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ht="15.75" customHeight="1">
      <c r="A150" s="112"/>
      <c r="B150" s="1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ht="15.75" customHeight="1">
      <c r="A151" s="112"/>
      <c r="B151" s="1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ht="15.75" customHeight="1">
      <c r="A152" s="112"/>
      <c r="B152" s="1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ht="15.75" customHeight="1">
      <c r="A153" s="112"/>
      <c r="B153" s="1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ht="15.75" customHeight="1">
      <c r="A154" s="112"/>
      <c r="B154" s="1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ht="15.75" customHeight="1">
      <c r="A155" s="112"/>
      <c r="B155" s="1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ht="15.75" customHeight="1">
      <c r="A156" s="112"/>
      <c r="B156" s="1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ht="15.75" customHeight="1">
      <c r="A157" s="112"/>
      <c r="B157" s="1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ht="15.75" customHeight="1">
      <c r="A158" s="112"/>
      <c r="B158" s="1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ht="15.75" customHeight="1">
      <c r="A159" s="112"/>
      <c r="B159" s="1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ht="15.75" customHeight="1">
      <c r="A160" s="112"/>
      <c r="B160" s="1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ht="15.75" customHeight="1">
      <c r="A161" s="112"/>
      <c r="B161" s="1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ht="15.75" customHeight="1">
      <c r="A162" s="112"/>
      <c r="B162" s="1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ht="15.75" customHeight="1">
      <c r="A163" s="112"/>
      <c r="B163" s="1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5.75" customHeight="1">
      <c r="A164" s="112"/>
      <c r="B164" s="1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ht="15.75" customHeight="1">
      <c r="A165" s="112"/>
      <c r="B165" s="1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ht="15.75" customHeight="1">
      <c r="A166" s="112"/>
      <c r="B166" s="1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ht="15.75" customHeight="1">
      <c r="A167" s="112"/>
      <c r="B167" s="1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ht="15.75" customHeight="1">
      <c r="A168" s="112"/>
      <c r="B168" s="1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ht="15.75" customHeight="1">
      <c r="A169" s="112"/>
      <c r="B169" s="1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ht="15.75" customHeight="1">
      <c r="A170" s="112"/>
      <c r="B170" s="1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ht="15.75" customHeight="1">
      <c r="A171" s="112"/>
      <c r="B171" s="1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ht="15.75" customHeight="1">
      <c r="A172" s="112"/>
      <c r="B172" s="1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ht="15.75" customHeight="1">
      <c r="A173" s="112"/>
      <c r="B173" s="1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ht="15.75" customHeight="1">
      <c r="A174" s="112"/>
      <c r="B174" s="1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ht="15.75" customHeight="1">
      <c r="A175" s="112"/>
      <c r="B175" s="1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ht="15.75" customHeight="1">
      <c r="A176" s="112"/>
      <c r="B176" s="1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ht="15.75" customHeight="1">
      <c r="A177" s="112"/>
      <c r="B177" s="1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ht="15.75" customHeight="1">
      <c r="A178" s="112"/>
      <c r="B178" s="1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ht="15.75" customHeight="1">
      <c r="A179" s="112"/>
      <c r="B179" s="1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ht="15.75" customHeight="1">
      <c r="A180" s="112"/>
      <c r="B180" s="1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ht="15.75" customHeight="1">
      <c r="A181" s="112"/>
      <c r="B181" s="1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ht="15.75" customHeight="1">
      <c r="A182" s="112"/>
      <c r="B182" s="1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ht="15.75" customHeight="1">
      <c r="A183" s="112"/>
      <c r="B183" s="1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ht="15.75" customHeight="1">
      <c r="A184" s="112"/>
      <c r="B184" s="1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ht="15.75" customHeight="1">
      <c r="A185" s="112"/>
      <c r="B185" s="1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ht="15.75" customHeight="1">
      <c r="A186" s="112"/>
      <c r="B186" s="1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ht="15.75" customHeight="1">
      <c r="A187" s="112"/>
      <c r="B187" s="1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ht="15.75" customHeight="1">
      <c r="A188" s="112"/>
      <c r="B188" s="1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ht="15.75" customHeight="1">
      <c r="A189" s="112"/>
      <c r="B189" s="1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ht="15.75" customHeight="1">
      <c r="A190" s="112"/>
      <c r="B190" s="1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ht="15.75" customHeight="1">
      <c r="A191" s="112"/>
      <c r="B191" s="1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ht="15.75" customHeight="1">
      <c r="A192" s="112"/>
      <c r="B192" s="113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ht="15.75" customHeight="1">
      <c r="A193" s="112"/>
      <c r="B193" s="113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ht="15.75" customHeight="1">
      <c r="A194" s="112"/>
      <c r="B194" s="113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ht="15.75" customHeight="1">
      <c r="A195" s="112"/>
      <c r="B195" s="113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ht="15.75" customHeight="1">
      <c r="A196" s="112"/>
      <c r="B196" s="113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ht="15.75" customHeight="1">
      <c r="A197" s="112"/>
      <c r="B197" s="113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ht="15.75" customHeight="1">
      <c r="A198" s="112"/>
      <c r="B198" s="113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ht="15.75" customHeight="1">
      <c r="A199" s="112"/>
      <c r="B199" s="113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  <row r="200" ht="15.75" customHeight="1">
      <c r="A200" s="112"/>
      <c r="B200" s="113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ht="15.75" customHeight="1">
      <c r="A201" s="112"/>
      <c r="B201" s="113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</row>
    <row r="202" ht="15.75" customHeight="1">
      <c r="A202" s="112"/>
      <c r="B202" s="113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</row>
    <row r="203" ht="15.75" customHeight="1">
      <c r="A203" s="112"/>
      <c r="B203" s="113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</row>
    <row r="204" ht="15.75" customHeight="1">
      <c r="A204" s="112"/>
      <c r="B204" s="113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</row>
    <row r="205" ht="15.75" customHeight="1">
      <c r="A205" s="112"/>
      <c r="B205" s="113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</row>
    <row r="206" ht="15.75" customHeight="1">
      <c r="A206" s="112"/>
      <c r="B206" s="113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ht="15.75" customHeight="1">
      <c r="A207" s="112"/>
      <c r="B207" s="113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</row>
    <row r="208" ht="15.75" customHeight="1">
      <c r="A208" s="112"/>
      <c r="B208" s="113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</row>
    <row r="209" ht="15.75" customHeight="1">
      <c r="A209" s="112"/>
      <c r="B209" s="113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</row>
    <row r="210" ht="15.75" customHeight="1">
      <c r="A210" s="112"/>
      <c r="B210" s="113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</row>
    <row r="211" ht="15.75" customHeight="1">
      <c r="A211" s="112"/>
      <c r="B211" s="113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ht="15.75" customHeight="1">
      <c r="A212" s="112"/>
      <c r="B212" s="113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ht="15.75" customHeight="1">
      <c r="A213" s="112"/>
      <c r="B213" s="113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</row>
    <row r="214" ht="15.75" customHeight="1">
      <c r="A214" s="112"/>
      <c r="B214" s="113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</row>
    <row r="215" ht="15.75" customHeight="1">
      <c r="A215" s="112"/>
      <c r="B215" s="113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</row>
    <row r="216" ht="15.75" customHeight="1">
      <c r="A216" s="112"/>
      <c r="B216" s="113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ht="15.75" customHeight="1">
      <c r="A217" s="112"/>
      <c r="B217" s="113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</row>
    <row r="218" ht="15.75" customHeight="1">
      <c r="A218" s="112"/>
      <c r="B218" s="113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ht="15.75" customHeight="1">
      <c r="A219" s="112"/>
      <c r="B219" s="113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</row>
    <row r="220" ht="15.75" customHeight="1">
      <c r="A220" s="112"/>
      <c r="B220" s="113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</row>
    <row r="221" ht="15.75" customHeight="1">
      <c r="A221" s="112"/>
      <c r="B221" s="113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</row>
    <row r="222" ht="15.75" customHeight="1">
      <c r="A222" s="112"/>
      <c r="B222" s="113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</row>
    <row r="223" ht="15.75" customHeight="1">
      <c r="A223" s="112"/>
      <c r="B223" s="113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</row>
    <row r="224" ht="15.75" customHeight="1">
      <c r="A224" s="112"/>
      <c r="B224" s="113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ht="15.75" customHeight="1">
      <c r="A225" s="112"/>
      <c r="B225" s="113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</row>
    <row r="226" ht="15.75" customHeight="1">
      <c r="A226" s="112"/>
      <c r="B226" s="113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</row>
    <row r="227" ht="15.75" customHeight="1">
      <c r="A227" s="112"/>
      <c r="B227" s="113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</row>
    <row r="228" ht="15.75" customHeight="1">
      <c r="A228" s="112"/>
      <c r="B228" s="113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</row>
    <row r="229" ht="15.75" customHeight="1">
      <c r="A229" s="112"/>
      <c r="B229" s="113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</row>
    <row r="230" ht="15.75" customHeight="1">
      <c r="A230" s="112"/>
      <c r="B230" s="113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ht="15.75" customHeight="1">
      <c r="A231" s="112"/>
      <c r="B231" s="1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ht="15.75" customHeight="1">
      <c r="A232" s="112"/>
      <c r="B232" s="1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</row>
    <row r="233" ht="15.75" customHeight="1">
      <c r="A233" s="112"/>
      <c r="B233" s="1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</row>
    <row r="234" ht="15.75" customHeight="1">
      <c r="A234" s="112"/>
      <c r="B234" s="1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</row>
    <row r="235" ht="15.75" customHeight="1">
      <c r="A235" s="112"/>
      <c r="B235" s="1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</row>
    <row r="236" ht="15.75" customHeight="1">
      <c r="A236" s="112"/>
      <c r="B236" s="1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ht="15.75" customHeight="1">
      <c r="A237" s="112"/>
      <c r="B237" s="1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</row>
    <row r="238" ht="15.75" customHeight="1">
      <c r="A238" s="112"/>
      <c r="B238" s="1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</row>
    <row r="239" ht="15.75" customHeight="1">
      <c r="A239" s="112"/>
      <c r="B239" s="1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</row>
    <row r="240" ht="15.75" customHeight="1">
      <c r="A240" s="112"/>
      <c r="B240" s="1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</row>
    <row r="241" ht="15.75" customHeight="1">
      <c r="A241" s="112"/>
      <c r="B241" s="1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</row>
    <row r="242" ht="15.75" customHeight="1">
      <c r="A242" s="112"/>
      <c r="B242" s="1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ht="15.75" customHeight="1">
      <c r="A243" s="112"/>
      <c r="B243" s="1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</row>
    <row r="244" ht="15.75" customHeight="1">
      <c r="A244" s="112"/>
      <c r="B244" s="1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ht="15.75" customHeight="1">
      <c r="A245" s="112"/>
      <c r="B245" s="1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</row>
    <row r="246" ht="15.75" customHeight="1">
      <c r="A246" s="112"/>
      <c r="B246" s="1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</row>
    <row r="247" ht="15.75" customHeight="1">
      <c r="A247" s="112"/>
      <c r="B247" s="1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</row>
    <row r="248" ht="15.75" customHeight="1">
      <c r="A248" s="112"/>
      <c r="B248" s="113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ht="15.75" customHeight="1">
      <c r="A249" s="112"/>
      <c r="B249" s="113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</row>
    <row r="250" ht="15.75" customHeight="1">
      <c r="A250" s="112"/>
      <c r="B250" s="113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ht="15.75" customHeight="1">
      <c r="A251" s="112"/>
      <c r="B251" s="113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</row>
    <row r="252" ht="15.75" customHeight="1">
      <c r="A252" s="112"/>
      <c r="B252" s="113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</row>
    <row r="253" ht="15.75" customHeight="1">
      <c r="A253" s="112"/>
      <c r="B253" s="113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ht="15.75" customHeight="1">
      <c r="A254" s="112"/>
      <c r="B254" s="113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ht="15.75" customHeight="1">
      <c r="A255" s="112"/>
      <c r="B255" s="113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</row>
    <row r="256" ht="15.75" customHeight="1">
      <c r="A256" s="112"/>
      <c r="B256" s="113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</row>
    <row r="257" ht="15.75" customHeight="1">
      <c r="A257" s="112"/>
      <c r="B257" s="113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</row>
    <row r="258" ht="15.75" customHeight="1">
      <c r="A258" s="112"/>
      <c r="B258" s="113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</row>
    <row r="259" ht="15.75" customHeight="1">
      <c r="A259" s="112"/>
      <c r="B259" s="113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</row>
    <row r="260" ht="15.75" customHeight="1">
      <c r="A260" s="112"/>
      <c r="B260" s="113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ht="15.75" customHeight="1">
      <c r="A261" s="112"/>
      <c r="B261" s="113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</row>
    <row r="262" ht="15.75" customHeight="1">
      <c r="A262" s="12"/>
      <c r="B262" s="11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ht="15.75" customHeight="1">
      <c r="A263" s="12"/>
      <c r="B263" s="11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</row>
    <row r="264" ht="15.75" customHeight="1">
      <c r="A264" s="12"/>
      <c r="B264" s="11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</row>
    <row r="265" ht="15.75" customHeight="1">
      <c r="A265" s="12"/>
      <c r="B265" s="11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</row>
    <row r="266" ht="15.75" customHeight="1">
      <c r="A266" s="12"/>
      <c r="B266" s="114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ht="15.75" customHeight="1">
      <c r="A267" s="12"/>
      <c r="B267" s="114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</row>
    <row r="268" ht="15.75" customHeight="1">
      <c r="A268" s="12"/>
      <c r="B268" s="114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ht="15.75" customHeight="1">
      <c r="A269" s="12"/>
      <c r="B269" s="114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</row>
    <row r="270" ht="15.75" customHeight="1">
      <c r="A270" s="12"/>
      <c r="B270" s="114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</row>
    <row r="271" ht="15.75" customHeight="1">
      <c r="A271" s="12"/>
      <c r="B271" s="114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</row>
    <row r="272" ht="15.75" customHeight="1">
      <c r="A272" s="12"/>
      <c r="B272" s="114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ht="15.75" customHeight="1">
      <c r="A273" s="12"/>
      <c r="B273" s="114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</row>
    <row r="274" ht="15.75" customHeight="1">
      <c r="A274" s="12"/>
      <c r="B274" s="114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</row>
    <row r="275" ht="15.75" customHeight="1">
      <c r="A275" s="12"/>
      <c r="B275" s="114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</row>
    <row r="276" ht="15.75" customHeight="1">
      <c r="A276" s="12"/>
      <c r="B276" s="114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1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15:M20"/>
    <mergeCell ref="M22:M23"/>
    <mergeCell ref="H2:J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61.57"/>
    <col customWidth="1" min="2" max="2" width="17.43"/>
    <col customWidth="1" min="3" max="5" width="21.71"/>
    <col customWidth="1" min="6" max="6" width="22.71"/>
    <col customWidth="1" min="7" max="7" width="18.71"/>
    <col customWidth="1" min="8" max="8" width="21.71"/>
    <col customWidth="1" min="9" max="9" width="18.57"/>
    <col customWidth="1" min="10" max="12" width="25.57"/>
    <col customWidth="1" min="13" max="13" width="31.29"/>
  </cols>
  <sheetData>
    <row r="1">
      <c r="A1" s="115" t="s">
        <v>0</v>
      </c>
      <c r="B1" s="116"/>
      <c r="C1" s="116"/>
      <c r="D1" s="116"/>
      <c r="E1" s="116"/>
      <c r="F1" s="116"/>
      <c r="G1" s="116"/>
      <c r="H1" s="116"/>
      <c r="I1" s="117"/>
      <c r="J1" s="117"/>
      <c r="K1" s="118"/>
      <c r="L1" s="118"/>
      <c r="M1" s="118"/>
    </row>
    <row r="2">
      <c r="A2" s="119" t="s">
        <v>1</v>
      </c>
      <c r="B2" s="116"/>
      <c r="C2" s="116"/>
      <c r="D2" s="116"/>
      <c r="E2" s="116"/>
      <c r="F2" s="116"/>
      <c r="G2" s="116"/>
      <c r="H2" s="120"/>
      <c r="I2" s="121"/>
      <c r="L2" s="120"/>
      <c r="M2" s="120"/>
    </row>
    <row r="3">
      <c r="A3" s="122" t="s">
        <v>84</v>
      </c>
      <c r="B3" s="123"/>
      <c r="C3" s="124"/>
      <c r="D3" s="124"/>
      <c r="E3" s="124"/>
      <c r="F3" s="124"/>
      <c r="G3" s="124"/>
      <c r="H3" s="120"/>
      <c r="L3" s="120"/>
      <c r="M3" s="120"/>
    </row>
    <row r="4">
      <c r="A4" s="125" t="s">
        <v>3</v>
      </c>
      <c r="B4" s="123"/>
      <c r="C4" s="124"/>
      <c r="D4" s="124"/>
      <c r="E4" s="124"/>
      <c r="F4" s="124"/>
      <c r="G4" s="124"/>
      <c r="H4" s="120"/>
      <c r="L4" s="120"/>
      <c r="M4" s="120"/>
    </row>
    <row r="5">
      <c r="A5" s="125" t="s">
        <v>4</v>
      </c>
      <c r="B5" s="123"/>
      <c r="C5" s="124"/>
      <c r="D5" s="124"/>
      <c r="E5" s="124"/>
      <c r="F5" s="124"/>
      <c r="G5" s="124"/>
      <c r="H5" s="124"/>
      <c r="I5" s="124"/>
      <c r="J5" s="124"/>
      <c r="K5" s="126"/>
      <c r="L5" s="126"/>
      <c r="M5" s="126"/>
    </row>
    <row r="6">
      <c r="A6" s="126"/>
      <c r="B6" s="127"/>
      <c r="C6" s="128"/>
      <c r="D6" s="129"/>
      <c r="E6" s="126"/>
      <c r="F6" s="126"/>
      <c r="G6" s="126"/>
      <c r="H6" s="126"/>
      <c r="I6" s="126"/>
      <c r="J6" s="126"/>
      <c r="K6" s="126"/>
      <c r="L6" s="126"/>
      <c r="M6" s="126"/>
    </row>
    <row r="7">
      <c r="A7" s="130" t="s">
        <v>5</v>
      </c>
      <c r="B7" s="130" t="s">
        <v>6</v>
      </c>
      <c r="C7" s="131" t="s">
        <v>7</v>
      </c>
      <c r="D7" s="15"/>
      <c r="E7" s="132" t="s">
        <v>8</v>
      </c>
      <c r="F7" s="15"/>
      <c r="G7" s="133" t="s">
        <v>9</v>
      </c>
      <c r="H7" s="18"/>
      <c r="I7" s="18"/>
      <c r="J7" s="18"/>
      <c r="K7" s="18"/>
      <c r="L7" s="19"/>
      <c r="M7" s="134" t="s">
        <v>85</v>
      </c>
    </row>
    <row r="8">
      <c r="A8" s="21"/>
      <c r="B8" s="21"/>
      <c r="C8" s="22"/>
      <c r="D8" s="23"/>
      <c r="E8" s="22"/>
      <c r="F8" s="23"/>
      <c r="G8" s="135" t="s">
        <v>11</v>
      </c>
      <c r="H8" s="19"/>
      <c r="I8" s="135" t="s">
        <v>12</v>
      </c>
      <c r="J8" s="19"/>
      <c r="K8" s="135" t="s">
        <v>13</v>
      </c>
      <c r="L8" s="19"/>
      <c r="M8" s="21"/>
    </row>
    <row r="9" ht="20.25" customHeight="1">
      <c r="A9" s="21"/>
      <c r="B9" s="21"/>
      <c r="C9" s="136" t="s">
        <v>14</v>
      </c>
      <c r="D9" s="137" t="s">
        <v>15</v>
      </c>
      <c r="E9" s="138" t="s">
        <v>16</v>
      </c>
      <c r="F9" s="15"/>
      <c r="G9" s="139" t="s">
        <v>17</v>
      </c>
      <c r="H9" s="140" t="s">
        <v>18</v>
      </c>
      <c r="I9" s="139" t="s">
        <v>17</v>
      </c>
      <c r="J9" s="140" t="s">
        <v>18</v>
      </c>
      <c r="K9" s="139" t="s">
        <v>17</v>
      </c>
      <c r="L9" s="140" t="s">
        <v>18</v>
      </c>
      <c r="M9" s="21"/>
    </row>
    <row r="10" ht="64.5" customHeight="1">
      <c r="A10" s="30"/>
      <c r="B10" s="30"/>
      <c r="C10" s="30"/>
      <c r="D10" s="30"/>
      <c r="E10" s="141" t="s">
        <v>17</v>
      </c>
      <c r="F10" s="140" t="s">
        <v>18</v>
      </c>
      <c r="G10" s="30"/>
      <c r="H10" s="30"/>
      <c r="I10" s="30"/>
      <c r="J10" s="30"/>
      <c r="K10" s="30"/>
      <c r="L10" s="30"/>
      <c r="M10" s="30"/>
    </row>
    <row r="11">
      <c r="A11" s="142" t="s">
        <v>86</v>
      </c>
      <c r="B11" s="143"/>
      <c r="C11" s="144"/>
      <c r="D11" s="145">
        <f>SUM(D12:D32)</f>
        <v>13593.8495</v>
      </c>
      <c r="E11" s="146"/>
      <c r="F11" s="146">
        <f>SUM(F12:F37)</f>
        <v>69465</v>
      </c>
      <c r="G11" s="146"/>
      <c r="H11" s="146">
        <f>SUM(H12:H37)</f>
        <v>5581</v>
      </c>
      <c r="I11" s="146"/>
      <c r="J11" s="146">
        <f>SUM(J12:J37)</f>
        <v>156400</v>
      </c>
      <c r="K11" s="146"/>
      <c r="L11" s="146">
        <f>SUM(L12:L37)</f>
        <v>161981</v>
      </c>
      <c r="M11" s="146"/>
    </row>
    <row r="12">
      <c r="A12" s="142" t="s">
        <v>87</v>
      </c>
      <c r="B12" s="147"/>
      <c r="C12" s="148"/>
      <c r="D12" s="149"/>
      <c r="E12" s="150"/>
      <c r="F12" s="150"/>
      <c r="G12" s="150"/>
      <c r="H12" s="150"/>
      <c r="I12" s="150"/>
      <c r="J12" s="150"/>
      <c r="K12" s="150"/>
      <c r="L12" s="150"/>
      <c r="M12" s="150"/>
    </row>
    <row r="13">
      <c r="A13" s="151" t="s">
        <v>88</v>
      </c>
      <c r="B13" s="147" t="s">
        <v>89</v>
      </c>
      <c r="C13" s="148">
        <v>2000.0</v>
      </c>
      <c r="D13" s="149">
        <v>100.0</v>
      </c>
      <c r="E13" s="150"/>
      <c r="F13" s="150"/>
      <c r="G13" s="150"/>
      <c r="H13" s="150"/>
      <c r="I13" s="150"/>
      <c r="J13" s="150"/>
      <c r="K13" s="150"/>
      <c r="L13" s="150"/>
      <c r="M13" s="150"/>
    </row>
    <row r="14">
      <c r="A14" s="151" t="s">
        <v>90</v>
      </c>
      <c r="B14" s="147" t="s">
        <v>89</v>
      </c>
      <c r="C14" s="148">
        <v>2000.0</v>
      </c>
      <c r="D14" s="149">
        <v>100.0</v>
      </c>
      <c r="E14" s="150"/>
      <c r="F14" s="150"/>
      <c r="G14" s="150"/>
      <c r="H14" s="150"/>
      <c r="I14" s="150"/>
      <c r="J14" s="150"/>
      <c r="K14" s="150"/>
      <c r="L14" s="150"/>
      <c r="M14" s="150"/>
    </row>
    <row r="15">
      <c r="A15" s="152" t="s">
        <v>91</v>
      </c>
      <c r="B15" s="147" t="s">
        <v>89</v>
      </c>
      <c r="C15" s="148"/>
      <c r="D15" s="149"/>
      <c r="E15" s="150"/>
      <c r="F15" s="150"/>
      <c r="G15" s="150"/>
      <c r="H15" s="150"/>
      <c r="I15" s="150"/>
      <c r="J15" s="150"/>
      <c r="K15" s="150"/>
      <c r="L15" s="150"/>
      <c r="M15" s="150"/>
    </row>
    <row r="16">
      <c r="A16" s="142" t="s">
        <v>92</v>
      </c>
      <c r="B16" s="147"/>
      <c r="C16" s="148"/>
      <c r="D16" s="149"/>
      <c r="E16" s="150"/>
      <c r="F16" s="150"/>
      <c r="G16" s="150"/>
      <c r="H16" s="150"/>
      <c r="I16" s="150"/>
      <c r="J16" s="150"/>
      <c r="K16" s="150"/>
      <c r="L16" s="150"/>
      <c r="M16" s="150"/>
    </row>
    <row r="17">
      <c r="A17" s="151" t="s">
        <v>93</v>
      </c>
      <c r="B17" s="147" t="s">
        <v>89</v>
      </c>
      <c r="C17" s="148"/>
      <c r="D17" s="149"/>
      <c r="E17" s="150"/>
      <c r="F17" s="150"/>
      <c r="G17" s="150"/>
      <c r="H17" s="150"/>
      <c r="I17" s="150"/>
      <c r="J17" s="150"/>
      <c r="K17" s="150"/>
      <c r="L17" s="150"/>
      <c r="M17" s="150"/>
    </row>
    <row r="18">
      <c r="A18" s="151" t="s">
        <v>91</v>
      </c>
      <c r="B18" s="147" t="s">
        <v>89</v>
      </c>
      <c r="C18" s="148"/>
      <c r="D18" s="149"/>
      <c r="E18" s="150"/>
      <c r="F18" s="150"/>
      <c r="G18" s="150"/>
      <c r="H18" s="150"/>
      <c r="I18" s="150"/>
      <c r="J18" s="150"/>
      <c r="K18" s="150"/>
      <c r="L18" s="150"/>
      <c r="M18" s="150"/>
    </row>
    <row r="19">
      <c r="A19" s="151" t="s">
        <v>94</v>
      </c>
      <c r="B19" s="147" t="s">
        <v>95</v>
      </c>
      <c r="C19" s="148"/>
      <c r="D19" s="149"/>
      <c r="E19" s="150"/>
      <c r="F19" s="150"/>
      <c r="G19" s="150"/>
      <c r="H19" s="150"/>
      <c r="I19" s="150"/>
      <c r="J19" s="150"/>
      <c r="K19" s="150"/>
      <c r="L19" s="150"/>
      <c r="M19" s="150"/>
    </row>
    <row r="20">
      <c r="A20" s="151" t="s">
        <v>96</v>
      </c>
      <c r="B20" s="147" t="s">
        <v>95</v>
      </c>
      <c r="C20" s="148"/>
      <c r="D20" s="149"/>
      <c r="E20" s="150"/>
      <c r="F20" s="150"/>
      <c r="G20" s="150"/>
      <c r="H20" s="150"/>
      <c r="I20" s="150"/>
      <c r="J20" s="150"/>
      <c r="K20" s="150"/>
      <c r="L20" s="150"/>
      <c r="M20" s="150"/>
    </row>
    <row r="21" ht="15.75" customHeight="1">
      <c r="A21" s="151" t="s">
        <v>97</v>
      </c>
      <c r="B21" s="147" t="s">
        <v>89</v>
      </c>
      <c r="C21" s="148"/>
      <c r="D21" s="149"/>
      <c r="E21" s="150"/>
      <c r="F21" s="150"/>
      <c r="G21" s="150"/>
      <c r="H21" s="150"/>
      <c r="I21" s="150"/>
      <c r="J21" s="150"/>
      <c r="K21" s="150"/>
      <c r="L21" s="150"/>
      <c r="M21" s="150"/>
    </row>
    <row r="22" ht="15.75" customHeight="1">
      <c r="A22" s="151" t="s">
        <v>98</v>
      </c>
      <c r="B22" s="147" t="s">
        <v>89</v>
      </c>
      <c r="C22" s="148"/>
      <c r="D22" s="149"/>
      <c r="E22" s="150"/>
      <c r="F22" s="150"/>
      <c r="G22" s="150"/>
      <c r="H22" s="150"/>
      <c r="I22" s="150"/>
      <c r="J22" s="150"/>
      <c r="K22" s="150"/>
      <c r="L22" s="150"/>
      <c r="M22" s="150"/>
    </row>
    <row r="23" ht="19.5" customHeight="1">
      <c r="A23" s="142" t="s">
        <v>99</v>
      </c>
      <c r="B23" s="147"/>
      <c r="C23" s="148"/>
      <c r="D23" s="149"/>
      <c r="E23" s="150"/>
      <c r="F23" s="150"/>
      <c r="G23" s="150"/>
      <c r="H23" s="150"/>
      <c r="I23" s="150"/>
      <c r="J23" s="150"/>
      <c r="K23" s="150"/>
      <c r="L23" s="150"/>
      <c r="M23" s="150"/>
    </row>
    <row r="24" ht="20.25" customHeight="1">
      <c r="A24" s="153" t="s">
        <v>100</v>
      </c>
      <c r="B24" s="147" t="s">
        <v>89</v>
      </c>
      <c r="C24" s="148">
        <f>1800*9</f>
        <v>16200</v>
      </c>
      <c r="D24" s="149">
        <f>10482500/1000</f>
        <v>10482.5</v>
      </c>
      <c r="E24" s="150">
        <v>45090.0</v>
      </c>
      <c r="F24" s="150">
        <v>32565.0</v>
      </c>
      <c r="G24" s="154">
        <v>2304.0</v>
      </c>
      <c r="H24" s="155">
        <f>(G24/9)*6.5</f>
        <v>1664</v>
      </c>
      <c r="I24" s="156">
        <f>6000*18</f>
        <v>108000</v>
      </c>
      <c r="J24" s="156">
        <f>6000*13</f>
        <v>78000</v>
      </c>
      <c r="K24" s="157">
        <f t="shared" ref="K24:L24" si="1">SUM(G24,I24)</f>
        <v>110304</v>
      </c>
      <c r="L24" s="158">
        <f t="shared" si="1"/>
        <v>79664</v>
      </c>
      <c r="M24" s="159" t="s">
        <v>101</v>
      </c>
    </row>
    <row r="25" ht="21.75" customHeight="1">
      <c r="A25" s="153" t="s">
        <v>102</v>
      </c>
      <c r="B25" s="147" t="s">
        <v>89</v>
      </c>
      <c r="C25" s="148">
        <f>1800*50</f>
        <v>90000</v>
      </c>
      <c r="D25" s="149">
        <f>(900*1.35)+(900*1.411)</f>
        <v>2484.9</v>
      </c>
      <c r="E25" s="150">
        <v>250500.0</v>
      </c>
      <c r="F25" s="150">
        <v>10020.0</v>
      </c>
      <c r="G25" s="154">
        <v>6400.0</v>
      </c>
      <c r="H25" s="155">
        <f>(G25/50)*2</f>
        <v>256</v>
      </c>
      <c r="I25" s="156">
        <f>6000*50</f>
        <v>300000</v>
      </c>
      <c r="J25" s="156">
        <f>6000*2</f>
        <v>12000</v>
      </c>
      <c r="K25" s="157">
        <f t="shared" ref="K25:L25" si="2">SUM(G25,I25)</f>
        <v>306400</v>
      </c>
      <c r="L25" s="158">
        <f t="shared" si="2"/>
        <v>12256</v>
      </c>
      <c r="M25" s="21"/>
    </row>
    <row r="26" ht="21.75" customHeight="1">
      <c r="A26" s="153" t="s">
        <v>103</v>
      </c>
      <c r="B26" s="147" t="s">
        <v>89</v>
      </c>
      <c r="C26" s="148"/>
      <c r="D26" s="149"/>
      <c r="E26" s="150">
        <v>30060.0</v>
      </c>
      <c r="F26" s="150">
        <v>16700.0</v>
      </c>
      <c r="G26" s="154">
        <v>1530.0</v>
      </c>
      <c r="H26" s="155">
        <f>(G26/9)*5</f>
        <v>850</v>
      </c>
      <c r="I26" s="156">
        <f>4000*18</f>
        <v>72000</v>
      </c>
      <c r="J26" s="156">
        <f>4000*10</f>
        <v>40000</v>
      </c>
      <c r="K26" s="157">
        <f t="shared" ref="K26:L26" si="3">SUM(G26,I26)</f>
        <v>73530</v>
      </c>
      <c r="L26" s="158">
        <f t="shared" si="3"/>
        <v>40850</v>
      </c>
      <c r="M26" s="21"/>
    </row>
    <row r="27" ht="21.0" customHeight="1">
      <c r="A27" s="153" t="s">
        <v>104</v>
      </c>
      <c r="B27" s="147" t="s">
        <v>89</v>
      </c>
      <c r="C27" s="148"/>
      <c r="D27" s="149"/>
      <c r="E27" s="150">
        <v>167000.0</v>
      </c>
      <c r="F27" s="150">
        <v>6680.0</v>
      </c>
      <c r="G27" s="154">
        <v>12750.0</v>
      </c>
      <c r="H27" s="155">
        <f>(G27/150)*6</f>
        <v>510</v>
      </c>
      <c r="I27" s="156">
        <f>4000*150</f>
        <v>600000</v>
      </c>
      <c r="J27" s="156">
        <f>4000*6</f>
        <v>24000</v>
      </c>
      <c r="K27" s="157">
        <f t="shared" ref="K27:L27" si="4">SUM(G27,I27)</f>
        <v>612750</v>
      </c>
      <c r="L27" s="158">
        <f t="shared" si="4"/>
        <v>24510</v>
      </c>
      <c r="M27" s="21"/>
    </row>
    <row r="28" ht="18.75" customHeight="1">
      <c r="A28" s="153" t="s">
        <v>105</v>
      </c>
      <c r="B28" s="147" t="s">
        <v>89</v>
      </c>
      <c r="C28" s="148"/>
      <c r="D28" s="149"/>
      <c r="E28" s="150"/>
      <c r="F28" s="150"/>
      <c r="G28" s="154">
        <v>4250.0</v>
      </c>
      <c r="H28" s="155">
        <f>(G28/50)*0.6</f>
        <v>51</v>
      </c>
      <c r="I28" s="156">
        <f>4000*50</f>
        <v>200000</v>
      </c>
      <c r="J28" s="156">
        <f>4000*0.6</f>
        <v>2400</v>
      </c>
      <c r="K28" s="157">
        <f t="shared" ref="K28:L28" si="5">SUM(G28,I28)</f>
        <v>204250</v>
      </c>
      <c r="L28" s="158">
        <f t="shared" si="5"/>
        <v>2451</v>
      </c>
      <c r="M28" s="30"/>
    </row>
    <row r="29" ht="19.5" customHeight="1">
      <c r="A29" s="142" t="s">
        <v>106</v>
      </c>
      <c r="B29" s="147"/>
      <c r="C29" s="148"/>
      <c r="D29" s="149"/>
      <c r="E29" s="150"/>
      <c r="F29" s="150"/>
      <c r="G29" s="160"/>
      <c r="H29" s="160"/>
      <c r="I29" s="150"/>
      <c r="J29" s="150"/>
      <c r="K29" s="161"/>
      <c r="L29" s="150"/>
      <c r="M29" s="150"/>
    </row>
    <row r="30" ht="44.25" customHeight="1">
      <c r="A30" s="151" t="s">
        <v>107</v>
      </c>
      <c r="B30" s="147" t="s">
        <v>108</v>
      </c>
      <c r="C30" s="148">
        <v>195000.0</v>
      </c>
      <c r="D30" s="149">
        <f>C30*1/1000</f>
        <v>195</v>
      </c>
      <c r="E30" s="162">
        <v>325000.0</v>
      </c>
      <c r="F30" s="150">
        <v>500.0</v>
      </c>
      <c r="G30" s="154">
        <v>325000.0</v>
      </c>
      <c r="H30" s="155">
        <f>(G30/65000)*100</f>
        <v>500</v>
      </c>
      <c r="I30" s="150"/>
      <c r="J30" s="150"/>
      <c r="K30" s="157">
        <f t="shared" ref="K30:L30" si="6">SUM(G30,I30)</f>
        <v>325000</v>
      </c>
      <c r="L30" s="158">
        <f t="shared" si="6"/>
        <v>500</v>
      </c>
      <c r="M30" s="163" t="s">
        <v>109</v>
      </c>
    </row>
    <row r="31" ht="25.5" customHeight="1">
      <c r="A31" s="151" t="s">
        <v>110</v>
      </c>
      <c r="B31" s="147" t="s">
        <v>108</v>
      </c>
      <c r="C31" s="148">
        <v>100000.0</v>
      </c>
      <c r="D31" s="149">
        <f>C31*1.5/1000</f>
        <v>150</v>
      </c>
      <c r="E31" s="150"/>
      <c r="F31" s="150"/>
      <c r="G31" s="164"/>
      <c r="H31" s="160"/>
      <c r="I31" s="150"/>
      <c r="J31" s="150"/>
      <c r="K31" s="161"/>
      <c r="L31" s="150"/>
      <c r="M31" s="150"/>
    </row>
    <row r="32" ht="40.5" customHeight="1">
      <c r="A32" s="151" t="s">
        <v>111</v>
      </c>
      <c r="B32" s="147" t="s">
        <v>89</v>
      </c>
      <c r="C32" s="148">
        <v>2950.0</v>
      </c>
      <c r="D32" s="149">
        <f>(29.5*1.35)+(29.5*1.411)</f>
        <v>81.4495</v>
      </c>
      <c r="E32" s="162">
        <v>2500.0</v>
      </c>
      <c r="F32" s="150">
        <v>100.0</v>
      </c>
      <c r="G32" s="154">
        <v>2500.0</v>
      </c>
      <c r="H32" s="155">
        <f>(G32/100)*4</f>
        <v>100</v>
      </c>
      <c r="I32" s="150"/>
      <c r="J32" s="150"/>
      <c r="K32" s="157">
        <f t="shared" ref="K32:L32" si="7">SUM(G32,I32)</f>
        <v>2500</v>
      </c>
      <c r="L32" s="158">
        <f t="shared" si="7"/>
        <v>100</v>
      </c>
      <c r="M32" s="163" t="s">
        <v>109</v>
      </c>
    </row>
    <row r="33" ht="18.75" customHeight="1">
      <c r="A33" s="152" t="s">
        <v>112</v>
      </c>
      <c r="B33" s="147" t="s">
        <v>33</v>
      </c>
      <c r="C33" s="144"/>
      <c r="D33" s="145"/>
      <c r="E33" s="162">
        <v>5.0</v>
      </c>
      <c r="F33" s="150">
        <v>1250.0</v>
      </c>
      <c r="G33" s="160"/>
      <c r="H33" s="160"/>
      <c r="I33" s="150"/>
      <c r="J33" s="150"/>
      <c r="K33" s="161"/>
      <c r="L33" s="150"/>
      <c r="M33" s="150"/>
    </row>
    <row r="34" ht="18.0" customHeight="1">
      <c r="A34" s="142" t="s">
        <v>113</v>
      </c>
      <c r="B34" s="147"/>
      <c r="C34" s="144"/>
      <c r="D34" s="145"/>
      <c r="E34" s="165"/>
      <c r="F34" s="165"/>
      <c r="G34" s="160"/>
      <c r="H34" s="160"/>
      <c r="I34" s="165"/>
      <c r="J34" s="165"/>
      <c r="K34" s="165"/>
      <c r="L34" s="165"/>
      <c r="M34" s="165"/>
    </row>
    <row r="35" ht="21.0" customHeight="1">
      <c r="A35" s="166" t="s">
        <v>114</v>
      </c>
      <c r="B35" s="167" t="s">
        <v>89</v>
      </c>
      <c r="C35" s="148"/>
      <c r="D35" s="149"/>
      <c r="E35" s="150">
        <v>2000.0</v>
      </c>
      <c r="F35" s="150">
        <v>150.0</v>
      </c>
      <c r="G35" s="160"/>
      <c r="H35" s="160"/>
      <c r="I35" s="150"/>
      <c r="J35" s="150"/>
      <c r="K35" s="150"/>
      <c r="L35" s="150"/>
      <c r="M35" s="150"/>
    </row>
    <row r="36" ht="41.25" customHeight="1">
      <c r="A36" s="166" t="s">
        <v>115</v>
      </c>
      <c r="B36" s="167" t="s">
        <v>89</v>
      </c>
      <c r="C36" s="148"/>
      <c r="D36" s="149"/>
      <c r="E36" s="150">
        <v>4000.0</v>
      </c>
      <c r="F36" s="150">
        <v>300.0</v>
      </c>
      <c r="G36" s="155">
        <v>6000.0</v>
      </c>
      <c r="H36" s="155">
        <f>(150/2000)*G36</f>
        <v>450</v>
      </c>
      <c r="I36" s="150"/>
      <c r="J36" s="150"/>
      <c r="K36" s="157">
        <f t="shared" ref="K36:L36" si="8">SUM(G36,I36)</f>
        <v>6000</v>
      </c>
      <c r="L36" s="158">
        <f t="shared" si="8"/>
        <v>450</v>
      </c>
      <c r="M36" s="163" t="s">
        <v>116</v>
      </c>
    </row>
    <row r="37" ht="43.5" customHeight="1">
      <c r="A37" s="166" t="s">
        <v>91</v>
      </c>
      <c r="B37" s="167" t="s">
        <v>89</v>
      </c>
      <c r="C37" s="148"/>
      <c r="D37" s="149"/>
      <c r="E37" s="150">
        <v>30000.0</v>
      </c>
      <c r="F37" s="150">
        <v>1200.0</v>
      </c>
      <c r="G37" s="155">
        <v>30000.0</v>
      </c>
      <c r="H37" s="155">
        <f>(G37/100)*4</f>
        <v>1200</v>
      </c>
      <c r="I37" s="150"/>
      <c r="J37" s="150"/>
      <c r="K37" s="157">
        <f t="shared" ref="K37:L37" si="9">SUM(G37,I37)</f>
        <v>30000</v>
      </c>
      <c r="L37" s="158">
        <f t="shared" si="9"/>
        <v>1200</v>
      </c>
      <c r="M37" s="163" t="s">
        <v>116</v>
      </c>
    </row>
    <row r="38" ht="24.0" customHeight="1">
      <c r="A38" s="168" t="s">
        <v>117</v>
      </c>
      <c r="B38" s="84"/>
      <c r="C38" s="169"/>
      <c r="D38" s="160"/>
      <c r="E38" s="160"/>
      <c r="F38" s="160"/>
      <c r="G38" s="160"/>
      <c r="H38" s="160"/>
      <c r="I38" s="146"/>
      <c r="J38" s="146"/>
      <c r="K38" s="146"/>
      <c r="L38" s="146"/>
      <c r="M38" s="146"/>
    </row>
    <row r="39" ht="24.0" customHeight="1">
      <c r="A39" s="153" t="s">
        <v>118</v>
      </c>
      <c r="B39" s="170" t="s">
        <v>89</v>
      </c>
      <c r="C39" s="169"/>
      <c r="D39" s="160"/>
      <c r="E39" s="160"/>
      <c r="F39" s="160"/>
      <c r="G39" s="154">
        <v>700.0</v>
      </c>
      <c r="H39" s="155">
        <f>(1200/2000)*G39</f>
        <v>420</v>
      </c>
      <c r="I39" s="146"/>
      <c r="J39" s="146"/>
      <c r="K39" s="157">
        <f t="shared" ref="K39:L39" si="10">SUM(G39,I39)</f>
        <v>700</v>
      </c>
      <c r="L39" s="158">
        <f t="shared" si="10"/>
        <v>420</v>
      </c>
      <c r="M39" s="161" t="s">
        <v>119</v>
      </c>
    </row>
    <row r="40" ht="24.0" customHeight="1">
      <c r="A40" s="153" t="s">
        <v>91</v>
      </c>
      <c r="B40" s="170" t="s">
        <v>89</v>
      </c>
      <c r="C40" s="169"/>
      <c r="D40" s="160"/>
      <c r="E40" s="160"/>
      <c r="F40" s="160"/>
      <c r="G40" s="154">
        <v>2800.0</v>
      </c>
      <c r="H40" s="155">
        <f>(G40/100)*4</f>
        <v>112</v>
      </c>
      <c r="I40" s="146"/>
      <c r="J40" s="146"/>
      <c r="K40" s="157">
        <f t="shared" ref="K40:L40" si="11">SUM(G40,I40)</f>
        <v>2800</v>
      </c>
      <c r="L40" s="158">
        <f t="shared" si="11"/>
        <v>112</v>
      </c>
      <c r="M40" s="161" t="s">
        <v>119</v>
      </c>
    </row>
    <row r="41" ht="15.75" customHeight="1">
      <c r="A41" s="84"/>
      <c r="B41" s="84"/>
      <c r="C41" s="169"/>
      <c r="D41" s="160"/>
      <c r="E41" s="160"/>
      <c r="F41" s="160"/>
      <c r="G41" s="160"/>
      <c r="H41" s="160"/>
      <c r="I41" s="146"/>
      <c r="J41" s="146"/>
      <c r="K41" s="146"/>
      <c r="L41" s="146"/>
      <c r="M41" s="146"/>
    </row>
    <row r="42" ht="22.5" customHeight="1">
      <c r="A42" s="142" t="s">
        <v>120</v>
      </c>
      <c r="B42" s="147"/>
      <c r="C42" s="144"/>
      <c r="D42" s="145"/>
      <c r="E42" s="146"/>
      <c r="F42" s="146"/>
      <c r="G42" s="146"/>
      <c r="H42" s="146"/>
      <c r="I42" s="146"/>
      <c r="J42" s="146"/>
      <c r="K42" s="146"/>
      <c r="L42" s="146"/>
      <c r="M42" s="146"/>
    </row>
    <row r="43" ht="19.5" customHeight="1">
      <c r="A43" s="152" t="s">
        <v>121</v>
      </c>
      <c r="B43" s="147" t="s">
        <v>37</v>
      </c>
      <c r="C43" s="148"/>
      <c r="D43" s="149"/>
      <c r="E43" s="150"/>
      <c r="F43" s="150"/>
      <c r="G43" s="150"/>
      <c r="H43" s="150"/>
      <c r="I43" s="150"/>
      <c r="J43" s="150"/>
      <c r="K43" s="150"/>
      <c r="L43" s="150"/>
      <c r="M43" s="150"/>
    </row>
    <row r="44" ht="19.5" customHeight="1">
      <c r="A44" s="171" t="s">
        <v>122</v>
      </c>
      <c r="B44" s="147" t="s">
        <v>37</v>
      </c>
      <c r="C44" s="148"/>
      <c r="D44" s="149"/>
      <c r="E44" s="150"/>
      <c r="F44" s="150"/>
      <c r="G44" s="161">
        <v>1.0</v>
      </c>
      <c r="H44" s="161">
        <v>400.0</v>
      </c>
      <c r="I44" s="150"/>
      <c r="J44" s="150"/>
      <c r="K44" s="157">
        <f t="shared" ref="K44:L44" si="12">SUM(G44,I44)</f>
        <v>1</v>
      </c>
      <c r="L44" s="158">
        <f t="shared" si="12"/>
        <v>400</v>
      </c>
      <c r="M44" s="161" t="s">
        <v>123</v>
      </c>
    </row>
    <row r="45" ht="15.75" customHeight="1">
      <c r="A45" s="142"/>
      <c r="B45" s="147"/>
      <c r="C45" s="144"/>
      <c r="D45" s="145"/>
      <c r="E45" s="146"/>
      <c r="F45" s="146"/>
      <c r="G45" s="146"/>
      <c r="H45" s="146"/>
      <c r="I45" s="146"/>
      <c r="J45" s="146"/>
      <c r="K45" s="146"/>
      <c r="L45" s="146"/>
      <c r="M45" s="146"/>
    </row>
    <row r="46" ht="18.75" customHeight="1">
      <c r="A46" s="142" t="s">
        <v>124</v>
      </c>
      <c r="B46" s="147"/>
      <c r="C46" s="144"/>
      <c r="D46" s="145">
        <f>D47+D78</f>
        <v>3237.59</v>
      </c>
      <c r="E46" s="146"/>
      <c r="F46" s="146">
        <f>F47+F78</f>
        <v>0</v>
      </c>
      <c r="G46" s="146"/>
      <c r="H46" s="146"/>
      <c r="I46" s="146"/>
      <c r="J46" s="146"/>
      <c r="K46" s="146"/>
      <c r="L46" s="146"/>
      <c r="M46" s="146"/>
    </row>
    <row r="47">
      <c r="A47" s="142" t="s">
        <v>125</v>
      </c>
      <c r="B47" s="143"/>
      <c r="C47" s="144"/>
      <c r="D47" s="145">
        <f>SUM(D48:D76)</f>
        <v>3237.59</v>
      </c>
      <c r="E47" s="146"/>
      <c r="F47" s="146">
        <f>SUM(F48:F76)</f>
        <v>0</v>
      </c>
      <c r="G47" s="146"/>
      <c r="H47" s="146"/>
      <c r="I47" s="146"/>
      <c r="J47" s="146"/>
      <c r="K47" s="146"/>
      <c r="L47" s="146"/>
      <c r="M47" s="146"/>
    </row>
    <row r="48" ht="21.75" customHeight="1">
      <c r="A48" s="166" t="s">
        <v>126</v>
      </c>
      <c r="B48" s="167" t="s">
        <v>33</v>
      </c>
      <c r="C48" s="172"/>
      <c r="D48" s="173"/>
      <c r="E48" s="174"/>
      <c r="F48" s="174"/>
      <c r="G48" s="175">
        <v>1.0</v>
      </c>
      <c r="H48" s="175">
        <v>3100.0</v>
      </c>
      <c r="I48" s="174"/>
      <c r="J48" s="174"/>
      <c r="K48" s="157">
        <f t="shared" ref="K48:L48" si="13">SUM(G48,I48)</f>
        <v>1</v>
      </c>
      <c r="L48" s="158">
        <f t="shared" si="13"/>
        <v>3100</v>
      </c>
      <c r="M48" s="175" t="s">
        <v>127</v>
      </c>
    </row>
    <row r="49" ht="15.75" customHeight="1">
      <c r="A49" s="166" t="s">
        <v>128</v>
      </c>
      <c r="B49" s="167" t="s">
        <v>33</v>
      </c>
      <c r="C49" s="172"/>
      <c r="D49" s="173"/>
      <c r="E49" s="174"/>
      <c r="F49" s="174"/>
      <c r="G49" s="174"/>
      <c r="H49" s="174"/>
      <c r="I49" s="174"/>
      <c r="J49" s="174"/>
      <c r="K49" s="174"/>
      <c r="L49" s="174"/>
      <c r="M49" s="174"/>
    </row>
    <row r="50" ht="15.75" customHeight="1">
      <c r="A50" s="166" t="s">
        <v>129</v>
      </c>
      <c r="B50" s="167" t="s">
        <v>33</v>
      </c>
      <c r="C50" s="172"/>
      <c r="D50" s="173"/>
      <c r="E50" s="174"/>
      <c r="F50" s="174"/>
      <c r="G50" s="174"/>
      <c r="H50" s="174"/>
      <c r="I50" s="174"/>
      <c r="J50" s="174"/>
      <c r="K50" s="174"/>
      <c r="L50" s="174"/>
      <c r="M50" s="174"/>
    </row>
    <row r="51" ht="15.75" customHeight="1">
      <c r="A51" s="166" t="s">
        <v>130</v>
      </c>
      <c r="B51" s="167" t="s">
        <v>33</v>
      </c>
      <c r="C51" s="172"/>
      <c r="D51" s="173"/>
      <c r="E51" s="174"/>
      <c r="F51" s="174"/>
      <c r="G51" s="174"/>
      <c r="H51" s="174"/>
      <c r="I51" s="174"/>
      <c r="J51" s="174"/>
      <c r="K51" s="174"/>
      <c r="L51" s="174"/>
      <c r="M51" s="174"/>
    </row>
    <row r="52" ht="15.75" customHeight="1">
      <c r="A52" s="166" t="s">
        <v>131</v>
      </c>
      <c r="B52" s="167" t="s">
        <v>33</v>
      </c>
      <c r="C52" s="172"/>
      <c r="D52" s="173"/>
      <c r="E52" s="174"/>
      <c r="F52" s="174"/>
      <c r="G52" s="174"/>
      <c r="H52" s="174"/>
      <c r="I52" s="174"/>
      <c r="J52" s="174"/>
      <c r="K52" s="174"/>
      <c r="L52" s="174"/>
      <c r="M52" s="174"/>
    </row>
    <row r="53" ht="15.75" customHeight="1">
      <c r="A53" s="166" t="s">
        <v>132</v>
      </c>
      <c r="B53" s="167" t="s">
        <v>33</v>
      </c>
      <c r="C53" s="172"/>
      <c r="D53" s="173"/>
      <c r="E53" s="174"/>
      <c r="F53" s="174"/>
      <c r="G53" s="174"/>
      <c r="H53" s="174"/>
      <c r="I53" s="174"/>
      <c r="J53" s="174"/>
      <c r="K53" s="174"/>
      <c r="L53" s="174"/>
      <c r="M53" s="174"/>
    </row>
    <row r="54" ht="15.75" customHeight="1">
      <c r="A54" s="166" t="s">
        <v>133</v>
      </c>
      <c r="B54" s="167" t="s">
        <v>33</v>
      </c>
      <c r="C54" s="172"/>
      <c r="D54" s="173"/>
      <c r="E54" s="174"/>
      <c r="F54" s="174"/>
      <c r="G54" s="174"/>
      <c r="H54" s="174"/>
      <c r="I54" s="174"/>
      <c r="J54" s="174"/>
      <c r="K54" s="174"/>
      <c r="L54" s="174"/>
      <c r="M54" s="174"/>
    </row>
    <row r="55" ht="15.75" customHeight="1">
      <c r="A55" s="166" t="s">
        <v>134</v>
      </c>
      <c r="B55" s="167" t="s">
        <v>33</v>
      </c>
      <c r="C55" s="172"/>
      <c r="D55" s="173"/>
      <c r="E55" s="174"/>
      <c r="F55" s="174"/>
      <c r="G55" s="174"/>
      <c r="H55" s="174"/>
      <c r="I55" s="174"/>
      <c r="J55" s="174"/>
      <c r="K55" s="174"/>
      <c r="L55" s="174"/>
      <c r="M55" s="174"/>
    </row>
    <row r="56" ht="21.0" customHeight="1">
      <c r="A56" s="166" t="s">
        <v>135</v>
      </c>
      <c r="B56" s="167" t="s">
        <v>33</v>
      </c>
      <c r="C56" s="172">
        <v>5.0</v>
      </c>
      <c r="D56" s="173">
        <f>C56*255</f>
        <v>1275</v>
      </c>
      <c r="E56" s="174"/>
      <c r="F56" s="174"/>
      <c r="G56" s="174"/>
      <c r="H56" s="174"/>
      <c r="I56" s="174"/>
      <c r="J56" s="174"/>
      <c r="K56" s="174"/>
      <c r="L56" s="174"/>
      <c r="M56" s="174"/>
    </row>
    <row r="57">
      <c r="A57" s="166" t="s">
        <v>136</v>
      </c>
      <c r="B57" s="167" t="s">
        <v>33</v>
      </c>
      <c r="C57" s="172"/>
      <c r="D57" s="173"/>
      <c r="E57" s="174"/>
      <c r="F57" s="174"/>
      <c r="G57" s="175">
        <v>1.0</v>
      </c>
      <c r="H57" s="175">
        <v>2100.0</v>
      </c>
      <c r="I57" s="174"/>
      <c r="J57" s="174"/>
      <c r="K57" s="157">
        <f t="shared" ref="K57:L57" si="14">SUM(G57,I57)</f>
        <v>1</v>
      </c>
      <c r="L57" s="158">
        <f t="shared" si="14"/>
        <v>2100</v>
      </c>
      <c r="M57" s="175" t="s">
        <v>127</v>
      </c>
    </row>
    <row r="58" ht="20.25" customHeight="1">
      <c r="A58" s="166" t="s">
        <v>137</v>
      </c>
      <c r="B58" s="167" t="s">
        <v>33</v>
      </c>
      <c r="C58" s="172">
        <v>1.0</v>
      </c>
      <c r="D58" s="149">
        <f>C58* 1962.59</f>
        <v>1962.59</v>
      </c>
      <c r="E58" s="174"/>
      <c r="F58" s="174"/>
      <c r="G58" s="174"/>
      <c r="H58" s="174"/>
      <c r="I58" s="174"/>
      <c r="J58" s="174"/>
      <c r="K58" s="174"/>
      <c r="L58" s="174"/>
      <c r="M58" s="174"/>
    </row>
    <row r="59" ht="15.75" customHeight="1">
      <c r="A59" s="166" t="s">
        <v>138</v>
      </c>
      <c r="B59" s="167" t="s">
        <v>33</v>
      </c>
      <c r="C59" s="172"/>
      <c r="D59" s="173"/>
      <c r="E59" s="174"/>
      <c r="F59" s="174"/>
      <c r="G59" s="174"/>
      <c r="H59" s="174"/>
      <c r="I59" s="174"/>
      <c r="J59" s="174"/>
      <c r="K59" s="174"/>
      <c r="L59" s="174"/>
      <c r="M59" s="174"/>
    </row>
    <row r="60" ht="15.75" customHeight="1">
      <c r="A60" s="166" t="s">
        <v>139</v>
      </c>
      <c r="B60" s="167" t="s">
        <v>33</v>
      </c>
      <c r="C60" s="172"/>
      <c r="D60" s="173"/>
      <c r="E60" s="174"/>
      <c r="F60" s="174"/>
      <c r="G60" s="174"/>
      <c r="H60" s="174"/>
      <c r="I60" s="174"/>
      <c r="J60" s="174"/>
      <c r="K60" s="174"/>
      <c r="L60" s="174"/>
      <c r="M60" s="174"/>
    </row>
    <row r="61" ht="15.75" customHeight="1">
      <c r="A61" s="166" t="s">
        <v>140</v>
      </c>
      <c r="B61" s="167" t="s">
        <v>33</v>
      </c>
      <c r="C61" s="172"/>
      <c r="D61" s="173"/>
      <c r="E61" s="174"/>
      <c r="F61" s="174"/>
      <c r="G61" s="174"/>
      <c r="H61" s="174"/>
      <c r="I61" s="174"/>
      <c r="J61" s="174"/>
      <c r="K61" s="174"/>
      <c r="L61" s="174"/>
      <c r="M61" s="174"/>
    </row>
    <row r="62" ht="15.75" customHeight="1">
      <c r="A62" s="166" t="s">
        <v>46</v>
      </c>
      <c r="B62" s="167" t="s">
        <v>33</v>
      </c>
      <c r="C62" s="172"/>
      <c r="D62" s="173"/>
      <c r="E62" s="174"/>
      <c r="F62" s="174"/>
      <c r="G62" s="174"/>
      <c r="H62" s="174"/>
      <c r="I62" s="174"/>
      <c r="J62" s="174"/>
      <c r="K62" s="174"/>
      <c r="L62" s="174"/>
      <c r="M62" s="174"/>
    </row>
    <row r="63" ht="15.75" customHeight="1">
      <c r="A63" s="166" t="s">
        <v>112</v>
      </c>
      <c r="B63" s="167" t="s">
        <v>33</v>
      </c>
      <c r="C63" s="172"/>
      <c r="D63" s="173"/>
      <c r="E63" s="174"/>
      <c r="F63" s="174"/>
      <c r="G63" s="174"/>
      <c r="H63" s="174"/>
      <c r="I63" s="174"/>
      <c r="J63" s="174"/>
      <c r="K63" s="174"/>
      <c r="L63" s="174"/>
      <c r="M63" s="174"/>
    </row>
    <row r="64" ht="21.75" customHeight="1">
      <c r="A64" s="166" t="s">
        <v>141</v>
      </c>
      <c r="B64" s="167" t="s">
        <v>33</v>
      </c>
      <c r="C64" s="172"/>
      <c r="D64" s="173"/>
      <c r="E64" s="174"/>
      <c r="F64" s="174"/>
      <c r="G64" s="174"/>
      <c r="H64" s="174"/>
      <c r="I64" s="174"/>
      <c r="J64" s="174"/>
      <c r="K64" s="174"/>
      <c r="L64" s="174"/>
      <c r="M64" s="174"/>
    </row>
    <row r="65" ht="15.75" customHeight="1">
      <c r="A65" s="166" t="s">
        <v>142</v>
      </c>
      <c r="B65" s="167" t="s">
        <v>33</v>
      </c>
      <c r="C65" s="172"/>
      <c r="D65" s="173"/>
      <c r="E65" s="174"/>
      <c r="F65" s="174"/>
      <c r="G65" s="174"/>
      <c r="H65" s="174"/>
      <c r="I65" s="174"/>
      <c r="J65" s="174"/>
      <c r="K65" s="174"/>
      <c r="L65" s="174"/>
      <c r="M65" s="174"/>
    </row>
    <row r="66" ht="15.75" customHeight="1">
      <c r="A66" s="166" t="s">
        <v>143</v>
      </c>
      <c r="B66" s="167" t="s">
        <v>33</v>
      </c>
      <c r="C66" s="172"/>
      <c r="D66" s="173"/>
      <c r="E66" s="174"/>
      <c r="F66" s="174"/>
      <c r="G66" s="174"/>
      <c r="H66" s="174"/>
      <c r="I66" s="174"/>
      <c r="J66" s="174"/>
      <c r="K66" s="174"/>
      <c r="L66" s="174"/>
      <c r="M66" s="174"/>
    </row>
    <row r="67" ht="15.75" customHeight="1">
      <c r="A67" s="166" t="s">
        <v>144</v>
      </c>
      <c r="B67" s="167" t="s">
        <v>33</v>
      </c>
      <c r="C67" s="172"/>
      <c r="D67" s="173"/>
      <c r="E67" s="174"/>
      <c r="F67" s="174"/>
      <c r="G67" s="174"/>
      <c r="H67" s="174"/>
      <c r="I67" s="174"/>
      <c r="J67" s="174"/>
      <c r="K67" s="174"/>
      <c r="L67" s="174"/>
      <c r="M67" s="174"/>
    </row>
    <row r="68" ht="15.75" customHeight="1">
      <c r="A68" s="166" t="s">
        <v>145</v>
      </c>
      <c r="B68" s="167" t="s">
        <v>33</v>
      </c>
      <c r="C68" s="172"/>
      <c r="D68" s="173"/>
      <c r="E68" s="174"/>
      <c r="F68" s="174"/>
      <c r="G68" s="174"/>
      <c r="H68" s="174"/>
      <c r="I68" s="174"/>
      <c r="J68" s="174"/>
      <c r="K68" s="174"/>
      <c r="L68" s="174"/>
      <c r="M68" s="174"/>
    </row>
    <row r="69" ht="15.75" customHeight="1">
      <c r="A69" s="166" t="s">
        <v>146</v>
      </c>
      <c r="B69" s="167" t="s">
        <v>33</v>
      </c>
      <c r="C69" s="172"/>
      <c r="D69" s="173"/>
      <c r="E69" s="174"/>
      <c r="F69" s="174"/>
      <c r="G69" s="174"/>
      <c r="H69" s="174"/>
      <c r="I69" s="174"/>
      <c r="J69" s="174"/>
      <c r="K69" s="174"/>
      <c r="L69" s="174"/>
      <c r="M69" s="174"/>
    </row>
    <row r="70" ht="15.75" customHeight="1">
      <c r="A70" s="166" t="s">
        <v>147</v>
      </c>
      <c r="B70" s="167" t="s">
        <v>33</v>
      </c>
      <c r="C70" s="172"/>
      <c r="D70" s="173"/>
      <c r="E70" s="174"/>
      <c r="F70" s="174"/>
      <c r="G70" s="174"/>
      <c r="H70" s="174"/>
      <c r="I70" s="174"/>
      <c r="J70" s="174"/>
      <c r="K70" s="174"/>
      <c r="L70" s="174"/>
      <c r="M70" s="174"/>
    </row>
    <row r="71" ht="20.25" customHeight="1">
      <c r="A71" s="176" t="s">
        <v>148</v>
      </c>
      <c r="B71" s="167" t="s">
        <v>33</v>
      </c>
      <c r="C71" s="172"/>
      <c r="D71" s="173"/>
      <c r="E71" s="174"/>
      <c r="F71" s="174"/>
      <c r="G71" s="175">
        <v>2.0</v>
      </c>
      <c r="H71" s="175">
        <v>2000.0</v>
      </c>
      <c r="I71" s="175">
        <v>2.0</v>
      </c>
      <c r="J71" s="175">
        <v>2000.0</v>
      </c>
      <c r="K71" s="157">
        <f t="shared" ref="K71:L71" si="15">SUM(G71,I71)</f>
        <v>4</v>
      </c>
      <c r="L71" s="158">
        <f t="shared" si="15"/>
        <v>4000</v>
      </c>
      <c r="M71" s="175" t="s">
        <v>149</v>
      </c>
    </row>
    <row r="72" ht="15.75" customHeight="1">
      <c r="A72" s="166" t="s">
        <v>150</v>
      </c>
      <c r="B72" s="167" t="s">
        <v>33</v>
      </c>
      <c r="C72" s="172"/>
      <c r="D72" s="173"/>
      <c r="E72" s="174"/>
      <c r="F72" s="174"/>
      <c r="G72" s="174"/>
      <c r="H72" s="174"/>
      <c r="I72" s="174"/>
      <c r="J72" s="174"/>
      <c r="K72" s="174"/>
      <c r="L72" s="174"/>
      <c r="M72" s="174"/>
    </row>
    <row r="73" ht="15.75" customHeight="1">
      <c r="A73" s="166" t="s">
        <v>151</v>
      </c>
      <c r="B73" s="167" t="s">
        <v>33</v>
      </c>
      <c r="C73" s="172"/>
      <c r="D73" s="173"/>
      <c r="E73" s="174"/>
      <c r="F73" s="174"/>
      <c r="G73" s="174"/>
      <c r="H73" s="174"/>
      <c r="I73" s="174"/>
      <c r="J73" s="174"/>
      <c r="K73" s="174"/>
      <c r="L73" s="174"/>
      <c r="M73" s="174"/>
    </row>
    <row r="74" ht="15.75" customHeight="1">
      <c r="A74" s="166" t="s">
        <v>152</v>
      </c>
      <c r="B74" s="167" t="s">
        <v>33</v>
      </c>
      <c r="C74" s="172"/>
      <c r="D74" s="173"/>
      <c r="E74" s="174"/>
      <c r="F74" s="174"/>
      <c r="G74" s="174"/>
      <c r="H74" s="174"/>
      <c r="I74" s="174"/>
      <c r="J74" s="174"/>
      <c r="K74" s="174"/>
      <c r="L74" s="174"/>
      <c r="M74" s="174"/>
    </row>
    <row r="75" ht="15.75" customHeight="1">
      <c r="A75" s="166" t="s">
        <v>153</v>
      </c>
      <c r="B75" s="167" t="s">
        <v>33</v>
      </c>
      <c r="C75" s="172"/>
      <c r="D75" s="173"/>
      <c r="E75" s="174"/>
      <c r="F75" s="174"/>
      <c r="G75" s="174"/>
      <c r="H75" s="174"/>
      <c r="I75" s="174"/>
      <c r="J75" s="174"/>
      <c r="K75" s="174"/>
      <c r="L75" s="174"/>
      <c r="M75" s="174"/>
    </row>
    <row r="76" ht="15.75" customHeight="1">
      <c r="A76" s="166" t="s">
        <v>154</v>
      </c>
      <c r="B76" s="167" t="s">
        <v>33</v>
      </c>
      <c r="C76" s="172"/>
      <c r="D76" s="173"/>
      <c r="E76" s="174"/>
      <c r="F76" s="174"/>
      <c r="G76" s="174"/>
      <c r="H76" s="174"/>
      <c r="I76" s="174"/>
      <c r="J76" s="174"/>
      <c r="K76" s="174"/>
      <c r="L76" s="174"/>
      <c r="M76" s="174"/>
    </row>
    <row r="77" ht="15.75" customHeight="1">
      <c r="A77" s="177"/>
      <c r="B77" s="178"/>
      <c r="C77" s="179"/>
      <c r="D77" s="180"/>
      <c r="E77" s="181"/>
      <c r="F77" s="181"/>
      <c r="G77" s="181"/>
      <c r="H77" s="181"/>
      <c r="I77" s="181"/>
      <c r="J77" s="181"/>
      <c r="K77" s="181"/>
      <c r="L77" s="181"/>
      <c r="M77" s="181"/>
    </row>
    <row r="78" ht="19.5" customHeight="1">
      <c r="A78" s="177" t="s">
        <v>155</v>
      </c>
      <c r="B78" s="178"/>
      <c r="C78" s="179"/>
      <c r="D78" s="180"/>
      <c r="E78" s="181"/>
      <c r="F78" s="181"/>
      <c r="G78" s="181"/>
      <c r="H78" s="181"/>
      <c r="I78" s="181"/>
      <c r="J78" s="181"/>
      <c r="K78" s="181"/>
      <c r="L78" s="181"/>
      <c r="M78" s="181"/>
    </row>
    <row r="79" ht="20.25" customHeight="1">
      <c r="A79" s="166" t="s">
        <v>156</v>
      </c>
      <c r="B79" s="167" t="s">
        <v>157</v>
      </c>
      <c r="C79" s="172"/>
      <c r="D79" s="173"/>
      <c r="E79" s="174"/>
      <c r="F79" s="174"/>
      <c r="G79" s="174"/>
      <c r="H79" s="174"/>
      <c r="I79" s="174"/>
      <c r="J79" s="174"/>
      <c r="K79" s="174"/>
      <c r="L79" s="174"/>
      <c r="M79" s="174"/>
    </row>
    <row r="80" ht="18.75" customHeight="1">
      <c r="A80" s="166" t="s">
        <v>158</v>
      </c>
      <c r="B80" s="167" t="s">
        <v>157</v>
      </c>
      <c r="C80" s="172"/>
      <c r="D80" s="173"/>
      <c r="E80" s="174"/>
      <c r="F80" s="174"/>
      <c r="G80" s="174"/>
      <c r="H80" s="174"/>
      <c r="I80" s="174"/>
      <c r="J80" s="174"/>
      <c r="K80" s="174"/>
      <c r="L80" s="174"/>
      <c r="M80" s="174"/>
    </row>
    <row r="81" ht="22.5" customHeight="1">
      <c r="A81" s="166" t="s">
        <v>159</v>
      </c>
      <c r="B81" s="167" t="s">
        <v>157</v>
      </c>
      <c r="C81" s="172"/>
      <c r="D81" s="173"/>
      <c r="E81" s="174"/>
      <c r="F81" s="174"/>
      <c r="G81" s="174"/>
      <c r="H81" s="174"/>
      <c r="I81" s="174"/>
      <c r="J81" s="174"/>
      <c r="K81" s="174"/>
      <c r="L81" s="174"/>
      <c r="M81" s="174"/>
    </row>
    <row r="82" ht="15.75" customHeight="1">
      <c r="A82" s="182"/>
      <c r="B82" s="183"/>
      <c r="C82" s="172"/>
      <c r="D82" s="173"/>
      <c r="E82" s="173"/>
      <c r="F82" s="173"/>
      <c r="G82" s="173"/>
      <c r="H82" s="173"/>
      <c r="I82" s="173"/>
      <c r="J82" s="173"/>
      <c r="K82" s="173"/>
      <c r="L82" s="173"/>
      <c r="M82" s="173"/>
    </row>
    <row r="83" ht="21.75" customHeight="1">
      <c r="A83" s="184" t="s">
        <v>69</v>
      </c>
      <c r="B83" s="147"/>
      <c r="C83" s="144"/>
      <c r="D83" s="145">
        <f>SUM(D11,D47,D78)</f>
        <v>16831.4395</v>
      </c>
      <c r="E83" s="146"/>
      <c r="F83" s="146">
        <f>SUM(F11,F47,F42,F78)</f>
        <v>69465</v>
      </c>
      <c r="G83" s="146"/>
      <c r="H83" s="146">
        <f>SUM(H11,H47,H42,H78)</f>
        <v>5581</v>
      </c>
      <c r="I83" s="146"/>
      <c r="J83" s="146">
        <f>SUM(J11,J47,J42,J78)</f>
        <v>156400</v>
      </c>
      <c r="K83" s="146"/>
      <c r="L83" s="146">
        <f>SUM(L11,L47,L42,L78)</f>
        <v>161981</v>
      </c>
      <c r="M83" s="146"/>
    </row>
    <row r="84" ht="16.5" hidden="1" customHeight="1">
      <c r="A84" s="185"/>
      <c r="B84" s="186"/>
      <c r="C84" s="128"/>
      <c r="D84" s="129"/>
      <c r="E84" s="126"/>
      <c r="F84" s="126"/>
      <c r="G84" s="126"/>
      <c r="H84" s="126"/>
      <c r="I84" s="126"/>
      <c r="J84" s="126"/>
      <c r="K84" s="126"/>
      <c r="L84" s="126"/>
      <c r="M84" s="126"/>
    </row>
    <row r="85" ht="15.75" hidden="1" customHeight="1">
      <c r="A85" s="187" t="s">
        <v>70</v>
      </c>
      <c r="B85" s="118"/>
      <c r="C85" s="188"/>
      <c r="D85" s="189"/>
      <c r="E85" s="118"/>
      <c r="F85" s="118"/>
      <c r="G85" s="118"/>
      <c r="H85" s="118"/>
      <c r="I85" s="118"/>
      <c r="J85" s="118"/>
      <c r="K85" s="118"/>
      <c r="L85" s="118"/>
      <c r="M85" s="118"/>
    </row>
    <row r="86" ht="24.0" hidden="1" customHeight="1">
      <c r="A86" s="190"/>
      <c r="B86" s="118"/>
      <c r="C86" s="188"/>
      <c r="D86" s="189"/>
      <c r="E86" s="118"/>
      <c r="F86" s="118"/>
      <c r="G86" s="118"/>
      <c r="H86" s="118"/>
      <c r="I86" s="118"/>
      <c r="J86" s="118"/>
      <c r="K86" s="118"/>
      <c r="L86" s="118"/>
      <c r="M86" s="118"/>
    </row>
    <row r="87" ht="15.75" hidden="1" customHeight="1">
      <c r="A87" s="190"/>
      <c r="B87" s="118"/>
      <c r="C87" s="188"/>
      <c r="D87" s="189"/>
      <c r="E87" s="118"/>
      <c r="F87" s="118"/>
      <c r="G87" s="118"/>
      <c r="H87" s="118"/>
      <c r="I87" s="118"/>
      <c r="J87" s="118"/>
      <c r="K87" s="118"/>
      <c r="L87" s="118"/>
      <c r="M87" s="118"/>
    </row>
    <row r="88" ht="15.75" hidden="1" customHeight="1">
      <c r="A88" s="190"/>
      <c r="B88" s="118"/>
      <c r="C88" s="188"/>
      <c r="D88" s="189"/>
      <c r="E88" s="118"/>
      <c r="F88" s="118"/>
      <c r="G88" s="118"/>
      <c r="H88" s="118"/>
      <c r="I88" s="118"/>
      <c r="J88" s="118"/>
      <c r="K88" s="118"/>
      <c r="L88" s="118"/>
      <c r="M88" s="118"/>
    </row>
    <row r="89" ht="15.75" hidden="1" customHeight="1">
      <c r="A89" s="190"/>
      <c r="B89" s="118"/>
      <c r="C89" s="188"/>
      <c r="D89" s="189"/>
      <c r="E89" s="118"/>
      <c r="F89" s="118"/>
      <c r="G89" s="118"/>
      <c r="H89" s="118"/>
      <c r="I89" s="118"/>
      <c r="J89" s="118"/>
      <c r="K89" s="118"/>
      <c r="L89" s="118"/>
      <c r="M89" s="118"/>
    </row>
    <row r="90" ht="21.75" hidden="1" customHeight="1">
      <c r="A90" s="191" t="s">
        <v>74</v>
      </c>
      <c r="B90" s="118"/>
      <c r="C90" s="188"/>
      <c r="D90" s="189"/>
      <c r="E90" s="118"/>
      <c r="F90" s="118"/>
      <c r="G90" s="118"/>
      <c r="H90" s="118"/>
      <c r="I90" s="118"/>
      <c r="J90" s="118"/>
      <c r="K90" s="118"/>
      <c r="L90" s="118"/>
      <c r="M90" s="118"/>
    </row>
    <row r="91" ht="15.75" hidden="1" customHeight="1">
      <c r="A91" s="187" t="s">
        <v>78</v>
      </c>
      <c r="B91" s="118"/>
      <c r="C91" s="188"/>
      <c r="D91" s="189"/>
      <c r="E91" s="118"/>
      <c r="F91" s="118"/>
      <c r="G91" s="118"/>
      <c r="H91" s="118"/>
      <c r="I91" s="118"/>
      <c r="J91" s="118"/>
      <c r="K91" s="118"/>
      <c r="L91" s="118"/>
      <c r="M91" s="118"/>
    </row>
    <row r="92" ht="15.75" hidden="1" customHeight="1">
      <c r="A92" s="192" t="s">
        <v>82</v>
      </c>
      <c r="B92" s="193"/>
      <c r="C92" s="188"/>
      <c r="D92" s="189"/>
      <c r="E92" s="118"/>
      <c r="F92" s="118"/>
      <c r="G92" s="118"/>
      <c r="H92" s="118"/>
      <c r="I92" s="118"/>
      <c r="J92" s="118"/>
      <c r="K92" s="118"/>
      <c r="L92" s="118"/>
      <c r="M92" s="118"/>
    </row>
    <row r="93" ht="16.5" customHeight="1">
      <c r="A93" s="194"/>
      <c r="B93" s="194"/>
      <c r="C93" s="128"/>
      <c r="D93" s="129"/>
      <c r="E93" s="126"/>
      <c r="F93" s="126"/>
      <c r="G93" s="126"/>
      <c r="H93" s="126"/>
      <c r="I93" s="126"/>
      <c r="J93" s="126"/>
      <c r="K93" s="126"/>
      <c r="L93" s="126"/>
      <c r="M93" s="126"/>
    </row>
    <row r="94" ht="16.5" customHeight="1">
      <c r="A94" s="195" t="s">
        <v>70</v>
      </c>
      <c r="B94" s="196"/>
      <c r="C94" s="120"/>
      <c r="D94" s="120"/>
      <c r="E94" s="197" t="s">
        <v>83</v>
      </c>
      <c r="F94" s="120"/>
      <c r="G94" s="120"/>
      <c r="H94" s="120"/>
      <c r="I94" s="120"/>
      <c r="J94" s="116"/>
      <c r="K94" s="116"/>
      <c r="L94" s="198" t="s">
        <v>73</v>
      </c>
      <c r="M94" s="116"/>
    </row>
    <row r="95" ht="16.5" customHeight="1">
      <c r="A95" s="199"/>
      <c r="B95" s="196"/>
      <c r="C95" s="120"/>
      <c r="D95" s="120"/>
      <c r="E95" s="200"/>
      <c r="F95" s="120"/>
      <c r="G95" s="120"/>
      <c r="H95" s="120"/>
      <c r="I95" s="120"/>
      <c r="J95" s="116"/>
      <c r="K95" s="116"/>
      <c r="L95" s="201"/>
      <c r="M95" s="116"/>
    </row>
    <row r="96" ht="16.5" customHeight="1">
      <c r="A96" s="199"/>
      <c r="B96" s="196"/>
      <c r="C96" s="120"/>
      <c r="D96" s="120"/>
      <c r="E96" s="200"/>
      <c r="F96" s="120"/>
      <c r="G96" s="120"/>
      <c r="H96" s="120"/>
      <c r="I96" s="120"/>
      <c r="J96" s="116"/>
      <c r="K96" s="116"/>
      <c r="L96" s="201"/>
      <c r="M96" s="116"/>
    </row>
    <row r="97" ht="16.5" customHeight="1">
      <c r="A97" s="120"/>
      <c r="B97" s="196"/>
      <c r="C97" s="120"/>
      <c r="D97" s="120"/>
      <c r="E97" s="200"/>
      <c r="F97" s="196"/>
      <c r="G97" s="196"/>
      <c r="H97" s="196"/>
      <c r="I97" s="120"/>
      <c r="J97" s="196"/>
      <c r="K97" s="196"/>
      <c r="L97" s="201"/>
      <c r="M97" s="196"/>
    </row>
    <row r="98" ht="16.5" customHeight="1">
      <c r="A98" s="199"/>
      <c r="B98" s="196"/>
      <c r="C98" s="120"/>
      <c r="D98" s="120"/>
      <c r="E98" s="200"/>
      <c r="F98" s="196"/>
      <c r="G98" s="196"/>
      <c r="H98" s="196"/>
      <c r="I98" s="120"/>
      <c r="J98" s="196"/>
      <c r="K98" s="196"/>
      <c r="L98" s="201"/>
      <c r="M98" s="196"/>
    </row>
    <row r="99" ht="20.25" customHeight="1">
      <c r="A99" s="202" t="s">
        <v>75</v>
      </c>
      <c r="B99" s="196"/>
      <c r="C99" s="120"/>
      <c r="D99" s="120"/>
      <c r="E99" s="203" t="s">
        <v>76</v>
      </c>
      <c r="F99" s="196"/>
      <c r="G99" s="196"/>
      <c r="H99" s="196"/>
      <c r="I99" s="120"/>
      <c r="J99" s="196"/>
      <c r="K99" s="196"/>
      <c r="L99" s="204" t="s">
        <v>77</v>
      </c>
      <c r="M99" s="196"/>
    </row>
    <row r="100" ht="16.5" customHeight="1">
      <c r="A100" s="205" t="s">
        <v>79</v>
      </c>
      <c r="B100" s="196"/>
      <c r="C100" s="120"/>
      <c r="D100" s="120"/>
      <c r="E100" s="197" t="s">
        <v>80</v>
      </c>
      <c r="F100" s="196"/>
      <c r="G100" s="196"/>
      <c r="H100" s="196"/>
      <c r="I100" s="120"/>
      <c r="J100" s="196"/>
      <c r="K100" s="196"/>
      <c r="L100" s="206" t="s">
        <v>81</v>
      </c>
      <c r="M100" s="196"/>
    </row>
    <row r="101" ht="16.5" customHeight="1">
      <c r="A101" s="207"/>
      <c r="B101" s="207"/>
      <c r="C101" s="196"/>
      <c r="D101" s="207"/>
      <c r="E101" s="196"/>
      <c r="F101" s="196"/>
      <c r="G101" s="196"/>
      <c r="H101" s="196"/>
      <c r="I101" s="196"/>
      <c r="J101" s="196"/>
      <c r="K101" s="196"/>
      <c r="L101" s="196"/>
      <c r="M101" s="196"/>
    </row>
    <row r="102" ht="16.5" customHeight="1">
      <c r="A102" s="126"/>
      <c r="B102" s="208"/>
      <c r="C102" s="128"/>
      <c r="D102" s="129"/>
      <c r="E102" s="126"/>
      <c r="F102" s="126"/>
      <c r="G102" s="126"/>
      <c r="H102" s="126"/>
      <c r="I102" s="126"/>
      <c r="J102" s="126"/>
      <c r="K102" s="126"/>
      <c r="L102" s="126"/>
      <c r="M102" s="126"/>
    </row>
    <row r="103" ht="16.5" customHeight="1">
      <c r="A103" s="126"/>
      <c r="B103" s="208"/>
      <c r="C103" s="128"/>
      <c r="D103" s="129"/>
      <c r="E103" s="126"/>
      <c r="F103" s="126"/>
      <c r="G103" s="126"/>
      <c r="H103" s="126"/>
      <c r="I103" s="126"/>
      <c r="J103" s="126"/>
      <c r="K103" s="126"/>
      <c r="L103" s="126"/>
      <c r="M103" s="126"/>
    </row>
    <row r="104" ht="16.5" customHeight="1">
      <c r="A104" s="126"/>
      <c r="B104" s="208"/>
      <c r="C104" s="128"/>
      <c r="D104" s="129"/>
      <c r="E104" s="126"/>
      <c r="F104" s="126"/>
      <c r="G104" s="126"/>
      <c r="H104" s="126"/>
      <c r="I104" s="126"/>
      <c r="J104" s="126"/>
      <c r="K104" s="126"/>
      <c r="L104" s="126"/>
      <c r="M104" s="126"/>
    </row>
    <row r="105" ht="16.5" customHeight="1">
      <c r="A105" s="126"/>
      <c r="B105" s="208"/>
      <c r="C105" s="128"/>
      <c r="D105" s="129"/>
      <c r="E105" s="126"/>
      <c r="F105" s="126"/>
      <c r="G105" s="126"/>
      <c r="H105" s="126"/>
      <c r="I105" s="126"/>
      <c r="J105" s="126"/>
      <c r="K105" s="126"/>
      <c r="L105" s="126"/>
      <c r="M105" s="126"/>
    </row>
    <row r="106" ht="16.5" customHeight="1">
      <c r="A106" s="126"/>
      <c r="B106" s="208"/>
      <c r="C106" s="128"/>
      <c r="D106" s="129"/>
      <c r="E106" s="126"/>
      <c r="F106" s="126"/>
      <c r="G106" s="126"/>
      <c r="H106" s="126"/>
      <c r="I106" s="126"/>
      <c r="J106" s="126"/>
      <c r="K106" s="126"/>
      <c r="L106" s="126"/>
      <c r="M106" s="126"/>
    </row>
    <row r="107" ht="16.5" customHeight="1">
      <c r="A107" s="126"/>
      <c r="B107" s="208"/>
      <c r="C107" s="128"/>
      <c r="D107" s="129"/>
      <c r="E107" s="126"/>
      <c r="F107" s="126"/>
      <c r="G107" s="126"/>
      <c r="H107" s="126"/>
      <c r="I107" s="126"/>
      <c r="J107" s="126"/>
      <c r="K107" s="126"/>
      <c r="L107" s="126"/>
      <c r="M107" s="126"/>
    </row>
    <row r="108" ht="16.5" customHeight="1">
      <c r="A108" s="126"/>
      <c r="B108" s="208"/>
      <c r="C108" s="128"/>
      <c r="D108" s="129"/>
      <c r="E108" s="126"/>
      <c r="F108" s="126"/>
      <c r="G108" s="126"/>
      <c r="H108" s="126"/>
      <c r="I108" s="126"/>
      <c r="J108" s="126"/>
      <c r="K108" s="126"/>
      <c r="L108" s="126"/>
      <c r="M108" s="126"/>
    </row>
    <row r="109" ht="16.5" customHeight="1">
      <c r="A109" s="126"/>
      <c r="B109" s="208"/>
      <c r="C109" s="128"/>
      <c r="D109" s="129"/>
      <c r="E109" s="126"/>
      <c r="F109" s="126"/>
      <c r="G109" s="126"/>
      <c r="H109" s="126"/>
      <c r="I109" s="126"/>
      <c r="J109" s="126"/>
      <c r="K109" s="126"/>
      <c r="L109" s="126"/>
      <c r="M109" s="126"/>
    </row>
    <row r="110" ht="16.5" customHeight="1">
      <c r="A110" s="126"/>
      <c r="B110" s="208"/>
      <c r="C110" s="128"/>
      <c r="D110" s="129"/>
      <c r="E110" s="126"/>
      <c r="F110" s="126"/>
      <c r="G110" s="126"/>
      <c r="H110" s="126"/>
      <c r="I110" s="126"/>
      <c r="J110" s="126"/>
      <c r="K110" s="126"/>
      <c r="L110" s="126"/>
      <c r="M110" s="126"/>
    </row>
    <row r="111" ht="16.5" customHeight="1">
      <c r="A111" s="126"/>
      <c r="B111" s="208"/>
      <c r="C111" s="128"/>
      <c r="D111" s="129"/>
      <c r="E111" s="126"/>
      <c r="F111" s="126"/>
      <c r="G111" s="126"/>
      <c r="H111" s="126"/>
      <c r="I111" s="126"/>
      <c r="J111" s="126"/>
      <c r="K111" s="126"/>
      <c r="L111" s="126"/>
      <c r="M111" s="126"/>
    </row>
    <row r="112" ht="16.5" customHeight="1">
      <c r="A112" s="126"/>
      <c r="B112" s="208"/>
      <c r="C112" s="128"/>
      <c r="D112" s="129"/>
      <c r="E112" s="126"/>
      <c r="F112" s="126"/>
      <c r="G112" s="126"/>
      <c r="H112" s="126"/>
      <c r="I112" s="126"/>
      <c r="J112" s="126"/>
      <c r="K112" s="126"/>
      <c r="L112" s="126"/>
      <c r="M112" s="126"/>
    </row>
    <row r="113" ht="16.5" customHeight="1">
      <c r="A113" s="126"/>
      <c r="B113" s="208"/>
      <c r="C113" s="128"/>
      <c r="D113" s="129"/>
      <c r="E113" s="126"/>
      <c r="F113" s="126"/>
      <c r="G113" s="126"/>
      <c r="H113" s="126"/>
      <c r="I113" s="126"/>
      <c r="J113" s="126"/>
      <c r="K113" s="126"/>
      <c r="L113" s="126"/>
      <c r="M113" s="126"/>
    </row>
    <row r="114" ht="16.5" customHeight="1">
      <c r="A114" s="126"/>
      <c r="B114" s="208"/>
      <c r="C114" s="128"/>
      <c r="D114" s="129"/>
      <c r="E114" s="126"/>
      <c r="F114" s="126"/>
      <c r="G114" s="126"/>
      <c r="H114" s="126"/>
      <c r="I114" s="126"/>
      <c r="J114" s="126"/>
      <c r="K114" s="126"/>
      <c r="L114" s="126"/>
      <c r="M114" s="126"/>
    </row>
    <row r="115" ht="16.5" customHeight="1">
      <c r="A115" s="126"/>
      <c r="B115" s="208"/>
      <c r="C115" s="128"/>
      <c r="D115" s="129"/>
      <c r="E115" s="126"/>
      <c r="F115" s="126"/>
      <c r="G115" s="126"/>
      <c r="H115" s="126"/>
      <c r="I115" s="126"/>
      <c r="J115" s="126"/>
      <c r="K115" s="126"/>
      <c r="L115" s="126"/>
      <c r="M115" s="126"/>
    </row>
    <row r="116" ht="16.5" customHeight="1">
      <c r="A116" s="126"/>
      <c r="B116" s="208"/>
      <c r="C116" s="128"/>
      <c r="D116" s="129"/>
      <c r="E116" s="126"/>
      <c r="F116" s="126"/>
      <c r="G116" s="126"/>
      <c r="H116" s="126"/>
      <c r="I116" s="126"/>
      <c r="J116" s="126"/>
      <c r="K116" s="126"/>
      <c r="L116" s="126"/>
      <c r="M116" s="126"/>
    </row>
    <row r="117" ht="16.5" customHeight="1">
      <c r="A117" s="126"/>
      <c r="B117" s="208"/>
      <c r="C117" s="128"/>
      <c r="D117" s="129"/>
      <c r="E117" s="126"/>
      <c r="F117" s="126"/>
      <c r="G117" s="126"/>
      <c r="H117" s="126"/>
      <c r="I117" s="126"/>
      <c r="J117" s="126"/>
      <c r="K117" s="126"/>
      <c r="L117" s="126"/>
      <c r="M117" s="126"/>
    </row>
    <row r="118" ht="16.5" customHeight="1">
      <c r="A118" s="126"/>
      <c r="B118" s="208"/>
      <c r="C118" s="128"/>
      <c r="D118" s="129"/>
      <c r="E118" s="126"/>
      <c r="F118" s="126"/>
      <c r="G118" s="126"/>
      <c r="H118" s="126"/>
      <c r="I118" s="126"/>
      <c r="J118" s="126"/>
      <c r="K118" s="126"/>
      <c r="L118" s="126"/>
      <c r="M118" s="126"/>
    </row>
    <row r="119" ht="16.5" customHeight="1">
      <c r="A119" s="126"/>
      <c r="B119" s="208"/>
      <c r="C119" s="128"/>
      <c r="D119" s="129"/>
      <c r="E119" s="126"/>
      <c r="F119" s="126"/>
      <c r="G119" s="126"/>
      <c r="H119" s="126"/>
      <c r="I119" s="126"/>
      <c r="J119" s="126"/>
      <c r="K119" s="126"/>
      <c r="L119" s="126"/>
      <c r="M119" s="126"/>
    </row>
    <row r="120" ht="16.5" customHeight="1">
      <c r="A120" s="126"/>
      <c r="B120" s="208"/>
      <c r="C120" s="128"/>
      <c r="D120" s="129"/>
      <c r="E120" s="126"/>
      <c r="F120" s="126"/>
      <c r="G120" s="126"/>
      <c r="H120" s="126"/>
      <c r="I120" s="126"/>
      <c r="J120" s="126"/>
      <c r="K120" s="126"/>
      <c r="L120" s="126"/>
      <c r="M120" s="126"/>
    </row>
    <row r="121" ht="16.5" customHeight="1">
      <c r="A121" s="126"/>
      <c r="B121" s="208"/>
      <c r="C121" s="128"/>
      <c r="D121" s="129"/>
      <c r="E121" s="126"/>
      <c r="F121" s="126"/>
      <c r="G121" s="126"/>
      <c r="H121" s="126"/>
      <c r="I121" s="126"/>
      <c r="J121" s="126"/>
      <c r="K121" s="126"/>
      <c r="L121" s="126"/>
      <c r="M121" s="126"/>
    </row>
    <row r="122" ht="16.5" customHeight="1">
      <c r="A122" s="126"/>
      <c r="B122" s="208"/>
      <c r="C122" s="128"/>
      <c r="D122" s="129"/>
      <c r="E122" s="126"/>
      <c r="F122" s="126"/>
      <c r="G122" s="126"/>
      <c r="H122" s="126"/>
      <c r="I122" s="126"/>
      <c r="J122" s="126"/>
      <c r="K122" s="126"/>
      <c r="L122" s="126"/>
      <c r="M122" s="126"/>
    </row>
    <row r="123" ht="16.5" customHeight="1">
      <c r="A123" s="126"/>
      <c r="B123" s="208"/>
      <c r="C123" s="128"/>
      <c r="D123" s="129"/>
      <c r="E123" s="126"/>
      <c r="F123" s="126"/>
      <c r="G123" s="126"/>
      <c r="H123" s="126"/>
      <c r="I123" s="126"/>
      <c r="J123" s="126"/>
      <c r="K123" s="126"/>
      <c r="L123" s="126"/>
      <c r="M123" s="126"/>
    </row>
    <row r="124" ht="16.5" customHeight="1">
      <c r="A124" s="126"/>
      <c r="B124" s="208"/>
      <c r="C124" s="128"/>
      <c r="D124" s="129"/>
      <c r="E124" s="126"/>
      <c r="F124" s="126"/>
      <c r="G124" s="126"/>
      <c r="H124" s="126"/>
      <c r="I124" s="126"/>
      <c r="J124" s="126"/>
      <c r="K124" s="126"/>
      <c r="L124" s="126"/>
      <c r="M124" s="126"/>
    </row>
    <row r="125" ht="16.5" customHeight="1">
      <c r="A125" s="126"/>
      <c r="B125" s="208"/>
      <c r="C125" s="128"/>
      <c r="D125" s="129"/>
      <c r="E125" s="126"/>
      <c r="F125" s="126"/>
      <c r="G125" s="126"/>
      <c r="H125" s="126"/>
      <c r="I125" s="126"/>
      <c r="J125" s="126"/>
      <c r="K125" s="126"/>
      <c r="L125" s="126"/>
      <c r="M125" s="126"/>
    </row>
    <row r="126" ht="16.5" customHeight="1">
      <c r="A126" s="126"/>
      <c r="B126" s="208"/>
      <c r="C126" s="128"/>
      <c r="D126" s="129"/>
      <c r="E126" s="126"/>
      <c r="F126" s="126"/>
      <c r="G126" s="126"/>
      <c r="H126" s="126"/>
      <c r="I126" s="126"/>
      <c r="J126" s="126"/>
      <c r="K126" s="126"/>
      <c r="L126" s="126"/>
      <c r="M126" s="126"/>
    </row>
    <row r="127" ht="16.5" customHeight="1">
      <c r="A127" s="126"/>
      <c r="B127" s="208"/>
      <c r="C127" s="128"/>
      <c r="D127" s="129"/>
      <c r="E127" s="126"/>
      <c r="F127" s="126"/>
      <c r="G127" s="126"/>
      <c r="H127" s="126"/>
      <c r="I127" s="126"/>
      <c r="J127" s="126"/>
      <c r="K127" s="126"/>
      <c r="L127" s="126"/>
      <c r="M127" s="126"/>
    </row>
    <row r="128" ht="16.5" customHeight="1">
      <c r="A128" s="126"/>
      <c r="B128" s="208"/>
      <c r="C128" s="128"/>
      <c r="D128" s="129"/>
      <c r="E128" s="126"/>
      <c r="F128" s="126"/>
      <c r="G128" s="126"/>
      <c r="H128" s="126"/>
      <c r="I128" s="126"/>
      <c r="J128" s="126"/>
      <c r="K128" s="126"/>
      <c r="L128" s="126"/>
      <c r="M128" s="126"/>
    </row>
    <row r="129" ht="16.5" customHeight="1">
      <c r="A129" s="126"/>
      <c r="B129" s="208"/>
      <c r="C129" s="128"/>
      <c r="D129" s="129"/>
      <c r="E129" s="126"/>
      <c r="F129" s="126"/>
      <c r="G129" s="126"/>
      <c r="H129" s="126"/>
      <c r="I129" s="126"/>
      <c r="J129" s="126"/>
      <c r="K129" s="126"/>
      <c r="L129" s="126"/>
      <c r="M129" s="126"/>
    </row>
    <row r="130" ht="16.5" customHeight="1">
      <c r="A130" s="126"/>
      <c r="B130" s="208"/>
      <c r="C130" s="128"/>
      <c r="D130" s="129"/>
      <c r="E130" s="126"/>
      <c r="F130" s="126"/>
      <c r="G130" s="126"/>
      <c r="H130" s="126"/>
      <c r="I130" s="126"/>
      <c r="J130" s="126"/>
      <c r="K130" s="126"/>
      <c r="L130" s="126"/>
      <c r="M130" s="126"/>
    </row>
    <row r="131" ht="16.5" customHeight="1">
      <c r="A131" s="126"/>
      <c r="B131" s="208"/>
      <c r="C131" s="128"/>
      <c r="D131" s="129"/>
      <c r="E131" s="126"/>
      <c r="F131" s="126"/>
      <c r="G131" s="126"/>
      <c r="H131" s="126"/>
      <c r="I131" s="126"/>
      <c r="J131" s="126"/>
      <c r="K131" s="126"/>
      <c r="L131" s="126"/>
      <c r="M131" s="126"/>
    </row>
    <row r="132" ht="16.5" customHeight="1">
      <c r="A132" s="126"/>
      <c r="B132" s="208"/>
      <c r="C132" s="128"/>
      <c r="D132" s="129"/>
      <c r="E132" s="126"/>
      <c r="F132" s="126"/>
      <c r="G132" s="126"/>
      <c r="H132" s="126"/>
      <c r="I132" s="126"/>
      <c r="J132" s="126"/>
      <c r="K132" s="126"/>
      <c r="L132" s="126"/>
      <c r="M132" s="126"/>
    </row>
    <row r="133" ht="16.5" customHeight="1">
      <c r="A133" s="126"/>
      <c r="B133" s="208"/>
      <c r="C133" s="128"/>
      <c r="D133" s="129"/>
      <c r="E133" s="126"/>
      <c r="F133" s="126"/>
      <c r="G133" s="126"/>
      <c r="H133" s="126"/>
      <c r="I133" s="126"/>
      <c r="J133" s="126"/>
      <c r="K133" s="126"/>
      <c r="L133" s="126"/>
      <c r="M133" s="126"/>
    </row>
    <row r="134" ht="16.5" customHeight="1">
      <c r="A134" s="126"/>
      <c r="B134" s="208"/>
      <c r="C134" s="128"/>
      <c r="D134" s="129"/>
      <c r="E134" s="126"/>
      <c r="F134" s="126"/>
      <c r="G134" s="126"/>
      <c r="H134" s="126"/>
      <c r="I134" s="126"/>
      <c r="J134" s="126"/>
      <c r="K134" s="126"/>
      <c r="L134" s="126"/>
      <c r="M134" s="126"/>
    </row>
    <row r="135" ht="16.5" customHeight="1">
      <c r="A135" s="126"/>
      <c r="B135" s="208"/>
      <c r="C135" s="128"/>
      <c r="D135" s="129"/>
      <c r="E135" s="126"/>
      <c r="F135" s="126"/>
      <c r="G135" s="126"/>
      <c r="H135" s="126"/>
      <c r="I135" s="126"/>
      <c r="J135" s="126"/>
      <c r="K135" s="126"/>
      <c r="L135" s="126"/>
      <c r="M135" s="126"/>
    </row>
    <row r="136" ht="16.5" customHeight="1">
      <c r="A136" s="126"/>
      <c r="B136" s="208"/>
      <c r="C136" s="128"/>
      <c r="D136" s="129"/>
      <c r="E136" s="126"/>
      <c r="F136" s="126"/>
      <c r="G136" s="126"/>
      <c r="H136" s="126"/>
      <c r="I136" s="126"/>
      <c r="J136" s="126"/>
      <c r="K136" s="126"/>
      <c r="L136" s="126"/>
      <c r="M136" s="126"/>
    </row>
    <row r="137" ht="16.5" customHeight="1">
      <c r="A137" s="126"/>
      <c r="B137" s="208"/>
      <c r="C137" s="128"/>
      <c r="D137" s="129"/>
      <c r="E137" s="126"/>
      <c r="F137" s="126"/>
      <c r="G137" s="126"/>
      <c r="H137" s="126"/>
      <c r="I137" s="126"/>
      <c r="J137" s="126"/>
      <c r="K137" s="126"/>
      <c r="L137" s="126"/>
      <c r="M137" s="126"/>
    </row>
    <row r="138" ht="16.5" customHeight="1">
      <c r="A138" s="126"/>
      <c r="B138" s="208"/>
      <c r="C138" s="128"/>
      <c r="D138" s="129"/>
      <c r="E138" s="126"/>
      <c r="F138" s="126"/>
      <c r="G138" s="126"/>
      <c r="H138" s="126"/>
      <c r="I138" s="126"/>
      <c r="J138" s="126"/>
      <c r="K138" s="126"/>
      <c r="L138" s="126"/>
      <c r="M138" s="126"/>
    </row>
    <row r="139" ht="16.5" customHeight="1">
      <c r="A139" s="126"/>
      <c r="B139" s="208"/>
      <c r="C139" s="128"/>
      <c r="D139" s="129"/>
      <c r="E139" s="126"/>
      <c r="F139" s="126"/>
      <c r="G139" s="126"/>
      <c r="H139" s="126"/>
      <c r="I139" s="126"/>
      <c r="J139" s="126"/>
      <c r="K139" s="126"/>
      <c r="L139" s="126"/>
      <c r="M139" s="126"/>
    </row>
    <row r="140" ht="16.5" customHeight="1">
      <c r="A140" s="126"/>
      <c r="B140" s="208"/>
      <c r="C140" s="128"/>
      <c r="D140" s="129"/>
      <c r="E140" s="126"/>
      <c r="F140" s="126"/>
      <c r="G140" s="126"/>
      <c r="H140" s="126"/>
      <c r="I140" s="126"/>
      <c r="J140" s="126"/>
      <c r="K140" s="126"/>
      <c r="L140" s="126"/>
      <c r="M140" s="126"/>
    </row>
    <row r="141" ht="16.5" customHeight="1">
      <c r="A141" s="126"/>
      <c r="B141" s="208"/>
      <c r="C141" s="128"/>
      <c r="D141" s="129"/>
      <c r="E141" s="126"/>
      <c r="F141" s="126"/>
      <c r="G141" s="126"/>
      <c r="H141" s="126"/>
      <c r="I141" s="126"/>
      <c r="J141" s="126"/>
      <c r="K141" s="126"/>
      <c r="L141" s="126"/>
      <c r="M141" s="126"/>
    </row>
    <row r="142" ht="16.5" customHeight="1">
      <c r="A142" s="126"/>
      <c r="B142" s="208"/>
      <c r="C142" s="128"/>
      <c r="D142" s="129"/>
      <c r="E142" s="126"/>
      <c r="F142" s="126"/>
      <c r="G142" s="126"/>
      <c r="H142" s="126"/>
      <c r="I142" s="126"/>
      <c r="J142" s="126"/>
      <c r="K142" s="126"/>
      <c r="L142" s="126"/>
      <c r="M142" s="126"/>
    </row>
    <row r="143" ht="16.5" customHeight="1">
      <c r="A143" s="126"/>
      <c r="B143" s="208"/>
      <c r="C143" s="128"/>
      <c r="D143" s="129"/>
      <c r="E143" s="126"/>
      <c r="F143" s="126"/>
      <c r="G143" s="126"/>
      <c r="H143" s="126"/>
      <c r="I143" s="126"/>
      <c r="J143" s="126"/>
      <c r="K143" s="126"/>
      <c r="L143" s="126"/>
      <c r="M143" s="126"/>
    </row>
    <row r="144" ht="16.5" customHeight="1">
      <c r="A144" s="126"/>
      <c r="B144" s="208"/>
      <c r="C144" s="128"/>
      <c r="D144" s="129"/>
      <c r="E144" s="126"/>
      <c r="F144" s="126"/>
      <c r="G144" s="126"/>
      <c r="H144" s="126"/>
      <c r="I144" s="126"/>
      <c r="J144" s="126"/>
      <c r="K144" s="126"/>
      <c r="L144" s="126"/>
      <c r="M144" s="126"/>
    </row>
    <row r="145" ht="16.5" customHeight="1">
      <c r="A145" s="126"/>
      <c r="B145" s="208"/>
      <c r="C145" s="128"/>
      <c r="D145" s="129"/>
      <c r="E145" s="126"/>
      <c r="F145" s="126"/>
      <c r="G145" s="126"/>
      <c r="H145" s="126"/>
      <c r="I145" s="126"/>
      <c r="J145" s="126"/>
      <c r="K145" s="126"/>
      <c r="L145" s="126"/>
      <c r="M145" s="126"/>
    </row>
    <row r="146" ht="16.5" customHeight="1">
      <c r="A146" s="126"/>
      <c r="B146" s="208"/>
      <c r="C146" s="128"/>
      <c r="D146" s="129"/>
      <c r="E146" s="126"/>
      <c r="F146" s="126"/>
      <c r="G146" s="126"/>
      <c r="H146" s="126"/>
      <c r="I146" s="126"/>
      <c r="J146" s="126"/>
      <c r="K146" s="126"/>
      <c r="L146" s="126"/>
      <c r="M146" s="126"/>
    </row>
    <row r="147" ht="16.5" customHeight="1">
      <c r="A147" s="126"/>
      <c r="B147" s="208"/>
      <c r="C147" s="128"/>
      <c r="D147" s="129"/>
      <c r="E147" s="126"/>
      <c r="F147" s="126"/>
      <c r="G147" s="126"/>
      <c r="H147" s="126"/>
      <c r="I147" s="126"/>
      <c r="J147" s="126"/>
      <c r="K147" s="126"/>
      <c r="L147" s="126"/>
      <c r="M147" s="126"/>
    </row>
    <row r="148" ht="16.5" customHeight="1">
      <c r="A148" s="126"/>
      <c r="B148" s="208"/>
      <c r="C148" s="128"/>
      <c r="D148" s="129"/>
      <c r="E148" s="126"/>
      <c r="F148" s="126"/>
      <c r="G148" s="126"/>
      <c r="H148" s="126"/>
      <c r="I148" s="126"/>
      <c r="J148" s="126"/>
      <c r="K148" s="126"/>
      <c r="L148" s="126"/>
      <c r="M148" s="126"/>
    </row>
    <row r="149" ht="16.5" customHeight="1">
      <c r="A149" s="126"/>
      <c r="B149" s="208"/>
      <c r="C149" s="128"/>
      <c r="D149" s="129"/>
      <c r="E149" s="126"/>
      <c r="F149" s="126"/>
      <c r="G149" s="126"/>
      <c r="H149" s="126"/>
      <c r="I149" s="126"/>
      <c r="J149" s="126"/>
      <c r="K149" s="126"/>
      <c r="L149" s="126"/>
      <c r="M149" s="126"/>
    </row>
    <row r="150" ht="16.5" customHeight="1">
      <c r="A150" s="126"/>
      <c r="B150" s="208"/>
      <c r="C150" s="128"/>
      <c r="D150" s="129"/>
      <c r="E150" s="126"/>
      <c r="F150" s="126"/>
      <c r="G150" s="126"/>
      <c r="H150" s="126"/>
      <c r="I150" s="126"/>
      <c r="J150" s="126"/>
      <c r="K150" s="126"/>
      <c r="L150" s="126"/>
      <c r="M150" s="126"/>
    </row>
    <row r="151" ht="16.5" customHeight="1">
      <c r="A151" s="126"/>
      <c r="B151" s="208"/>
      <c r="C151" s="128"/>
      <c r="D151" s="129"/>
      <c r="E151" s="126"/>
      <c r="F151" s="126"/>
      <c r="G151" s="126"/>
      <c r="H151" s="126"/>
      <c r="I151" s="126"/>
      <c r="J151" s="126"/>
      <c r="K151" s="126"/>
      <c r="L151" s="126"/>
      <c r="M151" s="126"/>
    </row>
    <row r="152" ht="16.5" customHeight="1">
      <c r="A152" s="126"/>
      <c r="B152" s="208"/>
      <c r="C152" s="128"/>
      <c r="D152" s="129"/>
      <c r="E152" s="126"/>
      <c r="F152" s="126"/>
      <c r="G152" s="126"/>
      <c r="H152" s="126"/>
      <c r="I152" s="126"/>
      <c r="J152" s="126"/>
      <c r="K152" s="126"/>
      <c r="L152" s="126"/>
      <c r="M152" s="126"/>
    </row>
    <row r="153" ht="16.5" customHeight="1">
      <c r="A153" s="126"/>
      <c r="B153" s="208"/>
      <c r="C153" s="128"/>
      <c r="D153" s="129"/>
      <c r="E153" s="126"/>
      <c r="F153" s="126"/>
      <c r="G153" s="126"/>
      <c r="H153" s="126"/>
      <c r="I153" s="126"/>
      <c r="J153" s="126"/>
      <c r="K153" s="126"/>
      <c r="L153" s="126"/>
      <c r="M153" s="126"/>
    </row>
    <row r="154" ht="16.5" customHeight="1">
      <c r="A154" s="126"/>
      <c r="B154" s="208"/>
      <c r="C154" s="128"/>
      <c r="D154" s="129"/>
      <c r="E154" s="126"/>
      <c r="F154" s="126"/>
      <c r="G154" s="126"/>
      <c r="H154" s="126"/>
      <c r="I154" s="126"/>
      <c r="J154" s="126"/>
      <c r="K154" s="126"/>
      <c r="L154" s="126"/>
      <c r="M154" s="126"/>
    </row>
    <row r="155" ht="16.5" customHeight="1">
      <c r="A155" s="126"/>
      <c r="B155" s="208"/>
      <c r="C155" s="128"/>
      <c r="D155" s="129"/>
      <c r="E155" s="126"/>
      <c r="F155" s="126"/>
      <c r="G155" s="126"/>
      <c r="H155" s="126"/>
      <c r="I155" s="126"/>
      <c r="J155" s="126"/>
      <c r="K155" s="126"/>
      <c r="L155" s="126"/>
      <c r="M155" s="126"/>
    </row>
    <row r="156" ht="16.5" customHeight="1">
      <c r="A156" s="126"/>
      <c r="B156" s="208"/>
      <c r="C156" s="128"/>
      <c r="D156" s="129"/>
      <c r="E156" s="126"/>
      <c r="F156" s="126"/>
      <c r="G156" s="126"/>
      <c r="H156" s="126"/>
      <c r="I156" s="126"/>
      <c r="J156" s="126"/>
      <c r="K156" s="126"/>
      <c r="L156" s="126"/>
      <c r="M156" s="126"/>
    </row>
    <row r="157" ht="16.5" customHeight="1">
      <c r="A157" s="126"/>
      <c r="B157" s="208"/>
      <c r="C157" s="128"/>
      <c r="D157" s="129"/>
      <c r="E157" s="126"/>
      <c r="F157" s="126"/>
      <c r="G157" s="126"/>
      <c r="H157" s="126"/>
      <c r="I157" s="126"/>
      <c r="J157" s="126"/>
      <c r="K157" s="126"/>
      <c r="L157" s="126"/>
      <c r="M157" s="126"/>
    </row>
    <row r="158" ht="16.5" customHeight="1">
      <c r="A158" s="126"/>
      <c r="B158" s="208"/>
      <c r="C158" s="128"/>
      <c r="D158" s="129"/>
      <c r="E158" s="126"/>
      <c r="F158" s="126"/>
      <c r="G158" s="126"/>
      <c r="H158" s="126"/>
      <c r="I158" s="126"/>
      <c r="J158" s="126"/>
      <c r="K158" s="126"/>
      <c r="L158" s="126"/>
      <c r="M158" s="126"/>
    </row>
    <row r="159" ht="16.5" customHeight="1">
      <c r="A159" s="126"/>
      <c r="B159" s="208"/>
      <c r="C159" s="128"/>
      <c r="D159" s="129"/>
      <c r="E159" s="126"/>
      <c r="F159" s="126"/>
      <c r="G159" s="126"/>
      <c r="H159" s="126"/>
      <c r="I159" s="126"/>
      <c r="J159" s="126"/>
      <c r="K159" s="126"/>
      <c r="L159" s="126"/>
      <c r="M159" s="126"/>
    </row>
    <row r="160" ht="16.5" customHeight="1">
      <c r="A160" s="126"/>
      <c r="B160" s="208"/>
      <c r="C160" s="128"/>
      <c r="D160" s="129"/>
      <c r="E160" s="126"/>
      <c r="F160" s="126"/>
      <c r="G160" s="126"/>
      <c r="H160" s="126"/>
      <c r="I160" s="126"/>
      <c r="J160" s="126"/>
      <c r="K160" s="126"/>
      <c r="L160" s="126"/>
      <c r="M160" s="126"/>
    </row>
    <row r="161" ht="16.5" customHeight="1">
      <c r="A161" s="126"/>
      <c r="B161" s="208"/>
      <c r="C161" s="128"/>
      <c r="D161" s="129"/>
      <c r="E161" s="126"/>
      <c r="F161" s="126"/>
      <c r="G161" s="126"/>
      <c r="H161" s="126"/>
      <c r="I161" s="126"/>
      <c r="J161" s="126"/>
      <c r="K161" s="126"/>
      <c r="L161" s="126"/>
      <c r="M161" s="126"/>
    </row>
    <row r="162" ht="16.5" customHeight="1">
      <c r="A162" s="126"/>
      <c r="B162" s="208"/>
      <c r="C162" s="128"/>
      <c r="D162" s="129"/>
      <c r="E162" s="126"/>
      <c r="F162" s="126"/>
      <c r="G162" s="126"/>
      <c r="H162" s="126"/>
      <c r="I162" s="126"/>
      <c r="J162" s="126"/>
      <c r="K162" s="126"/>
      <c r="L162" s="126"/>
      <c r="M162" s="126"/>
    </row>
    <row r="163" ht="16.5" customHeight="1">
      <c r="A163" s="126"/>
      <c r="B163" s="208"/>
      <c r="C163" s="128"/>
      <c r="D163" s="129"/>
      <c r="E163" s="126"/>
      <c r="F163" s="126"/>
      <c r="G163" s="126"/>
      <c r="H163" s="126"/>
      <c r="I163" s="126"/>
      <c r="J163" s="126"/>
      <c r="K163" s="126"/>
      <c r="L163" s="126"/>
      <c r="M163" s="126"/>
    </row>
    <row r="164" ht="16.5" customHeight="1">
      <c r="A164" s="126"/>
      <c r="B164" s="208"/>
      <c r="C164" s="128"/>
      <c r="D164" s="129"/>
      <c r="E164" s="126"/>
      <c r="F164" s="126"/>
      <c r="G164" s="126"/>
      <c r="H164" s="126"/>
      <c r="I164" s="126"/>
      <c r="J164" s="126"/>
      <c r="K164" s="126"/>
      <c r="L164" s="126"/>
      <c r="M164" s="126"/>
    </row>
    <row r="165" ht="16.5" customHeight="1">
      <c r="A165" s="126"/>
      <c r="B165" s="208"/>
      <c r="C165" s="128"/>
      <c r="D165" s="129"/>
      <c r="E165" s="126"/>
      <c r="F165" s="126"/>
      <c r="G165" s="126"/>
      <c r="H165" s="126"/>
      <c r="I165" s="126"/>
      <c r="J165" s="126"/>
      <c r="K165" s="126"/>
      <c r="L165" s="126"/>
      <c r="M165" s="126"/>
    </row>
    <row r="166" ht="16.5" customHeight="1">
      <c r="A166" s="126"/>
      <c r="B166" s="208"/>
      <c r="C166" s="128"/>
      <c r="D166" s="129"/>
      <c r="E166" s="126"/>
      <c r="F166" s="126"/>
      <c r="G166" s="126"/>
      <c r="H166" s="126"/>
      <c r="I166" s="126"/>
      <c r="J166" s="126"/>
      <c r="K166" s="126"/>
      <c r="L166" s="126"/>
      <c r="M166" s="126"/>
    </row>
    <row r="167" ht="16.5" customHeight="1">
      <c r="A167" s="126"/>
      <c r="B167" s="208"/>
      <c r="C167" s="128"/>
      <c r="D167" s="129"/>
      <c r="E167" s="126"/>
      <c r="F167" s="126"/>
      <c r="G167" s="126"/>
      <c r="H167" s="126"/>
      <c r="I167" s="126"/>
      <c r="J167" s="126"/>
      <c r="K167" s="126"/>
      <c r="L167" s="126"/>
      <c r="M167" s="126"/>
    </row>
    <row r="168" ht="16.5" customHeight="1">
      <c r="A168" s="126"/>
      <c r="B168" s="208"/>
      <c r="C168" s="128"/>
      <c r="D168" s="129"/>
      <c r="E168" s="126"/>
      <c r="F168" s="126"/>
      <c r="G168" s="126"/>
      <c r="H168" s="126"/>
      <c r="I168" s="126"/>
      <c r="J168" s="126"/>
      <c r="K168" s="126"/>
      <c r="L168" s="126"/>
      <c r="M168" s="126"/>
    </row>
    <row r="169" ht="16.5" customHeight="1">
      <c r="A169" s="126"/>
      <c r="B169" s="208"/>
      <c r="C169" s="128"/>
      <c r="D169" s="129"/>
      <c r="E169" s="126"/>
      <c r="F169" s="126"/>
      <c r="G169" s="126"/>
      <c r="H169" s="126"/>
      <c r="I169" s="126"/>
      <c r="J169" s="126"/>
      <c r="K169" s="126"/>
      <c r="L169" s="126"/>
      <c r="M169" s="126"/>
    </row>
    <row r="170" ht="16.5" customHeight="1">
      <c r="A170" s="126"/>
      <c r="B170" s="208"/>
      <c r="C170" s="128"/>
      <c r="D170" s="129"/>
      <c r="E170" s="126"/>
      <c r="F170" s="126"/>
      <c r="G170" s="126"/>
      <c r="H170" s="126"/>
      <c r="I170" s="126"/>
      <c r="J170" s="126"/>
      <c r="K170" s="126"/>
      <c r="L170" s="126"/>
      <c r="M170" s="126"/>
    </row>
    <row r="171" ht="16.5" customHeight="1">
      <c r="A171" s="126"/>
      <c r="B171" s="208"/>
      <c r="C171" s="128"/>
      <c r="D171" s="129"/>
      <c r="E171" s="126"/>
      <c r="F171" s="126"/>
      <c r="G171" s="126"/>
      <c r="H171" s="126"/>
      <c r="I171" s="126"/>
      <c r="J171" s="126"/>
      <c r="K171" s="126"/>
      <c r="L171" s="126"/>
      <c r="M171" s="126"/>
    </row>
    <row r="172" ht="16.5" customHeight="1">
      <c r="A172" s="126"/>
      <c r="B172" s="208"/>
      <c r="C172" s="128"/>
      <c r="D172" s="129"/>
      <c r="E172" s="126"/>
      <c r="F172" s="126"/>
      <c r="G172" s="126"/>
      <c r="H172" s="126"/>
      <c r="I172" s="126"/>
      <c r="J172" s="126"/>
      <c r="K172" s="126"/>
      <c r="L172" s="126"/>
      <c r="M172" s="126"/>
    </row>
    <row r="173" ht="16.5" customHeight="1">
      <c r="A173" s="126"/>
      <c r="B173" s="208"/>
      <c r="C173" s="128"/>
      <c r="D173" s="129"/>
      <c r="E173" s="126"/>
      <c r="F173" s="126"/>
      <c r="G173" s="126"/>
      <c r="H173" s="126"/>
      <c r="I173" s="126"/>
      <c r="J173" s="126"/>
      <c r="K173" s="126"/>
      <c r="L173" s="126"/>
      <c r="M173" s="126"/>
    </row>
    <row r="174" ht="16.5" customHeight="1">
      <c r="A174" s="126"/>
      <c r="B174" s="208"/>
      <c r="C174" s="128"/>
      <c r="D174" s="129"/>
      <c r="E174" s="126"/>
      <c r="F174" s="126"/>
      <c r="G174" s="126"/>
      <c r="H174" s="126"/>
      <c r="I174" s="126"/>
      <c r="J174" s="126"/>
      <c r="K174" s="126"/>
      <c r="L174" s="126"/>
      <c r="M174" s="126"/>
    </row>
    <row r="175" ht="16.5" customHeight="1">
      <c r="A175" s="126"/>
      <c r="B175" s="208"/>
      <c r="C175" s="128"/>
      <c r="D175" s="129"/>
      <c r="E175" s="126"/>
      <c r="F175" s="126"/>
      <c r="G175" s="126"/>
      <c r="H175" s="126"/>
      <c r="I175" s="126"/>
      <c r="J175" s="126"/>
      <c r="K175" s="126"/>
      <c r="L175" s="126"/>
      <c r="M175" s="126"/>
    </row>
    <row r="176" ht="16.5" customHeight="1">
      <c r="A176" s="126"/>
      <c r="B176" s="208"/>
      <c r="C176" s="128"/>
      <c r="D176" s="129"/>
      <c r="E176" s="126"/>
      <c r="F176" s="126"/>
      <c r="G176" s="126"/>
      <c r="H176" s="126"/>
      <c r="I176" s="126"/>
      <c r="J176" s="126"/>
      <c r="K176" s="126"/>
      <c r="L176" s="126"/>
      <c r="M176" s="126"/>
    </row>
    <row r="177" ht="16.5" customHeight="1">
      <c r="A177" s="126"/>
      <c r="B177" s="208"/>
      <c r="C177" s="128"/>
      <c r="D177" s="129"/>
      <c r="E177" s="126"/>
      <c r="F177" s="126"/>
      <c r="G177" s="126"/>
      <c r="H177" s="126"/>
      <c r="I177" s="126"/>
      <c r="J177" s="126"/>
      <c r="K177" s="126"/>
      <c r="L177" s="126"/>
      <c r="M177" s="126"/>
    </row>
    <row r="178" ht="16.5" customHeight="1">
      <c r="A178" s="126"/>
      <c r="B178" s="208"/>
      <c r="C178" s="128"/>
      <c r="D178" s="129"/>
      <c r="E178" s="126"/>
      <c r="F178" s="126"/>
      <c r="G178" s="126"/>
      <c r="H178" s="126"/>
      <c r="I178" s="126"/>
      <c r="J178" s="126"/>
      <c r="K178" s="126"/>
      <c r="L178" s="126"/>
      <c r="M178" s="126"/>
    </row>
    <row r="179" ht="16.5" customHeight="1">
      <c r="A179" s="126"/>
      <c r="B179" s="208"/>
      <c r="C179" s="128"/>
      <c r="D179" s="129"/>
      <c r="E179" s="126"/>
      <c r="F179" s="126"/>
      <c r="G179" s="126"/>
      <c r="H179" s="126"/>
      <c r="I179" s="126"/>
      <c r="J179" s="126"/>
      <c r="K179" s="126"/>
      <c r="L179" s="126"/>
      <c r="M179" s="126"/>
    </row>
    <row r="180" ht="16.5" customHeight="1">
      <c r="A180" s="126"/>
      <c r="B180" s="208"/>
      <c r="C180" s="128"/>
      <c r="D180" s="129"/>
      <c r="E180" s="126"/>
      <c r="F180" s="126"/>
      <c r="G180" s="126"/>
      <c r="H180" s="126"/>
      <c r="I180" s="126"/>
      <c r="J180" s="126"/>
      <c r="K180" s="126"/>
      <c r="L180" s="126"/>
      <c r="M180" s="126"/>
    </row>
    <row r="181" ht="16.5" customHeight="1">
      <c r="A181" s="126"/>
      <c r="B181" s="208"/>
      <c r="C181" s="128"/>
      <c r="D181" s="129"/>
      <c r="E181" s="126"/>
      <c r="F181" s="126"/>
      <c r="G181" s="126"/>
      <c r="H181" s="126"/>
      <c r="I181" s="126"/>
      <c r="J181" s="126"/>
      <c r="K181" s="126"/>
      <c r="L181" s="126"/>
      <c r="M181" s="126"/>
    </row>
    <row r="182" ht="16.5" customHeight="1">
      <c r="A182" s="126"/>
      <c r="B182" s="208"/>
      <c r="C182" s="128"/>
      <c r="D182" s="129"/>
      <c r="E182" s="126"/>
      <c r="F182" s="126"/>
      <c r="G182" s="126"/>
      <c r="H182" s="126"/>
      <c r="I182" s="126"/>
      <c r="J182" s="126"/>
      <c r="K182" s="126"/>
      <c r="L182" s="126"/>
      <c r="M182" s="126"/>
    </row>
    <row r="183" ht="16.5" customHeight="1">
      <c r="A183" s="126"/>
      <c r="B183" s="208"/>
      <c r="C183" s="128"/>
      <c r="D183" s="129"/>
      <c r="E183" s="126"/>
      <c r="F183" s="126"/>
      <c r="G183" s="126"/>
      <c r="H183" s="126"/>
      <c r="I183" s="126"/>
      <c r="J183" s="126"/>
      <c r="K183" s="126"/>
      <c r="L183" s="126"/>
      <c r="M183" s="126"/>
    </row>
    <row r="184" ht="16.5" customHeight="1">
      <c r="A184" s="126"/>
      <c r="B184" s="208"/>
      <c r="C184" s="128"/>
      <c r="D184" s="129"/>
      <c r="E184" s="126"/>
      <c r="F184" s="126"/>
      <c r="G184" s="126"/>
      <c r="H184" s="126"/>
      <c r="I184" s="126"/>
      <c r="J184" s="126"/>
      <c r="K184" s="126"/>
      <c r="L184" s="126"/>
      <c r="M184" s="126"/>
    </row>
    <row r="185" ht="16.5" customHeight="1">
      <c r="A185" s="126"/>
      <c r="B185" s="208"/>
      <c r="C185" s="128"/>
      <c r="D185" s="129"/>
      <c r="E185" s="126"/>
      <c r="F185" s="126"/>
      <c r="G185" s="126"/>
      <c r="H185" s="126"/>
      <c r="I185" s="126"/>
      <c r="J185" s="126"/>
      <c r="K185" s="126"/>
      <c r="L185" s="126"/>
      <c r="M185" s="126"/>
    </row>
    <row r="186" ht="16.5" customHeight="1">
      <c r="A186" s="126"/>
      <c r="B186" s="208"/>
      <c r="C186" s="128"/>
      <c r="D186" s="129"/>
      <c r="E186" s="126"/>
      <c r="F186" s="126"/>
      <c r="G186" s="126"/>
      <c r="H186" s="126"/>
      <c r="I186" s="126"/>
      <c r="J186" s="126"/>
      <c r="K186" s="126"/>
      <c r="L186" s="126"/>
      <c r="M186" s="126"/>
    </row>
    <row r="187" ht="16.5" customHeight="1">
      <c r="A187" s="126"/>
      <c r="B187" s="208"/>
      <c r="C187" s="128"/>
      <c r="D187" s="129"/>
      <c r="E187" s="126"/>
      <c r="F187" s="126"/>
      <c r="G187" s="126"/>
      <c r="H187" s="126"/>
      <c r="I187" s="126"/>
      <c r="J187" s="126"/>
      <c r="K187" s="126"/>
      <c r="L187" s="126"/>
      <c r="M187" s="126"/>
    </row>
    <row r="188" ht="16.5" customHeight="1">
      <c r="A188" s="126"/>
      <c r="B188" s="208"/>
      <c r="C188" s="128"/>
      <c r="D188" s="129"/>
      <c r="E188" s="126"/>
      <c r="F188" s="126"/>
      <c r="G188" s="126"/>
      <c r="H188" s="126"/>
      <c r="I188" s="126"/>
      <c r="J188" s="126"/>
      <c r="K188" s="126"/>
      <c r="L188" s="126"/>
      <c r="M188" s="126"/>
    </row>
    <row r="189" ht="16.5" customHeight="1">
      <c r="A189" s="126"/>
      <c r="B189" s="208"/>
      <c r="C189" s="128"/>
      <c r="D189" s="129"/>
      <c r="E189" s="126"/>
      <c r="F189" s="126"/>
      <c r="G189" s="126"/>
      <c r="H189" s="126"/>
      <c r="I189" s="126"/>
      <c r="J189" s="126"/>
      <c r="K189" s="126"/>
      <c r="L189" s="126"/>
      <c r="M189" s="126"/>
    </row>
    <row r="190" ht="16.5" customHeight="1">
      <c r="A190" s="126"/>
      <c r="B190" s="208"/>
      <c r="C190" s="128"/>
      <c r="D190" s="129"/>
      <c r="E190" s="126"/>
      <c r="F190" s="126"/>
      <c r="G190" s="126"/>
      <c r="H190" s="126"/>
      <c r="I190" s="126"/>
      <c r="J190" s="126"/>
      <c r="K190" s="126"/>
      <c r="L190" s="126"/>
      <c r="M190" s="126"/>
    </row>
    <row r="191" ht="16.5" customHeight="1">
      <c r="A191" s="126"/>
      <c r="B191" s="208"/>
      <c r="C191" s="128"/>
      <c r="D191" s="129"/>
      <c r="E191" s="126"/>
      <c r="F191" s="126"/>
      <c r="G191" s="126"/>
      <c r="H191" s="126"/>
      <c r="I191" s="126"/>
      <c r="J191" s="126"/>
      <c r="K191" s="126"/>
      <c r="L191" s="126"/>
      <c r="M191" s="126"/>
    </row>
    <row r="192" ht="16.5" customHeight="1">
      <c r="A192" s="126"/>
      <c r="B192" s="208"/>
      <c r="C192" s="128"/>
      <c r="D192" s="129"/>
      <c r="E192" s="126"/>
      <c r="F192" s="126"/>
      <c r="G192" s="126"/>
      <c r="H192" s="126"/>
      <c r="I192" s="126"/>
      <c r="J192" s="126"/>
      <c r="K192" s="126"/>
      <c r="L192" s="126"/>
      <c r="M192" s="126"/>
    </row>
    <row r="193" ht="16.5" customHeight="1">
      <c r="A193" s="126"/>
      <c r="B193" s="208"/>
      <c r="C193" s="128"/>
      <c r="D193" s="129"/>
      <c r="E193" s="126"/>
      <c r="F193" s="126"/>
      <c r="G193" s="126"/>
      <c r="H193" s="126"/>
      <c r="I193" s="126"/>
      <c r="J193" s="126"/>
      <c r="K193" s="126"/>
      <c r="L193" s="126"/>
      <c r="M193" s="126"/>
    </row>
    <row r="194" ht="16.5" customHeight="1">
      <c r="A194" s="126"/>
      <c r="B194" s="208"/>
      <c r="C194" s="128"/>
      <c r="D194" s="129"/>
      <c r="E194" s="126"/>
      <c r="F194" s="126"/>
      <c r="G194" s="126"/>
      <c r="H194" s="126"/>
      <c r="I194" s="126"/>
      <c r="J194" s="126"/>
      <c r="K194" s="126"/>
      <c r="L194" s="126"/>
      <c r="M194" s="126"/>
    </row>
    <row r="195" ht="16.5" customHeight="1">
      <c r="A195" s="126"/>
      <c r="B195" s="208"/>
      <c r="C195" s="128"/>
      <c r="D195" s="129"/>
      <c r="E195" s="126"/>
      <c r="F195" s="126"/>
      <c r="G195" s="126"/>
      <c r="H195" s="126"/>
      <c r="I195" s="126"/>
      <c r="J195" s="126"/>
      <c r="K195" s="126"/>
      <c r="L195" s="126"/>
      <c r="M195" s="126"/>
    </row>
    <row r="196" ht="16.5" customHeight="1">
      <c r="A196" s="126"/>
      <c r="B196" s="208"/>
      <c r="C196" s="128"/>
      <c r="D196" s="129"/>
      <c r="E196" s="126"/>
      <c r="F196" s="126"/>
      <c r="G196" s="126"/>
      <c r="H196" s="126"/>
      <c r="I196" s="126"/>
      <c r="J196" s="126"/>
      <c r="K196" s="126"/>
      <c r="L196" s="126"/>
      <c r="M196" s="126"/>
    </row>
    <row r="197" ht="16.5" customHeight="1">
      <c r="A197" s="126"/>
      <c r="B197" s="208"/>
      <c r="C197" s="128"/>
      <c r="D197" s="129"/>
      <c r="E197" s="126"/>
      <c r="F197" s="126"/>
      <c r="G197" s="126"/>
      <c r="H197" s="126"/>
      <c r="I197" s="126"/>
      <c r="J197" s="126"/>
      <c r="K197" s="126"/>
      <c r="L197" s="126"/>
      <c r="M197" s="126"/>
    </row>
    <row r="198" ht="16.5" customHeight="1">
      <c r="A198" s="126"/>
      <c r="B198" s="208"/>
      <c r="C198" s="128"/>
      <c r="D198" s="129"/>
      <c r="E198" s="126"/>
      <c r="F198" s="126"/>
      <c r="G198" s="126"/>
      <c r="H198" s="126"/>
      <c r="I198" s="126"/>
      <c r="J198" s="126"/>
      <c r="K198" s="126"/>
      <c r="L198" s="126"/>
      <c r="M198" s="126"/>
    </row>
    <row r="199" ht="16.5" customHeight="1">
      <c r="A199" s="126"/>
      <c r="B199" s="208"/>
      <c r="C199" s="128"/>
      <c r="D199" s="129"/>
      <c r="E199" s="126"/>
      <c r="F199" s="126"/>
      <c r="G199" s="126"/>
      <c r="H199" s="126"/>
      <c r="I199" s="126"/>
      <c r="J199" s="126"/>
      <c r="K199" s="126"/>
      <c r="L199" s="126"/>
      <c r="M199" s="126"/>
    </row>
    <row r="200" ht="16.5" customHeight="1">
      <c r="A200" s="126"/>
      <c r="B200" s="208"/>
      <c r="C200" s="128"/>
      <c r="D200" s="129"/>
      <c r="E200" s="126"/>
      <c r="F200" s="126"/>
      <c r="G200" s="126"/>
      <c r="H200" s="126"/>
      <c r="I200" s="126"/>
      <c r="J200" s="126"/>
      <c r="K200" s="126"/>
      <c r="L200" s="126"/>
      <c r="M200" s="126"/>
    </row>
    <row r="201" ht="16.5" customHeight="1">
      <c r="A201" s="126"/>
      <c r="B201" s="208"/>
      <c r="C201" s="128"/>
      <c r="D201" s="129"/>
      <c r="E201" s="126"/>
      <c r="F201" s="126"/>
      <c r="G201" s="126"/>
      <c r="H201" s="126"/>
      <c r="I201" s="126"/>
      <c r="J201" s="126"/>
      <c r="K201" s="126"/>
      <c r="L201" s="126"/>
      <c r="M201" s="126"/>
    </row>
    <row r="202" ht="16.5" customHeight="1">
      <c r="A202" s="126"/>
      <c r="B202" s="208"/>
      <c r="C202" s="128"/>
      <c r="D202" s="129"/>
      <c r="E202" s="126"/>
      <c r="F202" s="126"/>
      <c r="G202" s="126"/>
      <c r="H202" s="126"/>
      <c r="I202" s="126"/>
      <c r="J202" s="126"/>
      <c r="K202" s="126"/>
      <c r="L202" s="126"/>
      <c r="M202" s="126"/>
    </row>
    <row r="203" ht="16.5" customHeight="1">
      <c r="A203" s="126"/>
      <c r="B203" s="208"/>
      <c r="C203" s="128"/>
      <c r="D203" s="129"/>
      <c r="E203" s="126"/>
      <c r="F203" s="126"/>
      <c r="G203" s="126"/>
      <c r="H203" s="126"/>
      <c r="I203" s="126"/>
      <c r="J203" s="126"/>
      <c r="K203" s="126"/>
      <c r="L203" s="126"/>
      <c r="M203" s="126"/>
    </row>
    <row r="204" ht="16.5" customHeight="1">
      <c r="A204" s="126"/>
      <c r="B204" s="208"/>
      <c r="C204" s="128"/>
      <c r="D204" s="129"/>
      <c r="E204" s="126"/>
      <c r="F204" s="126"/>
      <c r="G204" s="126"/>
      <c r="H204" s="126"/>
      <c r="I204" s="126"/>
      <c r="J204" s="126"/>
      <c r="K204" s="126"/>
      <c r="L204" s="126"/>
      <c r="M204" s="126"/>
    </row>
    <row r="205" ht="16.5" customHeight="1">
      <c r="A205" s="126"/>
      <c r="B205" s="208"/>
      <c r="C205" s="128"/>
      <c r="D205" s="129"/>
      <c r="E205" s="126"/>
      <c r="F205" s="126"/>
      <c r="G205" s="126"/>
      <c r="H205" s="126"/>
      <c r="I205" s="126"/>
      <c r="J205" s="126"/>
      <c r="K205" s="126"/>
      <c r="L205" s="126"/>
      <c r="M205" s="126"/>
    </row>
    <row r="206" ht="16.5" customHeight="1">
      <c r="A206" s="126"/>
      <c r="B206" s="208"/>
      <c r="C206" s="128"/>
      <c r="D206" s="129"/>
      <c r="E206" s="126"/>
      <c r="F206" s="126"/>
      <c r="G206" s="126"/>
      <c r="H206" s="126"/>
      <c r="I206" s="126"/>
      <c r="J206" s="126"/>
      <c r="K206" s="126"/>
      <c r="L206" s="126"/>
      <c r="M206" s="126"/>
    </row>
    <row r="207" ht="16.5" customHeight="1">
      <c r="A207" s="126"/>
      <c r="B207" s="208"/>
      <c r="C207" s="128"/>
      <c r="D207" s="129"/>
      <c r="E207" s="126"/>
      <c r="F207" s="126"/>
      <c r="G207" s="126"/>
      <c r="H207" s="126"/>
      <c r="I207" s="126"/>
      <c r="J207" s="126"/>
      <c r="K207" s="126"/>
      <c r="L207" s="126"/>
      <c r="M207" s="126"/>
    </row>
    <row r="208" ht="16.5" customHeight="1">
      <c r="A208" s="126"/>
      <c r="B208" s="208"/>
      <c r="C208" s="128"/>
      <c r="D208" s="129"/>
      <c r="E208" s="126"/>
      <c r="F208" s="126"/>
      <c r="G208" s="126"/>
      <c r="H208" s="126"/>
      <c r="I208" s="126"/>
      <c r="J208" s="126"/>
      <c r="K208" s="126"/>
      <c r="L208" s="126"/>
      <c r="M208" s="126"/>
    </row>
    <row r="209" ht="16.5" customHeight="1">
      <c r="A209" s="126"/>
      <c r="B209" s="208"/>
      <c r="C209" s="128"/>
      <c r="D209" s="129"/>
      <c r="E209" s="126"/>
      <c r="F209" s="126"/>
      <c r="G209" s="126"/>
      <c r="H209" s="126"/>
      <c r="I209" s="126"/>
      <c r="J209" s="126"/>
      <c r="K209" s="126"/>
      <c r="L209" s="126"/>
      <c r="M209" s="126"/>
    </row>
    <row r="210" ht="16.5" customHeight="1">
      <c r="A210" s="126"/>
      <c r="B210" s="208"/>
      <c r="C210" s="128"/>
      <c r="D210" s="129"/>
      <c r="E210" s="126"/>
      <c r="F210" s="126"/>
      <c r="G210" s="126"/>
      <c r="H210" s="126"/>
      <c r="I210" s="126"/>
      <c r="J210" s="126"/>
      <c r="K210" s="126"/>
      <c r="L210" s="126"/>
      <c r="M210" s="126"/>
    </row>
    <row r="211" ht="16.5" customHeight="1">
      <c r="A211" s="126"/>
      <c r="B211" s="208"/>
      <c r="C211" s="128"/>
      <c r="D211" s="129"/>
      <c r="E211" s="126"/>
      <c r="F211" s="126"/>
      <c r="G211" s="126"/>
      <c r="H211" s="126"/>
      <c r="I211" s="126"/>
      <c r="J211" s="126"/>
      <c r="K211" s="126"/>
      <c r="L211" s="126"/>
      <c r="M211" s="126"/>
    </row>
    <row r="212" ht="16.5" customHeight="1">
      <c r="A212" s="126"/>
      <c r="B212" s="208"/>
      <c r="C212" s="128"/>
      <c r="D212" s="129"/>
      <c r="E212" s="126"/>
      <c r="F212" s="126"/>
      <c r="G212" s="126"/>
      <c r="H212" s="126"/>
      <c r="I212" s="126"/>
      <c r="J212" s="126"/>
      <c r="K212" s="126"/>
      <c r="L212" s="126"/>
      <c r="M212" s="126"/>
    </row>
    <row r="213" ht="16.5" customHeight="1">
      <c r="A213" s="126"/>
      <c r="B213" s="208"/>
      <c r="C213" s="128"/>
      <c r="D213" s="129"/>
      <c r="E213" s="126"/>
      <c r="F213" s="126"/>
      <c r="G213" s="126"/>
      <c r="H213" s="126"/>
      <c r="I213" s="126"/>
      <c r="J213" s="126"/>
      <c r="K213" s="126"/>
      <c r="L213" s="126"/>
      <c r="M213" s="126"/>
    </row>
    <row r="214" ht="16.5" customHeight="1">
      <c r="A214" s="126"/>
      <c r="B214" s="208"/>
      <c r="C214" s="128"/>
      <c r="D214" s="129"/>
      <c r="E214" s="126"/>
      <c r="F214" s="126"/>
      <c r="G214" s="126"/>
      <c r="H214" s="126"/>
      <c r="I214" s="126"/>
      <c r="J214" s="126"/>
      <c r="K214" s="126"/>
      <c r="L214" s="126"/>
      <c r="M214" s="126"/>
    </row>
    <row r="215" ht="16.5" customHeight="1">
      <c r="A215" s="126"/>
      <c r="B215" s="208"/>
      <c r="C215" s="128"/>
      <c r="D215" s="129"/>
      <c r="E215" s="126"/>
      <c r="F215" s="126"/>
      <c r="G215" s="126"/>
      <c r="H215" s="126"/>
      <c r="I215" s="126"/>
      <c r="J215" s="126"/>
      <c r="K215" s="126"/>
      <c r="L215" s="126"/>
      <c r="M215" s="126"/>
    </row>
    <row r="216" ht="16.5" customHeight="1">
      <c r="A216" s="126"/>
      <c r="B216" s="208"/>
      <c r="C216" s="128"/>
      <c r="D216" s="129"/>
      <c r="E216" s="126"/>
      <c r="F216" s="126"/>
      <c r="G216" s="126"/>
      <c r="H216" s="126"/>
      <c r="I216" s="126"/>
      <c r="J216" s="126"/>
      <c r="K216" s="126"/>
      <c r="L216" s="126"/>
      <c r="M216" s="126"/>
    </row>
    <row r="217" ht="16.5" customHeight="1">
      <c r="A217" s="126"/>
      <c r="B217" s="208"/>
      <c r="C217" s="128"/>
      <c r="D217" s="129"/>
      <c r="E217" s="126"/>
      <c r="F217" s="126"/>
      <c r="G217" s="126"/>
      <c r="H217" s="126"/>
      <c r="I217" s="126"/>
      <c r="J217" s="126"/>
      <c r="K217" s="126"/>
      <c r="L217" s="126"/>
      <c r="M217" s="126"/>
    </row>
    <row r="218" ht="16.5" customHeight="1">
      <c r="A218" s="126"/>
      <c r="B218" s="208"/>
      <c r="C218" s="128"/>
      <c r="D218" s="129"/>
      <c r="E218" s="126"/>
      <c r="F218" s="126"/>
      <c r="G218" s="126"/>
      <c r="H218" s="126"/>
      <c r="I218" s="126"/>
      <c r="J218" s="126"/>
      <c r="K218" s="126"/>
      <c r="L218" s="126"/>
      <c r="M218" s="126"/>
    </row>
    <row r="219" ht="16.5" customHeight="1">
      <c r="A219" s="126"/>
      <c r="B219" s="208"/>
      <c r="C219" s="128"/>
      <c r="D219" s="129"/>
      <c r="E219" s="126"/>
      <c r="F219" s="126"/>
      <c r="G219" s="126"/>
      <c r="H219" s="126"/>
      <c r="I219" s="126"/>
      <c r="J219" s="126"/>
      <c r="K219" s="126"/>
      <c r="L219" s="126"/>
      <c r="M219" s="126"/>
    </row>
    <row r="220" ht="16.5" customHeight="1">
      <c r="A220" s="126"/>
      <c r="B220" s="208"/>
      <c r="C220" s="128"/>
      <c r="D220" s="129"/>
      <c r="E220" s="126"/>
      <c r="F220" s="126"/>
      <c r="G220" s="126"/>
      <c r="H220" s="126"/>
      <c r="I220" s="126"/>
      <c r="J220" s="126"/>
      <c r="K220" s="126"/>
      <c r="L220" s="126"/>
      <c r="M220" s="126"/>
    </row>
    <row r="221" ht="16.5" customHeight="1">
      <c r="A221" s="126"/>
      <c r="B221" s="208"/>
      <c r="C221" s="128"/>
      <c r="D221" s="129"/>
      <c r="E221" s="126"/>
      <c r="F221" s="126"/>
      <c r="G221" s="126"/>
      <c r="H221" s="126"/>
      <c r="I221" s="126"/>
      <c r="J221" s="126"/>
      <c r="K221" s="126"/>
      <c r="L221" s="126"/>
      <c r="M221" s="126"/>
    </row>
    <row r="222" ht="16.5" customHeight="1">
      <c r="A222" s="126"/>
      <c r="B222" s="208"/>
      <c r="C222" s="128"/>
      <c r="D222" s="129"/>
      <c r="E222" s="126"/>
      <c r="F222" s="126"/>
      <c r="G222" s="126"/>
      <c r="H222" s="126"/>
      <c r="I222" s="126"/>
      <c r="J222" s="126"/>
      <c r="K222" s="126"/>
      <c r="L222" s="126"/>
      <c r="M222" s="126"/>
    </row>
    <row r="223" ht="16.5" customHeight="1">
      <c r="A223" s="126"/>
      <c r="B223" s="208"/>
      <c r="C223" s="128"/>
      <c r="D223" s="129"/>
      <c r="E223" s="126"/>
      <c r="F223" s="126"/>
      <c r="G223" s="126"/>
      <c r="H223" s="126"/>
      <c r="I223" s="126"/>
      <c r="J223" s="126"/>
      <c r="K223" s="126"/>
      <c r="L223" s="126"/>
      <c r="M223" s="126"/>
    </row>
    <row r="224" ht="16.5" customHeight="1">
      <c r="A224" s="126"/>
      <c r="B224" s="208"/>
      <c r="C224" s="128"/>
      <c r="D224" s="129"/>
      <c r="E224" s="126"/>
      <c r="F224" s="126"/>
      <c r="G224" s="126"/>
      <c r="H224" s="126"/>
      <c r="I224" s="126"/>
      <c r="J224" s="126"/>
      <c r="K224" s="126"/>
      <c r="L224" s="126"/>
      <c r="M224" s="126"/>
    </row>
    <row r="225" ht="16.5" customHeight="1">
      <c r="A225" s="126"/>
      <c r="B225" s="208"/>
      <c r="C225" s="128"/>
      <c r="D225" s="129"/>
      <c r="E225" s="126"/>
      <c r="F225" s="126"/>
      <c r="G225" s="126"/>
      <c r="H225" s="126"/>
      <c r="I225" s="126"/>
      <c r="J225" s="126"/>
      <c r="K225" s="126"/>
      <c r="L225" s="126"/>
      <c r="M225" s="126"/>
    </row>
    <row r="226" ht="16.5" customHeight="1">
      <c r="A226" s="126"/>
      <c r="B226" s="208"/>
      <c r="C226" s="128"/>
      <c r="D226" s="129"/>
      <c r="E226" s="126"/>
      <c r="F226" s="126"/>
      <c r="G226" s="126"/>
      <c r="H226" s="126"/>
      <c r="I226" s="126"/>
      <c r="J226" s="126"/>
      <c r="K226" s="126"/>
      <c r="L226" s="126"/>
      <c r="M226" s="126"/>
    </row>
    <row r="227" ht="16.5" customHeight="1">
      <c r="A227" s="126"/>
      <c r="B227" s="208"/>
      <c r="C227" s="128"/>
      <c r="D227" s="129"/>
      <c r="E227" s="126"/>
      <c r="F227" s="126"/>
      <c r="G227" s="126"/>
      <c r="H227" s="126"/>
      <c r="I227" s="126"/>
      <c r="J227" s="126"/>
      <c r="K227" s="126"/>
      <c r="L227" s="126"/>
      <c r="M227" s="126"/>
    </row>
    <row r="228" ht="16.5" customHeight="1">
      <c r="A228" s="126"/>
      <c r="B228" s="208"/>
      <c r="C228" s="128"/>
      <c r="D228" s="129"/>
      <c r="E228" s="126"/>
      <c r="F228" s="126"/>
      <c r="G228" s="126"/>
      <c r="H228" s="126"/>
      <c r="I228" s="126"/>
      <c r="J228" s="126"/>
      <c r="K228" s="126"/>
      <c r="L228" s="126"/>
      <c r="M228" s="126"/>
    </row>
    <row r="229" ht="16.5" customHeight="1">
      <c r="A229" s="126"/>
      <c r="B229" s="208"/>
      <c r="C229" s="128"/>
      <c r="D229" s="129"/>
      <c r="E229" s="126"/>
      <c r="F229" s="126"/>
      <c r="G229" s="126"/>
      <c r="H229" s="126"/>
      <c r="I229" s="126"/>
      <c r="J229" s="126"/>
      <c r="K229" s="126"/>
      <c r="L229" s="126"/>
      <c r="M229" s="126"/>
    </row>
    <row r="230" ht="16.5" customHeight="1">
      <c r="A230" s="126"/>
      <c r="B230" s="208"/>
      <c r="C230" s="128"/>
      <c r="D230" s="129"/>
      <c r="E230" s="126"/>
      <c r="F230" s="126"/>
      <c r="G230" s="126"/>
      <c r="H230" s="126"/>
      <c r="I230" s="126"/>
      <c r="J230" s="126"/>
      <c r="K230" s="126"/>
      <c r="L230" s="126"/>
      <c r="M230" s="126"/>
    </row>
    <row r="231" ht="16.5" customHeight="1">
      <c r="A231" s="126"/>
      <c r="B231" s="208"/>
      <c r="C231" s="128"/>
      <c r="D231" s="129"/>
      <c r="E231" s="126"/>
      <c r="F231" s="126"/>
      <c r="G231" s="126"/>
      <c r="H231" s="126"/>
      <c r="I231" s="126"/>
      <c r="J231" s="126"/>
      <c r="K231" s="126"/>
      <c r="L231" s="126"/>
      <c r="M231" s="126"/>
    </row>
    <row r="232" ht="16.5" customHeight="1">
      <c r="A232" s="126"/>
      <c r="B232" s="208"/>
      <c r="C232" s="128"/>
      <c r="D232" s="129"/>
      <c r="E232" s="126"/>
      <c r="F232" s="126"/>
      <c r="G232" s="126"/>
      <c r="H232" s="126"/>
      <c r="I232" s="126"/>
      <c r="J232" s="126"/>
      <c r="K232" s="126"/>
      <c r="L232" s="126"/>
      <c r="M232" s="126"/>
    </row>
    <row r="233" ht="16.5" customHeight="1">
      <c r="A233" s="126"/>
      <c r="B233" s="208"/>
      <c r="C233" s="128"/>
      <c r="D233" s="129"/>
      <c r="E233" s="126"/>
      <c r="F233" s="126"/>
      <c r="G233" s="126"/>
      <c r="H233" s="126"/>
      <c r="I233" s="126"/>
      <c r="J233" s="126"/>
      <c r="K233" s="126"/>
      <c r="L233" s="126"/>
      <c r="M233" s="126"/>
    </row>
    <row r="234" ht="16.5" customHeight="1">
      <c r="A234" s="126"/>
      <c r="B234" s="208"/>
      <c r="C234" s="128"/>
      <c r="D234" s="129"/>
      <c r="E234" s="126"/>
      <c r="F234" s="126"/>
      <c r="G234" s="126"/>
      <c r="H234" s="126"/>
      <c r="I234" s="126"/>
      <c r="J234" s="126"/>
      <c r="K234" s="126"/>
      <c r="L234" s="126"/>
      <c r="M234" s="126"/>
    </row>
    <row r="235" ht="16.5" customHeight="1">
      <c r="A235" s="126"/>
      <c r="B235" s="208"/>
      <c r="C235" s="128"/>
      <c r="D235" s="129"/>
      <c r="E235" s="126"/>
      <c r="F235" s="126"/>
      <c r="G235" s="126"/>
      <c r="H235" s="126"/>
      <c r="I235" s="126"/>
      <c r="J235" s="126"/>
      <c r="K235" s="126"/>
      <c r="L235" s="126"/>
      <c r="M235" s="126"/>
    </row>
    <row r="236" ht="16.5" customHeight="1">
      <c r="A236" s="126"/>
      <c r="B236" s="208"/>
      <c r="C236" s="128"/>
      <c r="D236" s="129"/>
      <c r="E236" s="126"/>
      <c r="F236" s="126"/>
      <c r="G236" s="126"/>
      <c r="H236" s="126"/>
      <c r="I236" s="126"/>
      <c r="J236" s="126"/>
      <c r="K236" s="126"/>
      <c r="L236" s="126"/>
      <c r="M236" s="126"/>
    </row>
    <row r="237" ht="16.5" customHeight="1">
      <c r="A237" s="126"/>
      <c r="B237" s="208"/>
      <c r="C237" s="128"/>
      <c r="D237" s="129"/>
      <c r="E237" s="126"/>
      <c r="F237" s="126"/>
      <c r="G237" s="126"/>
      <c r="H237" s="126"/>
      <c r="I237" s="126"/>
      <c r="J237" s="126"/>
      <c r="K237" s="126"/>
      <c r="L237" s="126"/>
      <c r="M237" s="126"/>
    </row>
    <row r="238" ht="16.5" customHeight="1">
      <c r="A238" s="126"/>
      <c r="B238" s="208"/>
      <c r="C238" s="128"/>
      <c r="D238" s="129"/>
      <c r="E238" s="126"/>
      <c r="F238" s="126"/>
      <c r="G238" s="126"/>
      <c r="H238" s="126"/>
      <c r="I238" s="126"/>
      <c r="J238" s="126"/>
      <c r="K238" s="126"/>
      <c r="L238" s="126"/>
      <c r="M238" s="126"/>
    </row>
    <row r="239" ht="16.5" customHeight="1">
      <c r="A239" s="126"/>
      <c r="B239" s="208"/>
      <c r="C239" s="128"/>
      <c r="D239" s="129"/>
      <c r="E239" s="126"/>
      <c r="F239" s="126"/>
      <c r="G239" s="126"/>
      <c r="H239" s="126"/>
      <c r="I239" s="126"/>
      <c r="J239" s="126"/>
      <c r="K239" s="126"/>
      <c r="L239" s="126"/>
      <c r="M239" s="126"/>
    </row>
    <row r="240" ht="16.5" customHeight="1">
      <c r="A240" s="126"/>
      <c r="B240" s="208"/>
      <c r="C240" s="128"/>
      <c r="D240" s="129"/>
      <c r="E240" s="126"/>
      <c r="F240" s="126"/>
      <c r="G240" s="126"/>
      <c r="H240" s="126"/>
      <c r="I240" s="126"/>
      <c r="J240" s="126"/>
      <c r="K240" s="126"/>
      <c r="L240" s="126"/>
      <c r="M240" s="126"/>
    </row>
    <row r="241" ht="16.5" customHeight="1">
      <c r="A241" s="126"/>
      <c r="B241" s="208"/>
      <c r="C241" s="128"/>
      <c r="D241" s="129"/>
      <c r="E241" s="126"/>
      <c r="F241" s="126"/>
      <c r="G241" s="126"/>
      <c r="H241" s="126"/>
      <c r="I241" s="126"/>
      <c r="J241" s="126"/>
      <c r="K241" s="126"/>
      <c r="L241" s="126"/>
      <c r="M241" s="126"/>
    </row>
    <row r="242" ht="16.5" customHeight="1">
      <c r="A242" s="126"/>
      <c r="B242" s="208"/>
      <c r="C242" s="128"/>
      <c r="D242" s="129"/>
      <c r="E242" s="126"/>
      <c r="F242" s="126"/>
      <c r="G242" s="126"/>
      <c r="H242" s="126"/>
      <c r="I242" s="126"/>
      <c r="J242" s="126"/>
      <c r="K242" s="126"/>
      <c r="L242" s="126"/>
      <c r="M242" s="126"/>
    </row>
    <row r="243" ht="16.5" customHeight="1">
      <c r="A243" s="126"/>
      <c r="B243" s="208"/>
      <c r="C243" s="128"/>
      <c r="D243" s="129"/>
      <c r="E243" s="126"/>
      <c r="F243" s="126"/>
      <c r="G243" s="126"/>
      <c r="H243" s="126"/>
      <c r="I243" s="126"/>
      <c r="J243" s="126"/>
      <c r="K243" s="126"/>
      <c r="L243" s="126"/>
      <c r="M243" s="126"/>
    </row>
    <row r="244" ht="16.5" customHeight="1">
      <c r="A244" s="126"/>
      <c r="B244" s="208"/>
      <c r="C244" s="128"/>
      <c r="D244" s="129"/>
      <c r="E244" s="126"/>
      <c r="F244" s="126"/>
      <c r="G244" s="126"/>
      <c r="H244" s="126"/>
      <c r="I244" s="126"/>
      <c r="J244" s="126"/>
      <c r="K244" s="126"/>
      <c r="L244" s="126"/>
      <c r="M244" s="126"/>
    </row>
    <row r="245" ht="16.5" customHeight="1">
      <c r="A245" s="126"/>
      <c r="B245" s="208"/>
      <c r="C245" s="128"/>
      <c r="D245" s="129"/>
      <c r="E245" s="126"/>
      <c r="F245" s="126"/>
      <c r="G245" s="126"/>
      <c r="H245" s="126"/>
      <c r="I245" s="126"/>
      <c r="J245" s="126"/>
      <c r="K245" s="126"/>
      <c r="L245" s="126"/>
      <c r="M245" s="126"/>
    </row>
    <row r="246" ht="16.5" customHeight="1">
      <c r="A246" s="126"/>
      <c r="B246" s="208"/>
      <c r="C246" s="128"/>
      <c r="D246" s="129"/>
      <c r="E246" s="126"/>
      <c r="F246" s="126"/>
      <c r="G246" s="126"/>
      <c r="H246" s="126"/>
      <c r="I246" s="126"/>
      <c r="J246" s="126"/>
      <c r="K246" s="126"/>
      <c r="L246" s="126"/>
      <c r="M246" s="126"/>
    </row>
    <row r="247" ht="16.5" customHeight="1">
      <c r="A247" s="126"/>
      <c r="B247" s="208"/>
      <c r="C247" s="128"/>
      <c r="D247" s="129"/>
      <c r="E247" s="126"/>
      <c r="F247" s="126"/>
      <c r="G247" s="126"/>
      <c r="H247" s="126"/>
      <c r="I247" s="126"/>
      <c r="J247" s="126"/>
      <c r="K247" s="126"/>
      <c r="L247" s="126"/>
      <c r="M247" s="126"/>
    </row>
    <row r="248" ht="16.5" customHeight="1">
      <c r="A248" s="126"/>
      <c r="B248" s="208"/>
      <c r="C248" s="128"/>
      <c r="D248" s="129"/>
      <c r="E248" s="126"/>
      <c r="F248" s="126"/>
      <c r="G248" s="126"/>
      <c r="H248" s="126"/>
      <c r="I248" s="126"/>
      <c r="J248" s="126"/>
      <c r="K248" s="126"/>
      <c r="L248" s="126"/>
      <c r="M248" s="126"/>
    </row>
    <row r="249" ht="16.5" customHeight="1">
      <c r="A249" s="126"/>
      <c r="B249" s="208"/>
      <c r="C249" s="128"/>
      <c r="D249" s="129"/>
      <c r="E249" s="126"/>
      <c r="F249" s="126"/>
      <c r="G249" s="126"/>
      <c r="H249" s="126"/>
      <c r="I249" s="126"/>
      <c r="J249" s="126"/>
      <c r="K249" s="126"/>
      <c r="L249" s="126"/>
      <c r="M249" s="126"/>
    </row>
    <row r="250" ht="16.5" customHeight="1">
      <c r="A250" s="126"/>
      <c r="B250" s="208"/>
      <c r="C250" s="128"/>
      <c r="D250" s="129"/>
      <c r="E250" s="126"/>
      <c r="F250" s="126"/>
      <c r="G250" s="126"/>
      <c r="H250" s="126"/>
      <c r="I250" s="126"/>
      <c r="J250" s="126"/>
      <c r="K250" s="126"/>
      <c r="L250" s="126"/>
      <c r="M250" s="126"/>
    </row>
    <row r="251" ht="16.5" customHeight="1">
      <c r="A251" s="126"/>
      <c r="B251" s="208"/>
      <c r="C251" s="128"/>
      <c r="D251" s="129"/>
      <c r="E251" s="126"/>
      <c r="F251" s="126"/>
      <c r="G251" s="126"/>
      <c r="H251" s="126"/>
      <c r="I251" s="126"/>
      <c r="J251" s="126"/>
      <c r="K251" s="126"/>
      <c r="L251" s="126"/>
      <c r="M251" s="126"/>
    </row>
    <row r="252" ht="16.5" customHeight="1">
      <c r="A252" s="126"/>
      <c r="B252" s="208"/>
      <c r="C252" s="128"/>
      <c r="D252" s="129"/>
      <c r="E252" s="126"/>
      <c r="F252" s="126"/>
      <c r="G252" s="126"/>
      <c r="H252" s="126"/>
      <c r="I252" s="126"/>
      <c r="J252" s="126"/>
      <c r="K252" s="126"/>
      <c r="L252" s="126"/>
      <c r="M252" s="126"/>
    </row>
    <row r="253" ht="16.5" customHeight="1">
      <c r="A253" s="126"/>
      <c r="B253" s="208"/>
      <c r="C253" s="128"/>
      <c r="D253" s="129"/>
      <c r="E253" s="126"/>
      <c r="F253" s="126"/>
      <c r="G253" s="126"/>
      <c r="H253" s="126"/>
      <c r="I253" s="126"/>
      <c r="J253" s="126"/>
      <c r="K253" s="126"/>
      <c r="L253" s="126"/>
      <c r="M253" s="126"/>
    </row>
    <row r="254" ht="16.5" customHeight="1">
      <c r="A254" s="126"/>
      <c r="B254" s="208"/>
      <c r="C254" s="128"/>
      <c r="D254" s="129"/>
      <c r="E254" s="126"/>
      <c r="F254" s="126"/>
      <c r="G254" s="126"/>
      <c r="H254" s="126"/>
      <c r="I254" s="126"/>
      <c r="J254" s="126"/>
      <c r="K254" s="126"/>
      <c r="L254" s="126"/>
      <c r="M254" s="126"/>
    </row>
    <row r="255" ht="16.5" customHeight="1">
      <c r="A255" s="126"/>
      <c r="B255" s="208"/>
      <c r="C255" s="128"/>
      <c r="D255" s="129"/>
      <c r="E255" s="126"/>
      <c r="F255" s="126"/>
      <c r="G255" s="126"/>
      <c r="H255" s="126"/>
      <c r="I255" s="126"/>
      <c r="J255" s="126"/>
      <c r="K255" s="126"/>
      <c r="L255" s="126"/>
      <c r="M255" s="126"/>
    </row>
    <row r="256" ht="16.5" customHeight="1">
      <c r="A256" s="126"/>
      <c r="B256" s="208"/>
      <c r="C256" s="128"/>
      <c r="D256" s="129"/>
      <c r="E256" s="126"/>
      <c r="F256" s="126"/>
      <c r="G256" s="126"/>
      <c r="H256" s="126"/>
      <c r="I256" s="126"/>
      <c r="J256" s="126"/>
      <c r="K256" s="126"/>
      <c r="L256" s="126"/>
      <c r="M256" s="126"/>
    </row>
    <row r="257" ht="16.5" customHeight="1">
      <c r="A257" s="126"/>
      <c r="B257" s="208"/>
      <c r="C257" s="128"/>
      <c r="D257" s="129"/>
      <c r="E257" s="126"/>
      <c r="F257" s="126"/>
      <c r="G257" s="126"/>
      <c r="H257" s="126"/>
      <c r="I257" s="126"/>
      <c r="J257" s="126"/>
      <c r="K257" s="126"/>
      <c r="L257" s="126"/>
      <c r="M257" s="126"/>
    </row>
    <row r="258" ht="16.5" customHeight="1">
      <c r="A258" s="126"/>
      <c r="B258" s="208"/>
      <c r="C258" s="128"/>
      <c r="D258" s="129"/>
      <c r="E258" s="126"/>
      <c r="F258" s="126"/>
      <c r="G258" s="126"/>
      <c r="H258" s="126"/>
      <c r="I258" s="126"/>
      <c r="J258" s="126"/>
      <c r="K258" s="126"/>
      <c r="L258" s="126"/>
      <c r="M258" s="126"/>
    </row>
    <row r="259" ht="16.5" customHeight="1">
      <c r="A259" s="126"/>
      <c r="B259" s="208"/>
      <c r="C259" s="128"/>
      <c r="D259" s="129"/>
      <c r="E259" s="126"/>
      <c r="F259" s="126"/>
      <c r="G259" s="126"/>
      <c r="H259" s="126"/>
      <c r="I259" s="126"/>
      <c r="J259" s="126"/>
      <c r="K259" s="126"/>
      <c r="L259" s="126"/>
      <c r="M259" s="126"/>
    </row>
    <row r="260" ht="16.5" customHeight="1">
      <c r="A260" s="126"/>
      <c r="B260" s="208"/>
      <c r="C260" s="128"/>
      <c r="D260" s="129"/>
      <c r="E260" s="126"/>
      <c r="F260" s="126"/>
      <c r="G260" s="126"/>
      <c r="H260" s="126"/>
      <c r="I260" s="126"/>
      <c r="J260" s="126"/>
      <c r="K260" s="126"/>
      <c r="L260" s="126"/>
      <c r="M260" s="126"/>
    </row>
    <row r="261" ht="16.5" customHeight="1">
      <c r="A261" s="126"/>
      <c r="B261" s="208"/>
      <c r="C261" s="128"/>
      <c r="D261" s="129"/>
      <c r="E261" s="126"/>
      <c r="F261" s="126"/>
      <c r="G261" s="126"/>
      <c r="H261" s="126"/>
      <c r="I261" s="126"/>
      <c r="J261" s="126"/>
      <c r="K261" s="126"/>
      <c r="L261" s="126"/>
      <c r="M261" s="126"/>
    </row>
    <row r="262" ht="16.5" customHeight="1">
      <c r="A262" s="126"/>
      <c r="B262" s="208"/>
      <c r="C262" s="128"/>
      <c r="D262" s="129"/>
      <c r="E262" s="126"/>
      <c r="F262" s="126"/>
      <c r="G262" s="126"/>
      <c r="H262" s="126"/>
      <c r="I262" s="126"/>
      <c r="J262" s="126"/>
      <c r="K262" s="126"/>
      <c r="L262" s="126"/>
      <c r="M262" s="126"/>
    </row>
    <row r="263" ht="16.5" customHeight="1">
      <c r="A263" s="126"/>
      <c r="B263" s="208"/>
      <c r="C263" s="128"/>
      <c r="D263" s="129"/>
      <c r="E263" s="126"/>
      <c r="F263" s="126"/>
      <c r="G263" s="126"/>
      <c r="H263" s="126"/>
      <c r="I263" s="126"/>
      <c r="J263" s="126"/>
      <c r="K263" s="126"/>
      <c r="L263" s="126"/>
      <c r="M263" s="126"/>
    </row>
    <row r="264" ht="16.5" customHeight="1">
      <c r="A264" s="126"/>
      <c r="B264" s="208"/>
      <c r="C264" s="128"/>
      <c r="D264" s="129"/>
      <c r="E264" s="126"/>
      <c r="F264" s="126"/>
      <c r="G264" s="126"/>
      <c r="H264" s="126"/>
      <c r="I264" s="126"/>
      <c r="J264" s="126"/>
      <c r="K264" s="126"/>
      <c r="L264" s="126"/>
      <c r="M264" s="126"/>
    </row>
    <row r="265" ht="16.5" customHeight="1">
      <c r="A265" s="126"/>
      <c r="B265" s="208"/>
      <c r="C265" s="128"/>
      <c r="D265" s="129"/>
      <c r="E265" s="126"/>
      <c r="F265" s="126"/>
      <c r="G265" s="126"/>
      <c r="H265" s="126"/>
      <c r="I265" s="126"/>
      <c r="J265" s="126"/>
      <c r="K265" s="126"/>
      <c r="L265" s="126"/>
      <c r="M265" s="126"/>
    </row>
    <row r="266" ht="16.5" customHeight="1">
      <c r="A266" s="126"/>
      <c r="B266" s="208"/>
      <c r="C266" s="128"/>
      <c r="D266" s="129"/>
      <c r="E266" s="126"/>
      <c r="F266" s="126"/>
      <c r="G266" s="126"/>
      <c r="H266" s="126"/>
      <c r="I266" s="126"/>
      <c r="J266" s="126"/>
      <c r="K266" s="126"/>
      <c r="L266" s="126"/>
      <c r="M266" s="126"/>
    </row>
    <row r="267" ht="16.5" customHeight="1">
      <c r="A267" s="126"/>
      <c r="B267" s="208"/>
      <c r="C267" s="128"/>
      <c r="D267" s="129"/>
      <c r="E267" s="126"/>
      <c r="F267" s="126"/>
      <c r="G267" s="126"/>
      <c r="H267" s="126"/>
      <c r="I267" s="126"/>
      <c r="J267" s="126"/>
      <c r="K267" s="126"/>
      <c r="L267" s="126"/>
      <c r="M267" s="126"/>
    </row>
    <row r="268" ht="16.5" customHeight="1">
      <c r="A268" s="126"/>
      <c r="B268" s="208"/>
      <c r="C268" s="128"/>
      <c r="D268" s="129"/>
      <c r="E268" s="126"/>
      <c r="F268" s="126"/>
      <c r="G268" s="126"/>
      <c r="H268" s="126"/>
      <c r="I268" s="126"/>
      <c r="J268" s="126"/>
      <c r="K268" s="126"/>
      <c r="L268" s="126"/>
      <c r="M268" s="126"/>
    </row>
    <row r="269" ht="16.5" customHeight="1">
      <c r="A269" s="126"/>
      <c r="B269" s="208"/>
      <c r="C269" s="128"/>
      <c r="D269" s="129"/>
      <c r="E269" s="126"/>
      <c r="F269" s="126"/>
      <c r="G269" s="126"/>
      <c r="H269" s="126"/>
      <c r="I269" s="126"/>
      <c r="J269" s="126"/>
      <c r="K269" s="126"/>
      <c r="L269" s="126"/>
      <c r="M269" s="126"/>
    </row>
    <row r="270" ht="16.5" customHeight="1">
      <c r="A270" s="126"/>
      <c r="B270" s="208"/>
      <c r="C270" s="128"/>
      <c r="D270" s="129"/>
      <c r="E270" s="126"/>
      <c r="F270" s="126"/>
      <c r="G270" s="126"/>
      <c r="H270" s="126"/>
      <c r="I270" s="126"/>
      <c r="J270" s="126"/>
      <c r="K270" s="126"/>
      <c r="L270" s="126"/>
      <c r="M270" s="126"/>
    </row>
    <row r="271" ht="16.5" customHeight="1">
      <c r="A271" s="126"/>
      <c r="B271" s="208"/>
      <c r="C271" s="128"/>
      <c r="D271" s="129"/>
      <c r="E271" s="126"/>
      <c r="F271" s="126"/>
      <c r="G271" s="126"/>
      <c r="H271" s="126"/>
      <c r="I271" s="126"/>
      <c r="J271" s="126"/>
      <c r="K271" s="126"/>
      <c r="L271" s="126"/>
      <c r="M271" s="126"/>
    </row>
    <row r="272" ht="16.5" customHeight="1">
      <c r="A272" s="126"/>
      <c r="B272" s="208"/>
      <c r="C272" s="128"/>
      <c r="D272" s="129"/>
      <c r="E272" s="126"/>
      <c r="F272" s="126"/>
      <c r="G272" s="126"/>
      <c r="H272" s="126"/>
      <c r="I272" s="126"/>
      <c r="J272" s="126"/>
      <c r="K272" s="126"/>
      <c r="L272" s="126"/>
      <c r="M272" s="126"/>
    </row>
    <row r="273" ht="16.5" customHeight="1">
      <c r="A273" s="126"/>
      <c r="B273" s="208"/>
      <c r="C273" s="128"/>
      <c r="D273" s="129"/>
      <c r="E273" s="126"/>
      <c r="F273" s="126"/>
      <c r="G273" s="126"/>
      <c r="H273" s="126"/>
      <c r="I273" s="126"/>
      <c r="J273" s="126"/>
      <c r="K273" s="126"/>
      <c r="L273" s="126"/>
      <c r="M273" s="126"/>
    </row>
    <row r="274" ht="16.5" customHeight="1">
      <c r="A274" s="126"/>
      <c r="B274" s="208"/>
      <c r="C274" s="128"/>
      <c r="D274" s="129"/>
      <c r="E274" s="126"/>
      <c r="F274" s="126"/>
      <c r="G274" s="126"/>
      <c r="H274" s="126"/>
      <c r="I274" s="126"/>
      <c r="J274" s="126"/>
      <c r="K274" s="126"/>
      <c r="L274" s="126"/>
      <c r="M274" s="126"/>
    </row>
    <row r="275" ht="16.5" customHeight="1">
      <c r="A275" s="126"/>
      <c r="B275" s="208"/>
      <c r="C275" s="128"/>
      <c r="D275" s="129"/>
      <c r="E275" s="126"/>
      <c r="F275" s="126"/>
      <c r="G275" s="126"/>
      <c r="H275" s="126"/>
      <c r="I275" s="126"/>
      <c r="J275" s="126"/>
      <c r="K275" s="126"/>
      <c r="L275" s="126"/>
      <c r="M275" s="126"/>
    </row>
    <row r="276" ht="16.5" customHeight="1">
      <c r="A276" s="126"/>
      <c r="B276" s="208"/>
      <c r="C276" s="128"/>
      <c r="D276" s="129"/>
      <c r="E276" s="126"/>
      <c r="F276" s="126"/>
      <c r="G276" s="126"/>
      <c r="H276" s="126"/>
      <c r="I276" s="126"/>
      <c r="J276" s="126"/>
      <c r="K276" s="126"/>
      <c r="L276" s="126"/>
      <c r="M276" s="126"/>
    </row>
    <row r="277" ht="16.5" customHeight="1">
      <c r="A277" s="126"/>
      <c r="B277" s="208"/>
      <c r="C277" s="128"/>
      <c r="D277" s="129"/>
      <c r="E277" s="126"/>
      <c r="F277" s="126"/>
      <c r="G277" s="126"/>
      <c r="H277" s="126"/>
      <c r="I277" s="126"/>
      <c r="J277" s="126"/>
      <c r="K277" s="126"/>
      <c r="L277" s="126"/>
      <c r="M277" s="126"/>
    </row>
    <row r="278" ht="16.5" customHeight="1">
      <c r="A278" s="126"/>
      <c r="B278" s="208"/>
      <c r="C278" s="128"/>
      <c r="D278" s="129"/>
      <c r="E278" s="126"/>
      <c r="F278" s="126"/>
      <c r="G278" s="126"/>
      <c r="H278" s="126"/>
      <c r="I278" s="126"/>
      <c r="J278" s="126"/>
      <c r="K278" s="126"/>
      <c r="L278" s="126"/>
      <c r="M278" s="126"/>
    </row>
    <row r="279" ht="16.5" customHeight="1">
      <c r="A279" s="126"/>
      <c r="B279" s="208"/>
      <c r="C279" s="128"/>
      <c r="D279" s="129"/>
      <c r="E279" s="126"/>
      <c r="F279" s="126"/>
      <c r="G279" s="126"/>
      <c r="H279" s="126"/>
      <c r="I279" s="126"/>
      <c r="J279" s="126"/>
      <c r="K279" s="126"/>
      <c r="L279" s="126"/>
      <c r="M279" s="126"/>
    </row>
    <row r="280" ht="16.5" customHeight="1">
      <c r="A280" s="126"/>
      <c r="B280" s="208"/>
      <c r="C280" s="128"/>
      <c r="D280" s="129"/>
      <c r="E280" s="126"/>
      <c r="F280" s="126"/>
      <c r="G280" s="126"/>
      <c r="H280" s="126"/>
      <c r="I280" s="126"/>
      <c r="J280" s="126"/>
      <c r="K280" s="126"/>
      <c r="L280" s="126"/>
      <c r="M280" s="126"/>
    </row>
    <row r="281" ht="16.5" customHeight="1">
      <c r="A281" s="126"/>
      <c r="B281" s="208"/>
      <c r="C281" s="128"/>
      <c r="D281" s="129"/>
      <c r="E281" s="126"/>
      <c r="F281" s="126"/>
      <c r="G281" s="126"/>
      <c r="H281" s="126"/>
      <c r="I281" s="126"/>
      <c r="J281" s="126"/>
      <c r="K281" s="126"/>
      <c r="L281" s="126"/>
      <c r="M281" s="126"/>
    </row>
    <row r="282" ht="16.5" customHeight="1">
      <c r="A282" s="126"/>
      <c r="B282" s="208"/>
      <c r="C282" s="128"/>
      <c r="D282" s="129"/>
      <c r="E282" s="126"/>
      <c r="F282" s="126"/>
      <c r="G282" s="126"/>
      <c r="H282" s="126"/>
      <c r="I282" s="126"/>
      <c r="J282" s="126"/>
      <c r="K282" s="126"/>
      <c r="L282" s="126"/>
      <c r="M282" s="126"/>
    </row>
    <row r="283" ht="16.5" customHeight="1">
      <c r="A283" s="126"/>
      <c r="B283" s="208"/>
      <c r="C283" s="128"/>
      <c r="D283" s="129"/>
      <c r="E283" s="126"/>
      <c r="F283" s="126"/>
      <c r="G283" s="126"/>
      <c r="H283" s="126"/>
      <c r="I283" s="126"/>
      <c r="J283" s="126"/>
      <c r="K283" s="126"/>
      <c r="L283" s="126"/>
      <c r="M283" s="126"/>
    </row>
    <row r="284" ht="16.5" customHeight="1">
      <c r="A284" s="126"/>
      <c r="B284" s="208"/>
      <c r="C284" s="128"/>
      <c r="D284" s="129"/>
      <c r="E284" s="126"/>
      <c r="F284" s="126"/>
      <c r="G284" s="126"/>
      <c r="H284" s="126"/>
      <c r="I284" s="126"/>
      <c r="J284" s="126"/>
      <c r="K284" s="126"/>
      <c r="L284" s="126"/>
      <c r="M284" s="126"/>
    </row>
    <row r="285" ht="16.5" customHeight="1">
      <c r="A285" s="126"/>
      <c r="B285" s="208"/>
      <c r="C285" s="128"/>
      <c r="D285" s="129"/>
      <c r="E285" s="126"/>
      <c r="F285" s="126"/>
      <c r="G285" s="126"/>
      <c r="H285" s="126"/>
      <c r="I285" s="126"/>
      <c r="J285" s="126"/>
      <c r="K285" s="126"/>
      <c r="L285" s="126"/>
      <c r="M285" s="126"/>
    </row>
    <row r="286" ht="16.5" customHeight="1">
      <c r="A286" s="126"/>
      <c r="B286" s="208"/>
      <c r="C286" s="128"/>
      <c r="D286" s="129"/>
      <c r="E286" s="126"/>
      <c r="F286" s="126"/>
      <c r="G286" s="126"/>
      <c r="H286" s="126"/>
      <c r="I286" s="126"/>
      <c r="J286" s="126"/>
      <c r="K286" s="126"/>
      <c r="L286" s="126"/>
      <c r="M286" s="126"/>
    </row>
    <row r="287" ht="16.5" customHeight="1">
      <c r="A287" s="126"/>
      <c r="B287" s="208"/>
      <c r="C287" s="128"/>
      <c r="D287" s="129"/>
      <c r="E287" s="126"/>
      <c r="F287" s="126"/>
      <c r="G287" s="126"/>
      <c r="H287" s="126"/>
      <c r="I287" s="126"/>
      <c r="J287" s="126"/>
      <c r="K287" s="126"/>
      <c r="L287" s="126"/>
      <c r="M287" s="126"/>
    </row>
    <row r="288" ht="16.5" customHeight="1">
      <c r="A288" s="126"/>
      <c r="B288" s="208"/>
      <c r="C288" s="128"/>
      <c r="D288" s="129"/>
      <c r="E288" s="126"/>
      <c r="F288" s="126"/>
      <c r="G288" s="126"/>
      <c r="H288" s="126"/>
      <c r="I288" s="126"/>
      <c r="J288" s="126"/>
      <c r="K288" s="126"/>
      <c r="L288" s="126"/>
      <c r="M288" s="126"/>
    </row>
    <row r="289" ht="16.5" customHeight="1">
      <c r="A289" s="126"/>
      <c r="B289" s="208"/>
      <c r="C289" s="128"/>
      <c r="D289" s="129"/>
      <c r="E289" s="126"/>
      <c r="F289" s="126"/>
      <c r="G289" s="126"/>
      <c r="H289" s="126"/>
      <c r="I289" s="126"/>
      <c r="J289" s="126"/>
      <c r="K289" s="126"/>
      <c r="L289" s="126"/>
      <c r="M289" s="126"/>
    </row>
    <row r="290" ht="16.5" customHeight="1">
      <c r="A290" s="126"/>
      <c r="B290" s="208"/>
      <c r="C290" s="128"/>
      <c r="D290" s="129"/>
      <c r="E290" s="126"/>
      <c r="F290" s="126"/>
      <c r="G290" s="126"/>
      <c r="H290" s="126"/>
      <c r="I290" s="126"/>
      <c r="J290" s="126"/>
      <c r="K290" s="126"/>
      <c r="L290" s="126"/>
      <c r="M290" s="126"/>
    </row>
    <row r="291" ht="16.5" customHeight="1">
      <c r="A291" s="126"/>
      <c r="B291" s="208"/>
      <c r="C291" s="128"/>
      <c r="D291" s="129"/>
      <c r="E291" s="126"/>
      <c r="F291" s="126"/>
      <c r="G291" s="126"/>
      <c r="H291" s="126"/>
      <c r="I291" s="126"/>
      <c r="J291" s="126"/>
      <c r="K291" s="126"/>
      <c r="L291" s="126"/>
      <c r="M291" s="126"/>
    </row>
    <row r="292" ht="16.5" customHeight="1">
      <c r="A292" s="126"/>
      <c r="B292" s="208"/>
      <c r="C292" s="128"/>
      <c r="D292" s="129"/>
      <c r="E292" s="126"/>
      <c r="F292" s="126"/>
      <c r="G292" s="126"/>
      <c r="H292" s="126"/>
      <c r="I292" s="126"/>
      <c r="J292" s="126"/>
      <c r="K292" s="126"/>
      <c r="L292" s="126"/>
      <c r="M292" s="126"/>
    </row>
    <row r="293" ht="16.5" customHeight="1">
      <c r="A293" s="126"/>
      <c r="B293" s="127"/>
      <c r="C293" s="128"/>
      <c r="D293" s="129"/>
      <c r="E293" s="126"/>
      <c r="F293" s="126"/>
      <c r="G293" s="126"/>
      <c r="H293" s="126"/>
      <c r="I293" s="126"/>
      <c r="J293" s="126"/>
      <c r="K293" s="126"/>
      <c r="L293" s="126"/>
      <c r="M293" s="126"/>
    </row>
    <row r="294" ht="16.5" customHeight="1">
      <c r="A294" s="126"/>
      <c r="B294" s="127"/>
      <c r="C294" s="128"/>
      <c r="D294" s="129"/>
      <c r="E294" s="126"/>
      <c r="F294" s="126"/>
      <c r="G294" s="126"/>
      <c r="H294" s="126"/>
      <c r="I294" s="126"/>
      <c r="J294" s="126"/>
      <c r="K294" s="126"/>
      <c r="L294" s="126"/>
      <c r="M294" s="126"/>
    </row>
    <row r="295" ht="16.5" customHeight="1">
      <c r="A295" s="126"/>
      <c r="B295" s="127"/>
      <c r="C295" s="128"/>
      <c r="D295" s="129"/>
      <c r="E295" s="126"/>
      <c r="F295" s="126"/>
      <c r="G295" s="126"/>
      <c r="H295" s="126"/>
      <c r="I295" s="126"/>
      <c r="J295" s="126"/>
      <c r="K295" s="126"/>
      <c r="L295" s="126"/>
      <c r="M295" s="126"/>
    </row>
    <row r="296" ht="16.5" customHeight="1">
      <c r="A296" s="126"/>
      <c r="B296" s="127"/>
      <c r="C296" s="128"/>
      <c r="D296" s="129"/>
      <c r="E296" s="126"/>
      <c r="F296" s="126"/>
      <c r="G296" s="126"/>
      <c r="H296" s="126"/>
      <c r="I296" s="126"/>
      <c r="J296" s="126"/>
      <c r="K296" s="126"/>
      <c r="L296" s="126"/>
      <c r="M296" s="126"/>
    </row>
    <row r="297" ht="16.5" customHeight="1">
      <c r="A297" s="126"/>
      <c r="B297" s="127"/>
      <c r="C297" s="128"/>
      <c r="D297" s="129"/>
      <c r="E297" s="126"/>
      <c r="F297" s="126"/>
      <c r="G297" s="126"/>
      <c r="H297" s="126"/>
      <c r="I297" s="126"/>
      <c r="J297" s="126"/>
      <c r="K297" s="126"/>
      <c r="L297" s="126"/>
      <c r="M297" s="126"/>
    </row>
    <row r="298" ht="16.5" customHeight="1">
      <c r="A298" s="126"/>
      <c r="B298" s="127"/>
      <c r="C298" s="128"/>
      <c r="D298" s="129"/>
      <c r="E298" s="126"/>
      <c r="F298" s="126"/>
      <c r="G298" s="126"/>
      <c r="H298" s="126"/>
      <c r="I298" s="126"/>
      <c r="J298" s="126"/>
      <c r="K298" s="126"/>
      <c r="L298" s="126"/>
      <c r="M298" s="126"/>
    </row>
    <row r="299" ht="16.5" customHeight="1">
      <c r="A299" s="126"/>
      <c r="B299" s="127"/>
      <c r="C299" s="128"/>
      <c r="D299" s="129"/>
      <c r="E299" s="126"/>
      <c r="F299" s="126"/>
      <c r="G299" s="126"/>
      <c r="H299" s="126"/>
      <c r="I299" s="126"/>
      <c r="J299" s="126"/>
      <c r="K299" s="126"/>
      <c r="L299" s="126"/>
      <c r="M299" s="126"/>
    </row>
    <row r="300" ht="16.5" customHeight="1">
      <c r="A300" s="126"/>
      <c r="B300" s="127"/>
      <c r="C300" s="128"/>
      <c r="D300" s="129"/>
      <c r="E300" s="126"/>
      <c r="F300" s="126"/>
      <c r="G300" s="126"/>
      <c r="H300" s="126"/>
      <c r="I300" s="126"/>
      <c r="J300" s="126"/>
      <c r="K300" s="126"/>
      <c r="L300" s="126"/>
      <c r="M300" s="126"/>
    </row>
    <row r="301" ht="15.75" customHeight="1">
      <c r="A301" s="209"/>
      <c r="B301" s="209"/>
      <c r="C301" s="210"/>
      <c r="D301" s="211"/>
      <c r="E301" s="209"/>
      <c r="F301" s="209"/>
      <c r="G301" s="209"/>
      <c r="H301" s="209"/>
      <c r="I301" s="209"/>
      <c r="J301" s="209"/>
      <c r="K301" s="209"/>
      <c r="L301" s="209"/>
      <c r="M301" s="209"/>
    </row>
    <row r="302" ht="15.75" customHeight="1">
      <c r="A302" s="209"/>
      <c r="B302" s="209"/>
      <c r="C302" s="210"/>
      <c r="D302" s="211"/>
      <c r="E302" s="209"/>
      <c r="F302" s="209"/>
      <c r="G302" s="209"/>
      <c r="H302" s="209"/>
      <c r="I302" s="209"/>
      <c r="J302" s="209"/>
      <c r="K302" s="209"/>
      <c r="L302" s="209"/>
      <c r="M302" s="209"/>
    </row>
    <row r="303" ht="15.75" customHeight="1">
      <c r="A303" s="209"/>
      <c r="B303" s="209"/>
      <c r="C303" s="210"/>
      <c r="D303" s="211"/>
      <c r="E303" s="209"/>
      <c r="F303" s="209"/>
      <c r="G303" s="209"/>
      <c r="H303" s="209"/>
      <c r="I303" s="209"/>
      <c r="J303" s="209"/>
      <c r="K303" s="209"/>
      <c r="L303" s="209"/>
      <c r="M303" s="209"/>
    </row>
    <row r="304" ht="15.75" customHeight="1">
      <c r="A304" s="209"/>
      <c r="B304" s="209"/>
      <c r="C304" s="210"/>
      <c r="D304" s="211"/>
      <c r="E304" s="209"/>
      <c r="F304" s="209"/>
      <c r="G304" s="209"/>
      <c r="H304" s="209"/>
      <c r="I304" s="209"/>
      <c r="J304" s="209"/>
      <c r="K304" s="209"/>
      <c r="L304" s="209"/>
      <c r="M304" s="209"/>
    </row>
    <row r="305" ht="15.75" customHeight="1">
      <c r="A305" s="209"/>
      <c r="B305" s="209"/>
      <c r="C305" s="210"/>
      <c r="D305" s="211"/>
      <c r="E305" s="209"/>
      <c r="F305" s="209"/>
      <c r="G305" s="209"/>
      <c r="H305" s="209"/>
      <c r="I305" s="209"/>
      <c r="J305" s="209"/>
      <c r="K305" s="209"/>
      <c r="L305" s="209"/>
      <c r="M305" s="209"/>
    </row>
    <row r="306" ht="15.75" customHeight="1">
      <c r="A306" s="209"/>
      <c r="B306" s="209"/>
      <c r="C306" s="210"/>
      <c r="D306" s="211"/>
      <c r="E306" s="209"/>
      <c r="F306" s="209"/>
      <c r="G306" s="209"/>
      <c r="H306" s="209"/>
      <c r="I306" s="209"/>
      <c r="J306" s="209"/>
      <c r="K306" s="209"/>
      <c r="L306" s="209"/>
      <c r="M306" s="209"/>
    </row>
    <row r="307" ht="15.75" customHeight="1">
      <c r="A307" s="209"/>
      <c r="B307" s="209"/>
      <c r="C307" s="210"/>
      <c r="D307" s="211"/>
      <c r="E307" s="209"/>
      <c r="F307" s="209"/>
      <c r="G307" s="209"/>
      <c r="H307" s="209"/>
      <c r="I307" s="209"/>
      <c r="J307" s="209"/>
      <c r="K307" s="209"/>
      <c r="L307" s="209"/>
      <c r="M307" s="209"/>
    </row>
    <row r="308" ht="15.75" customHeight="1">
      <c r="A308" s="209"/>
      <c r="B308" s="209"/>
      <c r="C308" s="210"/>
      <c r="D308" s="211"/>
      <c r="E308" s="209"/>
      <c r="F308" s="209"/>
      <c r="G308" s="209"/>
      <c r="H308" s="209"/>
      <c r="I308" s="209"/>
      <c r="J308" s="209"/>
      <c r="K308" s="209"/>
      <c r="L308" s="209"/>
      <c r="M308" s="209"/>
    </row>
    <row r="309" ht="15.75" customHeight="1">
      <c r="A309" s="209"/>
      <c r="B309" s="209"/>
      <c r="C309" s="210"/>
      <c r="D309" s="211"/>
      <c r="E309" s="209"/>
      <c r="F309" s="209"/>
      <c r="G309" s="209"/>
      <c r="H309" s="209"/>
      <c r="I309" s="209"/>
      <c r="J309" s="209"/>
      <c r="K309" s="209"/>
      <c r="L309" s="209"/>
      <c r="M309" s="209"/>
    </row>
    <row r="310" ht="15.75" customHeight="1">
      <c r="A310" s="209"/>
      <c r="B310" s="209"/>
      <c r="C310" s="210"/>
      <c r="D310" s="211"/>
      <c r="E310" s="209"/>
      <c r="F310" s="209"/>
      <c r="G310" s="209"/>
      <c r="H310" s="209"/>
      <c r="I310" s="209"/>
      <c r="J310" s="209"/>
      <c r="K310" s="209"/>
      <c r="L310" s="209"/>
      <c r="M310" s="209"/>
    </row>
    <row r="311" ht="15.75" customHeight="1">
      <c r="A311" s="209"/>
      <c r="B311" s="209"/>
      <c r="C311" s="210"/>
      <c r="D311" s="211"/>
      <c r="E311" s="209"/>
      <c r="F311" s="209"/>
      <c r="G311" s="209"/>
      <c r="H311" s="209"/>
      <c r="I311" s="209"/>
      <c r="J311" s="209"/>
      <c r="K311" s="209"/>
      <c r="L311" s="209"/>
      <c r="M311" s="209"/>
    </row>
    <row r="312" ht="15.75" customHeight="1">
      <c r="A312" s="209"/>
      <c r="B312" s="209"/>
      <c r="C312" s="210"/>
      <c r="D312" s="211"/>
      <c r="E312" s="209"/>
      <c r="F312" s="209"/>
      <c r="G312" s="209"/>
      <c r="H312" s="209"/>
      <c r="I312" s="209"/>
      <c r="J312" s="209"/>
      <c r="K312" s="209"/>
      <c r="L312" s="209"/>
      <c r="M312" s="209"/>
    </row>
    <row r="313" ht="15.75" customHeight="1">
      <c r="A313" s="209"/>
      <c r="B313" s="209"/>
      <c r="C313" s="210"/>
      <c r="D313" s="211"/>
      <c r="E313" s="209"/>
      <c r="F313" s="209"/>
      <c r="G313" s="209"/>
      <c r="H313" s="209"/>
      <c r="I313" s="209"/>
      <c r="J313" s="209"/>
      <c r="K313" s="209"/>
      <c r="L313" s="209"/>
      <c r="M313" s="209"/>
    </row>
    <row r="314" ht="15.75" customHeight="1">
      <c r="A314" s="209"/>
      <c r="B314" s="209"/>
      <c r="C314" s="210"/>
      <c r="D314" s="211"/>
      <c r="E314" s="209"/>
      <c r="F314" s="209"/>
      <c r="G314" s="209"/>
      <c r="H314" s="209"/>
      <c r="I314" s="209"/>
      <c r="J314" s="209"/>
      <c r="K314" s="209"/>
      <c r="L314" s="209"/>
      <c r="M314" s="209"/>
    </row>
    <row r="315" ht="15.75" customHeight="1">
      <c r="A315" s="209"/>
      <c r="B315" s="209"/>
      <c r="C315" s="210"/>
      <c r="D315" s="211"/>
      <c r="E315" s="209"/>
      <c r="F315" s="209"/>
      <c r="G315" s="209"/>
      <c r="H315" s="209"/>
      <c r="I315" s="209"/>
      <c r="J315" s="209"/>
      <c r="K315" s="209"/>
      <c r="L315" s="209"/>
      <c r="M315" s="209"/>
    </row>
    <row r="316" ht="15.75" customHeight="1">
      <c r="A316" s="209"/>
      <c r="B316" s="209"/>
      <c r="C316" s="210"/>
      <c r="D316" s="211"/>
      <c r="E316" s="209"/>
      <c r="F316" s="209"/>
      <c r="G316" s="209"/>
      <c r="H316" s="209"/>
      <c r="I316" s="209"/>
      <c r="J316" s="209"/>
      <c r="K316" s="209"/>
      <c r="L316" s="209"/>
      <c r="M316" s="209"/>
    </row>
    <row r="317" ht="15.75" customHeight="1">
      <c r="A317" s="209"/>
      <c r="B317" s="209"/>
      <c r="C317" s="210"/>
      <c r="D317" s="211"/>
      <c r="E317" s="209"/>
      <c r="F317" s="209"/>
      <c r="G317" s="209"/>
      <c r="H317" s="209"/>
      <c r="I317" s="209"/>
      <c r="J317" s="209"/>
      <c r="K317" s="209"/>
      <c r="L317" s="209"/>
      <c r="M317" s="209"/>
    </row>
    <row r="318" ht="15.75" customHeight="1">
      <c r="A318" s="209"/>
      <c r="B318" s="209"/>
      <c r="C318" s="210"/>
      <c r="D318" s="211"/>
      <c r="E318" s="209"/>
      <c r="F318" s="209"/>
      <c r="G318" s="209"/>
      <c r="H318" s="209"/>
      <c r="I318" s="209"/>
      <c r="J318" s="209"/>
      <c r="K318" s="209"/>
      <c r="L318" s="209"/>
      <c r="M318" s="209"/>
    </row>
    <row r="319" ht="15.75" customHeight="1">
      <c r="A319" s="209"/>
      <c r="B319" s="209"/>
      <c r="C319" s="210"/>
      <c r="D319" s="211"/>
      <c r="E319" s="209"/>
      <c r="F319" s="209"/>
      <c r="G319" s="209"/>
      <c r="H319" s="209"/>
      <c r="I319" s="209"/>
      <c r="J319" s="209"/>
      <c r="K319" s="209"/>
      <c r="L319" s="209"/>
      <c r="M319" s="209"/>
    </row>
    <row r="320" ht="15.75" customHeight="1">
      <c r="A320" s="209"/>
      <c r="B320" s="209"/>
      <c r="C320" s="210"/>
      <c r="D320" s="211"/>
      <c r="E320" s="209"/>
      <c r="F320" s="209"/>
      <c r="G320" s="209"/>
      <c r="H320" s="209"/>
      <c r="I320" s="209"/>
      <c r="J320" s="209"/>
      <c r="K320" s="209"/>
      <c r="L320" s="209"/>
      <c r="M320" s="209"/>
    </row>
    <row r="321" ht="15.75" customHeight="1">
      <c r="A321" s="209"/>
      <c r="B321" s="209"/>
      <c r="C321" s="210"/>
      <c r="D321" s="211"/>
      <c r="E321" s="209"/>
      <c r="F321" s="209"/>
      <c r="G321" s="209"/>
      <c r="H321" s="209"/>
      <c r="I321" s="209"/>
      <c r="J321" s="209"/>
      <c r="K321" s="209"/>
      <c r="L321" s="209"/>
      <c r="M321" s="209"/>
    </row>
    <row r="322" ht="15.75" customHeight="1">
      <c r="A322" s="209"/>
      <c r="B322" s="209"/>
      <c r="C322" s="210"/>
      <c r="D322" s="211"/>
      <c r="E322" s="209"/>
      <c r="F322" s="209"/>
      <c r="G322" s="209"/>
      <c r="H322" s="209"/>
      <c r="I322" s="209"/>
      <c r="J322" s="209"/>
      <c r="K322" s="209"/>
      <c r="L322" s="209"/>
      <c r="M322" s="209"/>
    </row>
    <row r="323" ht="15.75" customHeight="1">
      <c r="A323" s="209"/>
      <c r="B323" s="209"/>
      <c r="C323" s="210"/>
      <c r="D323" s="211"/>
      <c r="E323" s="209"/>
      <c r="F323" s="209"/>
      <c r="G323" s="209"/>
      <c r="H323" s="209"/>
      <c r="I323" s="209"/>
      <c r="J323" s="209"/>
      <c r="K323" s="209"/>
      <c r="L323" s="209"/>
      <c r="M323" s="209"/>
    </row>
    <row r="324" ht="15.75" customHeight="1">
      <c r="A324" s="209"/>
      <c r="B324" s="209"/>
      <c r="C324" s="210"/>
      <c r="D324" s="211"/>
      <c r="E324" s="209"/>
      <c r="F324" s="209"/>
      <c r="G324" s="209"/>
      <c r="H324" s="209"/>
      <c r="I324" s="209"/>
      <c r="J324" s="209"/>
      <c r="K324" s="209"/>
      <c r="L324" s="209"/>
      <c r="M324" s="209"/>
    </row>
    <row r="325" ht="15.75" customHeight="1">
      <c r="A325" s="209"/>
      <c r="B325" s="209"/>
      <c r="C325" s="210"/>
      <c r="D325" s="211"/>
      <c r="E325" s="209"/>
      <c r="F325" s="209"/>
      <c r="G325" s="209"/>
      <c r="H325" s="209"/>
      <c r="I325" s="209"/>
      <c r="J325" s="209"/>
      <c r="K325" s="209"/>
      <c r="L325" s="209"/>
      <c r="M325" s="209"/>
    </row>
    <row r="326" ht="15.75" customHeight="1">
      <c r="A326" s="209"/>
      <c r="B326" s="209"/>
      <c r="C326" s="210"/>
      <c r="D326" s="211"/>
      <c r="E326" s="209"/>
      <c r="F326" s="209"/>
      <c r="G326" s="209"/>
      <c r="H326" s="209"/>
      <c r="I326" s="209"/>
      <c r="J326" s="209"/>
      <c r="K326" s="209"/>
      <c r="L326" s="209"/>
      <c r="M326" s="209"/>
    </row>
    <row r="327" ht="15.75" customHeight="1">
      <c r="A327" s="209"/>
      <c r="B327" s="209"/>
      <c r="C327" s="210"/>
      <c r="D327" s="211"/>
      <c r="E327" s="209"/>
      <c r="F327" s="209"/>
      <c r="G327" s="209"/>
      <c r="H327" s="209"/>
      <c r="I327" s="209"/>
      <c r="J327" s="209"/>
      <c r="K327" s="209"/>
      <c r="L327" s="209"/>
      <c r="M327" s="209"/>
    </row>
    <row r="328" ht="15.75" customHeight="1">
      <c r="A328" s="209"/>
      <c r="B328" s="209"/>
      <c r="C328" s="210"/>
      <c r="D328" s="211"/>
      <c r="E328" s="209"/>
      <c r="F328" s="209"/>
      <c r="G328" s="209"/>
      <c r="H328" s="209"/>
      <c r="I328" s="209"/>
      <c r="J328" s="209"/>
      <c r="K328" s="209"/>
      <c r="L328" s="209"/>
      <c r="M328" s="209"/>
    </row>
    <row r="329" ht="15.75" customHeight="1">
      <c r="A329" s="209"/>
      <c r="B329" s="209"/>
      <c r="C329" s="210"/>
      <c r="D329" s="211"/>
      <c r="E329" s="209"/>
      <c r="F329" s="209"/>
      <c r="G329" s="209"/>
      <c r="H329" s="209"/>
      <c r="I329" s="209"/>
      <c r="J329" s="209"/>
      <c r="K329" s="209"/>
      <c r="L329" s="209"/>
      <c r="M329" s="209"/>
    </row>
    <row r="330" ht="15.75" customHeight="1">
      <c r="A330" s="209"/>
      <c r="B330" s="209"/>
      <c r="C330" s="210"/>
      <c r="D330" s="211"/>
      <c r="E330" s="209"/>
      <c r="F330" s="209"/>
      <c r="G330" s="209"/>
      <c r="H330" s="209"/>
      <c r="I330" s="209"/>
      <c r="J330" s="209"/>
      <c r="K330" s="209"/>
      <c r="L330" s="209"/>
      <c r="M330" s="209"/>
    </row>
    <row r="331" ht="15.75" customHeight="1">
      <c r="A331" s="209"/>
      <c r="B331" s="209"/>
      <c r="C331" s="210"/>
      <c r="D331" s="211"/>
      <c r="E331" s="209"/>
      <c r="F331" s="209"/>
      <c r="G331" s="209"/>
      <c r="H331" s="209"/>
      <c r="I331" s="209"/>
      <c r="J331" s="209"/>
      <c r="K331" s="209"/>
      <c r="L331" s="209"/>
      <c r="M331" s="209"/>
    </row>
    <row r="332" ht="15.75" customHeight="1">
      <c r="A332" s="209"/>
      <c r="B332" s="209"/>
      <c r="C332" s="210"/>
      <c r="D332" s="211"/>
      <c r="E332" s="209"/>
      <c r="F332" s="209"/>
      <c r="G332" s="209"/>
      <c r="H332" s="209"/>
      <c r="I332" s="209"/>
      <c r="J332" s="209"/>
      <c r="K332" s="209"/>
      <c r="L332" s="209"/>
      <c r="M332" s="209"/>
    </row>
    <row r="333" ht="15.75" customHeight="1">
      <c r="A333" s="209"/>
      <c r="B333" s="209"/>
      <c r="C333" s="210"/>
      <c r="D333" s="211"/>
      <c r="E333" s="209"/>
      <c r="F333" s="209"/>
      <c r="G333" s="209"/>
      <c r="H333" s="209"/>
      <c r="I333" s="209"/>
      <c r="J333" s="209"/>
      <c r="K333" s="209"/>
      <c r="L333" s="209"/>
      <c r="M333" s="209"/>
    </row>
    <row r="334" ht="15.75" customHeight="1">
      <c r="A334" s="209"/>
      <c r="B334" s="209"/>
      <c r="C334" s="210"/>
      <c r="D334" s="211"/>
      <c r="E334" s="209"/>
      <c r="F334" s="209"/>
      <c r="G334" s="209"/>
      <c r="H334" s="209"/>
      <c r="I334" s="209"/>
      <c r="J334" s="209"/>
      <c r="K334" s="209"/>
      <c r="L334" s="209"/>
      <c r="M334" s="209"/>
    </row>
    <row r="335" ht="15.75" customHeight="1">
      <c r="A335" s="209"/>
      <c r="B335" s="209"/>
      <c r="C335" s="210"/>
      <c r="D335" s="211"/>
      <c r="E335" s="209"/>
      <c r="F335" s="209"/>
      <c r="G335" s="209"/>
      <c r="H335" s="209"/>
      <c r="I335" s="209"/>
      <c r="J335" s="209"/>
      <c r="K335" s="209"/>
      <c r="L335" s="209"/>
      <c r="M335" s="209"/>
    </row>
    <row r="336" ht="15.75" customHeight="1">
      <c r="A336" s="209"/>
      <c r="B336" s="209"/>
      <c r="C336" s="210"/>
      <c r="D336" s="211"/>
      <c r="E336" s="209"/>
      <c r="F336" s="209"/>
      <c r="G336" s="209"/>
      <c r="H336" s="209"/>
      <c r="I336" s="209"/>
      <c r="J336" s="209"/>
      <c r="K336" s="209"/>
      <c r="L336" s="209"/>
      <c r="M336" s="209"/>
    </row>
    <row r="337" ht="15.75" customHeight="1">
      <c r="A337" s="209"/>
      <c r="B337" s="209"/>
      <c r="C337" s="210"/>
      <c r="D337" s="211"/>
      <c r="E337" s="209"/>
      <c r="F337" s="209"/>
      <c r="G337" s="209"/>
      <c r="H337" s="209"/>
      <c r="I337" s="209"/>
      <c r="J337" s="209"/>
      <c r="K337" s="209"/>
      <c r="L337" s="209"/>
      <c r="M337" s="209"/>
    </row>
    <row r="338" ht="15.75" customHeight="1">
      <c r="A338" s="209"/>
      <c r="B338" s="209"/>
      <c r="C338" s="210"/>
      <c r="D338" s="211"/>
      <c r="E338" s="209"/>
      <c r="F338" s="209"/>
      <c r="G338" s="209"/>
      <c r="H338" s="209"/>
      <c r="I338" s="209"/>
      <c r="J338" s="209"/>
      <c r="K338" s="209"/>
      <c r="L338" s="209"/>
      <c r="M338" s="209"/>
    </row>
    <row r="339" ht="15.75" customHeight="1">
      <c r="A339" s="209"/>
      <c r="B339" s="209"/>
      <c r="C339" s="210"/>
      <c r="D339" s="211"/>
      <c r="E339" s="209"/>
      <c r="F339" s="209"/>
      <c r="G339" s="209"/>
      <c r="H339" s="209"/>
      <c r="I339" s="209"/>
      <c r="J339" s="209"/>
      <c r="K339" s="209"/>
      <c r="L339" s="209"/>
      <c r="M339" s="209"/>
    </row>
    <row r="340" ht="15.75" customHeight="1">
      <c r="A340" s="209"/>
      <c r="B340" s="209"/>
      <c r="C340" s="210"/>
      <c r="D340" s="211"/>
      <c r="E340" s="209"/>
      <c r="F340" s="209"/>
      <c r="G340" s="209"/>
      <c r="H340" s="209"/>
      <c r="I340" s="209"/>
      <c r="J340" s="209"/>
      <c r="K340" s="209"/>
      <c r="L340" s="209"/>
      <c r="M340" s="209"/>
    </row>
    <row r="341" ht="15.75" customHeight="1">
      <c r="A341" s="209"/>
      <c r="B341" s="209"/>
      <c r="C341" s="210"/>
      <c r="D341" s="211"/>
      <c r="E341" s="209"/>
      <c r="F341" s="209"/>
      <c r="G341" s="209"/>
      <c r="H341" s="209"/>
      <c r="I341" s="209"/>
      <c r="J341" s="209"/>
      <c r="K341" s="209"/>
      <c r="L341" s="209"/>
      <c r="M341" s="209"/>
    </row>
    <row r="342" ht="15.75" customHeight="1">
      <c r="A342" s="209"/>
      <c r="B342" s="209"/>
      <c r="C342" s="210"/>
      <c r="D342" s="211"/>
      <c r="E342" s="209"/>
      <c r="F342" s="209"/>
      <c r="G342" s="209"/>
      <c r="H342" s="209"/>
      <c r="I342" s="209"/>
      <c r="J342" s="209"/>
      <c r="K342" s="209"/>
      <c r="L342" s="209"/>
      <c r="M342" s="209"/>
    </row>
    <row r="343" ht="15.75" customHeight="1">
      <c r="A343" s="209"/>
      <c r="B343" s="209"/>
      <c r="C343" s="210"/>
      <c r="D343" s="211"/>
      <c r="E343" s="209"/>
      <c r="F343" s="209"/>
      <c r="G343" s="209"/>
      <c r="H343" s="209"/>
      <c r="I343" s="209"/>
      <c r="J343" s="209"/>
      <c r="K343" s="209"/>
      <c r="L343" s="209"/>
      <c r="M343" s="209"/>
    </row>
    <row r="344" ht="15.75" customHeight="1">
      <c r="A344" s="209"/>
      <c r="B344" s="209"/>
      <c r="C344" s="210"/>
      <c r="D344" s="211"/>
      <c r="E344" s="209"/>
      <c r="F344" s="209"/>
      <c r="G344" s="209"/>
      <c r="H344" s="209"/>
      <c r="I344" s="209"/>
      <c r="J344" s="209"/>
      <c r="K344" s="209"/>
      <c r="L344" s="209"/>
      <c r="M344" s="209"/>
    </row>
    <row r="345" ht="15.75" customHeight="1">
      <c r="A345" s="209"/>
      <c r="B345" s="209"/>
      <c r="C345" s="210"/>
      <c r="D345" s="211"/>
      <c r="E345" s="209"/>
      <c r="F345" s="209"/>
      <c r="G345" s="209"/>
      <c r="H345" s="209"/>
      <c r="I345" s="209"/>
      <c r="J345" s="209"/>
      <c r="K345" s="209"/>
      <c r="L345" s="209"/>
      <c r="M345" s="209"/>
    </row>
    <row r="346" ht="15.75" customHeight="1">
      <c r="A346" s="209"/>
      <c r="B346" s="209"/>
      <c r="C346" s="210"/>
      <c r="D346" s="211"/>
      <c r="E346" s="209"/>
      <c r="F346" s="209"/>
      <c r="G346" s="209"/>
      <c r="H346" s="209"/>
      <c r="I346" s="209"/>
      <c r="J346" s="209"/>
      <c r="K346" s="209"/>
      <c r="L346" s="209"/>
      <c r="M346" s="209"/>
    </row>
    <row r="347" ht="15.75" customHeight="1">
      <c r="A347" s="209"/>
      <c r="B347" s="209"/>
      <c r="C347" s="210"/>
      <c r="D347" s="211"/>
      <c r="E347" s="209"/>
      <c r="F347" s="209"/>
      <c r="G347" s="209"/>
      <c r="H347" s="209"/>
      <c r="I347" s="209"/>
      <c r="J347" s="209"/>
      <c r="K347" s="209"/>
      <c r="L347" s="209"/>
      <c r="M347" s="209"/>
    </row>
    <row r="348" ht="15.75" customHeight="1">
      <c r="A348" s="209"/>
      <c r="B348" s="209"/>
      <c r="C348" s="210"/>
      <c r="D348" s="211"/>
      <c r="E348" s="209"/>
      <c r="F348" s="209"/>
      <c r="G348" s="209"/>
      <c r="H348" s="209"/>
      <c r="I348" s="209"/>
      <c r="J348" s="209"/>
      <c r="K348" s="209"/>
      <c r="L348" s="209"/>
      <c r="M348" s="209"/>
    </row>
    <row r="349" ht="15.75" customHeight="1">
      <c r="A349" s="209"/>
      <c r="B349" s="209"/>
      <c r="C349" s="210"/>
      <c r="D349" s="211"/>
      <c r="E349" s="209"/>
      <c r="F349" s="209"/>
      <c r="G349" s="209"/>
      <c r="H349" s="209"/>
      <c r="I349" s="209"/>
      <c r="J349" s="209"/>
      <c r="K349" s="209"/>
      <c r="L349" s="209"/>
      <c r="M349" s="209"/>
    </row>
    <row r="350" ht="15.75" customHeight="1">
      <c r="A350" s="209"/>
      <c r="B350" s="209"/>
      <c r="C350" s="210"/>
      <c r="D350" s="211"/>
      <c r="E350" s="209"/>
      <c r="F350" s="209"/>
      <c r="G350" s="209"/>
      <c r="H350" s="209"/>
      <c r="I350" s="209"/>
      <c r="J350" s="209"/>
      <c r="K350" s="209"/>
      <c r="L350" s="209"/>
      <c r="M350" s="209"/>
    </row>
    <row r="351" ht="15.75" customHeight="1">
      <c r="A351" s="209"/>
      <c r="B351" s="209"/>
      <c r="C351" s="210"/>
      <c r="D351" s="211"/>
      <c r="E351" s="209"/>
      <c r="F351" s="209"/>
      <c r="G351" s="209"/>
      <c r="H351" s="209"/>
      <c r="I351" s="209"/>
      <c r="J351" s="209"/>
      <c r="K351" s="209"/>
      <c r="L351" s="209"/>
      <c r="M351" s="209"/>
    </row>
    <row r="352" ht="15.75" customHeight="1">
      <c r="A352" s="209"/>
      <c r="B352" s="209"/>
      <c r="C352" s="210"/>
      <c r="D352" s="211"/>
      <c r="E352" s="209"/>
      <c r="F352" s="209"/>
      <c r="G352" s="209"/>
      <c r="H352" s="209"/>
      <c r="I352" s="209"/>
      <c r="J352" s="209"/>
      <c r="K352" s="209"/>
      <c r="L352" s="209"/>
      <c r="M352" s="209"/>
    </row>
    <row r="353" ht="15.75" customHeight="1">
      <c r="A353" s="209"/>
      <c r="B353" s="209"/>
      <c r="C353" s="210"/>
      <c r="D353" s="211"/>
      <c r="E353" s="209"/>
      <c r="F353" s="209"/>
      <c r="G353" s="209"/>
      <c r="H353" s="209"/>
      <c r="I353" s="209"/>
      <c r="J353" s="209"/>
      <c r="K353" s="209"/>
      <c r="L353" s="209"/>
      <c r="M353" s="209"/>
    </row>
    <row r="354" ht="15.75" customHeight="1">
      <c r="A354" s="209"/>
      <c r="B354" s="209"/>
      <c r="C354" s="210"/>
      <c r="D354" s="211"/>
      <c r="E354" s="209"/>
      <c r="F354" s="209"/>
      <c r="G354" s="209"/>
      <c r="H354" s="209"/>
      <c r="I354" s="209"/>
      <c r="J354" s="209"/>
      <c r="K354" s="209"/>
      <c r="L354" s="209"/>
      <c r="M354" s="209"/>
    </row>
    <row r="355" ht="15.75" customHeight="1">
      <c r="A355" s="209"/>
      <c r="B355" s="209"/>
      <c r="C355" s="210"/>
      <c r="D355" s="211"/>
      <c r="E355" s="209"/>
      <c r="F355" s="209"/>
      <c r="G355" s="209"/>
      <c r="H355" s="209"/>
      <c r="I355" s="209"/>
      <c r="J355" s="209"/>
      <c r="K355" s="209"/>
      <c r="L355" s="209"/>
      <c r="M355" s="209"/>
    </row>
    <row r="356" ht="15.75" customHeight="1">
      <c r="A356" s="209"/>
      <c r="B356" s="209"/>
      <c r="C356" s="210"/>
      <c r="D356" s="211"/>
      <c r="E356" s="209"/>
      <c r="F356" s="209"/>
      <c r="G356" s="209"/>
      <c r="H356" s="209"/>
      <c r="I356" s="209"/>
      <c r="J356" s="209"/>
      <c r="K356" s="209"/>
      <c r="L356" s="209"/>
      <c r="M356" s="209"/>
    </row>
    <row r="357" ht="15.75" customHeight="1">
      <c r="A357" s="209"/>
      <c r="B357" s="209"/>
      <c r="C357" s="210"/>
      <c r="D357" s="211"/>
      <c r="E357" s="209"/>
      <c r="F357" s="209"/>
      <c r="G357" s="209"/>
      <c r="H357" s="209"/>
      <c r="I357" s="209"/>
      <c r="J357" s="209"/>
      <c r="K357" s="209"/>
      <c r="L357" s="209"/>
      <c r="M357" s="209"/>
    </row>
    <row r="358" ht="15.75" customHeight="1">
      <c r="A358" s="209"/>
      <c r="B358" s="209"/>
      <c r="C358" s="210"/>
      <c r="D358" s="211"/>
      <c r="E358" s="209"/>
      <c r="F358" s="209"/>
      <c r="G358" s="209"/>
      <c r="H358" s="209"/>
      <c r="I358" s="209"/>
      <c r="J358" s="209"/>
      <c r="K358" s="209"/>
      <c r="L358" s="209"/>
      <c r="M358" s="209"/>
    </row>
    <row r="359" ht="15.75" customHeight="1">
      <c r="A359" s="209"/>
      <c r="B359" s="209"/>
      <c r="C359" s="210"/>
      <c r="D359" s="211"/>
      <c r="E359" s="209"/>
      <c r="F359" s="209"/>
      <c r="G359" s="209"/>
      <c r="H359" s="209"/>
      <c r="I359" s="209"/>
      <c r="J359" s="209"/>
      <c r="K359" s="209"/>
      <c r="L359" s="209"/>
      <c r="M359" s="209"/>
    </row>
    <row r="360" ht="15.75" customHeight="1">
      <c r="A360" s="209"/>
      <c r="B360" s="209"/>
      <c r="C360" s="210"/>
      <c r="D360" s="211"/>
      <c r="E360" s="209"/>
      <c r="F360" s="209"/>
      <c r="G360" s="209"/>
      <c r="H360" s="209"/>
      <c r="I360" s="209"/>
      <c r="J360" s="209"/>
      <c r="K360" s="209"/>
      <c r="L360" s="209"/>
      <c r="M360" s="209"/>
    </row>
    <row r="361" ht="15.75" customHeight="1">
      <c r="A361" s="209"/>
      <c r="B361" s="209"/>
      <c r="C361" s="210"/>
      <c r="D361" s="211"/>
      <c r="E361" s="209"/>
      <c r="F361" s="209"/>
      <c r="G361" s="209"/>
      <c r="H361" s="209"/>
      <c r="I361" s="209"/>
      <c r="J361" s="209"/>
      <c r="K361" s="209"/>
      <c r="L361" s="209"/>
      <c r="M361" s="209"/>
    </row>
    <row r="362" ht="15.75" customHeight="1">
      <c r="A362" s="209"/>
      <c r="B362" s="209"/>
      <c r="C362" s="210"/>
      <c r="D362" s="211"/>
      <c r="E362" s="209"/>
      <c r="F362" s="209"/>
      <c r="G362" s="209"/>
      <c r="H362" s="209"/>
      <c r="I362" s="209"/>
      <c r="J362" s="209"/>
      <c r="K362" s="209"/>
      <c r="L362" s="209"/>
      <c r="M362" s="209"/>
    </row>
    <row r="363" ht="15.75" customHeight="1">
      <c r="A363" s="209"/>
      <c r="B363" s="209"/>
      <c r="C363" s="210"/>
      <c r="D363" s="211"/>
      <c r="E363" s="209"/>
      <c r="F363" s="209"/>
      <c r="G363" s="209"/>
      <c r="H363" s="209"/>
      <c r="I363" s="209"/>
      <c r="J363" s="209"/>
      <c r="K363" s="209"/>
      <c r="L363" s="209"/>
      <c r="M363" s="209"/>
    </row>
    <row r="364" ht="15.75" customHeight="1">
      <c r="A364" s="209"/>
      <c r="B364" s="209"/>
      <c r="C364" s="210"/>
      <c r="D364" s="211"/>
      <c r="E364" s="209"/>
      <c r="F364" s="209"/>
      <c r="G364" s="209"/>
      <c r="H364" s="209"/>
      <c r="I364" s="209"/>
      <c r="J364" s="209"/>
      <c r="K364" s="209"/>
      <c r="L364" s="209"/>
      <c r="M364" s="209"/>
    </row>
    <row r="365" ht="15.75" customHeight="1">
      <c r="A365" s="209"/>
      <c r="B365" s="209"/>
      <c r="C365" s="210"/>
      <c r="D365" s="211"/>
      <c r="E365" s="209"/>
      <c r="F365" s="209"/>
      <c r="G365" s="209"/>
      <c r="H365" s="209"/>
      <c r="I365" s="209"/>
      <c r="J365" s="209"/>
      <c r="K365" s="209"/>
      <c r="L365" s="209"/>
      <c r="M365" s="209"/>
    </row>
    <row r="366" ht="15.75" customHeight="1">
      <c r="A366" s="209"/>
      <c r="B366" s="209"/>
      <c r="C366" s="210"/>
      <c r="D366" s="211"/>
      <c r="E366" s="209"/>
      <c r="F366" s="209"/>
      <c r="G366" s="209"/>
      <c r="H366" s="209"/>
      <c r="I366" s="209"/>
      <c r="J366" s="209"/>
      <c r="K366" s="209"/>
      <c r="L366" s="209"/>
      <c r="M366" s="209"/>
    </row>
    <row r="367" ht="15.75" customHeight="1">
      <c r="A367" s="209"/>
      <c r="B367" s="209"/>
      <c r="C367" s="210"/>
      <c r="D367" s="211"/>
      <c r="E367" s="209"/>
      <c r="F367" s="209"/>
      <c r="G367" s="209"/>
      <c r="H367" s="209"/>
      <c r="I367" s="209"/>
      <c r="J367" s="209"/>
      <c r="K367" s="209"/>
      <c r="L367" s="209"/>
      <c r="M367" s="209"/>
    </row>
    <row r="368" ht="15.75" customHeight="1">
      <c r="A368" s="209"/>
      <c r="B368" s="209"/>
      <c r="C368" s="210"/>
      <c r="D368" s="211"/>
      <c r="E368" s="209"/>
      <c r="F368" s="209"/>
      <c r="G368" s="209"/>
      <c r="H368" s="209"/>
      <c r="I368" s="209"/>
      <c r="J368" s="209"/>
      <c r="K368" s="209"/>
      <c r="L368" s="209"/>
      <c r="M368" s="209"/>
    </row>
    <row r="369" ht="15.75" customHeight="1">
      <c r="A369" s="209"/>
      <c r="B369" s="209"/>
      <c r="C369" s="210"/>
      <c r="D369" s="211"/>
      <c r="E369" s="209"/>
      <c r="F369" s="209"/>
      <c r="G369" s="209"/>
      <c r="H369" s="209"/>
      <c r="I369" s="209"/>
      <c r="J369" s="209"/>
      <c r="K369" s="209"/>
      <c r="L369" s="209"/>
      <c r="M369" s="209"/>
    </row>
    <row r="370" ht="15.75" customHeight="1">
      <c r="A370" s="209"/>
      <c r="B370" s="209"/>
      <c r="C370" s="210"/>
      <c r="D370" s="211"/>
      <c r="E370" s="209"/>
      <c r="F370" s="209"/>
      <c r="G370" s="209"/>
      <c r="H370" s="209"/>
      <c r="I370" s="209"/>
      <c r="J370" s="209"/>
      <c r="K370" s="209"/>
      <c r="L370" s="209"/>
      <c r="M370" s="209"/>
    </row>
    <row r="371" ht="15.75" customHeight="1">
      <c r="A371" s="209"/>
      <c r="B371" s="209"/>
      <c r="C371" s="210"/>
      <c r="D371" s="211"/>
      <c r="E371" s="209"/>
      <c r="F371" s="209"/>
      <c r="G371" s="209"/>
      <c r="H371" s="209"/>
      <c r="I371" s="209"/>
      <c r="J371" s="209"/>
      <c r="K371" s="209"/>
      <c r="L371" s="209"/>
      <c r="M371" s="209"/>
    </row>
    <row r="372" ht="15.75" customHeight="1">
      <c r="A372" s="209"/>
      <c r="B372" s="209"/>
      <c r="C372" s="210"/>
      <c r="D372" s="211"/>
      <c r="E372" s="209"/>
      <c r="F372" s="209"/>
      <c r="G372" s="209"/>
      <c r="H372" s="209"/>
      <c r="I372" s="209"/>
      <c r="J372" s="209"/>
      <c r="K372" s="209"/>
      <c r="L372" s="209"/>
      <c r="M372" s="209"/>
    </row>
    <row r="373" ht="15.75" customHeight="1">
      <c r="A373" s="209"/>
      <c r="B373" s="209"/>
      <c r="C373" s="210"/>
      <c r="D373" s="211"/>
      <c r="E373" s="209"/>
      <c r="F373" s="209"/>
      <c r="G373" s="209"/>
      <c r="H373" s="209"/>
      <c r="I373" s="209"/>
      <c r="J373" s="209"/>
      <c r="K373" s="209"/>
      <c r="L373" s="209"/>
      <c r="M373" s="209"/>
    </row>
    <row r="374" ht="15.75" customHeight="1">
      <c r="A374" s="209"/>
      <c r="B374" s="209"/>
      <c r="C374" s="210"/>
      <c r="D374" s="211"/>
      <c r="E374" s="209"/>
      <c r="F374" s="209"/>
      <c r="G374" s="209"/>
      <c r="H374" s="209"/>
      <c r="I374" s="209"/>
      <c r="J374" s="209"/>
      <c r="K374" s="209"/>
      <c r="L374" s="209"/>
      <c r="M374" s="209"/>
    </row>
    <row r="375" ht="15.75" customHeight="1">
      <c r="A375" s="209"/>
      <c r="B375" s="209"/>
      <c r="C375" s="210"/>
      <c r="D375" s="211"/>
      <c r="E375" s="209"/>
      <c r="F375" s="209"/>
      <c r="G375" s="209"/>
      <c r="H375" s="209"/>
      <c r="I375" s="209"/>
      <c r="J375" s="209"/>
      <c r="K375" s="209"/>
      <c r="L375" s="209"/>
      <c r="M375" s="209"/>
    </row>
    <row r="376" ht="15.75" customHeight="1">
      <c r="A376" s="209"/>
      <c r="B376" s="209"/>
      <c r="C376" s="210"/>
      <c r="D376" s="211"/>
      <c r="E376" s="209"/>
      <c r="F376" s="209"/>
      <c r="G376" s="209"/>
      <c r="H376" s="209"/>
      <c r="I376" s="209"/>
      <c r="J376" s="209"/>
      <c r="K376" s="209"/>
      <c r="L376" s="209"/>
      <c r="M376" s="209"/>
    </row>
    <row r="377" ht="15.75" customHeight="1">
      <c r="A377" s="209"/>
      <c r="B377" s="209"/>
      <c r="C377" s="210"/>
      <c r="D377" s="211"/>
      <c r="E377" s="209"/>
      <c r="F377" s="209"/>
      <c r="G377" s="209"/>
      <c r="H377" s="209"/>
      <c r="I377" s="209"/>
      <c r="J377" s="209"/>
      <c r="K377" s="209"/>
      <c r="L377" s="209"/>
      <c r="M377" s="209"/>
    </row>
    <row r="378" ht="15.75" customHeight="1">
      <c r="A378" s="209"/>
      <c r="B378" s="209"/>
      <c r="C378" s="210"/>
      <c r="D378" s="211"/>
      <c r="E378" s="209"/>
      <c r="F378" s="209"/>
      <c r="G378" s="209"/>
      <c r="H378" s="209"/>
      <c r="I378" s="209"/>
      <c r="J378" s="209"/>
      <c r="K378" s="209"/>
      <c r="L378" s="209"/>
      <c r="M378" s="209"/>
    </row>
    <row r="379" ht="15.75" customHeight="1">
      <c r="A379" s="209"/>
      <c r="B379" s="209"/>
      <c r="C379" s="210"/>
      <c r="D379" s="211"/>
      <c r="E379" s="209"/>
      <c r="F379" s="209"/>
      <c r="G379" s="209"/>
      <c r="H379" s="209"/>
      <c r="I379" s="209"/>
      <c r="J379" s="209"/>
      <c r="K379" s="209"/>
      <c r="L379" s="209"/>
      <c r="M379" s="209"/>
    </row>
    <row r="380" ht="15.75" customHeight="1">
      <c r="A380" s="209"/>
      <c r="B380" s="209"/>
      <c r="C380" s="210"/>
      <c r="D380" s="211"/>
      <c r="E380" s="209"/>
      <c r="F380" s="209"/>
      <c r="G380" s="209"/>
      <c r="H380" s="209"/>
      <c r="I380" s="209"/>
      <c r="J380" s="209"/>
      <c r="K380" s="209"/>
      <c r="L380" s="209"/>
      <c r="M380" s="209"/>
    </row>
    <row r="381" ht="15.75" customHeight="1">
      <c r="A381" s="209"/>
      <c r="B381" s="209"/>
      <c r="C381" s="210"/>
      <c r="D381" s="211"/>
      <c r="E381" s="209"/>
      <c r="F381" s="209"/>
      <c r="G381" s="209"/>
      <c r="H381" s="209"/>
      <c r="I381" s="209"/>
      <c r="J381" s="209"/>
      <c r="K381" s="209"/>
      <c r="L381" s="209"/>
      <c r="M381" s="209"/>
    </row>
    <row r="382" ht="15.75" customHeight="1">
      <c r="A382" s="209"/>
      <c r="B382" s="209"/>
      <c r="C382" s="210"/>
      <c r="D382" s="211"/>
      <c r="E382" s="209"/>
      <c r="F382" s="209"/>
      <c r="G382" s="209"/>
      <c r="H382" s="209"/>
      <c r="I382" s="209"/>
      <c r="J382" s="209"/>
      <c r="K382" s="209"/>
      <c r="L382" s="209"/>
      <c r="M382" s="209"/>
    </row>
    <row r="383" ht="15.75" customHeight="1">
      <c r="A383" s="209"/>
      <c r="B383" s="209"/>
      <c r="C383" s="210"/>
      <c r="D383" s="211"/>
      <c r="E383" s="209"/>
      <c r="F383" s="209"/>
      <c r="G383" s="209"/>
      <c r="H383" s="209"/>
      <c r="I383" s="209"/>
      <c r="J383" s="209"/>
      <c r="K383" s="209"/>
      <c r="L383" s="209"/>
      <c r="M383" s="209"/>
    </row>
    <row r="384" ht="15.75" customHeight="1">
      <c r="A384" s="209"/>
      <c r="B384" s="209"/>
      <c r="C384" s="210"/>
      <c r="D384" s="211"/>
      <c r="E384" s="209"/>
      <c r="F384" s="209"/>
      <c r="G384" s="209"/>
      <c r="H384" s="209"/>
      <c r="I384" s="209"/>
      <c r="J384" s="209"/>
      <c r="K384" s="209"/>
      <c r="L384" s="209"/>
      <c r="M384" s="209"/>
    </row>
    <row r="385" ht="15.75" customHeight="1">
      <c r="A385" s="209"/>
      <c r="B385" s="209"/>
      <c r="C385" s="210"/>
      <c r="D385" s="211"/>
      <c r="E385" s="209"/>
      <c r="F385" s="209"/>
      <c r="G385" s="209"/>
      <c r="H385" s="209"/>
      <c r="I385" s="209"/>
      <c r="J385" s="209"/>
      <c r="K385" s="209"/>
      <c r="L385" s="209"/>
      <c r="M385" s="209"/>
    </row>
    <row r="386" ht="15.75" customHeight="1">
      <c r="A386" s="209"/>
      <c r="B386" s="209"/>
      <c r="C386" s="210"/>
      <c r="D386" s="211"/>
      <c r="E386" s="209"/>
      <c r="F386" s="209"/>
      <c r="G386" s="209"/>
      <c r="H386" s="209"/>
      <c r="I386" s="209"/>
      <c r="J386" s="209"/>
      <c r="K386" s="209"/>
      <c r="L386" s="209"/>
      <c r="M386" s="209"/>
    </row>
    <row r="387" ht="15.75" customHeight="1">
      <c r="A387" s="209"/>
      <c r="B387" s="209"/>
      <c r="C387" s="210"/>
      <c r="D387" s="211"/>
      <c r="E387" s="209"/>
      <c r="F387" s="209"/>
      <c r="G387" s="209"/>
      <c r="H387" s="209"/>
      <c r="I387" s="209"/>
      <c r="J387" s="209"/>
      <c r="K387" s="209"/>
      <c r="L387" s="209"/>
      <c r="M387" s="209"/>
    </row>
    <row r="388" ht="15.75" customHeight="1">
      <c r="A388" s="209"/>
      <c r="B388" s="209"/>
      <c r="C388" s="210"/>
      <c r="D388" s="211"/>
      <c r="E388" s="209"/>
      <c r="F388" s="209"/>
      <c r="G388" s="209"/>
      <c r="H388" s="209"/>
      <c r="I388" s="209"/>
      <c r="J388" s="209"/>
      <c r="K388" s="209"/>
      <c r="L388" s="209"/>
      <c r="M388" s="209"/>
    </row>
    <row r="389" ht="15.75" customHeight="1">
      <c r="A389" s="209"/>
      <c r="B389" s="209"/>
      <c r="C389" s="210"/>
      <c r="D389" s="211"/>
      <c r="E389" s="209"/>
      <c r="F389" s="209"/>
      <c r="G389" s="209"/>
      <c r="H389" s="209"/>
      <c r="I389" s="209"/>
      <c r="J389" s="209"/>
      <c r="K389" s="209"/>
      <c r="L389" s="209"/>
      <c r="M389" s="209"/>
    </row>
    <row r="390" ht="15.75" customHeight="1">
      <c r="A390" s="209"/>
      <c r="B390" s="209"/>
      <c r="C390" s="210"/>
      <c r="D390" s="211"/>
      <c r="E390" s="209"/>
      <c r="F390" s="209"/>
      <c r="G390" s="209"/>
      <c r="H390" s="209"/>
      <c r="I390" s="209"/>
      <c r="J390" s="209"/>
      <c r="K390" s="209"/>
      <c r="L390" s="209"/>
      <c r="M390" s="209"/>
    </row>
    <row r="391" ht="15.75" customHeight="1">
      <c r="A391" s="209"/>
      <c r="B391" s="209"/>
      <c r="C391" s="210"/>
      <c r="D391" s="211"/>
      <c r="E391" s="209"/>
      <c r="F391" s="209"/>
      <c r="G391" s="209"/>
      <c r="H391" s="209"/>
      <c r="I391" s="209"/>
      <c r="J391" s="209"/>
      <c r="K391" s="209"/>
      <c r="L391" s="209"/>
      <c r="M391" s="209"/>
    </row>
    <row r="392" ht="15.75" customHeight="1">
      <c r="A392" s="209"/>
      <c r="B392" s="209"/>
      <c r="C392" s="210"/>
      <c r="D392" s="211"/>
      <c r="E392" s="209"/>
      <c r="F392" s="209"/>
      <c r="G392" s="209"/>
      <c r="H392" s="209"/>
      <c r="I392" s="209"/>
      <c r="J392" s="209"/>
      <c r="K392" s="209"/>
      <c r="L392" s="209"/>
      <c r="M392" s="209"/>
    </row>
    <row r="393" ht="15.75" customHeight="1">
      <c r="A393" s="209"/>
      <c r="B393" s="209"/>
      <c r="C393" s="210"/>
      <c r="D393" s="211"/>
      <c r="E393" s="209"/>
      <c r="F393" s="209"/>
      <c r="G393" s="209"/>
      <c r="H393" s="209"/>
      <c r="I393" s="209"/>
      <c r="J393" s="209"/>
      <c r="K393" s="209"/>
      <c r="L393" s="209"/>
      <c r="M393" s="209"/>
    </row>
    <row r="394" ht="15.75" customHeight="1">
      <c r="A394" s="209"/>
      <c r="B394" s="209"/>
      <c r="C394" s="210"/>
      <c r="D394" s="211"/>
      <c r="E394" s="209"/>
      <c r="F394" s="209"/>
      <c r="G394" s="209"/>
      <c r="H394" s="209"/>
      <c r="I394" s="209"/>
      <c r="J394" s="209"/>
      <c r="K394" s="209"/>
      <c r="L394" s="209"/>
      <c r="M394" s="209"/>
    </row>
    <row r="395" ht="15.75" customHeight="1">
      <c r="A395" s="209"/>
      <c r="B395" s="209"/>
      <c r="C395" s="210"/>
      <c r="D395" s="211"/>
      <c r="E395" s="209"/>
      <c r="F395" s="209"/>
      <c r="G395" s="209"/>
      <c r="H395" s="209"/>
      <c r="I395" s="209"/>
      <c r="J395" s="209"/>
      <c r="K395" s="209"/>
      <c r="L395" s="209"/>
      <c r="M395" s="209"/>
    </row>
    <row r="396" ht="15.75" customHeight="1">
      <c r="A396" s="209"/>
      <c r="B396" s="209"/>
      <c r="C396" s="210"/>
      <c r="D396" s="211"/>
      <c r="E396" s="209"/>
      <c r="F396" s="209"/>
      <c r="G396" s="209"/>
      <c r="H396" s="209"/>
      <c r="I396" s="209"/>
      <c r="J396" s="209"/>
      <c r="K396" s="209"/>
      <c r="L396" s="209"/>
      <c r="M396" s="209"/>
    </row>
    <row r="397" ht="15.75" customHeight="1">
      <c r="A397" s="209"/>
      <c r="B397" s="209"/>
      <c r="C397" s="210"/>
      <c r="D397" s="211"/>
      <c r="E397" s="209"/>
      <c r="F397" s="209"/>
      <c r="G397" s="209"/>
      <c r="H397" s="209"/>
      <c r="I397" s="209"/>
      <c r="J397" s="209"/>
      <c r="K397" s="209"/>
      <c r="L397" s="209"/>
      <c r="M397" s="209"/>
    </row>
    <row r="398" ht="15.75" customHeight="1">
      <c r="A398" s="209"/>
      <c r="B398" s="209"/>
      <c r="C398" s="210"/>
      <c r="D398" s="211"/>
      <c r="E398" s="209"/>
      <c r="F398" s="209"/>
      <c r="G398" s="209"/>
      <c r="H398" s="209"/>
      <c r="I398" s="209"/>
      <c r="J398" s="209"/>
      <c r="K398" s="209"/>
      <c r="L398" s="209"/>
      <c r="M398" s="209"/>
    </row>
    <row r="399" ht="15.75" customHeight="1">
      <c r="A399" s="209"/>
      <c r="B399" s="209"/>
      <c r="C399" s="210"/>
      <c r="D399" s="211"/>
      <c r="E399" s="209"/>
      <c r="F399" s="209"/>
      <c r="G399" s="209"/>
      <c r="H399" s="209"/>
      <c r="I399" s="209"/>
      <c r="J399" s="209"/>
      <c r="K399" s="209"/>
      <c r="L399" s="209"/>
      <c r="M399" s="209"/>
    </row>
    <row r="400" ht="15.75" customHeight="1">
      <c r="A400" s="209"/>
      <c r="B400" s="209"/>
      <c r="C400" s="210"/>
      <c r="D400" s="211"/>
      <c r="E400" s="209"/>
      <c r="F400" s="209"/>
      <c r="G400" s="209"/>
      <c r="H400" s="209"/>
      <c r="I400" s="209"/>
      <c r="J400" s="209"/>
      <c r="K400" s="209"/>
      <c r="L400" s="209"/>
      <c r="M400" s="209"/>
    </row>
    <row r="401" ht="15.75" customHeight="1">
      <c r="A401" s="209"/>
      <c r="B401" s="209"/>
      <c r="C401" s="210"/>
      <c r="D401" s="211"/>
      <c r="E401" s="209"/>
      <c r="F401" s="209"/>
      <c r="G401" s="209"/>
      <c r="H401" s="209"/>
      <c r="I401" s="209"/>
      <c r="J401" s="209"/>
      <c r="K401" s="209"/>
      <c r="L401" s="209"/>
      <c r="M401" s="209"/>
    </row>
    <row r="402" ht="15.75" customHeight="1">
      <c r="A402" s="209"/>
      <c r="B402" s="209"/>
      <c r="C402" s="210"/>
      <c r="D402" s="211"/>
      <c r="E402" s="209"/>
      <c r="F402" s="209"/>
      <c r="G402" s="209"/>
      <c r="H402" s="209"/>
      <c r="I402" s="209"/>
      <c r="J402" s="209"/>
      <c r="K402" s="209"/>
      <c r="L402" s="209"/>
      <c r="M402" s="209"/>
    </row>
    <row r="403" ht="15.75" customHeight="1">
      <c r="A403" s="209"/>
      <c r="B403" s="209"/>
      <c r="C403" s="210"/>
      <c r="D403" s="211"/>
      <c r="E403" s="209"/>
      <c r="F403" s="209"/>
      <c r="G403" s="209"/>
      <c r="H403" s="209"/>
      <c r="I403" s="209"/>
      <c r="J403" s="209"/>
      <c r="K403" s="209"/>
      <c r="L403" s="209"/>
      <c r="M403" s="209"/>
    </row>
    <row r="404" ht="15.75" customHeight="1">
      <c r="A404" s="209"/>
      <c r="B404" s="209"/>
      <c r="C404" s="210"/>
      <c r="D404" s="211"/>
      <c r="E404" s="209"/>
      <c r="F404" s="209"/>
      <c r="G404" s="209"/>
      <c r="H404" s="209"/>
      <c r="I404" s="209"/>
      <c r="J404" s="209"/>
      <c r="K404" s="209"/>
      <c r="L404" s="209"/>
      <c r="M404" s="209"/>
    </row>
    <row r="405" ht="15.75" customHeight="1">
      <c r="A405" s="209"/>
      <c r="B405" s="209"/>
      <c r="C405" s="210"/>
      <c r="D405" s="211"/>
      <c r="E405" s="209"/>
      <c r="F405" s="209"/>
      <c r="G405" s="209"/>
      <c r="H405" s="209"/>
      <c r="I405" s="209"/>
      <c r="J405" s="209"/>
      <c r="K405" s="209"/>
      <c r="L405" s="209"/>
      <c r="M405" s="209"/>
    </row>
    <row r="406" ht="15.75" customHeight="1">
      <c r="A406" s="209"/>
      <c r="B406" s="209"/>
      <c r="C406" s="210"/>
      <c r="D406" s="211"/>
      <c r="E406" s="209"/>
      <c r="F406" s="209"/>
      <c r="G406" s="209"/>
      <c r="H406" s="209"/>
      <c r="I406" s="209"/>
      <c r="J406" s="209"/>
      <c r="K406" s="209"/>
      <c r="L406" s="209"/>
      <c r="M406" s="209"/>
    </row>
    <row r="407" ht="15.75" customHeight="1">
      <c r="A407" s="209"/>
      <c r="B407" s="209"/>
      <c r="C407" s="210"/>
      <c r="D407" s="211"/>
      <c r="E407" s="209"/>
      <c r="F407" s="209"/>
      <c r="G407" s="209"/>
      <c r="H407" s="209"/>
      <c r="I407" s="209"/>
      <c r="J407" s="209"/>
      <c r="K407" s="209"/>
      <c r="L407" s="209"/>
      <c r="M407" s="209"/>
    </row>
    <row r="408" ht="15.75" customHeight="1">
      <c r="A408" s="209"/>
      <c r="B408" s="209"/>
      <c r="C408" s="210"/>
      <c r="D408" s="211"/>
      <c r="E408" s="209"/>
      <c r="F408" s="209"/>
      <c r="G408" s="209"/>
      <c r="H408" s="209"/>
      <c r="I408" s="209"/>
      <c r="J408" s="209"/>
      <c r="K408" s="209"/>
      <c r="L408" s="209"/>
      <c r="M408" s="209"/>
    </row>
    <row r="409" ht="15.75" customHeight="1">
      <c r="A409" s="209"/>
      <c r="B409" s="209"/>
      <c r="C409" s="210"/>
      <c r="D409" s="211"/>
      <c r="E409" s="209"/>
      <c r="F409" s="209"/>
      <c r="G409" s="209"/>
      <c r="H409" s="209"/>
      <c r="I409" s="209"/>
      <c r="J409" s="209"/>
      <c r="K409" s="209"/>
      <c r="L409" s="209"/>
      <c r="M409" s="209"/>
    </row>
    <row r="410" ht="15.75" customHeight="1">
      <c r="A410" s="209"/>
      <c r="B410" s="209"/>
      <c r="C410" s="210"/>
      <c r="D410" s="211"/>
      <c r="E410" s="209"/>
      <c r="F410" s="209"/>
      <c r="G410" s="209"/>
      <c r="H410" s="209"/>
      <c r="I410" s="209"/>
      <c r="J410" s="209"/>
      <c r="K410" s="209"/>
      <c r="L410" s="209"/>
      <c r="M410" s="209"/>
    </row>
    <row r="411" ht="15.75" customHeight="1">
      <c r="A411" s="209"/>
      <c r="B411" s="209"/>
      <c r="C411" s="210"/>
      <c r="D411" s="211"/>
      <c r="E411" s="209"/>
      <c r="F411" s="209"/>
      <c r="G411" s="209"/>
      <c r="H411" s="209"/>
      <c r="I411" s="209"/>
      <c r="J411" s="209"/>
      <c r="K411" s="209"/>
      <c r="L411" s="209"/>
      <c r="M411" s="209"/>
    </row>
    <row r="412" ht="15.75" customHeight="1">
      <c r="A412" s="209"/>
      <c r="B412" s="209"/>
      <c r="C412" s="210"/>
      <c r="D412" s="211"/>
      <c r="E412" s="209"/>
      <c r="F412" s="209"/>
      <c r="G412" s="209"/>
      <c r="H412" s="209"/>
      <c r="I412" s="209"/>
      <c r="J412" s="209"/>
      <c r="K412" s="209"/>
      <c r="L412" s="209"/>
      <c r="M412" s="209"/>
    </row>
    <row r="413" ht="15.75" customHeight="1">
      <c r="A413" s="209"/>
      <c r="B413" s="209"/>
      <c r="C413" s="210"/>
      <c r="D413" s="211"/>
      <c r="E413" s="209"/>
      <c r="F413" s="209"/>
      <c r="G413" s="209"/>
      <c r="H413" s="209"/>
      <c r="I413" s="209"/>
      <c r="J413" s="209"/>
      <c r="K413" s="209"/>
      <c r="L413" s="209"/>
      <c r="M413" s="209"/>
    </row>
    <row r="414" ht="15.75" customHeight="1">
      <c r="A414" s="209"/>
      <c r="B414" s="209"/>
      <c r="C414" s="210"/>
      <c r="D414" s="211"/>
      <c r="E414" s="209"/>
      <c r="F414" s="209"/>
      <c r="G414" s="209"/>
      <c r="H414" s="209"/>
      <c r="I414" s="209"/>
      <c r="J414" s="209"/>
      <c r="K414" s="209"/>
      <c r="L414" s="209"/>
      <c r="M414" s="209"/>
    </row>
    <row r="415" ht="15.75" customHeight="1">
      <c r="A415" s="209"/>
      <c r="B415" s="209"/>
      <c r="C415" s="210"/>
      <c r="D415" s="211"/>
      <c r="E415" s="209"/>
      <c r="F415" s="209"/>
      <c r="G415" s="209"/>
      <c r="H415" s="209"/>
      <c r="I415" s="209"/>
      <c r="J415" s="209"/>
      <c r="K415" s="209"/>
      <c r="L415" s="209"/>
      <c r="M415" s="209"/>
    </row>
    <row r="416" ht="15.75" customHeight="1">
      <c r="A416" s="209"/>
      <c r="B416" s="209"/>
      <c r="C416" s="210"/>
      <c r="D416" s="211"/>
      <c r="E416" s="209"/>
      <c r="F416" s="209"/>
      <c r="G416" s="209"/>
      <c r="H416" s="209"/>
      <c r="I416" s="209"/>
      <c r="J416" s="209"/>
      <c r="K416" s="209"/>
      <c r="L416" s="209"/>
      <c r="M416" s="209"/>
    </row>
    <row r="417" ht="15.75" customHeight="1">
      <c r="A417" s="209"/>
      <c r="B417" s="209"/>
      <c r="C417" s="210"/>
      <c r="D417" s="211"/>
      <c r="E417" s="209"/>
      <c r="F417" s="209"/>
      <c r="G417" s="209"/>
      <c r="H417" s="209"/>
      <c r="I417" s="209"/>
      <c r="J417" s="209"/>
      <c r="K417" s="209"/>
      <c r="L417" s="209"/>
      <c r="M417" s="209"/>
    </row>
    <row r="418" ht="15.75" customHeight="1">
      <c r="A418" s="209"/>
      <c r="B418" s="209"/>
      <c r="C418" s="210"/>
      <c r="D418" s="211"/>
      <c r="E418" s="209"/>
      <c r="F418" s="209"/>
      <c r="G418" s="209"/>
      <c r="H418" s="209"/>
      <c r="I418" s="209"/>
      <c r="J418" s="209"/>
      <c r="K418" s="209"/>
      <c r="L418" s="209"/>
      <c r="M418" s="209"/>
    </row>
    <row r="419" ht="15.75" customHeight="1">
      <c r="A419" s="209"/>
      <c r="B419" s="209"/>
      <c r="C419" s="210"/>
      <c r="D419" s="211"/>
      <c r="E419" s="209"/>
      <c r="F419" s="209"/>
      <c r="G419" s="209"/>
      <c r="H419" s="209"/>
      <c r="I419" s="209"/>
      <c r="J419" s="209"/>
      <c r="K419" s="209"/>
      <c r="L419" s="209"/>
      <c r="M419" s="209"/>
    </row>
    <row r="420" ht="15.75" customHeight="1">
      <c r="A420" s="209"/>
      <c r="B420" s="209"/>
      <c r="C420" s="210"/>
      <c r="D420" s="211"/>
      <c r="E420" s="209"/>
      <c r="F420" s="209"/>
      <c r="G420" s="209"/>
      <c r="H420" s="209"/>
      <c r="I420" s="209"/>
      <c r="J420" s="209"/>
      <c r="K420" s="209"/>
      <c r="L420" s="209"/>
      <c r="M420" s="209"/>
    </row>
    <row r="421" ht="15.75" customHeight="1">
      <c r="A421" s="209"/>
      <c r="B421" s="209"/>
      <c r="C421" s="210"/>
      <c r="D421" s="211"/>
      <c r="E421" s="209"/>
      <c r="F421" s="209"/>
      <c r="G421" s="209"/>
      <c r="H421" s="209"/>
      <c r="I421" s="209"/>
      <c r="J421" s="209"/>
      <c r="K421" s="209"/>
      <c r="L421" s="209"/>
      <c r="M421" s="209"/>
    </row>
    <row r="422" ht="15.75" customHeight="1">
      <c r="A422" s="209"/>
      <c r="B422" s="209"/>
      <c r="C422" s="210"/>
      <c r="D422" s="211"/>
      <c r="E422" s="209"/>
      <c r="F422" s="209"/>
      <c r="G422" s="209"/>
      <c r="H422" s="209"/>
      <c r="I422" s="209"/>
      <c r="J422" s="209"/>
      <c r="K422" s="209"/>
      <c r="L422" s="209"/>
      <c r="M422" s="209"/>
    </row>
    <row r="423" ht="15.75" customHeight="1">
      <c r="A423" s="209"/>
      <c r="B423" s="209"/>
      <c r="C423" s="210"/>
      <c r="D423" s="211"/>
      <c r="E423" s="209"/>
      <c r="F423" s="209"/>
      <c r="G423" s="209"/>
      <c r="H423" s="209"/>
      <c r="I423" s="209"/>
      <c r="J423" s="209"/>
      <c r="K423" s="209"/>
      <c r="L423" s="209"/>
      <c r="M423" s="209"/>
    </row>
    <row r="424" ht="15.75" customHeight="1">
      <c r="A424" s="209"/>
      <c r="B424" s="209"/>
      <c r="C424" s="210"/>
      <c r="D424" s="211"/>
      <c r="E424" s="209"/>
      <c r="F424" s="209"/>
      <c r="G424" s="209"/>
      <c r="H424" s="209"/>
      <c r="I424" s="209"/>
      <c r="J424" s="209"/>
      <c r="K424" s="209"/>
      <c r="L424" s="209"/>
      <c r="M424" s="209"/>
    </row>
    <row r="425" ht="15.75" customHeight="1">
      <c r="A425" s="209"/>
      <c r="B425" s="209"/>
      <c r="C425" s="210"/>
      <c r="D425" s="211"/>
      <c r="E425" s="209"/>
      <c r="F425" s="209"/>
      <c r="G425" s="209"/>
      <c r="H425" s="209"/>
      <c r="I425" s="209"/>
      <c r="J425" s="209"/>
      <c r="K425" s="209"/>
      <c r="L425" s="209"/>
      <c r="M425" s="209"/>
    </row>
    <row r="426" ht="15.75" customHeight="1">
      <c r="A426" s="209"/>
      <c r="B426" s="209"/>
      <c r="C426" s="210"/>
      <c r="D426" s="211"/>
      <c r="E426" s="209"/>
      <c r="F426" s="209"/>
      <c r="G426" s="209"/>
      <c r="H426" s="209"/>
      <c r="I426" s="209"/>
      <c r="J426" s="209"/>
      <c r="K426" s="209"/>
      <c r="L426" s="209"/>
      <c r="M426" s="209"/>
    </row>
    <row r="427" ht="15.75" customHeight="1">
      <c r="A427" s="209"/>
      <c r="B427" s="209"/>
      <c r="C427" s="210"/>
      <c r="D427" s="211"/>
      <c r="E427" s="209"/>
      <c r="F427" s="209"/>
      <c r="G427" s="209"/>
      <c r="H427" s="209"/>
      <c r="I427" s="209"/>
      <c r="J427" s="209"/>
      <c r="K427" s="209"/>
      <c r="L427" s="209"/>
      <c r="M427" s="209"/>
    </row>
    <row r="428" ht="15.75" customHeight="1">
      <c r="A428" s="209"/>
      <c r="B428" s="209"/>
      <c r="C428" s="210"/>
      <c r="D428" s="211"/>
      <c r="E428" s="209"/>
      <c r="F428" s="209"/>
      <c r="G428" s="209"/>
      <c r="H428" s="209"/>
      <c r="I428" s="209"/>
      <c r="J428" s="209"/>
      <c r="K428" s="209"/>
      <c r="L428" s="209"/>
      <c r="M428" s="209"/>
    </row>
    <row r="429" ht="15.75" customHeight="1">
      <c r="A429" s="209"/>
      <c r="B429" s="209"/>
      <c r="C429" s="210"/>
      <c r="D429" s="211"/>
      <c r="E429" s="209"/>
      <c r="F429" s="209"/>
      <c r="G429" s="209"/>
      <c r="H429" s="209"/>
      <c r="I429" s="209"/>
      <c r="J429" s="209"/>
      <c r="K429" s="209"/>
      <c r="L429" s="209"/>
      <c r="M429" s="209"/>
    </row>
    <row r="430" ht="15.75" customHeight="1">
      <c r="A430" s="209"/>
      <c r="B430" s="209"/>
      <c r="C430" s="210"/>
      <c r="D430" s="211"/>
      <c r="E430" s="209"/>
      <c r="F430" s="209"/>
      <c r="G430" s="209"/>
      <c r="H430" s="209"/>
      <c r="I430" s="209"/>
      <c r="J430" s="209"/>
      <c r="K430" s="209"/>
      <c r="L430" s="209"/>
      <c r="M430" s="209"/>
    </row>
    <row r="431" ht="15.75" customHeight="1">
      <c r="A431" s="209"/>
      <c r="B431" s="209"/>
      <c r="C431" s="210"/>
      <c r="D431" s="211"/>
      <c r="E431" s="209"/>
      <c r="F431" s="209"/>
      <c r="G431" s="209"/>
      <c r="H431" s="209"/>
      <c r="I431" s="209"/>
      <c r="J431" s="209"/>
      <c r="K431" s="209"/>
      <c r="L431" s="209"/>
      <c r="M431" s="209"/>
    </row>
    <row r="432" ht="15.75" customHeight="1">
      <c r="A432" s="209"/>
      <c r="B432" s="209"/>
      <c r="C432" s="210"/>
      <c r="D432" s="211"/>
      <c r="E432" s="209"/>
      <c r="F432" s="209"/>
      <c r="G432" s="209"/>
      <c r="H432" s="209"/>
      <c r="I432" s="209"/>
      <c r="J432" s="209"/>
      <c r="K432" s="209"/>
      <c r="L432" s="209"/>
      <c r="M432" s="209"/>
    </row>
    <row r="433" ht="15.75" customHeight="1">
      <c r="A433" s="209"/>
      <c r="B433" s="209"/>
      <c r="C433" s="210"/>
      <c r="D433" s="211"/>
      <c r="E433" s="209"/>
      <c r="F433" s="209"/>
      <c r="G433" s="209"/>
      <c r="H433" s="209"/>
      <c r="I433" s="209"/>
      <c r="J433" s="209"/>
      <c r="K433" s="209"/>
      <c r="L433" s="209"/>
      <c r="M433" s="209"/>
    </row>
    <row r="434" ht="15.75" customHeight="1">
      <c r="A434" s="209"/>
      <c r="B434" s="209"/>
      <c r="C434" s="210"/>
      <c r="D434" s="211"/>
      <c r="E434" s="209"/>
      <c r="F434" s="209"/>
      <c r="G434" s="209"/>
      <c r="H434" s="209"/>
      <c r="I434" s="209"/>
      <c r="J434" s="209"/>
      <c r="K434" s="209"/>
      <c r="L434" s="209"/>
      <c r="M434" s="209"/>
    </row>
    <row r="435" ht="15.75" customHeight="1">
      <c r="A435" s="209"/>
      <c r="B435" s="209"/>
      <c r="C435" s="210"/>
      <c r="D435" s="211"/>
      <c r="E435" s="209"/>
      <c r="F435" s="209"/>
      <c r="G435" s="209"/>
      <c r="H435" s="209"/>
      <c r="I435" s="209"/>
      <c r="J435" s="209"/>
      <c r="K435" s="209"/>
      <c r="L435" s="209"/>
      <c r="M435" s="209"/>
    </row>
    <row r="436" ht="15.75" customHeight="1">
      <c r="A436" s="209"/>
      <c r="B436" s="209"/>
      <c r="C436" s="210"/>
      <c r="D436" s="211"/>
      <c r="E436" s="209"/>
      <c r="F436" s="209"/>
      <c r="G436" s="209"/>
      <c r="H436" s="209"/>
      <c r="I436" s="209"/>
      <c r="J436" s="209"/>
      <c r="K436" s="209"/>
      <c r="L436" s="209"/>
      <c r="M436" s="209"/>
    </row>
    <row r="437" ht="15.75" customHeight="1">
      <c r="A437" s="209"/>
      <c r="B437" s="209"/>
      <c r="C437" s="210"/>
      <c r="D437" s="211"/>
      <c r="E437" s="209"/>
      <c r="F437" s="209"/>
      <c r="G437" s="209"/>
      <c r="H437" s="209"/>
      <c r="I437" s="209"/>
      <c r="J437" s="209"/>
      <c r="K437" s="209"/>
      <c r="L437" s="209"/>
      <c r="M437" s="209"/>
    </row>
    <row r="438" ht="15.75" customHeight="1">
      <c r="A438" s="209"/>
      <c r="B438" s="209"/>
      <c r="C438" s="210"/>
      <c r="D438" s="211"/>
      <c r="E438" s="209"/>
      <c r="F438" s="209"/>
      <c r="G438" s="209"/>
      <c r="H438" s="209"/>
      <c r="I438" s="209"/>
      <c r="J438" s="209"/>
      <c r="K438" s="209"/>
      <c r="L438" s="209"/>
      <c r="M438" s="209"/>
    </row>
    <row r="439" ht="15.75" customHeight="1">
      <c r="A439" s="209"/>
      <c r="B439" s="209"/>
      <c r="C439" s="210"/>
      <c r="D439" s="211"/>
      <c r="E439" s="209"/>
      <c r="F439" s="209"/>
      <c r="G439" s="209"/>
      <c r="H439" s="209"/>
      <c r="I439" s="209"/>
      <c r="J439" s="209"/>
      <c r="K439" s="209"/>
      <c r="L439" s="209"/>
      <c r="M439" s="209"/>
    </row>
    <row r="440" ht="15.75" customHeight="1">
      <c r="A440" s="209"/>
      <c r="B440" s="209"/>
      <c r="C440" s="210"/>
      <c r="D440" s="211"/>
      <c r="E440" s="209"/>
      <c r="F440" s="209"/>
      <c r="G440" s="209"/>
      <c r="H440" s="209"/>
      <c r="I440" s="209"/>
      <c r="J440" s="209"/>
      <c r="K440" s="209"/>
      <c r="L440" s="209"/>
      <c r="M440" s="209"/>
    </row>
    <row r="441" ht="15.75" customHeight="1">
      <c r="A441" s="209"/>
      <c r="B441" s="209"/>
      <c r="C441" s="210"/>
      <c r="D441" s="211"/>
      <c r="E441" s="209"/>
      <c r="F441" s="209"/>
      <c r="G441" s="209"/>
      <c r="H441" s="209"/>
      <c r="I441" s="209"/>
      <c r="J441" s="209"/>
      <c r="K441" s="209"/>
      <c r="L441" s="209"/>
      <c r="M441" s="209"/>
    </row>
    <row r="442" ht="15.75" customHeight="1">
      <c r="A442" s="209"/>
      <c r="B442" s="209"/>
      <c r="C442" s="210"/>
      <c r="D442" s="211"/>
      <c r="E442" s="209"/>
      <c r="F442" s="209"/>
      <c r="G442" s="209"/>
      <c r="H442" s="209"/>
      <c r="I442" s="209"/>
      <c r="J442" s="209"/>
      <c r="K442" s="209"/>
      <c r="L442" s="209"/>
      <c r="M442" s="209"/>
    </row>
    <row r="443" ht="15.75" customHeight="1">
      <c r="A443" s="209"/>
      <c r="B443" s="209"/>
      <c r="C443" s="210"/>
      <c r="D443" s="211"/>
      <c r="E443" s="209"/>
      <c r="F443" s="209"/>
      <c r="G443" s="209"/>
      <c r="H443" s="209"/>
      <c r="I443" s="209"/>
      <c r="J443" s="209"/>
      <c r="K443" s="209"/>
      <c r="L443" s="209"/>
      <c r="M443" s="209"/>
    </row>
    <row r="444" ht="15.75" customHeight="1">
      <c r="A444" s="209"/>
      <c r="B444" s="209"/>
      <c r="C444" s="210"/>
      <c r="D444" s="211"/>
      <c r="E444" s="209"/>
      <c r="F444" s="209"/>
      <c r="G444" s="209"/>
      <c r="H444" s="209"/>
      <c r="I444" s="209"/>
      <c r="J444" s="209"/>
      <c r="K444" s="209"/>
      <c r="L444" s="209"/>
      <c r="M444" s="209"/>
    </row>
    <row r="445" ht="15.75" customHeight="1">
      <c r="A445" s="209"/>
      <c r="B445" s="209"/>
      <c r="C445" s="210"/>
      <c r="D445" s="211"/>
      <c r="E445" s="209"/>
      <c r="F445" s="209"/>
      <c r="G445" s="209"/>
      <c r="H445" s="209"/>
      <c r="I445" s="209"/>
      <c r="J445" s="209"/>
      <c r="K445" s="209"/>
      <c r="L445" s="209"/>
      <c r="M445" s="209"/>
    </row>
    <row r="446" ht="15.75" customHeight="1">
      <c r="A446" s="209"/>
      <c r="B446" s="209"/>
      <c r="C446" s="210"/>
      <c r="D446" s="211"/>
      <c r="E446" s="209"/>
      <c r="F446" s="209"/>
      <c r="G446" s="209"/>
      <c r="H446" s="209"/>
      <c r="I446" s="209"/>
      <c r="J446" s="209"/>
      <c r="K446" s="209"/>
      <c r="L446" s="209"/>
      <c r="M446" s="209"/>
    </row>
    <row r="447" ht="15.75" customHeight="1">
      <c r="A447" s="209"/>
      <c r="B447" s="209"/>
      <c r="C447" s="210"/>
      <c r="D447" s="211"/>
      <c r="E447" s="209"/>
      <c r="F447" s="209"/>
      <c r="G447" s="209"/>
      <c r="H447" s="209"/>
      <c r="I447" s="209"/>
      <c r="J447" s="209"/>
      <c r="K447" s="209"/>
      <c r="L447" s="209"/>
      <c r="M447" s="209"/>
    </row>
    <row r="448" ht="15.75" customHeight="1">
      <c r="A448" s="209"/>
      <c r="B448" s="209"/>
      <c r="C448" s="210"/>
      <c r="D448" s="211"/>
      <c r="E448" s="209"/>
      <c r="F448" s="209"/>
      <c r="G448" s="209"/>
      <c r="H448" s="209"/>
      <c r="I448" s="209"/>
      <c r="J448" s="209"/>
      <c r="K448" s="209"/>
      <c r="L448" s="209"/>
      <c r="M448" s="209"/>
    </row>
    <row r="449" ht="15.75" customHeight="1">
      <c r="A449" s="209"/>
      <c r="B449" s="209"/>
      <c r="C449" s="210"/>
      <c r="D449" s="211"/>
      <c r="E449" s="209"/>
      <c r="F449" s="209"/>
      <c r="G449" s="209"/>
      <c r="H449" s="209"/>
      <c r="I449" s="209"/>
      <c r="J449" s="209"/>
      <c r="K449" s="209"/>
      <c r="L449" s="209"/>
      <c r="M449" s="209"/>
    </row>
    <row r="450" ht="15.75" customHeight="1">
      <c r="A450" s="209"/>
      <c r="B450" s="209"/>
      <c r="C450" s="210"/>
      <c r="D450" s="211"/>
      <c r="E450" s="209"/>
      <c r="F450" s="209"/>
      <c r="G450" s="209"/>
      <c r="H450" s="209"/>
      <c r="I450" s="209"/>
      <c r="J450" s="209"/>
      <c r="K450" s="209"/>
      <c r="L450" s="209"/>
      <c r="M450" s="209"/>
    </row>
    <row r="451" ht="15.75" customHeight="1">
      <c r="A451" s="209"/>
      <c r="B451" s="209"/>
      <c r="C451" s="210"/>
      <c r="D451" s="211"/>
      <c r="E451" s="209"/>
      <c r="F451" s="209"/>
      <c r="G451" s="209"/>
      <c r="H451" s="209"/>
      <c r="I451" s="209"/>
      <c r="J451" s="209"/>
      <c r="K451" s="209"/>
      <c r="L451" s="209"/>
      <c r="M451" s="209"/>
    </row>
    <row r="452" ht="15.75" customHeight="1">
      <c r="A452" s="209"/>
      <c r="B452" s="209"/>
      <c r="C452" s="210"/>
      <c r="D452" s="211"/>
      <c r="E452" s="209"/>
      <c r="F452" s="209"/>
      <c r="G452" s="209"/>
      <c r="H452" s="209"/>
      <c r="I452" s="209"/>
      <c r="J452" s="209"/>
      <c r="K452" s="209"/>
      <c r="L452" s="209"/>
      <c r="M452" s="209"/>
    </row>
    <row r="453" ht="15.75" customHeight="1">
      <c r="A453" s="209"/>
      <c r="B453" s="209"/>
      <c r="C453" s="210"/>
      <c r="D453" s="211"/>
      <c r="E453" s="209"/>
      <c r="F453" s="209"/>
      <c r="G453" s="209"/>
      <c r="H453" s="209"/>
      <c r="I453" s="209"/>
      <c r="J453" s="209"/>
      <c r="K453" s="209"/>
      <c r="L453" s="209"/>
      <c r="M453" s="209"/>
    </row>
    <row r="454" ht="15.75" customHeight="1">
      <c r="A454" s="209"/>
      <c r="B454" s="209"/>
      <c r="C454" s="210"/>
      <c r="D454" s="211"/>
      <c r="E454" s="209"/>
      <c r="F454" s="209"/>
      <c r="G454" s="209"/>
      <c r="H454" s="209"/>
      <c r="I454" s="209"/>
      <c r="J454" s="209"/>
      <c r="K454" s="209"/>
      <c r="L454" s="209"/>
      <c r="M454" s="209"/>
    </row>
    <row r="455" ht="15.75" customHeight="1">
      <c r="A455" s="209"/>
      <c r="B455" s="209"/>
      <c r="C455" s="210"/>
      <c r="D455" s="211"/>
      <c r="E455" s="209"/>
      <c r="F455" s="209"/>
      <c r="G455" s="209"/>
      <c r="H455" s="209"/>
      <c r="I455" s="209"/>
      <c r="J455" s="209"/>
      <c r="K455" s="209"/>
      <c r="L455" s="209"/>
      <c r="M455" s="209"/>
    </row>
    <row r="456" ht="15.75" customHeight="1">
      <c r="A456" s="209"/>
      <c r="B456" s="209"/>
      <c r="C456" s="210"/>
      <c r="D456" s="211"/>
      <c r="E456" s="209"/>
      <c r="F456" s="209"/>
      <c r="G456" s="209"/>
      <c r="H456" s="209"/>
      <c r="I456" s="209"/>
      <c r="J456" s="209"/>
      <c r="K456" s="209"/>
      <c r="L456" s="209"/>
      <c r="M456" s="209"/>
    </row>
    <row r="457" ht="15.75" customHeight="1">
      <c r="A457" s="209"/>
      <c r="B457" s="209"/>
      <c r="C457" s="210"/>
      <c r="D457" s="211"/>
      <c r="E457" s="209"/>
      <c r="F457" s="209"/>
      <c r="G457" s="209"/>
      <c r="H457" s="209"/>
      <c r="I457" s="209"/>
      <c r="J457" s="209"/>
      <c r="K457" s="209"/>
      <c r="L457" s="209"/>
      <c r="M457" s="209"/>
    </row>
    <row r="458" ht="15.75" customHeight="1">
      <c r="A458" s="209"/>
      <c r="B458" s="209"/>
      <c r="C458" s="210"/>
      <c r="D458" s="211"/>
      <c r="E458" s="209"/>
      <c r="F458" s="209"/>
      <c r="G458" s="209"/>
      <c r="H458" s="209"/>
      <c r="I458" s="209"/>
      <c r="J458" s="209"/>
      <c r="K458" s="209"/>
      <c r="L458" s="209"/>
      <c r="M458" s="209"/>
    </row>
    <row r="459" ht="15.75" customHeight="1">
      <c r="A459" s="209"/>
      <c r="B459" s="209"/>
      <c r="C459" s="210"/>
      <c r="D459" s="211"/>
      <c r="E459" s="209"/>
      <c r="F459" s="209"/>
      <c r="G459" s="209"/>
      <c r="H459" s="209"/>
      <c r="I459" s="209"/>
      <c r="J459" s="209"/>
      <c r="K459" s="209"/>
      <c r="L459" s="209"/>
      <c r="M459" s="209"/>
    </row>
    <row r="460" ht="15.75" customHeight="1">
      <c r="A460" s="209"/>
      <c r="B460" s="209"/>
      <c r="C460" s="210"/>
      <c r="D460" s="211"/>
      <c r="E460" s="209"/>
      <c r="F460" s="209"/>
      <c r="G460" s="209"/>
      <c r="H460" s="209"/>
      <c r="I460" s="209"/>
      <c r="J460" s="209"/>
      <c r="K460" s="209"/>
      <c r="L460" s="209"/>
      <c r="M460" s="209"/>
    </row>
    <row r="461" ht="15.75" customHeight="1">
      <c r="A461" s="209"/>
      <c r="B461" s="209"/>
      <c r="C461" s="210"/>
      <c r="D461" s="211"/>
      <c r="E461" s="209"/>
      <c r="F461" s="209"/>
      <c r="G461" s="209"/>
      <c r="H461" s="209"/>
      <c r="I461" s="209"/>
      <c r="J461" s="209"/>
      <c r="K461" s="209"/>
      <c r="L461" s="209"/>
      <c r="M461" s="209"/>
    </row>
    <row r="462" ht="15.75" customHeight="1">
      <c r="A462" s="209"/>
      <c r="B462" s="209"/>
      <c r="C462" s="210"/>
      <c r="D462" s="211"/>
      <c r="E462" s="209"/>
      <c r="F462" s="209"/>
      <c r="G462" s="209"/>
      <c r="H462" s="209"/>
      <c r="I462" s="209"/>
      <c r="J462" s="209"/>
      <c r="K462" s="209"/>
      <c r="L462" s="209"/>
      <c r="M462" s="209"/>
    </row>
    <row r="463" ht="15.75" customHeight="1">
      <c r="A463" s="209"/>
      <c r="B463" s="209"/>
      <c r="C463" s="210"/>
      <c r="D463" s="211"/>
      <c r="E463" s="209"/>
      <c r="F463" s="209"/>
      <c r="G463" s="209"/>
      <c r="H463" s="209"/>
      <c r="I463" s="209"/>
      <c r="J463" s="209"/>
      <c r="K463" s="209"/>
      <c r="L463" s="209"/>
      <c r="M463" s="209"/>
    </row>
    <row r="464" ht="15.75" customHeight="1">
      <c r="A464" s="209"/>
      <c r="B464" s="209"/>
      <c r="C464" s="210"/>
      <c r="D464" s="211"/>
      <c r="E464" s="209"/>
      <c r="F464" s="209"/>
      <c r="G464" s="209"/>
      <c r="H464" s="209"/>
      <c r="I464" s="209"/>
      <c r="J464" s="209"/>
      <c r="K464" s="209"/>
      <c r="L464" s="209"/>
      <c r="M464" s="209"/>
    </row>
    <row r="465" ht="15.75" customHeight="1">
      <c r="A465" s="209"/>
      <c r="B465" s="209"/>
      <c r="C465" s="210"/>
      <c r="D465" s="211"/>
      <c r="E465" s="209"/>
      <c r="F465" s="209"/>
      <c r="G465" s="209"/>
      <c r="H465" s="209"/>
      <c r="I465" s="209"/>
      <c r="J465" s="209"/>
      <c r="K465" s="209"/>
      <c r="L465" s="209"/>
      <c r="M465" s="209"/>
    </row>
    <row r="466" ht="15.75" customHeight="1">
      <c r="A466" s="209"/>
      <c r="B466" s="209"/>
      <c r="C466" s="210"/>
      <c r="D466" s="211"/>
      <c r="E466" s="209"/>
      <c r="F466" s="209"/>
      <c r="G466" s="209"/>
      <c r="H466" s="209"/>
      <c r="I466" s="209"/>
      <c r="J466" s="209"/>
      <c r="K466" s="209"/>
      <c r="L466" s="209"/>
      <c r="M466" s="209"/>
    </row>
    <row r="467" ht="15.75" customHeight="1">
      <c r="A467" s="209"/>
      <c r="B467" s="209"/>
      <c r="C467" s="210"/>
      <c r="D467" s="211"/>
      <c r="E467" s="209"/>
      <c r="F467" s="209"/>
      <c r="G467" s="209"/>
      <c r="H467" s="209"/>
      <c r="I467" s="209"/>
      <c r="J467" s="209"/>
      <c r="K467" s="209"/>
      <c r="L467" s="209"/>
      <c r="M467" s="209"/>
    </row>
    <row r="468" ht="15.75" customHeight="1">
      <c r="A468" s="209"/>
      <c r="B468" s="209"/>
      <c r="C468" s="210"/>
      <c r="D468" s="211"/>
      <c r="E468" s="209"/>
      <c r="F468" s="209"/>
      <c r="G468" s="209"/>
      <c r="H468" s="209"/>
      <c r="I468" s="209"/>
      <c r="J468" s="209"/>
      <c r="K468" s="209"/>
      <c r="L468" s="209"/>
      <c r="M468" s="209"/>
    </row>
    <row r="469" ht="15.75" customHeight="1">
      <c r="A469" s="209"/>
      <c r="B469" s="209"/>
      <c r="C469" s="210"/>
      <c r="D469" s="211"/>
      <c r="E469" s="209"/>
      <c r="F469" s="209"/>
      <c r="G469" s="209"/>
      <c r="H469" s="209"/>
      <c r="I469" s="209"/>
      <c r="J469" s="209"/>
      <c r="K469" s="209"/>
      <c r="L469" s="209"/>
      <c r="M469" s="209"/>
    </row>
    <row r="470" ht="15.75" customHeight="1">
      <c r="A470" s="209"/>
      <c r="B470" s="209"/>
      <c r="C470" s="210"/>
      <c r="D470" s="211"/>
      <c r="E470" s="209"/>
      <c r="F470" s="209"/>
      <c r="G470" s="209"/>
      <c r="H470" s="209"/>
      <c r="I470" s="209"/>
      <c r="J470" s="209"/>
      <c r="K470" s="209"/>
      <c r="L470" s="209"/>
      <c r="M470" s="209"/>
    </row>
    <row r="471" ht="15.75" customHeight="1">
      <c r="A471" s="209"/>
      <c r="B471" s="209"/>
      <c r="C471" s="210"/>
      <c r="D471" s="211"/>
      <c r="E471" s="209"/>
      <c r="F471" s="209"/>
      <c r="G471" s="209"/>
      <c r="H471" s="209"/>
      <c r="I471" s="209"/>
      <c r="J471" s="209"/>
      <c r="K471" s="209"/>
      <c r="L471" s="209"/>
      <c r="M471" s="209"/>
    </row>
    <row r="472" ht="15.75" customHeight="1">
      <c r="A472" s="209"/>
      <c r="B472" s="209"/>
      <c r="C472" s="210"/>
      <c r="D472" s="211"/>
      <c r="E472" s="209"/>
      <c r="F472" s="209"/>
      <c r="G472" s="209"/>
      <c r="H472" s="209"/>
      <c r="I472" s="209"/>
      <c r="J472" s="209"/>
      <c r="K472" s="209"/>
      <c r="L472" s="209"/>
      <c r="M472" s="209"/>
    </row>
    <row r="473" ht="15.75" customHeight="1">
      <c r="A473" s="209"/>
      <c r="B473" s="209"/>
      <c r="C473" s="210"/>
      <c r="D473" s="211"/>
      <c r="E473" s="209"/>
      <c r="F473" s="209"/>
      <c r="G473" s="209"/>
      <c r="H473" s="209"/>
      <c r="I473" s="209"/>
      <c r="J473" s="209"/>
      <c r="K473" s="209"/>
      <c r="L473" s="209"/>
      <c r="M473" s="209"/>
    </row>
    <row r="474" ht="15.75" customHeight="1">
      <c r="A474" s="209"/>
      <c r="B474" s="209"/>
      <c r="C474" s="210"/>
      <c r="D474" s="211"/>
      <c r="E474" s="209"/>
      <c r="F474" s="209"/>
      <c r="G474" s="209"/>
      <c r="H474" s="209"/>
      <c r="I474" s="209"/>
      <c r="J474" s="209"/>
      <c r="K474" s="209"/>
      <c r="L474" s="209"/>
      <c r="M474" s="209"/>
    </row>
    <row r="475" ht="15.75" customHeight="1">
      <c r="A475" s="209"/>
      <c r="B475" s="209"/>
      <c r="C475" s="210"/>
      <c r="D475" s="211"/>
      <c r="E475" s="209"/>
      <c r="F475" s="209"/>
      <c r="G475" s="209"/>
      <c r="H475" s="209"/>
      <c r="I475" s="209"/>
      <c r="J475" s="209"/>
      <c r="K475" s="209"/>
      <c r="L475" s="209"/>
      <c r="M475" s="209"/>
    </row>
    <row r="476" ht="15.75" customHeight="1">
      <c r="A476" s="209"/>
      <c r="B476" s="209"/>
      <c r="C476" s="210"/>
      <c r="D476" s="211"/>
      <c r="E476" s="209"/>
      <c r="F476" s="209"/>
      <c r="G476" s="209"/>
      <c r="H476" s="209"/>
      <c r="I476" s="209"/>
      <c r="J476" s="209"/>
      <c r="K476" s="209"/>
      <c r="L476" s="209"/>
      <c r="M476" s="209"/>
    </row>
    <row r="477" ht="15.75" customHeight="1">
      <c r="A477" s="209"/>
      <c r="B477" s="209"/>
      <c r="C477" s="210"/>
      <c r="D477" s="211"/>
      <c r="E477" s="209"/>
      <c r="F477" s="209"/>
      <c r="G477" s="209"/>
      <c r="H477" s="209"/>
      <c r="I477" s="209"/>
      <c r="J477" s="209"/>
      <c r="K477" s="209"/>
      <c r="L477" s="209"/>
      <c r="M477" s="209"/>
    </row>
    <row r="478" ht="15.75" customHeight="1">
      <c r="A478" s="209"/>
      <c r="B478" s="209"/>
      <c r="C478" s="210"/>
      <c r="D478" s="211"/>
      <c r="E478" s="209"/>
      <c r="F478" s="209"/>
      <c r="G478" s="209"/>
      <c r="H478" s="209"/>
      <c r="I478" s="209"/>
      <c r="J478" s="209"/>
      <c r="K478" s="209"/>
      <c r="L478" s="209"/>
      <c r="M478" s="209"/>
    </row>
    <row r="479" ht="15.75" customHeight="1">
      <c r="A479" s="209"/>
      <c r="B479" s="209"/>
      <c r="C479" s="210"/>
      <c r="D479" s="211"/>
      <c r="E479" s="209"/>
      <c r="F479" s="209"/>
      <c r="G479" s="209"/>
      <c r="H479" s="209"/>
      <c r="I479" s="209"/>
      <c r="J479" s="209"/>
      <c r="K479" s="209"/>
      <c r="L479" s="209"/>
      <c r="M479" s="209"/>
    </row>
    <row r="480" ht="15.75" customHeight="1">
      <c r="A480" s="209"/>
      <c r="B480" s="209"/>
      <c r="C480" s="210"/>
      <c r="D480" s="211"/>
      <c r="E480" s="209"/>
      <c r="F480" s="209"/>
      <c r="G480" s="209"/>
      <c r="H480" s="209"/>
      <c r="I480" s="209"/>
      <c r="J480" s="209"/>
      <c r="K480" s="209"/>
      <c r="L480" s="209"/>
      <c r="M480" s="209"/>
    </row>
    <row r="481" ht="15.75" customHeight="1">
      <c r="A481" s="209"/>
      <c r="B481" s="209"/>
      <c r="C481" s="210"/>
      <c r="D481" s="211"/>
      <c r="E481" s="209"/>
      <c r="F481" s="209"/>
      <c r="G481" s="209"/>
      <c r="H481" s="209"/>
      <c r="I481" s="209"/>
      <c r="J481" s="209"/>
      <c r="K481" s="209"/>
      <c r="L481" s="209"/>
      <c r="M481" s="209"/>
    </row>
    <row r="482" ht="15.75" customHeight="1">
      <c r="A482" s="209"/>
      <c r="B482" s="209"/>
      <c r="C482" s="210"/>
      <c r="D482" s="211"/>
      <c r="E482" s="209"/>
      <c r="F482" s="209"/>
      <c r="G482" s="209"/>
      <c r="H482" s="209"/>
      <c r="I482" s="209"/>
      <c r="J482" s="209"/>
      <c r="K482" s="209"/>
      <c r="L482" s="209"/>
      <c r="M482" s="209"/>
    </row>
    <row r="483" ht="15.75" customHeight="1">
      <c r="A483" s="209"/>
      <c r="B483" s="209"/>
      <c r="C483" s="210"/>
      <c r="D483" s="211"/>
      <c r="E483" s="209"/>
      <c r="F483" s="209"/>
      <c r="G483" s="209"/>
      <c r="H483" s="209"/>
      <c r="I483" s="209"/>
      <c r="J483" s="209"/>
      <c r="K483" s="209"/>
      <c r="L483" s="209"/>
      <c r="M483" s="209"/>
    </row>
    <row r="484" ht="15.75" customHeight="1">
      <c r="A484" s="209"/>
      <c r="B484" s="209"/>
      <c r="C484" s="210"/>
      <c r="D484" s="211"/>
      <c r="E484" s="209"/>
      <c r="F484" s="209"/>
      <c r="G484" s="209"/>
      <c r="H484" s="209"/>
      <c r="I484" s="209"/>
      <c r="J484" s="209"/>
      <c r="K484" s="209"/>
      <c r="L484" s="209"/>
      <c r="M484" s="209"/>
    </row>
    <row r="485" ht="15.75" customHeight="1">
      <c r="A485" s="209"/>
      <c r="B485" s="209"/>
      <c r="C485" s="210"/>
      <c r="D485" s="211"/>
      <c r="E485" s="209"/>
      <c r="F485" s="209"/>
      <c r="G485" s="209"/>
      <c r="H485" s="209"/>
      <c r="I485" s="209"/>
      <c r="J485" s="209"/>
      <c r="K485" s="209"/>
      <c r="L485" s="209"/>
      <c r="M485" s="209"/>
    </row>
    <row r="486" ht="15.75" customHeight="1">
      <c r="A486" s="209"/>
      <c r="B486" s="209"/>
      <c r="C486" s="210"/>
      <c r="D486" s="211"/>
      <c r="E486" s="209"/>
      <c r="F486" s="209"/>
      <c r="G486" s="209"/>
      <c r="H486" s="209"/>
      <c r="I486" s="209"/>
      <c r="J486" s="209"/>
      <c r="K486" s="209"/>
      <c r="L486" s="209"/>
      <c r="M486" s="209"/>
    </row>
    <row r="487" ht="15.75" customHeight="1">
      <c r="A487" s="209"/>
      <c r="B487" s="209"/>
      <c r="C487" s="210"/>
      <c r="D487" s="211"/>
      <c r="E487" s="209"/>
      <c r="F487" s="209"/>
      <c r="G487" s="209"/>
      <c r="H487" s="209"/>
      <c r="I487" s="209"/>
      <c r="J487" s="209"/>
      <c r="K487" s="209"/>
      <c r="L487" s="209"/>
      <c r="M487" s="209"/>
    </row>
    <row r="488" ht="15.75" customHeight="1">
      <c r="A488" s="209"/>
      <c r="B488" s="209"/>
      <c r="C488" s="210"/>
      <c r="D488" s="211"/>
      <c r="E488" s="209"/>
      <c r="F488" s="209"/>
      <c r="G488" s="209"/>
      <c r="H488" s="209"/>
      <c r="I488" s="209"/>
      <c r="J488" s="209"/>
      <c r="K488" s="209"/>
      <c r="L488" s="209"/>
      <c r="M488" s="209"/>
    </row>
    <row r="489" ht="15.75" customHeight="1">
      <c r="A489" s="209"/>
      <c r="B489" s="209"/>
      <c r="C489" s="210"/>
      <c r="D489" s="211"/>
      <c r="E489" s="209"/>
      <c r="F489" s="209"/>
      <c r="G489" s="209"/>
      <c r="H489" s="209"/>
      <c r="I489" s="209"/>
      <c r="J489" s="209"/>
      <c r="K489" s="209"/>
      <c r="L489" s="209"/>
      <c r="M489" s="209"/>
    </row>
    <row r="490" ht="15.75" customHeight="1">
      <c r="A490" s="209"/>
      <c r="B490" s="209"/>
      <c r="C490" s="210"/>
      <c r="D490" s="211"/>
      <c r="E490" s="209"/>
      <c r="F490" s="209"/>
      <c r="G490" s="209"/>
      <c r="H490" s="209"/>
      <c r="I490" s="209"/>
      <c r="J490" s="209"/>
      <c r="K490" s="209"/>
      <c r="L490" s="209"/>
      <c r="M490" s="209"/>
    </row>
    <row r="491" ht="15.75" customHeight="1">
      <c r="A491" s="209"/>
      <c r="B491" s="209"/>
      <c r="C491" s="210"/>
      <c r="D491" s="211"/>
      <c r="E491" s="209"/>
      <c r="F491" s="209"/>
      <c r="G491" s="209"/>
      <c r="H491" s="209"/>
      <c r="I491" s="209"/>
      <c r="J491" s="209"/>
      <c r="K491" s="209"/>
      <c r="L491" s="209"/>
      <c r="M491" s="209"/>
    </row>
    <row r="492" ht="15.75" customHeight="1">
      <c r="A492" s="209"/>
      <c r="B492" s="209"/>
      <c r="C492" s="210"/>
      <c r="D492" s="211"/>
      <c r="E492" s="209"/>
      <c r="F492" s="209"/>
      <c r="G492" s="209"/>
      <c r="H492" s="209"/>
      <c r="I492" s="209"/>
      <c r="J492" s="209"/>
      <c r="K492" s="209"/>
      <c r="L492" s="209"/>
      <c r="M492" s="209"/>
    </row>
    <row r="493" ht="15.75" customHeight="1">
      <c r="A493" s="209"/>
      <c r="B493" s="209"/>
      <c r="C493" s="210"/>
      <c r="D493" s="211"/>
      <c r="E493" s="209"/>
      <c r="F493" s="209"/>
      <c r="G493" s="209"/>
      <c r="H493" s="209"/>
      <c r="I493" s="209"/>
      <c r="J493" s="209"/>
      <c r="K493" s="209"/>
      <c r="L493" s="209"/>
      <c r="M493" s="209"/>
    </row>
    <row r="494" ht="15.75" customHeight="1">
      <c r="A494" s="209"/>
      <c r="B494" s="209"/>
      <c r="C494" s="210"/>
      <c r="D494" s="211"/>
      <c r="E494" s="209"/>
      <c r="F494" s="209"/>
      <c r="G494" s="209"/>
      <c r="H494" s="209"/>
      <c r="I494" s="209"/>
      <c r="J494" s="209"/>
      <c r="K494" s="209"/>
      <c r="L494" s="209"/>
      <c r="M494" s="209"/>
    </row>
    <row r="495" ht="15.75" customHeight="1">
      <c r="A495" s="209"/>
      <c r="B495" s="209"/>
      <c r="C495" s="210"/>
      <c r="D495" s="211"/>
      <c r="E495" s="209"/>
      <c r="F495" s="209"/>
      <c r="G495" s="209"/>
      <c r="H495" s="209"/>
      <c r="I495" s="209"/>
      <c r="J495" s="209"/>
      <c r="K495" s="209"/>
      <c r="L495" s="209"/>
      <c r="M495" s="209"/>
    </row>
    <row r="496" ht="15.75" customHeight="1">
      <c r="A496" s="209"/>
      <c r="B496" s="209"/>
      <c r="C496" s="210"/>
      <c r="D496" s="211"/>
      <c r="E496" s="209"/>
      <c r="F496" s="209"/>
      <c r="G496" s="209"/>
      <c r="H496" s="209"/>
      <c r="I496" s="209"/>
      <c r="J496" s="209"/>
      <c r="K496" s="209"/>
      <c r="L496" s="209"/>
      <c r="M496" s="209"/>
    </row>
    <row r="497" ht="15.75" customHeight="1">
      <c r="A497" s="209"/>
      <c r="B497" s="209"/>
      <c r="C497" s="210"/>
      <c r="D497" s="211"/>
      <c r="E497" s="209"/>
      <c r="F497" s="209"/>
      <c r="G497" s="209"/>
      <c r="H497" s="209"/>
      <c r="I497" s="209"/>
      <c r="J497" s="209"/>
      <c r="K497" s="209"/>
      <c r="L497" s="209"/>
      <c r="M497" s="209"/>
    </row>
    <row r="498" ht="15.75" customHeight="1">
      <c r="A498" s="209"/>
      <c r="B498" s="209"/>
      <c r="C498" s="210"/>
      <c r="D498" s="211"/>
      <c r="E498" s="209"/>
      <c r="F498" s="209"/>
      <c r="G498" s="209"/>
      <c r="H498" s="209"/>
      <c r="I498" s="209"/>
      <c r="J498" s="209"/>
      <c r="K498" s="209"/>
      <c r="L498" s="209"/>
      <c r="M498" s="209"/>
    </row>
    <row r="499" ht="15.75" customHeight="1">
      <c r="A499" s="209"/>
      <c r="B499" s="209"/>
      <c r="C499" s="210"/>
      <c r="D499" s="211"/>
      <c r="E499" s="209"/>
      <c r="F499" s="209"/>
      <c r="G499" s="209"/>
      <c r="H499" s="209"/>
      <c r="I499" s="209"/>
      <c r="J499" s="209"/>
      <c r="K499" s="209"/>
      <c r="L499" s="209"/>
      <c r="M499" s="209"/>
    </row>
    <row r="500" ht="15.75" customHeight="1">
      <c r="A500" s="209"/>
      <c r="B500" s="209"/>
      <c r="C500" s="210"/>
      <c r="D500" s="211"/>
      <c r="E500" s="209"/>
      <c r="F500" s="209"/>
      <c r="G500" s="209"/>
      <c r="H500" s="209"/>
      <c r="I500" s="209"/>
      <c r="J500" s="209"/>
      <c r="K500" s="209"/>
      <c r="L500" s="209"/>
      <c r="M500" s="209"/>
    </row>
    <row r="501" ht="15.75" customHeight="1">
      <c r="A501" s="209"/>
      <c r="B501" s="209"/>
      <c r="C501" s="210"/>
      <c r="D501" s="211"/>
      <c r="E501" s="209"/>
      <c r="F501" s="209"/>
      <c r="G501" s="209"/>
      <c r="H501" s="209"/>
      <c r="I501" s="209"/>
      <c r="J501" s="209"/>
      <c r="K501" s="209"/>
      <c r="L501" s="209"/>
      <c r="M501" s="209"/>
    </row>
    <row r="502" ht="15.75" customHeight="1">
      <c r="A502" s="209"/>
      <c r="B502" s="209"/>
      <c r="C502" s="210"/>
      <c r="D502" s="211"/>
      <c r="E502" s="209"/>
      <c r="F502" s="209"/>
      <c r="G502" s="209"/>
      <c r="H502" s="209"/>
      <c r="I502" s="209"/>
      <c r="J502" s="209"/>
      <c r="K502" s="209"/>
      <c r="L502" s="209"/>
      <c r="M502" s="209"/>
    </row>
    <row r="503" ht="15.75" customHeight="1">
      <c r="A503" s="209"/>
      <c r="B503" s="209"/>
      <c r="C503" s="210"/>
      <c r="D503" s="211"/>
      <c r="E503" s="209"/>
      <c r="F503" s="209"/>
      <c r="G503" s="209"/>
      <c r="H503" s="209"/>
      <c r="I503" s="209"/>
      <c r="J503" s="209"/>
      <c r="K503" s="209"/>
      <c r="L503" s="209"/>
      <c r="M503" s="209"/>
    </row>
    <row r="504" ht="15.75" customHeight="1">
      <c r="A504" s="209"/>
      <c r="B504" s="209"/>
      <c r="C504" s="210"/>
      <c r="D504" s="211"/>
      <c r="E504" s="209"/>
      <c r="F504" s="209"/>
      <c r="G504" s="209"/>
      <c r="H504" s="209"/>
      <c r="I504" s="209"/>
      <c r="J504" s="209"/>
      <c r="K504" s="209"/>
      <c r="L504" s="209"/>
      <c r="M504" s="209"/>
    </row>
    <row r="505" ht="15.75" customHeight="1">
      <c r="A505" s="209"/>
      <c r="B505" s="209"/>
      <c r="C505" s="210"/>
      <c r="D505" s="211"/>
      <c r="E505" s="209"/>
      <c r="F505" s="209"/>
      <c r="G505" s="209"/>
      <c r="H505" s="209"/>
      <c r="I505" s="209"/>
      <c r="J505" s="209"/>
      <c r="K505" s="209"/>
      <c r="L505" s="209"/>
      <c r="M505" s="209"/>
    </row>
    <row r="506" ht="15.75" customHeight="1">
      <c r="A506" s="209"/>
      <c r="B506" s="209"/>
      <c r="C506" s="210"/>
      <c r="D506" s="211"/>
      <c r="E506" s="209"/>
      <c r="F506" s="209"/>
      <c r="G506" s="209"/>
      <c r="H506" s="209"/>
      <c r="I506" s="209"/>
      <c r="J506" s="209"/>
      <c r="K506" s="209"/>
      <c r="L506" s="209"/>
      <c r="M506" s="209"/>
    </row>
    <row r="507" ht="15.75" customHeight="1">
      <c r="A507" s="209"/>
      <c r="B507" s="209"/>
      <c r="C507" s="210"/>
      <c r="D507" s="211"/>
      <c r="E507" s="209"/>
      <c r="F507" s="209"/>
      <c r="G507" s="209"/>
      <c r="H507" s="209"/>
      <c r="I507" s="209"/>
      <c r="J507" s="209"/>
      <c r="K507" s="209"/>
      <c r="L507" s="209"/>
      <c r="M507" s="209"/>
    </row>
    <row r="508" ht="15.75" customHeight="1">
      <c r="A508" s="209"/>
      <c r="B508" s="209"/>
      <c r="C508" s="210"/>
      <c r="D508" s="211"/>
      <c r="E508" s="209"/>
      <c r="F508" s="209"/>
      <c r="G508" s="209"/>
      <c r="H508" s="209"/>
      <c r="I508" s="209"/>
      <c r="J508" s="209"/>
      <c r="K508" s="209"/>
      <c r="L508" s="209"/>
      <c r="M508" s="209"/>
    </row>
    <row r="509" ht="15.75" customHeight="1">
      <c r="A509" s="209"/>
      <c r="B509" s="209"/>
      <c r="C509" s="210"/>
      <c r="D509" s="211"/>
      <c r="E509" s="209"/>
      <c r="F509" s="209"/>
      <c r="G509" s="209"/>
      <c r="H509" s="209"/>
      <c r="I509" s="209"/>
      <c r="J509" s="209"/>
      <c r="K509" s="209"/>
      <c r="L509" s="209"/>
      <c r="M509" s="209"/>
    </row>
    <row r="510" ht="15.75" customHeight="1">
      <c r="A510" s="209"/>
      <c r="B510" s="209"/>
      <c r="C510" s="210"/>
      <c r="D510" s="211"/>
      <c r="E510" s="209"/>
      <c r="F510" s="209"/>
      <c r="G510" s="209"/>
      <c r="H510" s="209"/>
      <c r="I510" s="209"/>
      <c r="J510" s="209"/>
      <c r="K510" s="209"/>
      <c r="L510" s="209"/>
      <c r="M510" s="209"/>
    </row>
    <row r="511" ht="15.75" customHeight="1">
      <c r="A511" s="209"/>
      <c r="B511" s="209"/>
      <c r="C511" s="210"/>
      <c r="D511" s="211"/>
      <c r="E511" s="209"/>
      <c r="F511" s="209"/>
      <c r="G511" s="209"/>
      <c r="H511" s="209"/>
      <c r="I511" s="209"/>
      <c r="J511" s="209"/>
      <c r="K511" s="209"/>
      <c r="L511" s="209"/>
      <c r="M511" s="209"/>
    </row>
    <row r="512" ht="15.75" customHeight="1">
      <c r="A512" s="209"/>
      <c r="B512" s="209"/>
      <c r="C512" s="210"/>
      <c r="D512" s="211"/>
      <c r="E512" s="209"/>
      <c r="F512" s="209"/>
      <c r="G512" s="209"/>
      <c r="H512" s="209"/>
      <c r="I512" s="209"/>
      <c r="J512" s="209"/>
      <c r="K512" s="209"/>
      <c r="L512" s="209"/>
      <c r="M512" s="209"/>
    </row>
    <row r="513" ht="15.75" customHeight="1">
      <c r="A513" s="209"/>
      <c r="B513" s="209"/>
      <c r="C513" s="210"/>
      <c r="D513" s="211"/>
      <c r="E513" s="209"/>
      <c r="F513" s="209"/>
      <c r="G513" s="209"/>
      <c r="H513" s="209"/>
      <c r="I513" s="209"/>
      <c r="J513" s="209"/>
      <c r="K513" s="209"/>
      <c r="L513" s="209"/>
      <c r="M513" s="209"/>
    </row>
    <row r="514" ht="15.75" customHeight="1">
      <c r="A514" s="209"/>
      <c r="B514" s="209"/>
      <c r="C514" s="210"/>
      <c r="D514" s="211"/>
      <c r="E514" s="209"/>
      <c r="F514" s="209"/>
      <c r="G514" s="209"/>
      <c r="H514" s="209"/>
      <c r="I514" s="209"/>
      <c r="J514" s="209"/>
      <c r="K514" s="209"/>
      <c r="L514" s="209"/>
      <c r="M514" s="209"/>
    </row>
    <row r="515" ht="15.75" customHeight="1">
      <c r="A515" s="209"/>
      <c r="B515" s="209"/>
      <c r="C515" s="210"/>
      <c r="D515" s="211"/>
      <c r="E515" s="209"/>
      <c r="F515" s="209"/>
      <c r="G515" s="209"/>
      <c r="H515" s="209"/>
      <c r="I515" s="209"/>
      <c r="J515" s="209"/>
      <c r="K515" s="209"/>
      <c r="L515" s="209"/>
      <c r="M515" s="209"/>
    </row>
    <row r="516" ht="15.75" customHeight="1">
      <c r="A516" s="209"/>
      <c r="B516" s="209"/>
      <c r="C516" s="210"/>
      <c r="D516" s="211"/>
      <c r="E516" s="209"/>
      <c r="F516" s="209"/>
      <c r="G516" s="209"/>
      <c r="H516" s="209"/>
      <c r="I516" s="209"/>
      <c r="J516" s="209"/>
      <c r="K516" s="209"/>
      <c r="L516" s="209"/>
      <c r="M516" s="209"/>
    </row>
    <row r="517" ht="15.75" customHeight="1">
      <c r="A517" s="209"/>
      <c r="B517" s="209"/>
      <c r="C517" s="210"/>
      <c r="D517" s="211"/>
      <c r="E517" s="209"/>
      <c r="F517" s="209"/>
      <c r="G517" s="209"/>
      <c r="H517" s="209"/>
      <c r="I517" s="209"/>
      <c r="J517" s="209"/>
      <c r="K517" s="209"/>
      <c r="L517" s="209"/>
      <c r="M517" s="209"/>
    </row>
    <row r="518" ht="15.75" customHeight="1">
      <c r="A518" s="209"/>
      <c r="B518" s="209"/>
      <c r="C518" s="210"/>
      <c r="D518" s="211"/>
      <c r="E518" s="209"/>
      <c r="F518" s="209"/>
      <c r="G518" s="209"/>
      <c r="H518" s="209"/>
      <c r="I518" s="209"/>
      <c r="J518" s="209"/>
      <c r="K518" s="209"/>
      <c r="L518" s="209"/>
      <c r="M518" s="209"/>
    </row>
    <row r="519" ht="15.75" customHeight="1">
      <c r="A519" s="209"/>
      <c r="B519" s="209"/>
      <c r="C519" s="210"/>
      <c r="D519" s="211"/>
      <c r="E519" s="209"/>
      <c r="F519" s="209"/>
      <c r="G519" s="209"/>
      <c r="H519" s="209"/>
      <c r="I519" s="209"/>
      <c r="J519" s="209"/>
      <c r="K519" s="209"/>
      <c r="L519" s="209"/>
      <c r="M519" s="209"/>
    </row>
    <row r="520" ht="15.75" customHeight="1">
      <c r="A520" s="209"/>
      <c r="B520" s="209"/>
      <c r="C520" s="210"/>
      <c r="D520" s="211"/>
      <c r="E520" s="209"/>
      <c r="F520" s="209"/>
      <c r="G520" s="209"/>
      <c r="H520" s="209"/>
      <c r="I520" s="209"/>
      <c r="J520" s="209"/>
      <c r="K520" s="209"/>
      <c r="L520" s="209"/>
      <c r="M520" s="209"/>
    </row>
    <row r="521" ht="15.75" customHeight="1">
      <c r="A521" s="209"/>
      <c r="B521" s="209"/>
      <c r="C521" s="210"/>
      <c r="D521" s="211"/>
      <c r="E521" s="209"/>
      <c r="F521" s="209"/>
      <c r="G521" s="209"/>
      <c r="H521" s="209"/>
      <c r="I521" s="209"/>
      <c r="J521" s="209"/>
      <c r="K521" s="209"/>
      <c r="L521" s="209"/>
      <c r="M521" s="209"/>
    </row>
    <row r="522" ht="15.75" customHeight="1">
      <c r="A522" s="209"/>
      <c r="B522" s="209"/>
      <c r="C522" s="210"/>
      <c r="D522" s="211"/>
      <c r="E522" s="209"/>
      <c r="F522" s="209"/>
      <c r="G522" s="209"/>
      <c r="H522" s="209"/>
      <c r="I522" s="209"/>
      <c r="J522" s="209"/>
      <c r="K522" s="209"/>
      <c r="L522" s="209"/>
      <c r="M522" s="209"/>
    </row>
    <row r="523" ht="15.75" customHeight="1">
      <c r="A523" s="209"/>
      <c r="B523" s="209"/>
      <c r="C523" s="210"/>
      <c r="D523" s="211"/>
      <c r="E523" s="209"/>
      <c r="F523" s="209"/>
      <c r="G523" s="209"/>
      <c r="H523" s="209"/>
      <c r="I523" s="209"/>
      <c r="J523" s="209"/>
      <c r="K523" s="209"/>
      <c r="L523" s="209"/>
      <c r="M523" s="209"/>
    </row>
    <row r="524" ht="15.75" customHeight="1">
      <c r="A524" s="209"/>
      <c r="B524" s="209"/>
      <c r="C524" s="210"/>
      <c r="D524" s="211"/>
      <c r="E524" s="209"/>
      <c r="F524" s="209"/>
      <c r="G524" s="209"/>
      <c r="H524" s="209"/>
      <c r="I524" s="209"/>
      <c r="J524" s="209"/>
      <c r="K524" s="209"/>
      <c r="L524" s="209"/>
      <c r="M524" s="209"/>
    </row>
    <row r="525" ht="15.75" customHeight="1">
      <c r="A525" s="209"/>
      <c r="B525" s="209"/>
      <c r="C525" s="210"/>
      <c r="D525" s="211"/>
      <c r="E525" s="209"/>
      <c r="F525" s="209"/>
      <c r="G525" s="209"/>
      <c r="H525" s="209"/>
      <c r="I525" s="209"/>
      <c r="J525" s="209"/>
      <c r="K525" s="209"/>
      <c r="L525" s="209"/>
      <c r="M525" s="209"/>
    </row>
    <row r="526" ht="15.75" customHeight="1">
      <c r="A526" s="209"/>
      <c r="B526" s="209"/>
      <c r="C526" s="210"/>
      <c r="D526" s="211"/>
      <c r="E526" s="209"/>
      <c r="F526" s="209"/>
      <c r="G526" s="209"/>
      <c r="H526" s="209"/>
      <c r="I526" s="209"/>
      <c r="J526" s="209"/>
      <c r="K526" s="209"/>
      <c r="L526" s="209"/>
      <c r="M526" s="209"/>
    </row>
    <row r="527" ht="15.75" customHeight="1">
      <c r="A527" s="209"/>
      <c r="B527" s="209"/>
      <c r="C527" s="210"/>
      <c r="D527" s="211"/>
      <c r="E527" s="209"/>
      <c r="F527" s="209"/>
      <c r="G527" s="209"/>
      <c r="H527" s="209"/>
      <c r="I527" s="209"/>
      <c r="J527" s="209"/>
      <c r="K527" s="209"/>
      <c r="L527" s="209"/>
      <c r="M527" s="209"/>
    </row>
    <row r="528" ht="15.75" customHeight="1">
      <c r="A528" s="209"/>
      <c r="B528" s="209"/>
      <c r="C528" s="210"/>
      <c r="D528" s="211"/>
      <c r="E528" s="209"/>
      <c r="F528" s="209"/>
      <c r="G528" s="209"/>
      <c r="H528" s="209"/>
      <c r="I528" s="209"/>
      <c r="J528" s="209"/>
      <c r="K528" s="209"/>
      <c r="L528" s="209"/>
      <c r="M528" s="209"/>
    </row>
    <row r="529" ht="15.75" customHeight="1">
      <c r="A529" s="209"/>
      <c r="B529" s="209"/>
      <c r="C529" s="210"/>
      <c r="D529" s="211"/>
      <c r="E529" s="209"/>
      <c r="F529" s="209"/>
      <c r="G529" s="209"/>
      <c r="H529" s="209"/>
      <c r="I529" s="209"/>
      <c r="J529" s="209"/>
      <c r="K529" s="209"/>
      <c r="L529" s="209"/>
      <c r="M529" s="209"/>
    </row>
    <row r="530" ht="15.75" customHeight="1">
      <c r="A530" s="209"/>
      <c r="B530" s="209"/>
      <c r="C530" s="210"/>
      <c r="D530" s="211"/>
      <c r="E530" s="209"/>
      <c r="F530" s="209"/>
      <c r="G530" s="209"/>
      <c r="H530" s="209"/>
      <c r="I530" s="209"/>
      <c r="J530" s="209"/>
      <c r="K530" s="209"/>
      <c r="L530" s="209"/>
      <c r="M530" s="209"/>
    </row>
    <row r="531" ht="15.75" customHeight="1">
      <c r="A531" s="209"/>
      <c r="B531" s="209"/>
      <c r="C531" s="210"/>
      <c r="D531" s="211"/>
      <c r="E531" s="209"/>
      <c r="F531" s="209"/>
      <c r="G531" s="209"/>
      <c r="H531" s="209"/>
      <c r="I531" s="209"/>
      <c r="J531" s="209"/>
      <c r="K531" s="209"/>
      <c r="L531" s="209"/>
      <c r="M531" s="209"/>
    </row>
    <row r="532" ht="15.75" customHeight="1">
      <c r="A532" s="209"/>
      <c r="B532" s="209"/>
      <c r="C532" s="210"/>
      <c r="D532" s="211"/>
      <c r="E532" s="209"/>
      <c r="F532" s="209"/>
      <c r="G532" s="209"/>
      <c r="H532" s="209"/>
      <c r="I532" s="209"/>
      <c r="J532" s="209"/>
      <c r="K532" s="209"/>
      <c r="L532" s="209"/>
      <c r="M532" s="209"/>
    </row>
    <row r="533" ht="15.75" customHeight="1">
      <c r="A533" s="209"/>
      <c r="B533" s="209"/>
      <c r="C533" s="210"/>
      <c r="D533" s="211"/>
      <c r="E533" s="209"/>
      <c r="F533" s="209"/>
      <c r="G533" s="209"/>
      <c r="H533" s="209"/>
      <c r="I533" s="209"/>
      <c r="J533" s="209"/>
      <c r="K533" s="209"/>
      <c r="L533" s="209"/>
      <c r="M533" s="209"/>
    </row>
    <row r="534" ht="15.75" customHeight="1">
      <c r="A534" s="209"/>
      <c r="B534" s="209"/>
      <c r="C534" s="210"/>
      <c r="D534" s="211"/>
      <c r="E534" s="209"/>
      <c r="F534" s="209"/>
      <c r="G534" s="209"/>
      <c r="H534" s="209"/>
      <c r="I534" s="209"/>
      <c r="J534" s="209"/>
      <c r="K534" s="209"/>
      <c r="L534" s="209"/>
      <c r="M534" s="209"/>
    </row>
    <row r="535" ht="15.75" customHeight="1">
      <c r="A535" s="209"/>
      <c r="B535" s="209"/>
      <c r="C535" s="210"/>
      <c r="D535" s="211"/>
      <c r="E535" s="209"/>
      <c r="F535" s="209"/>
      <c r="G535" s="209"/>
      <c r="H535" s="209"/>
      <c r="I535" s="209"/>
      <c r="J535" s="209"/>
      <c r="K535" s="209"/>
      <c r="L535" s="209"/>
      <c r="M535" s="209"/>
    </row>
    <row r="536" ht="15.75" customHeight="1">
      <c r="A536" s="209"/>
      <c r="B536" s="209"/>
      <c r="C536" s="210"/>
      <c r="D536" s="211"/>
      <c r="E536" s="209"/>
      <c r="F536" s="209"/>
      <c r="G536" s="209"/>
      <c r="H536" s="209"/>
      <c r="I536" s="209"/>
      <c r="J536" s="209"/>
      <c r="K536" s="209"/>
      <c r="L536" s="209"/>
      <c r="M536" s="209"/>
    </row>
    <row r="537" ht="15.75" customHeight="1">
      <c r="A537" s="209"/>
      <c r="B537" s="209"/>
      <c r="C537" s="210"/>
      <c r="D537" s="211"/>
      <c r="E537" s="209"/>
      <c r="F537" s="209"/>
      <c r="G537" s="209"/>
      <c r="H537" s="209"/>
      <c r="I537" s="209"/>
      <c r="J537" s="209"/>
      <c r="K537" s="209"/>
      <c r="L537" s="209"/>
      <c r="M537" s="209"/>
    </row>
    <row r="538" ht="15.75" customHeight="1">
      <c r="A538" s="209"/>
      <c r="B538" s="209"/>
      <c r="C538" s="210"/>
      <c r="D538" s="211"/>
      <c r="E538" s="209"/>
      <c r="F538" s="209"/>
      <c r="G538" s="209"/>
      <c r="H538" s="209"/>
      <c r="I538" s="209"/>
      <c r="J538" s="209"/>
      <c r="K538" s="209"/>
      <c r="L538" s="209"/>
      <c r="M538" s="209"/>
    </row>
    <row r="539" ht="15.75" customHeight="1">
      <c r="A539" s="209"/>
      <c r="B539" s="209"/>
      <c r="C539" s="210"/>
      <c r="D539" s="211"/>
      <c r="E539" s="209"/>
      <c r="F539" s="209"/>
      <c r="G539" s="209"/>
      <c r="H539" s="209"/>
      <c r="I539" s="209"/>
      <c r="J539" s="209"/>
      <c r="K539" s="209"/>
      <c r="L539" s="209"/>
      <c r="M539" s="209"/>
    </row>
    <row r="540" ht="15.75" customHeight="1">
      <c r="A540" s="209"/>
      <c r="B540" s="209"/>
      <c r="C540" s="210"/>
      <c r="D540" s="211"/>
      <c r="E540" s="209"/>
      <c r="F540" s="209"/>
      <c r="G540" s="209"/>
      <c r="H540" s="209"/>
      <c r="I540" s="209"/>
      <c r="J540" s="209"/>
      <c r="K540" s="209"/>
      <c r="L540" s="209"/>
      <c r="M540" s="209"/>
    </row>
    <row r="541" ht="15.75" customHeight="1">
      <c r="A541" s="209"/>
      <c r="B541" s="209"/>
      <c r="C541" s="210"/>
      <c r="D541" s="211"/>
      <c r="E541" s="209"/>
      <c r="F541" s="209"/>
      <c r="G541" s="209"/>
      <c r="H541" s="209"/>
      <c r="I541" s="209"/>
      <c r="J541" s="209"/>
      <c r="K541" s="209"/>
      <c r="L541" s="209"/>
      <c r="M541" s="209"/>
    </row>
    <row r="542" ht="15.75" customHeight="1">
      <c r="A542" s="209"/>
      <c r="B542" s="209"/>
      <c r="C542" s="210"/>
      <c r="D542" s="211"/>
      <c r="E542" s="209"/>
      <c r="F542" s="209"/>
      <c r="G542" s="209"/>
      <c r="H542" s="209"/>
      <c r="I542" s="209"/>
      <c r="J542" s="209"/>
      <c r="K542" s="209"/>
      <c r="L542" s="209"/>
      <c r="M542" s="209"/>
    </row>
    <row r="543" ht="15.75" customHeight="1">
      <c r="A543" s="209"/>
      <c r="B543" s="209"/>
      <c r="C543" s="210"/>
      <c r="D543" s="211"/>
      <c r="E543" s="209"/>
      <c r="F543" s="209"/>
      <c r="G543" s="209"/>
      <c r="H543" s="209"/>
      <c r="I543" s="209"/>
      <c r="J543" s="209"/>
      <c r="K543" s="209"/>
      <c r="L543" s="209"/>
      <c r="M543" s="209"/>
    </row>
    <row r="544" ht="15.75" customHeight="1">
      <c r="A544" s="209"/>
      <c r="B544" s="209"/>
      <c r="C544" s="210"/>
      <c r="D544" s="211"/>
      <c r="E544" s="209"/>
      <c r="F544" s="209"/>
      <c r="G544" s="209"/>
      <c r="H544" s="209"/>
      <c r="I544" s="209"/>
      <c r="J544" s="209"/>
      <c r="K544" s="209"/>
      <c r="L544" s="209"/>
      <c r="M544" s="209"/>
    </row>
    <row r="545" ht="15.75" customHeight="1">
      <c r="A545" s="209"/>
      <c r="B545" s="209"/>
      <c r="C545" s="210"/>
      <c r="D545" s="211"/>
      <c r="E545" s="209"/>
      <c r="F545" s="209"/>
      <c r="G545" s="209"/>
      <c r="H545" s="209"/>
      <c r="I545" s="209"/>
      <c r="J545" s="209"/>
      <c r="K545" s="209"/>
      <c r="L545" s="209"/>
      <c r="M545" s="209"/>
    </row>
    <row r="546" ht="15.75" customHeight="1">
      <c r="A546" s="209"/>
      <c r="B546" s="209"/>
      <c r="C546" s="210"/>
      <c r="D546" s="211"/>
      <c r="E546" s="209"/>
      <c r="F546" s="209"/>
      <c r="G546" s="209"/>
      <c r="H546" s="209"/>
      <c r="I546" s="209"/>
      <c r="J546" s="209"/>
      <c r="K546" s="209"/>
      <c r="L546" s="209"/>
      <c r="M546" s="209"/>
    </row>
    <row r="547" ht="15.75" customHeight="1">
      <c r="A547" s="209"/>
      <c r="B547" s="209"/>
      <c r="C547" s="210"/>
      <c r="D547" s="211"/>
      <c r="E547" s="209"/>
      <c r="F547" s="209"/>
      <c r="G547" s="209"/>
      <c r="H547" s="209"/>
      <c r="I547" s="209"/>
      <c r="J547" s="209"/>
      <c r="K547" s="209"/>
      <c r="L547" s="209"/>
      <c r="M547" s="209"/>
    </row>
    <row r="548" ht="15.75" customHeight="1">
      <c r="A548" s="209"/>
      <c r="B548" s="209"/>
      <c r="C548" s="210"/>
      <c r="D548" s="211"/>
      <c r="E548" s="209"/>
      <c r="F548" s="209"/>
      <c r="G548" s="209"/>
      <c r="H548" s="209"/>
      <c r="I548" s="209"/>
      <c r="J548" s="209"/>
      <c r="K548" s="209"/>
      <c r="L548" s="209"/>
      <c r="M548" s="209"/>
    </row>
    <row r="549" ht="15.75" customHeight="1">
      <c r="A549" s="209"/>
      <c r="B549" s="209"/>
      <c r="C549" s="210"/>
      <c r="D549" s="211"/>
      <c r="E549" s="209"/>
      <c r="F549" s="209"/>
      <c r="G549" s="209"/>
      <c r="H549" s="209"/>
      <c r="I549" s="209"/>
      <c r="J549" s="209"/>
      <c r="K549" s="209"/>
      <c r="L549" s="209"/>
      <c r="M549" s="209"/>
    </row>
    <row r="550" ht="15.75" customHeight="1">
      <c r="A550" s="209"/>
      <c r="B550" s="209"/>
      <c r="C550" s="210"/>
      <c r="D550" s="211"/>
      <c r="E550" s="209"/>
      <c r="F550" s="209"/>
      <c r="G550" s="209"/>
      <c r="H550" s="209"/>
      <c r="I550" s="209"/>
      <c r="J550" s="209"/>
      <c r="K550" s="209"/>
      <c r="L550" s="209"/>
      <c r="M550" s="209"/>
    </row>
    <row r="551" ht="15.75" customHeight="1">
      <c r="A551" s="209"/>
      <c r="B551" s="209"/>
      <c r="C551" s="210"/>
      <c r="D551" s="211"/>
      <c r="E551" s="209"/>
      <c r="F551" s="209"/>
      <c r="G551" s="209"/>
      <c r="H551" s="209"/>
      <c r="I551" s="209"/>
      <c r="J551" s="209"/>
      <c r="K551" s="209"/>
      <c r="L551" s="209"/>
      <c r="M551" s="209"/>
    </row>
    <row r="552" ht="15.75" customHeight="1">
      <c r="A552" s="209"/>
      <c r="B552" s="209"/>
      <c r="C552" s="210"/>
      <c r="D552" s="211"/>
      <c r="E552" s="209"/>
      <c r="F552" s="209"/>
      <c r="G552" s="209"/>
      <c r="H552" s="209"/>
      <c r="I552" s="209"/>
      <c r="J552" s="209"/>
      <c r="K552" s="209"/>
      <c r="L552" s="209"/>
      <c r="M552" s="209"/>
    </row>
    <row r="553" ht="15.75" customHeight="1">
      <c r="A553" s="209"/>
      <c r="B553" s="209"/>
      <c r="C553" s="210"/>
      <c r="D553" s="211"/>
      <c r="E553" s="209"/>
      <c r="F553" s="209"/>
      <c r="G553" s="209"/>
      <c r="H553" s="209"/>
      <c r="I553" s="209"/>
      <c r="J553" s="209"/>
      <c r="K553" s="209"/>
      <c r="L553" s="209"/>
      <c r="M553" s="209"/>
    </row>
    <row r="554" ht="15.75" customHeight="1">
      <c r="A554" s="209"/>
      <c r="B554" s="209"/>
      <c r="C554" s="210"/>
      <c r="D554" s="211"/>
      <c r="E554" s="209"/>
      <c r="F554" s="209"/>
      <c r="G554" s="209"/>
      <c r="H554" s="209"/>
      <c r="I554" s="209"/>
      <c r="J554" s="209"/>
      <c r="K554" s="209"/>
      <c r="L554" s="209"/>
      <c r="M554" s="209"/>
    </row>
    <row r="555" ht="15.75" customHeight="1">
      <c r="A555" s="209"/>
      <c r="B555" s="209"/>
      <c r="C555" s="210"/>
      <c r="D555" s="211"/>
      <c r="E555" s="209"/>
      <c r="F555" s="209"/>
      <c r="G555" s="209"/>
      <c r="H555" s="209"/>
      <c r="I555" s="209"/>
      <c r="J555" s="209"/>
      <c r="K555" s="209"/>
      <c r="L555" s="209"/>
      <c r="M555" s="209"/>
    </row>
    <row r="556" ht="15.75" customHeight="1">
      <c r="A556" s="209"/>
      <c r="B556" s="209"/>
      <c r="C556" s="210"/>
      <c r="D556" s="211"/>
      <c r="E556" s="209"/>
      <c r="F556" s="209"/>
      <c r="G556" s="209"/>
      <c r="H556" s="209"/>
      <c r="I556" s="209"/>
      <c r="J556" s="209"/>
      <c r="K556" s="209"/>
      <c r="L556" s="209"/>
      <c r="M556" s="209"/>
    </row>
    <row r="557" ht="15.75" customHeight="1">
      <c r="A557" s="209"/>
      <c r="B557" s="209"/>
      <c r="C557" s="210"/>
      <c r="D557" s="211"/>
      <c r="E557" s="209"/>
      <c r="F557" s="209"/>
      <c r="G557" s="209"/>
      <c r="H557" s="209"/>
      <c r="I557" s="209"/>
      <c r="J557" s="209"/>
      <c r="K557" s="209"/>
      <c r="L557" s="209"/>
      <c r="M557" s="209"/>
    </row>
    <row r="558" ht="15.75" customHeight="1">
      <c r="A558" s="209"/>
      <c r="B558" s="209"/>
      <c r="C558" s="210"/>
      <c r="D558" s="211"/>
      <c r="E558" s="209"/>
      <c r="F558" s="209"/>
      <c r="G558" s="209"/>
      <c r="H558" s="209"/>
      <c r="I558" s="209"/>
      <c r="J558" s="209"/>
      <c r="K558" s="209"/>
      <c r="L558" s="209"/>
      <c r="M558" s="209"/>
    </row>
    <row r="559" ht="15.75" customHeight="1">
      <c r="A559" s="209"/>
      <c r="B559" s="209"/>
      <c r="C559" s="210"/>
      <c r="D559" s="211"/>
      <c r="E559" s="209"/>
      <c r="F559" s="209"/>
      <c r="G559" s="209"/>
      <c r="H559" s="209"/>
      <c r="I559" s="209"/>
      <c r="J559" s="209"/>
      <c r="K559" s="209"/>
      <c r="L559" s="209"/>
      <c r="M559" s="209"/>
    </row>
    <row r="560" ht="15.75" customHeight="1">
      <c r="A560" s="209"/>
      <c r="B560" s="209"/>
      <c r="C560" s="210"/>
      <c r="D560" s="211"/>
      <c r="E560" s="209"/>
      <c r="F560" s="209"/>
      <c r="G560" s="209"/>
      <c r="H560" s="209"/>
      <c r="I560" s="209"/>
      <c r="J560" s="209"/>
      <c r="K560" s="209"/>
      <c r="L560" s="209"/>
      <c r="M560" s="209"/>
    </row>
    <row r="561" ht="15.75" customHeight="1">
      <c r="A561" s="209"/>
      <c r="B561" s="209"/>
      <c r="C561" s="210"/>
      <c r="D561" s="211"/>
      <c r="E561" s="209"/>
      <c r="F561" s="209"/>
      <c r="G561" s="209"/>
      <c r="H561" s="209"/>
      <c r="I561" s="209"/>
      <c r="J561" s="209"/>
      <c r="K561" s="209"/>
      <c r="L561" s="209"/>
      <c r="M561" s="209"/>
    </row>
    <row r="562" ht="15.75" customHeight="1">
      <c r="A562" s="209"/>
      <c r="B562" s="209"/>
      <c r="C562" s="210"/>
      <c r="D562" s="211"/>
      <c r="E562" s="209"/>
      <c r="F562" s="209"/>
      <c r="G562" s="209"/>
      <c r="H562" s="209"/>
      <c r="I562" s="209"/>
      <c r="J562" s="209"/>
      <c r="K562" s="209"/>
      <c r="L562" s="209"/>
      <c r="M562" s="209"/>
    </row>
    <row r="563" ht="15.75" customHeight="1">
      <c r="A563" s="209"/>
      <c r="B563" s="209"/>
      <c r="C563" s="210"/>
      <c r="D563" s="211"/>
      <c r="E563" s="209"/>
      <c r="F563" s="209"/>
      <c r="G563" s="209"/>
      <c r="H563" s="209"/>
      <c r="I563" s="209"/>
      <c r="J563" s="209"/>
      <c r="K563" s="209"/>
      <c r="L563" s="209"/>
      <c r="M563" s="209"/>
    </row>
    <row r="564" ht="15.75" customHeight="1">
      <c r="A564" s="209"/>
      <c r="B564" s="209"/>
      <c r="C564" s="210"/>
      <c r="D564" s="211"/>
      <c r="E564" s="209"/>
      <c r="F564" s="209"/>
      <c r="G564" s="209"/>
      <c r="H564" s="209"/>
      <c r="I564" s="209"/>
      <c r="J564" s="209"/>
      <c r="K564" s="209"/>
      <c r="L564" s="209"/>
      <c r="M564" s="209"/>
    </row>
    <row r="565" ht="15.75" customHeight="1">
      <c r="A565" s="209"/>
      <c r="B565" s="209"/>
      <c r="C565" s="210"/>
      <c r="D565" s="211"/>
      <c r="E565" s="209"/>
      <c r="F565" s="209"/>
      <c r="G565" s="209"/>
      <c r="H565" s="209"/>
      <c r="I565" s="209"/>
      <c r="J565" s="209"/>
      <c r="K565" s="209"/>
      <c r="L565" s="209"/>
      <c r="M565" s="209"/>
    </row>
    <row r="566" ht="15.75" customHeight="1">
      <c r="A566" s="209"/>
      <c r="B566" s="209"/>
      <c r="C566" s="210"/>
      <c r="D566" s="211"/>
      <c r="E566" s="209"/>
      <c r="F566" s="209"/>
      <c r="G566" s="209"/>
      <c r="H566" s="209"/>
      <c r="I566" s="209"/>
      <c r="J566" s="209"/>
      <c r="K566" s="209"/>
      <c r="L566" s="209"/>
      <c r="M566" s="209"/>
    </row>
    <row r="567" ht="15.75" customHeight="1">
      <c r="A567" s="209"/>
      <c r="B567" s="209"/>
      <c r="C567" s="210"/>
      <c r="D567" s="211"/>
      <c r="E567" s="209"/>
      <c r="F567" s="209"/>
      <c r="G567" s="209"/>
      <c r="H567" s="209"/>
      <c r="I567" s="209"/>
      <c r="J567" s="209"/>
      <c r="K567" s="209"/>
      <c r="L567" s="209"/>
      <c r="M567" s="209"/>
    </row>
    <row r="568" ht="15.75" customHeight="1">
      <c r="A568" s="209"/>
      <c r="B568" s="209"/>
      <c r="C568" s="210"/>
      <c r="D568" s="211"/>
      <c r="E568" s="209"/>
      <c r="F568" s="209"/>
      <c r="G568" s="209"/>
      <c r="H568" s="209"/>
      <c r="I568" s="209"/>
      <c r="J568" s="209"/>
      <c r="K568" s="209"/>
      <c r="L568" s="209"/>
      <c r="M568" s="209"/>
    </row>
    <row r="569" ht="15.75" customHeight="1">
      <c r="A569" s="209"/>
      <c r="B569" s="209"/>
      <c r="C569" s="210"/>
      <c r="D569" s="211"/>
      <c r="E569" s="209"/>
      <c r="F569" s="209"/>
      <c r="G569" s="209"/>
      <c r="H569" s="209"/>
      <c r="I569" s="209"/>
      <c r="J569" s="209"/>
      <c r="K569" s="209"/>
      <c r="L569" s="209"/>
      <c r="M569" s="209"/>
    </row>
    <row r="570" ht="15.75" customHeight="1">
      <c r="A570" s="209"/>
      <c r="B570" s="209"/>
      <c r="C570" s="210"/>
      <c r="D570" s="211"/>
      <c r="E570" s="209"/>
      <c r="F570" s="209"/>
      <c r="G570" s="209"/>
      <c r="H570" s="209"/>
      <c r="I570" s="209"/>
      <c r="J570" s="209"/>
      <c r="K570" s="209"/>
      <c r="L570" s="209"/>
      <c r="M570" s="209"/>
    </row>
    <row r="571" ht="15.75" customHeight="1">
      <c r="A571" s="209"/>
      <c r="B571" s="209"/>
      <c r="C571" s="210"/>
      <c r="D571" s="211"/>
      <c r="E571" s="209"/>
      <c r="F571" s="209"/>
      <c r="G571" s="209"/>
      <c r="H571" s="209"/>
      <c r="I571" s="209"/>
      <c r="J571" s="209"/>
      <c r="K571" s="209"/>
      <c r="L571" s="209"/>
      <c r="M571" s="209"/>
    </row>
    <row r="572" ht="15.75" customHeight="1">
      <c r="A572" s="209"/>
      <c r="B572" s="209"/>
      <c r="C572" s="210"/>
      <c r="D572" s="211"/>
      <c r="E572" s="209"/>
      <c r="F572" s="209"/>
      <c r="G572" s="209"/>
      <c r="H572" s="209"/>
      <c r="I572" s="209"/>
      <c r="J572" s="209"/>
      <c r="K572" s="209"/>
      <c r="L572" s="209"/>
      <c r="M572" s="209"/>
    </row>
    <row r="573" ht="15.75" customHeight="1">
      <c r="A573" s="209"/>
      <c r="B573" s="209"/>
      <c r="C573" s="210"/>
      <c r="D573" s="211"/>
      <c r="E573" s="209"/>
      <c r="F573" s="209"/>
      <c r="G573" s="209"/>
      <c r="H573" s="209"/>
      <c r="I573" s="209"/>
      <c r="J573" s="209"/>
      <c r="K573" s="209"/>
      <c r="L573" s="209"/>
      <c r="M573" s="209"/>
    </row>
    <row r="574" ht="15.75" customHeight="1">
      <c r="A574" s="209"/>
      <c r="B574" s="209"/>
      <c r="C574" s="210"/>
      <c r="D574" s="211"/>
      <c r="E574" s="209"/>
      <c r="F574" s="209"/>
      <c r="G574" s="209"/>
      <c r="H574" s="209"/>
      <c r="I574" s="209"/>
      <c r="J574" s="209"/>
      <c r="K574" s="209"/>
      <c r="L574" s="209"/>
      <c r="M574" s="209"/>
    </row>
    <row r="575" ht="15.75" customHeight="1">
      <c r="A575" s="209"/>
      <c r="B575" s="209"/>
      <c r="C575" s="210"/>
      <c r="D575" s="211"/>
      <c r="E575" s="209"/>
      <c r="F575" s="209"/>
      <c r="G575" s="209"/>
      <c r="H575" s="209"/>
      <c r="I575" s="209"/>
      <c r="J575" s="209"/>
      <c r="K575" s="209"/>
      <c r="L575" s="209"/>
      <c r="M575" s="209"/>
    </row>
    <row r="576" ht="15.75" customHeight="1">
      <c r="A576" s="209"/>
      <c r="B576" s="209"/>
      <c r="C576" s="210"/>
      <c r="D576" s="211"/>
      <c r="E576" s="209"/>
      <c r="F576" s="209"/>
      <c r="G576" s="209"/>
      <c r="H576" s="209"/>
      <c r="I576" s="209"/>
      <c r="J576" s="209"/>
      <c r="K576" s="209"/>
      <c r="L576" s="209"/>
      <c r="M576" s="209"/>
    </row>
    <row r="577" ht="15.75" customHeight="1">
      <c r="A577" s="209"/>
      <c r="B577" s="209"/>
      <c r="C577" s="210"/>
      <c r="D577" s="211"/>
      <c r="E577" s="209"/>
      <c r="F577" s="209"/>
      <c r="G577" s="209"/>
      <c r="H577" s="209"/>
      <c r="I577" s="209"/>
      <c r="J577" s="209"/>
      <c r="K577" s="209"/>
      <c r="L577" s="209"/>
      <c r="M577" s="209"/>
    </row>
    <row r="578" ht="15.75" customHeight="1">
      <c r="A578" s="209"/>
      <c r="B578" s="209"/>
      <c r="C578" s="210"/>
      <c r="D578" s="211"/>
      <c r="E578" s="209"/>
      <c r="F578" s="209"/>
      <c r="G578" s="209"/>
      <c r="H578" s="209"/>
      <c r="I578" s="209"/>
      <c r="J578" s="209"/>
      <c r="K578" s="209"/>
      <c r="L578" s="209"/>
      <c r="M578" s="209"/>
    </row>
    <row r="579" ht="15.75" customHeight="1">
      <c r="A579" s="209"/>
      <c r="B579" s="209"/>
      <c r="C579" s="210"/>
      <c r="D579" s="211"/>
      <c r="E579" s="209"/>
      <c r="F579" s="209"/>
      <c r="G579" s="209"/>
      <c r="H579" s="209"/>
      <c r="I579" s="209"/>
      <c r="J579" s="209"/>
      <c r="K579" s="209"/>
      <c r="L579" s="209"/>
      <c r="M579" s="209"/>
    </row>
    <row r="580" ht="15.75" customHeight="1">
      <c r="A580" s="209"/>
      <c r="B580" s="209"/>
      <c r="C580" s="210"/>
      <c r="D580" s="211"/>
      <c r="E580" s="209"/>
      <c r="F580" s="209"/>
      <c r="G580" s="209"/>
      <c r="H580" s="209"/>
      <c r="I580" s="209"/>
      <c r="J580" s="209"/>
      <c r="K580" s="209"/>
      <c r="L580" s="209"/>
      <c r="M580" s="209"/>
    </row>
    <row r="581" ht="15.75" customHeight="1">
      <c r="A581" s="209"/>
      <c r="B581" s="209"/>
      <c r="C581" s="210"/>
      <c r="D581" s="211"/>
      <c r="E581" s="209"/>
      <c r="F581" s="209"/>
      <c r="G581" s="209"/>
      <c r="H581" s="209"/>
      <c r="I581" s="209"/>
      <c r="J581" s="209"/>
      <c r="K581" s="209"/>
      <c r="L581" s="209"/>
      <c r="M581" s="209"/>
    </row>
    <row r="582" ht="15.75" customHeight="1">
      <c r="A582" s="209"/>
      <c r="B582" s="209"/>
      <c r="C582" s="210"/>
      <c r="D582" s="211"/>
      <c r="E582" s="209"/>
      <c r="F582" s="209"/>
      <c r="G582" s="209"/>
      <c r="H582" s="209"/>
      <c r="I582" s="209"/>
      <c r="J582" s="209"/>
      <c r="K582" s="209"/>
      <c r="L582" s="209"/>
      <c r="M582" s="209"/>
    </row>
    <row r="583" ht="15.75" customHeight="1">
      <c r="A583" s="209"/>
      <c r="B583" s="209"/>
      <c r="C583" s="210"/>
      <c r="D583" s="211"/>
      <c r="E583" s="209"/>
      <c r="F583" s="209"/>
      <c r="G583" s="209"/>
      <c r="H583" s="209"/>
      <c r="I583" s="209"/>
      <c r="J583" s="209"/>
      <c r="K583" s="209"/>
      <c r="L583" s="209"/>
      <c r="M583" s="209"/>
    </row>
    <row r="584" ht="15.75" customHeight="1">
      <c r="A584" s="209"/>
      <c r="B584" s="209"/>
      <c r="C584" s="210"/>
      <c r="D584" s="211"/>
      <c r="E584" s="209"/>
      <c r="F584" s="209"/>
      <c r="G584" s="209"/>
      <c r="H584" s="209"/>
      <c r="I584" s="209"/>
      <c r="J584" s="209"/>
      <c r="K584" s="209"/>
      <c r="L584" s="209"/>
      <c r="M584" s="209"/>
    </row>
    <row r="585" ht="15.75" customHeight="1">
      <c r="A585" s="209"/>
      <c r="B585" s="209"/>
      <c r="C585" s="210"/>
      <c r="D585" s="211"/>
      <c r="E585" s="209"/>
      <c r="F585" s="209"/>
      <c r="G585" s="209"/>
      <c r="H585" s="209"/>
      <c r="I585" s="209"/>
      <c r="J585" s="209"/>
      <c r="K585" s="209"/>
      <c r="L585" s="209"/>
      <c r="M585" s="209"/>
    </row>
    <row r="586" ht="15.75" customHeight="1">
      <c r="A586" s="209"/>
      <c r="B586" s="209"/>
      <c r="C586" s="210"/>
      <c r="D586" s="211"/>
      <c r="E586" s="209"/>
      <c r="F586" s="209"/>
      <c r="G586" s="209"/>
      <c r="H586" s="209"/>
      <c r="I586" s="209"/>
      <c r="J586" s="209"/>
      <c r="K586" s="209"/>
      <c r="L586" s="209"/>
      <c r="M586" s="209"/>
    </row>
    <row r="587" ht="15.75" customHeight="1">
      <c r="A587" s="209"/>
      <c r="B587" s="209"/>
      <c r="C587" s="210"/>
      <c r="D587" s="211"/>
      <c r="E587" s="209"/>
      <c r="F587" s="209"/>
      <c r="G587" s="209"/>
      <c r="H587" s="209"/>
      <c r="I587" s="209"/>
      <c r="J587" s="209"/>
      <c r="K587" s="209"/>
      <c r="L587" s="209"/>
      <c r="M587" s="209"/>
    </row>
    <row r="588" ht="15.75" customHeight="1">
      <c r="A588" s="209"/>
      <c r="B588" s="209"/>
      <c r="C588" s="210"/>
      <c r="D588" s="211"/>
      <c r="E588" s="209"/>
      <c r="F588" s="209"/>
      <c r="G588" s="209"/>
      <c r="H588" s="209"/>
      <c r="I588" s="209"/>
      <c r="J588" s="209"/>
      <c r="K588" s="209"/>
      <c r="L588" s="209"/>
      <c r="M588" s="209"/>
    </row>
    <row r="589" ht="15.75" customHeight="1">
      <c r="A589" s="209"/>
      <c r="B589" s="209"/>
      <c r="C589" s="210"/>
      <c r="D589" s="211"/>
      <c r="E589" s="209"/>
      <c r="F589" s="209"/>
      <c r="G589" s="209"/>
      <c r="H589" s="209"/>
      <c r="I589" s="209"/>
      <c r="J589" s="209"/>
      <c r="K589" s="209"/>
      <c r="L589" s="209"/>
      <c r="M589" s="209"/>
    </row>
    <row r="590" ht="15.75" customHeight="1">
      <c r="A590" s="209"/>
      <c r="B590" s="209"/>
      <c r="C590" s="210"/>
      <c r="D590" s="211"/>
      <c r="E590" s="209"/>
      <c r="F590" s="209"/>
      <c r="G590" s="209"/>
      <c r="H590" s="209"/>
      <c r="I590" s="209"/>
      <c r="J590" s="209"/>
      <c r="K590" s="209"/>
      <c r="L590" s="209"/>
      <c r="M590" s="209"/>
    </row>
    <row r="591" ht="15.75" customHeight="1">
      <c r="A591" s="209"/>
      <c r="B591" s="209"/>
      <c r="C591" s="210"/>
      <c r="D591" s="211"/>
      <c r="E591" s="209"/>
      <c r="F591" s="209"/>
      <c r="G591" s="209"/>
      <c r="H591" s="209"/>
      <c r="I591" s="209"/>
      <c r="J591" s="209"/>
      <c r="K591" s="209"/>
      <c r="L591" s="209"/>
      <c r="M591" s="209"/>
    </row>
    <row r="592" ht="15.75" customHeight="1">
      <c r="A592" s="209"/>
      <c r="B592" s="209"/>
      <c r="C592" s="210"/>
      <c r="D592" s="211"/>
      <c r="E592" s="209"/>
      <c r="F592" s="209"/>
      <c r="G592" s="209"/>
      <c r="H592" s="209"/>
      <c r="I592" s="209"/>
      <c r="J592" s="209"/>
      <c r="K592" s="209"/>
      <c r="L592" s="209"/>
      <c r="M592" s="209"/>
    </row>
    <row r="593" ht="15.75" customHeight="1">
      <c r="A593" s="209"/>
      <c r="B593" s="209"/>
      <c r="C593" s="210"/>
      <c r="D593" s="211"/>
      <c r="E593" s="209"/>
      <c r="F593" s="209"/>
      <c r="G593" s="209"/>
      <c r="H593" s="209"/>
      <c r="I593" s="209"/>
      <c r="J593" s="209"/>
      <c r="K593" s="209"/>
      <c r="L593" s="209"/>
      <c r="M593" s="209"/>
    </row>
    <row r="594" ht="15.75" customHeight="1">
      <c r="A594" s="209"/>
      <c r="B594" s="209"/>
      <c r="C594" s="210"/>
      <c r="D594" s="211"/>
      <c r="E594" s="209"/>
      <c r="F594" s="209"/>
      <c r="G594" s="209"/>
      <c r="H594" s="209"/>
      <c r="I594" s="209"/>
      <c r="J594" s="209"/>
      <c r="K594" s="209"/>
      <c r="L594" s="209"/>
      <c r="M594" s="209"/>
    </row>
    <row r="595" ht="15.75" customHeight="1">
      <c r="A595" s="209"/>
      <c r="B595" s="209"/>
      <c r="C595" s="210"/>
      <c r="D595" s="211"/>
      <c r="E595" s="209"/>
      <c r="F595" s="209"/>
      <c r="G595" s="209"/>
      <c r="H595" s="209"/>
      <c r="I595" s="209"/>
      <c r="J595" s="209"/>
      <c r="K595" s="209"/>
      <c r="L595" s="209"/>
      <c r="M595" s="209"/>
    </row>
    <row r="596" ht="15.75" customHeight="1">
      <c r="A596" s="209"/>
      <c r="B596" s="209"/>
      <c r="C596" s="210"/>
      <c r="D596" s="211"/>
      <c r="E596" s="209"/>
      <c r="F596" s="209"/>
      <c r="G596" s="209"/>
      <c r="H596" s="209"/>
      <c r="I596" s="209"/>
      <c r="J596" s="209"/>
      <c r="K596" s="209"/>
      <c r="L596" s="209"/>
      <c r="M596" s="209"/>
    </row>
    <row r="597" ht="15.75" customHeight="1">
      <c r="A597" s="209"/>
      <c r="B597" s="209"/>
      <c r="C597" s="210"/>
      <c r="D597" s="211"/>
      <c r="E597" s="209"/>
      <c r="F597" s="209"/>
      <c r="G597" s="209"/>
      <c r="H597" s="209"/>
      <c r="I597" s="209"/>
      <c r="J597" s="209"/>
      <c r="K597" s="209"/>
      <c r="L597" s="209"/>
      <c r="M597" s="209"/>
    </row>
    <row r="598" ht="15.75" customHeight="1">
      <c r="A598" s="209"/>
      <c r="B598" s="209"/>
      <c r="C598" s="210"/>
      <c r="D598" s="211"/>
      <c r="E598" s="209"/>
      <c r="F598" s="209"/>
      <c r="G598" s="209"/>
      <c r="H598" s="209"/>
      <c r="I598" s="209"/>
      <c r="J598" s="209"/>
      <c r="K598" s="209"/>
      <c r="L598" s="209"/>
      <c r="M598" s="209"/>
    </row>
    <row r="599" ht="15.75" customHeight="1">
      <c r="A599" s="209"/>
      <c r="B599" s="209"/>
      <c r="C599" s="210"/>
      <c r="D599" s="211"/>
      <c r="E599" s="209"/>
      <c r="F599" s="209"/>
      <c r="G599" s="209"/>
      <c r="H599" s="209"/>
      <c r="I599" s="209"/>
      <c r="J599" s="209"/>
      <c r="K599" s="209"/>
      <c r="L599" s="209"/>
      <c r="M599" s="209"/>
    </row>
    <row r="600" ht="15.75" customHeight="1">
      <c r="A600" s="209"/>
      <c r="B600" s="209"/>
      <c r="C600" s="210"/>
      <c r="D600" s="211"/>
      <c r="E600" s="209"/>
      <c r="F600" s="209"/>
      <c r="G600" s="209"/>
      <c r="H600" s="209"/>
      <c r="I600" s="209"/>
      <c r="J600" s="209"/>
      <c r="K600" s="209"/>
      <c r="L600" s="209"/>
      <c r="M600" s="209"/>
    </row>
    <row r="601" ht="15.75" customHeight="1">
      <c r="A601" s="209"/>
      <c r="B601" s="209"/>
      <c r="C601" s="210"/>
      <c r="D601" s="211"/>
      <c r="E601" s="209"/>
      <c r="F601" s="209"/>
      <c r="G601" s="209"/>
      <c r="H601" s="209"/>
      <c r="I601" s="209"/>
      <c r="J601" s="209"/>
      <c r="K601" s="209"/>
      <c r="L601" s="209"/>
      <c r="M601" s="209"/>
    </row>
    <row r="602" ht="15.75" customHeight="1">
      <c r="A602" s="209"/>
      <c r="B602" s="209"/>
      <c r="C602" s="210"/>
      <c r="D602" s="211"/>
      <c r="E602" s="209"/>
      <c r="F602" s="209"/>
      <c r="G602" s="209"/>
      <c r="H602" s="209"/>
      <c r="I602" s="209"/>
      <c r="J602" s="209"/>
      <c r="K602" s="209"/>
      <c r="L602" s="209"/>
      <c r="M602" s="209"/>
    </row>
    <row r="603" ht="15.75" customHeight="1">
      <c r="A603" s="209"/>
      <c r="B603" s="209"/>
      <c r="C603" s="210"/>
      <c r="D603" s="211"/>
      <c r="E603" s="209"/>
      <c r="F603" s="209"/>
      <c r="G603" s="209"/>
      <c r="H603" s="209"/>
      <c r="I603" s="209"/>
      <c r="J603" s="209"/>
      <c r="K603" s="209"/>
      <c r="L603" s="209"/>
      <c r="M603" s="209"/>
    </row>
    <row r="604" ht="15.75" customHeight="1">
      <c r="A604" s="209"/>
      <c r="B604" s="209"/>
      <c r="C604" s="210"/>
      <c r="D604" s="211"/>
      <c r="E604" s="209"/>
      <c r="F604" s="209"/>
      <c r="G604" s="209"/>
      <c r="H604" s="209"/>
      <c r="I604" s="209"/>
      <c r="J604" s="209"/>
      <c r="K604" s="209"/>
      <c r="L604" s="209"/>
      <c r="M604" s="209"/>
    </row>
    <row r="605" ht="15.75" customHeight="1">
      <c r="A605" s="209"/>
      <c r="B605" s="209"/>
      <c r="C605" s="210"/>
      <c r="D605" s="211"/>
      <c r="E605" s="209"/>
      <c r="F605" s="209"/>
      <c r="G605" s="209"/>
      <c r="H605" s="209"/>
      <c r="I605" s="209"/>
      <c r="J605" s="209"/>
      <c r="K605" s="209"/>
      <c r="L605" s="209"/>
      <c r="M605" s="209"/>
    </row>
    <row r="606" ht="15.75" customHeight="1">
      <c r="A606" s="209"/>
      <c r="B606" s="209"/>
      <c r="C606" s="210"/>
      <c r="D606" s="211"/>
      <c r="E606" s="209"/>
      <c r="F606" s="209"/>
      <c r="G606" s="209"/>
      <c r="H606" s="209"/>
      <c r="I606" s="209"/>
      <c r="J606" s="209"/>
      <c r="K606" s="209"/>
      <c r="L606" s="209"/>
      <c r="M606" s="209"/>
    </row>
    <row r="607" ht="15.75" customHeight="1">
      <c r="A607" s="209"/>
      <c r="B607" s="209"/>
      <c r="C607" s="210"/>
      <c r="D607" s="211"/>
      <c r="E607" s="209"/>
      <c r="F607" s="209"/>
      <c r="G607" s="209"/>
      <c r="H607" s="209"/>
      <c r="I607" s="209"/>
      <c r="J607" s="209"/>
      <c r="K607" s="209"/>
      <c r="L607" s="209"/>
      <c r="M607" s="209"/>
    </row>
    <row r="608" ht="15.75" customHeight="1">
      <c r="A608" s="209"/>
      <c r="B608" s="209"/>
      <c r="C608" s="210"/>
      <c r="D608" s="211"/>
      <c r="E608" s="209"/>
      <c r="F608" s="209"/>
      <c r="G608" s="209"/>
      <c r="H608" s="209"/>
      <c r="I608" s="209"/>
      <c r="J608" s="209"/>
      <c r="K608" s="209"/>
      <c r="L608" s="209"/>
      <c r="M608" s="209"/>
    </row>
    <row r="609" ht="15.75" customHeight="1">
      <c r="A609" s="209"/>
      <c r="B609" s="209"/>
      <c r="C609" s="210"/>
      <c r="D609" s="211"/>
      <c r="E609" s="209"/>
      <c r="F609" s="209"/>
      <c r="G609" s="209"/>
      <c r="H609" s="209"/>
      <c r="I609" s="209"/>
      <c r="J609" s="209"/>
      <c r="K609" s="209"/>
      <c r="L609" s="209"/>
      <c r="M609" s="209"/>
    </row>
    <row r="610" ht="15.75" customHeight="1">
      <c r="A610" s="209"/>
      <c r="B610" s="209"/>
      <c r="C610" s="210"/>
      <c r="D610" s="211"/>
      <c r="E610" s="209"/>
      <c r="F610" s="209"/>
      <c r="G610" s="209"/>
      <c r="H610" s="209"/>
      <c r="I610" s="209"/>
      <c r="J610" s="209"/>
      <c r="K610" s="209"/>
      <c r="L610" s="209"/>
      <c r="M610" s="209"/>
    </row>
    <row r="611" ht="15.75" customHeight="1">
      <c r="A611" s="209"/>
      <c r="B611" s="209"/>
      <c r="C611" s="210"/>
      <c r="D611" s="211"/>
      <c r="E611" s="209"/>
      <c r="F611" s="209"/>
      <c r="G611" s="209"/>
      <c r="H611" s="209"/>
      <c r="I611" s="209"/>
      <c r="J611" s="209"/>
      <c r="K611" s="209"/>
      <c r="L611" s="209"/>
      <c r="M611" s="209"/>
    </row>
    <row r="612" ht="15.75" customHeight="1">
      <c r="A612" s="209"/>
      <c r="B612" s="209"/>
      <c r="C612" s="210"/>
      <c r="D612" s="211"/>
      <c r="E612" s="209"/>
      <c r="F612" s="209"/>
      <c r="G612" s="209"/>
      <c r="H612" s="209"/>
      <c r="I612" s="209"/>
      <c r="J612" s="209"/>
      <c r="K612" s="209"/>
      <c r="L612" s="209"/>
      <c r="M612" s="209"/>
    </row>
    <row r="613" ht="15.75" customHeight="1">
      <c r="A613" s="209"/>
      <c r="B613" s="209"/>
      <c r="C613" s="210"/>
      <c r="D613" s="211"/>
      <c r="E613" s="209"/>
      <c r="F613" s="209"/>
      <c r="G613" s="209"/>
      <c r="H613" s="209"/>
      <c r="I613" s="209"/>
      <c r="J613" s="209"/>
      <c r="K613" s="209"/>
      <c r="L613" s="209"/>
      <c r="M613" s="209"/>
    </row>
    <row r="614" ht="15.75" customHeight="1">
      <c r="A614" s="209"/>
      <c r="B614" s="209"/>
      <c r="C614" s="210"/>
      <c r="D614" s="211"/>
      <c r="E614" s="209"/>
      <c r="F614" s="209"/>
      <c r="G614" s="209"/>
      <c r="H614" s="209"/>
      <c r="I614" s="209"/>
      <c r="J614" s="209"/>
      <c r="K614" s="209"/>
      <c r="L614" s="209"/>
      <c r="M614" s="209"/>
    </row>
    <row r="615" ht="15.75" customHeight="1">
      <c r="A615" s="209"/>
      <c r="B615" s="209"/>
      <c r="C615" s="210"/>
      <c r="D615" s="211"/>
      <c r="E615" s="209"/>
      <c r="F615" s="209"/>
      <c r="G615" s="209"/>
      <c r="H615" s="209"/>
      <c r="I615" s="209"/>
      <c r="J615" s="209"/>
      <c r="K615" s="209"/>
      <c r="L615" s="209"/>
      <c r="M615" s="209"/>
    </row>
    <row r="616" ht="15.75" customHeight="1">
      <c r="A616" s="209"/>
      <c r="B616" s="209"/>
      <c r="C616" s="210"/>
      <c r="D616" s="211"/>
      <c r="E616" s="209"/>
      <c r="F616" s="209"/>
      <c r="G616" s="209"/>
      <c r="H616" s="209"/>
      <c r="I616" s="209"/>
      <c r="J616" s="209"/>
      <c r="K616" s="209"/>
      <c r="L616" s="209"/>
      <c r="M616" s="209"/>
    </row>
    <row r="617" ht="15.75" customHeight="1">
      <c r="A617" s="209"/>
      <c r="B617" s="209"/>
      <c r="C617" s="210"/>
      <c r="D617" s="211"/>
      <c r="E617" s="209"/>
      <c r="F617" s="209"/>
      <c r="G617" s="209"/>
      <c r="H617" s="209"/>
      <c r="I617" s="209"/>
      <c r="J617" s="209"/>
      <c r="K617" s="209"/>
      <c r="L617" s="209"/>
      <c r="M617" s="209"/>
    </row>
    <row r="618" ht="15.75" customHeight="1">
      <c r="A618" s="209"/>
      <c r="B618" s="209"/>
      <c r="C618" s="210"/>
      <c r="D618" s="211"/>
      <c r="E618" s="209"/>
      <c r="F618" s="209"/>
      <c r="G618" s="209"/>
      <c r="H618" s="209"/>
      <c r="I618" s="209"/>
      <c r="J618" s="209"/>
      <c r="K618" s="209"/>
      <c r="L618" s="209"/>
      <c r="M618" s="209"/>
    </row>
    <row r="619" ht="15.75" customHeight="1">
      <c r="A619" s="209"/>
      <c r="B619" s="209"/>
      <c r="C619" s="210"/>
      <c r="D619" s="211"/>
      <c r="E619" s="209"/>
      <c r="F619" s="209"/>
      <c r="G619" s="209"/>
      <c r="H619" s="209"/>
      <c r="I619" s="209"/>
      <c r="J619" s="209"/>
      <c r="K619" s="209"/>
      <c r="L619" s="209"/>
      <c r="M619" s="209"/>
    </row>
    <row r="620" ht="15.75" customHeight="1">
      <c r="A620" s="209"/>
      <c r="B620" s="209"/>
      <c r="C620" s="210"/>
      <c r="D620" s="211"/>
      <c r="E620" s="209"/>
      <c r="F620" s="209"/>
      <c r="G620" s="209"/>
      <c r="H620" s="209"/>
      <c r="I620" s="209"/>
      <c r="J620" s="209"/>
      <c r="K620" s="209"/>
      <c r="L620" s="209"/>
      <c r="M620" s="209"/>
    </row>
    <row r="621" ht="15.75" customHeight="1">
      <c r="A621" s="209"/>
      <c r="B621" s="209"/>
      <c r="C621" s="210"/>
      <c r="D621" s="211"/>
      <c r="E621" s="209"/>
      <c r="F621" s="209"/>
      <c r="G621" s="209"/>
      <c r="H621" s="209"/>
      <c r="I621" s="209"/>
      <c r="J621" s="209"/>
      <c r="K621" s="209"/>
      <c r="L621" s="209"/>
      <c r="M621" s="209"/>
    </row>
    <row r="622" ht="15.75" customHeight="1">
      <c r="A622" s="209"/>
      <c r="B622" s="209"/>
      <c r="C622" s="210"/>
      <c r="D622" s="211"/>
      <c r="E622" s="209"/>
      <c r="F622" s="209"/>
      <c r="G622" s="209"/>
      <c r="H622" s="209"/>
      <c r="I622" s="209"/>
      <c r="J622" s="209"/>
      <c r="K622" s="209"/>
      <c r="L622" s="209"/>
      <c r="M622" s="209"/>
    </row>
    <row r="623" ht="15.75" customHeight="1">
      <c r="A623" s="209"/>
      <c r="B623" s="209"/>
      <c r="C623" s="210"/>
      <c r="D623" s="211"/>
      <c r="E623" s="209"/>
      <c r="F623" s="209"/>
      <c r="G623" s="209"/>
      <c r="H623" s="209"/>
      <c r="I623" s="209"/>
      <c r="J623" s="209"/>
      <c r="K623" s="209"/>
      <c r="L623" s="209"/>
      <c r="M623" s="209"/>
    </row>
    <row r="624" ht="15.75" customHeight="1">
      <c r="A624" s="209"/>
      <c r="B624" s="209"/>
      <c r="C624" s="210"/>
      <c r="D624" s="211"/>
      <c r="E624" s="209"/>
      <c r="F624" s="209"/>
      <c r="G624" s="209"/>
      <c r="H624" s="209"/>
      <c r="I624" s="209"/>
      <c r="J624" s="209"/>
      <c r="K624" s="209"/>
      <c r="L624" s="209"/>
      <c r="M624" s="209"/>
    </row>
    <row r="625" ht="15.75" customHeight="1">
      <c r="A625" s="209"/>
      <c r="B625" s="209"/>
      <c r="C625" s="210"/>
      <c r="D625" s="211"/>
      <c r="E625" s="209"/>
      <c r="F625" s="209"/>
      <c r="G625" s="209"/>
      <c r="H625" s="209"/>
      <c r="I625" s="209"/>
      <c r="J625" s="209"/>
      <c r="K625" s="209"/>
      <c r="L625" s="209"/>
      <c r="M625" s="209"/>
    </row>
    <row r="626" ht="15.75" customHeight="1">
      <c r="A626" s="209"/>
      <c r="B626" s="209"/>
      <c r="C626" s="210"/>
      <c r="D626" s="211"/>
      <c r="E626" s="209"/>
      <c r="F626" s="209"/>
      <c r="G626" s="209"/>
      <c r="H626" s="209"/>
      <c r="I626" s="209"/>
      <c r="J626" s="209"/>
      <c r="K626" s="209"/>
      <c r="L626" s="209"/>
      <c r="M626" s="209"/>
    </row>
    <row r="627" ht="15.75" customHeight="1">
      <c r="A627" s="209"/>
      <c r="B627" s="209"/>
      <c r="C627" s="210"/>
      <c r="D627" s="211"/>
      <c r="E627" s="209"/>
      <c r="F627" s="209"/>
      <c r="G627" s="209"/>
      <c r="H627" s="209"/>
      <c r="I627" s="209"/>
      <c r="J627" s="209"/>
      <c r="K627" s="209"/>
      <c r="L627" s="209"/>
      <c r="M627" s="209"/>
    </row>
    <row r="628" ht="15.75" customHeight="1">
      <c r="A628" s="209"/>
      <c r="B628" s="209"/>
      <c r="C628" s="210"/>
      <c r="D628" s="211"/>
      <c r="E628" s="209"/>
      <c r="F628" s="209"/>
      <c r="G628" s="209"/>
      <c r="H628" s="209"/>
      <c r="I628" s="209"/>
      <c r="J628" s="209"/>
      <c r="K628" s="209"/>
      <c r="L628" s="209"/>
      <c r="M628" s="209"/>
    </row>
    <row r="629" ht="15.75" customHeight="1">
      <c r="A629" s="209"/>
      <c r="B629" s="209"/>
      <c r="C629" s="210"/>
      <c r="D629" s="211"/>
      <c r="E629" s="209"/>
      <c r="F629" s="209"/>
      <c r="G629" s="209"/>
      <c r="H629" s="209"/>
      <c r="I629" s="209"/>
      <c r="J629" s="209"/>
      <c r="K629" s="209"/>
      <c r="L629" s="209"/>
      <c r="M629" s="209"/>
    </row>
    <row r="630" ht="15.75" customHeight="1">
      <c r="A630" s="209"/>
      <c r="B630" s="209"/>
      <c r="C630" s="210"/>
      <c r="D630" s="211"/>
      <c r="E630" s="209"/>
      <c r="F630" s="209"/>
      <c r="G630" s="209"/>
      <c r="H630" s="209"/>
      <c r="I630" s="209"/>
      <c r="J630" s="209"/>
      <c r="K630" s="209"/>
      <c r="L630" s="209"/>
      <c r="M630" s="209"/>
    </row>
    <row r="631" ht="15.75" customHeight="1">
      <c r="A631" s="209"/>
      <c r="B631" s="209"/>
      <c r="C631" s="210"/>
      <c r="D631" s="211"/>
      <c r="E631" s="209"/>
      <c r="F631" s="209"/>
      <c r="G631" s="209"/>
      <c r="H631" s="209"/>
      <c r="I631" s="209"/>
      <c r="J631" s="209"/>
      <c r="K631" s="209"/>
      <c r="L631" s="209"/>
      <c r="M631" s="209"/>
    </row>
    <row r="632" ht="15.75" customHeight="1">
      <c r="A632" s="209"/>
      <c r="B632" s="209"/>
      <c r="C632" s="210"/>
      <c r="D632" s="211"/>
      <c r="E632" s="209"/>
      <c r="F632" s="209"/>
      <c r="G632" s="209"/>
      <c r="H632" s="209"/>
      <c r="I632" s="209"/>
      <c r="J632" s="209"/>
      <c r="K632" s="209"/>
      <c r="L632" s="209"/>
      <c r="M632" s="209"/>
    </row>
    <row r="633" ht="15.75" customHeight="1">
      <c r="A633" s="209"/>
      <c r="B633" s="209"/>
      <c r="C633" s="210"/>
      <c r="D633" s="211"/>
      <c r="E633" s="209"/>
      <c r="F633" s="209"/>
      <c r="G633" s="209"/>
      <c r="H633" s="209"/>
      <c r="I633" s="209"/>
      <c r="J633" s="209"/>
      <c r="K633" s="209"/>
      <c r="L633" s="209"/>
      <c r="M633" s="209"/>
    </row>
    <row r="634" ht="15.75" customHeight="1">
      <c r="A634" s="209"/>
      <c r="B634" s="209"/>
      <c r="C634" s="210"/>
      <c r="D634" s="211"/>
      <c r="E634" s="209"/>
      <c r="F634" s="209"/>
      <c r="G634" s="209"/>
      <c r="H634" s="209"/>
      <c r="I634" s="209"/>
      <c r="J634" s="209"/>
      <c r="K634" s="209"/>
      <c r="L634" s="209"/>
      <c r="M634" s="209"/>
    </row>
    <row r="635" ht="15.75" customHeight="1">
      <c r="A635" s="209"/>
      <c r="B635" s="209"/>
      <c r="C635" s="210"/>
      <c r="D635" s="211"/>
      <c r="E635" s="209"/>
      <c r="F635" s="209"/>
      <c r="G635" s="209"/>
      <c r="H635" s="209"/>
      <c r="I635" s="209"/>
      <c r="J635" s="209"/>
      <c r="K635" s="209"/>
      <c r="L635" s="209"/>
      <c r="M635" s="209"/>
    </row>
    <row r="636" ht="15.75" customHeight="1">
      <c r="A636" s="209"/>
      <c r="B636" s="209"/>
      <c r="C636" s="210"/>
      <c r="D636" s="211"/>
      <c r="E636" s="209"/>
      <c r="F636" s="209"/>
      <c r="G636" s="209"/>
      <c r="H636" s="209"/>
      <c r="I636" s="209"/>
      <c r="J636" s="209"/>
      <c r="K636" s="209"/>
      <c r="L636" s="209"/>
      <c r="M636" s="209"/>
    </row>
    <row r="637" ht="15.75" customHeight="1">
      <c r="A637" s="209"/>
      <c r="B637" s="209"/>
      <c r="C637" s="210"/>
      <c r="D637" s="211"/>
      <c r="E637" s="209"/>
      <c r="F637" s="209"/>
      <c r="G637" s="209"/>
      <c r="H637" s="209"/>
      <c r="I637" s="209"/>
      <c r="J637" s="209"/>
      <c r="K637" s="209"/>
      <c r="L637" s="209"/>
      <c r="M637" s="209"/>
    </row>
    <row r="638" ht="15.75" customHeight="1">
      <c r="A638" s="209"/>
      <c r="B638" s="209"/>
      <c r="C638" s="210"/>
      <c r="D638" s="211"/>
      <c r="E638" s="209"/>
      <c r="F638" s="209"/>
      <c r="G638" s="209"/>
      <c r="H638" s="209"/>
      <c r="I638" s="209"/>
      <c r="J638" s="209"/>
      <c r="K638" s="209"/>
      <c r="L638" s="209"/>
      <c r="M638" s="209"/>
    </row>
    <row r="639" ht="15.75" customHeight="1">
      <c r="A639" s="209"/>
      <c r="B639" s="209"/>
      <c r="C639" s="210"/>
      <c r="D639" s="211"/>
      <c r="E639" s="209"/>
      <c r="F639" s="209"/>
      <c r="G639" s="209"/>
      <c r="H639" s="209"/>
      <c r="I639" s="209"/>
      <c r="J639" s="209"/>
      <c r="K639" s="209"/>
      <c r="L639" s="209"/>
      <c r="M639" s="209"/>
    </row>
    <row r="640" ht="15.75" customHeight="1">
      <c r="A640" s="209"/>
      <c r="B640" s="209"/>
      <c r="C640" s="210"/>
      <c r="D640" s="211"/>
      <c r="E640" s="209"/>
      <c r="F640" s="209"/>
      <c r="G640" s="209"/>
      <c r="H640" s="209"/>
      <c r="I640" s="209"/>
      <c r="J640" s="209"/>
      <c r="K640" s="209"/>
      <c r="L640" s="209"/>
      <c r="M640" s="209"/>
    </row>
    <row r="641" ht="15.75" customHeight="1">
      <c r="A641" s="209"/>
      <c r="B641" s="209"/>
      <c r="C641" s="210"/>
      <c r="D641" s="211"/>
      <c r="E641" s="209"/>
      <c r="F641" s="209"/>
      <c r="G641" s="209"/>
      <c r="H641" s="209"/>
      <c r="I641" s="209"/>
      <c r="J641" s="209"/>
      <c r="K641" s="209"/>
      <c r="L641" s="209"/>
      <c r="M641" s="209"/>
    </row>
    <row r="642" ht="15.75" customHeight="1">
      <c r="A642" s="209"/>
      <c r="B642" s="209"/>
      <c r="C642" s="210"/>
      <c r="D642" s="211"/>
      <c r="E642" s="209"/>
      <c r="F642" s="209"/>
      <c r="G642" s="209"/>
      <c r="H642" s="209"/>
      <c r="I642" s="209"/>
      <c r="J642" s="209"/>
      <c r="K642" s="209"/>
      <c r="L642" s="209"/>
      <c r="M642" s="209"/>
    </row>
    <row r="643" ht="15.75" customHeight="1">
      <c r="A643" s="209"/>
      <c r="B643" s="209"/>
      <c r="C643" s="210"/>
      <c r="D643" s="211"/>
      <c r="E643" s="209"/>
      <c r="F643" s="209"/>
      <c r="G643" s="209"/>
      <c r="H643" s="209"/>
      <c r="I643" s="209"/>
      <c r="J643" s="209"/>
      <c r="K643" s="209"/>
      <c r="L643" s="209"/>
      <c r="M643" s="209"/>
    </row>
    <row r="644" ht="15.75" customHeight="1">
      <c r="A644" s="209"/>
      <c r="B644" s="209"/>
      <c r="C644" s="210"/>
      <c r="D644" s="211"/>
      <c r="E644" s="209"/>
      <c r="F644" s="209"/>
      <c r="G644" s="209"/>
      <c r="H644" s="209"/>
      <c r="I644" s="209"/>
      <c r="J644" s="209"/>
      <c r="K644" s="209"/>
      <c r="L644" s="209"/>
      <c r="M644" s="209"/>
    </row>
    <row r="645" ht="15.75" customHeight="1">
      <c r="A645" s="209"/>
      <c r="B645" s="209"/>
      <c r="C645" s="210"/>
      <c r="D645" s="211"/>
      <c r="E645" s="209"/>
      <c r="F645" s="209"/>
      <c r="G645" s="209"/>
      <c r="H645" s="209"/>
      <c r="I645" s="209"/>
      <c r="J645" s="209"/>
      <c r="K645" s="209"/>
      <c r="L645" s="209"/>
      <c r="M645" s="209"/>
    </row>
    <row r="646" ht="15.75" customHeight="1">
      <c r="A646" s="209"/>
      <c r="B646" s="209"/>
      <c r="C646" s="210"/>
      <c r="D646" s="211"/>
      <c r="E646" s="209"/>
      <c r="F646" s="209"/>
      <c r="G646" s="209"/>
      <c r="H646" s="209"/>
      <c r="I646" s="209"/>
      <c r="J646" s="209"/>
      <c r="K646" s="209"/>
      <c r="L646" s="209"/>
      <c r="M646" s="209"/>
    </row>
    <row r="647" ht="15.75" customHeight="1">
      <c r="A647" s="209"/>
      <c r="B647" s="209"/>
      <c r="C647" s="210"/>
      <c r="D647" s="211"/>
      <c r="E647" s="209"/>
      <c r="F647" s="209"/>
      <c r="G647" s="209"/>
      <c r="H647" s="209"/>
      <c r="I647" s="209"/>
      <c r="J647" s="209"/>
      <c r="K647" s="209"/>
      <c r="L647" s="209"/>
      <c r="M647" s="209"/>
    </row>
    <row r="648" ht="15.75" customHeight="1">
      <c r="A648" s="209"/>
      <c r="B648" s="209"/>
      <c r="C648" s="210"/>
      <c r="D648" s="211"/>
      <c r="E648" s="209"/>
      <c r="F648" s="209"/>
      <c r="G648" s="209"/>
      <c r="H648" s="209"/>
      <c r="I648" s="209"/>
      <c r="J648" s="209"/>
      <c r="K648" s="209"/>
      <c r="L648" s="209"/>
      <c r="M648" s="209"/>
    </row>
    <row r="649" ht="15.75" customHeight="1">
      <c r="A649" s="209"/>
      <c r="B649" s="209"/>
      <c r="C649" s="210"/>
      <c r="D649" s="211"/>
      <c r="E649" s="209"/>
      <c r="F649" s="209"/>
      <c r="G649" s="209"/>
      <c r="H649" s="209"/>
      <c r="I649" s="209"/>
      <c r="J649" s="209"/>
      <c r="K649" s="209"/>
      <c r="L649" s="209"/>
      <c r="M649" s="209"/>
    </row>
    <row r="650" ht="15.75" customHeight="1">
      <c r="A650" s="209"/>
      <c r="B650" s="209"/>
      <c r="C650" s="210"/>
      <c r="D650" s="211"/>
      <c r="E650" s="209"/>
      <c r="F650" s="209"/>
      <c r="G650" s="209"/>
      <c r="H650" s="209"/>
      <c r="I650" s="209"/>
      <c r="J650" s="209"/>
      <c r="K650" s="209"/>
      <c r="L650" s="209"/>
      <c r="M650" s="209"/>
    </row>
    <row r="651" ht="15.75" customHeight="1">
      <c r="A651" s="209"/>
      <c r="B651" s="209"/>
      <c r="C651" s="210"/>
      <c r="D651" s="211"/>
      <c r="E651" s="209"/>
      <c r="F651" s="209"/>
      <c r="G651" s="209"/>
      <c r="H651" s="209"/>
      <c r="I651" s="209"/>
      <c r="J651" s="209"/>
      <c r="K651" s="209"/>
      <c r="L651" s="209"/>
      <c r="M651" s="209"/>
    </row>
    <row r="652" ht="15.75" customHeight="1">
      <c r="A652" s="209"/>
      <c r="B652" s="209"/>
      <c r="C652" s="210"/>
      <c r="D652" s="211"/>
      <c r="E652" s="209"/>
      <c r="F652" s="209"/>
      <c r="G652" s="209"/>
      <c r="H652" s="209"/>
      <c r="I652" s="209"/>
      <c r="J652" s="209"/>
      <c r="K652" s="209"/>
      <c r="L652" s="209"/>
      <c r="M652" s="209"/>
    </row>
    <row r="653" ht="15.75" customHeight="1">
      <c r="A653" s="209"/>
      <c r="B653" s="209"/>
      <c r="C653" s="210"/>
      <c r="D653" s="211"/>
      <c r="E653" s="209"/>
      <c r="F653" s="209"/>
      <c r="G653" s="209"/>
      <c r="H653" s="209"/>
      <c r="I653" s="209"/>
      <c r="J653" s="209"/>
      <c r="K653" s="209"/>
      <c r="L653" s="209"/>
      <c r="M653" s="209"/>
    </row>
    <row r="654" ht="15.75" customHeight="1">
      <c r="A654" s="209"/>
      <c r="B654" s="209"/>
      <c r="C654" s="210"/>
      <c r="D654" s="211"/>
      <c r="E654" s="209"/>
      <c r="F654" s="209"/>
      <c r="G654" s="209"/>
      <c r="H654" s="209"/>
      <c r="I654" s="209"/>
      <c r="J654" s="209"/>
      <c r="K654" s="209"/>
      <c r="L654" s="209"/>
      <c r="M654" s="209"/>
    </row>
    <row r="655" ht="15.75" customHeight="1">
      <c r="A655" s="209"/>
      <c r="B655" s="209"/>
      <c r="C655" s="210"/>
      <c r="D655" s="211"/>
      <c r="E655" s="209"/>
      <c r="F655" s="209"/>
      <c r="G655" s="209"/>
      <c r="H655" s="209"/>
      <c r="I655" s="209"/>
      <c r="J655" s="209"/>
      <c r="K655" s="209"/>
      <c r="L655" s="209"/>
      <c r="M655" s="209"/>
    </row>
    <row r="656" ht="15.75" customHeight="1">
      <c r="A656" s="209"/>
      <c r="B656" s="209"/>
      <c r="C656" s="210"/>
      <c r="D656" s="211"/>
      <c r="E656" s="209"/>
      <c r="F656" s="209"/>
      <c r="G656" s="209"/>
      <c r="H656" s="209"/>
      <c r="I656" s="209"/>
      <c r="J656" s="209"/>
      <c r="K656" s="209"/>
      <c r="L656" s="209"/>
      <c r="M656" s="209"/>
    </row>
    <row r="657" ht="15.75" customHeight="1">
      <c r="A657" s="209"/>
      <c r="B657" s="209"/>
      <c r="C657" s="210"/>
      <c r="D657" s="211"/>
      <c r="E657" s="209"/>
      <c r="F657" s="209"/>
      <c r="G657" s="209"/>
      <c r="H657" s="209"/>
      <c r="I657" s="209"/>
      <c r="J657" s="209"/>
      <c r="K657" s="209"/>
      <c r="L657" s="209"/>
      <c r="M657" s="209"/>
    </row>
    <row r="658" ht="15.75" customHeight="1">
      <c r="A658" s="209"/>
      <c r="B658" s="209"/>
      <c r="C658" s="210"/>
      <c r="D658" s="211"/>
      <c r="E658" s="209"/>
      <c r="F658" s="209"/>
      <c r="G658" s="209"/>
      <c r="H658" s="209"/>
      <c r="I658" s="209"/>
      <c r="J658" s="209"/>
      <c r="K658" s="209"/>
      <c r="L658" s="209"/>
      <c r="M658" s="209"/>
    </row>
    <row r="659" ht="15.75" customHeight="1">
      <c r="A659" s="209"/>
      <c r="B659" s="209"/>
      <c r="C659" s="210"/>
      <c r="D659" s="211"/>
      <c r="E659" s="209"/>
      <c r="F659" s="209"/>
      <c r="G659" s="209"/>
      <c r="H659" s="209"/>
      <c r="I659" s="209"/>
      <c r="J659" s="209"/>
      <c r="K659" s="209"/>
      <c r="L659" s="209"/>
      <c r="M659" s="209"/>
    </row>
    <row r="660" ht="15.75" customHeight="1">
      <c r="A660" s="209"/>
      <c r="B660" s="209"/>
      <c r="C660" s="210"/>
      <c r="D660" s="211"/>
      <c r="E660" s="209"/>
      <c r="F660" s="209"/>
      <c r="G660" s="209"/>
      <c r="H660" s="209"/>
      <c r="I660" s="209"/>
      <c r="J660" s="209"/>
      <c r="K660" s="209"/>
      <c r="L660" s="209"/>
      <c r="M660" s="209"/>
    </row>
    <row r="661" ht="15.75" customHeight="1">
      <c r="A661" s="209"/>
      <c r="B661" s="209"/>
      <c r="C661" s="210"/>
      <c r="D661" s="211"/>
      <c r="E661" s="209"/>
      <c r="F661" s="209"/>
      <c r="G661" s="209"/>
      <c r="H661" s="209"/>
      <c r="I661" s="209"/>
      <c r="J661" s="209"/>
      <c r="K661" s="209"/>
      <c r="L661" s="209"/>
      <c r="M661" s="209"/>
    </row>
    <row r="662" ht="15.75" customHeight="1">
      <c r="A662" s="209"/>
      <c r="B662" s="209"/>
      <c r="C662" s="210"/>
      <c r="D662" s="211"/>
      <c r="E662" s="209"/>
      <c r="F662" s="209"/>
      <c r="G662" s="209"/>
      <c r="H662" s="209"/>
      <c r="I662" s="209"/>
      <c r="J662" s="209"/>
      <c r="K662" s="209"/>
      <c r="L662" s="209"/>
      <c r="M662" s="209"/>
    </row>
    <row r="663" ht="15.75" customHeight="1">
      <c r="A663" s="209"/>
      <c r="B663" s="209"/>
      <c r="C663" s="210"/>
      <c r="D663" s="211"/>
      <c r="E663" s="209"/>
      <c r="F663" s="209"/>
      <c r="G663" s="209"/>
      <c r="H663" s="209"/>
      <c r="I663" s="209"/>
      <c r="J663" s="209"/>
      <c r="K663" s="209"/>
      <c r="L663" s="209"/>
      <c r="M663" s="209"/>
    </row>
    <row r="664" ht="15.75" customHeight="1">
      <c r="A664" s="209"/>
      <c r="B664" s="209"/>
      <c r="C664" s="210"/>
      <c r="D664" s="211"/>
      <c r="E664" s="209"/>
      <c r="F664" s="209"/>
      <c r="G664" s="209"/>
      <c r="H664" s="209"/>
      <c r="I664" s="209"/>
      <c r="J664" s="209"/>
      <c r="K664" s="209"/>
      <c r="L664" s="209"/>
      <c r="M664" s="209"/>
    </row>
    <row r="665" ht="15.75" customHeight="1">
      <c r="A665" s="209"/>
      <c r="B665" s="209"/>
      <c r="C665" s="210"/>
      <c r="D665" s="211"/>
      <c r="E665" s="209"/>
      <c r="F665" s="209"/>
      <c r="G665" s="209"/>
      <c r="H665" s="209"/>
      <c r="I665" s="209"/>
      <c r="J665" s="209"/>
      <c r="K665" s="209"/>
      <c r="L665" s="209"/>
      <c r="M665" s="209"/>
    </row>
    <row r="666" ht="15.75" customHeight="1">
      <c r="A666" s="209"/>
      <c r="B666" s="209"/>
      <c r="C666" s="210"/>
      <c r="D666" s="211"/>
      <c r="E666" s="209"/>
      <c r="F666" s="209"/>
      <c r="G666" s="209"/>
      <c r="H666" s="209"/>
      <c r="I666" s="209"/>
      <c r="J666" s="209"/>
      <c r="K666" s="209"/>
      <c r="L666" s="209"/>
      <c r="M666" s="209"/>
    </row>
    <row r="667" ht="15.75" customHeight="1">
      <c r="A667" s="209"/>
      <c r="B667" s="209"/>
      <c r="C667" s="210"/>
      <c r="D667" s="211"/>
      <c r="E667" s="209"/>
      <c r="F667" s="209"/>
      <c r="G667" s="209"/>
      <c r="H667" s="209"/>
      <c r="I667" s="209"/>
      <c r="J667" s="209"/>
      <c r="K667" s="209"/>
      <c r="L667" s="209"/>
      <c r="M667" s="209"/>
    </row>
    <row r="668" ht="15.75" customHeight="1">
      <c r="A668" s="209"/>
      <c r="B668" s="209"/>
      <c r="C668" s="210"/>
      <c r="D668" s="211"/>
      <c r="E668" s="209"/>
      <c r="F668" s="209"/>
      <c r="G668" s="209"/>
      <c r="H668" s="209"/>
      <c r="I668" s="209"/>
      <c r="J668" s="209"/>
      <c r="K668" s="209"/>
      <c r="L668" s="209"/>
      <c r="M668" s="209"/>
    </row>
    <row r="669" ht="15.75" customHeight="1">
      <c r="A669" s="209"/>
      <c r="B669" s="209"/>
      <c r="C669" s="210"/>
      <c r="D669" s="211"/>
      <c r="E669" s="209"/>
      <c r="F669" s="209"/>
      <c r="G669" s="209"/>
      <c r="H669" s="209"/>
      <c r="I669" s="209"/>
      <c r="J669" s="209"/>
      <c r="K669" s="209"/>
      <c r="L669" s="209"/>
      <c r="M669" s="209"/>
    </row>
    <row r="670" ht="15.75" customHeight="1">
      <c r="A670" s="209"/>
      <c r="B670" s="209"/>
      <c r="C670" s="210"/>
      <c r="D670" s="211"/>
      <c r="E670" s="209"/>
      <c r="F670" s="209"/>
      <c r="G670" s="209"/>
      <c r="H670" s="209"/>
      <c r="I670" s="209"/>
      <c r="J670" s="209"/>
      <c r="K670" s="209"/>
      <c r="L670" s="209"/>
      <c r="M670" s="209"/>
    </row>
    <row r="671" ht="15.75" customHeight="1">
      <c r="A671" s="209"/>
      <c r="B671" s="209"/>
      <c r="C671" s="210"/>
      <c r="D671" s="211"/>
      <c r="E671" s="209"/>
      <c r="F671" s="209"/>
      <c r="G671" s="209"/>
      <c r="H671" s="209"/>
      <c r="I671" s="209"/>
      <c r="J671" s="209"/>
      <c r="K671" s="209"/>
      <c r="L671" s="209"/>
      <c r="M671" s="209"/>
    </row>
    <row r="672" ht="15.75" customHeight="1">
      <c r="A672" s="209"/>
      <c r="B672" s="209"/>
      <c r="C672" s="210"/>
      <c r="D672" s="211"/>
      <c r="E672" s="209"/>
      <c r="F672" s="209"/>
      <c r="G672" s="209"/>
      <c r="H672" s="209"/>
      <c r="I672" s="209"/>
      <c r="J672" s="209"/>
      <c r="K672" s="209"/>
      <c r="L672" s="209"/>
      <c r="M672" s="209"/>
    </row>
    <row r="673" ht="15.75" customHeight="1">
      <c r="A673" s="209"/>
      <c r="B673" s="209"/>
      <c r="C673" s="210"/>
      <c r="D673" s="211"/>
      <c r="E673" s="209"/>
      <c r="F673" s="209"/>
      <c r="G673" s="209"/>
      <c r="H673" s="209"/>
      <c r="I673" s="209"/>
      <c r="J673" s="209"/>
      <c r="K673" s="209"/>
      <c r="L673" s="209"/>
      <c r="M673" s="209"/>
    </row>
    <row r="674" ht="15.75" customHeight="1">
      <c r="A674" s="209"/>
      <c r="B674" s="209"/>
      <c r="C674" s="210"/>
      <c r="D674" s="211"/>
      <c r="E674" s="209"/>
      <c r="F674" s="209"/>
      <c r="G674" s="209"/>
      <c r="H674" s="209"/>
      <c r="I674" s="209"/>
      <c r="J674" s="209"/>
      <c r="K674" s="209"/>
      <c r="L674" s="209"/>
      <c r="M674" s="209"/>
    </row>
    <row r="675" ht="15.75" customHeight="1">
      <c r="A675" s="209"/>
      <c r="B675" s="209"/>
      <c r="C675" s="210"/>
      <c r="D675" s="211"/>
      <c r="E675" s="209"/>
      <c r="F675" s="209"/>
      <c r="G675" s="209"/>
      <c r="H675" s="209"/>
      <c r="I675" s="209"/>
      <c r="J675" s="209"/>
      <c r="K675" s="209"/>
      <c r="L675" s="209"/>
      <c r="M675" s="209"/>
    </row>
    <row r="676" ht="15.75" customHeight="1">
      <c r="A676" s="209"/>
      <c r="B676" s="209"/>
      <c r="C676" s="210"/>
      <c r="D676" s="211"/>
      <c r="E676" s="209"/>
      <c r="F676" s="209"/>
      <c r="G676" s="209"/>
      <c r="H676" s="209"/>
      <c r="I676" s="209"/>
      <c r="J676" s="209"/>
      <c r="K676" s="209"/>
      <c r="L676" s="209"/>
      <c r="M676" s="209"/>
    </row>
    <row r="677" ht="15.75" customHeight="1">
      <c r="A677" s="209"/>
      <c r="B677" s="209"/>
      <c r="C677" s="210"/>
      <c r="D677" s="211"/>
      <c r="E677" s="209"/>
      <c r="F677" s="209"/>
      <c r="G677" s="209"/>
      <c r="H677" s="209"/>
      <c r="I677" s="209"/>
      <c r="J677" s="209"/>
      <c r="K677" s="209"/>
      <c r="L677" s="209"/>
      <c r="M677" s="209"/>
    </row>
    <row r="678" ht="15.75" customHeight="1">
      <c r="A678" s="209"/>
      <c r="B678" s="209"/>
      <c r="C678" s="210"/>
      <c r="D678" s="211"/>
      <c r="E678" s="209"/>
      <c r="F678" s="209"/>
      <c r="G678" s="209"/>
      <c r="H678" s="209"/>
      <c r="I678" s="209"/>
      <c r="J678" s="209"/>
      <c r="K678" s="209"/>
      <c r="L678" s="209"/>
      <c r="M678" s="209"/>
    </row>
    <row r="679" ht="15.75" customHeight="1">
      <c r="A679" s="209"/>
      <c r="B679" s="209"/>
      <c r="C679" s="210"/>
      <c r="D679" s="211"/>
      <c r="E679" s="209"/>
      <c r="F679" s="209"/>
      <c r="G679" s="209"/>
      <c r="H679" s="209"/>
      <c r="I679" s="209"/>
      <c r="J679" s="209"/>
      <c r="K679" s="209"/>
      <c r="L679" s="209"/>
      <c r="M679" s="209"/>
    </row>
    <row r="680" ht="15.75" customHeight="1">
      <c r="A680" s="209"/>
      <c r="B680" s="209"/>
      <c r="C680" s="210"/>
      <c r="D680" s="211"/>
      <c r="E680" s="209"/>
      <c r="F680" s="209"/>
      <c r="G680" s="209"/>
      <c r="H680" s="209"/>
      <c r="I680" s="209"/>
      <c r="J680" s="209"/>
      <c r="K680" s="209"/>
      <c r="L680" s="209"/>
      <c r="M680" s="209"/>
    </row>
    <row r="681" ht="15.75" customHeight="1">
      <c r="A681" s="209"/>
      <c r="B681" s="209"/>
      <c r="C681" s="210"/>
      <c r="D681" s="211"/>
      <c r="E681" s="209"/>
      <c r="F681" s="209"/>
      <c r="G681" s="209"/>
      <c r="H681" s="209"/>
      <c r="I681" s="209"/>
      <c r="J681" s="209"/>
      <c r="K681" s="209"/>
      <c r="L681" s="209"/>
      <c r="M681" s="209"/>
    </row>
    <row r="682" ht="15.75" customHeight="1">
      <c r="A682" s="209"/>
      <c r="B682" s="209"/>
      <c r="C682" s="210"/>
      <c r="D682" s="211"/>
      <c r="E682" s="209"/>
      <c r="F682" s="209"/>
      <c r="G682" s="209"/>
      <c r="H682" s="209"/>
      <c r="I682" s="209"/>
      <c r="J682" s="209"/>
      <c r="K682" s="209"/>
      <c r="L682" s="209"/>
      <c r="M682" s="209"/>
    </row>
    <row r="683" ht="15.75" customHeight="1">
      <c r="A683" s="209"/>
      <c r="B683" s="209"/>
      <c r="C683" s="210"/>
      <c r="D683" s="211"/>
      <c r="E683" s="209"/>
      <c r="F683" s="209"/>
      <c r="G683" s="209"/>
      <c r="H683" s="209"/>
      <c r="I683" s="209"/>
      <c r="J683" s="209"/>
      <c r="K683" s="209"/>
      <c r="L683" s="209"/>
      <c r="M683" s="209"/>
    </row>
    <row r="684" ht="15.75" customHeight="1">
      <c r="A684" s="209"/>
      <c r="B684" s="209"/>
      <c r="C684" s="210"/>
      <c r="D684" s="211"/>
      <c r="E684" s="209"/>
      <c r="F684" s="209"/>
      <c r="G684" s="209"/>
      <c r="H684" s="209"/>
      <c r="I684" s="209"/>
      <c r="J684" s="209"/>
      <c r="K684" s="209"/>
      <c r="L684" s="209"/>
      <c r="M684" s="209"/>
    </row>
    <row r="685" ht="15.75" customHeight="1">
      <c r="A685" s="209"/>
      <c r="B685" s="209"/>
      <c r="C685" s="210"/>
      <c r="D685" s="211"/>
      <c r="E685" s="209"/>
      <c r="F685" s="209"/>
      <c r="G685" s="209"/>
      <c r="H685" s="209"/>
      <c r="I685" s="209"/>
      <c r="J685" s="209"/>
      <c r="K685" s="209"/>
      <c r="L685" s="209"/>
      <c r="M685" s="209"/>
    </row>
    <row r="686" ht="15.75" customHeight="1">
      <c r="A686" s="209"/>
      <c r="B686" s="209"/>
      <c r="C686" s="210"/>
      <c r="D686" s="211"/>
      <c r="E686" s="209"/>
      <c r="F686" s="209"/>
      <c r="G686" s="209"/>
      <c r="H686" s="209"/>
      <c r="I686" s="209"/>
      <c r="J686" s="209"/>
      <c r="K686" s="209"/>
      <c r="L686" s="209"/>
      <c r="M686" s="209"/>
    </row>
    <row r="687" ht="15.75" customHeight="1">
      <c r="A687" s="209"/>
      <c r="B687" s="209"/>
      <c r="C687" s="210"/>
      <c r="D687" s="211"/>
      <c r="E687" s="209"/>
      <c r="F687" s="209"/>
      <c r="G687" s="209"/>
      <c r="H687" s="209"/>
      <c r="I687" s="209"/>
      <c r="J687" s="209"/>
      <c r="K687" s="209"/>
      <c r="L687" s="209"/>
      <c r="M687" s="209"/>
    </row>
    <row r="688" ht="15.75" customHeight="1">
      <c r="A688" s="209"/>
      <c r="B688" s="209"/>
      <c r="C688" s="210"/>
      <c r="D688" s="211"/>
      <c r="E688" s="209"/>
      <c r="F688" s="209"/>
      <c r="G688" s="209"/>
      <c r="H688" s="209"/>
      <c r="I688" s="209"/>
      <c r="J688" s="209"/>
      <c r="K688" s="209"/>
      <c r="L688" s="209"/>
      <c r="M688" s="209"/>
    </row>
    <row r="689" ht="15.75" customHeight="1">
      <c r="A689" s="209"/>
      <c r="B689" s="209"/>
      <c r="C689" s="210"/>
      <c r="D689" s="211"/>
      <c r="E689" s="209"/>
      <c r="F689" s="209"/>
      <c r="G689" s="209"/>
      <c r="H689" s="209"/>
      <c r="I689" s="209"/>
      <c r="J689" s="209"/>
      <c r="K689" s="209"/>
      <c r="L689" s="209"/>
      <c r="M689" s="209"/>
    </row>
    <row r="690" ht="15.75" customHeight="1">
      <c r="A690" s="209"/>
      <c r="B690" s="209"/>
      <c r="C690" s="210"/>
      <c r="D690" s="211"/>
      <c r="E690" s="209"/>
      <c r="F690" s="209"/>
      <c r="G690" s="209"/>
      <c r="H690" s="209"/>
      <c r="I690" s="209"/>
      <c r="J690" s="209"/>
      <c r="K690" s="209"/>
      <c r="L690" s="209"/>
      <c r="M690" s="209"/>
    </row>
    <row r="691" ht="15.75" customHeight="1">
      <c r="A691" s="209"/>
      <c r="B691" s="209"/>
      <c r="C691" s="210"/>
      <c r="D691" s="211"/>
      <c r="E691" s="209"/>
      <c r="F691" s="209"/>
      <c r="G691" s="209"/>
      <c r="H691" s="209"/>
      <c r="I691" s="209"/>
      <c r="J691" s="209"/>
      <c r="K691" s="209"/>
      <c r="L691" s="209"/>
      <c r="M691" s="209"/>
    </row>
    <row r="692" ht="15.75" customHeight="1">
      <c r="A692" s="209"/>
      <c r="B692" s="209"/>
      <c r="C692" s="210"/>
      <c r="D692" s="211"/>
      <c r="E692" s="209"/>
      <c r="F692" s="209"/>
      <c r="G692" s="209"/>
      <c r="H692" s="209"/>
      <c r="I692" s="209"/>
      <c r="J692" s="209"/>
      <c r="K692" s="209"/>
      <c r="L692" s="209"/>
      <c r="M692" s="209"/>
    </row>
    <row r="693" ht="15.75" customHeight="1">
      <c r="A693" s="209"/>
      <c r="B693" s="209"/>
      <c r="C693" s="210"/>
      <c r="D693" s="211"/>
      <c r="E693" s="209"/>
      <c r="F693" s="209"/>
      <c r="G693" s="209"/>
      <c r="H693" s="209"/>
      <c r="I693" s="209"/>
      <c r="J693" s="209"/>
      <c r="K693" s="209"/>
      <c r="L693" s="209"/>
      <c r="M693" s="209"/>
    </row>
    <row r="694" ht="15.75" customHeight="1">
      <c r="A694" s="209"/>
      <c r="B694" s="209"/>
      <c r="C694" s="210"/>
      <c r="D694" s="211"/>
      <c r="E694" s="209"/>
      <c r="F694" s="209"/>
      <c r="G694" s="209"/>
      <c r="H694" s="209"/>
      <c r="I694" s="209"/>
      <c r="J694" s="209"/>
      <c r="K694" s="209"/>
      <c r="L694" s="209"/>
      <c r="M694" s="209"/>
    </row>
    <row r="695" ht="15.75" customHeight="1">
      <c r="A695" s="209"/>
      <c r="B695" s="209"/>
      <c r="C695" s="210"/>
      <c r="D695" s="211"/>
      <c r="E695" s="209"/>
      <c r="F695" s="209"/>
      <c r="G695" s="209"/>
      <c r="H695" s="209"/>
      <c r="I695" s="209"/>
      <c r="J695" s="209"/>
      <c r="K695" s="209"/>
      <c r="L695" s="209"/>
      <c r="M695" s="209"/>
    </row>
    <row r="696" ht="15.75" customHeight="1">
      <c r="A696" s="209"/>
      <c r="B696" s="209"/>
      <c r="C696" s="210"/>
      <c r="D696" s="211"/>
      <c r="E696" s="209"/>
      <c r="F696" s="209"/>
      <c r="G696" s="209"/>
      <c r="H696" s="209"/>
      <c r="I696" s="209"/>
      <c r="J696" s="209"/>
      <c r="K696" s="209"/>
      <c r="L696" s="209"/>
      <c r="M696" s="209"/>
    </row>
    <row r="697" ht="15.75" customHeight="1">
      <c r="A697" s="209"/>
      <c r="B697" s="209"/>
      <c r="C697" s="210"/>
      <c r="D697" s="211"/>
      <c r="E697" s="209"/>
      <c r="F697" s="209"/>
      <c r="G697" s="209"/>
      <c r="H697" s="209"/>
      <c r="I697" s="209"/>
      <c r="J697" s="209"/>
      <c r="K697" s="209"/>
      <c r="L697" s="209"/>
      <c r="M697" s="209"/>
    </row>
    <row r="698" ht="15.75" customHeight="1">
      <c r="A698" s="209"/>
      <c r="B698" s="209"/>
      <c r="C698" s="210"/>
      <c r="D698" s="211"/>
      <c r="E698" s="209"/>
      <c r="F698" s="209"/>
      <c r="G698" s="209"/>
      <c r="H698" s="209"/>
      <c r="I698" s="209"/>
      <c r="J698" s="209"/>
      <c r="K698" s="209"/>
      <c r="L698" s="209"/>
      <c r="M698" s="209"/>
    </row>
    <row r="699" ht="15.75" customHeight="1">
      <c r="A699" s="209"/>
      <c r="B699" s="209"/>
      <c r="C699" s="210"/>
      <c r="D699" s="211"/>
      <c r="E699" s="209"/>
      <c r="F699" s="209"/>
      <c r="G699" s="209"/>
      <c r="H699" s="209"/>
      <c r="I699" s="209"/>
      <c r="J699" s="209"/>
      <c r="K699" s="209"/>
      <c r="L699" s="209"/>
      <c r="M699" s="209"/>
    </row>
    <row r="700" ht="15.75" customHeight="1">
      <c r="A700" s="209"/>
      <c r="B700" s="209"/>
      <c r="C700" s="210"/>
      <c r="D700" s="211"/>
      <c r="E700" s="209"/>
      <c r="F700" s="209"/>
      <c r="G700" s="209"/>
      <c r="H700" s="209"/>
      <c r="I700" s="209"/>
      <c r="J700" s="209"/>
      <c r="K700" s="209"/>
      <c r="L700" s="209"/>
      <c r="M700" s="209"/>
    </row>
    <row r="701" ht="15.75" customHeight="1">
      <c r="A701" s="209"/>
      <c r="B701" s="209"/>
      <c r="C701" s="210"/>
      <c r="D701" s="211"/>
      <c r="E701" s="209"/>
      <c r="F701" s="209"/>
      <c r="G701" s="209"/>
      <c r="H701" s="209"/>
      <c r="I701" s="209"/>
      <c r="J701" s="209"/>
      <c r="K701" s="209"/>
      <c r="L701" s="209"/>
      <c r="M701" s="209"/>
    </row>
    <row r="702" ht="15.75" customHeight="1">
      <c r="A702" s="209"/>
      <c r="B702" s="209"/>
      <c r="C702" s="210"/>
      <c r="D702" s="211"/>
      <c r="E702" s="209"/>
      <c r="F702" s="209"/>
      <c r="G702" s="209"/>
      <c r="H702" s="209"/>
      <c r="I702" s="209"/>
      <c r="J702" s="209"/>
      <c r="K702" s="209"/>
      <c r="L702" s="209"/>
      <c r="M702" s="209"/>
    </row>
    <row r="703" ht="15.75" customHeight="1">
      <c r="A703" s="209"/>
      <c r="B703" s="209"/>
      <c r="C703" s="210"/>
      <c r="D703" s="211"/>
      <c r="E703" s="209"/>
      <c r="F703" s="209"/>
      <c r="G703" s="209"/>
      <c r="H703" s="209"/>
      <c r="I703" s="209"/>
      <c r="J703" s="209"/>
      <c r="K703" s="209"/>
      <c r="L703" s="209"/>
      <c r="M703" s="209"/>
    </row>
    <row r="704" ht="15.75" customHeight="1">
      <c r="A704" s="209"/>
      <c r="B704" s="209"/>
      <c r="C704" s="210"/>
      <c r="D704" s="211"/>
      <c r="E704" s="209"/>
      <c r="F704" s="209"/>
      <c r="G704" s="209"/>
      <c r="H704" s="209"/>
      <c r="I704" s="209"/>
      <c r="J704" s="209"/>
      <c r="K704" s="209"/>
      <c r="L704" s="209"/>
      <c r="M704" s="209"/>
    </row>
    <row r="705" ht="15.75" customHeight="1">
      <c r="A705" s="209"/>
      <c r="B705" s="209"/>
      <c r="C705" s="210"/>
      <c r="D705" s="211"/>
      <c r="E705" s="209"/>
      <c r="F705" s="209"/>
      <c r="G705" s="209"/>
      <c r="H705" s="209"/>
      <c r="I705" s="209"/>
      <c r="J705" s="209"/>
      <c r="K705" s="209"/>
      <c r="L705" s="209"/>
      <c r="M705" s="209"/>
    </row>
    <row r="706" ht="15.75" customHeight="1">
      <c r="A706" s="209"/>
      <c r="B706" s="209"/>
      <c r="C706" s="210"/>
      <c r="D706" s="211"/>
      <c r="E706" s="209"/>
      <c r="F706" s="209"/>
      <c r="G706" s="209"/>
      <c r="H706" s="209"/>
      <c r="I706" s="209"/>
      <c r="J706" s="209"/>
      <c r="K706" s="209"/>
      <c r="L706" s="209"/>
      <c r="M706" s="209"/>
    </row>
    <row r="707" ht="15.75" customHeight="1">
      <c r="A707" s="209"/>
      <c r="B707" s="209"/>
      <c r="C707" s="210"/>
      <c r="D707" s="211"/>
      <c r="E707" s="209"/>
      <c r="F707" s="209"/>
      <c r="G707" s="209"/>
      <c r="H707" s="209"/>
      <c r="I707" s="209"/>
      <c r="J707" s="209"/>
      <c r="K707" s="209"/>
      <c r="L707" s="209"/>
      <c r="M707" s="209"/>
    </row>
    <row r="708" ht="15.75" customHeight="1">
      <c r="A708" s="209"/>
      <c r="B708" s="209"/>
      <c r="C708" s="210"/>
      <c r="D708" s="211"/>
      <c r="E708" s="209"/>
      <c r="F708" s="209"/>
      <c r="G708" s="209"/>
      <c r="H708" s="209"/>
      <c r="I708" s="209"/>
      <c r="J708" s="209"/>
      <c r="K708" s="209"/>
      <c r="L708" s="209"/>
      <c r="M708" s="209"/>
    </row>
    <row r="709" ht="15.75" customHeight="1">
      <c r="A709" s="209"/>
      <c r="B709" s="209"/>
      <c r="C709" s="210"/>
      <c r="D709" s="211"/>
      <c r="E709" s="209"/>
      <c r="F709" s="209"/>
      <c r="G709" s="209"/>
      <c r="H709" s="209"/>
      <c r="I709" s="209"/>
      <c r="J709" s="209"/>
      <c r="K709" s="209"/>
      <c r="L709" s="209"/>
      <c r="M709" s="209"/>
    </row>
    <row r="710" ht="15.75" customHeight="1">
      <c r="A710" s="209"/>
      <c r="B710" s="209"/>
      <c r="C710" s="210"/>
      <c r="D710" s="211"/>
      <c r="E710" s="209"/>
      <c r="F710" s="209"/>
      <c r="G710" s="209"/>
      <c r="H710" s="209"/>
      <c r="I710" s="209"/>
      <c r="J710" s="209"/>
      <c r="K710" s="209"/>
      <c r="L710" s="209"/>
      <c r="M710" s="209"/>
    </row>
    <row r="711" ht="15.75" customHeight="1">
      <c r="A711" s="209"/>
      <c r="B711" s="209"/>
      <c r="C711" s="210"/>
      <c r="D711" s="211"/>
      <c r="E711" s="209"/>
      <c r="F711" s="209"/>
      <c r="G711" s="209"/>
      <c r="H711" s="209"/>
      <c r="I711" s="209"/>
      <c r="J711" s="209"/>
      <c r="K711" s="209"/>
      <c r="L711" s="209"/>
      <c r="M711" s="209"/>
    </row>
    <row r="712" ht="15.75" customHeight="1">
      <c r="A712" s="209"/>
      <c r="B712" s="209"/>
      <c r="C712" s="210"/>
      <c r="D712" s="211"/>
      <c r="E712" s="209"/>
      <c r="F712" s="209"/>
      <c r="G712" s="209"/>
      <c r="H712" s="209"/>
      <c r="I712" s="209"/>
      <c r="J712" s="209"/>
      <c r="K712" s="209"/>
      <c r="L712" s="209"/>
      <c r="M712" s="209"/>
    </row>
    <row r="713" ht="15.75" customHeight="1">
      <c r="A713" s="209"/>
      <c r="B713" s="209"/>
      <c r="C713" s="210"/>
      <c r="D713" s="211"/>
      <c r="E713" s="209"/>
      <c r="F713" s="209"/>
      <c r="G713" s="209"/>
      <c r="H713" s="209"/>
      <c r="I713" s="209"/>
      <c r="J713" s="209"/>
      <c r="K713" s="209"/>
      <c r="L713" s="209"/>
      <c r="M713" s="209"/>
    </row>
    <row r="714" ht="15.75" customHeight="1">
      <c r="A714" s="209"/>
      <c r="B714" s="209"/>
      <c r="C714" s="210"/>
      <c r="D714" s="211"/>
      <c r="E714" s="209"/>
      <c r="F714" s="209"/>
      <c r="G714" s="209"/>
      <c r="H714" s="209"/>
      <c r="I714" s="209"/>
      <c r="J714" s="209"/>
      <c r="K714" s="209"/>
      <c r="L714" s="209"/>
      <c r="M714" s="209"/>
    </row>
    <row r="715" ht="15.75" customHeight="1">
      <c r="A715" s="209"/>
      <c r="B715" s="209"/>
      <c r="C715" s="210"/>
      <c r="D715" s="211"/>
      <c r="E715" s="209"/>
      <c r="F715" s="209"/>
      <c r="G715" s="209"/>
      <c r="H715" s="209"/>
      <c r="I715" s="209"/>
      <c r="J715" s="209"/>
      <c r="K715" s="209"/>
      <c r="L715" s="209"/>
      <c r="M715" s="209"/>
    </row>
    <row r="716" ht="15.75" customHeight="1">
      <c r="A716" s="209"/>
      <c r="B716" s="209"/>
      <c r="C716" s="210"/>
      <c r="D716" s="211"/>
      <c r="E716" s="209"/>
      <c r="F716" s="209"/>
      <c r="G716" s="209"/>
      <c r="H716" s="209"/>
      <c r="I716" s="209"/>
      <c r="J716" s="209"/>
      <c r="K716" s="209"/>
      <c r="L716" s="209"/>
      <c r="M716" s="209"/>
    </row>
    <row r="717" ht="15.75" customHeight="1">
      <c r="A717" s="209"/>
      <c r="B717" s="209"/>
      <c r="C717" s="210"/>
      <c r="D717" s="211"/>
      <c r="E717" s="209"/>
      <c r="F717" s="209"/>
      <c r="G717" s="209"/>
      <c r="H717" s="209"/>
      <c r="I717" s="209"/>
      <c r="J717" s="209"/>
      <c r="K717" s="209"/>
      <c r="L717" s="209"/>
      <c r="M717" s="209"/>
    </row>
    <row r="718" ht="15.75" customHeight="1">
      <c r="A718" s="209"/>
      <c r="B718" s="209"/>
      <c r="C718" s="210"/>
      <c r="D718" s="211"/>
      <c r="E718" s="209"/>
      <c r="F718" s="209"/>
      <c r="G718" s="209"/>
      <c r="H718" s="209"/>
      <c r="I718" s="209"/>
      <c r="J718" s="209"/>
      <c r="K718" s="209"/>
      <c r="L718" s="209"/>
      <c r="M718" s="209"/>
    </row>
    <row r="719" ht="15.75" customHeight="1">
      <c r="A719" s="209"/>
      <c r="B719" s="209"/>
      <c r="C719" s="210"/>
      <c r="D719" s="211"/>
      <c r="E719" s="209"/>
      <c r="F719" s="209"/>
      <c r="G719" s="209"/>
      <c r="H719" s="209"/>
      <c r="I719" s="209"/>
      <c r="J719" s="209"/>
      <c r="K719" s="209"/>
      <c r="L719" s="209"/>
      <c r="M719" s="209"/>
    </row>
    <row r="720" ht="15.75" customHeight="1">
      <c r="A720" s="209"/>
      <c r="B720" s="209"/>
      <c r="C720" s="210"/>
      <c r="D720" s="211"/>
      <c r="E720" s="209"/>
      <c r="F720" s="209"/>
      <c r="G720" s="209"/>
      <c r="H720" s="209"/>
      <c r="I720" s="209"/>
      <c r="J720" s="209"/>
      <c r="K720" s="209"/>
      <c r="L720" s="209"/>
      <c r="M720" s="209"/>
    </row>
    <row r="721" ht="15.75" customHeight="1">
      <c r="A721" s="209"/>
      <c r="B721" s="209"/>
      <c r="C721" s="210"/>
      <c r="D721" s="211"/>
      <c r="E721" s="209"/>
      <c r="F721" s="209"/>
      <c r="G721" s="209"/>
      <c r="H721" s="209"/>
      <c r="I721" s="209"/>
      <c r="J721" s="209"/>
      <c r="K721" s="209"/>
      <c r="L721" s="209"/>
      <c r="M721" s="209"/>
    </row>
    <row r="722" ht="15.75" customHeight="1">
      <c r="A722" s="209"/>
      <c r="B722" s="209"/>
      <c r="C722" s="210"/>
      <c r="D722" s="211"/>
      <c r="E722" s="209"/>
      <c r="F722" s="209"/>
      <c r="G722" s="209"/>
      <c r="H722" s="209"/>
      <c r="I722" s="209"/>
      <c r="J722" s="209"/>
      <c r="K722" s="209"/>
      <c r="L722" s="209"/>
      <c r="M722" s="209"/>
    </row>
    <row r="723" ht="15.75" customHeight="1">
      <c r="A723" s="209"/>
      <c r="B723" s="209"/>
      <c r="C723" s="210"/>
      <c r="D723" s="211"/>
      <c r="E723" s="209"/>
      <c r="F723" s="209"/>
      <c r="G723" s="209"/>
      <c r="H723" s="209"/>
      <c r="I723" s="209"/>
      <c r="J723" s="209"/>
      <c r="K723" s="209"/>
      <c r="L723" s="209"/>
      <c r="M723" s="209"/>
    </row>
    <row r="724" ht="15.75" customHeight="1">
      <c r="A724" s="209"/>
      <c r="B724" s="209"/>
      <c r="C724" s="210"/>
      <c r="D724" s="211"/>
      <c r="E724" s="209"/>
      <c r="F724" s="209"/>
      <c r="G724" s="209"/>
      <c r="H724" s="209"/>
      <c r="I724" s="209"/>
      <c r="J724" s="209"/>
      <c r="K724" s="209"/>
      <c r="L724" s="209"/>
      <c r="M724" s="209"/>
    </row>
    <row r="725" ht="15.75" customHeight="1">
      <c r="A725" s="209"/>
      <c r="B725" s="209"/>
      <c r="C725" s="210"/>
      <c r="D725" s="211"/>
      <c r="E725" s="209"/>
      <c r="F725" s="209"/>
      <c r="G725" s="209"/>
      <c r="H725" s="209"/>
      <c r="I725" s="209"/>
      <c r="J725" s="209"/>
      <c r="K725" s="209"/>
      <c r="L725" s="209"/>
      <c r="M725" s="209"/>
    </row>
    <row r="726" ht="15.75" customHeight="1">
      <c r="A726" s="209"/>
      <c r="B726" s="209"/>
      <c r="C726" s="210"/>
      <c r="D726" s="211"/>
      <c r="E726" s="209"/>
      <c r="F726" s="209"/>
      <c r="G726" s="209"/>
      <c r="H726" s="209"/>
      <c r="I726" s="209"/>
      <c r="J726" s="209"/>
      <c r="K726" s="209"/>
      <c r="L726" s="209"/>
      <c r="M726" s="209"/>
    </row>
    <row r="727" ht="15.75" customHeight="1">
      <c r="A727" s="209"/>
      <c r="B727" s="209"/>
      <c r="C727" s="210"/>
      <c r="D727" s="211"/>
      <c r="E727" s="209"/>
      <c r="F727" s="209"/>
      <c r="G727" s="209"/>
      <c r="H727" s="209"/>
      <c r="I727" s="209"/>
      <c r="J727" s="209"/>
      <c r="K727" s="209"/>
      <c r="L727" s="209"/>
      <c r="M727" s="209"/>
    </row>
    <row r="728" ht="15.75" customHeight="1">
      <c r="A728" s="209"/>
      <c r="B728" s="209"/>
      <c r="C728" s="210"/>
      <c r="D728" s="211"/>
      <c r="E728" s="209"/>
      <c r="F728" s="209"/>
      <c r="G728" s="209"/>
      <c r="H728" s="209"/>
      <c r="I728" s="209"/>
      <c r="J728" s="209"/>
      <c r="K728" s="209"/>
      <c r="L728" s="209"/>
      <c r="M728" s="209"/>
    </row>
    <row r="729" ht="15.75" customHeight="1">
      <c r="A729" s="209"/>
      <c r="B729" s="209"/>
      <c r="C729" s="210"/>
      <c r="D729" s="211"/>
      <c r="E729" s="209"/>
      <c r="F729" s="209"/>
      <c r="G729" s="209"/>
      <c r="H729" s="209"/>
      <c r="I729" s="209"/>
      <c r="J729" s="209"/>
      <c r="K729" s="209"/>
      <c r="L729" s="209"/>
      <c r="M729" s="209"/>
    </row>
    <row r="730" ht="15.75" customHeight="1">
      <c r="A730" s="209"/>
      <c r="B730" s="209"/>
      <c r="C730" s="210"/>
      <c r="D730" s="211"/>
      <c r="E730" s="209"/>
      <c r="F730" s="209"/>
      <c r="G730" s="209"/>
      <c r="H730" s="209"/>
      <c r="I730" s="209"/>
      <c r="J730" s="209"/>
      <c r="K730" s="209"/>
      <c r="L730" s="209"/>
      <c r="M730" s="209"/>
    </row>
    <row r="731" ht="15.75" customHeight="1">
      <c r="A731" s="209"/>
      <c r="B731" s="209"/>
      <c r="C731" s="210"/>
      <c r="D731" s="211"/>
      <c r="E731" s="209"/>
      <c r="F731" s="209"/>
      <c r="G731" s="209"/>
      <c r="H731" s="209"/>
      <c r="I731" s="209"/>
      <c r="J731" s="209"/>
      <c r="K731" s="209"/>
      <c r="L731" s="209"/>
      <c r="M731" s="209"/>
    </row>
    <row r="732" ht="15.75" customHeight="1">
      <c r="A732" s="209"/>
      <c r="B732" s="209"/>
      <c r="C732" s="210"/>
      <c r="D732" s="211"/>
      <c r="E732" s="209"/>
      <c r="F732" s="209"/>
      <c r="G732" s="209"/>
      <c r="H732" s="209"/>
      <c r="I732" s="209"/>
      <c r="J732" s="209"/>
      <c r="K732" s="209"/>
      <c r="L732" s="209"/>
      <c r="M732" s="209"/>
    </row>
    <row r="733" ht="15.75" customHeight="1">
      <c r="A733" s="209"/>
      <c r="B733" s="209"/>
      <c r="C733" s="210"/>
      <c r="D733" s="211"/>
      <c r="E733" s="209"/>
      <c r="F733" s="209"/>
      <c r="G733" s="209"/>
      <c r="H733" s="209"/>
      <c r="I733" s="209"/>
      <c r="J733" s="209"/>
      <c r="K733" s="209"/>
      <c r="L733" s="209"/>
      <c r="M733" s="209"/>
    </row>
    <row r="734" ht="15.75" customHeight="1">
      <c r="A734" s="209"/>
      <c r="B734" s="209"/>
      <c r="C734" s="210"/>
      <c r="D734" s="211"/>
      <c r="E734" s="209"/>
      <c r="F734" s="209"/>
      <c r="G734" s="209"/>
      <c r="H734" s="209"/>
      <c r="I734" s="209"/>
      <c r="J734" s="209"/>
      <c r="K734" s="209"/>
      <c r="L734" s="209"/>
      <c r="M734" s="209"/>
    </row>
    <row r="735" ht="15.75" customHeight="1">
      <c r="A735" s="209"/>
      <c r="B735" s="209"/>
      <c r="C735" s="210"/>
      <c r="D735" s="211"/>
      <c r="E735" s="209"/>
      <c r="F735" s="209"/>
      <c r="G735" s="209"/>
      <c r="H735" s="209"/>
      <c r="I735" s="209"/>
      <c r="J735" s="209"/>
      <c r="K735" s="209"/>
      <c r="L735" s="209"/>
      <c r="M735" s="209"/>
    </row>
    <row r="736" ht="15.75" customHeight="1">
      <c r="A736" s="209"/>
      <c r="B736" s="209"/>
      <c r="C736" s="210"/>
      <c r="D736" s="211"/>
      <c r="E736" s="209"/>
      <c r="F736" s="209"/>
      <c r="G736" s="209"/>
      <c r="H736" s="209"/>
      <c r="I736" s="209"/>
      <c r="J736" s="209"/>
      <c r="K736" s="209"/>
      <c r="L736" s="209"/>
      <c r="M736" s="209"/>
    </row>
    <row r="737" ht="15.75" customHeight="1">
      <c r="A737" s="209"/>
      <c r="B737" s="209"/>
      <c r="C737" s="210"/>
      <c r="D737" s="211"/>
      <c r="E737" s="209"/>
      <c r="F737" s="209"/>
      <c r="G737" s="209"/>
      <c r="H737" s="209"/>
      <c r="I737" s="209"/>
      <c r="J737" s="209"/>
      <c r="K737" s="209"/>
      <c r="L737" s="209"/>
      <c r="M737" s="209"/>
    </row>
    <row r="738" ht="15.75" customHeight="1">
      <c r="A738" s="209"/>
      <c r="B738" s="209"/>
      <c r="C738" s="210"/>
      <c r="D738" s="211"/>
      <c r="E738" s="209"/>
      <c r="F738" s="209"/>
      <c r="G738" s="209"/>
      <c r="H738" s="209"/>
      <c r="I738" s="209"/>
      <c r="J738" s="209"/>
      <c r="K738" s="209"/>
      <c r="L738" s="209"/>
      <c r="M738" s="209"/>
    </row>
    <row r="739" ht="15.75" customHeight="1">
      <c r="A739" s="209"/>
      <c r="B739" s="209"/>
      <c r="C739" s="210"/>
      <c r="D739" s="211"/>
      <c r="E739" s="209"/>
      <c r="F739" s="209"/>
      <c r="G739" s="209"/>
      <c r="H739" s="209"/>
      <c r="I739" s="209"/>
      <c r="J739" s="209"/>
      <c r="K739" s="209"/>
      <c r="L739" s="209"/>
      <c r="M739" s="209"/>
    </row>
    <row r="740" ht="15.75" customHeight="1">
      <c r="A740" s="209"/>
      <c r="B740" s="209"/>
      <c r="C740" s="210"/>
      <c r="D740" s="211"/>
      <c r="E740" s="209"/>
      <c r="F740" s="209"/>
      <c r="G740" s="209"/>
      <c r="H740" s="209"/>
      <c r="I740" s="209"/>
      <c r="J740" s="209"/>
      <c r="K740" s="209"/>
      <c r="L740" s="209"/>
      <c r="M740" s="209"/>
    </row>
    <row r="741" ht="15.75" customHeight="1">
      <c r="A741" s="209"/>
      <c r="B741" s="209"/>
      <c r="C741" s="210"/>
      <c r="D741" s="211"/>
      <c r="E741" s="209"/>
      <c r="F741" s="209"/>
      <c r="G741" s="209"/>
      <c r="H741" s="209"/>
      <c r="I741" s="209"/>
      <c r="J741" s="209"/>
      <c r="K741" s="209"/>
      <c r="L741" s="209"/>
      <c r="M741" s="209"/>
    </row>
    <row r="742" ht="15.75" customHeight="1">
      <c r="A742" s="209"/>
      <c r="B742" s="209"/>
      <c r="C742" s="210"/>
      <c r="D742" s="211"/>
      <c r="E742" s="209"/>
      <c r="F742" s="209"/>
      <c r="G742" s="209"/>
      <c r="H742" s="209"/>
      <c r="I742" s="209"/>
      <c r="J742" s="209"/>
      <c r="K742" s="209"/>
      <c r="L742" s="209"/>
      <c r="M742" s="209"/>
    </row>
    <row r="743" ht="15.75" customHeight="1">
      <c r="A743" s="209"/>
      <c r="B743" s="209"/>
      <c r="C743" s="210"/>
      <c r="D743" s="211"/>
      <c r="E743" s="209"/>
      <c r="F743" s="209"/>
      <c r="G743" s="209"/>
      <c r="H743" s="209"/>
      <c r="I743" s="209"/>
      <c r="J743" s="209"/>
      <c r="K743" s="209"/>
      <c r="L743" s="209"/>
      <c r="M743" s="209"/>
    </row>
    <row r="744" ht="15.75" customHeight="1">
      <c r="A744" s="209"/>
      <c r="B744" s="209"/>
      <c r="C744" s="210"/>
      <c r="D744" s="211"/>
      <c r="E744" s="209"/>
      <c r="F744" s="209"/>
      <c r="G744" s="209"/>
      <c r="H744" s="209"/>
      <c r="I744" s="209"/>
      <c r="J744" s="209"/>
      <c r="K744" s="209"/>
      <c r="L744" s="209"/>
      <c r="M744" s="209"/>
    </row>
    <row r="745" ht="15.75" customHeight="1">
      <c r="A745" s="209"/>
      <c r="B745" s="209"/>
      <c r="C745" s="210"/>
      <c r="D745" s="211"/>
      <c r="E745" s="209"/>
      <c r="F745" s="209"/>
      <c r="G745" s="209"/>
      <c r="H745" s="209"/>
      <c r="I745" s="209"/>
      <c r="J745" s="209"/>
      <c r="K745" s="209"/>
      <c r="L745" s="209"/>
      <c r="M745" s="209"/>
    </row>
    <row r="746" ht="15.75" customHeight="1">
      <c r="A746" s="209"/>
      <c r="B746" s="209"/>
      <c r="C746" s="210"/>
      <c r="D746" s="211"/>
      <c r="E746" s="209"/>
      <c r="F746" s="209"/>
      <c r="G746" s="209"/>
      <c r="H746" s="209"/>
      <c r="I746" s="209"/>
      <c r="J746" s="209"/>
      <c r="K746" s="209"/>
      <c r="L746" s="209"/>
      <c r="M746" s="209"/>
    </row>
    <row r="747" ht="15.75" customHeight="1">
      <c r="A747" s="209"/>
      <c r="B747" s="209"/>
      <c r="C747" s="210"/>
      <c r="D747" s="211"/>
      <c r="E747" s="209"/>
      <c r="F747" s="209"/>
      <c r="G747" s="209"/>
      <c r="H747" s="209"/>
      <c r="I747" s="209"/>
      <c r="J747" s="209"/>
      <c r="K747" s="209"/>
      <c r="L747" s="209"/>
      <c r="M747" s="209"/>
    </row>
    <row r="748" ht="15.75" customHeight="1">
      <c r="A748" s="209"/>
      <c r="B748" s="209"/>
      <c r="C748" s="210"/>
      <c r="D748" s="211"/>
      <c r="E748" s="209"/>
      <c r="F748" s="209"/>
      <c r="G748" s="209"/>
      <c r="H748" s="209"/>
      <c r="I748" s="209"/>
      <c r="J748" s="209"/>
      <c r="K748" s="209"/>
      <c r="L748" s="209"/>
      <c r="M748" s="209"/>
    </row>
    <row r="749" ht="15.75" customHeight="1">
      <c r="A749" s="209"/>
      <c r="B749" s="209"/>
      <c r="C749" s="210"/>
      <c r="D749" s="211"/>
      <c r="E749" s="209"/>
      <c r="F749" s="209"/>
      <c r="G749" s="209"/>
      <c r="H749" s="209"/>
      <c r="I749" s="209"/>
      <c r="J749" s="209"/>
      <c r="K749" s="209"/>
      <c r="L749" s="209"/>
      <c r="M749" s="209"/>
    </row>
    <row r="750" ht="15.75" customHeight="1">
      <c r="A750" s="209"/>
      <c r="B750" s="209"/>
      <c r="C750" s="210"/>
      <c r="D750" s="211"/>
      <c r="E750" s="209"/>
      <c r="F750" s="209"/>
      <c r="G750" s="209"/>
      <c r="H750" s="209"/>
      <c r="I750" s="209"/>
      <c r="J750" s="209"/>
      <c r="K750" s="209"/>
      <c r="L750" s="209"/>
      <c r="M750" s="209"/>
    </row>
    <row r="751" ht="15.75" customHeight="1">
      <c r="A751" s="209"/>
      <c r="B751" s="209"/>
      <c r="C751" s="210"/>
      <c r="D751" s="211"/>
      <c r="E751" s="209"/>
      <c r="F751" s="209"/>
      <c r="G751" s="209"/>
      <c r="H751" s="209"/>
      <c r="I751" s="209"/>
      <c r="J751" s="209"/>
      <c r="K751" s="209"/>
      <c r="L751" s="209"/>
      <c r="M751" s="209"/>
    </row>
    <row r="752" ht="15.75" customHeight="1">
      <c r="A752" s="209"/>
      <c r="B752" s="209"/>
      <c r="C752" s="210"/>
      <c r="D752" s="211"/>
      <c r="E752" s="209"/>
      <c r="F752" s="209"/>
      <c r="G752" s="209"/>
      <c r="H752" s="209"/>
      <c r="I752" s="209"/>
      <c r="J752" s="209"/>
      <c r="K752" s="209"/>
      <c r="L752" s="209"/>
      <c r="M752" s="209"/>
    </row>
    <row r="753" ht="15.75" customHeight="1">
      <c r="A753" s="209"/>
      <c r="B753" s="209"/>
      <c r="C753" s="210"/>
      <c r="D753" s="211"/>
      <c r="E753" s="209"/>
      <c r="F753" s="209"/>
      <c r="G753" s="209"/>
      <c r="H753" s="209"/>
      <c r="I753" s="209"/>
      <c r="J753" s="209"/>
      <c r="K753" s="209"/>
      <c r="L753" s="209"/>
      <c r="M753" s="209"/>
    </row>
    <row r="754" ht="15.75" customHeight="1">
      <c r="A754" s="209"/>
      <c r="B754" s="209"/>
      <c r="C754" s="210"/>
      <c r="D754" s="211"/>
      <c r="E754" s="209"/>
      <c r="F754" s="209"/>
      <c r="G754" s="209"/>
      <c r="H754" s="209"/>
      <c r="I754" s="209"/>
      <c r="J754" s="209"/>
      <c r="K754" s="209"/>
      <c r="L754" s="209"/>
      <c r="M754" s="209"/>
    </row>
    <row r="755" ht="15.75" customHeight="1">
      <c r="A755" s="209"/>
      <c r="B755" s="209"/>
      <c r="C755" s="210"/>
      <c r="D755" s="211"/>
      <c r="E755" s="209"/>
      <c r="F755" s="209"/>
      <c r="G755" s="209"/>
      <c r="H755" s="209"/>
      <c r="I755" s="209"/>
      <c r="J755" s="209"/>
      <c r="K755" s="209"/>
      <c r="L755" s="209"/>
      <c r="M755" s="209"/>
    </row>
    <row r="756" ht="15.75" customHeight="1">
      <c r="A756" s="209"/>
      <c r="B756" s="209"/>
      <c r="C756" s="210"/>
      <c r="D756" s="211"/>
      <c r="E756" s="209"/>
      <c r="F756" s="209"/>
      <c r="G756" s="209"/>
      <c r="H756" s="209"/>
      <c r="I756" s="209"/>
      <c r="J756" s="209"/>
      <c r="K756" s="209"/>
      <c r="L756" s="209"/>
      <c r="M756" s="209"/>
    </row>
    <row r="757" ht="15.75" customHeight="1">
      <c r="A757" s="209"/>
      <c r="B757" s="209"/>
      <c r="C757" s="210"/>
      <c r="D757" s="211"/>
      <c r="E757" s="209"/>
      <c r="F757" s="209"/>
      <c r="G757" s="209"/>
      <c r="H757" s="209"/>
      <c r="I757" s="209"/>
      <c r="J757" s="209"/>
      <c r="K757" s="209"/>
      <c r="L757" s="209"/>
      <c r="M757" s="209"/>
    </row>
    <row r="758" ht="15.75" customHeight="1">
      <c r="A758" s="209"/>
      <c r="B758" s="209"/>
      <c r="C758" s="210"/>
      <c r="D758" s="211"/>
      <c r="E758" s="209"/>
      <c r="F758" s="209"/>
      <c r="G758" s="209"/>
      <c r="H758" s="209"/>
      <c r="I758" s="209"/>
      <c r="J758" s="209"/>
      <c r="K758" s="209"/>
      <c r="L758" s="209"/>
      <c r="M758" s="209"/>
    </row>
    <row r="759" ht="15.75" customHeight="1">
      <c r="A759" s="209"/>
      <c r="B759" s="209"/>
      <c r="C759" s="210"/>
      <c r="D759" s="211"/>
      <c r="E759" s="209"/>
      <c r="F759" s="209"/>
      <c r="G759" s="209"/>
      <c r="H759" s="209"/>
      <c r="I759" s="209"/>
      <c r="J759" s="209"/>
      <c r="K759" s="209"/>
      <c r="L759" s="209"/>
      <c r="M759" s="209"/>
    </row>
    <row r="760" ht="15.75" customHeight="1">
      <c r="A760" s="209"/>
      <c r="B760" s="209"/>
      <c r="C760" s="210"/>
      <c r="D760" s="211"/>
      <c r="E760" s="209"/>
      <c r="F760" s="209"/>
      <c r="G760" s="209"/>
      <c r="H760" s="209"/>
      <c r="I760" s="209"/>
      <c r="J760" s="209"/>
      <c r="K760" s="209"/>
      <c r="L760" s="209"/>
      <c r="M760" s="209"/>
    </row>
    <row r="761" ht="15.75" customHeight="1">
      <c r="A761" s="209"/>
      <c r="B761" s="209"/>
      <c r="C761" s="210"/>
      <c r="D761" s="211"/>
      <c r="E761" s="209"/>
      <c r="F761" s="209"/>
      <c r="G761" s="209"/>
      <c r="H761" s="209"/>
      <c r="I761" s="209"/>
      <c r="J761" s="209"/>
      <c r="K761" s="209"/>
      <c r="L761" s="209"/>
      <c r="M761" s="209"/>
    </row>
    <row r="762" ht="15.75" customHeight="1">
      <c r="A762" s="209"/>
      <c r="B762" s="209"/>
      <c r="C762" s="210"/>
      <c r="D762" s="211"/>
      <c r="E762" s="209"/>
      <c r="F762" s="209"/>
      <c r="G762" s="209"/>
      <c r="H762" s="209"/>
      <c r="I762" s="209"/>
      <c r="J762" s="209"/>
      <c r="K762" s="209"/>
      <c r="L762" s="209"/>
      <c r="M762" s="209"/>
    </row>
    <row r="763" ht="15.75" customHeight="1">
      <c r="A763" s="209"/>
      <c r="B763" s="209"/>
      <c r="C763" s="210"/>
      <c r="D763" s="211"/>
      <c r="E763" s="209"/>
      <c r="F763" s="209"/>
      <c r="G763" s="209"/>
      <c r="H763" s="209"/>
      <c r="I763" s="209"/>
      <c r="J763" s="209"/>
      <c r="K763" s="209"/>
      <c r="L763" s="209"/>
      <c r="M763" s="209"/>
    </row>
    <row r="764" ht="15.75" customHeight="1">
      <c r="A764" s="209"/>
      <c r="B764" s="209"/>
      <c r="C764" s="210"/>
      <c r="D764" s="211"/>
      <c r="E764" s="209"/>
      <c r="F764" s="209"/>
      <c r="G764" s="209"/>
      <c r="H764" s="209"/>
      <c r="I764" s="209"/>
      <c r="J764" s="209"/>
      <c r="K764" s="209"/>
      <c r="L764" s="209"/>
      <c r="M764" s="209"/>
    </row>
    <row r="765" ht="15.75" customHeight="1">
      <c r="A765" s="209"/>
      <c r="B765" s="209"/>
      <c r="C765" s="210"/>
      <c r="D765" s="211"/>
      <c r="E765" s="209"/>
      <c r="F765" s="209"/>
      <c r="G765" s="209"/>
      <c r="H765" s="209"/>
      <c r="I765" s="209"/>
      <c r="J765" s="209"/>
      <c r="K765" s="209"/>
      <c r="L765" s="209"/>
      <c r="M765" s="209"/>
    </row>
    <row r="766" ht="15.75" customHeight="1">
      <c r="A766" s="209"/>
      <c r="B766" s="209"/>
      <c r="C766" s="210"/>
      <c r="D766" s="211"/>
      <c r="E766" s="209"/>
      <c r="F766" s="209"/>
      <c r="G766" s="209"/>
      <c r="H766" s="209"/>
      <c r="I766" s="209"/>
      <c r="J766" s="209"/>
      <c r="K766" s="209"/>
      <c r="L766" s="209"/>
      <c r="M766" s="209"/>
    </row>
    <row r="767" ht="15.75" customHeight="1">
      <c r="A767" s="209"/>
      <c r="B767" s="209"/>
      <c r="C767" s="210"/>
      <c r="D767" s="211"/>
      <c r="E767" s="209"/>
      <c r="F767" s="209"/>
      <c r="G767" s="209"/>
      <c r="H767" s="209"/>
      <c r="I767" s="209"/>
      <c r="J767" s="209"/>
      <c r="K767" s="209"/>
      <c r="L767" s="209"/>
      <c r="M767" s="209"/>
    </row>
    <row r="768" ht="15.75" customHeight="1">
      <c r="A768" s="209"/>
      <c r="B768" s="209"/>
      <c r="C768" s="210"/>
      <c r="D768" s="211"/>
      <c r="E768" s="209"/>
      <c r="F768" s="209"/>
      <c r="G768" s="209"/>
      <c r="H768" s="209"/>
      <c r="I768" s="209"/>
      <c r="J768" s="209"/>
      <c r="K768" s="209"/>
      <c r="L768" s="209"/>
      <c r="M768" s="209"/>
    </row>
    <row r="769" ht="15.75" customHeight="1">
      <c r="A769" s="209"/>
      <c r="B769" s="209"/>
      <c r="C769" s="210"/>
      <c r="D769" s="211"/>
      <c r="E769" s="209"/>
      <c r="F769" s="209"/>
      <c r="G769" s="209"/>
      <c r="H769" s="209"/>
      <c r="I769" s="209"/>
      <c r="J769" s="209"/>
      <c r="K769" s="209"/>
      <c r="L769" s="209"/>
      <c r="M769" s="209"/>
    </row>
    <row r="770" ht="15.75" customHeight="1">
      <c r="A770" s="209"/>
      <c r="B770" s="209"/>
      <c r="C770" s="210"/>
      <c r="D770" s="211"/>
      <c r="E770" s="209"/>
      <c r="F770" s="209"/>
      <c r="G770" s="209"/>
      <c r="H770" s="209"/>
      <c r="I770" s="209"/>
      <c r="J770" s="209"/>
      <c r="K770" s="209"/>
      <c r="L770" s="209"/>
      <c r="M770" s="209"/>
    </row>
    <row r="771" ht="15.75" customHeight="1">
      <c r="A771" s="209"/>
      <c r="B771" s="209"/>
      <c r="C771" s="210"/>
      <c r="D771" s="211"/>
      <c r="E771" s="209"/>
      <c r="F771" s="209"/>
      <c r="G771" s="209"/>
      <c r="H771" s="209"/>
      <c r="I771" s="209"/>
      <c r="J771" s="209"/>
      <c r="K771" s="209"/>
      <c r="L771" s="209"/>
      <c r="M771" s="209"/>
    </row>
    <row r="772" ht="15.75" customHeight="1">
      <c r="A772" s="209"/>
      <c r="B772" s="209"/>
      <c r="C772" s="210"/>
      <c r="D772" s="211"/>
      <c r="E772" s="209"/>
      <c r="F772" s="209"/>
      <c r="G772" s="209"/>
      <c r="H772" s="209"/>
      <c r="I772" s="209"/>
      <c r="J772" s="209"/>
      <c r="K772" s="209"/>
      <c r="L772" s="209"/>
      <c r="M772" s="209"/>
    </row>
    <row r="773" ht="15.75" customHeight="1">
      <c r="A773" s="209"/>
      <c r="B773" s="209"/>
      <c r="C773" s="210"/>
      <c r="D773" s="211"/>
      <c r="E773" s="209"/>
      <c r="F773" s="209"/>
      <c r="G773" s="209"/>
      <c r="H773" s="209"/>
      <c r="I773" s="209"/>
      <c r="J773" s="209"/>
      <c r="K773" s="209"/>
      <c r="L773" s="209"/>
      <c r="M773" s="209"/>
    </row>
    <row r="774" ht="15.75" customHeight="1">
      <c r="A774" s="209"/>
      <c r="B774" s="209"/>
      <c r="C774" s="210"/>
      <c r="D774" s="211"/>
      <c r="E774" s="209"/>
      <c r="F774" s="209"/>
      <c r="G774" s="209"/>
      <c r="H774" s="209"/>
      <c r="I774" s="209"/>
      <c r="J774" s="209"/>
      <c r="K774" s="209"/>
      <c r="L774" s="209"/>
      <c r="M774" s="209"/>
    </row>
    <row r="775" ht="15.75" customHeight="1">
      <c r="A775" s="209"/>
      <c r="B775" s="209"/>
      <c r="C775" s="210"/>
      <c r="D775" s="211"/>
      <c r="E775" s="209"/>
      <c r="F775" s="209"/>
      <c r="G775" s="209"/>
      <c r="H775" s="209"/>
      <c r="I775" s="209"/>
      <c r="J775" s="209"/>
      <c r="K775" s="209"/>
      <c r="L775" s="209"/>
      <c r="M775" s="209"/>
    </row>
    <row r="776" ht="15.75" customHeight="1">
      <c r="A776" s="209"/>
      <c r="B776" s="209"/>
      <c r="C776" s="210"/>
      <c r="D776" s="211"/>
      <c r="E776" s="209"/>
      <c r="F776" s="209"/>
      <c r="G776" s="209"/>
      <c r="H776" s="209"/>
      <c r="I776" s="209"/>
      <c r="J776" s="209"/>
      <c r="K776" s="209"/>
      <c r="L776" s="209"/>
      <c r="M776" s="209"/>
    </row>
    <row r="777" ht="15.75" customHeight="1">
      <c r="A777" s="209"/>
      <c r="B777" s="209"/>
      <c r="C777" s="210"/>
      <c r="D777" s="211"/>
      <c r="E777" s="209"/>
      <c r="F777" s="209"/>
      <c r="G777" s="209"/>
      <c r="H777" s="209"/>
      <c r="I777" s="209"/>
      <c r="J777" s="209"/>
      <c r="K777" s="209"/>
      <c r="L777" s="209"/>
      <c r="M777" s="209"/>
    </row>
    <row r="778" ht="15.75" customHeight="1">
      <c r="A778" s="209"/>
      <c r="B778" s="209"/>
      <c r="C778" s="210"/>
      <c r="D778" s="211"/>
      <c r="E778" s="209"/>
      <c r="F778" s="209"/>
      <c r="G778" s="209"/>
      <c r="H778" s="209"/>
      <c r="I778" s="209"/>
      <c r="J778" s="209"/>
      <c r="K778" s="209"/>
      <c r="L778" s="209"/>
      <c r="M778" s="209"/>
    </row>
    <row r="779" ht="15.75" customHeight="1">
      <c r="A779" s="209"/>
      <c r="B779" s="209"/>
      <c r="C779" s="210"/>
      <c r="D779" s="211"/>
      <c r="E779" s="209"/>
      <c r="F779" s="209"/>
      <c r="G779" s="209"/>
      <c r="H779" s="209"/>
      <c r="I779" s="209"/>
      <c r="J779" s="209"/>
      <c r="K779" s="209"/>
      <c r="L779" s="209"/>
      <c r="M779" s="209"/>
    </row>
    <row r="780" ht="15.75" customHeight="1">
      <c r="A780" s="209"/>
      <c r="B780" s="209"/>
      <c r="C780" s="210"/>
      <c r="D780" s="211"/>
      <c r="E780" s="209"/>
      <c r="F780" s="209"/>
      <c r="G780" s="209"/>
      <c r="H780" s="209"/>
      <c r="I780" s="209"/>
      <c r="J780" s="209"/>
      <c r="K780" s="209"/>
      <c r="L780" s="209"/>
      <c r="M780" s="209"/>
    </row>
    <row r="781" ht="15.75" customHeight="1">
      <c r="A781" s="209"/>
      <c r="B781" s="209"/>
      <c r="C781" s="210"/>
      <c r="D781" s="211"/>
      <c r="E781" s="209"/>
      <c r="F781" s="209"/>
      <c r="G781" s="209"/>
      <c r="H781" s="209"/>
      <c r="I781" s="209"/>
      <c r="J781" s="209"/>
      <c r="K781" s="209"/>
      <c r="L781" s="209"/>
      <c r="M781" s="209"/>
    </row>
    <row r="782" ht="15.75" customHeight="1">
      <c r="A782" s="209"/>
      <c r="B782" s="209"/>
      <c r="C782" s="210"/>
      <c r="D782" s="211"/>
      <c r="E782" s="209"/>
      <c r="F782" s="209"/>
      <c r="G782" s="209"/>
      <c r="H782" s="209"/>
      <c r="I782" s="209"/>
      <c r="J782" s="209"/>
      <c r="K782" s="209"/>
      <c r="L782" s="209"/>
      <c r="M782" s="209"/>
    </row>
    <row r="783" ht="15.75" customHeight="1">
      <c r="A783" s="209"/>
      <c r="B783" s="209"/>
      <c r="C783" s="210"/>
      <c r="D783" s="211"/>
      <c r="E783" s="209"/>
      <c r="F783" s="209"/>
      <c r="G783" s="209"/>
      <c r="H783" s="209"/>
      <c r="I783" s="209"/>
      <c r="J783" s="209"/>
      <c r="K783" s="209"/>
      <c r="L783" s="209"/>
      <c r="M783" s="209"/>
    </row>
    <row r="784" ht="15.75" customHeight="1">
      <c r="A784" s="209"/>
      <c r="B784" s="209"/>
      <c r="C784" s="210"/>
      <c r="D784" s="211"/>
      <c r="E784" s="209"/>
      <c r="F784" s="209"/>
      <c r="G784" s="209"/>
      <c r="H784" s="209"/>
      <c r="I784" s="209"/>
      <c r="J784" s="209"/>
      <c r="K784" s="209"/>
      <c r="L784" s="209"/>
      <c r="M784" s="209"/>
    </row>
    <row r="785" ht="15.75" customHeight="1">
      <c r="A785" s="209"/>
      <c r="B785" s="209"/>
      <c r="C785" s="210"/>
      <c r="D785" s="211"/>
      <c r="E785" s="209"/>
      <c r="F785" s="209"/>
      <c r="G785" s="209"/>
      <c r="H785" s="209"/>
      <c r="I785" s="209"/>
      <c r="J785" s="209"/>
      <c r="K785" s="209"/>
      <c r="L785" s="209"/>
      <c r="M785" s="209"/>
    </row>
    <row r="786" ht="15.75" customHeight="1">
      <c r="A786" s="209"/>
      <c r="B786" s="209"/>
      <c r="C786" s="210"/>
      <c r="D786" s="211"/>
      <c r="E786" s="209"/>
      <c r="F786" s="209"/>
      <c r="G786" s="209"/>
      <c r="H786" s="209"/>
      <c r="I786" s="209"/>
      <c r="J786" s="209"/>
      <c r="K786" s="209"/>
      <c r="L786" s="209"/>
      <c r="M786" s="209"/>
    </row>
    <row r="787" ht="15.75" customHeight="1">
      <c r="A787" s="209"/>
      <c r="B787" s="209"/>
      <c r="C787" s="210"/>
      <c r="D787" s="211"/>
      <c r="E787" s="209"/>
      <c r="F787" s="209"/>
      <c r="G787" s="209"/>
      <c r="H787" s="209"/>
      <c r="I787" s="209"/>
      <c r="J787" s="209"/>
      <c r="K787" s="209"/>
      <c r="L787" s="209"/>
      <c r="M787" s="209"/>
    </row>
    <row r="788" ht="15.75" customHeight="1">
      <c r="A788" s="209"/>
      <c r="B788" s="209"/>
      <c r="C788" s="210"/>
      <c r="D788" s="211"/>
      <c r="E788" s="209"/>
      <c r="F788" s="209"/>
      <c r="G788" s="209"/>
      <c r="H788" s="209"/>
      <c r="I788" s="209"/>
      <c r="J788" s="209"/>
      <c r="K788" s="209"/>
      <c r="L788" s="209"/>
      <c r="M788" s="209"/>
    </row>
    <row r="789" ht="15.75" customHeight="1">
      <c r="A789" s="209"/>
      <c r="B789" s="209"/>
      <c r="C789" s="210"/>
      <c r="D789" s="211"/>
      <c r="E789" s="209"/>
      <c r="F789" s="209"/>
      <c r="G789" s="209"/>
      <c r="H789" s="209"/>
      <c r="I789" s="209"/>
      <c r="J789" s="209"/>
      <c r="K789" s="209"/>
      <c r="L789" s="209"/>
      <c r="M789" s="209"/>
    </row>
    <row r="790" ht="15.75" customHeight="1">
      <c r="A790" s="209"/>
      <c r="B790" s="209"/>
      <c r="C790" s="210"/>
      <c r="D790" s="211"/>
      <c r="E790" s="209"/>
      <c r="F790" s="209"/>
      <c r="G790" s="209"/>
      <c r="H790" s="209"/>
      <c r="I790" s="209"/>
      <c r="J790" s="209"/>
      <c r="K790" s="209"/>
      <c r="L790" s="209"/>
      <c r="M790" s="209"/>
    </row>
    <row r="791" ht="15.75" customHeight="1">
      <c r="A791" s="209"/>
      <c r="B791" s="209"/>
      <c r="C791" s="210"/>
      <c r="D791" s="211"/>
      <c r="E791" s="209"/>
      <c r="F791" s="209"/>
      <c r="G791" s="209"/>
      <c r="H791" s="209"/>
      <c r="I791" s="209"/>
      <c r="J791" s="209"/>
      <c r="K791" s="209"/>
      <c r="L791" s="209"/>
      <c r="M791" s="209"/>
    </row>
    <row r="792" ht="15.75" customHeight="1">
      <c r="A792" s="209"/>
      <c r="B792" s="209"/>
      <c r="C792" s="210"/>
      <c r="D792" s="211"/>
      <c r="E792" s="209"/>
      <c r="F792" s="209"/>
      <c r="G792" s="209"/>
      <c r="H792" s="209"/>
      <c r="I792" s="209"/>
      <c r="J792" s="209"/>
      <c r="K792" s="209"/>
      <c r="L792" s="209"/>
      <c r="M792" s="209"/>
    </row>
    <row r="793" ht="15.75" customHeight="1">
      <c r="A793" s="209"/>
      <c r="B793" s="209"/>
      <c r="C793" s="210"/>
      <c r="D793" s="211"/>
      <c r="E793" s="209"/>
      <c r="F793" s="209"/>
      <c r="G793" s="209"/>
      <c r="H793" s="209"/>
      <c r="I793" s="209"/>
      <c r="J793" s="209"/>
      <c r="K793" s="209"/>
      <c r="L793" s="209"/>
      <c r="M793" s="209"/>
    </row>
    <row r="794" ht="15.75" customHeight="1">
      <c r="A794" s="209"/>
      <c r="B794" s="209"/>
      <c r="C794" s="210"/>
      <c r="D794" s="211"/>
      <c r="E794" s="209"/>
      <c r="F794" s="209"/>
      <c r="G794" s="209"/>
      <c r="H794" s="209"/>
      <c r="I794" s="209"/>
      <c r="J794" s="209"/>
      <c r="K794" s="209"/>
      <c r="L794" s="209"/>
      <c r="M794" s="209"/>
    </row>
    <row r="795" ht="15.75" customHeight="1">
      <c r="A795" s="209"/>
      <c r="B795" s="209"/>
      <c r="C795" s="210"/>
      <c r="D795" s="211"/>
      <c r="E795" s="209"/>
      <c r="F795" s="209"/>
      <c r="G795" s="209"/>
      <c r="H795" s="209"/>
      <c r="I795" s="209"/>
      <c r="J795" s="209"/>
      <c r="K795" s="209"/>
      <c r="L795" s="209"/>
      <c r="M795" s="209"/>
    </row>
    <row r="796" ht="15.75" customHeight="1">
      <c r="A796" s="209"/>
      <c r="B796" s="209"/>
      <c r="C796" s="210"/>
      <c r="D796" s="211"/>
      <c r="E796" s="209"/>
      <c r="F796" s="209"/>
      <c r="G796" s="209"/>
      <c r="H796" s="209"/>
      <c r="I796" s="209"/>
      <c r="J796" s="209"/>
      <c r="K796" s="209"/>
      <c r="L796" s="209"/>
      <c r="M796" s="209"/>
    </row>
    <row r="797" ht="15.75" customHeight="1">
      <c r="A797" s="209"/>
      <c r="B797" s="209"/>
      <c r="C797" s="210"/>
      <c r="D797" s="211"/>
      <c r="E797" s="209"/>
      <c r="F797" s="209"/>
      <c r="G797" s="209"/>
      <c r="H797" s="209"/>
      <c r="I797" s="209"/>
      <c r="J797" s="209"/>
      <c r="K797" s="209"/>
      <c r="L797" s="209"/>
      <c r="M797" s="209"/>
    </row>
    <row r="798" ht="15.75" customHeight="1">
      <c r="A798" s="209"/>
      <c r="B798" s="209"/>
      <c r="C798" s="210"/>
      <c r="D798" s="211"/>
      <c r="E798" s="209"/>
      <c r="F798" s="209"/>
      <c r="G798" s="209"/>
      <c r="H798" s="209"/>
      <c r="I798" s="209"/>
      <c r="J798" s="209"/>
      <c r="K798" s="209"/>
      <c r="L798" s="209"/>
      <c r="M798" s="209"/>
    </row>
    <row r="799" ht="15.75" customHeight="1">
      <c r="A799" s="209"/>
      <c r="B799" s="209"/>
      <c r="C799" s="210"/>
      <c r="D799" s="211"/>
      <c r="E799" s="209"/>
      <c r="F799" s="209"/>
      <c r="G799" s="209"/>
      <c r="H799" s="209"/>
      <c r="I799" s="209"/>
      <c r="J799" s="209"/>
      <c r="K799" s="209"/>
      <c r="L799" s="209"/>
      <c r="M799" s="209"/>
    </row>
    <row r="800" ht="15.75" customHeight="1">
      <c r="A800" s="209"/>
      <c r="B800" s="209"/>
      <c r="C800" s="210"/>
      <c r="D800" s="211"/>
      <c r="E800" s="209"/>
      <c r="F800" s="209"/>
      <c r="G800" s="209"/>
      <c r="H800" s="209"/>
      <c r="I800" s="209"/>
      <c r="J800" s="209"/>
      <c r="K800" s="209"/>
      <c r="L800" s="209"/>
      <c r="M800" s="209"/>
    </row>
    <row r="801" ht="15.75" customHeight="1">
      <c r="A801" s="209"/>
      <c r="B801" s="209"/>
      <c r="C801" s="210"/>
      <c r="D801" s="211"/>
      <c r="E801" s="209"/>
      <c r="F801" s="209"/>
      <c r="G801" s="209"/>
      <c r="H801" s="209"/>
      <c r="I801" s="209"/>
      <c r="J801" s="209"/>
      <c r="K801" s="209"/>
      <c r="L801" s="209"/>
      <c r="M801" s="209"/>
    </row>
    <row r="802" ht="15.75" customHeight="1">
      <c r="A802" s="209"/>
      <c r="B802" s="209"/>
      <c r="C802" s="210"/>
      <c r="D802" s="211"/>
      <c r="E802" s="209"/>
      <c r="F802" s="209"/>
      <c r="G802" s="209"/>
      <c r="H802" s="209"/>
      <c r="I802" s="209"/>
      <c r="J802" s="209"/>
      <c r="K802" s="209"/>
      <c r="L802" s="209"/>
      <c r="M802" s="209"/>
    </row>
    <row r="803" ht="15.75" customHeight="1">
      <c r="A803" s="209"/>
      <c r="B803" s="209"/>
      <c r="C803" s="210"/>
      <c r="D803" s="211"/>
      <c r="E803" s="209"/>
      <c r="F803" s="209"/>
      <c r="G803" s="209"/>
      <c r="H803" s="209"/>
      <c r="I803" s="209"/>
      <c r="J803" s="209"/>
      <c r="K803" s="209"/>
      <c r="L803" s="209"/>
      <c r="M803" s="209"/>
    </row>
    <row r="804" ht="15.75" customHeight="1">
      <c r="A804" s="209"/>
      <c r="B804" s="209"/>
      <c r="C804" s="210"/>
      <c r="D804" s="211"/>
      <c r="E804" s="209"/>
      <c r="F804" s="209"/>
      <c r="G804" s="209"/>
      <c r="H804" s="209"/>
      <c r="I804" s="209"/>
      <c r="J804" s="209"/>
      <c r="K804" s="209"/>
      <c r="L804" s="209"/>
      <c r="M804" s="209"/>
    </row>
    <row r="805" ht="15.75" customHeight="1">
      <c r="A805" s="209"/>
      <c r="B805" s="209"/>
      <c r="C805" s="210"/>
      <c r="D805" s="211"/>
      <c r="E805" s="209"/>
      <c r="F805" s="209"/>
      <c r="G805" s="209"/>
      <c r="H805" s="209"/>
      <c r="I805" s="209"/>
      <c r="J805" s="209"/>
      <c r="K805" s="209"/>
      <c r="L805" s="209"/>
      <c r="M805" s="209"/>
    </row>
    <row r="806" ht="15.75" customHeight="1">
      <c r="A806" s="209"/>
      <c r="B806" s="209"/>
      <c r="C806" s="210"/>
      <c r="D806" s="211"/>
      <c r="E806" s="209"/>
      <c r="F806" s="209"/>
      <c r="G806" s="209"/>
      <c r="H806" s="209"/>
      <c r="I806" s="209"/>
      <c r="J806" s="209"/>
      <c r="K806" s="209"/>
      <c r="L806" s="209"/>
      <c r="M806" s="209"/>
    </row>
    <row r="807" ht="15.75" customHeight="1">
      <c r="A807" s="209"/>
      <c r="B807" s="209"/>
      <c r="C807" s="210"/>
      <c r="D807" s="211"/>
      <c r="E807" s="209"/>
      <c r="F807" s="209"/>
      <c r="G807" s="209"/>
      <c r="H807" s="209"/>
      <c r="I807" s="209"/>
      <c r="J807" s="209"/>
      <c r="K807" s="209"/>
      <c r="L807" s="209"/>
      <c r="M807" s="209"/>
    </row>
    <row r="808" ht="15.75" customHeight="1">
      <c r="A808" s="209"/>
      <c r="B808" s="209"/>
      <c r="C808" s="210"/>
      <c r="D808" s="211"/>
      <c r="E808" s="209"/>
      <c r="F808" s="209"/>
      <c r="G808" s="209"/>
      <c r="H808" s="209"/>
      <c r="I808" s="209"/>
      <c r="J808" s="209"/>
      <c r="K808" s="209"/>
      <c r="L808" s="209"/>
      <c r="M808" s="209"/>
    </row>
    <row r="809" ht="15.75" customHeight="1">
      <c r="A809" s="209"/>
      <c r="B809" s="209"/>
      <c r="C809" s="210"/>
      <c r="D809" s="211"/>
      <c r="E809" s="209"/>
      <c r="F809" s="209"/>
      <c r="G809" s="209"/>
      <c r="H809" s="209"/>
      <c r="I809" s="209"/>
      <c r="J809" s="209"/>
      <c r="K809" s="209"/>
      <c r="L809" s="209"/>
      <c r="M809" s="209"/>
    </row>
    <row r="810" ht="15.75" customHeight="1">
      <c r="A810" s="209"/>
      <c r="B810" s="209"/>
      <c r="C810" s="210"/>
      <c r="D810" s="211"/>
      <c r="E810" s="209"/>
      <c r="F810" s="209"/>
      <c r="G810" s="209"/>
      <c r="H810" s="209"/>
      <c r="I810" s="209"/>
      <c r="J810" s="209"/>
      <c r="K810" s="209"/>
      <c r="L810" s="209"/>
      <c r="M810" s="209"/>
    </row>
    <row r="811" ht="15.75" customHeight="1">
      <c r="A811" s="209"/>
      <c r="B811" s="209"/>
      <c r="C811" s="210"/>
      <c r="D811" s="211"/>
      <c r="E811" s="209"/>
      <c r="F811" s="209"/>
      <c r="G811" s="209"/>
      <c r="H811" s="209"/>
      <c r="I811" s="209"/>
      <c r="J811" s="209"/>
      <c r="K811" s="209"/>
      <c r="L811" s="209"/>
      <c r="M811" s="209"/>
    </row>
    <row r="812" ht="15.75" customHeight="1">
      <c r="A812" s="209"/>
      <c r="B812" s="209"/>
      <c r="C812" s="210"/>
      <c r="D812" s="211"/>
      <c r="E812" s="209"/>
      <c r="F812" s="209"/>
      <c r="G812" s="209"/>
      <c r="H812" s="209"/>
      <c r="I812" s="209"/>
      <c r="J812" s="209"/>
      <c r="K812" s="209"/>
      <c r="L812" s="209"/>
      <c r="M812" s="209"/>
    </row>
    <row r="813" ht="15.75" customHeight="1">
      <c r="A813" s="209"/>
      <c r="B813" s="209"/>
      <c r="C813" s="210"/>
      <c r="D813" s="211"/>
      <c r="E813" s="209"/>
      <c r="F813" s="209"/>
      <c r="G813" s="209"/>
      <c r="H813" s="209"/>
      <c r="I813" s="209"/>
      <c r="J813" s="209"/>
      <c r="K813" s="209"/>
      <c r="L813" s="209"/>
      <c r="M813" s="209"/>
    </row>
    <row r="814" ht="15.75" customHeight="1">
      <c r="A814" s="209"/>
      <c r="B814" s="209"/>
      <c r="C814" s="210"/>
      <c r="D814" s="211"/>
      <c r="E814" s="209"/>
      <c r="F814" s="209"/>
      <c r="G814" s="209"/>
      <c r="H814" s="209"/>
      <c r="I814" s="209"/>
      <c r="J814" s="209"/>
      <c r="K814" s="209"/>
      <c r="L814" s="209"/>
      <c r="M814" s="209"/>
    </row>
    <row r="815" ht="15.75" customHeight="1">
      <c r="A815" s="209"/>
      <c r="B815" s="209"/>
      <c r="C815" s="210"/>
      <c r="D815" s="211"/>
      <c r="E815" s="209"/>
      <c r="F815" s="209"/>
      <c r="G815" s="209"/>
      <c r="H815" s="209"/>
      <c r="I815" s="209"/>
      <c r="J815" s="209"/>
      <c r="K815" s="209"/>
      <c r="L815" s="209"/>
      <c r="M815" s="209"/>
    </row>
    <row r="816" ht="15.75" customHeight="1">
      <c r="A816" s="209"/>
      <c r="B816" s="209"/>
      <c r="C816" s="210"/>
      <c r="D816" s="211"/>
      <c r="E816" s="209"/>
      <c r="F816" s="209"/>
      <c r="G816" s="209"/>
      <c r="H816" s="209"/>
      <c r="I816" s="209"/>
      <c r="J816" s="209"/>
      <c r="K816" s="209"/>
      <c r="L816" s="209"/>
      <c r="M816" s="209"/>
    </row>
    <row r="817" ht="15.75" customHeight="1">
      <c r="A817" s="209"/>
      <c r="B817" s="209"/>
      <c r="C817" s="210"/>
      <c r="D817" s="211"/>
      <c r="E817" s="209"/>
      <c r="F817" s="209"/>
      <c r="G817" s="209"/>
      <c r="H817" s="209"/>
      <c r="I817" s="209"/>
      <c r="J817" s="209"/>
      <c r="K817" s="209"/>
      <c r="L817" s="209"/>
      <c r="M817" s="209"/>
    </row>
    <row r="818" ht="15.75" customHeight="1">
      <c r="A818" s="209"/>
      <c r="B818" s="209"/>
      <c r="C818" s="210"/>
      <c r="D818" s="211"/>
      <c r="E818" s="209"/>
      <c r="F818" s="209"/>
      <c r="G818" s="209"/>
      <c r="H818" s="209"/>
      <c r="I818" s="209"/>
      <c r="J818" s="209"/>
      <c r="K818" s="209"/>
      <c r="L818" s="209"/>
      <c r="M818" s="209"/>
    </row>
    <row r="819" ht="15.75" customHeight="1">
      <c r="A819" s="209"/>
      <c r="B819" s="209"/>
      <c r="C819" s="210"/>
      <c r="D819" s="211"/>
      <c r="E819" s="209"/>
      <c r="F819" s="209"/>
      <c r="G819" s="209"/>
      <c r="H819" s="209"/>
      <c r="I819" s="209"/>
      <c r="J819" s="209"/>
      <c r="K819" s="209"/>
      <c r="L819" s="209"/>
      <c r="M819" s="209"/>
    </row>
    <row r="820" ht="15.75" customHeight="1">
      <c r="A820" s="209"/>
      <c r="B820" s="209"/>
      <c r="C820" s="210"/>
      <c r="D820" s="211"/>
      <c r="E820" s="209"/>
      <c r="F820" s="209"/>
      <c r="G820" s="209"/>
      <c r="H820" s="209"/>
      <c r="I820" s="209"/>
      <c r="J820" s="209"/>
      <c r="K820" s="209"/>
      <c r="L820" s="209"/>
      <c r="M820" s="209"/>
    </row>
    <row r="821" ht="15.75" customHeight="1">
      <c r="A821" s="209"/>
      <c r="B821" s="209"/>
      <c r="C821" s="210"/>
      <c r="D821" s="211"/>
      <c r="E821" s="209"/>
      <c r="F821" s="209"/>
      <c r="G821" s="209"/>
      <c r="H821" s="209"/>
      <c r="I821" s="209"/>
      <c r="J821" s="209"/>
      <c r="K821" s="209"/>
      <c r="L821" s="209"/>
      <c r="M821" s="209"/>
    </row>
    <row r="822" ht="15.75" customHeight="1">
      <c r="A822" s="209"/>
      <c r="B822" s="209"/>
      <c r="C822" s="210"/>
      <c r="D822" s="211"/>
      <c r="E822" s="209"/>
      <c r="F822" s="209"/>
      <c r="G822" s="209"/>
      <c r="H822" s="209"/>
      <c r="I822" s="209"/>
      <c r="J822" s="209"/>
      <c r="K822" s="209"/>
      <c r="L822" s="209"/>
      <c r="M822" s="209"/>
    </row>
    <row r="823" ht="15.75" customHeight="1">
      <c r="A823" s="209"/>
      <c r="B823" s="209"/>
      <c r="C823" s="210"/>
      <c r="D823" s="211"/>
      <c r="E823" s="209"/>
      <c r="F823" s="209"/>
      <c r="G823" s="209"/>
      <c r="H823" s="209"/>
      <c r="I823" s="209"/>
      <c r="J823" s="209"/>
      <c r="K823" s="209"/>
      <c r="L823" s="209"/>
      <c r="M823" s="209"/>
    </row>
    <row r="824" ht="15.75" customHeight="1">
      <c r="A824" s="209"/>
      <c r="B824" s="209"/>
      <c r="C824" s="210"/>
      <c r="D824" s="211"/>
      <c r="E824" s="209"/>
      <c r="F824" s="209"/>
      <c r="G824" s="209"/>
      <c r="H824" s="209"/>
      <c r="I824" s="209"/>
      <c r="J824" s="209"/>
      <c r="K824" s="209"/>
      <c r="L824" s="209"/>
      <c r="M824" s="209"/>
    </row>
    <row r="825" ht="15.75" customHeight="1">
      <c r="A825" s="209"/>
      <c r="B825" s="209"/>
      <c r="C825" s="210"/>
      <c r="D825" s="211"/>
      <c r="E825" s="209"/>
      <c r="F825" s="209"/>
      <c r="G825" s="209"/>
      <c r="H825" s="209"/>
      <c r="I825" s="209"/>
      <c r="J825" s="209"/>
      <c r="K825" s="209"/>
      <c r="L825" s="209"/>
      <c r="M825" s="209"/>
    </row>
    <row r="826" ht="15.75" customHeight="1">
      <c r="A826" s="209"/>
      <c r="B826" s="209"/>
      <c r="C826" s="210"/>
      <c r="D826" s="211"/>
      <c r="E826" s="209"/>
      <c r="F826" s="209"/>
      <c r="G826" s="209"/>
      <c r="H826" s="209"/>
      <c r="I826" s="209"/>
      <c r="J826" s="209"/>
      <c r="K826" s="209"/>
      <c r="L826" s="209"/>
      <c r="M826" s="209"/>
    </row>
    <row r="827" ht="15.75" customHeight="1">
      <c r="A827" s="209"/>
      <c r="B827" s="209"/>
      <c r="C827" s="210"/>
      <c r="D827" s="211"/>
      <c r="E827" s="209"/>
      <c r="F827" s="209"/>
      <c r="G827" s="209"/>
      <c r="H827" s="209"/>
      <c r="I827" s="209"/>
      <c r="J827" s="209"/>
      <c r="K827" s="209"/>
      <c r="L827" s="209"/>
      <c r="M827" s="209"/>
    </row>
    <row r="828" ht="15.75" customHeight="1">
      <c r="A828" s="209"/>
      <c r="B828" s="209"/>
      <c r="C828" s="210"/>
      <c r="D828" s="211"/>
      <c r="E828" s="209"/>
      <c r="F828" s="209"/>
      <c r="G828" s="209"/>
      <c r="H828" s="209"/>
      <c r="I828" s="209"/>
      <c r="J828" s="209"/>
      <c r="K828" s="209"/>
      <c r="L828" s="209"/>
      <c r="M828" s="209"/>
    </row>
    <row r="829" ht="15.75" customHeight="1">
      <c r="A829" s="209"/>
      <c r="B829" s="209"/>
      <c r="C829" s="210"/>
      <c r="D829" s="211"/>
      <c r="E829" s="209"/>
      <c r="F829" s="209"/>
      <c r="G829" s="209"/>
      <c r="H829" s="209"/>
      <c r="I829" s="209"/>
      <c r="J829" s="209"/>
      <c r="K829" s="209"/>
      <c r="L829" s="209"/>
      <c r="M829" s="209"/>
    </row>
    <row r="830" ht="15.75" customHeight="1">
      <c r="A830" s="209"/>
      <c r="B830" s="209"/>
      <c r="C830" s="210"/>
      <c r="D830" s="211"/>
      <c r="E830" s="209"/>
      <c r="F830" s="209"/>
      <c r="G830" s="209"/>
      <c r="H830" s="209"/>
      <c r="I830" s="209"/>
      <c r="J830" s="209"/>
      <c r="K830" s="209"/>
      <c r="L830" s="209"/>
      <c r="M830" s="209"/>
    </row>
    <row r="831" ht="15.75" customHeight="1">
      <c r="A831" s="209"/>
      <c r="B831" s="209"/>
      <c r="C831" s="210"/>
      <c r="D831" s="211"/>
      <c r="E831" s="209"/>
      <c r="F831" s="209"/>
      <c r="G831" s="209"/>
      <c r="H831" s="209"/>
      <c r="I831" s="209"/>
      <c r="J831" s="209"/>
      <c r="K831" s="209"/>
      <c r="L831" s="209"/>
      <c r="M831" s="209"/>
    </row>
    <row r="832" ht="15.75" customHeight="1">
      <c r="A832" s="209"/>
      <c r="B832" s="209"/>
      <c r="C832" s="210"/>
      <c r="D832" s="211"/>
      <c r="E832" s="209"/>
      <c r="F832" s="209"/>
      <c r="G832" s="209"/>
      <c r="H832" s="209"/>
      <c r="I832" s="209"/>
      <c r="J832" s="209"/>
      <c r="K832" s="209"/>
      <c r="L832" s="209"/>
      <c r="M832" s="209"/>
    </row>
    <row r="833" ht="15.75" customHeight="1">
      <c r="A833" s="209"/>
      <c r="B833" s="209"/>
      <c r="C833" s="210"/>
      <c r="D833" s="211"/>
      <c r="E833" s="209"/>
      <c r="F833" s="209"/>
      <c r="G833" s="209"/>
      <c r="H833" s="209"/>
      <c r="I833" s="209"/>
      <c r="J833" s="209"/>
      <c r="K833" s="209"/>
      <c r="L833" s="209"/>
      <c r="M833" s="209"/>
    </row>
    <row r="834" ht="15.75" customHeight="1">
      <c r="A834" s="209"/>
      <c r="B834" s="209"/>
      <c r="C834" s="210"/>
      <c r="D834" s="211"/>
      <c r="E834" s="209"/>
      <c r="F834" s="209"/>
      <c r="G834" s="209"/>
      <c r="H834" s="209"/>
      <c r="I834" s="209"/>
      <c r="J834" s="209"/>
      <c r="K834" s="209"/>
      <c r="L834" s="209"/>
      <c r="M834" s="209"/>
    </row>
    <row r="835" ht="15.75" customHeight="1">
      <c r="A835" s="209"/>
      <c r="B835" s="209"/>
      <c r="C835" s="210"/>
      <c r="D835" s="211"/>
      <c r="E835" s="209"/>
      <c r="F835" s="209"/>
      <c r="G835" s="209"/>
      <c r="H835" s="209"/>
      <c r="I835" s="209"/>
      <c r="J835" s="209"/>
      <c r="K835" s="209"/>
      <c r="L835" s="209"/>
      <c r="M835" s="209"/>
    </row>
    <row r="836" ht="15.75" customHeight="1">
      <c r="A836" s="209"/>
      <c r="B836" s="209"/>
      <c r="C836" s="210"/>
      <c r="D836" s="211"/>
      <c r="E836" s="209"/>
      <c r="F836" s="209"/>
      <c r="G836" s="209"/>
      <c r="H836" s="209"/>
      <c r="I836" s="209"/>
      <c r="J836" s="209"/>
      <c r="K836" s="209"/>
      <c r="L836" s="209"/>
      <c r="M836" s="209"/>
    </row>
    <row r="837" ht="15.75" customHeight="1">
      <c r="A837" s="209"/>
      <c r="B837" s="209"/>
      <c r="C837" s="210"/>
      <c r="D837" s="211"/>
      <c r="E837" s="209"/>
      <c r="F837" s="209"/>
      <c r="G837" s="209"/>
      <c r="H837" s="209"/>
      <c r="I837" s="209"/>
      <c r="J837" s="209"/>
      <c r="K837" s="209"/>
      <c r="L837" s="209"/>
      <c r="M837" s="209"/>
    </row>
    <row r="838" ht="15.75" customHeight="1">
      <c r="A838" s="209"/>
      <c r="B838" s="209"/>
      <c r="C838" s="210"/>
      <c r="D838" s="211"/>
      <c r="E838" s="209"/>
      <c r="F838" s="209"/>
      <c r="G838" s="209"/>
      <c r="H838" s="209"/>
      <c r="I838" s="209"/>
      <c r="J838" s="209"/>
      <c r="K838" s="209"/>
      <c r="L838" s="209"/>
      <c r="M838" s="209"/>
    </row>
    <row r="839" ht="15.75" customHeight="1">
      <c r="A839" s="209"/>
      <c r="B839" s="209"/>
      <c r="C839" s="210"/>
      <c r="D839" s="211"/>
      <c r="E839" s="209"/>
      <c r="F839" s="209"/>
      <c r="G839" s="209"/>
      <c r="H839" s="209"/>
      <c r="I839" s="209"/>
      <c r="J839" s="209"/>
      <c r="K839" s="209"/>
      <c r="L839" s="209"/>
      <c r="M839" s="209"/>
    </row>
    <row r="840" ht="15.75" customHeight="1">
      <c r="A840" s="209"/>
      <c r="B840" s="209"/>
      <c r="C840" s="210"/>
      <c r="D840" s="211"/>
      <c r="E840" s="209"/>
      <c r="F840" s="209"/>
      <c r="G840" s="209"/>
      <c r="H840" s="209"/>
      <c r="I840" s="209"/>
      <c r="J840" s="209"/>
      <c r="K840" s="209"/>
      <c r="L840" s="209"/>
      <c r="M840" s="209"/>
    </row>
    <row r="841" ht="15.75" customHeight="1">
      <c r="A841" s="209"/>
      <c r="B841" s="209"/>
      <c r="C841" s="210"/>
      <c r="D841" s="211"/>
      <c r="E841" s="209"/>
      <c r="F841" s="209"/>
      <c r="G841" s="209"/>
      <c r="H841" s="209"/>
      <c r="I841" s="209"/>
      <c r="J841" s="209"/>
      <c r="K841" s="209"/>
      <c r="L841" s="209"/>
      <c r="M841" s="209"/>
    </row>
    <row r="842" ht="15.75" customHeight="1">
      <c r="A842" s="209"/>
      <c r="B842" s="209"/>
      <c r="C842" s="210"/>
      <c r="D842" s="211"/>
      <c r="E842" s="209"/>
      <c r="F842" s="209"/>
      <c r="G842" s="209"/>
      <c r="H842" s="209"/>
      <c r="I842" s="209"/>
      <c r="J842" s="209"/>
      <c r="K842" s="209"/>
      <c r="L842" s="209"/>
      <c r="M842" s="209"/>
    </row>
    <row r="843" ht="15.75" customHeight="1">
      <c r="A843" s="209"/>
      <c r="B843" s="209"/>
      <c r="C843" s="210"/>
      <c r="D843" s="211"/>
      <c r="E843" s="209"/>
      <c r="F843" s="209"/>
      <c r="G843" s="209"/>
      <c r="H843" s="209"/>
      <c r="I843" s="209"/>
      <c r="J843" s="209"/>
      <c r="K843" s="209"/>
      <c r="L843" s="209"/>
      <c r="M843" s="209"/>
    </row>
    <row r="844" ht="15.75" customHeight="1">
      <c r="A844" s="209"/>
      <c r="B844" s="209"/>
      <c r="C844" s="210"/>
      <c r="D844" s="211"/>
      <c r="E844" s="209"/>
      <c r="F844" s="209"/>
      <c r="G844" s="209"/>
      <c r="H844" s="209"/>
      <c r="I844" s="209"/>
      <c r="J844" s="209"/>
      <c r="K844" s="209"/>
      <c r="L844" s="209"/>
      <c r="M844" s="209"/>
    </row>
    <row r="845" ht="15.75" customHeight="1">
      <c r="A845" s="209"/>
      <c r="B845" s="209"/>
      <c r="C845" s="210"/>
      <c r="D845" s="211"/>
      <c r="E845" s="209"/>
      <c r="F845" s="209"/>
      <c r="G845" s="209"/>
      <c r="H845" s="209"/>
      <c r="I845" s="209"/>
      <c r="J845" s="209"/>
      <c r="K845" s="209"/>
      <c r="L845" s="209"/>
      <c r="M845" s="209"/>
    </row>
    <row r="846" ht="15.75" customHeight="1">
      <c r="A846" s="209"/>
      <c r="B846" s="209"/>
      <c r="C846" s="210"/>
      <c r="D846" s="211"/>
      <c r="E846" s="209"/>
      <c r="F846" s="209"/>
      <c r="G846" s="209"/>
      <c r="H846" s="209"/>
      <c r="I846" s="209"/>
      <c r="J846" s="209"/>
      <c r="K846" s="209"/>
      <c r="L846" s="209"/>
      <c r="M846" s="209"/>
    </row>
    <row r="847" ht="15.75" customHeight="1">
      <c r="A847" s="209"/>
      <c r="B847" s="209"/>
      <c r="C847" s="210"/>
      <c r="D847" s="211"/>
      <c r="E847" s="209"/>
      <c r="F847" s="209"/>
      <c r="G847" s="209"/>
      <c r="H847" s="209"/>
      <c r="I847" s="209"/>
      <c r="J847" s="209"/>
      <c r="K847" s="209"/>
      <c r="L847" s="209"/>
      <c r="M847" s="209"/>
    </row>
    <row r="848" ht="15.75" customHeight="1">
      <c r="A848" s="209"/>
      <c r="B848" s="209"/>
      <c r="C848" s="210"/>
      <c r="D848" s="211"/>
      <c r="E848" s="209"/>
      <c r="F848" s="209"/>
      <c r="G848" s="209"/>
      <c r="H848" s="209"/>
      <c r="I848" s="209"/>
      <c r="J848" s="209"/>
      <c r="K848" s="209"/>
      <c r="L848" s="209"/>
      <c r="M848" s="209"/>
    </row>
    <row r="849" ht="15.75" customHeight="1">
      <c r="A849" s="209"/>
      <c r="B849" s="209"/>
      <c r="C849" s="210"/>
      <c r="D849" s="211"/>
      <c r="E849" s="209"/>
      <c r="F849" s="209"/>
      <c r="G849" s="209"/>
      <c r="H849" s="209"/>
      <c r="I849" s="209"/>
      <c r="J849" s="209"/>
      <c r="K849" s="209"/>
      <c r="L849" s="209"/>
      <c r="M849" s="209"/>
    </row>
    <row r="850" ht="15.75" customHeight="1">
      <c r="A850" s="209"/>
      <c r="B850" s="209"/>
      <c r="C850" s="210"/>
      <c r="D850" s="211"/>
      <c r="E850" s="209"/>
      <c r="F850" s="209"/>
      <c r="G850" s="209"/>
      <c r="H850" s="209"/>
      <c r="I850" s="209"/>
      <c r="J850" s="209"/>
      <c r="K850" s="209"/>
      <c r="L850" s="209"/>
      <c r="M850" s="209"/>
    </row>
    <row r="851" ht="15.75" customHeight="1">
      <c r="A851" s="209"/>
      <c r="B851" s="209"/>
      <c r="C851" s="210"/>
      <c r="D851" s="211"/>
      <c r="E851" s="209"/>
      <c r="F851" s="209"/>
      <c r="G851" s="209"/>
      <c r="H851" s="209"/>
      <c r="I851" s="209"/>
      <c r="J851" s="209"/>
      <c r="K851" s="209"/>
      <c r="L851" s="209"/>
      <c r="M851" s="209"/>
    </row>
    <row r="852" ht="15.75" customHeight="1">
      <c r="A852" s="209"/>
      <c r="B852" s="209"/>
      <c r="C852" s="210"/>
      <c r="D852" s="211"/>
      <c r="E852" s="209"/>
      <c r="F852" s="209"/>
      <c r="G852" s="209"/>
      <c r="H852" s="209"/>
      <c r="I852" s="209"/>
      <c r="J852" s="209"/>
      <c r="K852" s="209"/>
      <c r="L852" s="209"/>
      <c r="M852" s="209"/>
    </row>
    <row r="853" ht="15.75" customHeight="1">
      <c r="A853" s="209"/>
      <c r="B853" s="209"/>
      <c r="C853" s="210"/>
      <c r="D853" s="211"/>
      <c r="E853" s="209"/>
      <c r="F853" s="209"/>
      <c r="G853" s="209"/>
      <c r="H853" s="209"/>
      <c r="I853" s="209"/>
      <c r="J853" s="209"/>
      <c r="K853" s="209"/>
      <c r="L853" s="209"/>
      <c r="M853" s="209"/>
    </row>
    <row r="854" ht="15.75" customHeight="1">
      <c r="A854" s="209"/>
      <c r="B854" s="209"/>
      <c r="C854" s="210"/>
      <c r="D854" s="211"/>
      <c r="E854" s="209"/>
      <c r="F854" s="209"/>
      <c r="G854" s="209"/>
      <c r="H854" s="209"/>
      <c r="I854" s="209"/>
      <c r="J854" s="209"/>
      <c r="K854" s="209"/>
      <c r="L854" s="209"/>
      <c r="M854" s="209"/>
    </row>
    <row r="855" ht="15.75" customHeight="1">
      <c r="A855" s="209"/>
      <c r="B855" s="209"/>
      <c r="C855" s="210"/>
      <c r="D855" s="211"/>
      <c r="E855" s="209"/>
      <c r="F855" s="209"/>
      <c r="G855" s="209"/>
      <c r="H855" s="209"/>
      <c r="I855" s="209"/>
      <c r="J855" s="209"/>
      <c r="K855" s="209"/>
      <c r="L855" s="209"/>
      <c r="M855" s="209"/>
    </row>
    <row r="856" ht="15.75" customHeight="1">
      <c r="A856" s="209"/>
      <c r="B856" s="209"/>
      <c r="C856" s="210"/>
      <c r="D856" s="211"/>
      <c r="E856" s="209"/>
      <c r="F856" s="209"/>
      <c r="G856" s="209"/>
      <c r="H856" s="209"/>
      <c r="I856" s="209"/>
      <c r="J856" s="209"/>
      <c r="K856" s="209"/>
      <c r="L856" s="209"/>
      <c r="M856" s="209"/>
    </row>
    <row r="857" ht="15.75" customHeight="1">
      <c r="A857" s="209"/>
      <c r="B857" s="209"/>
      <c r="C857" s="210"/>
      <c r="D857" s="211"/>
      <c r="E857" s="209"/>
      <c r="F857" s="209"/>
      <c r="G857" s="209"/>
      <c r="H857" s="209"/>
      <c r="I857" s="209"/>
      <c r="J857" s="209"/>
      <c r="K857" s="209"/>
      <c r="L857" s="209"/>
      <c r="M857" s="209"/>
    </row>
    <row r="858" ht="15.75" customHeight="1">
      <c r="A858" s="209"/>
      <c r="B858" s="209"/>
      <c r="C858" s="210"/>
      <c r="D858" s="211"/>
      <c r="E858" s="209"/>
      <c r="F858" s="209"/>
      <c r="G858" s="209"/>
      <c r="H858" s="209"/>
      <c r="I858" s="209"/>
      <c r="J858" s="209"/>
      <c r="K858" s="209"/>
      <c r="L858" s="209"/>
      <c r="M858" s="209"/>
    </row>
    <row r="859" ht="15.75" customHeight="1">
      <c r="A859" s="209"/>
      <c r="B859" s="209"/>
      <c r="C859" s="210"/>
      <c r="D859" s="211"/>
      <c r="E859" s="209"/>
      <c r="F859" s="209"/>
      <c r="G859" s="209"/>
      <c r="H859" s="209"/>
      <c r="I859" s="209"/>
      <c r="J859" s="209"/>
      <c r="K859" s="209"/>
      <c r="L859" s="209"/>
      <c r="M859" s="209"/>
    </row>
    <row r="860" ht="15.75" customHeight="1">
      <c r="A860" s="209"/>
      <c r="B860" s="209"/>
      <c r="C860" s="210"/>
      <c r="D860" s="211"/>
      <c r="E860" s="209"/>
      <c r="F860" s="209"/>
      <c r="G860" s="209"/>
      <c r="H860" s="209"/>
      <c r="I860" s="209"/>
      <c r="J860" s="209"/>
      <c r="K860" s="209"/>
      <c r="L860" s="209"/>
      <c r="M860" s="209"/>
    </row>
    <row r="861" ht="15.75" customHeight="1">
      <c r="A861" s="209"/>
      <c r="B861" s="209"/>
      <c r="C861" s="210"/>
      <c r="D861" s="211"/>
      <c r="E861" s="209"/>
      <c r="F861" s="209"/>
      <c r="G861" s="209"/>
      <c r="H861" s="209"/>
      <c r="I861" s="209"/>
      <c r="J861" s="209"/>
      <c r="K861" s="209"/>
      <c r="L861" s="209"/>
      <c r="M861" s="209"/>
    </row>
    <row r="862" ht="15.75" customHeight="1">
      <c r="A862" s="209"/>
      <c r="B862" s="209"/>
      <c r="C862" s="210"/>
      <c r="D862" s="211"/>
      <c r="E862" s="209"/>
      <c r="F862" s="209"/>
      <c r="G862" s="209"/>
      <c r="H862" s="209"/>
      <c r="I862" s="209"/>
      <c r="J862" s="209"/>
      <c r="K862" s="209"/>
      <c r="L862" s="209"/>
      <c r="M862" s="209"/>
    </row>
    <row r="863" ht="15.75" customHeight="1">
      <c r="A863" s="209"/>
      <c r="B863" s="209"/>
      <c r="C863" s="210"/>
      <c r="D863" s="211"/>
      <c r="E863" s="209"/>
      <c r="F863" s="209"/>
      <c r="G863" s="209"/>
      <c r="H863" s="209"/>
      <c r="I863" s="209"/>
      <c r="J863" s="209"/>
      <c r="K863" s="209"/>
      <c r="L863" s="209"/>
      <c r="M863" s="209"/>
    </row>
    <row r="864" ht="15.75" customHeight="1">
      <c r="A864" s="209"/>
      <c r="B864" s="209"/>
      <c r="C864" s="210"/>
      <c r="D864" s="211"/>
      <c r="E864" s="209"/>
      <c r="F864" s="209"/>
      <c r="G864" s="209"/>
      <c r="H864" s="209"/>
      <c r="I864" s="209"/>
      <c r="J864" s="209"/>
      <c r="K864" s="209"/>
      <c r="L864" s="209"/>
      <c r="M864" s="209"/>
    </row>
    <row r="865" ht="15.75" customHeight="1">
      <c r="A865" s="209"/>
      <c r="B865" s="209"/>
      <c r="C865" s="210"/>
      <c r="D865" s="211"/>
      <c r="E865" s="209"/>
      <c r="F865" s="209"/>
      <c r="G865" s="209"/>
      <c r="H865" s="209"/>
      <c r="I865" s="209"/>
      <c r="J865" s="209"/>
      <c r="K865" s="209"/>
      <c r="L865" s="209"/>
      <c r="M865" s="209"/>
    </row>
    <row r="866" ht="15.75" customHeight="1">
      <c r="A866" s="209"/>
      <c r="B866" s="209"/>
      <c r="C866" s="210"/>
      <c r="D866" s="211"/>
      <c r="E866" s="209"/>
      <c r="F866" s="209"/>
      <c r="G866" s="209"/>
      <c r="H866" s="209"/>
      <c r="I866" s="209"/>
      <c r="J866" s="209"/>
      <c r="K866" s="209"/>
      <c r="L866" s="209"/>
      <c r="M866" s="209"/>
    </row>
    <row r="867" ht="15.75" customHeight="1">
      <c r="A867" s="209"/>
      <c r="B867" s="209"/>
      <c r="C867" s="210"/>
      <c r="D867" s="211"/>
      <c r="E867" s="209"/>
      <c r="F867" s="209"/>
      <c r="G867" s="209"/>
      <c r="H867" s="209"/>
      <c r="I867" s="209"/>
      <c r="J867" s="209"/>
      <c r="K867" s="209"/>
      <c r="L867" s="209"/>
      <c r="M867" s="209"/>
    </row>
    <row r="868" ht="15.75" customHeight="1">
      <c r="A868" s="209"/>
      <c r="B868" s="209"/>
      <c r="C868" s="210"/>
      <c r="D868" s="211"/>
      <c r="E868" s="209"/>
      <c r="F868" s="209"/>
      <c r="G868" s="209"/>
      <c r="H868" s="209"/>
      <c r="I868" s="209"/>
      <c r="J868" s="209"/>
      <c r="K868" s="209"/>
      <c r="L868" s="209"/>
      <c r="M868" s="209"/>
    </row>
    <row r="869" ht="15.75" customHeight="1">
      <c r="A869" s="209"/>
      <c r="B869" s="209"/>
      <c r="C869" s="210"/>
      <c r="D869" s="211"/>
      <c r="E869" s="209"/>
      <c r="F869" s="209"/>
      <c r="G869" s="209"/>
      <c r="H869" s="209"/>
      <c r="I869" s="209"/>
      <c r="J869" s="209"/>
      <c r="K869" s="209"/>
      <c r="L869" s="209"/>
      <c r="M869" s="209"/>
    </row>
    <row r="870" ht="15.75" customHeight="1">
      <c r="A870" s="209"/>
      <c r="B870" s="209"/>
      <c r="C870" s="210"/>
      <c r="D870" s="211"/>
      <c r="E870" s="209"/>
      <c r="F870" s="209"/>
      <c r="G870" s="209"/>
      <c r="H870" s="209"/>
      <c r="I870" s="209"/>
      <c r="J870" s="209"/>
      <c r="K870" s="209"/>
      <c r="L870" s="209"/>
      <c r="M870" s="209"/>
    </row>
    <row r="871" ht="15.75" customHeight="1">
      <c r="A871" s="209"/>
      <c r="B871" s="209"/>
      <c r="C871" s="210"/>
      <c r="D871" s="211"/>
      <c r="E871" s="209"/>
      <c r="F871" s="209"/>
      <c r="G871" s="209"/>
      <c r="H871" s="209"/>
      <c r="I871" s="209"/>
      <c r="J871" s="209"/>
      <c r="K871" s="209"/>
      <c r="L871" s="209"/>
      <c r="M871" s="209"/>
    </row>
    <row r="872" ht="15.75" customHeight="1">
      <c r="A872" s="209"/>
      <c r="B872" s="209"/>
      <c r="C872" s="210"/>
      <c r="D872" s="211"/>
      <c r="E872" s="209"/>
      <c r="F872" s="209"/>
      <c r="G872" s="209"/>
      <c r="H872" s="209"/>
      <c r="I872" s="209"/>
      <c r="J872" s="209"/>
      <c r="K872" s="209"/>
      <c r="L872" s="209"/>
      <c r="M872" s="209"/>
    </row>
    <row r="873" ht="15.75" customHeight="1">
      <c r="A873" s="209"/>
      <c r="B873" s="209"/>
      <c r="C873" s="210"/>
      <c r="D873" s="211"/>
      <c r="E873" s="209"/>
      <c r="F873" s="209"/>
      <c r="G873" s="209"/>
      <c r="H873" s="209"/>
      <c r="I873" s="209"/>
      <c r="J873" s="209"/>
      <c r="K873" s="209"/>
      <c r="L873" s="209"/>
      <c r="M873" s="209"/>
    </row>
    <row r="874" ht="15.75" customHeight="1">
      <c r="A874" s="209"/>
      <c r="B874" s="209"/>
      <c r="C874" s="210"/>
      <c r="D874" s="211"/>
      <c r="E874" s="209"/>
      <c r="F874" s="209"/>
      <c r="G874" s="209"/>
      <c r="H874" s="209"/>
      <c r="I874" s="209"/>
      <c r="J874" s="209"/>
      <c r="K874" s="209"/>
      <c r="L874" s="209"/>
      <c r="M874" s="209"/>
    </row>
    <row r="875" ht="15.75" customHeight="1">
      <c r="A875" s="209"/>
      <c r="B875" s="209"/>
      <c r="C875" s="210"/>
      <c r="D875" s="211"/>
      <c r="E875" s="209"/>
      <c r="F875" s="209"/>
      <c r="G875" s="209"/>
      <c r="H875" s="209"/>
      <c r="I875" s="209"/>
      <c r="J875" s="209"/>
      <c r="K875" s="209"/>
      <c r="L875" s="209"/>
      <c r="M875" s="209"/>
    </row>
    <row r="876" ht="15.75" customHeight="1">
      <c r="A876" s="209"/>
      <c r="B876" s="209"/>
      <c r="C876" s="210"/>
      <c r="D876" s="211"/>
      <c r="E876" s="209"/>
      <c r="F876" s="209"/>
      <c r="G876" s="209"/>
      <c r="H876" s="209"/>
      <c r="I876" s="209"/>
      <c r="J876" s="209"/>
      <c r="K876" s="209"/>
      <c r="L876" s="209"/>
      <c r="M876" s="209"/>
    </row>
    <row r="877" ht="15.75" customHeight="1">
      <c r="A877" s="209"/>
      <c r="B877" s="209"/>
      <c r="C877" s="210"/>
      <c r="D877" s="211"/>
      <c r="E877" s="209"/>
      <c r="F877" s="209"/>
      <c r="G877" s="209"/>
      <c r="H877" s="209"/>
      <c r="I877" s="209"/>
      <c r="J877" s="209"/>
      <c r="K877" s="209"/>
      <c r="L877" s="209"/>
      <c r="M877" s="209"/>
    </row>
    <row r="878" ht="15.75" customHeight="1">
      <c r="A878" s="209"/>
      <c r="B878" s="209"/>
      <c r="C878" s="210"/>
      <c r="D878" s="211"/>
      <c r="E878" s="209"/>
      <c r="F878" s="209"/>
      <c r="G878" s="209"/>
      <c r="H878" s="209"/>
      <c r="I878" s="209"/>
      <c r="J878" s="209"/>
      <c r="K878" s="209"/>
      <c r="L878" s="209"/>
      <c r="M878" s="209"/>
    </row>
    <row r="879" ht="15.75" customHeight="1">
      <c r="A879" s="209"/>
      <c r="B879" s="209"/>
      <c r="C879" s="210"/>
      <c r="D879" s="211"/>
      <c r="E879" s="209"/>
      <c r="F879" s="209"/>
      <c r="G879" s="209"/>
      <c r="H879" s="209"/>
      <c r="I879" s="209"/>
      <c r="J879" s="209"/>
      <c r="K879" s="209"/>
      <c r="L879" s="209"/>
      <c r="M879" s="209"/>
    </row>
    <row r="880" ht="15.75" customHeight="1">
      <c r="A880" s="209"/>
      <c r="B880" s="209"/>
      <c r="C880" s="210"/>
      <c r="D880" s="211"/>
      <c r="E880" s="209"/>
      <c r="F880" s="209"/>
      <c r="G880" s="209"/>
      <c r="H880" s="209"/>
      <c r="I880" s="209"/>
      <c r="J880" s="209"/>
      <c r="K880" s="209"/>
      <c r="L880" s="209"/>
      <c r="M880" s="209"/>
    </row>
    <row r="881" ht="15.75" customHeight="1">
      <c r="A881" s="209"/>
      <c r="B881" s="209"/>
      <c r="C881" s="210"/>
      <c r="D881" s="211"/>
      <c r="E881" s="209"/>
      <c r="F881" s="209"/>
      <c r="G881" s="209"/>
      <c r="H881" s="209"/>
      <c r="I881" s="209"/>
      <c r="J881" s="209"/>
      <c r="K881" s="209"/>
      <c r="L881" s="209"/>
      <c r="M881" s="209"/>
    </row>
    <row r="882" ht="15.75" customHeight="1">
      <c r="A882" s="209"/>
      <c r="B882" s="209"/>
      <c r="C882" s="210"/>
      <c r="D882" s="211"/>
      <c r="E882" s="209"/>
      <c r="F882" s="209"/>
      <c r="G882" s="209"/>
      <c r="H882" s="209"/>
      <c r="I882" s="209"/>
      <c r="J882" s="209"/>
      <c r="K882" s="209"/>
      <c r="L882" s="209"/>
      <c r="M882" s="209"/>
    </row>
    <row r="883" ht="15.75" customHeight="1">
      <c r="A883" s="209"/>
      <c r="B883" s="209"/>
      <c r="C883" s="210"/>
      <c r="D883" s="211"/>
      <c r="E883" s="209"/>
      <c r="F883" s="209"/>
      <c r="G883" s="209"/>
      <c r="H883" s="209"/>
      <c r="I883" s="209"/>
      <c r="J883" s="209"/>
      <c r="K883" s="209"/>
      <c r="L883" s="209"/>
      <c r="M883" s="209"/>
    </row>
    <row r="884" ht="15.75" customHeight="1">
      <c r="A884" s="209"/>
      <c r="B884" s="209"/>
      <c r="C884" s="210"/>
      <c r="D884" s="211"/>
      <c r="E884" s="209"/>
      <c r="F884" s="209"/>
      <c r="G884" s="209"/>
      <c r="H884" s="209"/>
      <c r="I884" s="209"/>
      <c r="J884" s="209"/>
      <c r="K884" s="209"/>
      <c r="L884" s="209"/>
      <c r="M884" s="209"/>
    </row>
    <row r="885" ht="15.75" customHeight="1">
      <c r="A885" s="209"/>
      <c r="B885" s="209"/>
      <c r="C885" s="210"/>
      <c r="D885" s="211"/>
      <c r="E885" s="209"/>
      <c r="F885" s="209"/>
      <c r="G885" s="209"/>
      <c r="H885" s="209"/>
      <c r="I885" s="209"/>
      <c r="J885" s="209"/>
      <c r="K885" s="209"/>
      <c r="L885" s="209"/>
      <c r="M885" s="209"/>
    </row>
    <row r="886" ht="15.75" customHeight="1">
      <c r="A886" s="209"/>
      <c r="B886" s="209"/>
      <c r="C886" s="210"/>
      <c r="D886" s="211"/>
      <c r="E886" s="209"/>
      <c r="F886" s="209"/>
      <c r="G886" s="209"/>
      <c r="H886" s="209"/>
      <c r="I886" s="209"/>
      <c r="J886" s="209"/>
      <c r="K886" s="209"/>
      <c r="L886" s="209"/>
      <c r="M886" s="209"/>
    </row>
    <row r="887" ht="15.75" customHeight="1">
      <c r="A887" s="209"/>
      <c r="B887" s="209"/>
      <c r="C887" s="210"/>
      <c r="D887" s="211"/>
      <c r="E887" s="209"/>
      <c r="F887" s="209"/>
      <c r="G887" s="209"/>
      <c r="H887" s="209"/>
      <c r="I887" s="209"/>
      <c r="J887" s="209"/>
      <c r="K887" s="209"/>
      <c r="L887" s="209"/>
      <c r="M887" s="209"/>
    </row>
    <row r="888" ht="15.75" customHeight="1">
      <c r="A888" s="209"/>
      <c r="B888" s="209"/>
      <c r="C888" s="210"/>
      <c r="D888" s="211"/>
      <c r="E888" s="209"/>
      <c r="F888" s="209"/>
      <c r="G888" s="209"/>
      <c r="H888" s="209"/>
      <c r="I888" s="209"/>
      <c r="J888" s="209"/>
      <c r="K888" s="209"/>
      <c r="L888" s="209"/>
      <c r="M888" s="209"/>
    </row>
    <row r="889" ht="15.75" customHeight="1">
      <c r="A889" s="209"/>
      <c r="B889" s="209"/>
      <c r="C889" s="210"/>
      <c r="D889" s="211"/>
      <c r="E889" s="209"/>
      <c r="F889" s="209"/>
      <c r="G889" s="209"/>
      <c r="H889" s="209"/>
      <c r="I889" s="209"/>
      <c r="J889" s="209"/>
      <c r="K889" s="209"/>
      <c r="L889" s="209"/>
      <c r="M889" s="209"/>
    </row>
    <row r="890" ht="15.75" customHeight="1">
      <c r="A890" s="209"/>
      <c r="B890" s="209"/>
      <c r="C890" s="210"/>
      <c r="D890" s="211"/>
      <c r="E890" s="209"/>
      <c r="F890" s="209"/>
      <c r="G890" s="209"/>
      <c r="H890" s="209"/>
      <c r="I890" s="209"/>
      <c r="J890" s="209"/>
      <c r="K890" s="209"/>
      <c r="L890" s="209"/>
      <c r="M890" s="209"/>
    </row>
    <row r="891" ht="15.75" customHeight="1">
      <c r="A891" s="209"/>
      <c r="B891" s="209"/>
      <c r="C891" s="210"/>
      <c r="D891" s="211"/>
      <c r="E891" s="209"/>
      <c r="F891" s="209"/>
      <c r="G891" s="209"/>
      <c r="H891" s="209"/>
      <c r="I891" s="209"/>
      <c r="J891" s="209"/>
      <c r="K891" s="209"/>
      <c r="L891" s="209"/>
      <c r="M891" s="209"/>
    </row>
    <row r="892" ht="15.75" customHeight="1">
      <c r="A892" s="209"/>
      <c r="B892" s="209"/>
      <c r="C892" s="210"/>
      <c r="D892" s="211"/>
      <c r="E892" s="209"/>
      <c r="F892" s="209"/>
      <c r="G892" s="209"/>
      <c r="H892" s="209"/>
      <c r="I892" s="209"/>
      <c r="J892" s="209"/>
      <c r="K892" s="209"/>
      <c r="L892" s="209"/>
      <c r="M892" s="209"/>
    </row>
    <row r="893" ht="15.75" customHeight="1">
      <c r="A893" s="209"/>
      <c r="B893" s="209"/>
      <c r="C893" s="210"/>
      <c r="D893" s="211"/>
      <c r="E893" s="209"/>
      <c r="F893" s="209"/>
      <c r="G893" s="209"/>
      <c r="H893" s="209"/>
      <c r="I893" s="209"/>
      <c r="J893" s="209"/>
      <c r="K893" s="209"/>
      <c r="L893" s="209"/>
      <c r="M893" s="209"/>
    </row>
    <row r="894" ht="15.75" customHeight="1">
      <c r="A894" s="209"/>
      <c r="B894" s="209"/>
      <c r="C894" s="210"/>
      <c r="D894" s="211"/>
      <c r="E894" s="209"/>
      <c r="F894" s="209"/>
      <c r="G894" s="209"/>
      <c r="H894" s="209"/>
      <c r="I894" s="209"/>
      <c r="J894" s="209"/>
      <c r="K894" s="209"/>
      <c r="L894" s="209"/>
      <c r="M894" s="209"/>
    </row>
    <row r="895" ht="15.75" customHeight="1">
      <c r="A895" s="209"/>
      <c r="B895" s="209"/>
      <c r="C895" s="210"/>
      <c r="D895" s="211"/>
      <c r="E895" s="209"/>
      <c r="F895" s="209"/>
      <c r="G895" s="209"/>
      <c r="H895" s="209"/>
      <c r="I895" s="209"/>
      <c r="J895" s="209"/>
      <c r="K895" s="209"/>
      <c r="L895" s="209"/>
      <c r="M895" s="209"/>
    </row>
    <row r="896" ht="15.75" customHeight="1">
      <c r="A896" s="209"/>
      <c r="B896" s="209"/>
      <c r="C896" s="210"/>
      <c r="D896" s="211"/>
      <c r="E896" s="209"/>
      <c r="F896" s="209"/>
      <c r="G896" s="209"/>
      <c r="H896" s="209"/>
      <c r="I896" s="209"/>
      <c r="J896" s="209"/>
      <c r="K896" s="209"/>
      <c r="L896" s="209"/>
      <c r="M896" s="209"/>
    </row>
    <row r="897" ht="15.75" customHeight="1">
      <c r="A897" s="209"/>
      <c r="B897" s="209"/>
      <c r="C897" s="210"/>
      <c r="D897" s="211"/>
      <c r="E897" s="209"/>
      <c r="F897" s="209"/>
      <c r="G897" s="209"/>
      <c r="H897" s="209"/>
      <c r="I897" s="209"/>
      <c r="J897" s="209"/>
      <c r="K897" s="209"/>
      <c r="L897" s="209"/>
      <c r="M897" s="209"/>
    </row>
    <row r="898" ht="15.75" customHeight="1">
      <c r="A898" s="209"/>
      <c r="B898" s="209"/>
      <c r="C898" s="210"/>
      <c r="D898" s="211"/>
      <c r="E898" s="209"/>
      <c r="F898" s="209"/>
      <c r="G898" s="209"/>
      <c r="H898" s="209"/>
      <c r="I898" s="209"/>
      <c r="J898" s="209"/>
      <c r="K898" s="209"/>
      <c r="L898" s="209"/>
      <c r="M898" s="209"/>
    </row>
    <row r="899" ht="15.75" customHeight="1">
      <c r="A899" s="209"/>
      <c r="B899" s="209"/>
      <c r="C899" s="210"/>
      <c r="D899" s="211"/>
      <c r="E899" s="209"/>
      <c r="F899" s="209"/>
      <c r="G899" s="209"/>
      <c r="H899" s="209"/>
      <c r="I899" s="209"/>
      <c r="J899" s="209"/>
      <c r="K899" s="209"/>
      <c r="L899" s="209"/>
      <c r="M899" s="209"/>
    </row>
    <row r="900" ht="15.75" customHeight="1">
      <c r="A900" s="209"/>
      <c r="B900" s="209"/>
      <c r="C900" s="210"/>
      <c r="D900" s="211"/>
      <c r="E900" s="209"/>
      <c r="F900" s="209"/>
      <c r="G900" s="209"/>
      <c r="H900" s="209"/>
      <c r="I900" s="209"/>
      <c r="J900" s="209"/>
      <c r="K900" s="209"/>
      <c r="L900" s="209"/>
      <c r="M900" s="209"/>
    </row>
    <row r="901" ht="15.75" customHeight="1">
      <c r="A901" s="209"/>
      <c r="B901" s="209"/>
      <c r="C901" s="210"/>
      <c r="D901" s="211"/>
      <c r="E901" s="209"/>
      <c r="F901" s="209"/>
      <c r="G901" s="209"/>
      <c r="H901" s="209"/>
      <c r="I901" s="209"/>
      <c r="J901" s="209"/>
      <c r="K901" s="209"/>
      <c r="L901" s="209"/>
      <c r="M901" s="209"/>
    </row>
    <row r="902" ht="15.75" customHeight="1">
      <c r="A902" s="209"/>
      <c r="B902" s="209"/>
      <c r="C902" s="210"/>
      <c r="D902" s="211"/>
      <c r="E902" s="209"/>
      <c r="F902" s="209"/>
      <c r="G902" s="209"/>
      <c r="H902" s="209"/>
      <c r="I902" s="209"/>
      <c r="J902" s="209"/>
      <c r="K902" s="209"/>
      <c r="L902" s="209"/>
      <c r="M902" s="209"/>
    </row>
    <row r="903" ht="15.75" customHeight="1">
      <c r="A903" s="209"/>
      <c r="B903" s="209"/>
      <c r="C903" s="210"/>
      <c r="D903" s="211"/>
      <c r="E903" s="209"/>
      <c r="F903" s="209"/>
      <c r="G903" s="209"/>
      <c r="H903" s="209"/>
      <c r="I903" s="209"/>
      <c r="J903" s="209"/>
      <c r="K903" s="209"/>
      <c r="L903" s="209"/>
      <c r="M903" s="209"/>
    </row>
    <row r="904" ht="15.75" customHeight="1">
      <c r="A904" s="209"/>
      <c r="B904" s="209"/>
      <c r="C904" s="210"/>
      <c r="D904" s="211"/>
      <c r="E904" s="209"/>
      <c r="F904" s="209"/>
      <c r="G904" s="209"/>
      <c r="H904" s="209"/>
      <c r="I904" s="209"/>
      <c r="J904" s="209"/>
      <c r="K904" s="209"/>
      <c r="L904" s="209"/>
      <c r="M904" s="209"/>
    </row>
    <row r="905" ht="15.75" customHeight="1">
      <c r="A905" s="209"/>
      <c r="B905" s="209"/>
      <c r="C905" s="210"/>
      <c r="D905" s="211"/>
      <c r="E905" s="209"/>
      <c r="F905" s="209"/>
      <c r="G905" s="209"/>
      <c r="H905" s="209"/>
      <c r="I905" s="209"/>
      <c r="J905" s="209"/>
      <c r="K905" s="209"/>
      <c r="L905" s="209"/>
      <c r="M905" s="209"/>
    </row>
    <row r="906" ht="15.75" customHeight="1">
      <c r="A906" s="209"/>
      <c r="B906" s="209"/>
      <c r="C906" s="210"/>
      <c r="D906" s="211"/>
      <c r="E906" s="209"/>
      <c r="F906" s="209"/>
      <c r="G906" s="209"/>
      <c r="H906" s="209"/>
      <c r="I906" s="209"/>
      <c r="J906" s="209"/>
      <c r="K906" s="209"/>
      <c r="L906" s="209"/>
      <c r="M906" s="209"/>
    </row>
    <row r="907" ht="15.75" customHeight="1">
      <c r="A907" s="209"/>
      <c r="B907" s="209"/>
      <c r="C907" s="210"/>
      <c r="D907" s="211"/>
      <c r="E907" s="209"/>
      <c r="F907" s="209"/>
      <c r="G907" s="209"/>
      <c r="H907" s="209"/>
      <c r="I907" s="209"/>
      <c r="J907" s="209"/>
      <c r="K907" s="209"/>
      <c r="L907" s="209"/>
      <c r="M907" s="209"/>
    </row>
    <row r="908" ht="15.75" customHeight="1">
      <c r="A908" s="209"/>
      <c r="B908" s="209"/>
      <c r="C908" s="210"/>
      <c r="D908" s="211"/>
      <c r="E908" s="209"/>
      <c r="F908" s="209"/>
      <c r="G908" s="209"/>
      <c r="H908" s="209"/>
      <c r="I908" s="209"/>
      <c r="J908" s="209"/>
      <c r="K908" s="209"/>
      <c r="L908" s="209"/>
      <c r="M908" s="209"/>
    </row>
    <row r="909" ht="15.75" customHeight="1">
      <c r="A909" s="209"/>
      <c r="B909" s="209"/>
      <c r="C909" s="210"/>
      <c r="D909" s="211"/>
      <c r="E909" s="209"/>
      <c r="F909" s="209"/>
      <c r="G909" s="209"/>
      <c r="H909" s="209"/>
      <c r="I909" s="209"/>
      <c r="J909" s="209"/>
      <c r="K909" s="209"/>
      <c r="L909" s="209"/>
      <c r="M909" s="209"/>
    </row>
    <row r="910" ht="15.75" customHeight="1">
      <c r="A910" s="209"/>
      <c r="B910" s="209"/>
      <c r="C910" s="210"/>
      <c r="D910" s="211"/>
      <c r="E910" s="209"/>
      <c r="F910" s="209"/>
      <c r="G910" s="209"/>
      <c r="H910" s="209"/>
      <c r="I910" s="209"/>
      <c r="J910" s="209"/>
      <c r="K910" s="209"/>
      <c r="L910" s="209"/>
      <c r="M910" s="209"/>
    </row>
    <row r="911" ht="15.75" customHeight="1">
      <c r="A911" s="209"/>
      <c r="B911" s="209"/>
      <c r="C911" s="210"/>
      <c r="D911" s="211"/>
      <c r="E911" s="209"/>
      <c r="F911" s="209"/>
      <c r="G911" s="209"/>
      <c r="H911" s="209"/>
      <c r="I911" s="209"/>
      <c r="J911" s="209"/>
      <c r="K911" s="209"/>
      <c r="L911" s="209"/>
      <c r="M911" s="209"/>
    </row>
    <row r="912" ht="15.75" customHeight="1">
      <c r="A912" s="209"/>
      <c r="B912" s="209"/>
      <c r="C912" s="210"/>
      <c r="D912" s="211"/>
      <c r="E912" s="209"/>
      <c r="F912" s="209"/>
      <c r="G912" s="209"/>
      <c r="H912" s="209"/>
      <c r="I912" s="209"/>
      <c r="J912" s="209"/>
      <c r="K912" s="209"/>
      <c r="L912" s="209"/>
      <c r="M912" s="209"/>
    </row>
    <row r="913" ht="15.75" customHeight="1">
      <c r="A913" s="209"/>
      <c r="B913" s="209"/>
      <c r="C913" s="210"/>
      <c r="D913" s="211"/>
      <c r="E913" s="209"/>
      <c r="F913" s="209"/>
      <c r="G913" s="209"/>
      <c r="H913" s="209"/>
      <c r="I913" s="209"/>
      <c r="J913" s="209"/>
      <c r="K913" s="209"/>
      <c r="L913" s="209"/>
      <c r="M913" s="209"/>
    </row>
    <row r="914" ht="15.75" customHeight="1">
      <c r="A914" s="209"/>
      <c r="B914" s="209"/>
      <c r="C914" s="210"/>
      <c r="D914" s="211"/>
      <c r="E914" s="209"/>
      <c r="F914" s="209"/>
      <c r="G914" s="209"/>
      <c r="H914" s="209"/>
      <c r="I914" s="209"/>
      <c r="J914" s="209"/>
      <c r="K914" s="209"/>
      <c r="L914" s="209"/>
      <c r="M914" s="209"/>
    </row>
    <row r="915" ht="15.75" customHeight="1">
      <c r="A915" s="209"/>
      <c r="B915" s="209"/>
      <c r="C915" s="210"/>
      <c r="D915" s="211"/>
      <c r="E915" s="209"/>
      <c r="F915" s="209"/>
      <c r="G915" s="209"/>
      <c r="H915" s="209"/>
      <c r="I915" s="209"/>
      <c r="J915" s="209"/>
      <c r="K915" s="209"/>
      <c r="L915" s="209"/>
      <c r="M915" s="209"/>
    </row>
    <row r="916" ht="15.75" customHeight="1">
      <c r="A916" s="209"/>
      <c r="B916" s="209"/>
      <c r="C916" s="210"/>
      <c r="D916" s="211"/>
      <c r="E916" s="209"/>
      <c r="F916" s="209"/>
      <c r="G916" s="209"/>
      <c r="H916" s="209"/>
      <c r="I916" s="209"/>
      <c r="J916" s="209"/>
      <c r="K916" s="209"/>
      <c r="L916" s="209"/>
      <c r="M916" s="209"/>
    </row>
    <row r="917" ht="15.75" customHeight="1">
      <c r="A917" s="209"/>
      <c r="B917" s="209"/>
      <c r="C917" s="210"/>
      <c r="D917" s="211"/>
      <c r="E917" s="209"/>
      <c r="F917" s="209"/>
      <c r="G917" s="209"/>
      <c r="H917" s="209"/>
      <c r="I917" s="209"/>
      <c r="J917" s="209"/>
      <c r="K917" s="209"/>
      <c r="L917" s="209"/>
      <c r="M917" s="209"/>
    </row>
    <row r="918" ht="15.75" customHeight="1">
      <c r="A918" s="209"/>
      <c r="B918" s="209"/>
      <c r="C918" s="210"/>
      <c r="D918" s="211"/>
      <c r="E918" s="209"/>
      <c r="F918" s="209"/>
      <c r="G918" s="209"/>
      <c r="H918" s="209"/>
      <c r="I918" s="209"/>
      <c r="J918" s="209"/>
      <c r="K918" s="209"/>
      <c r="L918" s="209"/>
      <c r="M918" s="209"/>
    </row>
    <row r="919" ht="15.75" customHeight="1">
      <c r="A919" s="209"/>
      <c r="B919" s="209"/>
      <c r="C919" s="210"/>
      <c r="D919" s="211"/>
      <c r="E919" s="209"/>
      <c r="F919" s="209"/>
      <c r="G919" s="209"/>
      <c r="H919" s="209"/>
      <c r="I919" s="209"/>
      <c r="J919" s="209"/>
      <c r="K919" s="209"/>
      <c r="L919" s="209"/>
      <c r="M919" s="209"/>
    </row>
    <row r="920" ht="15.75" customHeight="1">
      <c r="A920" s="209"/>
      <c r="B920" s="209"/>
      <c r="C920" s="210"/>
      <c r="D920" s="211"/>
      <c r="E920" s="209"/>
      <c r="F920" s="209"/>
      <c r="G920" s="209"/>
      <c r="H920" s="209"/>
      <c r="I920" s="209"/>
      <c r="J920" s="209"/>
      <c r="K920" s="209"/>
      <c r="L920" s="209"/>
      <c r="M920" s="209"/>
    </row>
    <row r="921" ht="15.75" customHeight="1">
      <c r="A921" s="209"/>
      <c r="B921" s="209"/>
      <c r="C921" s="210"/>
      <c r="D921" s="211"/>
      <c r="E921" s="209"/>
      <c r="F921" s="209"/>
      <c r="G921" s="209"/>
      <c r="H921" s="209"/>
      <c r="I921" s="209"/>
      <c r="J921" s="209"/>
      <c r="K921" s="209"/>
      <c r="L921" s="209"/>
      <c r="M921" s="209"/>
    </row>
    <row r="922" ht="15.75" customHeight="1">
      <c r="A922" s="209"/>
      <c r="B922" s="209"/>
      <c r="C922" s="210"/>
      <c r="D922" s="211"/>
      <c r="E922" s="209"/>
      <c r="F922" s="209"/>
      <c r="G922" s="209"/>
      <c r="H922" s="209"/>
      <c r="I922" s="209"/>
      <c r="J922" s="209"/>
      <c r="K922" s="209"/>
      <c r="L922" s="209"/>
      <c r="M922" s="209"/>
    </row>
    <row r="923" ht="15.75" customHeight="1">
      <c r="A923" s="209"/>
      <c r="B923" s="209"/>
      <c r="C923" s="210"/>
      <c r="D923" s="211"/>
      <c r="E923" s="209"/>
      <c r="F923" s="209"/>
      <c r="G923" s="209"/>
      <c r="H923" s="209"/>
      <c r="I923" s="209"/>
      <c r="J923" s="209"/>
      <c r="K923" s="209"/>
      <c r="L923" s="209"/>
      <c r="M923" s="209"/>
    </row>
    <row r="924" ht="15.75" customHeight="1">
      <c r="A924" s="209"/>
      <c r="B924" s="209"/>
      <c r="C924" s="210"/>
      <c r="D924" s="211"/>
      <c r="E924" s="209"/>
      <c r="F924" s="209"/>
      <c r="G924" s="209"/>
      <c r="H924" s="209"/>
      <c r="I924" s="209"/>
      <c r="J924" s="209"/>
      <c r="K924" s="209"/>
      <c r="L924" s="209"/>
      <c r="M924" s="209"/>
    </row>
    <row r="925" ht="15.75" customHeight="1">
      <c r="A925" s="209"/>
      <c r="B925" s="209"/>
      <c r="C925" s="210"/>
      <c r="D925" s="211"/>
      <c r="E925" s="209"/>
      <c r="F925" s="209"/>
      <c r="G925" s="209"/>
      <c r="H925" s="209"/>
      <c r="I925" s="209"/>
      <c r="J925" s="209"/>
      <c r="K925" s="209"/>
      <c r="L925" s="209"/>
      <c r="M925" s="209"/>
    </row>
    <row r="926" ht="15.75" customHeight="1">
      <c r="A926" s="209"/>
      <c r="B926" s="209"/>
      <c r="C926" s="210"/>
      <c r="D926" s="211"/>
      <c r="E926" s="209"/>
      <c r="F926" s="209"/>
      <c r="G926" s="209"/>
      <c r="H926" s="209"/>
      <c r="I926" s="209"/>
      <c r="J926" s="209"/>
      <c r="K926" s="209"/>
      <c r="L926" s="209"/>
      <c r="M926" s="209"/>
    </row>
    <row r="927" ht="15.75" customHeight="1">
      <c r="A927" s="209"/>
      <c r="B927" s="209"/>
      <c r="C927" s="210"/>
      <c r="D927" s="211"/>
      <c r="E927" s="209"/>
      <c r="F927" s="209"/>
      <c r="G927" s="209"/>
      <c r="H927" s="209"/>
      <c r="I927" s="209"/>
      <c r="J927" s="209"/>
      <c r="K927" s="209"/>
      <c r="L927" s="209"/>
      <c r="M927" s="209"/>
    </row>
    <row r="928" ht="15.75" customHeight="1">
      <c r="A928" s="209"/>
      <c r="B928" s="209"/>
      <c r="C928" s="210"/>
      <c r="D928" s="211"/>
      <c r="E928" s="209"/>
      <c r="F928" s="209"/>
      <c r="G928" s="209"/>
      <c r="H928" s="209"/>
      <c r="I928" s="209"/>
      <c r="J928" s="209"/>
      <c r="K928" s="209"/>
      <c r="L928" s="209"/>
      <c r="M928" s="209"/>
    </row>
    <row r="929" ht="15.75" customHeight="1">
      <c r="A929" s="209"/>
      <c r="B929" s="209"/>
      <c r="C929" s="210"/>
      <c r="D929" s="211"/>
      <c r="E929" s="209"/>
      <c r="F929" s="209"/>
      <c r="G929" s="209"/>
      <c r="H929" s="209"/>
      <c r="I929" s="209"/>
      <c r="J929" s="209"/>
      <c r="K929" s="209"/>
      <c r="L929" s="209"/>
      <c r="M929" s="209"/>
    </row>
    <row r="930" ht="15.75" customHeight="1">
      <c r="A930" s="209"/>
      <c r="B930" s="209"/>
      <c r="C930" s="210"/>
      <c r="D930" s="211"/>
      <c r="E930" s="209"/>
      <c r="F930" s="209"/>
      <c r="G930" s="209"/>
      <c r="H930" s="209"/>
      <c r="I930" s="209"/>
      <c r="J930" s="209"/>
      <c r="K930" s="209"/>
      <c r="L930" s="209"/>
      <c r="M930" s="209"/>
    </row>
    <row r="931" ht="15.75" customHeight="1">
      <c r="A931" s="209"/>
      <c r="B931" s="209"/>
      <c r="C931" s="210"/>
      <c r="D931" s="211"/>
      <c r="E931" s="209"/>
      <c r="F931" s="209"/>
      <c r="G931" s="209"/>
      <c r="H931" s="209"/>
      <c r="I931" s="209"/>
      <c r="J931" s="209"/>
      <c r="K931" s="209"/>
      <c r="L931" s="209"/>
      <c r="M931" s="209"/>
    </row>
    <row r="932" ht="15.75" customHeight="1">
      <c r="A932" s="209"/>
      <c r="B932" s="209"/>
      <c r="C932" s="210"/>
      <c r="D932" s="211"/>
      <c r="E932" s="209"/>
      <c r="F932" s="209"/>
      <c r="G932" s="209"/>
      <c r="H932" s="209"/>
      <c r="I932" s="209"/>
      <c r="J932" s="209"/>
      <c r="K932" s="209"/>
      <c r="L932" s="209"/>
      <c r="M932" s="209"/>
    </row>
    <row r="933" ht="15.75" customHeight="1">
      <c r="A933" s="209"/>
      <c r="B933" s="209"/>
      <c r="C933" s="210"/>
      <c r="D933" s="211"/>
      <c r="E933" s="209"/>
      <c r="F933" s="209"/>
      <c r="G933" s="209"/>
      <c r="H933" s="209"/>
      <c r="I933" s="209"/>
      <c r="J933" s="209"/>
      <c r="K933" s="209"/>
      <c r="L933" s="209"/>
      <c r="M933" s="209"/>
    </row>
    <row r="934" ht="15.75" customHeight="1">
      <c r="A934" s="209"/>
      <c r="B934" s="209"/>
      <c r="C934" s="210"/>
      <c r="D934" s="211"/>
      <c r="E934" s="209"/>
      <c r="F934" s="209"/>
      <c r="G934" s="209"/>
      <c r="H934" s="209"/>
      <c r="I934" s="209"/>
      <c r="J934" s="209"/>
      <c r="K934" s="209"/>
      <c r="L934" s="209"/>
      <c r="M934" s="209"/>
    </row>
    <row r="935" ht="15.75" customHeight="1">
      <c r="A935" s="209"/>
      <c r="B935" s="209"/>
      <c r="C935" s="210"/>
      <c r="D935" s="211"/>
      <c r="E935" s="209"/>
      <c r="F935" s="209"/>
      <c r="G935" s="209"/>
      <c r="H935" s="209"/>
      <c r="I935" s="209"/>
      <c r="J935" s="209"/>
      <c r="K935" s="209"/>
      <c r="L935" s="209"/>
      <c r="M935" s="209"/>
    </row>
    <row r="936" ht="15.75" customHeight="1">
      <c r="A936" s="209"/>
      <c r="B936" s="209"/>
      <c r="C936" s="210"/>
      <c r="D936" s="211"/>
      <c r="E936" s="209"/>
      <c r="F936" s="209"/>
      <c r="G936" s="209"/>
      <c r="H936" s="209"/>
      <c r="I936" s="209"/>
      <c r="J936" s="209"/>
      <c r="K936" s="209"/>
      <c r="L936" s="209"/>
      <c r="M936" s="209"/>
    </row>
    <row r="937" ht="15.75" customHeight="1">
      <c r="A937" s="209"/>
      <c r="B937" s="209"/>
      <c r="C937" s="210"/>
      <c r="D937" s="211"/>
      <c r="E937" s="209"/>
      <c r="F937" s="209"/>
      <c r="G937" s="209"/>
      <c r="H937" s="209"/>
      <c r="I937" s="209"/>
      <c r="J937" s="209"/>
      <c r="K937" s="209"/>
      <c r="L937" s="209"/>
      <c r="M937" s="209"/>
    </row>
    <row r="938" ht="15.75" customHeight="1">
      <c r="A938" s="209"/>
      <c r="B938" s="209"/>
      <c r="C938" s="210"/>
      <c r="D938" s="211"/>
      <c r="E938" s="209"/>
      <c r="F938" s="209"/>
      <c r="G938" s="209"/>
      <c r="H938" s="209"/>
      <c r="I938" s="209"/>
      <c r="J938" s="209"/>
      <c r="K938" s="209"/>
      <c r="L938" s="209"/>
      <c r="M938" s="209"/>
    </row>
    <row r="939" ht="15.75" customHeight="1">
      <c r="A939" s="209"/>
      <c r="B939" s="209"/>
      <c r="C939" s="210"/>
      <c r="D939" s="211"/>
      <c r="E939" s="209"/>
      <c r="F939" s="209"/>
      <c r="G939" s="209"/>
      <c r="H939" s="209"/>
      <c r="I939" s="209"/>
      <c r="J939" s="209"/>
      <c r="K939" s="209"/>
      <c r="L939" s="209"/>
      <c r="M939" s="209"/>
    </row>
    <row r="940" ht="15.75" customHeight="1">
      <c r="A940" s="209"/>
      <c r="B940" s="209"/>
      <c r="C940" s="210"/>
      <c r="D940" s="211"/>
      <c r="E940" s="209"/>
      <c r="F940" s="209"/>
      <c r="G940" s="209"/>
      <c r="H940" s="209"/>
      <c r="I940" s="209"/>
      <c r="J940" s="209"/>
      <c r="K940" s="209"/>
      <c r="L940" s="209"/>
      <c r="M940" s="209"/>
    </row>
    <row r="941" ht="15.75" customHeight="1">
      <c r="A941" s="209"/>
      <c r="B941" s="209"/>
      <c r="C941" s="210"/>
      <c r="D941" s="211"/>
      <c r="E941" s="209"/>
      <c r="F941" s="209"/>
      <c r="G941" s="209"/>
      <c r="H941" s="209"/>
      <c r="I941" s="209"/>
      <c r="J941" s="209"/>
      <c r="K941" s="209"/>
      <c r="L941" s="209"/>
      <c r="M941" s="209"/>
    </row>
    <row r="942" ht="15.75" customHeight="1">
      <c r="A942" s="209"/>
      <c r="B942" s="209"/>
      <c r="C942" s="210"/>
      <c r="D942" s="211"/>
      <c r="E942" s="209"/>
      <c r="F942" s="209"/>
      <c r="G942" s="209"/>
      <c r="H942" s="209"/>
      <c r="I942" s="209"/>
      <c r="J942" s="209"/>
      <c r="K942" s="209"/>
      <c r="L942" s="209"/>
      <c r="M942" s="209"/>
    </row>
    <row r="943" ht="15.75" customHeight="1">
      <c r="A943" s="209"/>
      <c r="B943" s="209"/>
      <c r="C943" s="210"/>
      <c r="D943" s="211"/>
      <c r="E943" s="209"/>
      <c r="F943" s="209"/>
      <c r="G943" s="209"/>
      <c r="H943" s="209"/>
      <c r="I943" s="209"/>
      <c r="J943" s="209"/>
      <c r="K943" s="209"/>
      <c r="L943" s="209"/>
      <c r="M943" s="209"/>
    </row>
    <row r="944" ht="15.75" customHeight="1">
      <c r="A944" s="209"/>
      <c r="B944" s="209"/>
      <c r="C944" s="210"/>
      <c r="D944" s="211"/>
      <c r="E944" s="209"/>
      <c r="F944" s="209"/>
      <c r="G944" s="209"/>
      <c r="H944" s="209"/>
      <c r="I944" s="209"/>
      <c r="J944" s="209"/>
      <c r="K944" s="209"/>
      <c r="L944" s="209"/>
      <c r="M944" s="209"/>
    </row>
    <row r="945" ht="15.75" customHeight="1">
      <c r="A945" s="209"/>
      <c r="B945" s="209"/>
      <c r="C945" s="210"/>
      <c r="D945" s="211"/>
      <c r="E945" s="209"/>
      <c r="F945" s="209"/>
      <c r="G945" s="209"/>
      <c r="H945" s="209"/>
      <c r="I945" s="209"/>
      <c r="J945" s="209"/>
      <c r="K945" s="209"/>
      <c r="L945" s="209"/>
      <c r="M945" s="209"/>
    </row>
    <row r="946" ht="15.75" customHeight="1">
      <c r="A946" s="209"/>
      <c r="B946" s="209"/>
      <c r="C946" s="210"/>
      <c r="D946" s="211"/>
      <c r="E946" s="209"/>
      <c r="F946" s="209"/>
      <c r="G946" s="209"/>
      <c r="H946" s="209"/>
      <c r="I946" s="209"/>
      <c r="J946" s="209"/>
      <c r="K946" s="209"/>
      <c r="L946" s="209"/>
      <c r="M946" s="209"/>
    </row>
    <row r="947" ht="15.75" customHeight="1">
      <c r="A947" s="209"/>
      <c r="B947" s="209"/>
      <c r="C947" s="210"/>
      <c r="D947" s="211"/>
      <c r="E947" s="209"/>
      <c r="F947" s="209"/>
      <c r="G947" s="209"/>
      <c r="H947" s="209"/>
      <c r="I947" s="209"/>
      <c r="J947" s="209"/>
      <c r="K947" s="209"/>
      <c r="L947" s="209"/>
      <c r="M947" s="209"/>
    </row>
    <row r="948" ht="15.75" customHeight="1">
      <c r="A948" s="209"/>
      <c r="B948" s="209"/>
      <c r="C948" s="210"/>
      <c r="D948" s="211"/>
      <c r="E948" s="209"/>
      <c r="F948" s="209"/>
      <c r="G948" s="209"/>
      <c r="H948" s="209"/>
      <c r="I948" s="209"/>
      <c r="J948" s="209"/>
      <c r="K948" s="209"/>
      <c r="L948" s="209"/>
      <c r="M948" s="209"/>
    </row>
    <row r="949" ht="15.75" customHeight="1">
      <c r="A949" s="209"/>
      <c r="B949" s="209"/>
      <c r="C949" s="210"/>
      <c r="D949" s="211"/>
      <c r="E949" s="209"/>
      <c r="F949" s="209"/>
      <c r="G949" s="209"/>
      <c r="H949" s="209"/>
      <c r="I949" s="209"/>
      <c r="J949" s="209"/>
      <c r="K949" s="209"/>
      <c r="L949" s="209"/>
      <c r="M949" s="209"/>
    </row>
    <row r="950" ht="15.75" customHeight="1">
      <c r="A950" s="209"/>
      <c r="B950" s="209"/>
      <c r="C950" s="210"/>
      <c r="D950" s="211"/>
      <c r="E950" s="209"/>
      <c r="F950" s="209"/>
      <c r="G950" s="209"/>
      <c r="H950" s="209"/>
      <c r="I950" s="209"/>
      <c r="J950" s="209"/>
      <c r="K950" s="209"/>
      <c r="L950" s="209"/>
      <c r="M950" s="209"/>
    </row>
    <row r="951" ht="15.75" customHeight="1">
      <c r="A951" s="209"/>
      <c r="B951" s="209"/>
      <c r="C951" s="210"/>
      <c r="D951" s="211"/>
      <c r="E951" s="209"/>
      <c r="F951" s="209"/>
      <c r="G951" s="209"/>
      <c r="H951" s="209"/>
      <c r="I951" s="209"/>
      <c r="J951" s="209"/>
      <c r="K951" s="209"/>
      <c r="L951" s="209"/>
      <c r="M951" s="209"/>
    </row>
    <row r="952" ht="15.75" customHeight="1">
      <c r="A952" s="209"/>
      <c r="B952" s="209"/>
      <c r="C952" s="210"/>
      <c r="D952" s="211"/>
      <c r="E952" s="209"/>
      <c r="F952" s="209"/>
      <c r="G952" s="209"/>
      <c r="H952" s="209"/>
      <c r="I952" s="209"/>
      <c r="J952" s="209"/>
      <c r="K952" s="209"/>
      <c r="L952" s="209"/>
      <c r="M952" s="209"/>
    </row>
    <row r="953" ht="15.75" customHeight="1">
      <c r="A953" s="209"/>
      <c r="B953" s="209"/>
      <c r="C953" s="210"/>
      <c r="D953" s="211"/>
      <c r="E953" s="209"/>
      <c r="F953" s="209"/>
      <c r="G953" s="209"/>
      <c r="H953" s="209"/>
      <c r="I953" s="209"/>
      <c r="J953" s="209"/>
      <c r="K953" s="209"/>
      <c r="L953" s="209"/>
      <c r="M953" s="209"/>
    </row>
    <row r="954" ht="15.75" customHeight="1">
      <c r="A954" s="209"/>
      <c r="B954" s="209"/>
      <c r="C954" s="210"/>
      <c r="D954" s="211"/>
      <c r="E954" s="209"/>
      <c r="F954" s="209"/>
      <c r="G954" s="209"/>
      <c r="H954" s="209"/>
      <c r="I954" s="209"/>
      <c r="J954" s="209"/>
      <c r="K954" s="209"/>
      <c r="L954" s="209"/>
      <c r="M954" s="209"/>
    </row>
    <row r="955" ht="15.75" customHeight="1">
      <c r="A955" s="209"/>
      <c r="B955" s="209"/>
      <c r="C955" s="210"/>
      <c r="D955" s="211"/>
      <c r="E955" s="209"/>
      <c r="F955" s="209"/>
      <c r="G955" s="209"/>
      <c r="H955" s="209"/>
      <c r="I955" s="209"/>
      <c r="J955" s="209"/>
      <c r="K955" s="209"/>
      <c r="L955" s="209"/>
      <c r="M955" s="209"/>
    </row>
    <row r="956" ht="15.75" customHeight="1">
      <c r="A956" s="209"/>
      <c r="B956" s="209"/>
      <c r="C956" s="210"/>
      <c r="D956" s="211"/>
      <c r="E956" s="209"/>
      <c r="F956" s="209"/>
      <c r="G956" s="209"/>
      <c r="H956" s="209"/>
      <c r="I956" s="209"/>
      <c r="J956" s="209"/>
      <c r="K956" s="209"/>
      <c r="L956" s="209"/>
      <c r="M956" s="209"/>
    </row>
    <row r="957" ht="15.75" customHeight="1">
      <c r="A957" s="209"/>
      <c r="B957" s="209"/>
      <c r="C957" s="210"/>
      <c r="D957" s="211"/>
      <c r="E957" s="209"/>
      <c r="F957" s="209"/>
      <c r="G957" s="209"/>
      <c r="H957" s="209"/>
      <c r="I957" s="209"/>
      <c r="J957" s="209"/>
      <c r="K957" s="209"/>
      <c r="L957" s="209"/>
      <c r="M957" s="209"/>
    </row>
    <row r="958" ht="15.75" customHeight="1">
      <c r="A958" s="209"/>
      <c r="B958" s="209"/>
      <c r="C958" s="210"/>
      <c r="D958" s="211"/>
      <c r="E958" s="209"/>
      <c r="F958" s="209"/>
      <c r="G958" s="209"/>
      <c r="H958" s="209"/>
      <c r="I958" s="209"/>
      <c r="J958" s="209"/>
      <c r="K958" s="209"/>
      <c r="L958" s="209"/>
      <c r="M958" s="209"/>
    </row>
    <row r="959" ht="15.75" customHeight="1">
      <c r="A959" s="209"/>
      <c r="B959" s="209"/>
      <c r="C959" s="210"/>
      <c r="D959" s="211"/>
      <c r="E959" s="209"/>
      <c r="F959" s="209"/>
      <c r="G959" s="209"/>
      <c r="H959" s="209"/>
      <c r="I959" s="209"/>
      <c r="J959" s="209"/>
      <c r="K959" s="209"/>
      <c r="L959" s="209"/>
      <c r="M959" s="209"/>
    </row>
    <row r="960" ht="15.75" customHeight="1">
      <c r="A960" s="209"/>
      <c r="B960" s="209"/>
      <c r="C960" s="210"/>
      <c r="D960" s="211"/>
      <c r="E960" s="209"/>
      <c r="F960" s="209"/>
      <c r="G960" s="209"/>
      <c r="H960" s="209"/>
      <c r="I960" s="209"/>
      <c r="J960" s="209"/>
      <c r="K960" s="209"/>
      <c r="L960" s="209"/>
      <c r="M960" s="209"/>
    </row>
    <row r="961" ht="15.75" customHeight="1">
      <c r="A961" s="209"/>
      <c r="B961" s="209"/>
      <c r="C961" s="210"/>
      <c r="D961" s="211"/>
      <c r="E961" s="209"/>
      <c r="F961" s="209"/>
      <c r="G961" s="209"/>
      <c r="H961" s="209"/>
      <c r="I961" s="209"/>
      <c r="J961" s="209"/>
      <c r="K961" s="209"/>
      <c r="L961" s="209"/>
      <c r="M961" s="209"/>
    </row>
    <row r="962" ht="15.75" customHeight="1">
      <c r="A962" s="209"/>
      <c r="B962" s="209"/>
      <c r="C962" s="210"/>
      <c r="D962" s="211"/>
      <c r="E962" s="209"/>
      <c r="F962" s="209"/>
      <c r="G962" s="209"/>
      <c r="H962" s="209"/>
      <c r="I962" s="209"/>
      <c r="J962" s="209"/>
      <c r="K962" s="209"/>
      <c r="L962" s="209"/>
      <c r="M962" s="209"/>
    </row>
    <row r="963" ht="15.75" customHeight="1">
      <c r="A963" s="209"/>
      <c r="B963" s="209"/>
      <c r="C963" s="210"/>
      <c r="D963" s="211"/>
      <c r="E963" s="209"/>
      <c r="F963" s="209"/>
      <c r="G963" s="209"/>
      <c r="H963" s="209"/>
      <c r="I963" s="209"/>
      <c r="J963" s="209"/>
      <c r="K963" s="209"/>
      <c r="L963" s="209"/>
      <c r="M963" s="209"/>
    </row>
    <row r="964" ht="15.75" customHeight="1">
      <c r="A964" s="209"/>
      <c r="B964" s="209"/>
      <c r="C964" s="210"/>
      <c r="D964" s="211"/>
      <c r="E964" s="209"/>
      <c r="F964" s="209"/>
      <c r="G964" s="209"/>
      <c r="H964" s="209"/>
      <c r="I964" s="209"/>
      <c r="J964" s="209"/>
      <c r="K964" s="209"/>
      <c r="L964" s="209"/>
      <c r="M964" s="209"/>
    </row>
    <row r="965" ht="15.75" customHeight="1">
      <c r="A965" s="209"/>
      <c r="B965" s="209"/>
      <c r="C965" s="210"/>
      <c r="D965" s="211"/>
      <c r="E965" s="209"/>
      <c r="F965" s="209"/>
      <c r="G965" s="209"/>
      <c r="H965" s="209"/>
      <c r="I965" s="209"/>
      <c r="J965" s="209"/>
      <c r="K965" s="209"/>
      <c r="L965" s="209"/>
      <c r="M965" s="209"/>
    </row>
    <row r="966" ht="15.75" customHeight="1">
      <c r="A966" s="209"/>
      <c r="B966" s="209"/>
      <c r="C966" s="210"/>
      <c r="D966" s="211"/>
      <c r="E966" s="209"/>
      <c r="F966" s="209"/>
      <c r="G966" s="209"/>
      <c r="H966" s="209"/>
      <c r="I966" s="209"/>
      <c r="J966" s="209"/>
      <c r="K966" s="209"/>
      <c r="L966" s="209"/>
      <c r="M966" s="209"/>
    </row>
    <row r="967" ht="15.75" customHeight="1">
      <c r="A967" s="209"/>
      <c r="B967" s="209"/>
      <c r="C967" s="210"/>
      <c r="D967" s="211"/>
      <c r="E967" s="209"/>
      <c r="F967" s="209"/>
      <c r="G967" s="209"/>
      <c r="H967" s="209"/>
      <c r="I967" s="209"/>
      <c r="J967" s="209"/>
      <c r="K967" s="209"/>
      <c r="L967" s="209"/>
      <c r="M967" s="209"/>
    </row>
    <row r="968" ht="15.75" customHeight="1">
      <c r="A968" s="209"/>
      <c r="B968" s="209"/>
      <c r="C968" s="210"/>
      <c r="D968" s="211"/>
      <c r="E968" s="209"/>
      <c r="F968" s="209"/>
      <c r="G968" s="209"/>
      <c r="H968" s="209"/>
      <c r="I968" s="209"/>
      <c r="J968" s="209"/>
      <c r="K968" s="209"/>
      <c r="L968" s="209"/>
      <c r="M968" s="209"/>
    </row>
    <row r="969" ht="15.75" customHeight="1">
      <c r="A969" s="209"/>
      <c r="B969" s="209"/>
      <c r="C969" s="210"/>
      <c r="D969" s="211"/>
      <c r="E969" s="209"/>
      <c r="F969" s="209"/>
      <c r="G969" s="209"/>
      <c r="H969" s="209"/>
      <c r="I969" s="209"/>
      <c r="J969" s="209"/>
      <c r="K969" s="209"/>
      <c r="L969" s="209"/>
      <c r="M969" s="209"/>
    </row>
    <row r="970" ht="15.75" customHeight="1">
      <c r="A970" s="209"/>
      <c r="B970" s="209"/>
      <c r="C970" s="210"/>
      <c r="D970" s="211"/>
      <c r="E970" s="209"/>
      <c r="F970" s="209"/>
      <c r="G970" s="209"/>
      <c r="H970" s="209"/>
      <c r="I970" s="209"/>
      <c r="J970" s="209"/>
      <c r="K970" s="209"/>
      <c r="L970" s="209"/>
      <c r="M970" s="209"/>
    </row>
    <row r="971" ht="15.75" customHeight="1">
      <c r="A971" s="209"/>
      <c r="B971" s="209"/>
      <c r="C971" s="210"/>
      <c r="D971" s="211"/>
      <c r="E971" s="209"/>
      <c r="F971" s="209"/>
      <c r="G971" s="209"/>
      <c r="H971" s="209"/>
      <c r="I971" s="209"/>
      <c r="J971" s="209"/>
      <c r="K971" s="209"/>
      <c r="L971" s="209"/>
      <c r="M971" s="209"/>
    </row>
    <row r="972" ht="15.75" customHeight="1">
      <c r="A972" s="209"/>
      <c r="B972" s="209"/>
      <c r="C972" s="210"/>
      <c r="D972" s="211"/>
      <c r="E972" s="209"/>
      <c r="F972" s="209"/>
      <c r="G972" s="209"/>
      <c r="H972" s="209"/>
      <c r="I972" s="209"/>
      <c r="J972" s="209"/>
      <c r="K972" s="209"/>
      <c r="L972" s="209"/>
      <c r="M972" s="209"/>
    </row>
    <row r="973" ht="15.75" customHeight="1">
      <c r="A973" s="209"/>
      <c r="B973" s="209"/>
      <c r="C973" s="210"/>
      <c r="D973" s="211"/>
      <c r="E973" s="209"/>
      <c r="F973" s="209"/>
      <c r="G973" s="209"/>
      <c r="H973" s="209"/>
      <c r="I973" s="209"/>
      <c r="J973" s="209"/>
      <c r="K973" s="209"/>
      <c r="L973" s="209"/>
      <c r="M973" s="209"/>
    </row>
    <row r="974" ht="15.75" customHeight="1">
      <c r="A974" s="209"/>
      <c r="B974" s="209"/>
      <c r="C974" s="210"/>
      <c r="D974" s="211"/>
      <c r="E974" s="209"/>
      <c r="F974" s="209"/>
      <c r="G974" s="209"/>
      <c r="H974" s="209"/>
      <c r="I974" s="209"/>
      <c r="J974" s="209"/>
      <c r="K974" s="209"/>
      <c r="L974" s="209"/>
      <c r="M974" s="209"/>
    </row>
    <row r="975" ht="15.75" customHeight="1">
      <c r="A975" s="209"/>
      <c r="B975" s="209"/>
      <c r="C975" s="210"/>
      <c r="D975" s="211"/>
      <c r="E975" s="209"/>
      <c r="F975" s="209"/>
      <c r="G975" s="209"/>
      <c r="H975" s="209"/>
      <c r="I975" s="209"/>
      <c r="J975" s="209"/>
      <c r="K975" s="209"/>
      <c r="L975" s="209"/>
      <c r="M975" s="209"/>
    </row>
    <row r="976" ht="15.75" customHeight="1">
      <c r="A976" s="209"/>
      <c r="B976" s="209"/>
      <c r="C976" s="210"/>
      <c r="D976" s="211"/>
      <c r="E976" s="209"/>
      <c r="F976" s="209"/>
      <c r="G976" s="209"/>
      <c r="H976" s="209"/>
      <c r="I976" s="209"/>
      <c r="J976" s="209"/>
      <c r="K976" s="209"/>
      <c r="L976" s="209"/>
      <c r="M976" s="209"/>
    </row>
    <row r="977" ht="15.75" customHeight="1">
      <c r="A977" s="209"/>
      <c r="B977" s="209"/>
      <c r="C977" s="210"/>
      <c r="D977" s="211"/>
      <c r="E977" s="209"/>
      <c r="F977" s="209"/>
      <c r="G977" s="209"/>
      <c r="H977" s="209"/>
      <c r="I977" s="209"/>
      <c r="J977" s="209"/>
      <c r="K977" s="209"/>
      <c r="L977" s="209"/>
      <c r="M977" s="209"/>
    </row>
    <row r="978" ht="15.75" customHeight="1">
      <c r="A978" s="209"/>
      <c r="B978" s="209"/>
      <c r="C978" s="210"/>
      <c r="D978" s="211"/>
      <c r="E978" s="209"/>
      <c r="F978" s="209"/>
      <c r="G978" s="209"/>
      <c r="H978" s="209"/>
      <c r="I978" s="209"/>
      <c r="J978" s="209"/>
      <c r="K978" s="209"/>
      <c r="L978" s="209"/>
      <c r="M978" s="209"/>
    </row>
    <row r="979" ht="15.75" customHeight="1">
      <c r="A979" s="209"/>
      <c r="B979" s="209"/>
      <c r="C979" s="210"/>
      <c r="D979" s="211"/>
      <c r="E979" s="209"/>
      <c r="F979" s="209"/>
      <c r="G979" s="209"/>
      <c r="H979" s="209"/>
      <c r="I979" s="209"/>
      <c r="J979" s="209"/>
      <c r="K979" s="209"/>
      <c r="L979" s="209"/>
      <c r="M979" s="209"/>
    </row>
    <row r="980" ht="15.75" customHeight="1">
      <c r="A980" s="209"/>
      <c r="B980" s="209"/>
      <c r="C980" s="210"/>
      <c r="D980" s="211"/>
      <c r="E980" s="209"/>
      <c r="F980" s="209"/>
      <c r="G980" s="209"/>
      <c r="H980" s="209"/>
      <c r="I980" s="209"/>
      <c r="J980" s="209"/>
      <c r="K980" s="209"/>
      <c r="L980" s="209"/>
      <c r="M980" s="209"/>
    </row>
    <row r="981" ht="15.75" customHeight="1">
      <c r="A981" s="209"/>
      <c r="B981" s="209"/>
      <c r="C981" s="210"/>
      <c r="D981" s="211"/>
      <c r="E981" s="209"/>
      <c r="F981" s="209"/>
      <c r="G981" s="209"/>
      <c r="H981" s="209"/>
      <c r="I981" s="209"/>
      <c r="J981" s="209"/>
      <c r="K981" s="209"/>
      <c r="L981" s="209"/>
      <c r="M981" s="209"/>
    </row>
    <row r="982" ht="15.75" customHeight="1">
      <c r="A982" s="209"/>
      <c r="B982" s="209"/>
      <c r="C982" s="210"/>
      <c r="D982" s="211"/>
      <c r="E982" s="209"/>
      <c r="F982" s="209"/>
      <c r="G982" s="209"/>
      <c r="H982" s="209"/>
      <c r="I982" s="209"/>
      <c r="J982" s="209"/>
      <c r="K982" s="209"/>
      <c r="L982" s="209"/>
      <c r="M982" s="209"/>
    </row>
    <row r="983" ht="15.75" customHeight="1">
      <c r="A983" s="209"/>
      <c r="B983" s="209"/>
      <c r="C983" s="210"/>
      <c r="D983" s="211"/>
      <c r="E983" s="209"/>
      <c r="F983" s="209"/>
      <c r="G983" s="209"/>
      <c r="H983" s="209"/>
      <c r="I983" s="209"/>
      <c r="J983" s="209"/>
      <c r="K983" s="209"/>
      <c r="L983" s="209"/>
      <c r="M983" s="209"/>
    </row>
    <row r="984" ht="15.75" customHeight="1">
      <c r="A984" s="209"/>
      <c r="B984" s="209"/>
      <c r="C984" s="210"/>
      <c r="D984" s="211"/>
      <c r="E984" s="209"/>
      <c r="F984" s="209"/>
      <c r="G984" s="209"/>
      <c r="H984" s="209"/>
      <c r="I984" s="209"/>
      <c r="J984" s="209"/>
      <c r="K984" s="209"/>
      <c r="L984" s="209"/>
      <c r="M984" s="209"/>
    </row>
    <row r="985" ht="15.75" customHeight="1">
      <c r="A985" s="209"/>
      <c r="B985" s="209"/>
      <c r="C985" s="210"/>
      <c r="D985" s="211"/>
      <c r="E985" s="209"/>
      <c r="F985" s="209"/>
      <c r="G985" s="209"/>
      <c r="H985" s="209"/>
      <c r="I985" s="209"/>
      <c r="J985" s="209"/>
      <c r="K985" s="209"/>
      <c r="L985" s="209"/>
      <c r="M985" s="209"/>
    </row>
    <row r="986" ht="15.75" customHeight="1">
      <c r="A986" s="209"/>
      <c r="B986" s="209"/>
      <c r="C986" s="210"/>
      <c r="D986" s="211"/>
      <c r="E986" s="209"/>
      <c r="F986" s="209"/>
      <c r="G986" s="209"/>
      <c r="H986" s="209"/>
      <c r="I986" s="209"/>
      <c r="J986" s="209"/>
      <c r="K986" s="209"/>
      <c r="L986" s="209"/>
      <c r="M986" s="209"/>
    </row>
    <row r="987" ht="15.75" customHeight="1">
      <c r="A987" s="209"/>
      <c r="B987" s="209"/>
      <c r="C987" s="210"/>
      <c r="D987" s="211"/>
      <c r="E987" s="209"/>
      <c r="F987" s="209"/>
      <c r="G987" s="209"/>
      <c r="H987" s="209"/>
      <c r="I987" s="209"/>
      <c r="J987" s="209"/>
      <c r="K987" s="209"/>
      <c r="L987" s="209"/>
      <c r="M987" s="209"/>
    </row>
    <row r="988" ht="15.75" customHeight="1">
      <c r="A988" s="209"/>
      <c r="B988" s="209"/>
      <c r="C988" s="210"/>
      <c r="D988" s="211"/>
      <c r="E988" s="209"/>
      <c r="F988" s="209"/>
      <c r="G988" s="209"/>
      <c r="H988" s="209"/>
      <c r="I988" s="209"/>
      <c r="J988" s="209"/>
      <c r="K988" s="209"/>
      <c r="L988" s="209"/>
      <c r="M988" s="209"/>
    </row>
    <row r="989" ht="15.75" customHeight="1">
      <c r="A989" s="209"/>
      <c r="B989" s="209"/>
      <c r="C989" s="210"/>
      <c r="D989" s="211"/>
      <c r="E989" s="209"/>
      <c r="F989" s="209"/>
      <c r="G989" s="209"/>
      <c r="H989" s="209"/>
      <c r="I989" s="209"/>
      <c r="J989" s="209"/>
      <c r="K989" s="209"/>
      <c r="L989" s="209"/>
      <c r="M989" s="209"/>
    </row>
    <row r="990" ht="15.75" customHeight="1">
      <c r="A990" s="209"/>
      <c r="B990" s="209"/>
      <c r="C990" s="210"/>
      <c r="D990" s="211"/>
      <c r="E990" s="209"/>
      <c r="F990" s="209"/>
      <c r="G990" s="209"/>
      <c r="H990" s="209"/>
      <c r="I990" s="209"/>
      <c r="J990" s="209"/>
      <c r="K990" s="209"/>
      <c r="L990" s="209"/>
      <c r="M990" s="209"/>
    </row>
    <row r="991" ht="15.75" customHeight="1">
      <c r="A991" s="209"/>
      <c r="B991" s="209"/>
      <c r="C991" s="210"/>
      <c r="D991" s="211"/>
      <c r="E991" s="209"/>
      <c r="F991" s="209"/>
      <c r="G991" s="209"/>
      <c r="H991" s="209"/>
      <c r="I991" s="209"/>
      <c r="J991" s="209"/>
      <c r="K991" s="209"/>
      <c r="L991" s="209"/>
      <c r="M991" s="209"/>
    </row>
    <row r="992" ht="15.75" customHeight="1">
      <c r="A992" s="209"/>
      <c r="B992" s="209"/>
      <c r="C992" s="210"/>
      <c r="D992" s="211"/>
      <c r="E992" s="209"/>
      <c r="F992" s="209"/>
      <c r="G992" s="209"/>
      <c r="H992" s="209"/>
      <c r="I992" s="209"/>
      <c r="J992" s="209"/>
      <c r="K992" s="209"/>
      <c r="L992" s="209"/>
      <c r="M992" s="209"/>
    </row>
    <row r="993" ht="15.75" customHeight="1">
      <c r="A993" s="209"/>
      <c r="B993" s="209"/>
      <c r="C993" s="210"/>
      <c r="D993" s="211"/>
      <c r="E993" s="209"/>
      <c r="F993" s="209"/>
      <c r="G993" s="209"/>
      <c r="H993" s="209"/>
      <c r="I993" s="209"/>
      <c r="J993" s="209"/>
      <c r="K993" s="209"/>
      <c r="L993" s="209"/>
      <c r="M993" s="209"/>
    </row>
    <row r="994" ht="15.75" customHeight="1">
      <c r="A994" s="209"/>
      <c r="B994" s="209"/>
      <c r="C994" s="210"/>
      <c r="D994" s="211"/>
      <c r="E994" s="209"/>
      <c r="F994" s="209"/>
      <c r="G994" s="209"/>
      <c r="H994" s="209"/>
      <c r="I994" s="209"/>
      <c r="J994" s="209"/>
      <c r="K994" s="209"/>
      <c r="L994" s="209"/>
      <c r="M994" s="209"/>
    </row>
    <row r="995" ht="15.75" customHeight="1">
      <c r="A995" s="209"/>
      <c r="B995" s="209"/>
      <c r="C995" s="210"/>
      <c r="D995" s="211"/>
      <c r="E995" s="209"/>
      <c r="F995" s="209"/>
      <c r="G995" s="209"/>
      <c r="H995" s="209"/>
      <c r="I995" s="209"/>
      <c r="J995" s="209"/>
      <c r="K995" s="209"/>
      <c r="L995" s="209"/>
      <c r="M995" s="209"/>
    </row>
    <row r="996" ht="15.75" customHeight="1">
      <c r="A996" s="209"/>
      <c r="B996" s="209"/>
      <c r="C996" s="210"/>
      <c r="D996" s="211"/>
      <c r="E996" s="209"/>
      <c r="F996" s="209"/>
      <c r="G996" s="209"/>
      <c r="H996" s="209"/>
      <c r="I996" s="209"/>
      <c r="J996" s="209"/>
      <c r="K996" s="209"/>
      <c r="L996" s="209"/>
      <c r="M996" s="209"/>
    </row>
    <row r="997" ht="15.75" customHeight="1">
      <c r="A997" s="209"/>
      <c r="B997" s="209"/>
      <c r="C997" s="210"/>
      <c r="D997" s="211"/>
      <c r="E997" s="209"/>
      <c r="F997" s="209"/>
      <c r="G997" s="209"/>
      <c r="H997" s="209"/>
      <c r="I997" s="209"/>
      <c r="J997" s="209"/>
      <c r="K997" s="209"/>
      <c r="L997" s="209"/>
      <c r="M997" s="209"/>
    </row>
    <row r="998" ht="15.75" customHeight="1">
      <c r="A998" s="209"/>
      <c r="B998" s="209"/>
      <c r="C998" s="210"/>
      <c r="D998" s="211"/>
      <c r="E998" s="209"/>
      <c r="F998" s="209"/>
      <c r="G998" s="209"/>
      <c r="H998" s="209"/>
      <c r="I998" s="209"/>
      <c r="J998" s="209"/>
      <c r="K998" s="209"/>
      <c r="L998" s="209"/>
      <c r="M998" s="209"/>
    </row>
    <row r="999" ht="15.75" customHeight="1">
      <c r="A999" s="209"/>
      <c r="B999" s="209"/>
      <c r="C999" s="210"/>
      <c r="D999" s="211"/>
      <c r="E999" s="209"/>
      <c r="F999" s="209"/>
      <c r="G999" s="209"/>
      <c r="H999" s="209"/>
      <c r="I999" s="209"/>
      <c r="J999" s="209"/>
      <c r="K999" s="209"/>
      <c r="L999" s="209"/>
      <c r="M999" s="209"/>
    </row>
    <row r="1000" ht="15.75" customHeight="1">
      <c r="A1000" s="209"/>
      <c r="B1000" s="209"/>
      <c r="C1000" s="210"/>
      <c r="D1000" s="211"/>
      <c r="E1000" s="209"/>
      <c r="F1000" s="209"/>
      <c r="G1000" s="209"/>
      <c r="H1000" s="209"/>
      <c r="I1000" s="209"/>
      <c r="J1000" s="209"/>
      <c r="K1000" s="209"/>
      <c r="L1000" s="209"/>
      <c r="M1000" s="209"/>
    </row>
    <row r="1001" ht="15.75" customHeight="1">
      <c r="A1001" s="209"/>
      <c r="B1001" s="209"/>
      <c r="C1001" s="210"/>
      <c r="D1001" s="211"/>
      <c r="E1001" s="209"/>
      <c r="F1001" s="209"/>
      <c r="G1001" s="209"/>
      <c r="H1001" s="209"/>
      <c r="I1001" s="209"/>
      <c r="J1001" s="209"/>
      <c r="K1001" s="209"/>
      <c r="L1001" s="209"/>
      <c r="M1001" s="209"/>
    </row>
    <row r="1002" ht="15.75" customHeight="1">
      <c r="A1002" s="209"/>
      <c r="B1002" s="209"/>
      <c r="C1002" s="210"/>
      <c r="D1002" s="211"/>
      <c r="E1002" s="209"/>
      <c r="F1002" s="209"/>
      <c r="G1002" s="209"/>
      <c r="H1002" s="209"/>
      <c r="I1002" s="209"/>
      <c r="J1002" s="209"/>
      <c r="K1002" s="209"/>
      <c r="L1002" s="209"/>
      <c r="M1002" s="209"/>
    </row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24:M28"/>
    <mergeCell ref="I2:K4"/>
    <mergeCell ref="A7:A10"/>
    <mergeCell ref="B7:B10"/>
    <mergeCell ref="E7:F8"/>
    <mergeCell ref="G7:L7"/>
    <mergeCell ref="M7:M10"/>
    <mergeCell ref="K8:L8"/>
    <mergeCell ref="L9:L10"/>
  </mergeCells>
  <printOptions/>
  <pageMargins bottom="0.5" footer="0.0" header="0.0" left="0.25" right="0.25" top="0.4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68.29"/>
    <col customWidth="1" min="2" max="2" width="21.71"/>
    <col customWidth="1" min="3" max="3" width="24.0"/>
    <col customWidth="1" min="4" max="4" width="23.43"/>
    <col customWidth="1" min="5" max="5" width="25.29"/>
    <col customWidth="1" min="6" max="6" width="26.71"/>
    <col customWidth="1" min="7" max="12" width="25.29"/>
    <col customWidth="1" min="13" max="13" width="33.0"/>
  </cols>
  <sheetData>
    <row r="1" ht="20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118"/>
      <c r="L1" s="2"/>
      <c r="M1" s="2"/>
    </row>
    <row r="2" ht="25.5" customHeight="1">
      <c r="A2" s="5" t="s">
        <v>1</v>
      </c>
      <c r="B2" s="2"/>
      <c r="C2" s="2"/>
      <c r="D2" s="2"/>
      <c r="E2" s="2"/>
      <c r="F2" s="2"/>
      <c r="G2" s="2"/>
      <c r="I2" s="6"/>
      <c r="L2" s="2"/>
      <c r="M2" s="2"/>
    </row>
    <row r="3" ht="24.0" customHeight="1">
      <c r="A3" s="212" t="s">
        <v>160</v>
      </c>
      <c r="B3" s="212"/>
      <c r="C3" s="212"/>
      <c r="D3" s="9"/>
      <c r="E3" s="9"/>
      <c r="F3" s="9"/>
      <c r="G3" s="9"/>
      <c r="L3" s="9"/>
      <c r="M3" s="9"/>
    </row>
    <row r="4" ht="24.0" customHeight="1">
      <c r="A4" s="7" t="s">
        <v>3</v>
      </c>
      <c r="B4" s="8"/>
      <c r="C4" s="9"/>
      <c r="D4" s="9"/>
      <c r="E4" s="9"/>
      <c r="F4" s="9"/>
      <c r="G4" s="9"/>
      <c r="L4" s="9"/>
      <c r="M4" s="9"/>
    </row>
    <row r="5" ht="21.0" customHeight="1">
      <c r="A5" s="7" t="s">
        <v>4</v>
      </c>
      <c r="B5" s="8"/>
      <c r="C5" s="9"/>
      <c r="D5" s="9"/>
      <c r="E5" s="9"/>
      <c r="F5" s="9"/>
      <c r="G5" s="9"/>
      <c r="H5" s="9"/>
      <c r="I5" s="9"/>
      <c r="J5" s="9"/>
      <c r="K5" s="126"/>
      <c r="L5" s="9"/>
      <c r="M5" s="9"/>
    </row>
    <row r="6" ht="18.0" customHeight="1">
      <c r="A6" s="213"/>
      <c r="B6" s="214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ht="21.75" customHeight="1">
      <c r="A7" s="13" t="s">
        <v>5</v>
      </c>
      <c r="B7" s="13" t="s">
        <v>6</v>
      </c>
      <c r="C7" s="14" t="s">
        <v>7</v>
      </c>
      <c r="D7" s="15"/>
      <c r="E7" s="16" t="s">
        <v>8</v>
      </c>
      <c r="F7" s="15"/>
      <c r="G7" s="17" t="s">
        <v>9</v>
      </c>
      <c r="H7" s="18"/>
      <c r="I7" s="18"/>
      <c r="J7" s="18"/>
      <c r="K7" s="18"/>
      <c r="L7" s="19"/>
      <c r="M7" s="20" t="s">
        <v>161</v>
      </c>
    </row>
    <row r="8" ht="23.25" customHeight="1">
      <c r="A8" s="21"/>
      <c r="B8" s="21"/>
      <c r="C8" s="22"/>
      <c r="D8" s="23"/>
      <c r="E8" s="22"/>
      <c r="F8" s="23"/>
      <c r="G8" s="24" t="s">
        <v>11</v>
      </c>
      <c r="H8" s="19"/>
      <c r="I8" s="24" t="s">
        <v>12</v>
      </c>
      <c r="J8" s="19"/>
      <c r="K8" s="24" t="s">
        <v>13</v>
      </c>
      <c r="L8" s="19"/>
      <c r="M8" s="21"/>
    </row>
    <row r="9" ht="20.25" customHeight="1">
      <c r="A9" s="21"/>
      <c r="B9" s="21"/>
      <c r="C9" s="25" t="s">
        <v>14</v>
      </c>
      <c r="D9" s="26" t="s">
        <v>15</v>
      </c>
      <c r="E9" s="27" t="s">
        <v>16</v>
      </c>
      <c r="F9" s="15"/>
      <c r="G9" s="28" t="s">
        <v>17</v>
      </c>
      <c r="H9" s="29" t="s">
        <v>18</v>
      </c>
      <c r="I9" s="28" t="s">
        <v>17</v>
      </c>
      <c r="J9" s="29" t="s">
        <v>18</v>
      </c>
      <c r="K9" s="28" t="s">
        <v>17</v>
      </c>
      <c r="L9" s="29" t="s">
        <v>18</v>
      </c>
      <c r="M9" s="21"/>
    </row>
    <row r="10" ht="60.0" customHeight="1">
      <c r="A10" s="30"/>
      <c r="B10" s="30"/>
      <c r="C10" s="30"/>
      <c r="D10" s="30"/>
      <c r="E10" s="31" t="s">
        <v>17</v>
      </c>
      <c r="F10" s="29" t="s">
        <v>18</v>
      </c>
      <c r="G10" s="30"/>
      <c r="H10" s="30"/>
      <c r="I10" s="30"/>
      <c r="J10" s="30"/>
      <c r="K10" s="30"/>
      <c r="L10" s="30"/>
      <c r="M10" s="30"/>
    </row>
    <row r="11" ht="19.5" hidden="1" customHeight="1">
      <c r="A11" s="215" t="s">
        <v>162</v>
      </c>
      <c r="B11" s="216"/>
      <c r="C11" s="217"/>
      <c r="D11" s="218">
        <f>D12+D625</f>
        <v>125655.82</v>
      </c>
      <c r="E11" s="219"/>
      <c r="F11" s="219"/>
      <c r="G11" s="220"/>
      <c r="H11" s="220"/>
      <c r="I11" s="220"/>
      <c r="J11" s="220"/>
      <c r="K11" s="220"/>
      <c r="L11" s="220"/>
      <c r="M11" s="220"/>
    </row>
    <row r="12" ht="42.75" customHeight="1">
      <c r="A12" s="221" t="s">
        <v>163</v>
      </c>
      <c r="B12" s="222"/>
      <c r="C12" s="223"/>
      <c r="D12" s="218">
        <f>D13+D463</f>
        <v>46155.82</v>
      </c>
      <c r="E12" s="224"/>
      <c r="F12" s="219">
        <v>15000.289999999999</v>
      </c>
      <c r="G12" s="219"/>
      <c r="H12" s="219">
        <f>H13+H463</f>
        <v>33080.71</v>
      </c>
      <c r="I12" s="219"/>
      <c r="J12" s="219"/>
      <c r="K12" s="219"/>
      <c r="L12" s="219">
        <f>L13+L463</f>
        <v>33080.71</v>
      </c>
      <c r="M12" s="219"/>
    </row>
    <row r="13">
      <c r="A13" s="225" t="s">
        <v>164</v>
      </c>
      <c r="B13" s="222"/>
      <c r="C13" s="224"/>
      <c r="D13" s="218">
        <f>D46+D61+D76+D163+D168+D308+D309+D314+D328+D48+D183+D188+D330+D329+D114+D153+D184+D332+D433</f>
        <v>42855.82</v>
      </c>
      <c r="E13" s="224"/>
      <c r="F13" s="219">
        <v>15000.289999999999</v>
      </c>
      <c r="G13" s="219"/>
      <c r="H13" s="219">
        <f>sum(H27:H433)</f>
        <v>33080.71</v>
      </c>
      <c r="I13" s="219"/>
      <c r="J13" s="219"/>
      <c r="K13" s="219"/>
      <c r="L13" s="219">
        <f>sum(L27:L433)</f>
        <v>33080.71</v>
      </c>
      <c r="M13" s="219"/>
    </row>
    <row r="14" hidden="1">
      <c r="A14" s="226" t="s">
        <v>165</v>
      </c>
      <c r="B14" s="222"/>
      <c r="C14" s="224"/>
      <c r="D14" s="227"/>
      <c r="E14" s="224"/>
      <c r="F14" s="228"/>
      <c r="G14" s="229"/>
      <c r="H14" s="229"/>
      <c r="I14" s="229"/>
      <c r="J14" s="229"/>
      <c r="K14" s="229"/>
      <c r="L14" s="229"/>
      <c r="M14" s="229"/>
    </row>
    <row r="15" hidden="1">
      <c r="A15" s="226" t="s">
        <v>166</v>
      </c>
      <c r="B15" s="222"/>
      <c r="C15" s="224"/>
      <c r="D15" s="227"/>
      <c r="E15" s="224"/>
      <c r="F15" s="228"/>
      <c r="G15" s="229"/>
      <c r="H15" s="229"/>
      <c r="I15" s="229"/>
      <c r="J15" s="229"/>
      <c r="K15" s="229"/>
      <c r="L15" s="229"/>
      <c r="M15" s="229"/>
    </row>
    <row r="16" hidden="1">
      <c r="A16" s="226" t="s">
        <v>167</v>
      </c>
      <c r="B16" s="222"/>
      <c r="C16" s="224"/>
      <c r="D16" s="227"/>
      <c r="E16" s="224"/>
      <c r="F16" s="228"/>
      <c r="G16" s="229"/>
      <c r="H16" s="229"/>
      <c r="I16" s="229"/>
      <c r="J16" s="229"/>
      <c r="K16" s="229"/>
      <c r="L16" s="229"/>
      <c r="M16" s="229"/>
    </row>
    <row r="17" hidden="1">
      <c r="A17" s="226" t="s">
        <v>168</v>
      </c>
      <c r="B17" s="222"/>
      <c r="C17" s="223"/>
      <c r="D17" s="227"/>
      <c r="E17" s="224"/>
      <c r="F17" s="228"/>
      <c r="G17" s="229"/>
      <c r="H17" s="229"/>
      <c r="I17" s="229"/>
      <c r="J17" s="229"/>
      <c r="K17" s="229"/>
      <c r="L17" s="229"/>
      <c r="M17" s="229"/>
    </row>
    <row r="18" hidden="1">
      <c r="A18" s="226" t="s">
        <v>169</v>
      </c>
      <c r="B18" s="222"/>
      <c r="C18" s="224"/>
      <c r="D18" s="227"/>
      <c r="E18" s="224"/>
      <c r="F18" s="228"/>
      <c r="G18" s="229"/>
      <c r="H18" s="229"/>
      <c r="I18" s="229"/>
      <c r="J18" s="229"/>
      <c r="K18" s="229"/>
      <c r="L18" s="229"/>
      <c r="M18" s="229"/>
    </row>
    <row r="19">
      <c r="A19" s="226" t="s">
        <v>170</v>
      </c>
      <c r="B19" s="222" t="s">
        <v>171</v>
      </c>
      <c r="C19" s="224"/>
      <c r="D19" s="227"/>
      <c r="E19" s="224"/>
      <c r="F19" s="228"/>
      <c r="G19" s="229"/>
      <c r="H19" s="229"/>
      <c r="I19" s="229"/>
      <c r="J19" s="229"/>
      <c r="K19" s="229"/>
      <c r="L19" s="229"/>
      <c r="M19" s="229"/>
    </row>
    <row r="20">
      <c r="A20" s="226" t="s">
        <v>172</v>
      </c>
      <c r="B20" s="222" t="s">
        <v>171</v>
      </c>
      <c r="C20" s="224"/>
      <c r="D20" s="227"/>
      <c r="E20" s="224"/>
      <c r="F20" s="228"/>
      <c r="G20" s="229"/>
      <c r="H20" s="229"/>
      <c r="I20" s="229"/>
      <c r="J20" s="229"/>
      <c r="K20" s="229"/>
      <c r="L20" s="229"/>
      <c r="M20" s="229"/>
    </row>
    <row r="21" ht="15.75" customHeight="1">
      <c r="A21" s="230" t="s">
        <v>173</v>
      </c>
      <c r="B21" s="222" t="s">
        <v>171</v>
      </c>
      <c r="C21" s="224"/>
      <c r="D21" s="227"/>
      <c r="E21" s="224"/>
      <c r="F21" s="228"/>
      <c r="G21" s="229"/>
      <c r="H21" s="229"/>
      <c r="I21" s="229"/>
      <c r="J21" s="229"/>
      <c r="K21" s="229"/>
      <c r="L21" s="229"/>
      <c r="M21" s="229"/>
    </row>
    <row r="22" ht="15.75" customHeight="1">
      <c r="A22" s="230" t="s">
        <v>174</v>
      </c>
      <c r="B22" s="222" t="s">
        <v>171</v>
      </c>
      <c r="C22" s="223"/>
      <c r="D22" s="227"/>
      <c r="E22" s="224"/>
      <c r="F22" s="228"/>
      <c r="G22" s="229"/>
      <c r="H22" s="229"/>
      <c r="I22" s="229"/>
      <c r="J22" s="229"/>
      <c r="K22" s="229"/>
      <c r="L22" s="229"/>
      <c r="M22" s="229"/>
    </row>
    <row r="23" ht="15.75" customHeight="1">
      <c r="A23" s="230" t="s">
        <v>175</v>
      </c>
      <c r="B23" s="222" t="s">
        <v>171</v>
      </c>
      <c r="C23" s="224"/>
      <c r="D23" s="227"/>
      <c r="E23" s="224"/>
      <c r="F23" s="228"/>
      <c r="G23" s="229"/>
      <c r="H23" s="229"/>
      <c r="I23" s="229"/>
      <c r="J23" s="229"/>
      <c r="K23" s="229"/>
      <c r="L23" s="229"/>
      <c r="M23" s="229"/>
    </row>
    <row r="24" ht="15.75" customHeight="1">
      <c r="A24" s="230" t="s">
        <v>176</v>
      </c>
      <c r="B24" s="222" t="s">
        <v>24</v>
      </c>
      <c r="C24" s="224"/>
      <c r="D24" s="227"/>
      <c r="E24" s="224"/>
      <c r="F24" s="228"/>
      <c r="G24" s="229"/>
      <c r="H24" s="229"/>
      <c r="I24" s="229"/>
      <c r="J24" s="229"/>
      <c r="K24" s="229"/>
      <c r="L24" s="229"/>
      <c r="M24" s="229"/>
    </row>
    <row r="25" ht="21.0" customHeight="1">
      <c r="A25" s="225" t="s">
        <v>177</v>
      </c>
      <c r="B25" s="222" t="s">
        <v>171</v>
      </c>
      <c r="C25" s="224"/>
      <c r="D25" s="227"/>
      <c r="E25" s="224"/>
      <c r="F25" s="228"/>
      <c r="G25" s="229"/>
      <c r="H25" s="229"/>
      <c r="I25" s="229"/>
      <c r="J25" s="229"/>
      <c r="K25" s="229"/>
      <c r="L25" s="229"/>
      <c r="M25" s="229"/>
    </row>
    <row r="26" ht="15.75" customHeight="1">
      <c r="A26" s="231" t="s">
        <v>173</v>
      </c>
      <c r="B26" s="222" t="s">
        <v>171</v>
      </c>
      <c r="C26" s="224"/>
      <c r="D26" s="227"/>
      <c r="E26" s="224"/>
      <c r="F26" s="228"/>
      <c r="G26" s="229"/>
      <c r="H26" s="229"/>
      <c r="I26" s="229"/>
      <c r="J26" s="229"/>
      <c r="K26" s="229"/>
      <c r="L26" s="229"/>
      <c r="M26" s="229"/>
    </row>
    <row r="27" ht="24.75" customHeight="1">
      <c r="A27" s="231" t="s">
        <v>174</v>
      </c>
      <c r="B27" s="222" t="s">
        <v>171</v>
      </c>
      <c r="C27" s="224"/>
      <c r="D27" s="227"/>
      <c r="E27" s="224"/>
      <c r="F27" s="228"/>
      <c r="G27" s="232">
        <v>1000.0</v>
      </c>
      <c r="H27" s="229">
        <f>G27*0.25</f>
        <v>250</v>
      </c>
      <c r="I27" s="229"/>
      <c r="J27" s="229"/>
      <c r="K27" s="232">
        <v>1000.0</v>
      </c>
      <c r="L27" s="229">
        <f>K27*0.25</f>
        <v>250</v>
      </c>
      <c r="M27" s="229"/>
    </row>
    <row r="28" ht="27.75" customHeight="1">
      <c r="A28" s="231" t="s">
        <v>175</v>
      </c>
      <c r="B28" s="222" t="s">
        <v>171</v>
      </c>
      <c r="C28" s="224"/>
      <c r="D28" s="227"/>
      <c r="E28" s="224"/>
      <c r="F28" s="228"/>
      <c r="G28" s="229">
        <f>G27</f>
        <v>1000</v>
      </c>
      <c r="H28" s="229"/>
      <c r="I28" s="229"/>
      <c r="J28" s="229"/>
      <c r="K28" s="229">
        <f>K27</f>
        <v>1000</v>
      </c>
      <c r="L28" s="229"/>
      <c r="M28" s="229"/>
    </row>
    <row r="29" ht="15.75" customHeight="1">
      <c r="A29" s="231" t="s">
        <v>176</v>
      </c>
      <c r="B29" s="222" t="s">
        <v>24</v>
      </c>
      <c r="C29" s="224"/>
      <c r="D29" s="227"/>
      <c r="E29" s="224"/>
      <c r="F29" s="228"/>
      <c r="G29" s="229">
        <f>G28/20</f>
        <v>50</v>
      </c>
      <c r="H29" s="229"/>
      <c r="I29" s="229"/>
      <c r="J29" s="229"/>
      <c r="K29" s="229">
        <f>K28/20</f>
        <v>50</v>
      </c>
      <c r="L29" s="229"/>
      <c r="M29" s="229"/>
    </row>
    <row r="30" ht="22.5" customHeight="1">
      <c r="A30" s="225" t="s">
        <v>178</v>
      </c>
      <c r="B30" s="222" t="s">
        <v>171</v>
      </c>
      <c r="C30" s="224"/>
      <c r="D30" s="227"/>
      <c r="E30" s="224"/>
      <c r="F30" s="228"/>
      <c r="G30" s="229"/>
      <c r="H30" s="229"/>
      <c r="I30" s="229"/>
      <c r="J30" s="229"/>
      <c r="K30" s="229"/>
      <c r="L30" s="229"/>
      <c r="M30" s="229"/>
    </row>
    <row r="31" ht="15.75" customHeight="1">
      <c r="A31" s="231" t="s">
        <v>173</v>
      </c>
      <c r="B31" s="222" t="s">
        <v>171</v>
      </c>
      <c r="C31" s="224"/>
      <c r="D31" s="227"/>
      <c r="E31" s="224"/>
      <c r="F31" s="228"/>
      <c r="G31" s="229"/>
      <c r="H31" s="229"/>
      <c r="I31" s="229"/>
      <c r="J31" s="229"/>
      <c r="K31" s="229"/>
      <c r="L31" s="229"/>
      <c r="M31" s="229"/>
    </row>
    <row r="32" ht="15.75" customHeight="1">
      <c r="A32" s="231" t="s">
        <v>174</v>
      </c>
      <c r="B32" s="222" t="s">
        <v>171</v>
      </c>
      <c r="C32" s="224"/>
      <c r="D32" s="227"/>
      <c r="E32" s="224"/>
      <c r="F32" s="228"/>
      <c r="G32" s="233"/>
      <c r="H32" s="233"/>
      <c r="I32" s="233"/>
      <c r="J32" s="233"/>
      <c r="K32" s="233"/>
      <c r="L32" s="233"/>
      <c r="M32" s="233"/>
    </row>
    <row r="33" ht="15.75" customHeight="1">
      <c r="A33" s="231" t="s">
        <v>175</v>
      </c>
      <c r="B33" s="222" t="s">
        <v>171</v>
      </c>
      <c r="C33" s="224"/>
      <c r="D33" s="227"/>
      <c r="E33" s="224"/>
      <c r="F33" s="228"/>
      <c r="G33" s="233"/>
      <c r="H33" s="233"/>
      <c r="I33" s="233"/>
      <c r="J33" s="233"/>
      <c r="K33" s="233"/>
      <c r="L33" s="233"/>
      <c r="M33" s="233"/>
    </row>
    <row r="34" ht="15.75" customHeight="1">
      <c r="A34" s="231" t="s">
        <v>176</v>
      </c>
      <c r="B34" s="222" t="s">
        <v>24</v>
      </c>
      <c r="C34" s="224"/>
      <c r="D34" s="227"/>
      <c r="E34" s="224"/>
      <c r="F34" s="228"/>
      <c r="G34" s="233"/>
      <c r="H34" s="233"/>
      <c r="I34" s="233"/>
      <c r="J34" s="233"/>
      <c r="K34" s="233"/>
      <c r="L34" s="233"/>
      <c r="M34" s="233"/>
    </row>
    <row r="35" ht="20.25" customHeight="1">
      <c r="A35" s="225" t="s">
        <v>179</v>
      </c>
      <c r="B35" s="222" t="s">
        <v>171</v>
      </c>
      <c r="C35" s="224"/>
      <c r="D35" s="227"/>
      <c r="E35" s="224"/>
      <c r="F35" s="228"/>
      <c r="G35" s="233"/>
      <c r="H35" s="233"/>
      <c r="I35" s="233"/>
      <c r="J35" s="233"/>
      <c r="K35" s="233"/>
      <c r="L35" s="233"/>
      <c r="M35" s="233"/>
    </row>
    <row r="36" ht="15.75" customHeight="1">
      <c r="A36" s="231" t="s">
        <v>173</v>
      </c>
      <c r="B36" s="222" t="s">
        <v>171</v>
      </c>
      <c r="C36" s="224"/>
      <c r="D36" s="227"/>
      <c r="E36" s="224"/>
      <c r="F36" s="228"/>
      <c r="G36" s="233"/>
      <c r="H36" s="233"/>
      <c r="I36" s="233"/>
      <c r="J36" s="233"/>
      <c r="K36" s="233"/>
      <c r="L36" s="233"/>
      <c r="M36" s="233"/>
    </row>
    <row r="37" ht="15.75" customHeight="1">
      <c r="A37" s="231" t="s">
        <v>174</v>
      </c>
      <c r="B37" s="222" t="s">
        <v>171</v>
      </c>
      <c r="C37" s="224"/>
      <c r="D37" s="227"/>
      <c r="E37" s="224"/>
      <c r="F37" s="228"/>
      <c r="G37" s="233"/>
      <c r="H37" s="233"/>
      <c r="I37" s="233"/>
      <c r="J37" s="233"/>
      <c r="K37" s="233"/>
      <c r="L37" s="233"/>
      <c r="M37" s="233"/>
    </row>
    <row r="38" ht="15.75" customHeight="1">
      <c r="A38" s="231" t="s">
        <v>175</v>
      </c>
      <c r="B38" s="222" t="s">
        <v>171</v>
      </c>
      <c r="C38" s="224"/>
      <c r="D38" s="227"/>
      <c r="E38" s="224"/>
      <c r="F38" s="228"/>
      <c r="G38" s="233"/>
      <c r="H38" s="233"/>
      <c r="I38" s="233"/>
      <c r="J38" s="233"/>
      <c r="K38" s="233"/>
      <c r="L38" s="233"/>
      <c r="M38" s="233"/>
    </row>
    <row r="39" ht="15.75" customHeight="1">
      <c r="A39" s="231" t="s">
        <v>176</v>
      </c>
      <c r="B39" s="222" t="s">
        <v>171</v>
      </c>
      <c r="C39" s="224"/>
      <c r="D39" s="227"/>
      <c r="E39" s="224"/>
      <c r="F39" s="228"/>
      <c r="G39" s="233"/>
      <c r="H39" s="233"/>
      <c r="I39" s="233"/>
      <c r="J39" s="233"/>
      <c r="K39" s="233"/>
      <c r="L39" s="233"/>
      <c r="M39" s="233"/>
    </row>
    <row r="40" ht="21.0" customHeight="1">
      <c r="A40" s="225" t="s">
        <v>180</v>
      </c>
      <c r="B40" s="222" t="s">
        <v>171</v>
      </c>
      <c r="C40" s="224"/>
      <c r="D40" s="227"/>
      <c r="E40" s="224"/>
      <c r="F40" s="228"/>
      <c r="G40" s="233"/>
      <c r="H40" s="233"/>
      <c r="I40" s="233"/>
      <c r="J40" s="233"/>
      <c r="K40" s="233"/>
      <c r="L40" s="233"/>
      <c r="M40" s="233"/>
    </row>
    <row r="41" ht="15.75" customHeight="1">
      <c r="A41" s="231" t="s">
        <v>173</v>
      </c>
      <c r="B41" s="222" t="s">
        <v>171</v>
      </c>
      <c r="C41" s="224"/>
      <c r="D41" s="227"/>
      <c r="E41" s="224"/>
      <c r="F41" s="228"/>
      <c r="G41" s="233"/>
      <c r="H41" s="233"/>
      <c r="I41" s="233"/>
      <c r="J41" s="233"/>
      <c r="K41" s="233"/>
      <c r="L41" s="233"/>
      <c r="M41" s="233"/>
    </row>
    <row r="42" ht="15.75" customHeight="1">
      <c r="A42" s="231" t="s">
        <v>174</v>
      </c>
      <c r="B42" s="222" t="s">
        <v>171</v>
      </c>
      <c r="C42" s="224"/>
      <c r="D42" s="227"/>
      <c r="E42" s="224"/>
      <c r="F42" s="228"/>
      <c r="G42" s="233"/>
      <c r="H42" s="233"/>
      <c r="I42" s="233"/>
      <c r="J42" s="233"/>
      <c r="K42" s="233"/>
      <c r="L42" s="233"/>
      <c r="M42" s="233"/>
    </row>
    <row r="43" ht="15.75" customHeight="1">
      <c r="A43" s="231" t="s">
        <v>175</v>
      </c>
      <c r="B43" s="222" t="s">
        <v>171</v>
      </c>
      <c r="C43" s="224"/>
      <c r="D43" s="227"/>
      <c r="E43" s="224"/>
      <c r="F43" s="228"/>
      <c r="G43" s="233"/>
      <c r="H43" s="233"/>
      <c r="I43" s="233"/>
      <c r="J43" s="233"/>
      <c r="K43" s="233"/>
      <c r="L43" s="233"/>
      <c r="M43" s="233"/>
    </row>
    <row r="44" ht="15.75" customHeight="1">
      <c r="A44" s="231" t="s">
        <v>176</v>
      </c>
      <c r="B44" s="222" t="s">
        <v>171</v>
      </c>
      <c r="C44" s="224"/>
      <c r="D44" s="227"/>
      <c r="E44" s="224"/>
      <c r="F44" s="228"/>
      <c r="G44" s="233"/>
      <c r="H44" s="233"/>
      <c r="I44" s="233"/>
      <c r="J44" s="233"/>
      <c r="K44" s="233"/>
      <c r="L44" s="233"/>
      <c r="M44" s="233"/>
    </row>
    <row r="45" ht="15.75" customHeight="1">
      <c r="A45" s="225" t="s">
        <v>181</v>
      </c>
      <c r="B45" s="222" t="s">
        <v>171</v>
      </c>
      <c r="C45" s="224"/>
      <c r="D45" s="227"/>
      <c r="E45" s="224"/>
      <c r="F45" s="228"/>
      <c r="G45" s="233"/>
      <c r="H45" s="233"/>
      <c r="I45" s="233"/>
      <c r="J45" s="233"/>
      <c r="K45" s="233"/>
      <c r="L45" s="233"/>
      <c r="M45" s="233"/>
    </row>
    <row r="46" ht="15.75" customHeight="1">
      <c r="A46" s="231" t="s">
        <v>173</v>
      </c>
      <c r="B46" s="222" t="s">
        <v>171</v>
      </c>
      <c r="C46" s="224"/>
      <c r="D46" s="227"/>
      <c r="E46" s="224"/>
      <c r="F46" s="228"/>
      <c r="G46" s="234">
        <v>12000.0</v>
      </c>
      <c r="H46" s="233">
        <f>G46*0.25</f>
        <v>3000</v>
      </c>
      <c r="I46" s="233"/>
      <c r="J46" s="233"/>
      <c r="K46" s="234">
        <v>12000.0</v>
      </c>
      <c r="L46" s="233">
        <f>K46*0.25</f>
        <v>3000</v>
      </c>
      <c r="M46" s="233"/>
    </row>
    <row r="47" ht="15.75" customHeight="1">
      <c r="A47" s="231" t="s">
        <v>174</v>
      </c>
      <c r="B47" s="222" t="s">
        <v>171</v>
      </c>
      <c r="C47" s="224"/>
      <c r="D47" s="227"/>
      <c r="E47" s="224"/>
      <c r="F47" s="228"/>
      <c r="G47" s="233"/>
      <c r="H47" s="233"/>
      <c r="I47" s="233"/>
      <c r="J47" s="233"/>
      <c r="K47" s="233"/>
      <c r="L47" s="233"/>
      <c r="M47" s="233"/>
    </row>
    <row r="48" ht="19.5" customHeight="1">
      <c r="A48" s="231" t="s">
        <v>175</v>
      </c>
      <c r="B48" s="222" t="s">
        <v>171</v>
      </c>
      <c r="C48" s="224">
        <v>30000.0</v>
      </c>
      <c r="D48" s="235">
        <v>6000.0</v>
      </c>
      <c r="E48" s="236">
        <v>20000.0</v>
      </c>
      <c r="F48" s="228"/>
      <c r="G48" s="237">
        <f>G46</f>
        <v>12000</v>
      </c>
      <c r="H48" s="233"/>
      <c r="I48" s="233"/>
      <c r="J48" s="233"/>
      <c r="K48" s="237">
        <f>K46</f>
        <v>12000</v>
      </c>
      <c r="L48" s="233"/>
      <c r="M48" s="233"/>
    </row>
    <row r="49">
      <c r="A49" s="231" t="s">
        <v>176</v>
      </c>
      <c r="B49" s="222" t="s">
        <v>24</v>
      </c>
      <c r="C49" s="224">
        <v>43.0</v>
      </c>
      <c r="D49" s="227"/>
      <c r="E49" s="224">
        <v>28.571428571428573</v>
      </c>
      <c r="F49" s="228"/>
      <c r="G49" s="233">
        <f>G48/700</f>
        <v>17.14285714</v>
      </c>
      <c r="H49" s="233"/>
      <c r="I49" s="233"/>
      <c r="J49" s="233"/>
      <c r="K49" s="233">
        <f>K48/700</f>
        <v>17.14285714</v>
      </c>
      <c r="L49" s="233"/>
      <c r="M49" s="233"/>
    </row>
    <row r="50">
      <c r="A50" s="225" t="s">
        <v>182</v>
      </c>
      <c r="B50" s="222"/>
      <c r="C50" s="224"/>
      <c r="D50" s="227"/>
      <c r="E50" s="224"/>
      <c r="F50" s="228"/>
      <c r="G50" s="233"/>
      <c r="H50" s="233"/>
      <c r="I50" s="233"/>
      <c r="J50" s="233"/>
      <c r="K50" s="233"/>
      <c r="L50" s="233"/>
      <c r="M50" s="233"/>
    </row>
    <row r="51">
      <c r="A51" s="231" t="s">
        <v>173</v>
      </c>
      <c r="B51" s="222" t="s">
        <v>171</v>
      </c>
      <c r="C51" s="224"/>
      <c r="D51" s="227"/>
      <c r="E51" s="236">
        <v>100.0</v>
      </c>
      <c r="F51" s="238">
        <v>900.0</v>
      </c>
      <c r="G51" s="237">
        <v>100.0</v>
      </c>
      <c r="H51" s="233">
        <f>G51*25</f>
        <v>2500</v>
      </c>
      <c r="I51" s="233"/>
      <c r="J51" s="233"/>
      <c r="K51" s="237">
        <v>100.0</v>
      </c>
      <c r="L51" s="233">
        <f>K51*25</f>
        <v>2500</v>
      </c>
      <c r="M51" s="233"/>
    </row>
    <row r="52">
      <c r="A52" s="231" t="s">
        <v>174</v>
      </c>
      <c r="B52" s="222" t="s">
        <v>171</v>
      </c>
      <c r="C52" s="224"/>
      <c r="D52" s="227"/>
      <c r="E52" s="224"/>
      <c r="F52" s="228"/>
      <c r="G52" s="233"/>
      <c r="H52" s="233"/>
      <c r="I52" s="233"/>
      <c r="J52" s="233"/>
      <c r="K52" s="233"/>
      <c r="L52" s="233"/>
      <c r="M52" s="233"/>
    </row>
    <row r="53">
      <c r="A53" s="231" t="s">
        <v>175</v>
      </c>
      <c r="B53" s="222" t="s">
        <v>171</v>
      </c>
      <c r="C53" s="224"/>
      <c r="D53" s="227"/>
      <c r="E53" s="224">
        <v>100.0</v>
      </c>
      <c r="F53" s="228"/>
      <c r="G53" s="233">
        <f>G51</f>
        <v>100</v>
      </c>
      <c r="H53" s="233"/>
      <c r="I53" s="233"/>
      <c r="J53" s="233"/>
      <c r="K53" s="233">
        <f>K51</f>
        <v>100</v>
      </c>
      <c r="L53" s="233"/>
      <c r="M53" s="233"/>
    </row>
    <row r="54">
      <c r="A54" s="231" t="s">
        <v>176</v>
      </c>
      <c r="B54" s="222" t="s">
        <v>24</v>
      </c>
      <c r="C54" s="224"/>
      <c r="D54" s="227"/>
      <c r="E54" s="224">
        <v>25.0</v>
      </c>
      <c r="F54" s="228"/>
      <c r="G54" s="233">
        <f>G53/4</f>
        <v>25</v>
      </c>
      <c r="H54" s="233"/>
      <c r="I54" s="233"/>
      <c r="J54" s="233"/>
      <c r="K54" s="233">
        <f>K53/4</f>
        <v>25</v>
      </c>
      <c r="L54" s="233"/>
      <c r="M54" s="233"/>
    </row>
    <row r="55" ht="15.75" customHeight="1">
      <c r="A55" s="225" t="s">
        <v>183</v>
      </c>
      <c r="B55" s="222"/>
      <c r="C55" s="224"/>
      <c r="D55" s="227"/>
      <c r="E55" s="224"/>
      <c r="F55" s="228"/>
      <c r="G55" s="233"/>
      <c r="H55" s="233"/>
      <c r="I55" s="233"/>
      <c r="J55" s="233"/>
      <c r="K55" s="233"/>
      <c r="L55" s="233"/>
      <c r="M55" s="233"/>
    </row>
    <row r="56" ht="15.75" customHeight="1">
      <c r="A56" s="231" t="s">
        <v>173</v>
      </c>
      <c r="B56" s="222" t="s">
        <v>171</v>
      </c>
      <c r="C56" s="224"/>
      <c r="D56" s="227"/>
      <c r="E56" s="224"/>
      <c r="F56" s="228"/>
      <c r="G56" s="237">
        <v>150.0</v>
      </c>
      <c r="H56" s="233">
        <f>G56*9</f>
        <v>1350</v>
      </c>
      <c r="I56" s="233"/>
      <c r="J56" s="233"/>
      <c r="K56" s="237">
        <v>150.0</v>
      </c>
      <c r="L56" s="233">
        <f>K56*9</f>
        <v>1350</v>
      </c>
      <c r="M56" s="233"/>
    </row>
    <row r="57" ht="15.75" customHeight="1">
      <c r="A57" s="231" t="s">
        <v>174</v>
      </c>
      <c r="B57" s="222" t="s">
        <v>171</v>
      </c>
      <c r="C57" s="224"/>
      <c r="D57" s="227"/>
      <c r="E57" s="224"/>
      <c r="F57" s="228"/>
      <c r="G57" s="233"/>
      <c r="H57" s="233"/>
      <c r="I57" s="233"/>
      <c r="J57" s="233"/>
      <c r="K57" s="233"/>
      <c r="L57" s="233"/>
      <c r="M57" s="233"/>
    </row>
    <row r="58" ht="15.75" customHeight="1">
      <c r="A58" s="231" t="s">
        <v>175</v>
      </c>
      <c r="B58" s="222" t="s">
        <v>171</v>
      </c>
      <c r="C58" s="224"/>
      <c r="D58" s="227"/>
      <c r="E58" s="224"/>
      <c r="F58" s="228"/>
      <c r="G58" s="233">
        <f>G56</f>
        <v>150</v>
      </c>
      <c r="H58" s="233"/>
      <c r="I58" s="233"/>
      <c r="J58" s="233"/>
      <c r="K58" s="233">
        <f>K56</f>
        <v>150</v>
      </c>
      <c r="L58" s="233"/>
      <c r="M58" s="233"/>
    </row>
    <row r="59" ht="15.75" customHeight="1">
      <c r="A59" s="231" t="s">
        <v>176</v>
      </c>
      <c r="B59" s="222" t="s">
        <v>24</v>
      </c>
      <c r="C59" s="224"/>
      <c r="D59" s="227"/>
      <c r="E59" s="224">
        <v>0.0</v>
      </c>
      <c r="F59" s="228"/>
      <c r="G59" s="233">
        <f>G58/4</f>
        <v>37.5</v>
      </c>
      <c r="H59" s="233"/>
      <c r="I59" s="233"/>
      <c r="J59" s="233"/>
      <c r="K59" s="233">
        <f>K58/4</f>
        <v>37.5</v>
      </c>
      <c r="L59" s="233"/>
      <c r="M59" s="233"/>
    </row>
    <row r="60">
      <c r="A60" s="225" t="s">
        <v>184</v>
      </c>
      <c r="B60" s="222"/>
      <c r="C60" s="224"/>
      <c r="D60" s="227"/>
      <c r="E60" s="224"/>
      <c r="F60" s="228"/>
      <c r="G60" s="233"/>
      <c r="H60" s="233"/>
      <c r="I60" s="233"/>
      <c r="J60" s="233"/>
      <c r="K60" s="233"/>
      <c r="L60" s="233"/>
      <c r="M60" s="233"/>
    </row>
    <row r="61">
      <c r="A61" s="231" t="s">
        <v>173</v>
      </c>
      <c r="B61" s="222" t="s">
        <v>171</v>
      </c>
      <c r="C61" s="224">
        <v>1593.0</v>
      </c>
      <c r="D61" s="239">
        <v>13536.51</v>
      </c>
      <c r="E61" s="224">
        <v>666.1</v>
      </c>
      <c r="F61" s="238">
        <v>5994.9</v>
      </c>
      <c r="G61" s="237">
        <v>1095.89</v>
      </c>
      <c r="H61" s="234">
        <v>10959.0</v>
      </c>
      <c r="I61" s="233"/>
      <c r="J61" s="233"/>
      <c r="K61" s="237">
        <v>1095.89</v>
      </c>
      <c r="L61" s="234">
        <v>10959.0</v>
      </c>
      <c r="M61" s="233"/>
    </row>
    <row r="62">
      <c r="A62" s="231" t="s">
        <v>174</v>
      </c>
      <c r="B62" s="222" t="s">
        <v>171</v>
      </c>
      <c r="C62" s="224"/>
      <c r="D62" s="227"/>
      <c r="E62" s="224"/>
      <c r="F62" s="228"/>
      <c r="G62" s="233"/>
      <c r="H62" s="233"/>
      <c r="I62" s="233"/>
      <c r="J62" s="233"/>
      <c r="K62" s="233"/>
      <c r="L62" s="233"/>
      <c r="M62" s="233"/>
    </row>
    <row r="63">
      <c r="A63" s="231" t="s">
        <v>175</v>
      </c>
      <c r="B63" s="222" t="s">
        <v>171</v>
      </c>
      <c r="C63" s="224">
        <v>1593.0</v>
      </c>
      <c r="D63" s="227"/>
      <c r="E63" s="224">
        <v>666.1</v>
      </c>
      <c r="F63" s="228"/>
      <c r="G63" s="233">
        <f>G61</f>
        <v>1095.89</v>
      </c>
      <c r="H63" s="233"/>
      <c r="I63" s="233"/>
      <c r="J63" s="233"/>
      <c r="K63" s="233">
        <f>K61</f>
        <v>1095.89</v>
      </c>
      <c r="L63" s="233"/>
      <c r="M63" s="233"/>
    </row>
    <row r="64">
      <c r="A64" s="231" t="s">
        <v>176</v>
      </c>
      <c r="B64" s="222" t="s">
        <v>24</v>
      </c>
      <c r="C64" s="224">
        <v>398.0</v>
      </c>
      <c r="D64" s="227"/>
      <c r="E64" s="224">
        <v>166.525</v>
      </c>
      <c r="F64" s="228"/>
      <c r="G64" s="233">
        <f>G63/4</f>
        <v>273.9725</v>
      </c>
      <c r="H64" s="233"/>
      <c r="I64" s="233"/>
      <c r="J64" s="233"/>
      <c r="K64" s="233">
        <f>K63/4</f>
        <v>273.9725</v>
      </c>
      <c r="L64" s="233"/>
      <c r="M64" s="233"/>
    </row>
    <row r="65" ht="15.75" hidden="1" customHeight="1">
      <c r="A65" s="225" t="s">
        <v>185</v>
      </c>
      <c r="B65" s="222"/>
      <c r="C65" s="224"/>
      <c r="D65" s="227"/>
      <c r="E65" s="224"/>
      <c r="F65" s="228"/>
      <c r="G65" s="233"/>
      <c r="H65" s="233"/>
      <c r="I65" s="233"/>
      <c r="J65" s="233"/>
      <c r="K65" s="233"/>
      <c r="L65" s="233"/>
      <c r="M65" s="233"/>
    </row>
    <row r="66" ht="15.75" hidden="1" customHeight="1">
      <c r="A66" s="231" t="s">
        <v>173</v>
      </c>
      <c r="B66" s="222"/>
      <c r="C66" s="224"/>
      <c r="D66" s="227"/>
      <c r="E66" s="224"/>
      <c r="F66" s="228"/>
      <c r="G66" s="233"/>
      <c r="H66" s="233"/>
      <c r="I66" s="233"/>
      <c r="J66" s="233"/>
      <c r="K66" s="233"/>
      <c r="L66" s="233"/>
      <c r="M66" s="233"/>
    </row>
    <row r="67" ht="15.75" hidden="1" customHeight="1">
      <c r="A67" s="231" t="s">
        <v>174</v>
      </c>
      <c r="B67" s="222"/>
      <c r="C67" s="224"/>
      <c r="D67" s="227"/>
      <c r="E67" s="224"/>
      <c r="F67" s="228"/>
      <c r="G67" s="233"/>
      <c r="H67" s="233"/>
      <c r="I67" s="233"/>
      <c r="J67" s="233"/>
      <c r="K67" s="233"/>
      <c r="L67" s="233"/>
      <c r="M67" s="233"/>
    </row>
    <row r="68" ht="15.75" hidden="1" customHeight="1">
      <c r="A68" s="231" t="s">
        <v>175</v>
      </c>
      <c r="B68" s="222"/>
      <c r="C68" s="224"/>
      <c r="D68" s="227"/>
      <c r="E68" s="224"/>
      <c r="F68" s="228"/>
      <c r="G68" s="233"/>
      <c r="H68" s="233"/>
      <c r="I68" s="233"/>
      <c r="J68" s="233"/>
      <c r="K68" s="233"/>
      <c r="L68" s="233"/>
      <c r="M68" s="233"/>
    </row>
    <row r="69" ht="15.75" hidden="1" customHeight="1">
      <c r="A69" s="231" t="s">
        <v>176</v>
      </c>
      <c r="B69" s="222"/>
      <c r="C69" s="224"/>
      <c r="D69" s="227"/>
      <c r="E69" s="224"/>
      <c r="F69" s="228"/>
      <c r="G69" s="233"/>
      <c r="H69" s="233"/>
      <c r="I69" s="233"/>
      <c r="J69" s="233"/>
      <c r="K69" s="233"/>
      <c r="L69" s="233"/>
      <c r="M69" s="233"/>
    </row>
    <row r="70" ht="15.75" hidden="1" customHeight="1">
      <c r="A70" s="225" t="s">
        <v>186</v>
      </c>
      <c r="B70" s="222"/>
      <c r="C70" s="224"/>
      <c r="D70" s="227"/>
      <c r="E70" s="224"/>
      <c r="F70" s="228"/>
      <c r="G70" s="233"/>
      <c r="H70" s="233"/>
      <c r="I70" s="233"/>
      <c r="J70" s="233"/>
      <c r="K70" s="233"/>
      <c r="L70" s="233"/>
      <c r="M70" s="233"/>
    </row>
    <row r="71" ht="15.75" hidden="1" customHeight="1">
      <c r="A71" s="231" t="s">
        <v>173</v>
      </c>
      <c r="B71" s="222"/>
      <c r="C71" s="224"/>
      <c r="D71" s="227"/>
      <c r="E71" s="224"/>
      <c r="F71" s="228"/>
      <c r="G71" s="233"/>
      <c r="H71" s="233"/>
      <c r="I71" s="233"/>
      <c r="J71" s="233"/>
      <c r="K71" s="233"/>
      <c r="L71" s="233"/>
      <c r="M71" s="233"/>
    </row>
    <row r="72" ht="15.75" hidden="1" customHeight="1">
      <c r="A72" s="231" t="s">
        <v>174</v>
      </c>
      <c r="B72" s="222"/>
      <c r="C72" s="224"/>
      <c r="D72" s="227"/>
      <c r="E72" s="224"/>
      <c r="F72" s="228"/>
      <c r="G72" s="233"/>
      <c r="H72" s="233"/>
      <c r="I72" s="233"/>
      <c r="J72" s="233"/>
      <c r="K72" s="233"/>
      <c r="L72" s="233"/>
      <c r="M72" s="233"/>
    </row>
    <row r="73" ht="15.75" hidden="1" customHeight="1">
      <c r="A73" s="231" t="s">
        <v>175</v>
      </c>
      <c r="B73" s="222"/>
      <c r="C73" s="224"/>
      <c r="D73" s="227"/>
      <c r="E73" s="224"/>
      <c r="F73" s="228"/>
      <c r="G73" s="233"/>
      <c r="H73" s="233"/>
      <c r="I73" s="233"/>
      <c r="J73" s="233"/>
      <c r="K73" s="233"/>
      <c r="L73" s="233"/>
      <c r="M73" s="233"/>
    </row>
    <row r="74" ht="15.75" hidden="1" customHeight="1">
      <c r="A74" s="231" t="s">
        <v>176</v>
      </c>
      <c r="B74" s="222"/>
      <c r="C74" s="224"/>
      <c r="D74" s="227"/>
      <c r="E74" s="224"/>
      <c r="F74" s="228"/>
      <c r="G74" s="233"/>
      <c r="H74" s="233"/>
      <c r="I74" s="233"/>
      <c r="J74" s="233"/>
      <c r="K74" s="233"/>
      <c r="L74" s="233"/>
      <c r="M74" s="233"/>
    </row>
    <row r="75">
      <c r="A75" s="225" t="s">
        <v>187</v>
      </c>
      <c r="B75" s="222"/>
      <c r="C75" s="224"/>
      <c r="D75" s="227"/>
      <c r="E75" s="224"/>
      <c r="F75" s="228"/>
      <c r="G75" s="233"/>
      <c r="H75" s="233"/>
      <c r="I75" s="233"/>
      <c r="J75" s="233"/>
      <c r="K75" s="233"/>
      <c r="L75" s="233"/>
      <c r="M75" s="233"/>
    </row>
    <row r="76">
      <c r="A76" s="231" t="s">
        <v>173</v>
      </c>
      <c r="B76" s="222" t="s">
        <v>171</v>
      </c>
      <c r="C76" s="224">
        <v>260.0</v>
      </c>
      <c r="D76" s="235">
        <v>3375.19</v>
      </c>
      <c r="E76" s="236">
        <v>250.0</v>
      </c>
      <c r="F76" s="224">
        <v>3500.0</v>
      </c>
      <c r="G76" s="234">
        <v>663.33</v>
      </c>
      <c r="H76" s="237">
        <v>9950.0</v>
      </c>
      <c r="I76" s="233"/>
      <c r="J76" s="233"/>
      <c r="K76" s="234">
        <v>663.33</v>
      </c>
      <c r="L76" s="237">
        <v>9950.0</v>
      </c>
      <c r="M76" s="233"/>
    </row>
    <row r="77">
      <c r="A77" s="231" t="s">
        <v>174</v>
      </c>
      <c r="B77" s="222" t="s">
        <v>171</v>
      </c>
      <c r="C77" s="224"/>
      <c r="D77" s="227"/>
      <c r="E77" s="224"/>
      <c r="F77" s="228"/>
      <c r="G77" s="233"/>
      <c r="H77" s="233"/>
      <c r="I77" s="233"/>
      <c r="J77" s="233"/>
      <c r="K77" s="233"/>
      <c r="L77" s="233"/>
      <c r="M77" s="233"/>
    </row>
    <row r="78">
      <c r="A78" s="231" t="s">
        <v>175</v>
      </c>
      <c r="B78" s="222" t="s">
        <v>171</v>
      </c>
      <c r="C78" s="224">
        <v>260.0</v>
      </c>
      <c r="D78" s="227"/>
      <c r="E78" s="224">
        <v>250.0</v>
      </c>
      <c r="F78" s="228"/>
      <c r="G78" s="233">
        <f>G76</f>
        <v>663.33</v>
      </c>
      <c r="H78" s="233"/>
      <c r="I78" s="233"/>
      <c r="J78" s="233"/>
      <c r="K78" s="233">
        <f>K76</f>
        <v>663.33</v>
      </c>
      <c r="L78" s="233"/>
      <c r="M78" s="233"/>
    </row>
    <row r="79">
      <c r="A79" s="231" t="s">
        <v>176</v>
      </c>
      <c r="B79" s="222" t="s">
        <v>24</v>
      </c>
      <c r="C79" s="224">
        <v>52.0</v>
      </c>
      <c r="D79" s="227"/>
      <c r="E79" s="224">
        <v>50.0</v>
      </c>
      <c r="F79" s="228"/>
      <c r="G79" s="233">
        <f>G78/5</f>
        <v>132.666</v>
      </c>
      <c r="H79" s="233"/>
      <c r="I79" s="233"/>
      <c r="J79" s="233"/>
      <c r="K79" s="233">
        <f>K78/5</f>
        <v>132.666</v>
      </c>
      <c r="L79" s="233"/>
      <c r="M79" s="233"/>
    </row>
    <row r="80" ht="15.75" hidden="1" customHeight="1">
      <c r="A80" s="225" t="s">
        <v>188</v>
      </c>
      <c r="B80" s="222"/>
      <c r="C80" s="224"/>
      <c r="D80" s="227"/>
      <c r="E80" s="224"/>
      <c r="F80" s="228"/>
      <c r="G80" s="233"/>
      <c r="H80" s="233"/>
      <c r="I80" s="233"/>
      <c r="J80" s="233"/>
      <c r="K80" s="233"/>
      <c r="L80" s="233"/>
      <c r="M80" s="233"/>
    </row>
    <row r="81" ht="15.75" hidden="1" customHeight="1">
      <c r="A81" s="231" t="s">
        <v>173</v>
      </c>
      <c r="B81" s="222"/>
      <c r="C81" s="224"/>
      <c r="D81" s="227"/>
      <c r="E81" s="224"/>
      <c r="F81" s="228"/>
      <c r="G81" s="233"/>
      <c r="H81" s="233"/>
      <c r="I81" s="233"/>
      <c r="J81" s="233"/>
      <c r="K81" s="233"/>
      <c r="L81" s="233"/>
      <c r="M81" s="233"/>
    </row>
    <row r="82" ht="15.75" hidden="1" customHeight="1">
      <c r="A82" s="231" t="s">
        <v>174</v>
      </c>
      <c r="B82" s="222"/>
      <c r="C82" s="224"/>
      <c r="D82" s="227"/>
      <c r="E82" s="224"/>
      <c r="F82" s="228"/>
      <c r="G82" s="233"/>
      <c r="H82" s="233"/>
      <c r="I82" s="233"/>
      <c r="J82" s="233"/>
      <c r="K82" s="233"/>
      <c r="L82" s="233"/>
      <c r="M82" s="233"/>
    </row>
    <row r="83" ht="15.75" hidden="1" customHeight="1">
      <c r="A83" s="231" t="s">
        <v>175</v>
      </c>
      <c r="B83" s="222"/>
      <c r="C83" s="224"/>
      <c r="D83" s="227"/>
      <c r="E83" s="224"/>
      <c r="F83" s="228"/>
      <c r="G83" s="233"/>
      <c r="H83" s="233"/>
      <c r="I83" s="233"/>
      <c r="J83" s="233"/>
      <c r="K83" s="233"/>
      <c r="L83" s="233"/>
      <c r="M83" s="233"/>
    </row>
    <row r="84" ht="15.75" hidden="1" customHeight="1">
      <c r="A84" s="231" t="s">
        <v>176</v>
      </c>
      <c r="B84" s="222"/>
      <c r="C84" s="224"/>
      <c r="D84" s="227"/>
      <c r="E84" s="224"/>
      <c r="F84" s="228"/>
      <c r="G84" s="233"/>
      <c r="H84" s="233"/>
      <c r="I84" s="233"/>
      <c r="J84" s="233"/>
      <c r="K84" s="233"/>
      <c r="L84" s="233"/>
      <c r="M84" s="233"/>
    </row>
    <row r="85" ht="15.75" hidden="1" customHeight="1">
      <c r="A85" s="225" t="s">
        <v>189</v>
      </c>
      <c r="B85" s="222"/>
      <c r="C85" s="224"/>
      <c r="D85" s="227"/>
      <c r="E85" s="224"/>
      <c r="F85" s="228"/>
      <c r="G85" s="233"/>
      <c r="H85" s="233"/>
      <c r="I85" s="233"/>
      <c r="J85" s="233"/>
      <c r="K85" s="233"/>
      <c r="L85" s="233"/>
      <c r="M85" s="233"/>
    </row>
    <row r="86" ht="15.75" hidden="1" customHeight="1">
      <c r="A86" s="231" t="s">
        <v>173</v>
      </c>
      <c r="B86" s="222"/>
      <c r="C86" s="224"/>
      <c r="D86" s="227"/>
      <c r="E86" s="224"/>
      <c r="F86" s="228"/>
      <c r="G86" s="233"/>
      <c r="H86" s="233"/>
      <c r="I86" s="233"/>
      <c r="J86" s="233"/>
      <c r="K86" s="233"/>
      <c r="L86" s="233"/>
      <c r="M86" s="233"/>
    </row>
    <row r="87" ht="15.75" hidden="1" customHeight="1">
      <c r="A87" s="231" t="s">
        <v>174</v>
      </c>
      <c r="B87" s="222"/>
      <c r="C87" s="224"/>
      <c r="D87" s="227"/>
      <c r="E87" s="224"/>
      <c r="F87" s="228"/>
      <c r="G87" s="233"/>
      <c r="H87" s="233"/>
      <c r="I87" s="233"/>
      <c r="J87" s="233"/>
      <c r="K87" s="233"/>
      <c r="L87" s="233"/>
      <c r="M87" s="233"/>
    </row>
    <row r="88" ht="15.75" hidden="1" customHeight="1">
      <c r="A88" s="231" t="s">
        <v>175</v>
      </c>
      <c r="B88" s="222"/>
      <c r="C88" s="224"/>
      <c r="D88" s="227"/>
      <c r="E88" s="224"/>
      <c r="F88" s="228"/>
      <c r="G88" s="233"/>
      <c r="H88" s="233"/>
      <c r="I88" s="233"/>
      <c r="J88" s="233"/>
      <c r="K88" s="233"/>
      <c r="L88" s="233"/>
      <c r="M88" s="233"/>
    </row>
    <row r="89" ht="15.75" hidden="1" customHeight="1">
      <c r="A89" s="231" t="s">
        <v>176</v>
      </c>
      <c r="B89" s="222"/>
      <c r="C89" s="224"/>
      <c r="D89" s="227"/>
      <c r="E89" s="224"/>
      <c r="F89" s="228"/>
      <c r="G89" s="233"/>
      <c r="H89" s="233"/>
      <c r="I89" s="233"/>
      <c r="J89" s="233"/>
      <c r="K89" s="233"/>
      <c r="L89" s="233"/>
      <c r="M89" s="233"/>
    </row>
    <row r="90" ht="15.75" hidden="1" customHeight="1">
      <c r="A90" s="225" t="s">
        <v>190</v>
      </c>
      <c r="B90" s="222"/>
      <c r="C90" s="224"/>
      <c r="D90" s="227"/>
      <c r="E90" s="224"/>
      <c r="F90" s="228"/>
      <c r="G90" s="233"/>
      <c r="H90" s="233"/>
      <c r="I90" s="233"/>
      <c r="J90" s="233"/>
      <c r="K90" s="233"/>
      <c r="L90" s="233"/>
      <c r="M90" s="233"/>
    </row>
    <row r="91" ht="15.75" hidden="1" customHeight="1">
      <c r="A91" s="231" t="s">
        <v>173</v>
      </c>
      <c r="B91" s="222"/>
      <c r="C91" s="224"/>
      <c r="D91" s="227"/>
      <c r="E91" s="224"/>
      <c r="F91" s="228"/>
      <c r="G91" s="233"/>
      <c r="H91" s="233"/>
      <c r="I91" s="233"/>
      <c r="J91" s="233"/>
      <c r="K91" s="233"/>
      <c r="L91" s="233"/>
      <c r="M91" s="233"/>
    </row>
    <row r="92" ht="15.75" hidden="1" customHeight="1">
      <c r="A92" s="231" t="s">
        <v>174</v>
      </c>
      <c r="B92" s="222"/>
      <c r="C92" s="224"/>
      <c r="D92" s="227"/>
      <c r="E92" s="224"/>
      <c r="F92" s="228"/>
      <c r="G92" s="233"/>
      <c r="H92" s="233"/>
      <c r="I92" s="233"/>
      <c r="J92" s="233"/>
      <c r="K92" s="233"/>
      <c r="L92" s="233"/>
      <c r="M92" s="233"/>
    </row>
    <row r="93" ht="15.75" hidden="1" customHeight="1">
      <c r="A93" s="231" t="s">
        <v>175</v>
      </c>
      <c r="B93" s="222"/>
      <c r="C93" s="224"/>
      <c r="D93" s="227"/>
      <c r="E93" s="224"/>
      <c r="F93" s="228"/>
      <c r="G93" s="233"/>
      <c r="H93" s="233"/>
      <c r="I93" s="233"/>
      <c r="J93" s="233"/>
      <c r="K93" s="233"/>
      <c r="L93" s="233"/>
      <c r="M93" s="233"/>
    </row>
    <row r="94" ht="15.75" hidden="1" customHeight="1">
      <c r="A94" s="231" t="s">
        <v>176</v>
      </c>
      <c r="B94" s="222"/>
      <c r="C94" s="224"/>
      <c r="D94" s="227"/>
      <c r="E94" s="224"/>
      <c r="F94" s="228"/>
      <c r="G94" s="233"/>
      <c r="H94" s="233"/>
      <c r="I94" s="233"/>
      <c r="J94" s="233"/>
      <c r="K94" s="233"/>
      <c r="L94" s="233"/>
      <c r="M94" s="233"/>
    </row>
    <row r="95" ht="15.75" hidden="1" customHeight="1">
      <c r="A95" s="225" t="s">
        <v>191</v>
      </c>
      <c r="B95" s="222"/>
      <c r="C95" s="224"/>
      <c r="D95" s="227"/>
      <c r="E95" s="224"/>
      <c r="F95" s="228"/>
      <c r="G95" s="233"/>
      <c r="H95" s="233"/>
      <c r="I95" s="233"/>
      <c r="J95" s="233"/>
      <c r="K95" s="233"/>
      <c r="L95" s="233"/>
      <c r="M95" s="233"/>
    </row>
    <row r="96" ht="15.75" hidden="1" customHeight="1">
      <c r="A96" s="240" t="s">
        <v>173</v>
      </c>
      <c r="B96" s="222"/>
      <c r="C96" s="224"/>
      <c r="D96" s="227"/>
      <c r="E96" s="224"/>
      <c r="F96" s="228"/>
      <c r="G96" s="233"/>
      <c r="H96" s="233"/>
      <c r="I96" s="233"/>
      <c r="J96" s="233"/>
      <c r="K96" s="233"/>
      <c r="L96" s="233"/>
      <c r="M96" s="233"/>
    </row>
    <row r="97" ht="15.75" hidden="1" customHeight="1">
      <c r="A97" s="231" t="s">
        <v>174</v>
      </c>
      <c r="B97" s="222"/>
      <c r="C97" s="224"/>
      <c r="D97" s="227"/>
      <c r="E97" s="224"/>
      <c r="F97" s="228"/>
      <c r="G97" s="233"/>
      <c r="H97" s="233"/>
      <c r="I97" s="233"/>
      <c r="J97" s="233"/>
      <c r="K97" s="233"/>
      <c r="L97" s="233"/>
      <c r="M97" s="233"/>
    </row>
    <row r="98" ht="15.75" hidden="1" customHeight="1">
      <c r="A98" s="231" t="s">
        <v>175</v>
      </c>
      <c r="B98" s="222"/>
      <c r="C98" s="224"/>
      <c r="D98" s="227"/>
      <c r="E98" s="224"/>
      <c r="F98" s="228"/>
      <c r="G98" s="233"/>
      <c r="H98" s="233"/>
      <c r="I98" s="233"/>
      <c r="J98" s="233"/>
      <c r="K98" s="233"/>
      <c r="L98" s="233"/>
      <c r="M98" s="233"/>
    </row>
    <row r="99" ht="15.75" hidden="1" customHeight="1">
      <c r="A99" s="231" t="s">
        <v>176</v>
      </c>
      <c r="B99" s="222"/>
      <c r="C99" s="224"/>
      <c r="D99" s="227"/>
      <c r="E99" s="224"/>
      <c r="F99" s="228"/>
      <c r="G99" s="233"/>
      <c r="H99" s="233"/>
      <c r="I99" s="233"/>
      <c r="J99" s="233"/>
      <c r="K99" s="233"/>
      <c r="L99" s="233"/>
      <c r="M99" s="233"/>
    </row>
    <row r="100" ht="15.75" hidden="1" customHeight="1">
      <c r="A100" s="225" t="s">
        <v>192</v>
      </c>
      <c r="B100" s="222"/>
      <c r="C100" s="224"/>
      <c r="D100" s="227"/>
      <c r="E100" s="224"/>
      <c r="F100" s="228"/>
      <c r="G100" s="233"/>
      <c r="H100" s="233"/>
      <c r="I100" s="233"/>
      <c r="J100" s="233"/>
      <c r="K100" s="233"/>
      <c r="L100" s="233"/>
      <c r="M100" s="233"/>
    </row>
    <row r="101" ht="15.75" hidden="1" customHeight="1">
      <c r="A101" s="231" t="s">
        <v>173</v>
      </c>
      <c r="B101" s="222"/>
      <c r="C101" s="224"/>
      <c r="D101" s="227"/>
      <c r="E101" s="224"/>
      <c r="F101" s="228"/>
      <c r="G101" s="233"/>
      <c r="H101" s="233"/>
      <c r="I101" s="233"/>
      <c r="J101" s="233"/>
      <c r="K101" s="233"/>
      <c r="L101" s="233"/>
      <c r="M101" s="233"/>
    </row>
    <row r="102" ht="15.75" hidden="1" customHeight="1">
      <c r="A102" s="231" t="s">
        <v>174</v>
      </c>
      <c r="B102" s="222"/>
      <c r="C102" s="224"/>
      <c r="D102" s="227"/>
      <c r="E102" s="224"/>
      <c r="F102" s="228"/>
      <c r="G102" s="233"/>
      <c r="H102" s="233"/>
      <c r="I102" s="233"/>
      <c r="J102" s="233"/>
      <c r="K102" s="233"/>
      <c r="L102" s="233"/>
      <c r="M102" s="233"/>
    </row>
    <row r="103" ht="15.75" hidden="1" customHeight="1">
      <c r="A103" s="231" t="s">
        <v>175</v>
      </c>
      <c r="B103" s="222"/>
      <c r="C103" s="224"/>
      <c r="D103" s="227"/>
      <c r="E103" s="224"/>
      <c r="F103" s="228"/>
      <c r="G103" s="233"/>
      <c r="H103" s="233"/>
      <c r="I103" s="233"/>
      <c r="J103" s="233"/>
      <c r="K103" s="233"/>
      <c r="L103" s="233"/>
      <c r="M103" s="233"/>
    </row>
    <row r="104" ht="15.75" hidden="1" customHeight="1">
      <c r="A104" s="231" t="s">
        <v>176</v>
      </c>
      <c r="B104" s="222"/>
      <c r="C104" s="224"/>
      <c r="D104" s="227"/>
      <c r="E104" s="224"/>
      <c r="F104" s="228"/>
      <c r="G104" s="233"/>
      <c r="H104" s="233"/>
      <c r="I104" s="233"/>
      <c r="J104" s="233"/>
      <c r="K104" s="233"/>
      <c r="L104" s="233"/>
      <c r="M104" s="233"/>
    </row>
    <row r="105" ht="15.75" hidden="1" customHeight="1">
      <c r="A105" s="225"/>
      <c r="B105" s="222"/>
      <c r="C105" s="224"/>
      <c r="D105" s="227"/>
      <c r="E105" s="224"/>
      <c r="F105" s="228"/>
      <c r="G105" s="233"/>
      <c r="H105" s="233"/>
      <c r="I105" s="233"/>
      <c r="J105" s="233"/>
      <c r="K105" s="233"/>
      <c r="L105" s="233"/>
      <c r="M105" s="233"/>
    </row>
    <row r="106">
      <c r="A106" s="225" t="s">
        <v>193</v>
      </c>
      <c r="B106" s="222"/>
      <c r="C106" s="224"/>
      <c r="D106" s="227"/>
      <c r="E106" s="224"/>
      <c r="F106" s="228"/>
      <c r="G106" s="233"/>
      <c r="H106" s="233"/>
      <c r="I106" s="233"/>
      <c r="J106" s="233"/>
      <c r="K106" s="233"/>
      <c r="L106" s="233"/>
      <c r="M106" s="233"/>
    </row>
    <row r="107" ht="15.75" hidden="1" customHeight="1">
      <c r="A107" s="231" t="s">
        <v>173</v>
      </c>
      <c r="B107" s="222"/>
      <c r="C107" s="224"/>
      <c r="D107" s="227"/>
      <c r="E107" s="224"/>
      <c r="F107" s="228"/>
      <c r="G107" s="233"/>
      <c r="H107" s="233"/>
      <c r="I107" s="233"/>
      <c r="J107" s="233"/>
      <c r="K107" s="233"/>
      <c r="L107" s="233"/>
      <c r="M107" s="233"/>
    </row>
    <row r="108" ht="15.75" hidden="1" customHeight="1">
      <c r="A108" s="231" t="s">
        <v>174</v>
      </c>
      <c r="B108" s="222"/>
      <c r="C108" s="224"/>
      <c r="D108" s="227"/>
      <c r="E108" s="224"/>
      <c r="F108" s="228"/>
      <c r="G108" s="233"/>
      <c r="H108" s="233"/>
      <c r="I108" s="233"/>
      <c r="J108" s="233"/>
      <c r="K108" s="233"/>
      <c r="L108" s="233"/>
      <c r="M108" s="233"/>
    </row>
    <row r="109" ht="15.75" hidden="1" customHeight="1">
      <c r="A109" s="225" t="s">
        <v>186</v>
      </c>
      <c r="B109" s="222"/>
      <c r="C109" s="224"/>
      <c r="D109" s="227"/>
      <c r="E109" s="224"/>
      <c r="F109" s="228"/>
      <c r="G109" s="233"/>
      <c r="H109" s="233"/>
      <c r="I109" s="233"/>
      <c r="J109" s="233"/>
      <c r="K109" s="233"/>
      <c r="L109" s="233"/>
      <c r="M109" s="233"/>
    </row>
    <row r="110" ht="15.75" hidden="1" customHeight="1">
      <c r="A110" s="231" t="s">
        <v>173</v>
      </c>
      <c r="B110" s="222"/>
      <c r="C110" s="224"/>
      <c r="D110" s="227"/>
      <c r="E110" s="224"/>
      <c r="F110" s="228"/>
      <c r="G110" s="233"/>
      <c r="H110" s="233"/>
      <c r="I110" s="233"/>
      <c r="J110" s="233"/>
      <c r="K110" s="233"/>
      <c r="L110" s="233"/>
      <c r="M110" s="233"/>
    </row>
    <row r="111" ht="15.75" hidden="1" customHeight="1">
      <c r="A111" s="231" t="s">
        <v>174</v>
      </c>
      <c r="B111" s="222"/>
      <c r="C111" s="224"/>
      <c r="D111" s="227"/>
      <c r="E111" s="224"/>
      <c r="F111" s="228"/>
      <c r="G111" s="233"/>
      <c r="H111" s="233"/>
      <c r="I111" s="233"/>
      <c r="J111" s="233"/>
      <c r="K111" s="233"/>
      <c r="L111" s="233"/>
      <c r="M111" s="233"/>
    </row>
    <row r="112" ht="15.75" hidden="1" customHeight="1">
      <c r="A112" s="225" t="s">
        <v>187</v>
      </c>
      <c r="B112" s="222"/>
      <c r="C112" s="224"/>
      <c r="D112" s="227"/>
      <c r="E112" s="224"/>
      <c r="F112" s="228"/>
      <c r="G112" s="233"/>
      <c r="H112" s="233"/>
      <c r="I112" s="233"/>
      <c r="J112" s="233"/>
      <c r="K112" s="233"/>
      <c r="L112" s="233"/>
      <c r="M112" s="233"/>
    </row>
    <row r="113" ht="15.75" hidden="1" customHeight="1">
      <c r="A113" s="231" t="s">
        <v>173</v>
      </c>
      <c r="B113" s="222" t="s">
        <v>171</v>
      </c>
      <c r="C113" s="224"/>
      <c r="D113" s="227"/>
      <c r="E113" s="224"/>
      <c r="F113" s="228"/>
      <c r="G113" s="233"/>
      <c r="H113" s="233"/>
      <c r="I113" s="233"/>
      <c r="J113" s="233"/>
      <c r="K113" s="233"/>
      <c r="L113" s="233"/>
      <c r="M113" s="233"/>
    </row>
    <row r="114" ht="15.75" hidden="1" customHeight="1">
      <c r="A114" s="231" t="s">
        <v>174</v>
      </c>
      <c r="B114" s="222" t="s">
        <v>171</v>
      </c>
      <c r="C114" s="224"/>
      <c r="D114" s="227"/>
      <c r="E114" s="224"/>
      <c r="F114" s="228"/>
      <c r="G114" s="233"/>
      <c r="H114" s="233"/>
      <c r="I114" s="233"/>
      <c r="J114" s="233"/>
      <c r="K114" s="233"/>
      <c r="L114" s="233"/>
      <c r="M114" s="233"/>
    </row>
    <row r="115" ht="15.75" hidden="1" customHeight="1">
      <c r="A115" s="241" t="s">
        <v>175</v>
      </c>
      <c r="B115" s="222"/>
      <c r="C115" s="224"/>
      <c r="D115" s="227"/>
      <c r="E115" s="224"/>
      <c r="F115" s="228"/>
      <c r="G115" s="233"/>
      <c r="H115" s="233"/>
      <c r="I115" s="233"/>
      <c r="J115" s="233"/>
      <c r="K115" s="233"/>
      <c r="L115" s="233"/>
      <c r="M115" s="233"/>
    </row>
    <row r="116" ht="15.75" hidden="1" customHeight="1">
      <c r="A116" s="241" t="s">
        <v>176</v>
      </c>
      <c r="B116" s="222"/>
      <c r="C116" s="224"/>
      <c r="D116" s="227"/>
      <c r="E116" s="224"/>
      <c r="F116" s="228"/>
      <c r="G116" s="233"/>
      <c r="H116" s="233"/>
      <c r="I116" s="233"/>
      <c r="J116" s="233"/>
      <c r="K116" s="233"/>
      <c r="L116" s="233"/>
      <c r="M116" s="233"/>
    </row>
    <row r="117">
      <c r="A117" s="225" t="s">
        <v>194</v>
      </c>
      <c r="B117" s="222"/>
      <c r="C117" s="224"/>
      <c r="D117" s="227"/>
      <c r="E117" s="224"/>
      <c r="F117" s="228"/>
      <c r="G117" s="233"/>
      <c r="H117" s="233"/>
      <c r="I117" s="233"/>
      <c r="J117" s="233"/>
      <c r="K117" s="233"/>
      <c r="L117" s="233"/>
      <c r="M117" s="233"/>
    </row>
    <row r="118" ht="15.75" hidden="1" customHeight="1">
      <c r="A118" s="231" t="s">
        <v>173</v>
      </c>
      <c r="B118" s="222"/>
      <c r="C118" s="224"/>
      <c r="D118" s="227"/>
      <c r="E118" s="224"/>
      <c r="F118" s="228"/>
      <c r="G118" s="233"/>
      <c r="H118" s="233"/>
      <c r="I118" s="233"/>
      <c r="J118" s="233"/>
      <c r="K118" s="233"/>
      <c r="L118" s="233"/>
      <c r="M118" s="233"/>
    </row>
    <row r="119" ht="15.75" hidden="1" customHeight="1">
      <c r="A119" s="231" t="s">
        <v>174</v>
      </c>
      <c r="B119" s="222"/>
      <c r="C119" s="224"/>
      <c r="D119" s="227"/>
      <c r="E119" s="224"/>
      <c r="F119" s="228"/>
      <c r="G119" s="233"/>
      <c r="H119" s="233"/>
      <c r="I119" s="233"/>
      <c r="J119" s="233"/>
      <c r="K119" s="233"/>
      <c r="L119" s="233"/>
      <c r="M119" s="233"/>
    </row>
    <row r="120" ht="15.75" hidden="1" customHeight="1">
      <c r="A120" s="231" t="s">
        <v>175</v>
      </c>
      <c r="B120" s="222"/>
      <c r="C120" s="224"/>
      <c r="D120" s="227"/>
      <c r="E120" s="224"/>
      <c r="F120" s="228"/>
      <c r="G120" s="233"/>
      <c r="H120" s="233"/>
      <c r="I120" s="233"/>
      <c r="J120" s="233"/>
      <c r="K120" s="233"/>
      <c r="L120" s="233"/>
      <c r="M120" s="233"/>
    </row>
    <row r="121" ht="15.75" hidden="1" customHeight="1">
      <c r="A121" s="231" t="s">
        <v>176</v>
      </c>
      <c r="B121" s="222"/>
      <c r="C121" s="224"/>
      <c r="D121" s="227"/>
      <c r="E121" s="224"/>
      <c r="F121" s="228"/>
      <c r="G121" s="233"/>
      <c r="H121" s="233"/>
      <c r="I121" s="233"/>
      <c r="J121" s="233"/>
      <c r="K121" s="233"/>
      <c r="L121" s="233"/>
      <c r="M121" s="233"/>
    </row>
    <row r="122" ht="15.75" hidden="1" customHeight="1">
      <c r="A122" s="225" t="s">
        <v>195</v>
      </c>
      <c r="B122" s="222"/>
      <c r="C122" s="224"/>
      <c r="D122" s="227"/>
      <c r="E122" s="224"/>
      <c r="F122" s="228"/>
      <c r="G122" s="233"/>
      <c r="H122" s="233"/>
      <c r="I122" s="233"/>
      <c r="J122" s="233"/>
      <c r="K122" s="233"/>
      <c r="L122" s="233"/>
      <c r="M122" s="233"/>
    </row>
    <row r="123" ht="15.75" hidden="1" customHeight="1">
      <c r="A123" s="231" t="s">
        <v>173</v>
      </c>
      <c r="B123" s="222"/>
      <c r="C123" s="224"/>
      <c r="D123" s="227"/>
      <c r="E123" s="224"/>
      <c r="F123" s="228"/>
      <c r="G123" s="233"/>
      <c r="H123" s="233"/>
      <c r="I123" s="233"/>
      <c r="J123" s="233"/>
      <c r="K123" s="233"/>
      <c r="L123" s="233"/>
      <c r="M123" s="233"/>
    </row>
    <row r="124" ht="15.75" hidden="1" customHeight="1">
      <c r="A124" s="231" t="s">
        <v>174</v>
      </c>
      <c r="B124" s="222"/>
      <c r="C124" s="224"/>
      <c r="D124" s="227"/>
      <c r="E124" s="224"/>
      <c r="F124" s="228"/>
      <c r="G124" s="233"/>
      <c r="H124" s="233"/>
      <c r="I124" s="233"/>
      <c r="J124" s="233"/>
      <c r="K124" s="233"/>
      <c r="L124" s="233"/>
      <c r="M124" s="233"/>
    </row>
    <row r="125" ht="15.75" hidden="1" customHeight="1">
      <c r="A125" s="231" t="s">
        <v>175</v>
      </c>
      <c r="B125" s="222"/>
      <c r="C125" s="224"/>
      <c r="D125" s="227"/>
      <c r="E125" s="224"/>
      <c r="F125" s="228"/>
      <c r="G125" s="233"/>
      <c r="H125" s="233"/>
      <c r="I125" s="233"/>
      <c r="J125" s="233"/>
      <c r="K125" s="233"/>
      <c r="L125" s="233"/>
      <c r="M125" s="233"/>
    </row>
    <row r="126" ht="15.75" hidden="1" customHeight="1">
      <c r="A126" s="231" t="s">
        <v>176</v>
      </c>
      <c r="B126" s="222"/>
      <c r="C126" s="224"/>
      <c r="D126" s="227"/>
      <c r="E126" s="224"/>
      <c r="F126" s="228"/>
      <c r="G126" s="233"/>
      <c r="H126" s="233"/>
      <c r="I126" s="233"/>
      <c r="J126" s="233"/>
      <c r="K126" s="233"/>
      <c r="L126" s="233"/>
      <c r="M126" s="233"/>
    </row>
    <row r="127" ht="15.75" hidden="1" customHeight="1">
      <c r="A127" s="225" t="s">
        <v>188</v>
      </c>
      <c r="B127" s="222"/>
      <c r="C127" s="224"/>
      <c r="D127" s="227"/>
      <c r="E127" s="224"/>
      <c r="F127" s="228"/>
      <c r="G127" s="233"/>
      <c r="H127" s="233"/>
      <c r="I127" s="233"/>
      <c r="J127" s="233"/>
      <c r="K127" s="233"/>
      <c r="L127" s="233"/>
      <c r="M127" s="233"/>
    </row>
    <row r="128" ht="15.75" hidden="1" customHeight="1">
      <c r="A128" s="231" t="s">
        <v>173</v>
      </c>
      <c r="B128" s="222"/>
      <c r="C128" s="224"/>
      <c r="D128" s="227"/>
      <c r="E128" s="224"/>
      <c r="F128" s="228"/>
      <c r="G128" s="233"/>
      <c r="H128" s="233"/>
      <c r="I128" s="233"/>
      <c r="J128" s="233"/>
      <c r="K128" s="233"/>
      <c r="L128" s="233"/>
      <c r="M128" s="233"/>
    </row>
    <row r="129" ht="15.75" hidden="1" customHeight="1">
      <c r="A129" s="231" t="s">
        <v>174</v>
      </c>
      <c r="B129" s="222"/>
      <c r="C129" s="224"/>
      <c r="D129" s="227"/>
      <c r="E129" s="224"/>
      <c r="F129" s="228"/>
      <c r="G129" s="233"/>
      <c r="H129" s="233"/>
      <c r="I129" s="233"/>
      <c r="J129" s="233"/>
      <c r="K129" s="233"/>
      <c r="L129" s="233"/>
      <c r="M129" s="233"/>
    </row>
    <row r="130" ht="15.75" hidden="1" customHeight="1">
      <c r="A130" s="231" t="s">
        <v>175</v>
      </c>
      <c r="B130" s="222"/>
      <c r="C130" s="224"/>
      <c r="D130" s="227"/>
      <c r="E130" s="224"/>
      <c r="F130" s="228"/>
      <c r="G130" s="233"/>
      <c r="H130" s="233"/>
      <c r="I130" s="233"/>
      <c r="J130" s="233"/>
      <c r="K130" s="233"/>
      <c r="L130" s="233"/>
      <c r="M130" s="233"/>
    </row>
    <row r="131" ht="15.75" hidden="1" customHeight="1">
      <c r="A131" s="231" t="s">
        <v>176</v>
      </c>
      <c r="B131" s="222"/>
      <c r="C131" s="224"/>
      <c r="D131" s="227"/>
      <c r="E131" s="224"/>
      <c r="F131" s="228"/>
      <c r="G131" s="233"/>
      <c r="H131" s="233"/>
      <c r="I131" s="233"/>
      <c r="J131" s="233"/>
      <c r="K131" s="233"/>
      <c r="L131" s="233"/>
      <c r="M131" s="233"/>
    </row>
    <row r="132" ht="15.75" customHeight="1">
      <c r="A132" s="225" t="s">
        <v>196</v>
      </c>
      <c r="B132" s="222"/>
      <c r="C132" s="224"/>
      <c r="D132" s="227"/>
      <c r="E132" s="224"/>
      <c r="F132" s="228"/>
      <c r="G132" s="233"/>
      <c r="H132" s="233"/>
      <c r="I132" s="233"/>
      <c r="J132" s="233"/>
      <c r="K132" s="233"/>
      <c r="L132" s="233"/>
      <c r="M132" s="233"/>
    </row>
    <row r="133" ht="15.75" customHeight="1">
      <c r="A133" s="231" t="s">
        <v>173</v>
      </c>
      <c r="B133" s="222"/>
      <c r="C133" s="224"/>
      <c r="D133" s="227"/>
      <c r="E133" s="224"/>
      <c r="F133" s="228"/>
      <c r="G133" s="237">
        <v>1000.0</v>
      </c>
      <c r="H133" s="237">
        <v>500.0</v>
      </c>
      <c r="I133" s="233"/>
      <c r="J133" s="233"/>
      <c r="K133" s="237">
        <v>1000.0</v>
      </c>
      <c r="L133" s="237">
        <v>500.0</v>
      </c>
      <c r="M133" s="233"/>
    </row>
    <row r="134" ht="15.75" customHeight="1">
      <c r="A134" s="231" t="s">
        <v>174</v>
      </c>
      <c r="B134" s="222"/>
      <c r="C134" s="224"/>
      <c r="D134" s="227"/>
      <c r="E134" s="224"/>
      <c r="F134" s="228"/>
      <c r="G134" s="233"/>
      <c r="H134" s="233"/>
      <c r="I134" s="233"/>
      <c r="J134" s="233"/>
      <c r="K134" s="233"/>
      <c r="L134" s="233"/>
      <c r="M134" s="233"/>
    </row>
    <row r="135" ht="15.75" customHeight="1">
      <c r="A135" s="231" t="s">
        <v>175</v>
      </c>
      <c r="B135" s="222"/>
      <c r="C135" s="224"/>
      <c r="D135" s="227"/>
      <c r="E135" s="224"/>
      <c r="F135" s="228"/>
      <c r="G135" s="233">
        <f>G133</f>
        <v>1000</v>
      </c>
      <c r="H135" s="233"/>
      <c r="I135" s="233"/>
      <c r="J135" s="233"/>
      <c r="K135" s="233">
        <f>K133</f>
        <v>1000</v>
      </c>
      <c r="L135" s="233"/>
      <c r="M135" s="233"/>
    </row>
    <row r="136" ht="15.75" customHeight="1">
      <c r="A136" s="231" t="s">
        <v>176</v>
      </c>
      <c r="B136" s="222"/>
      <c r="C136" s="224"/>
      <c r="D136" s="227"/>
      <c r="E136" s="224"/>
      <c r="F136" s="228"/>
      <c r="G136" s="233">
        <f>G135/500</f>
        <v>2</v>
      </c>
      <c r="H136" s="233"/>
      <c r="I136" s="233"/>
      <c r="J136" s="233"/>
      <c r="K136" s="233">
        <f>K135/500</f>
        <v>2</v>
      </c>
      <c r="L136" s="233"/>
      <c r="M136" s="233"/>
    </row>
    <row r="137" ht="15.75" hidden="1" customHeight="1">
      <c r="A137" s="225" t="s">
        <v>197</v>
      </c>
      <c r="B137" s="222"/>
      <c r="C137" s="224"/>
      <c r="D137" s="227"/>
      <c r="E137" s="224"/>
      <c r="F137" s="228"/>
      <c r="G137" s="233"/>
      <c r="H137" s="233"/>
      <c r="I137" s="233"/>
      <c r="J137" s="233"/>
      <c r="K137" s="233"/>
      <c r="L137" s="233"/>
      <c r="M137" s="233"/>
    </row>
    <row r="138" ht="15.75" hidden="1" customHeight="1">
      <c r="A138" s="231" t="s">
        <v>173</v>
      </c>
      <c r="B138" s="222"/>
      <c r="C138" s="224"/>
      <c r="D138" s="227"/>
      <c r="E138" s="224"/>
      <c r="F138" s="228"/>
      <c r="G138" s="233"/>
      <c r="H138" s="233"/>
      <c r="I138" s="233"/>
      <c r="J138" s="233"/>
      <c r="K138" s="233"/>
      <c r="L138" s="233"/>
      <c r="M138" s="233"/>
    </row>
    <row r="139" ht="15.75" hidden="1" customHeight="1">
      <c r="A139" s="231" t="s">
        <v>174</v>
      </c>
      <c r="B139" s="222"/>
      <c r="C139" s="224"/>
      <c r="D139" s="227"/>
      <c r="E139" s="224"/>
      <c r="F139" s="228"/>
      <c r="G139" s="233"/>
      <c r="H139" s="233"/>
      <c r="I139" s="233"/>
      <c r="J139" s="233"/>
      <c r="K139" s="233"/>
      <c r="L139" s="233"/>
      <c r="M139" s="233"/>
    </row>
    <row r="140" ht="15.75" hidden="1" customHeight="1">
      <c r="A140" s="231" t="s">
        <v>175</v>
      </c>
      <c r="B140" s="222"/>
      <c r="C140" s="224"/>
      <c r="D140" s="227"/>
      <c r="E140" s="224"/>
      <c r="F140" s="228"/>
      <c r="G140" s="233"/>
      <c r="H140" s="233"/>
      <c r="I140" s="233"/>
      <c r="J140" s="233"/>
      <c r="K140" s="233"/>
      <c r="L140" s="233"/>
      <c r="M140" s="233"/>
    </row>
    <row r="141" ht="15.75" hidden="1" customHeight="1">
      <c r="A141" s="231" t="s">
        <v>176</v>
      </c>
      <c r="B141" s="222"/>
      <c r="C141" s="224"/>
      <c r="D141" s="227"/>
      <c r="E141" s="224"/>
      <c r="F141" s="228"/>
      <c r="G141" s="233"/>
      <c r="H141" s="233"/>
      <c r="I141" s="233"/>
      <c r="J141" s="233"/>
      <c r="K141" s="233"/>
      <c r="L141" s="233"/>
      <c r="M141" s="233"/>
    </row>
    <row r="142" ht="15.75" hidden="1" customHeight="1">
      <c r="A142" s="225" t="s">
        <v>198</v>
      </c>
      <c r="B142" s="222"/>
      <c r="C142" s="224"/>
      <c r="D142" s="227"/>
      <c r="E142" s="224"/>
      <c r="F142" s="228"/>
      <c r="G142" s="233"/>
      <c r="H142" s="233"/>
      <c r="I142" s="233"/>
      <c r="J142" s="233"/>
      <c r="K142" s="233"/>
      <c r="L142" s="233"/>
      <c r="M142" s="233"/>
    </row>
    <row r="143" ht="15.75" hidden="1" customHeight="1">
      <c r="A143" s="231" t="s">
        <v>173</v>
      </c>
      <c r="B143" s="222"/>
      <c r="C143" s="224"/>
      <c r="D143" s="227"/>
      <c r="E143" s="224"/>
      <c r="F143" s="228"/>
      <c r="G143" s="233"/>
      <c r="H143" s="233"/>
      <c r="I143" s="233"/>
      <c r="J143" s="233"/>
      <c r="K143" s="233"/>
      <c r="L143" s="233"/>
      <c r="M143" s="233"/>
    </row>
    <row r="144" ht="15.75" hidden="1" customHeight="1">
      <c r="A144" s="231" t="s">
        <v>174</v>
      </c>
      <c r="B144" s="222"/>
      <c r="C144" s="224"/>
      <c r="D144" s="227"/>
      <c r="E144" s="224"/>
      <c r="F144" s="228"/>
      <c r="G144" s="233"/>
      <c r="H144" s="233"/>
      <c r="I144" s="233"/>
      <c r="J144" s="233"/>
      <c r="K144" s="233"/>
      <c r="L144" s="233"/>
      <c r="M144" s="233"/>
    </row>
    <row r="145" ht="15.75" hidden="1" customHeight="1">
      <c r="A145" s="231" t="s">
        <v>175</v>
      </c>
      <c r="B145" s="222"/>
      <c r="C145" s="224"/>
      <c r="D145" s="227"/>
      <c r="E145" s="224"/>
      <c r="F145" s="228"/>
      <c r="G145" s="233"/>
      <c r="H145" s="233"/>
      <c r="I145" s="233"/>
      <c r="J145" s="233"/>
      <c r="K145" s="233"/>
      <c r="L145" s="233"/>
      <c r="M145" s="233"/>
    </row>
    <row r="146" ht="15.75" hidden="1" customHeight="1">
      <c r="A146" s="231" t="s">
        <v>176</v>
      </c>
      <c r="B146" s="222"/>
      <c r="C146" s="224"/>
      <c r="D146" s="227"/>
      <c r="E146" s="224"/>
      <c r="F146" s="228"/>
      <c r="G146" s="233"/>
      <c r="H146" s="233"/>
      <c r="I146" s="233"/>
      <c r="J146" s="233"/>
      <c r="K146" s="233"/>
      <c r="L146" s="233"/>
      <c r="M146" s="233"/>
    </row>
    <row r="147">
      <c r="A147" s="225" t="s">
        <v>199</v>
      </c>
      <c r="B147" s="222"/>
      <c r="C147" s="224"/>
      <c r="D147" s="227"/>
      <c r="E147" s="224"/>
      <c r="F147" s="228"/>
      <c r="G147" s="233"/>
      <c r="H147" s="233"/>
      <c r="I147" s="233"/>
      <c r="J147" s="233"/>
      <c r="K147" s="233"/>
      <c r="L147" s="233"/>
      <c r="M147" s="233"/>
    </row>
    <row r="148" ht="15.75" hidden="1" customHeight="1">
      <c r="A148" s="231" t="s">
        <v>173</v>
      </c>
      <c r="B148" s="222"/>
      <c r="C148" s="224"/>
      <c r="D148" s="227"/>
      <c r="E148" s="224"/>
      <c r="F148" s="228"/>
      <c r="G148" s="233"/>
      <c r="H148" s="233"/>
      <c r="I148" s="233"/>
      <c r="J148" s="233"/>
      <c r="K148" s="233"/>
      <c r="L148" s="233"/>
      <c r="M148" s="233"/>
    </row>
    <row r="149" ht="15.75" hidden="1" customHeight="1">
      <c r="A149" s="231" t="s">
        <v>174</v>
      </c>
      <c r="B149" s="222"/>
      <c r="C149" s="224"/>
      <c r="D149" s="227"/>
      <c r="E149" s="224"/>
      <c r="F149" s="228"/>
      <c r="G149" s="233"/>
      <c r="H149" s="233"/>
      <c r="I149" s="233"/>
      <c r="J149" s="233"/>
      <c r="K149" s="233"/>
      <c r="L149" s="233"/>
      <c r="M149" s="233"/>
    </row>
    <row r="150" ht="15.75" hidden="1" customHeight="1">
      <c r="A150" s="231" t="s">
        <v>175</v>
      </c>
      <c r="B150" s="222"/>
      <c r="C150" s="224"/>
      <c r="D150" s="227"/>
      <c r="E150" s="224"/>
      <c r="F150" s="228"/>
      <c r="G150" s="233"/>
      <c r="H150" s="233"/>
      <c r="I150" s="233"/>
      <c r="J150" s="233"/>
      <c r="K150" s="233"/>
      <c r="L150" s="233"/>
      <c r="M150" s="233"/>
    </row>
    <row r="151" ht="15.75" hidden="1" customHeight="1">
      <c r="A151" s="231" t="s">
        <v>176</v>
      </c>
      <c r="B151" s="222"/>
      <c r="C151" s="224"/>
      <c r="D151" s="227"/>
      <c r="E151" s="224"/>
      <c r="F151" s="228"/>
      <c r="G151" s="233"/>
      <c r="H151" s="233"/>
      <c r="I151" s="233"/>
      <c r="J151" s="233"/>
      <c r="K151" s="233"/>
      <c r="L151" s="233"/>
      <c r="M151" s="233"/>
    </row>
    <row r="152" ht="15.75" hidden="1" customHeight="1">
      <c r="A152" s="225" t="s">
        <v>200</v>
      </c>
      <c r="B152" s="222"/>
      <c r="C152" s="224"/>
      <c r="D152" s="227"/>
      <c r="E152" s="224"/>
      <c r="F152" s="228"/>
      <c r="G152" s="233"/>
      <c r="H152" s="233"/>
      <c r="I152" s="233"/>
      <c r="J152" s="233"/>
      <c r="K152" s="233"/>
      <c r="L152" s="233"/>
      <c r="M152" s="233"/>
    </row>
    <row r="153" ht="15.75" hidden="1" customHeight="1">
      <c r="A153" s="231" t="s">
        <v>173</v>
      </c>
      <c r="B153" s="222" t="s">
        <v>201</v>
      </c>
      <c r="C153" s="224"/>
      <c r="D153" s="227"/>
      <c r="E153" s="224"/>
      <c r="F153" s="228"/>
      <c r="G153" s="233"/>
      <c r="H153" s="233"/>
      <c r="I153" s="233"/>
      <c r="J153" s="233"/>
      <c r="K153" s="233"/>
      <c r="L153" s="233"/>
      <c r="M153" s="233"/>
    </row>
    <row r="154" ht="15.75" hidden="1" customHeight="1">
      <c r="A154" s="231" t="s">
        <v>174</v>
      </c>
      <c r="B154" s="222" t="s">
        <v>201</v>
      </c>
      <c r="C154" s="224"/>
      <c r="D154" s="227"/>
      <c r="E154" s="224"/>
      <c r="F154" s="228"/>
      <c r="G154" s="233"/>
      <c r="H154" s="233"/>
      <c r="I154" s="233"/>
      <c r="J154" s="233"/>
      <c r="K154" s="233"/>
      <c r="L154" s="233"/>
      <c r="M154" s="233"/>
    </row>
    <row r="155" ht="15.75" hidden="1" customHeight="1">
      <c r="A155" s="231" t="s">
        <v>175</v>
      </c>
      <c r="B155" s="222" t="s">
        <v>201</v>
      </c>
      <c r="C155" s="224"/>
      <c r="D155" s="227"/>
      <c r="E155" s="224"/>
      <c r="F155" s="228"/>
      <c r="G155" s="233"/>
      <c r="H155" s="233"/>
      <c r="I155" s="233"/>
      <c r="J155" s="233"/>
      <c r="K155" s="233"/>
      <c r="L155" s="233"/>
      <c r="M155" s="233"/>
    </row>
    <row r="156" ht="15.75" hidden="1" customHeight="1">
      <c r="A156" s="231" t="s">
        <v>176</v>
      </c>
      <c r="B156" s="222" t="s">
        <v>24</v>
      </c>
      <c r="C156" s="224"/>
      <c r="D156" s="227"/>
      <c r="E156" s="224"/>
      <c r="F156" s="228"/>
      <c r="G156" s="233"/>
      <c r="H156" s="233"/>
      <c r="I156" s="233"/>
      <c r="J156" s="233"/>
      <c r="K156" s="233"/>
      <c r="L156" s="233"/>
      <c r="M156" s="233"/>
    </row>
    <row r="157" ht="15.75" hidden="1" customHeight="1">
      <c r="A157" s="225" t="s">
        <v>202</v>
      </c>
      <c r="B157" s="222"/>
      <c r="C157" s="224"/>
      <c r="D157" s="227"/>
      <c r="E157" s="224"/>
      <c r="F157" s="228"/>
      <c r="G157" s="233"/>
      <c r="H157" s="233"/>
      <c r="I157" s="233"/>
      <c r="J157" s="233"/>
      <c r="K157" s="233"/>
      <c r="L157" s="233"/>
      <c r="M157" s="233"/>
    </row>
    <row r="158" ht="15.75" hidden="1" customHeight="1">
      <c r="A158" s="231" t="s">
        <v>173</v>
      </c>
      <c r="B158" s="222"/>
      <c r="C158" s="224"/>
      <c r="D158" s="227"/>
      <c r="E158" s="224"/>
      <c r="F158" s="228"/>
      <c r="G158" s="233"/>
      <c r="H158" s="233"/>
      <c r="I158" s="233"/>
      <c r="J158" s="233"/>
      <c r="K158" s="233"/>
      <c r="L158" s="233"/>
      <c r="M158" s="233"/>
    </row>
    <row r="159" ht="15.75" hidden="1" customHeight="1">
      <c r="A159" s="231" t="s">
        <v>174</v>
      </c>
      <c r="B159" s="222"/>
      <c r="C159" s="224"/>
      <c r="D159" s="227"/>
      <c r="E159" s="224"/>
      <c r="F159" s="228"/>
      <c r="G159" s="233"/>
      <c r="H159" s="233"/>
      <c r="I159" s="233"/>
      <c r="J159" s="233"/>
      <c r="K159" s="233"/>
      <c r="L159" s="233"/>
      <c r="M159" s="233"/>
    </row>
    <row r="160" ht="15.75" hidden="1" customHeight="1">
      <c r="A160" s="231" t="s">
        <v>175</v>
      </c>
      <c r="B160" s="222"/>
      <c r="C160" s="224"/>
      <c r="D160" s="227"/>
      <c r="E160" s="224"/>
      <c r="F160" s="228"/>
      <c r="G160" s="233"/>
      <c r="H160" s="233"/>
      <c r="I160" s="233"/>
      <c r="J160" s="233"/>
      <c r="K160" s="233"/>
      <c r="L160" s="233"/>
      <c r="M160" s="233"/>
    </row>
    <row r="161" ht="15.75" hidden="1" customHeight="1">
      <c r="A161" s="231" t="s">
        <v>176</v>
      </c>
      <c r="B161" s="222"/>
      <c r="C161" s="224"/>
      <c r="D161" s="227"/>
      <c r="E161" s="224"/>
      <c r="F161" s="228"/>
      <c r="G161" s="233"/>
      <c r="H161" s="233"/>
      <c r="I161" s="233"/>
      <c r="J161" s="233"/>
      <c r="K161" s="233"/>
      <c r="L161" s="233"/>
      <c r="M161" s="233"/>
    </row>
    <row r="162" ht="15.75" hidden="1" customHeight="1">
      <c r="A162" s="225" t="s">
        <v>203</v>
      </c>
      <c r="B162" s="222"/>
      <c r="C162" s="224"/>
      <c r="D162" s="227"/>
      <c r="E162" s="224"/>
      <c r="F162" s="228"/>
      <c r="G162" s="233"/>
      <c r="H162" s="233"/>
      <c r="I162" s="233"/>
      <c r="J162" s="233"/>
      <c r="K162" s="233"/>
      <c r="L162" s="233"/>
      <c r="M162" s="233"/>
    </row>
    <row r="163" ht="15.75" hidden="1" customHeight="1">
      <c r="A163" s="231" t="s">
        <v>173</v>
      </c>
      <c r="B163" s="222" t="s">
        <v>201</v>
      </c>
      <c r="C163" s="224"/>
      <c r="D163" s="227"/>
      <c r="E163" s="224"/>
      <c r="F163" s="228"/>
      <c r="G163" s="233"/>
      <c r="H163" s="233"/>
      <c r="I163" s="233"/>
      <c r="J163" s="233"/>
      <c r="K163" s="233"/>
      <c r="L163" s="233"/>
      <c r="M163" s="233"/>
    </row>
    <row r="164" ht="15.75" hidden="1" customHeight="1">
      <c r="A164" s="231" t="s">
        <v>174</v>
      </c>
      <c r="B164" s="222" t="s">
        <v>201</v>
      </c>
      <c r="C164" s="224"/>
      <c r="D164" s="227"/>
      <c r="E164" s="224"/>
      <c r="F164" s="228"/>
      <c r="G164" s="233"/>
      <c r="H164" s="233"/>
      <c r="I164" s="233"/>
      <c r="J164" s="233"/>
      <c r="K164" s="233"/>
      <c r="L164" s="233"/>
      <c r="M164" s="233"/>
    </row>
    <row r="165" ht="15.75" hidden="1" customHeight="1">
      <c r="A165" s="231" t="s">
        <v>175</v>
      </c>
      <c r="B165" s="222" t="s">
        <v>201</v>
      </c>
      <c r="C165" s="224"/>
      <c r="D165" s="227"/>
      <c r="E165" s="224"/>
      <c r="F165" s="228"/>
      <c r="G165" s="233"/>
      <c r="H165" s="233"/>
      <c r="I165" s="233"/>
      <c r="J165" s="233"/>
      <c r="K165" s="233"/>
      <c r="L165" s="233"/>
      <c r="M165" s="233"/>
    </row>
    <row r="166" ht="15.75" hidden="1" customHeight="1">
      <c r="A166" s="231" t="s">
        <v>176</v>
      </c>
      <c r="B166" s="222" t="s">
        <v>24</v>
      </c>
      <c r="C166" s="227"/>
      <c r="D166" s="227"/>
      <c r="E166" s="224"/>
      <c r="F166" s="228"/>
      <c r="G166" s="233"/>
      <c r="H166" s="233"/>
      <c r="I166" s="233"/>
      <c r="J166" s="233"/>
      <c r="K166" s="233"/>
      <c r="L166" s="233"/>
      <c r="M166" s="233"/>
    </row>
    <row r="167" ht="15.75" hidden="1" customHeight="1">
      <c r="A167" s="225" t="s">
        <v>204</v>
      </c>
      <c r="B167" s="222"/>
      <c r="C167" s="224"/>
      <c r="D167" s="227"/>
      <c r="E167" s="224"/>
      <c r="F167" s="228"/>
      <c r="G167" s="233"/>
      <c r="H167" s="233"/>
      <c r="I167" s="233"/>
      <c r="J167" s="233"/>
      <c r="K167" s="233"/>
      <c r="L167" s="233"/>
      <c r="M167" s="233"/>
    </row>
    <row r="168" ht="15.75" hidden="1" customHeight="1">
      <c r="A168" s="231" t="s">
        <v>173</v>
      </c>
      <c r="B168" s="222" t="s">
        <v>201</v>
      </c>
      <c r="C168" s="224"/>
      <c r="D168" s="227"/>
      <c r="E168" s="224"/>
      <c r="F168" s="228"/>
      <c r="G168" s="233"/>
      <c r="H168" s="233"/>
      <c r="I168" s="233"/>
      <c r="J168" s="233"/>
      <c r="K168" s="233"/>
      <c r="L168" s="233"/>
      <c r="M168" s="233"/>
    </row>
    <row r="169" ht="15.75" hidden="1" customHeight="1">
      <c r="A169" s="231" t="s">
        <v>174</v>
      </c>
      <c r="B169" s="222" t="s">
        <v>201</v>
      </c>
      <c r="C169" s="224"/>
      <c r="D169" s="227"/>
      <c r="E169" s="224"/>
      <c r="F169" s="228"/>
      <c r="G169" s="233"/>
      <c r="H169" s="233"/>
      <c r="I169" s="233"/>
      <c r="J169" s="233"/>
      <c r="K169" s="233"/>
      <c r="L169" s="233"/>
      <c r="M169" s="233"/>
    </row>
    <row r="170" ht="15.75" hidden="1" customHeight="1">
      <c r="A170" s="231" t="s">
        <v>175</v>
      </c>
      <c r="B170" s="222" t="s">
        <v>201</v>
      </c>
      <c r="C170" s="224"/>
      <c r="D170" s="227"/>
      <c r="E170" s="224"/>
      <c r="F170" s="228"/>
      <c r="G170" s="233"/>
      <c r="H170" s="233"/>
      <c r="I170" s="233"/>
      <c r="J170" s="233"/>
      <c r="K170" s="233"/>
      <c r="L170" s="233"/>
      <c r="M170" s="233"/>
    </row>
    <row r="171" ht="15.75" hidden="1" customHeight="1">
      <c r="A171" s="231" t="s">
        <v>176</v>
      </c>
      <c r="B171" s="222" t="s">
        <v>24</v>
      </c>
      <c r="C171" s="224"/>
      <c r="D171" s="227"/>
      <c r="E171" s="224"/>
      <c r="F171" s="228"/>
      <c r="G171" s="233"/>
      <c r="H171" s="233"/>
      <c r="I171" s="233"/>
      <c r="J171" s="233"/>
      <c r="K171" s="233"/>
      <c r="L171" s="233"/>
      <c r="M171" s="233"/>
    </row>
    <row r="172" ht="15.75" hidden="1" customHeight="1">
      <c r="A172" s="225" t="s">
        <v>205</v>
      </c>
      <c r="B172" s="222"/>
      <c r="C172" s="224"/>
      <c r="D172" s="227"/>
      <c r="E172" s="224"/>
      <c r="F172" s="228"/>
      <c r="G172" s="233"/>
      <c r="H172" s="233"/>
      <c r="I172" s="233"/>
      <c r="J172" s="233"/>
      <c r="K172" s="233"/>
      <c r="L172" s="233"/>
      <c r="M172" s="233"/>
    </row>
    <row r="173" ht="15.75" hidden="1" customHeight="1">
      <c r="A173" s="231" t="s">
        <v>173</v>
      </c>
      <c r="B173" s="222"/>
      <c r="C173" s="224"/>
      <c r="D173" s="227"/>
      <c r="E173" s="224"/>
      <c r="F173" s="228"/>
      <c r="G173" s="233"/>
      <c r="H173" s="233"/>
      <c r="I173" s="233"/>
      <c r="J173" s="233"/>
      <c r="K173" s="233"/>
      <c r="L173" s="233"/>
      <c r="M173" s="233"/>
    </row>
    <row r="174" ht="15.75" hidden="1" customHeight="1">
      <c r="A174" s="231" t="s">
        <v>174</v>
      </c>
      <c r="B174" s="222"/>
      <c r="C174" s="224"/>
      <c r="D174" s="227"/>
      <c r="E174" s="224"/>
      <c r="F174" s="228"/>
      <c r="G174" s="233"/>
      <c r="H174" s="233"/>
      <c r="I174" s="233"/>
      <c r="J174" s="233"/>
      <c r="K174" s="233"/>
      <c r="L174" s="233"/>
      <c r="M174" s="233"/>
    </row>
    <row r="175" ht="15.75" hidden="1" customHeight="1">
      <c r="A175" s="231" t="s">
        <v>175</v>
      </c>
      <c r="B175" s="222"/>
      <c r="C175" s="224"/>
      <c r="D175" s="227"/>
      <c r="E175" s="224"/>
      <c r="F175" s="228"/>
      <c r="G175" s="233"/>
      <c r="H175" s="233"/>
      <c r="I175" s="233"/>
      <c r="J175" s="233"/>
      <c r="K175" s="233"/>
      <c r="L175" s="233"/>
      <c r="M175" s="233"/>
    </row>
    <row r="176" ht="15.75" hidden="1" customHeight="1">
      <c r="A176" s="231" t="s">
        <v>176</v>
      </c>
      <c r="B176" s="222"/>
      <c r="C176" s="224"/>
      <c r="D176" s="227"/>
      <c r="E176" s="224"/>
      <c r="F176" s="228"/>
      <c r="G176" s="233"/>
      <c r="H176" s="233"/>
      <c r="I176" s="233"/>
      <c r="J176" s="233"/>
      <c r="K176" s="233"/>
      <c r="L176" s="233"/>
      <c r="M176" s="233"/>
    </row>
    <row r="177" ht="15.75" hidden="1" customHeight="1">
      <c r="A177" s="225" t="s">
        <v>206</v>
      </c>
      <c r="B177" s="222"/>
      <c r="C177" s="224"/>
      <c r="D177" s="227"/>
      <c r="E177" s="224"/>
      <c r="F177" s="228"/>
      <c r="G177" s="233"/>
      <c r="H177" s="233"/>
      <c r="I177" s="233"/>
      <c r="J177" s="233"/>
      <c r="K177" s="233"/>
      <c r="L177" s="233"/>
      <c r="M177" s="233"/>
    </row>
    <row r="178" ht="15.75" hidden="1" customHeight="1">
      <c r="A178" s="231" t="s">
        <v>173</v>
      </c>
      <c r="B178" s="222"/>
      <c r="C178" s="224"/>
      <c r="D178" s="227"/>
      <c r="E178" s="224"/>
      <c r="F178" s="228"/>
      <c r="G178" s="233"/>
      <c r="H178" s="233"/>
      <c r="I178" s="233"/>
      <c r="J178" s="233"/>
      <c r="K178" s="233"/>
      <c r="L178" s="233"/>
      <c r="M178" s="233"/>
    </row>
    <row r="179" ht="15.75" hidden="1" customHeight="1">
      <c r="A179" s="231" t="s">
        <v>174</v>
      </c>
      <c r="B179" s="222"/>
      <c r="C179" s="224"/>
      <c r="D179" s="227"/>
      <c r="E179" s="224"/>
      <c r="F179" s="228"/>
      <c r="G179" s="233"/>
      <c r="H179" s="233"/>
      <c r="I179" s="233"/>
      <c r="J179" s="233"/>
      <c r="K179" s="233"/>
      <c r="L179" s="233"/>
      <c r="M179" s="233"/>
    </row>
    <row r="180" ht="15.75" hidden="1" customHeight="1">
      <c r="A180" s="231" t="s">
        <v>175</v>
      </c>
      <c r="B180" s="222"/>
      <c r="C180" s="224"/>
      <c r="D180" s="227"/>
      <c r="E180" s="224"/>
      <c r="F180" s="228"/>
      <c r="G180" s="233"/>
      <c r="H180" s="233"/>
      <c r="I180" s="233"/>
      <c r="J180" s="233"/>
      <c r="K180" s="233"/>
      <c r="L180" s="233"/>
      <c r="M180" s="233"/>
    </row>
    <row r="181" ht="15.75" hidden="1" customHeight="1">
      <c r="A181" s="231" t="s">
        <v>176</v>
      </c>
      <c r="B181" s="222"/>
      <c r="C181" s="224"/>
      <c r="D181" s="227"/>
      <c r="E181" s="224"/>
      <c r="F181" s="228"/>
      <c r="G181" s="233"/>
      <c r="H181" s="233"/>
      <c r="I181" s="233"/>
      <c r="J181" s="233"/>
      <c r="K181" s="233"/>
      <c r="L181" s="233"/>
      <c r="M181" s="233"/>
    </row>
    <row r="182">
      <c r="A182" s="225" t="s">
        <v>207</v>
      </c>
      <c r="B182" s="222"/>
      <c r="C182" s="224"/>
      <c r="D182" s="227"/>
      <c r="E182" s="224"/>
      <c r="F182" s="228"/>
      <c r="G182" s="233"/>
      <c r="H182" s="233"/>
      <c r="I182" s="233"/>
      <c r="J182" s="233"/>
      <c r="K182" s="233"/>
      <c r="L182" s="233"/>
      <c r="M182" s="233"/>
    </row>
    <row r="183">
      <c r="A183" s="231" t="s">
        <v>173</v>
      </c>
      <c r="B183" s="222" t="s">
        <v>201</v>
      </c>
      <c r="C183" s="224">
        <v>62500.0</v>
      </c>
      <c r="D183" s="227">
        <v>5000.0</v>
      </c>
      <c r="E183" s="236">
        <v>10000.0</v>
      </c>
      <c r="F183" s="228">
        <v>1000.0</v>
      </c>
      <c r="G183" s="233"/>
      <c r="H183" s="233"/>
      <c r="I183" s="233"/>
      <c r="J183" s="233"/>
      <c r="K183" s="233"/>
      <c r="L183" s="233"/>
      <c r="M183" s="233"/>
    </row>
    <row r="184">
      <c r="A184" s="231" t="s">
        <v>174</v>
      </c>
      <c r="B184" s="222" t="s">
        <v>201</v>
      </c>
      <c r="C184" s="224">
        <v>23750.0</v>
      </c>
      <c r="D184" s="227">
        <v>2375.0</v>
      </c>
      <c r="E184" s="236"/>
      <c r="F184" s="228"/>
      <c r="G184" s="233"/>
      <c r="H184" s="233"/>
      <c r="I184" s="233"/>
      <c r="J184" s="233"/>
      <c r="K184" s="233"/>
      <c r="L184" s="233"/>
      <c r="M184" s="233"/>
    </row>
    <row r="185">
      <c r="A185" s="231" t="s">
        <v>175</v>
      </c>
      <c r="B185" s="222" t="s">
        <v>201</v>
      </c>
      <c r="C185" s="224">
        <v>62500.0</v>
      </c>
      <c r="D185" s="227"/>
      <c r="E185" s="224"/>
      <c r="F185" s="228"/>
      <c r="G185" s="233"/>
      <c r="H185" s="233"/>
      <c r="I185" s="233"/>
      <c r="J185" s="233"/>
      <c r="K185" s="233"/>
      <c r="L185" s="233"/>
      <c r="M185" s="233"/>
    </row>
    <row r="186">
      <c r="A186" s="231" t="s">
        <v>176</v>
      </c>
      <c r="B186" s="222" t="s">
        <v>24</v>
      </c>
      <c r="C186" s="224">
        <v>125.0</v>
      </c>
      <c r="D186" s="227"/>
      <c r="E186" s="224">
        <v>0.0</v>
      </c>
      <c r="F186" s="228"/>
      <c r="G186" s="233"/>
      <c r="H186" s="233"/>
      <c r="I186" s="233"/>
      <c r="J186" s="233"/>
      <c r="K186" s="233"/>
      <c r="L186" s="233"/>
      <c r="M186" s="233"/>
    </row>
    <row r="187">
      <c r="A187" s="242" t="s">
        <v>200</v>
      </c>
      <c r="B187" s="222"/>
      <c r="C187" s="224"/>
      <c r="D187" s="227"/>
      <c r="E187" s="224"/>
      <c r="F187" s="228"/>
      <c r="G187" s="233"/>
      <c r="H187" s="233"/>
      <c r="I187" s="233"/>
      <c r="J187" s="233"/>
      <c r="K187" s="233"/>
      <c r="L187" s="233"/>
      <c r="M187" s="233"/>
    </row>
    <row r="188">
      <c r="A188" s="231" t="s">
        <v>173</v>
      </c>
      <c r="B188" s="222"/>
      <c r="C188" s="224">
        <v>10000.0</v>
      </c>
      <c r="D188" s="227">
        <v>1499.97</v>
      </c>
      <c r="E188" s="224"/>
      <c r="F188" s="228"/>
      <c r="G188" s="233"/>
      <c r="H188" s="233"/>
      <c r="I188" s="233"/>
      <c r="J188" s="233"/>
      <c r="K188" s="233"/>
      <c r="L188" s="233"/>
      <c r="M188" s="233"/>
    </row>
    <row r="189">
      <c r="A189" s="231" t="s">
        <v>174</v>
      </c>
      <c r="B189" s="222"/>
      <c r="C189" s="224"/>
      <c r="D189" s="227"/>
      <c r="E189" s="224"/>
      <c r="F189" s="228"/>
      <c r="G189" s="233"/>
      <c r="H189" s="233"/>
      <c r="I189" s="233"/>
      <c r="J189" s="233"/>
      <c r="K189" s="233"/>
      <c r="L189" s="233"/>
      <c r="M189" s="233"/>
    </row>
    <row r="190">
      <c r="A190" s="231" t="s">
        <v>175</v>
      </c>
      <c r="B190" s="222"/>
      <c r="C190" s="224">
        <v>10000.0</v>
      </c>
      <c r="D190" s="227"/>
      <c r="E190" s="224"/>
      <c r="F190" s="228"/>
      <c r="G190" s="233"/>
      <c r="H190" s="233"/>
      <c r="I190" s="233"/>
      <c r="J190" s="233"/>
      <c r="K190" s="233"/>
      <c r="L190" s="233"/>
      <c r="M190" s="233"/>
    </row>
    <row r="191">
      <c r="A191" s="231" t="s">
        <v>176</v>
      </c>
      <c r="B191" s="222"/>
      <c r="C191" s="224">
        <v>50.0</v>
      </c>
      <c r="D191" s="227"/>
      <c r="E191" s="224"/>
      <c r="F191" s="228"/>
      <c r="G191" s="233"/>
      <c r="H191" s="233"/>
      <c r="I191" s="233"/>
      <c r="J191" s="233"/>
      <c r="K191" s="233"/>
      <c r="L191" s="233"/>
      <c r="M191" s="233"/>
    </row>
    <row r="192" ht="15.75" hidden="1" customHeight="1">
      <c r="A192" s="225" t="s">
        <v>208</v>
      </c>
      <c r="B192" s="222"/>
      <c r="C192" s="224"/>
      <c r="D192" s="227"/>
      <c r="E192" s="224"/>
      <c r="F192" s="228"/>
      <c r="G192" s="233"/>
      <c r="H192" s="233"/>
      <c r="I192" s="233"/>
      <c r="J192" s="233"/>
      <c r="K192" s="233"/>
      <c r="L192" s="233"/>
      <c r="M192" s="233"/>
    </row>
    <row r="193" ht="15.75" hidden="1" customHeight="1">
      <c r="A193" s="231" t="s">
        <v>173</v>
      </c>
      <c r="B193" s="222"/>
      <c r="C193" s="224"/>
      <c r="D193" s="227"/>
      <c r="E193" s="224"/>
      <c r="F193" s="228"/>
      <c r="G193" s="233"/>
      <c r="H193" s="233"/>
      <c r="I193" s="233"/>
      <c r="J193" s="233"/>
      <c r="K193" s="233"/>
      <c r="L193" s="233"/>
      <c r="M193" s="233"/>
    </row>
    <row r="194" ht="15.75" hidden="1" customHeight="1">
      <c r="A194" s="231" t="s">
        <v>174</v>
      </c>
      <c r="B194" s="222"/>
      <c r="C194" s="224"/>
      <c r="D194" s="227"/>
      <c r="E194" s="224"/>
      <c r="F194" s="228"/>
      <c r="G194" s="233"/>
      <c r="H194" s="233"/>
      <c r="I194" s="233"/>
      <c r="J194" s="233"/>
      <c r="K194" s="233"/>
      <c r="L194" s="233"/>
      <c r="M194" s="233"/>
    </row>
    <row r="195" ht="15.75" hidden="1" customHeight="1">
      <c r="A195" s="231" t="s">
        <v>175</v>
      </c>
      <c r="B195" s="222"/>
      <c r="C195" s="224"/>
      <c r="D195" s="227"/>
      <c r="E195" s="224"/>
      <c r="F195" s="228"/>
      <c r="G195" s="233"/>
      <c r="H195" s="233"/>
      <c r="I195" s="233"/>
      <c r="J195" s="233"/>
      <c r="K195" s="233"/>
      <c r="L195" s="233"/>
      <c r="M195" s="233"/>
    </row>
    <row r="196" ht="15.75" hidden="1" customHeight="1">
      <c r="A196" s="231" t="s">
        <v>176</v>
      </c>
      <c r="B196" s="222"/>
      <c r="C196" s="224"/>
      <c r="D196" s="227"/>
      <c r="E196" s="224"/>
      <c r="F196" s="228"/>
      <c r="G196" s="233"/>
      <c r="H196" s="233"/>
      <c r="I196" s="233"/>
      <c r="J196" s="233"/>
      <c r="K196" s="233"/>
      <c r="L196" s="233"/>
      <c r="M196" s="233"/>
    </row>
    <row r="197" ht="15.75" hidden="1" customHeight="1">
      <c r="A197" s="225" t="s">
        <v>209</v>
      </c>
      <c r="B197" s="222"/>
      <c r="C197" s="224"/>
      <c r="D197" s="227"/>
      <c r="E197" s="224"/>
      <c r="F197" s="228"/>
      <c r="G197" s="233"/>
      <c r="H197" s="233"/>
      <c r="I197" s="233"/>
      <c r="J197" s="233"/>
      <c r="K197" s="233"/>
      <c r="L197" s="233"/>
      <c r="M197" s="233"/>
    </row>
    <row r="198" ht="15.75" hidden="1" customHeight="1">
      <c r="A198" s="231" t="s">
        <v>173</v>
      </c>
      <c r="B198" s="222"/>
      <c r="C198" s="224"/>
      <c r="D198" s="227"/>
      <c r="E198" s="224"/>
      <c r="F198" s="228"/>
      <c r="G198" s="233"/>
      <c r="H198" s="233"/>
      <c r="I198" s="233"/>
      <c r="J198" s="233"/>
      <c r="K198" s="233"/>
      <c r="L198" s="233"/>
      <c r="M198" s="233"/>
    </row>
    <row r="199" ht="15.75" hidden="1" customHeight="1">
      <c r="A199" s="231" t="s">
        <v>174</v>
      </c>
      <c r="B199" s="222"/>
      <c r="C199" s="224"/>
      <c r="D199" s="227"/>
      <c r="E199" s="224"/>
      <c r="F199" s="228"/>
      <c r="G199" s="233"/>
      <c r="H199" s="233"/>
      <c r="I199" s="233"/>
      <c r="J199" s="233"/>
      <c r="K199" s="233"/>
      <c r="L199" s="233"/>
      <c r="M199" s="233"/>
    </row>
    <row r="200" ht="15.75" hidden="1" customHeight="1">
      <c r="A200" s="231" t="s">
        <v>175</v>
      </c>
      <c r="B200" s="222"/>
      <c r="C200" s="224"/>
      <c r="D200" s="227"/>
      <c r="E200" s="224"/>
      <c r="F200" s="228"/>
      <c r="G200" s="233"/>
      <c r="H200" s="233"/>
      <c r="I200" s="233"/>
      <c r="J200" s="233"/>
      <c r="K200" s="233"/>
      <c r="L200" s="233"/>
      <c r="M200" s="233"/>
    </row>
    <row r="201" ht="15.75" hidden="1" customHeight="1">
      <c r="A201" s="231" t="s">
        <v>176</v>
      </c>
      <c r="B201" s="222"/>
      <c r="C201" s="224"/>
      <c r="D201" s="227"/>
      <c r="E201" s="224"/>
      <c r="F201" s="228"/>
      <c r="G201" s="233"/>
      <c r="H201" s="233"/>
      <c r="I201" s="233"/>
      <c r="J201" s="233"/>
      <c r="K201" s="233"/>
      <c r="L201" s="233"/>
      <c r="M201" s="233"/>
    </row>
    <row r="202" ht="15.75" hidden="1" customHeight="1">
      <c r="A202" s="225" t="s">
        <v>210</v>
      </c>
      <c r="B202" s="222"/>
      <c r="C202" s="224"/>
      <c r="D202" s="227"/>
      <c r="E202" s="224"/>
      <c r="F202" s="228"/>
      <c r="G202" s="233"/>
      <c r="H202" s="233"/>
      <c r="I202" s="233"/>
      <c r="J202" s="233"/>
      <c r="K202" s="233"/>
      <c r="L202" s="233"/>
      <c r="M202" s="233"/>
    </row>
    <row r="203" ht="15.75" hidden="1" customHeight="1">
      <c r="A203" s="231" t="s">
        <v>173</v>
      </c>
      <c r="B203" s="222"/>
      <c r="C203" s="224"/>
      <c r="D203" s="227"/>
      <c r="E203" s="224"/>
      <c r="F203" s="228"/>
      <c r="G203" s="233"/>
      <c r="H203" s="233"/>
      <c r="I203" s="233"/>
      <c r="J203" s="233"/>
      <c r="K203" s="233"/>
      <c r="L203" s="233"/>
      <c r="M203" s="233"/>
    </row>
    <row r="204" ht="15.75" hidden="1" customHeight="1">
      <c r="A204" s="231" t="s">
        <v>174</v>
      </c>
      <c r="B204" s="222"/>
      <c r="C204" s="224"/>
      <c r="D204" s="227"/>
      <c r="E204" s="224"/>
      <c r="F204" s="228"/>
      <c r="G204" s="233"/>
      <c r="H204" s="233"/>
      <c r="I204" s="233"/>
      <c r="J204" s="233"/>
      <c r="K204" s="233"/>
      <c r="L204" s="233"/>
      <c r="M204" s="233"/>
    </row>
    <row r="205" ht="15.75" hidden="1" customHeight="1">
      <c r="A205" s="231" t="s">
        <v>175</v>
      </c>
      <c r="B205" s="222"/>
      <c r="C205" s="224"/>
      <c r="D205" s="227"/>
      <c r="E205" s="224"/>
      <c r="F205" s="228"/>
      <c r="G205" s="233"/>
      <c r="H205" s="233"/>
      <c r="I205" s="233"/>
      <c r="J205" s="233"/>
      <c r="K205" s="233"/>
      <c r="L205" s="233"/>
      <c r="M205" s="233"/>
    </row>
    <row r="206" ht="15.75" hidden="1" customHeight="1">
      <c r="A206" s="231" t="s">
        <v>176</v>
      </c>
      <c r="B206" s="222"/>
      <c r="C206" s="224"/>
      <c r="D206" s="227"/>
      <c r="E206" s="224"/>
      <c r="F206" s="228"/>
      <c r="G206" s="233"/>
      <c r="H206" s="233"/>
      <c r="I206" s="233"/>
      <c r="J206" s="233"/>
      <c r="K206" s="233"/>
      <c r="L206" s="233"/>
      <c r="M206" s="233"/>
    </row>
    <row r="207" ht="15.75" hidden="1" customHeight="1">
      <c r="A207" s="225" t="s">
        <v>211</v>
      </c>
      <c r="B207" s="222"/>
      <c r="C207" s="224"/>
      <c r="D207" s="227"/>
      <c r="E207" s="224"/>
      <c r="F207" s="228"/>
      <c r="G207" s="233"/>
      <c r="H207" s="233"/>
      <c r="I207" s="233"/>
      <c r="J207" s="233"/>
      <c r="K207" s="233"/>
      <c r="L207" s="233"/>
      <c r="M207" s="233"/>
    </row>
    <row r="208" ht="15.75" hidden="1" customHeight="1">
      <c r="A208" s="231" t="s">
        <v>173</v>
      </c>
      <c r="B208" s="222"/>
      <c r="C208" s="224"/>
      <c r="D208" s="227"/>
      <c r="E208" s="224"/>
      <c r="F208" s="228"/>
      <c r="G208" s="233"/>
      <c r="H208" s="233"/>
      <c r="I208" s="233"/>
      <c r="J208" s="233"/>
      <c r="K208" s="233"/>
      <c r="L208" s="233"/>
      <c r="M208" s="233"/>
    </row>
    <row r="209" ht="15.75" hidden="1" customHeight="1">
      <c r="A209" s="231" t="s">
        <v>174</v>
      </c>
      <c r="B209" s="222"/>
      <c r="C209" s="224"/>
      <c r="D209" s="227"/>
      <c r="E209" s="224"/>
      <c r="F209" s="228"/>
      <c r="G209" s="233"/>
      <c r="H209" s="233"/>
      <c r="I209" s="233"/>
      <c r="J209" s="233"/>
      <c r="K209" s="233"/>
      <c r="L209" s="233"/>
      <c r="M209" s="233"/>
    </row>
    <row r="210" ht="15.75" hidden="1" customHeight="1">
      <c r="A210" s="231" t="s">
        <v>175</v>
      </c>
      <c r="B210" s="222"/>
      <c r="C210" s="224"/>
      <c r="D210" s="227"/>
      <c r="E210" s="224"/>
      <c r="F210" s="228"/>
      <c r="G210" s="233"/>
      <c r="H210" s="233"/>
      <c r="I210" s="233"/>
      <c r="J210" s="233"/>
      <c r="K210" s="233"/>
      <c r="L210" s="233"/>
      <c r="M210" s="233"/>
    </row>
    <row r="211" ht="15.75" hidden="1" customHeight="1">
      <c r="A211" s="231" t="s">
        <v>176</v>
      </c>
      <c r="B211" s="222"/>
      <c r="C211" s="224"/>
      <c r="D211" s="227"/>
      <c r="E211" s="224"/>
      <c r="F211" s="228"/>
      <c r="G211" s="233"/>
      <c r="H211" s="233"/>
      <c r="I211" s="233"/>
      <c r="J211" s="233"/>
      <c r="K211" s="233"/>
      <c r="L211" s="233"/>
      <c r="M211" s="233"/>
    </row>
    <row r="212" ht="15.75" hidden="1" customHeight="1">
      <c r="A212" s="225" t="s">
        <v>212</v>
      </c>
      <c r="B212" s="222"/>
      <c r="C212" s="224"/>
      <c r="D212" s="227"/>
      <c r="E212" s="224"/>
      <c r="F212" s="228"/>
      <c r="G212" s="233"/>
      <c r="H212" s="233"/>
      <c r="I212" s="233"/>
      <c r="J212" s="233"/>
      <c r="K212" s="233"/>
      <c r="L212" s="233"/>
      <c r="M212" s="233"/>
    </row>
    <row r="213" ht="15.75" hidden="1" customHeight="1">
      <c r="A213" s="231" t="s">
        <v>173</v>
      </c>
      <c r="B213" s="222"/>
      <c r="C213" s="224"/>
      <c r="D213" s="227"/>
      <c r="E213" s="224"/>
      <c r="F213" s="228"/>
      <c r="G213" s="233"/>
      <c r="H213" s="233"/>
      <c r="I213" s="233"/>
      <c r="J213" s="233"/>
      <c r="K213" s="233"/>
      <c r="L213" s="233"/>
      <c r="M213" s="233"/>
    </row>
    <row r="214" ht="15.75" hidden="1" customHeight="1">
      <c r="A214" s="231" t="s">
        <v>174</v>
      </c>
      <c r="B214" s="222"/>
      <c r="C214" s="224"/>
      <c r="D214" s="227"/>
      <c r="E214" s="224"/>
      <c r="F214" s="228"/>
      <c r="G214" s="233"/>
      <c r="H214" s="233"/>
      <c r="I214" s="233"/>
      <c r="J214" s="233"/>
      <c r="K214" s="233"/>
      <c r="L214" s="233"/>
      <c r="M214" s="233"/>
    </row>
    <row r="215" ht="15.75" hidden="1" customHeight="1">
      <c r="A215" s="231" t="s">
        <v>175</v>
      </c>
      <c r="B215" s="222"/>
      <c r="C215" s="224"/>
      <c r="D215" s="227"/>
      <c r="E215" s="224"/>
      <c r="F215" s="228"/>
      <c r="G215" s="233"/>
      <c r="H215" s="233"/>
      <c r="I215" s="233"/>
      <c r="J215" s="233"/>
      <c r="K215" s="233"/>
      <c r="L215" s="233"/>
      <c r="M215" s="233"/>
    </row>
    <row r="216" ht="15.75" hidden="1" customHeight="1">
      <c r="A216" s="231" t="s">
        <v>176</v>
      </c>
      <c r="B216" s="222"/>
      <c r="C216" s="224"/>
      <c r="D216" s="227"/>
      <c r="E216" s="224"/>
      <c r="F216" s="228"/>
      <c r="G216" s="233"/>
      <c r="H216" s="233"/>
      <c r="I216" s="233"/>
      <c r="J216" s="233"/>
      <c r="K216" s="233"/>
      <c r="L216" s="233"/>
      <c r="M216" s="233"/>
    </row>
    <row r="217" ht="15.75" hidden="1" customHeight="1">
      <c r="A217" s="225" t="s">
        <v>213</v>
      </c>
      <c r="B217" s="222"/>
      <c r="C217" s="224"/>
      <c r="D217" s="227"/>
      <c r="E217" s="224"/>
      <c r="F217" s="228"/>
      <c r="G217" s="233"/>
      <c r="H217" s="233"/>
      <c r="I217" s="233"/>
      <c r="J217" s="233"/>
      <c r="K217" s="233"/>
      <c r="L217" s="233"/>
      <c r="M217" s="233"/>
    </row>
    <row r="218" ht="15.75" hidden="1" customHeight="1">
      <c r="A218" s="231" t="s">
        <v>173</v>
      </c>
      <c r="B218" s="222"/>
      <c r="C218" s="224"/>
      <c r="D218" s="227"/>
      <c r="E218" s="224"/>
      <c r="F218" s="228"/>
      <c r="G218" s="233"/>
      <c r="H218" s="233"/>
      <c r="I218" s="233"/>
      <c r="J218" s="233"/>
      <c r="K218" s="233"/>
      <c r="L218" s="233"/>
      <c r="M218" s="233"/>
    </row>
    <row r="219" ht="15.75" hidden="1" customHeight="1">
      <c r="A219" s="231" t="s">
        <v>174</v>
      </c>
      <c r="B219" s="222"/>
      <c r="C219" s="224"/>
      <c r="D219" s="227"/>
      <c r="E219" s="224"/>
      <c r="F219" s="228"/>
      <c r="G219" s="233"/>
      <c r="H219" s="233"/>
      <c r="I219" s="233"/>
      <c r="J219" s="233"/>
      <c r="K219" s="233"/>
      <c r="L219" s="233"/>
      <c r="M219" s="233"/>
    </row>
    <row r="220" ht="15.75" hidden="1" customHeight="1">
      <c r="A220" s="231" t="s">
        <v>175</v>
      </c>
      <c r="B220" s="222"/>
      <c r="C220" s="224"/>
      <c r="D220" s="227"/>
      <c r="E220" s="224"/>
      <c r="F220" s="228"/>
      <c r="G220" s="233"/>
      <c r="H220" s="233"/>
      <c r="I220" s="233"/>
      <c r="J220" s="233"/>
      <c r="K220" s="233"/>
      <c r="L220" s="233"/>
      <c r="M220" s="233"/>
    </row>
    <row r="221" ht="15.75" hidden="1" customHeight="1">
      <c r="A221" s="231" t="s">
        <v>176</v>
      </c>
      <c r="B221" s="222"/>
      <c r="C221" s="224"/>
      <c r="D221" s="227"/>
      <c r="E221" s="224"/>
      <c r="F221" s="228"/>
      <c r="G221" s="233"/>
      <c r="H221" s="233"/>
      <c r="I221" s="233"/>
      <c r="J221" s="233"/>
      <c r="K221" s="233"/>
      <c r="L221" s="233"/>
      <c r="M221" s="233"/>
    </row>
    <row r="222" ht="15.75" hidden="1" customHeight="1">
      <c r="A222" s="225" t="s">
        <v>214</v>
      </c>
      <c r="B222" s="222"/>
      <c r="C222" s="224"/>
      <c r="D222" s="227"/>
      <c r="E222" s="224"/>
      <c r="F222" s="228"/>
      <c r="G222" s="233"/>
      <c r="H222" s="233"/>
      <c r="I222" s="233"/>
      <c r="J222" s="233"/>
      <c r="K222" s="233"/>
      <c r="L222" s="233"/>
      <c r="M222" s="233"/>
    </row>
    <row r="223" ht="15.75" hidden="1" customHeight="1">
      <c r="A223" s="231" t="s">
        <v>173</v>
      </c>
      <c r="B223" s="222"/>
      <c r="C223" s="224"/>
      <c r="D223" s="227"/>
      <c r="E223" s="224"/>
      <c r="F223" s="228"/>
      <c r="G223" s="233"/>
      <c r="H223" s="233"/>
      <c r="I223" s="233"/>
      <c r="J223" s="233"/>
      <c r="K223" s="233"/>
      <c r="L223" s="233"/>
      <c r="M223" s="233"/>
    </row>
    <row r="224" ht="15.75" hidden="1" customHeight="1">
      <c r="A224" s="231" t="s">
        <v>174</v>
      </c>
      <c r="B224" s="222"/>
      <c r="C224" s="224"/>
      <c r="D224" s="227"/>
      <c r="E224" s="224"/>
      <c r="F224" s="228"/>
      <c r="G224" s="233"/>
      <c r="H224" s="233"/>
      <c r="I224" s="233"/>
      <c r="J224" s="233"/>
      <c r="K224" s="233"/>
      <c r="L224" s="233"/>
      <c r="M224" s="233"/>
    </row>
    <row r="225" ht="15.75" hidden="1" customHeight="1">
      <c r="A225" s="231" t="s">
        <v>175</v>
      </c>
      <c r="B225" s="222"/>
      <c r="C225" s="224"/>
      <c r="D225" s="227"/>
      <c r="E225" s="224"/>
      <c r="F225" s="228"/>
      <c r="G225" s="233"/>
      <c r="H225" s="233"/>
      <c r="I225" s="233"/>
      <c r="J225" s="233"/>
      <c r="K225" s="233"/>
      <c r="L225" s="233"/>
      <c r="M225" s="233"/>
    </row>
    <row r="226" ht="15.75" hidden="1" customHeight="1">
      <c r="A226" s="231" t="s">
        <v>176</v>
      </c>
      <c r="B226" s="222"/>
      <c r="C226" s="224"/>
      <c r="D226" s="227"/>
      <c r="E226" s="224"/>
      <c r="F226" s="228"/>
      <c r="G226" s="233"/>
      <c r="H226" s="233"/>
      <c r="I226" s="233"/>
      <c r="J226" s="233"/>
      <c r="K226" s="233"/>
      <c r="L226" s="233"/>
      <c r="M226" s="233"/>
    </row>
    <row r="227" ht="15.75" hidden="1" customHeight="1">
      <c r="A227" s="225" t="s">
        <v>215</v>
      </c>
      <c r="B227" s="222"/>
      <c r="C227" s="224"/>
      <c r="D227" s="227"/>
      <c r="E227" s="224"/>
      <c r="F227" s="228"/>
      <c r="G227" s="233"/>
      <c r="H227" s="233"/>
      <c r="I227" s="233"/>
      <c r="J227" s="233"/>
      <c r="K227" s="233"/>
      <c r="L227" s="233"/>
      <c r="M227" s="233"/>
    </row>
    <row r="228" ht="15.75" hidden="1" customHeight="1">
      <c r="A228" s="231" t="s">
        <v>173</v>
      </c>
      <c r="B228" s="222"/>
      <c r="C228" s="224"/>
      <c r="D228" s="227"/>
      <c r="E228" s="224"/>
      <c r="F228" s="228"/>
      <c r="G228" s="233"/>
      <c r="H228" s="233"/>
      <c r="I228" s="233"/>
      <c r="J228" s="233"/>
      <c r="K228" s="233"/>
      <c r="L228" s="233"/>
      <c r="M228" s="233"/>
    </row>
    <row r="229" ht="15.75" hidden="1" customHeight="1">
      <c r="A229" s="231" t="s">
        <v>174</v>
      </c>
      <c r="B229" s="222"/>
      <c r="C229" s="224"/>
      <c r="D229" s="227"/>
      <c r="E229" s="224"/>
      <c r="F229" s="228"/>
      <c r="G229" s="233"/>
      <c r="H229" s="233"/>
      <c r="I229" s="233"/>
      <c r="J229" s="233"/>
      <c r="K229" s="233"/>
      <c r="L229" s="233"/>
      <c r="M229" s="233"/>
    </row>
    <row r="230" ht="15.75" hidden="1" customHeight="1">
      <c r="A230" s="231" t="s">
        <v>175</v>
      </c>
      <c r="B230" s="222"/>
      <c r="C230" s="224"/>
      <c r="D230" s="227"/>
      <c r="E230" s="224"/>
      <c r="F230" s="228"/>
      <c r="G230" s="233"/>
      <c r="H230" s="233"/>
      <c r="I230" s="233"/>
      <c r="J230" s="233"/>
      <c r="K230" s="233"/>
      <c r="L230" s="233"/>
      <c r="M230" s="233"/>
    </row>
    <row r="231" ht="15.75" hidden="1" customHeight="1">
      <c r="A231" s="231" t="s">
        <v>176</v>
      </c>
      <c r="B231" s="222"/>
      <c r="C231" s="224"/>
      <c r="D231" s="227"/>
      <c r="E231" s="224"/>
      <c r="F231" s="228"/>
      <c r="G231" s="233"/>
      <c r="H231" s="233"/>
      <c r="I231" s="233"/>
      <c r="J231" s="233"/>
      <c r="K231" s="233"/>
      <c r="L231" s="233"/>
      <c r="M231" s="233"/>
    </row>
    <row r="232" ht="15.75" hidden="1" customHeight="1">
      <c r="A232" s="225" t="s">
        <v>216</v>
      </c>
      <c r="B232" s="222"/>
      <c r="C232" s="224"/>
      <c r="D232" s="227"/>
      <c r="E232" s="224"/>
      <c r="F232" s="228"/>
      <c r="G232" s="233"/>
      <c r="H232" s="233"/>
      <c r="I232" s="233"/>
      <c r="J232" s="233"/>
      <c r="K232" s="233"/>
      <c r="L232" s="233"/>
      <c r="M232" s="233"/>
    </row>
    <row r="233" ht="15.75" hidden="1" customHeight="1">
      <c r="A233" s="231" t="s">
        <v>173</v>
      </c>
      <c r="B233" s="222"/>
      <c r="C233" s="224"/>
      <c r="D233" s="227"/>
      <c r="E233" s="224"/>
      <c r="F233" s="228"/>
      <c r="G233" s="233"/>
      <c r="H233" s="233"/>
      <c r="I233" s="233"/>
      <c r="J233" s="233"/>
      <c r="K233" s="233"/>
      <c r="L233" s="233"/>
      <c r="M233" s="233"/>
    </row>
    <row r="234" ht="15.75" hidden="1" customHeight="1">
      <c r="A234" s="231" t="s">
        <v>174</v>
      </c>
      <c r="B234" s="222"/>
      <c r="C234" s="224"/>
      <c r="D234" s="227"/>
      <c r="E234" s="224"/>
      <c r="F234" s="228"/>
      <c r="G234" s="233"/>
      <c r="H234" s="233"/>
      <c r="I234" s="233"/>
      <c r="J234" s="233"/>
      <c r="K234" s="233"/>
      <c r="L234" s="233"/>
      <c r="M234" s="233"/>
    </row>
    <row r="235" ht="15.75" hidden="1" customHeight="1">
      <c r="A235" s="231" t="s">
        <v>175</v>
      </c>
      <c r="B235" s="222"/>
      <c r="C235" s="224"/>
      <c r="D235" s="227"/>
      <c r="E235" s="224"/>
      <c r="F235" s="228"/>
      <c r="G235" s="233"/>
      <c r="H235" s="233"/>
      <c r="I235" s="233"/>
      <c r="J235" s="233"/>
      <c r="K235" s="233"/>
      <c r="L235" s="233"/>
      <c r="M235" s="233"/>
    </row>
    <row r="236" ht="15.75" hidden="1" customHeight="1">
      <c r="A236" s="231" t="s">
        <v>176</v>
      </c>
      <c r="B236" s="222"/>
      <c r="C236" s="224"/>
      <c r="D236" s="227"/>
      <c r="E236" s="224"/>
      <c r="F236" s="228"/>
      <c r="G236" s="233"/>
      <c r="H236" s="233"/>
      <c r="I236" s="233"/>
      <c r="J236" s="233"/>
      <c r="K236" s="233"/>
      <c r="L236" s="233"/>
      <c r="M236" s="233"/>
    </row>
    <row r="237" ht="15.75" hidden="1" customHeight="1">
      <c r="A237" s="225" t="s">
        <v>217</v>
      </c>
      <c r="B237" s="222"/>
      <c r="C237" s="224"/>
      <c r="D237" s="227"/>
      <c r="E237" s="224"/>
      <c r="F237" s="228"/>
      <c r="G237" s="233"/>
      <c r="H237" s="233"/>
      <c r="I237" s="233"/>
      <c r="J237" s="233"/>
      <c r="K237" s="233"/>
      <c r="L237" s="233"/>
      <c r="M237" s="233"/>
    </row>
    <row r="238" ht="15.75" hidden="1" customHeight="1">
      <c r="A238" s="231" t="s">
        <v>173</v>
      </c>
      <c r="B238" s="222"/>
      <c r="C238" s="224"/>
      <c r="D238" s="227"/>
      <c r="E238" s="224"/>
      <c r="F238" s="228"/>
      <c r="G238" s="233"/>
      <c r="H238" s="233"/>
      <c r="I238" s="233"/>
      <c r="J238" s="233"/>
      <c r="K238" s="233"/>
      <c r="L238" s="233"/>
      <c r="M238" s="233"/>
    </row>
    <row r="239" ht="15.75" hidden="1" customHeight="1">
      <c r="A239" s="231" t="s">
        <v>174</v>
      </c>
      <c r="B239" s="222"/>
      <c r="C239" s="224"/>
      <c r="D239" s="227"/>
      <c r="E239" s="224"/>
      <c r="F239" s="228"/>
      <c r="G239" s="233"/>
      <c r="H239" s="233"/>
      <c r="I239" s="233"/>
      <c r="J239" s="233"/>
      <c r="K239" s="233"/>
      <c r="L239" s="233"/>
      <c r="M239" s="233"/>
    </row>
    <row r="240" ht="15.75" hidden="1" customHeight="1">
      <c r="A240" s="231" t="s">
        <v>175</v>
      </c>
      <c r="B240" s="222"/>
      <c r="C240" s="224"/>
      <c r="D240" s="227"/>
      <c r="E240" s="224"/>
      <c r="F240" s="228"/>
      <c r="G240" s="233"/>
      <c r="H240" s="233"/>
      <c r="I240" s="233"/>
      <c r="J240" s="233"/>
      <c r="K240" s="233"/>
      <c r="L240" s="233"/>
      <c r="M240" s="233"/>
    </row>
    <row r="241" ht="15.75" hidden="1" customHeight="1">
      <c r="A241" s="231" t="s">
        <v>176</v>
      </c>
      <c r="B241" s="222"/>
      <c r="C241" s="224"/>
      <c r="D241" s="227"/>
      <c r="E241" s="224"/>
      <c r="F241" s="228"/>
      <c r="G241" s="233"/>
      <c r="H241" s="233"/>
      <c r="I241" s="233"/>
      <c r="J241" s="233"/>
      <c r="K241" s="233"/>
      <c r="L241" s="233"/>
      <c r="M241" s="233"/>
    </row>
    <row r="242" ht="15.75" hidden="1" customHeight="1">
      <c r="A242" s="225" t="s">
        <v>218</v>
      </c>
      <c r="B242" s="222"/>
      <c r="C242" s="224"/>
      <c r="D242" s="227"/>
      <c r="E242" s="224"/>
      <c r="F242" s="228"/>
      <c r="G242" s="233"/>
      <c r="H242" s="233"/>
      <c r="I242" s="233"/>
      <c r="J242" s="233"/>
      <c r="K242" s="233"/>
      <c r="L242" s="233"/>
      <c r="M242" s="233"/>
    </row>
    <row r="243" ht="15.75" hidden="1" customHeight="1">
      <c r="A243" s="231" t="s">
        <v>173</v>
      </c>
      <c r="B243" s="222"/>
      <c r="C243" s="224"/>
      <c r="D243" s="227"/>
      <c r="E243" s="224"/>
      <c r="F243" s="228"/>
      <c r="G243" s="233"/>
      <c r="H243" s="233"/>
      <c r="I243" s="233"/>
      <c r="J243" s="233"/>
      <c r="K243" s="233"/>
      <c r="L243" s="233"/>
      <c r="M243" s="233"/>
    </row>
    <row r="244" ht="15.75" hidden="1" customHeight="1">
      <c r="A244" s="231" t="s">
        <v>174</v>
      </c>
      <c r="B244" s="222"/>
      <c r="C244" s="224"/>
      <c r="D244" s="227"/>
      <c r="E244" s="224"/>
      <c r="F244" s="228"/>
      <c r="G244" s="233"/>
      <c r="H244" s="233"/>
      <c r="I244" s="233"/>
      <c r="J244" s="233"/>
      <c r="K244" s="233"/>
      <c r="L244" s="233"/>
      <c r="M244" s="233"/>
    </row>
    <row r="245" ht="15.75" hidden="1" customHeight="1">
      <c r="A245" s="231" t="s">
        <v>175</v>
      </c>
      <c r="B245" s="222"/>
      <c r="C245" s="224"/>
      <c r="D245" s="227"/>
      <c r="E245" s="224"/>
      <c r="F245" s="228"/>
      <c r="G245" s="233"/>
      <c r="H245" s="233"/>
      <c r="I245" s="233"/>
      <c r="J245" s="233"/>
      <c r="K245" s="233"/>
      <c r="L245" s="233"/>
      <c r="M245" s="233"/>
    </row>
    <row r="246" ht="15.75" hidden="1" customHeight="1">
      <c r="A246" s="231" t="s">
        <v>176</v>
      </c>
      <c r="B246" s="222"/>
      <c r="C246" s="224"/>
      <c r="D246" s="227"/>
      <c r="E246" s="224"/>
      <c r="F246" s="228"/>
      <c r="G246" s="233"/>
      <c r="H246" s="233"/>
      <c r="I246" s="233"/>
      <c r="J246" s="233"/>
      <c r="K246" s="233"/>
      <c r="L246" s="233"/>
      <c r="M246" s="233"/>
    </row>
    <row r="247" ht="15.75" hidden="1" customHeight="1">
      <c r="A247" s="225" t="s">
        <v>219</v>
      </c>
      <c r="B247" s="222"/>
      <c r="C247" s="224"/>
      <c r="D247" s="227"/>
      <c r="E247" s="224"/>
      <c r="F247" s="228"/>
      <c r="G247" s="233"/>
      <c r="H247" s="233"/>
      <c r="I247" s="233"/>
      <c r="J247" s="233"/>
      <c r="K247" s="233"/>
      <c r="L247" s="233"/>
      <c r="M247" s="233"/>
    </row>
    <row r="248" ht="15.75" hidden="1" customHeight="1">
      <c r="A248" s="231" t="s">
        <v>173</v>
      </c>
      <c r="B248" s="222"/>
      <c r="C248" s="224"/>
      <c r="D248" s="227"/>
      <c r="E248" s="224"/>
      <c r="F248" s="228"/>
      <c r="G248" s="233"/>
      <c r="H248" s="233"/>
      <c r="I248" s="233"/>
      <c r="J248" s="233"/>
      <c r="K248" s="233"/>
      <c r="L248" s="233"/>
      <c r="M248" s="233"/>
    </row>
    <row r="249" ht="15.75" hidden="1" customHeight="1">
      <c r="A249" s="231" t="s">
        <v>174</v>
      </c>
      <c r="B249" s="222"/>
      <c r="C249" s="224"/>
      <c r="D249" s="227"/>
      <c r="E249" s="224"/>
      <c r="F249" s="228"/>
      <c r="G249" s="233"/>
      <c r="H249" s="233"/>
      <c r="I249" s="233"/>
      <c r="J249" s="233"/>
      <c r="K249" s="233"/>
      <c r="L249" s="233"/>
      <c r="M249" s="233"/>
    </row>
    <row r="250" ht="15.75" hidden="1" customHeight="1">
      <c r="A250" s="231" t="s">
        <v>175</v>
      </c>
      <c r="B250" s="222"/>
      <c r="C250" s="224"/>
      <c r="D250" s="227"/>
      <c r="E250" s="224"/>
      <c r="F250" s="228"/>
      <c r="G250" s="233"/>
      <c r="H250" s="233"/>
      <c r="I250" s="233"/>
      <c r="J250" s="233"/>
      <c r="K250" s="233"/>
      <c r="L250" s="233"/>
      <c r="M250" s="233"/>
    </row>
    <row r="251" ht="15.75" hidden="1" customHeight="1">
      <c r="A251" s="231" t="s">
        <v>176</v>
      </c>
      <c r="B251" s="222"/>
      <c r="C251" s="224"/>
      <c r="D251" s="227"/>
      <c r="E251" s="224"/>
      <c r="F251" s="228"/>
      <c r="G251" s="233"/>
      <c r="H251" s="233"/>
      <c r="I251" s="233"/>
      <c r="J251" s="233"/>
      <c r="K251" s="233"/>
      <c r="L251" s="233"/>
      <c r="M251" s="233"/>
    </row>
    <row r="252" ht="15.75" hidden="1" customHeight="1">
      <c r="A252" s="225" t="s">
        <v>220</v>
      </c>
      <c r="B252" s="222"/>
      <c r="C252" s="224"/>
      <c r="D252" s="227"/>
      <c r="E252" s="224"/>
      <c r="F252" s="228"/>
      <c r="G252" s="233"/>
      <c r="H252" s="233"/>
      <c r="I252" s="233"/>
      <c r="J252" s="233"/>
      <c r="K252" s="233"/>
      <c r="L252" s="233"/>
      <c r="M252" s="233"/>
    </row>
    <row r="253" ht="15.75" hidden="1" customHeight="1">
      <c r="A253" s="231" t="s">
        <v>173</v>
      </c>
      <c r="B253" s="222"/>
      <c r="C253" s="224"/>
      <c r="D253" s="227"/>
      <c r="E253" s="224"/>
      <c r="F253" s="228"/>
      <c r="G253" s="233"/>
      <c r="H253" s="233"/>
      <c r="I253" s="233"/>
      <c r="J253" s="233"/>
      <c r="K253" s="233"/>
      <c r="L253" s="233"/>
      <c r="M253" s="233"/>
    </row>
    <row r="254" ht="15.75" hidden="1" customHeight="1">
      <c r="A254" s="231" t="s">
        <v>174</v>
      </c>
      <c r="B254" s="222"/>
      <c r="C254" s="224"/>
      <c r="D254" s="227"/>
      <c r="E254" s="224"/>
      <c r="F254" s="228"/>
      <c r="G254" s="233"/>
      <c r="H254" s="233"/>
      <c r="I254" s="233"/>
      <c r="J254" s="233"/>
      <c r="K254" s="233"/>
      <c r="L254" s="233"/>
      <c r="M254" s="233"/>
    </row>
    <row r="255" ht="15.75" hidden="1" customHeight="1">
      <c r="A255" s="231" t="s">
        <v>175</v>
      </c>
      <c r="B255" s="222"/>
      <c r="C255" s="224"/>
      <c r="D255" s="227"/>
      <c r="E255" s="224"/>
      <c r="F255" s="228"/>
      <c r="G255" s="233"/>
      <c r="H255" s="233"/>
      <c r="I255" s="233"/>
      <c r="J255" s="233"/>
      <c r="K255" s="233"/>
      <c r="L255" s="233"/>
      <c r="M255" s="233"/>
    </row>
    <row r="256" ht="15.75" hidden="1" customHeight="1">
      <c r="A256" s="231" t="s">
        <v>176</v>
      </c>
      <c r="B256" s="222"/>
      <c r="C256" s="224"/>
      <c r="D256" s="227"/>
      <c r="E256" s="224"/>
      <c r="F256" s="228"/>
      <c r="G256" s="233"/>
      <c r="H256" s="233"/>
      <c r="I256" s="233"/>
      <c r="J256" s="233"/>
      <c r="K256" s="233"/>
      <c r="L256" s="233"/>
      <c r="M256" s="233"/>
    </row>
    <row r="257" ht="15.75" hidden="1" customHeight="1">
      <c r="A257" s="225" t="s">
        <v>221</v>
      </c>
      <c r="B257" s="222"/>
      <c r="C257" s="224"/>
      <c r="D257" s="227"/>
      <c r="E257" s="224"/>
      <c r="F257" s="228"/>
      <c r="G257" s="233"/>
      <c r="H257" s="233"/>
      <c r="I257" s="233"/>
      <c r="J257" s="233"/>
      <c r="K257" s="233"/>
      <c r="L257" s="233"/>
      <c r="M257" s="233"/>
    </row>
    <row r="258" ht="15.75" hidden="1" customHeight="1">
      <c r="A258" s="231" t="s">
        <v>173</v>
      </c>
      <c r="B258" s="222" t="s">
        <v>201</v>
      </c>
      <c r="C258" s="224"/>
      <c r="D258" s="227"/>
      <c r="E258" s="224"/>
      <c r="F258" s="228"/>
      <c r="G258" s="233"/>
      <c r="H258" s="233"/>
      <c r="I258" s="233"/>
      <c r="J258" s="233"/>
      <c r="K258" s="233"/>
      <c r="L258" s="233"/>
      <c r="M258" s="233"/>
    </row>
    <row r="259" ht="15.75" hidden="1" customHeight="1">
      <c r="A259" s="231" t="s">
        <v>174</v>
      </c>
      <c r="B259" s="222" t="s">
        <v>201</v>
      </c>
      <c r="C259" s="224"/>
      <c r="D259" s="227"/>
      <c r="E259" s="224"/>
      <c r="F259" s="228"/>
      <c r="G259" s="233"/>
      <c r="H259" s="233"/>
      <c r="I259" s="233"/>
      <c r="J259" s="233"/>
      <c r="K259" s="233"/>
      <c r="L259" s="233"/>
      <c r="M259" s="233"/>
    </row>
    <row r="260" ht="15.75" hidden="1" customHeight="1">
      <c r="A260" s="231" t="s">
        <v>175</v>
      </c>
      <c r="B260" s="222" t="s">
        <v>201</v>
      </c>
      <c r="C260" s="224"/>
      <c r="D260" s="227"/>
      <c r="E260" s="224"/>
      <c r="F260" s="228"/>
      <c r="G260" s="233"/>
      <c r="H260" s="233"/>
      <c r="I260" s="233"/>
      <c r="J260" s="233"/>
      <c r="K260" s="233"/>
      <c r="L260" s="233"/>
      <c r="M260" s="233"/>
    </row>
    <row r="261" ht="15.75" hidden="1" customHeight="1">
      <c r="A261" s="231" t="s">
        <v>176</v>
      </c>
      <c r="B261" s="222" t="s">
        <v>24</v>
      </c>
      <c r="C261" s="224"/>
      <c r="D261" s="227"/>
      <c r="E261" s="224"/>
      <c r="F261" s="228"/>
      <c r="G261" s="233"/>
      <c r="H261" s="233"/>
      <c r="I261" s="233"/>
      <c r="J261" s="233"/>
      <c r="K261" s="233"/>
      <c r="L261" s="233"/>
      <c r="M261" s="233"/>
    </row>
    <row r="262" ht="15.75" hidden="1" customHeight="1">
      <c r="A262" s="225" t="s">
        <v>222</v>
      </c>
      <c r="B262" s="222"/>
      <c r="C262" s="224"/>
      <c r="D262" s="227"/>
      <c r="E262" s="224"/>
      <c r="F262" s="228"/>
      <c r="G262" s="233"/>
      <c r="H262" s="233"/>
      <c r="I262" s="233"/>
      <c r="J262" s="233"/>
      <c r="K262" s="233"/>
      <c r="L262" s="233"/>
      <c r="M262" s="233"/>
    </row>
    <row r="263" ht="15.75" hidden="1" customHeight="1">
      <c r="A263" s="231" t="s">
        <v>173</v>
      </c>
      <c r="B263" s="222"/>
      <c r="C263" s="224"/>
      <c r="D263" s="227"/>
      <c r="E263" s="224"/>
      <c r="F263" s="228"/>
      <c r="G263" s="233"/>
      <c r="H263" s="233"/>
      <c r="I263" s="233"/>
      <c r="J263" s="233"/>
      <c r="K263" s="233"/>
      <c r="L263" s="233"/>
      <c r="M263" s="233"/>
    </row>
    <row r="264" ht="15.75" hidden="1" customHeight="1">
      <c r="A264" s="231" t="s">
        <v>174</v>
      </c>
      <c r="B264" s="222"/>
      <c r="C264" s="224"/>
      <c r="D264" s="227"/>
      <c r="E264" s="224"/>
      <c r="F264" s="228"/>
      <c r="G264" s="233"/>
      <c r="H264" s="233"/>
      <c r="I264" s="233"/>
      <c r="J264" s="233"/>
      <c r="K264" s="233"/>
      <c r="L264" s="233"/>
      <c r="M264" s="233"/>
    </row>
    <row r="265" ht="15.75" hidden="1" customHeight="1">
      <c r="A265" s="231" t="s">
        <v>175</v>
      </c>
      <c r="B265" s="222"/>
      <c r="C265" s="224"/>
      <c r="D265" s="227"/>
      <c r="E265" s="224"/>
      <c r="F265" s="228"/>
      <c r="G265" s="233"/>
      <c r="H265" s="233"/>
      <c r="I265" s="233"/>
      <c r="J265" s="233"/>
      <c r="K265" s="233"/>
      <c r="L265" s="233"/>
      <c r="M265" s="233"/>
    </row>
    <row r="266" ht="15.75" hidden="1" customHeight="1">
      <c r="A266" s="231" t="s">
        <v>176</v>
      </c>
      <c r="B266" s="222"/>
      <c r="C266" s="224"/>
      <c r="D266" s="227"/>
      <c r="E266" s="224"/>
      <c r="F266" s="228"/>
      <c r="G266" s="233"/>
      <c r="H266" s="233"/>
      <c r="I266" s="233"/>
      <c r="J266" s="233"/>
      <c r="K266" s="233"/>
      <c r="L266" s="233"/>
      <c r="M266" s="233"/>
    </row>
    <row r="267" ht="15.75" hidden="1" customHeight="1">
      <c r="A267" s="225" t="s">
        <v>223</v>
      </c>
      <c r="B267" s="222"/>
      <c r="C267" s="224"/>
      <c r="D267" s="227"/>
      <c r="E267" s="224"/>
      <c r="F267" s="228"/>
      <c r="G267" s="233"/>
      <c r="H267" s="233"/>
      <c r="I267" s="233"/>
      <c r="J267" s="233"/>
      <c r="K267" s="233"/>
      <c r="L267" s="233"/>
      <c r="M267" s="233"/>
    </row>
    <row r="268" ht="15.75" hidden="1" customHeight="1">
      <c r="A268" s="231" t="s">
        <v>173</v>
      </c>
      <c r="B268" s="222"/>
      <c r="C268" s="224"/>
      <c r="D268" s="227"/>
      <c r="E268" s="224"/>
      <c r="F268" s="228"/>
      <c r="G268" s="233"/>
      <c r="H268" s="233"/>
      <c r="I268" s="233"/>
      <c r="J268" s="233"/>
      <c r="K268" s="233"/>
      <c r="L268" s="233"/>
      <c r="M268" s="233"/>
    </row>
    <row r="269" ht="15.75" hidden="1" customHeight="1">
      <c r="A269" s="231" t="s">
        <v>174</v>
      </c>
      <c r="B269" s="222"/>
      <c r="C269" s="224"/>
      <c r="D269" s="227"/>
      <c r="E269" s="224"/>
      <c r="F269" s="228"/>
      <c r="G269" s="233"/>
      <c r="H269" s="233"/>
      <c r="I269" s="233"/>
      <c r="J269" s="233"/>
      <c r="K269" s="233"/>
      <c r="L269" s="233"/>
      <c r="M269" s="233"/>
    </row>
    <row r="270" ht="15.75" hidden="1" customHeight="1">
      <c r="A270" s="231" t="s">
        <v>175</v>
      </c>
      <c r="B270" s="222"/>
      <c r="C270" s="224"/>
      <c r="D270" s="227"/>
      <c r="E270" s="224"/>
      <c r="F270" s="228"/>
      <c r="G270" s="233"/>
      <c r="H270" s="233"/>
      <c r="I270" s="233"/>
      <c r="J270" s="233"/>
      <c r="K270" s="233"/>
      <c r="L270" s="233"/>
      <c r="M270" s="233"/>
    </row>
    <row r="271" ht="15.75" hidden="1" customHeight="1">
      <c r="A271" s="231" t="s">
        <v>176</v>
      </c>
      <c r="B271" s="222"/>
      <c r="C271" s="224"/>
      <c r="D271" s="227"/>
      <c r="E271" s="224"/>
      <c r="F271" s="228"/>
      <c r="G271" s="233"/>
      <c r="H271" s="233"/>
      <c r="I271" s="233"/>
      <c r="J271" s="233"/>
      <c r="K271" s="233"/>
      <c r="L271" s="233"/>
      <c r="M271" s="233"/>
    </row>
    <row r="272" ht="15.75" hidden="1" customHeight="1">
      <c r="A272" s="225" t="s">
        <v>224</v>
      </c>
      <c r="B272" s="222"/>
      <c r="C272" s="224"/>
      <c r="D272" s="227"/>
      <c r="E272" s="224"/>
      <c r="F272" s="228"/>
      <c r="G272" s="233"/>
      <c r="H272" s="233"/>
      <c r="I272" s="233"/>
      <c r="J272" s="233"/>
      <c r="K272" s="233"/>
      <c r="L272" s="233"/>
      <c r="M272" s="233"/>
    </row>
    <row r="273" ht="15.75" hidden="1" customHeight="1">
      <c r="A273" s="231" t="s">
        <v>173</v>
      </c>
      <c r="B273" s="222"/>
      <c r="C273" s="224"/>
      <c r="D273" s="227"/>
      <c r="E273" s="224"/>
      <c r="F273" s="228"/>
      <c r="G273" s="233"/>
      <c r="H273" s="233"/>
      <c r="I273" s="233"/>
      <c r="J273" s="233"/>
      <c r="K273" s="233"/>
      <c r="L273" s="233"/>
      <c r="M273" s="233"/>
    </row>
    <row r="274" ht="15.75" hidden="1" customHeight="1">
      <c r="A274" s="231" t="s">
        <v>174</v>
      </c>
      <c r="B274" s="222"/>
      <c r="C274" s="224"/>
      <c r="D274" s="227"/>
      <c r="E274" s="224"/>
      <c r="F274" s="228"/>
      <c r="G274" s="233"/>
      <c r="H274" s="233"/>
      <c r="I274" s="233"/>
      <c r="J274" s="233"/>
      <c r="K274" s="233"/>
      <c r="L274" s="233"/>
      <c r="M274" s="233"/>
    </row>
    <row r="275" ht="15.75" hidden="1" customHeight="1">
      <c r="A275" s="231" t="s">
        <v>175</v>
      </c>
      <c r="B275" s="222"/>
      <c r="C275" s="224"/>
      <c r="D275" s="227"/>
      <c r="E275" s="224"/>
      <c r="F275" s="228"/>
      <c r="G275" s="233"/>
      <c r="H275" s="233"/>
      <c r="I275" s="233"/>
      <c r="J275" s="233"/>
      <c r="K275" s="233"/>
      <c r="L275" s="233"/>
      <c r="M275" s="233"/>
    </row>
    <row r="276" ht="15.75" hidden="1" customHeight="1">
      <c r="A276" s="231" t="s">
        <v>176</v>
      </c>
      <c r="B276" s="222"/>
      <c r="C276" s="224"/>
      <c r="D276" s="227"/>
      <c r="E276" s="224"/>
      <c r="F276" s="228"/>
      <c r="G276" s="233"/>
      <c r="H276" s="233"/>
      <c r="I276" s="233"/>
      <c r="J276" s="233"/>
      <c r="K276" s="233"/>
      <c r="L276" s="233"/>
      <c r="M276" s="233"/>
    </row>
    <row r="277" ht="15.75" hidden="1" customHeight="1">
      <c r="A277" s="225" t="s">
        <v>225</v>
      </c>
      <c r="B277" s="222"/>
      <c r="C277" s="224"/>
      <c r="D277" s="227"/>
      <c r="E277" s="224"/>
      <c r="F277" s="228"/>
      <c r="G277" s="233"/>
      <c r="H277" s="233"/>
      <c r="I277" s="233"/>
      <c r="J277" s="233"/>
      <c r="K277" s="233"/>
      <c r="L277" s="233"/>
      <c r="M277" s="233"/>
    </row>
    <row r="278" ht="15.75" hidden="1" customHeight="1">
      <c r="A278" s="231" t="s">
        <v>173</v>
      </c>
      <c r="B278" s="222"/>
      <c r="C278" s="224"/>
      <c r="D278" s="227"/>
      <c r="E278" s="224"/>
      <c r="F278" s="228"/>
      <c r="G278" s="233"/>
      <c r="H278" s="233"/>
      <c r="I278" s="233"/>
      <c r="J278" s="233"/>
      <c r="K278" s="233"/>
      <c r="L278" s="233"/>
      <c r="M278" s="233"/>
    </row>
    <row r="279" ht="15.75" hidden="1" customHeight="1">
      <c r="A279" s="231" t="s">
        <v>174</v>
      </c>
      <c r="B279" s="222"/>
      <c r="C279" s="224"/>
      <c r="D279" s="227"/>
      <c r="E279" s="224"/>
      <c r="F279" s="228"/>
      <c r="G279" s="233"/>
      <c r="H279" s="233"/>
      <c r="I279" s="233"/>
      <c r="J279" s="233"/>
      <c r="K279" s="233"/>
      <c r="L279" s="233"/>
      <c r="M279" s="233"/>
    </row>
    <row r="280" ht="15.75" hidden="1" customHeight="1">
      <c r="A280" s="231" t="s">
        <v>175</v>
      </c>
      <c r="B280" s="222"/>
      <c r="C280" s="224"/>
      <c r="D280" s="227"/>
      <c r="E280" s="224"/>
      <c r="F280" s="228"/>
      <c r="G280" s="233"/>
      <c r="H280" s="233"/>
      <c r="I280" s="233"/>
      <c r="J280" s="233"/>
      <c r="K280" s="233"/>
      <c r="L280" s="233"/>
      <c r="M280" s="233"/>
    </row>
    <row r="281" ht="15.75" hidden="1" customHeight="1">
      <c r="A281" s="231" t="s">
        <v>176</v>
      </c>
      <c r="B281" s="222"/>
      <c r="C281" s="224"/>
      <c r="D281" s="227"/>
      <c r="E281" s="224"/>
      <c r="F281" s="228"/>
      <c r="G281" s="233"/>
      <c r="H281" s="233"/>
      <c r="I281" s="233"/>
      <c r="J281" s="233"/>
      <c r="K281" s="233"/>
      <c r="L281" s="233"/>
      <c r="M281" s="233"/>
    </row>
    <row r="282" ht="15.75" hidden="1" customHeight="1">
      <c r="A282" s="225" t="s">
        <v>179</v>
      </c>
      <c r="B282" s="222"/>
      <c r="C282" s="224"/>
      <c r="D282" s="227"/>
      <c r="E282" s="224"/>
      <c r="F282" s="228"/>
      <c r="G282" s="233"/>
      <c r="H282" s="233"/>
      <c r="I282" s="233"/>
      <c r="J282" s="233"/>
      <c r="K282" s="233"/>
      <c r="L282" s="233"/>
      <c r="M282" s="233"/>
    </row>
    <row r="283" ht="15.75" hidden="1" customHeight="1">
      <c r="A283" s="231" t="s">
        <v>173</v>
      </c>
      <c r="B283" s="222"/>
      <c r="C283" s="224"/>
      <c r="D283" s="227"/>
      <c r="E283" s="224"/>
      <c r="F283" s="228"/>
      <c r="G283" s="233"/>
      <c r="H283" s="233"/>
      <c r="I283" s="233"/>
      <c r="J283" s="233"/>
      <c r="K283" s="233"/>
      <c r="L283" s="233"/>
      <c r="M283" s="233"/>
    </row>
    <row r="284" ht="15.75" hidden="1" customHeight="1">
      <c r="A284" s="231" t="s">
        <v>174</v>
      </c>
      <c r="B284" s="222"/>
      <c r="C284" s="224"/>
      <c r="D284" s="227"/>
      <c r="E284" s="224"/>
      <c r="F284" s="228"/>
      <c r="G284" s="233"/>
      <c r="H284" s="233"/>
      <c r="I284" s="233"/>
      <c r="J284" s="233"/>
      <c r="K284" s="233"/>
      <c r="L284" s="233"/>
      <c r="M284" s="233"/>
    </row>
    <row r="285" ht="15.75" hidden="1" customHeight="1">
      <c r="A285" s="231" t="s">
        <v>175</v>
      </c>
      <c r="B285" s="222"/>
      <c r="C285" s="224"/>
      <c r="D285" s="227"/>
      <c r="E285" s="224"/>
      <c r="F285" s="228"/>
      <c r="G285" s="233"/>
      <c r="H285" s="233"/>
      <c r="I285" s="233"/>
      <c r="J285" s="233"/>
      <c r="K285" s="233"/>
      <c r="L285" s="233"/>
      <c r="M285" s="233"/>
    </row>
    <row r="286" ht="15.75" hidden="1" customHeight="1">
      <c r="A286" s="231" t="s">
        <v>176</v>
      </c>
      <c r="B286" s="222"/>
      <c r="C286" s="224"/>
      <c r="D286" s="227"/>
      <c r="E286" s="224"/>
      <c r="F286" s="228"/>
      <c r="G286" s="233"/>
      <c r="H286" s="233"/>
      <c r="I286" s="233"/>
      <c r="J286" s="233"/>
      <c r="K286" s="233"/>
      <c r="L286" s="233"/>
      <c r="M286" s="233"/>
    </row>
    <row r="287" ht="15.75" hidden="1" customHeight="1">
      <c r="A287" s="225" t="s">
        <v>226</v>
      </c>
      <c r="B287" s="222"/>
      <c r="C287" s="224"/>
      <c r="D287" s="227"/>
      <c r="E287" s="224"/>
      <c r="F287" s="228"/>
      <c r="G287" s="233"/>
      <c r="H287" s="233"/>
      <c r="I287" s="233"/>
      <c r="J287" s="233"/>
      <c r="K287" s="233"/>
      <c r="L287" s="233"/>
      <c r="M287" s="233"/>
    </row>
    <row r="288" ht="15.75" hidden="1" customHeight="1">
      <c r="A288" s="231" t="s">
        <v>173</v>
      </c>
      <c r="B288" s="222"/>
      <c r="C288" s="224"/>
      <c r="D288" s="227"/>
      <c r="E288" s="224"/>
      <c r="F288" s="228"/>
      <c r="G288" s="233"/>
      <c r="H288" s="233"/>
      <c r="I288" s="233"/>
      <c r="J288" s="233"/>
      <c r="K288" s="233"/>
      <c r="L288" s="233"/>
      <c r="M288" s="233"/>
    </row>
    <row r="289" ht="15.75" hidden="1" customHeight="1">
      <c r="A289" s="231" t="s">
        <v>174</v>
      </c>
      <c r="B289" s="222"/>
      <c r="C289" s="224"/>
      <c r="D289" s="227"/>
      <c r="E289" s="224"/>
      <c r="F289" s="228"/>
      <c r="G289" s="233"/>
      <c r="H289" s="233"/>
      <c r="I289" s="233"/>
      <c r="J289" s="233"/>
      <c r="K289" s="233"/>
      <c r="L289" s="233"/>
      <c r="M289" s="233"/>
    </row>
    <row r="290" ht="15.75" hidden="1" customHeight="1">
      <c r="A290" s="231" t="s">
        <v>175</v>
      </c>
      <c r="B290" s="222"/>
      <c r="C290" s="224"/>
      <c r="D290" s="227"/>
      <c r="E290" s="224"/>
      <c r="F290" s="228"/>
      <c r="G290" s="233"/>
      <c r="H290" s="233"/>
      <c r="I290" s="233"/>
      <c r="J290" s="233"/>
      <c r="K290" s="233"/>
      <c r="L290" s="233"/>
      <c r="M290" s="233"/>
    </row>
    <row r="291" ht="15.75" hidden="1" customHeight="1">
      <c r="A291" s="231" t="s">
        <v>176</v>
      </c>
      <c r="B291" s="222"/>
      <c r="C291" s="224"/>
      <c r="D291" s="227"/>
      <c r="E291" s="224"/>
      <c r="F291" s="228"/>
      <c r="G291" s="233"/>
      <c r="H291" s="233"/>
      <c r="I291" s="233"/>
      <c r="J291" s="233"/>
      <c r="K291" s="233"/>
      <c r="L291" s="233"/>
      <c r="M291" s="233"/>
    </row>
    <row r="292" ht="15.75" hidden="1" customHeight="1">
      <c r="A292" s="225" t="s">
        <v>227</v>
      </c>
      <c r="B292" s="222"/>
      <c r="C292" s="224"/>
      <c r="D292" s="227"/>
      <c r="E292" s="224"/>
      <c r="F292" s="228"/>
      <c r="G292" s="233"/>
      <c r="H292" s="233"/>
      <c r="I292" s="233"/>
      <c r="J292" s="233"/>
      <c r="K292" s="233"/>
      <c r="L292" s="233"/>
      <c r="M292" s="233"/>
    </row>
    <row r="293" ht="15.75" hidden="1" customHeight="1">
      <c r="A293" s="231" t="s">
        <v>173</v>
      </c>
      <c r="B293" s="222"/>
      <c r="C293" s="224"/>
      <c r="D293" s="227"/>
      <c r="E293" s="224"/>
      <c r="F293" s="228"/>
      <c r="G293" s="233"/>
      <c r="H293" s="233"/>
      <c r="I293" s="233"/>
      <c r="J293" s="233"/>
      <c r="K293" s="233"/>
      <c r="L293" s="233"/>
      <c r="M293" s="233"/>
    </row>
    <row r="294" ht="15.75" hidden="1" customHeight="1">
      <c r="A294" s="231" t="s">
        <v>174</v>
      </c>
      <c r="B294" s="222"/>
      <c r="C294" s="224"/>
      <c r="D294" s="227"/>
      <c r="E294" s="224"/>
      <c r="F294" s="228"/>
      <c r="G294" s="233"/>
      <c r="H294" s="233"/>
      <c r="I294" s="233"/>
      <c r="J294" s="233"/>
      <c r="K294" s="233"/>
      <c r="L294" s="233"/>
      <c r="M294" s="233"/>
    </row>
    <row r="295" ht="15.75" hidden="1" customHeight="1">
      <c r="A295" s="231" t="s">
        <v>175</v>
      </c>
      <c r="B295" s="222"/>
      <c r="C295" s="224"/>
      <c r="D295" s="227"/>
      <c r="E295" s="224"/>
      <c r="F295" s="228"/>
      <c r="G295" s="233"/>
      <c r="H295" s="233"/>
      <c r="I295" s="233"/>
      <c r="J295" s="233"/>
      <c r="K295" s="233"/>
      <c r="L295" s="233"/>
      <c r="M295" s="233"/>
    </row>
    <row r="296" ht="15.75" hidden="1" customHeight="1">
      <c r="A296" s="231" t="s">
        <v>176</v>
      </c>
      <c r="B296" s="222"/>
      <c r="C296" s="224"/>
      <c r="D296" s="227"/>
      <c r="E296" s="224"/>
      <c r="F296" s="228"/>
      <c r="G296" s="233"/>
      <c r="H296" s="233"/>
      <c r="I296" s="233"/>
      <c r="J296" s="233"/>
      <c r="K296" s="233"/>
      <c r="L296" s="233"/>
      <c r="M296" s="233"/>
    </row>
    <row r="297" ht="15.75" hidden="1" customHeight="1">
      <c r="A297" s="225" t="s">
        <v>228</v>
      </c>
      <c r="B297" s="222"/>
      <c r="C297" s="224"/>
      <c r="D297" s="227"/>
      <c r="E297" s="224"/>
      <c r="F297" s="228"/>
      <c r="G297" s="233"/>
      <c r="H297" s="233"/>
      <c r="I297" s="233"/>
      <c r="J297" s="233"/>
      <c r="K297" s="233"/>
      <c r="L297" s="233"/>
      <c r="M297" s="233"/>
    </row>
    <row r="298" ht="15.75" hidden="1" customHeight="1">
      <c r="A298" s="231" t="s">
        <v>173</v>
      </c>
      <c r="B298" s="222"/>
      <c r="C298" s="224"/>
      <c r="D298" s="227"/>
      <c r="E298" s="224"/>
      <c r="F298" s="228"/>
      <c r="G298" s="233"/>
      <c r="H298" s="233"/>
      <c r="I298" s="233"/>
      <c r="J298" s="233"/>
      <c r="K298" s="233"/>
      <c r="L298" s="233"/>
      <c r="M298" s="233"/>
    </row>
    <row r="299" ht="15.75" hidden="1" customHeight="1">
      <c r="A299" s="231" t="s">
        <v>174</v>
      </c>
      <c r="B299" s="222"/>
      <c r="C299" s="224"/>
      <c r="D299" s="227"/>
      <c r="E299" s="224"/>
      <c r="F299" s="228"/>
      <c r="G299" s="233"/>
      <c r="H299" s="233"/>
      <c r="I299" s="233"/>
      <c r="J299" s="233"/>
      <c r="K299" s="233"/>
      <c r="L299" s="233"/>
      <c r="M299" s="233"/>
    </row>
    <row r="300" ht="15.75" hidden="1" customHeight="1">
      <c r="A300" s="231" t="s">
        <v>175</v>
      </c>
      <c r="B300" s="222"/>
      <c r="C300" s="224"/>
      <c r="D300" s="227"/>
      <c r="E300" s="224"/>
      <c r="F300" s="228"/>
      <c r="G300" s="233"/>
      <c r="H300" s="233"/>
      <c r="I300" s="233"/>
      <c r="J300" s="233"/>
      <c r="K300" s="233"/>
      <c r="L300" s="233"/>
      <c r="M300" s="233"/>
    </row>
    <row r="301" ht="15.75" hidden="1" customHeight="1">
      <c r="A301" s="231" t="s">
        <v>176</v>
      </c>
      <c r="B301" s="222"/>
      <c r="C301" s="224"/>
      <c r="D301" s="227"/>
      <c r="E301" s="224"/>
      <c r="F301" s="228"/>
      <c r="G301" s="233"/>
      <c r="H301" s="233"/>
      <c r="I301" s="233"/>
      <c r="J301" s="233"/>
      <c r="K301" s="233"/>
      <c r="L301" s="233"/>
      <c r="M301" s="233"/>
    </row>
    <row r="302" ht="15.75" customHeight="1">
      <c r="A302" s="231"/>
      <c r="B302" s="222"/>
      <c r="C302" s="224"/>
      <c r="D302" s="227"/>
      <c r="E302" s="224"/>
      <c r="F302" s="228"/>
      <c r="G302" s="233"/>
      <c r="H302" s="233"/>
      <c r="I302" s="233"/>
      <c r="J302" s="233"/>
      <c r="K302" s="233"/>
      <c r="L302" s="233"/>
      <c r="M302" s="233"/>
    </row>
    <row r="303">
      <c r="A303" s="225" t="s">
        <v>229</v>
      </c>
      <c r="B303" s="222"/>
      <c r="C303" s="224"/>
      <c r="D303" s="227"/>
      <c r="E303" s="224"/>
      <c r="F303" s="228"/>
      <c r="G303" s="233"/>
      <c r="H303" s="233"/>
      <c r="I303" s="233"/>
      <c r="J303" s="233"/>
      <c r="K303" s="233"/>
      <c r="L303" s="233"/>
      <c r="M303" s="233"/>
    </row>
    <row r="304" ht="15.75" hidden="1" customHeight="1">
      <c r="A304" s="231" t="s">
        <v>230</v>
      </c>
      <c r="B304" s="222"/>
      <c r="C304" s="224"/>
      <c r="D304" s="227"/>
      <c r="E304" s="224"/>
      <c r="F304" s="228"/>
      <c r="G304" s="233"/>
      <c r="H304" s="233"/>
      <c r="I304" s="233"/>
      <c r="J304" s="233"/>
      <c r="K304" s="233"/>
      <c r="L304" s="233"/>
      <c r="M304" s="233"/>
    </row>
    <row r="305" ht="15.75" hidden="1" customHeight="1">
      <c r="A305" s="231" t="s">
        <v>230</v>
      </c>
      <c r="B305" s="222"/>
      <c r="C305" s="224"/>
      <c r="D305" s="227"/>
      <c r="E305" s="224"/>
      <c r="F305" s="228"/>
      <c r="G305" s="233"/>
      <c r="H305" s="233"/>
      <c r="I305" s="233"/>
      <c r="J305" s="233"/>
      <c r="K305" s="233"/>
      <c r="L305" s="233"/>
      <c r="M305" s="233"/>
    </row>
    <row r="306" ht="15.75" hidden="1" customHeight="1">
      <c r="A306" s="231" t="s">
        <v>231</v>
      </c>
      <c r="B306" s="222"/>
      <c r="C306" s="224"/>
      <c r="D306" s="227"/>
      <c r="E306" s="224"/>
      <c r="F306" s="228"/>
      <c r="G306" s="233"/>
      <c r="H306" s="233"/>
      <c r="I306" s="233"/>
      <c r="J306" s="233"/>
      <c r="K306" s="233"/>
      <c r="L306" s="233"/>
      <c r="M306" s="233"/>
    </row>
    <row r="307" ht="15.75" hidden="1" customHeight="1">
      <c r="A307" s="231" t="s">
        <v>232</v>
      </c>
      <c r="B307" s="222"/>
      <c r="C307" s="224"/>
      <c r="D307" s="227"/>
      <c r="E307" s="224"/>
      <c r="F307" s="228"/>
      <c r="G307" s="233"/>
      <c r="H307" s="233"/>
      <c r="I307" s="233"/>
      <c r="J307" s="233"/>
      <c r="K307" s="233"/>
      <c r="L307" s="233"/>
      <c r="M307" s="233"/>
    </row>
    <row r="308" ht="15.75" customHeight="1">
      <c r="A308" s="231" t="s">
        <v>233</v>
      </c>
      <c r="B308" s="222" t="s">
        <v>33</v>
      </c>
      <c r="C308" s="224"/>
      <c r="D308" s="227"/>
      <c r="E308" s="236"/>
      <c r="F308" s="228"/>
      <c r="G308" s="233"/>
      <c r="H308" s="233"/>
      <c r="I308" s="233"/>
      <c r="J308" s="233"/>
      <c r="K308" s="233"/>
      <c r="L308" s="233"/>
      <c r="M308" s="233"/>
    </row>
    <row r="309" ht="15.75" customHeight="1">
      <c r="A309" s="231" t="s">
        <v>234</v>
      </c>
      <c r="B309" s="222" t="s">
        <v>33</v>
      </c>
      <c r="C309" s="224"/>
      <c r="D309" s="227"/>
      <c r="E309" s="224"/>
      <c r="F309" s="228"/>
      <c r="G309" s="233"/>
      <c r="H309" s="233"/>
      <c r="I309" s="233"/>
      <c r="J309" s="233"/>
      <c r="K309" s="233"/>
      <c r="L309" s="233"/>
      <c r="M309" s="233"/>
    </row>
    <row r="310" ht="15.75" hidden="1" customHeight="1">
      <c r="A310" s="231" t="s">
        <v>235</v>
      </c>
      <c r="B310" s="222" t="s">
        <v>33</v>
      </c>
      <c r="C310" s="224"/>
      <c r="D310" s="227"/>
      <c r="E310" s="224"/>
      <c r="F310" s="228"/>
      <c r="G310" s="233"/>
      <c r="H310" s="233"/>
      <c r="I310" s="233"/>
      <c r="J310" s="233"/>
      <c r="K310" s="233"/>
      <c r="L310" s="233"/>
      <c r="M310" s="233"/>
    </row>
    <row r="311" ht="15.75" hidden="1" customHeight="1">
      <c r="A311" s="231" t="s">
        <v>236</v>
      </c>
      <c r="B311" s="222" t="s">
        <v>33</v>
      </c>
      <c r="C311" s="224"/>
      <c r="D311" s="227"/>
      <c r="E311" s="224"/>
      <c r="F311" s="228"/>
      <c r="G311" s="233"/>
      <c r="H311" s="233"/>
      <c r="I311" s="233"/>
      <c r="J311" s="233"/>
      <c r="K311" s="233"/>
      <c r="L311" s="233"/>
      <c r="M311" s="233"/>
    </row>
    <row r="312" ht="15.75" hidden="1" customHeight="1">
      <c r="A312" s="231" t="s">
        <v>237</v>
      </c>
      <c r="B312" s="222" t="s">
        <v>33</v>
      </c>
      <c r="C312" s="224"/>
      <c r="D312" s="227"/>
      <c r="E312" s="224"/>
      <c r="F312" s="228"/>
      <c r="G312" s="233"/>
      <c r="H312" s="233"/>
      <c r="I312" s="233"/>
      <c r="J312" s="233"/>
      <c r="K312" s="233"/>
      <c r="L312" s="233"/>
      <c r="M312" s="233"/>
    </row>
    <row r="313" hidden="1">
      <c r="A313" s="231" t="s">
        <v>238</v>
      </c>
      <c r="B313" s="222" t="s">
        <v>33</v>
      </c>
      <c r="C313" s="224"/>
      <c r="D313" s="227"/>
      <c r="E313" s="236">
        <v>700.0</v>
      </c>
      <c r="F313" s="228">
        <v>420.0</v>
      </c>
      <c r="G313" s="233"/>
      <c r="H313" s="233"/>
      <c r="I313" s="233"/>
      <c r="J313" s="233"/>
      <c r="K313" s="233"/>
      <c r="L313" s="233"/>
      <c r="M313" s="233"/>
    </row>
    <row r="314">
      <c r="A314" s="231" t="s">
        <v>239</v>
      </c>
      <c r="B314" s="222" t="s">
        <v>33</v>
      </c>
      <c r="C314" s="224"/>
      <c r="D314" s="227"/>
      <c r="E314" s="236">
        <v>70.0</v>
      </c>
      <c r="F314" s="228">
        <v>455.0</v>
      </c>
      <c r="G314" s="233"/>
      <c r="H314" s="233"/>
      <c r="I314" s="233"/>
      <c r="J314" s="233"/>
      <c r="K314" s="233"/>
      <c r="L314" s="233"/>
      <c r="M314" s="233"/>
    </row>
    <row r="315" ht="15.75" customHeight="1">
      <c r="A315" s="231" t="s">
        <v>240</v>
      </c>
      <c r="B315" s="222" t="s">
        <v>33</v>
      </c>
      <c r="C315" s="224"/>
      <c r="D315" s="227"/>
      <c r="E315" s="224"/>
      <c r="F315" s="228"/>
      <c r="G315" s="233"/>
      <c r="H315" s="233"/>
      <c r="I315" s="233"/>
      <c r="J315" s="233"/>
      <c r="K315" s="233"/>
      <c r="L315" s="233"/>
      <c r="M315" s="233"/>
    </row>
    <row r="316" ht="15.75" customHeight="1">
      <c r="A316" s="231" t="s">
        <v>241</v>
      </c>
      <c r="B316" s="222" t="s">
        <v>33</v>
      </c>
      <c r="C316" s="224"/>
      <c r="D316" s="227"/>
      <c r="E316" s="224"/>
      <c r="F316" s="228"/>
      <c r="G316" s="233"/>
      <c r="H316" s="233"/>
      <c r="I316" s="233"/>
      <c r="J316" s="233"/>
      <c r="K316" s="233"/>
      <c r="L316" s="233"/>
      <c r="M316" s="233"/>
    </row>
    <row r="317" ht="15.75" customHeight="1">
      <c r="A317" s="243" t="s">
        <v>242</v>
      </c>
      <c r="B317" s="222" t="s">
        <v>33</v>
      </c>
      <c r="C317" s="224"/>
      <c r="D317" s="227"/>
      <c r="E317" s="224"/>
      <c r="F317" s="228"/>
      <c r="G317" s="237">
        <v>50.0</v>
      </c>
      <c r="H317" s="237">
        <v>40.0</v>
      </c>
      <c r="I317" s="233"/>
      <c r="J317" s="233"/>
      <c r="K317" s="237">
        <v>50.0</v>
      </c>
      <c r="L317" s="237">
        <v>40.0</v>
      </c>
      <c r="M317" s="233"/>
    </row>
    <row r="318" ht="15.75" customHeight="1">
      <c r="A318" s="231" t="s">
        <v>243</v>
      </c>
      <c r="B318" s="222" t="s">
        <v>33</v>
      </c>
      <c r="C318" s="224"/>
      <c r="D318" s="227"/>
      <c r="E318" s="224"/>
      <c r="F318" s="228"/>
      <c r="G318" s="233"/>
      <c r="H318" s="233"/>
      <c r="I318" s="233"/>
      <c r="J318" s="233"/>
      <c r="K318" s="233"/>
      <c r="L318" s="233"/>
      <c r="M318" s="233"/>
    </row>
    <row r="319" ht="15.75" customHeight="1">
      <c r="A319" s="231" t="s">
        <v>244</v>
      </c>
      <c r="B319" s="222" t="s">
        <v>33</v>
      </c>
      <c r="C319" s="224"/>
      <c r="D319" s="227"/>
      <c r="E319" s="224"/>
      <c r="F319" s="228"/>
      <c r="G319" s="233"/>
      <c r="H319" s="233"/>
      <c r="I319" s="233"/>
      <c r="J319" s="233"/>
      <c r="K319" s="233"/>
      <c r="L319" s="233"/>
      <c r="M319" s="233"/>
    </row>
    <row r="320" ht="15.75" customHeight="1">
      <c r="A320" s="231" t="s">
        <v>245</v>
      </c>
      <c r="B320" s="222" t="s">
        <v>33</v>
      </c>
      <c r="C320" s="224"/>
      <c r="D320" s="227"/>
      <c r="E320" s="224"/>
      <c r="F320" s="228"/>
      <c r="G320" s="233"/>
      <c r="H320" s="233"/>
      <c r="I320" s="233"/>
      <c r="J320" s="233"/>
      <c r="K320" s="233"/>
      <c r="L320" s="233"/>
      <c r="M320" s="233"/>
    </row>
    <row r="321" ht="15.75" customHeight="1">
      <c r="A321" s="231" t="s">
        <v>246</v>
      </c>
      <c r="B321" s="222" t="s">
        <v>33</v>
      </c>
      <c r="C321" s="224"/>
      <c r="D321" s="227"/>
      <c r="E321" s="224"/>
      <c r="F321" s="228"/>
      <c r="G321" s="233"/>
      <c r="H321" s="233"/>
      <c r="I321" s="233"/>
      <c r="J321" s="233"/>
      <c r="K321" s="233"/>
      <c r="L321" s="233"/>
      <c r="M321" s="233"/>
    </row>
    <row r="322" ht="15.75" customHeight="1">
      <c r="A322" s="231" t="s">
        <v>247</v>
      </c>
      <c r="B322" s="222" t="s">
        <v>33</v>
      </c>
      <c r="C322" s="224"/>
      <c r="D322" s="227"/>
      <c r="E322" s="224"/>
      <c r="F322" s="228"/>
      <c r="G322" s="233"/>
      <c r="H322" s="233"/>
      <c r="I322" s="233"/>
      <c r="J322" s="233"/>
      <c r="K322" s="233"/>
      <c r="L322" s="233"/>
      <c r="M322" s="233"/>
    </row>
    <row r="323" ht="15.75" customHeight="1">
      <c r="A323" s="231" t="s">
        <v>248</v>
      </c>
      <c r="B323" s="222" t="s">
        <v>33</v>
      </c>
      <c r="C323" s="224"/>
      <c r="D323" s="227"/>
      <c r="E323" s="224"/>
      <c r="F323" s="228"/>
      <c r="G323" s="233"/>
      <c r="H323" s="233"/>
      <c r="I323" s="233"/>
      <c r="J323" s="233"/>
      <c r="K323" s="233"/>
      <c r="L323" s="233"/>
      <c r="M323" s="233"/>
    </row>
    <row r="324" ht="15.75" customHeight="1">
      <c r="A324" s="231"/>
      <c r="B324" s="222" t="s">
        <v>33</v>
      </c>
      <c r="C324" s="224"/>
      <c r="D324" s="227"/>
      <c r="E324" s="224"/>
      <c r="F324" s="228"/>
      <c r="G324" s="233"/>
      <c r="H324" s="233"/>
      <c r="I324" s="233"/>
      <c r="J324" s="233"/>
      <c r="K324" s="233"/>
      <c r="L324" s="233"/>
      <c r="M324" s="233"/>
    </row>
    <row r="325" ht="15.75" customHeight="1">
      <c r="A325" s="231"/>
      <c r="B325" s="222" t="s">
        <v>33</v>
      </c>
      <c r="C325" s="224"/>
      <c r="D325" s="227"/>
      <c r="E325" s="224"/>
      <c r="F325" s="228"/>
      <c r="G325" s="233"/>
      <c r="H325" s="233"/>
      <c r="I325" s="233"/>
      <c r="J325" s="233"/>
      <c r="K325" s="233"/>
      <c r="L325" s="233"/>
      <c r="M325" s="233"/>
    </row>
    <row r="326" ht="15.75" customHeight="1">
      <c r="A326" s="231" t="s">
        <v>249</v>
      </c>
      <c r="B326" s="222" t="s">
        <v>33</v>
      </c>
      <c r="C326" s="224"/>
      <c r="D326" s="227"/>
      <c r="E326" s="224"/>
      <c r="F326" s="228"/>
      <c r="G326" s="233"/>
      <c r="H326" s="233"/>
      <c r="I326" s="233"/>
      <c r="J326" s="233"/>
      <c r="K326" s="233"/>
      <c r="L326" s="233"/>
      <c r="M326" s="233"/>
    </row>
    <row r="327" ht="15.75" customHeight="1">
      <c r="A327" s="225" t="s">
        <v>250</v>
      </c>
      <c r="B327" s="222"/>
      <c r="C327" s="224"/>
      <c r="D327" s="227"/>
      <c r="E327" s="224"/>
      <c r="F327" s="228"/>
      <c r="G327" s="233"/>
      <c r="H327" s="233"/>
      <c r="I327" s="233"/>
      <c r="J327" s="233"/>
      <c r="K327" s="233"/>
      <c r="L327" s="233"/>
      <c r="M327" s="233"/>
    </row>
    <row r="328">
      <c r="A328" s="231" t="s">
        <v>251</v>
      </c>
      <c r="B328" s="222" t="s">
        <v>171</v>
      </c>
      <c r="C328" s="224">
        <v>14147.0</v>
      </c>
      <c r="D328" s="227">
        <v>4732.04</v>
      </c>
      <c r="E328" s="224">
        <v>12303.86</v>
      </c>
      <c r="F328" s="228">
        <v>1230.39</v>
      </c>
      <c r="G328" s="233"/>
      <c r="H328" s="233"/>
      <c r="I328" s="233"/>
      <c r="J328" s="233"/>
      <c r="K328" s="233"/>
      <c r="L328" s="233"/>
      <c r="M328" s="233"/>
    </row>
    <row r="329">
      <c r="A329" s="231" t="s">
        <v>252</v>
      </c>
      <c r="B329" s="222" t="s">
        <v>171</v>
      </c>
      <c r="C329" s="224">
        <v>117857.0</v>
      </c>
      <c r="D329" s="227">
        <v>4591.08</v>
      </c>
      <c r="E329" s="224"/>
      <c r="F329" s="228"/>
      <c r="G329" s="234">
        <v>21785.65</v>
      </c>
      <c r="H329" s="234">
        <v>2178.55</v>
      </c>
      <c r="I329" s="233"/>
      <c r="J329" s="233"/>
      <c r="K329" s="234">
        <v>21785.65</v>
      </c>
      <c r="L329" s="234">
        <v>2178.55</v>
      </c>
      <c r="M329" s="233"/>
    </row>
    <row r="330">
      <c r="A330" s="231" t="s">
        <v>253</v>
      </c>
      <c r="B330" s="222"/>
      <c r="C330" s="224">
        <v>332.0</v>
      </c>
      <c r="D330" s="227">
        <v>246.03</v>
      </c>
      <c r="E330" s="224"/>
      <c r="F330" s="228"/>
      <c r="G330" s="233"/>
      <c r="H330" s="233"/>
      <c r="I330" s="233"/>
      <c r="J330" s="233"/>
      <c r="K330" s="233"/>
      <c r="L330" s="233"/>
      <c r="M330" s="233"/>
    </row>
    <row r="331" ht="15.75" customHeight="1">
      <c r="A331" s="231" t="s">
        <v>253</v>
      </c>
      <c r="B331" s="222"/>
      <c r="C331" s="224"/>
      <c r="D331" s="227"/>
      <c r="E331" s="224"/>
      <c r="F331" s="228"/>
      <c r="G331" s="233"/>
      <c r="H331" s="233"/>
      <c r="I331" s="233"/>
      <c r="J331" s="233"/>
      <c r="K331" s="233"/>
      <c r="L331" s="233"/>
      <c r="M331" s="233"/>
    </row>
    <row r="332" ht="15.75" customHeight="1">
      <c r="A332" s="231" t="s">
        <v>254</v>
      </c>
      <c r="B332" s="222" t="s">
        <v>255</v>
      </c>
      <c r="C332" s="224"/>
      <c r="D332" s="227"/>
      <c r="E332" s="224"/>
      <c r="F332" s="228"/>
      <c r="G332" s="237">
        <v>243.0</v>
      </c>
      <c r="H332" s="234">
        <v>103.16</v>
      </c>
      <c r="I332" s="233"/>
      <c r="J332" s="233"/>
      <c r="K332" s="237">
        <v>243.0</v>
      </c>
      <c r="L332" s="234">
        <v>103.16</v>
      </c>
      <c r="M332" s="233"/>
    </row>
    <row r="333" ht="15.75" customHeight="1">
      <c r="A333" s="231"/>
      <c r="B333" s="222"/>
      <c r="C333" s="224"/>
      <c r="D333" s="227"/>
      <c r="E333" s="224"/>
      <c r="F333" s="228"/>
      <c r="G333" s="233"/>
      <c r="H333" s="233"/>
      <c r="I333" s="233"/>
      <c r="J333" s="233"/>
      <c r="K333" s="233"/>
      <c r="L333" s="233"/>
      <c r="M333" s="233"/>
    </row>
    <row r="334" ht="15.75" customHeight="1">
      <c r="A334" s="231"/>
      <c r="B334" s="222"/>
      <c r="C334" s="224"/>
      <c r="D334" s="227"/>
      <c r="E334" s="224"/>
      <c r="F334" s="228"/>
      <c r="G334" s="233"/>
      <c r="H334" s="233"/>
      <c r="I334" s="233"/>
      <c r="J334" s="233"/>
      <c r="K334" s="233"/>
      <c r="L334" s="233"/>
      <c r="M334" s="233"/>
    </row>
    <row r="335" ht="15.75" customHeight="1">
      <c r="A335" s="231"/>
      <c r="B335" s="222"/>
      <c r="C335" s="224"/>
      <c r="D335" s="227"/>
      <c r="E335" s="224"/>
      <c r="F335" s="228"/>
      <c r="G335" s="233"/>
      <c r="H335" s="233"/>
      <c r="I335" s="233"/>
      <c r="J335" s="233"/>
      <c r="K335" s="233"/>
      <c r="L335" s="233"/>
      <c r="M335" s="233"/>
    </row>
    <row r="336" ht="15.75" customHeight="1">
      <c r="A336" s="225" t="s">
        <v>256</v>
      </c>
      <c r="B336" s="222"/>
      <c r="C336" s="224"/>
      <c r="D336" s="227"/>
      <c r="E336" s="224"/>
      <c r="F336" s="228"/>
      <c r="G336" s="233"/>
      <c r="H336" s="233"/>
      <c r="I336" s="233"/>
      <c r="J336" s="233"/>
      <c r="K336" s="233"/>
      <c r="L336" s="233"/>
      <c r="M336" s="233"/>
    </row>
    <row r="337" ht="15.75" customHeight="1">
      <c r="A337" s="231" t="s">
        <v>257</v>
      </c>
      <c r="B337" s="222"/>
      <c r="C337" s="224"/>
      <c r="D337" s="227"/>
      <c r="E337" s="224"/>
      <c r="F337" s="228"/>
      <c r="G337" s="233"/>
      <c r="H337" s="233"/>
      <c r="I337" s="233"/>
      <c r="J337" s="233"/>
      <c r="K337" s="233"/>
      <c r="L337" s="233"/>
      <c r="M337" s="233"/>
    </row>
    <row r="338" ht="15.75" customHeight="1">
      <c r="A338" s="231" t="s">
        <v>258</v>
      </c>
      <c r="B338" s="222"/>
      <c r="C338" s="224"/>
      <c r="D338" s="227"/>
      <c r="E338" s="224"/>
      <c r="F338" s="228"/>
      <c r="G338" s="233"/>
      <c r="H338" s="233"/>
      <c r="I338" s="233"/>
      <c r="J338" s="233"/>
      <c r="K338" s="233"/>
      <c r="L338" s="233"/>
      <c r="M338" s="233"/>
    </row>
    <row r="339" ht="15.75" customHeight="1">
      <c r="A339" s="231" t="s">
        <v>259</v>
      </c>
      <c r="B339" s="222"/>
      <c r="C339" s="224"/>
      <c r="D339" s="227"/>
      <c r="E339" s="224"/>
      <c r="F339" s="228"/>
      <c r="G339" s="233"/>
      <c r="H339" s="233"/>
      <c r="I339" s="233"/>
      <c r="J339" s="233"/>
      <c r="K339" s="233"/>
      <c r="L339" s="233"/>
      <c r="M339" s="233"/>
    </row>
    <row r="340" ht="15.75" customHeight="1">
      <c r="A340" s="231" t="s">
        <v>260</v>
      </c>
      <c r="B340" s="222"/>
      <c r="C340" s="224"/>
      <c r="D340" s="227"/>
      <c r="E340" s="224"/>
      <c r="F340" s="228"/>
      <c r="G340" s="233"/>
      <c r="H340" s="233"/>
      <c r="I340" s="233"/>
      <c r="J340" s="233"/>
      <c r="K340" s="233"/>
      <c r="L340" s="233"/>
      <c r="M340" s="233"/>
    </row>
    <row r="341" ht="15.75" customHeight="1">
      <c r="A341" s="231" t="s">
        <v>261</v>
      </c>
      <c r="B341" s="222"/>
      <c r="C341" s="224"/>
      <c r="D341" s="227"/>
      <c r="E341" s="224"/>
      <c r="F341" s="228"/>
      <c r="G341" s="233"/>
      <c r="H341" s="233"/>
      <c r="I341" s="233"/>
      <c r="J341" s="233"/>
      <c r="K341" s="233"/>
      <c r="L341" s="233"/>
      <c r="M341" s="233"/>
    </row>
    <row r="342" ht="15.75" customHeight="1">
      <c r="A342" s="231" t="s">
        <v>262</v>
      </c>
      <c r="B342" s="222"/>
      <c r="C342" s="224"/>
      <c r="D342" s="227"/>
      <c r="E342" s="224"/>
      <c r="F342" s="228"/>
      <c r="G342" s="233"/>
      <c r="H342" s="233"/>
      <c r="I342" s="233"/>
      <c r="J342" s="233"/>
      <c r="K342" s="233"/>
      <c r="L342" s="233"/>
      <c r="M342" s="233"/>
    </row>
    <row r="343" ht="15.75" customHeight="1">
      <c r="A343" s="231" t="s">
        <v>263</v>
      </c>
      <c r="B343" s="222" t="s">
        <v>33</v>
      </c>
      <c r="C343" s="224"/>
      <c r="D343" s="227"/>
      <c r="E343" s="224"/>
      <c r="F343" s="228"/>
      <c r="G343" s="233"/>
      <c r="H343" s="233"/>
      <c r="I343" s="233"/>
      <c r="J343" s="233"/>
      <c r="K343" s="233"/>
      <c r="L343" s="233"/>
      <c r="M343" s="233"/>
    </row>
    <row r="344" ht="15.75" customHeight="1">
      <c r="A344" s="225" t="s">
        <v>264</v>
      </c>
      <c r="B344" s="222"/>
      <c r="C344" s="224"/>
      <c r="D344" s="227"/>
      <c r="E344" s="224"/>
      <c r="F344" s="228"/>
      <c r="G344" s="233"/>
      <c r="H344" s="233"/>
      <c r="I344" s="233"/>
      <c r="J344" s="233"/>
      <c r="K344" s="233"/>
      <c r="L344" s="233"/>
      <c r="M344" s="233"/>
    </row>
    <row r="345" ht="15.75" customHeight="1">
      <c r="A345" s="231" t="s">
        <v>265</v>
      </c>
      <c r="B345" s="222"/>
      <c r="C345" s="224"/>
      <c r="D345" s="227"/>
      <c r="E345" s="224"/>
      <c r="F345" s="228"/>
      <c r="G345" s="233"/>
      <c r="H345" s="233"/>
      <c r="I345" s="233"/>
      <c r="J345" s="233"/>
      <c r="K345" s="233"/>
      <c r="L345" s="233"/>
      <c r="M345" s="233"/>
    </row>
    <row r="346" ht="15.75" customHeight="1">
      <c r="A346" s="231" t="s">
        <v>266</v>
      </c>
      <c r="B346" s="222"/>
      <c r="C346" s="224"/>
      <c r="D346" s="227"/>
      <c r="E346" s="224"/>
      <c r="F346" s="228"/>
      <c r="G346" s="233"/>
      <c r="H346" s="233"/>
      <c r="I346" s="233"/>
      <c r="J346" s="233"/>
      <c r="K346" s="233"/>
      <c r="L346" s="233"/>
      <c r="M346" s="233"/>
    </row>
    <row r="347" ht="15.75" customHeight="1">
      <c r="A347" s="231" t="s">
        <v>267</v>
      </c>
      <c r="B347" s="222"/>
      <c r="C347" s="224"/>
      <c r="D347" s="227"/>
      <c r="E347" s="224"/>
      <c r="F347" s="228"/>
      <c r="G347" s="233"/>
      <c r="H347" s="233"/>
      <c r="I347" s="233"/>
      <c r="J347" s="233"/>
      <c r="K347" s="233"/>
      <c r="L347" s="233"/>
      <c r="M347" s="233"/>
    </row>
    <row r="348" ht="15.75" customHeight="1">
      <c r="A348" s="231" t="s">
        <v>268</v>
      </c>
      <c r="B348" s="222"/>
      <c r="C348" s="224"/>
      <c r="D348" s="227"/>
      <c r="E348" s="224"/>
      <c r="F348" s="228"/>
      <c r="G348" s="233"/>
      <c r="H348" s="233"/>
      <c r="I348" s="233"/>
      <c r="J348" s="233"/>
      <c r="K348" s="233"/>
      <c r="L348" s="233"/>
      <c r="M348" s="233"/>
    </row>
    <row r="349" ht="15.75" customHeight="1">
      <c r="A349" s="231" t="s">
        <v>269</v>
      </c>
      <c r="B349" s="222"/>
      <c r="C349" s="224"/>
      <c r="D349" s="227"/>
      <c r="E349" s="224"/>
      <c r="F349" s="228"/>
      <c r="G349" s="233"/>
      <c r="H349" s="233"/>
      <c r="I349" s="233"/>
      <c r="J349" s="233"/>
      <c r="K349" s="233"/>
      <c r="L349" s="233"/>
      <c r="M349" s="233"/>
    </row>
    <row r="350" ht="15.75" customHeight="1">
      <c r="A350" s="231"/>
      <c r="B350" s="222"/>
      <c r="C350" s="224"/>
      <c r="D350" s="227"/>
      <c r="E350" s="224"/>
      <c r="F350" s="228"/>
      <c r="G350" s="233"/>
      <c r="H350" s="233"/>
      <c r="I350" s="233"/>
      <c r="J350" s="233"/>
      <c r="K350" s="233"/>
      <c r="L350" s="233"/>
      <c r="M350" s="233"/>
    </row>
    <row r="351" ht="15.75" customHeight="1">
      <c r="A351" s="231"/>
      <c r="B351" s="222"/>
      <c r="C351" s="224"/>
      <c r="D351" s="227"/>
      <c r="E351" s="224"/>
      <c r="F351" s="228"/>
      <c r="G351" s="233"/>
      <c r="H351" s="233"/>
      <c r="I351" s="233"/>
      <c r="J351" s="233"/>
      <c r="K351" s="233"/>
      <c r="L351" s="233"/>
      <c r="M351" s="233"/>
    </row>
    <row r="352" ht="15.75" customHeight="1">
      <c r="A352" s="231"/>
      <c r="B352" s="222"/>
      <c r="C352" s="224"/>
      <c r="D352" s="227"/>
      <c r="E352" s="224"/>
      <c r="F352" s="228"/>
      <c r="G352" s="233"/>
      <c r="H352" s="233"/>
      <c r="I352" s="233"/>
      <c r="J352" s="233"/>
      <c r="K352" s="233"/>
      <c r="L352" s="233"/>
      <c r="M352" s="233"/>
    </row>
    <row r="353" ht="15.75" customHeight="1">
      <c r="A353" s="225" t="s">
        <v>270</v>
      </c>
      <c r="B353" s="222"/>
      <c r="C353" s="224"/>
      <c r="D353" s="227"/>
      <c r="E353" s="224"/>
      <c r="F353" s="228"/>
      <c r="G353" s="233"/>
      <c r="H353" s="233"/>
      <c r="I353" s="233"/>
      <c r="J353" s="233"/>
      <c r="K353" s="233"/>
      <c r="L353" s="233"/>
      <c r="M353" s="233"/>
    </row>
    <row r="354" ht="15.75" customHeight="1">
      <c r="A354" s="231" t="s">
        <v>271</v>
      </c>
      <c r="B354" s="222" t="s">
        <v>272</v>
      </c>
      <c r="C354" s="224"/>
      <c r="D354" s="227"/>
      <c r="E354" s="224"/>
      <c r="F354" s="228"/>
      <c r="G354" s="233"/>
      <c r="H354" s="233"/>
      <c r="I354" s="233"/>
      <c r="J354" s="233"/>
      <c r="K354" s="233"/>
      <c r="L354" s="233"/>
      <c r="M354" s="233"/>
    </row>
    <row r="355" ht="15.75" customHeight="1">
      <c r="A355" s="231" t="s">
        <v>273</v>
      </c>
      <c r="B355" s="222"/>
      <c r="C355" s="224"/>
      <c r="D355" s="227"/>
      <c r="E355" s="224"/>
      <c r="F355" s="228"/>
      <c r="G355" s="233"/>
      <c r="H355" s="233"/>
      <c r="I355" s="233"/>
      <c r="J355" s="233"/>
      <c r="K355" s="233"/>
      <c r="L355" s="233"/>
      <c r="M355" s="233"/>
    </row>
    <row r="356" ht="15.75" customHeight="1">
      <c r="A356" s="231" t="s">
        <v>274</v>
      </c>
      <c r="B356" s="222"/>
      <c r="C356" s="224"/>
      <c r="D356" s="227"/>
      <c r="E356" s="224"/>
      <c r="F356" s="228"/>
      <c r="G356" s="233"/>
      <c r="H356" s="233"/>
      <c r="I356" s="233"/>
      <c r="J356" s="233"/>
      <c r="K356" s="233"/>
      <c r="L356" s="233"/>
      <c r="M356" s="233"/>
    </row>
    <row r="357" ht="15.75" customHeight="1">
      <c r="A357" s="231"/>
      <c r="B357" s="222"/>
      <c r="C357" s="224"/>
      <c r="D357" s="227"/>
      <c r="E357" s="224"/>
      <c r="F357" s="228"/>
      <c r="G357" s="233"/>
      <c r="H357" s="233"/>
      <c r="I357" s="233"/>
      <c r="J357" s="233"/>
      <c r="K357" s="233"/>
      <c r="L357" s="233"/>
      <c r="M357" s="233"/>
    </row>
    <row r="358" ht="15.75" customHeight="1">
      <c r="A358" s="225" t="s">
        <v>275</v>
      </c>
      <c r="B358" s="222"/>
      <c r="C358" s="224"/>
      <c r="D358" s="227"/>
      <c r="E358" s="224"/>
      <c r="F358" s="228"/>
      <c r="G358" s="233"/>
      <c r="H358" s="233"/>
      <c r="I358" s="233"/>
      <c r="J358" s="233"/>
      <c r="K358" s="233"/>
      <c r="L358" s="233"/>
      <c r="M358" s="233"/>
    </row>
    <row r="359" ht="15.75" customHeight="1">
      <c r="A359" s="231" t="s">
        <v>276</v>
      </c>
      <c r="B359" s="222"/>
      <c r="C359" s="224"/>
      <c r="D359" s="227"/>
      <c r="E359" s="224"/>
      <c r="F359" s="228"/>
      <c r="G359" s="233"/>
      <c r="H359" s="233"/>
      <c r="I359" s="233"/>
      <c r="J359" s="233"/>
      <c r="K359" s="233"/>
      <c r="L359" s="233"/>
      <c r="M359" s="233"/>
    </row>
    <row r="360" ht="15.75" customHeight="1">
      <c r="A360" s="231" t="s">
        <v>277</v>
      </c>
      <c r="B360" s="222"/>
      <c r="C360" s="224"/>
      <c r="D360" s="227"/>
      <c r="E360" s="224"/>
      <c r="F360" s="228"/>
      <c r="G360" s="233"/>
      <c r="H360" s="233"/>
      <c r="I360" s="233"/>
      <c r="J360" s="233"/>
      <c r="K360" s="233"/>
      <c r="L360" s="233"/>
      <c r="M360" s="233"/>
    </row>
    <row r="361" ht="15.75" customHeight="1">
      <c r="A361" s="231" t="s">
        <v>278</v>
      </c>
      <c r="B361" s="222"/>
      <c r="C361" s="224"/>
      <c r="D361" s="227"/>
      <c r="E361" s="224"/>
      <c r="F361" s="228"/>
      <c r="G361" s="233"/>
      <c r="H361" s="233"/>
      <c r="I361" s="233"/>
      <c r="J361" s="233"/>
      <c r="K361" s="233"/>
      <c r="L361" s="233"/>
      <c r="M361" s="233"/>
    </row>
    <row r="362" ht="15.75" customHeight="1">
      <c r="A362" s="231" t="s">
        <v>279</v>
      </c>
      <c r="B362" s="222"/>
      <c r="C362" s="224"/>
      <c r="D362" s="227"/>
      <c r="E362" s="224"/>
      <c r="F362" s="228"/>
      <c r="G362" s="233"/>
      <c r="H362" s="233"/>
      <c r="I362" s="233"/>
      <c r="J362" s="233"/>
      <c r="K362" s="233"/>
      <c r="L362" s="233"/>
      <c r="M362" s="233"/>
    </row>
    <row r="363" ht="15.75" customHeight="1">
      <c r="A363" s="231"/>
      <c r="B363" s="222"/>
      <c r="C363" s="224"/>
      <c r="D363" s="227"/>
      <c r="E363" s="224"/>
      <c r="F363" s="228"/>
      <c r="G363" s="233"/>
      <c r="H363" s="233"/>
      <c r="I363" s="233"/>
      <c r="J363" s="233"/>
      <c r="K363" s="233"/>
      <c r="L363" s="233"/>
      <c r="M363" s="233"/>
    </row>
    <row r="364" ht="15.75" customHeight="1">
      <c r="A364" s="231"/>
      <c r="B364" s="222"/>
      <c r="C364" s="224"/>
      <c r="D364" s="227"/>
      <c r="E364" s="224"/>
      <c r="F364" s="228"/>
      <c r="G364" s="233"/>
      <c r="H364" s="233"/>
      <c r="I364" s="233"/>
      <c r="J364" s="233"/>
      <c r="K364" s="233"/>
      <c r="L364" s="233"/>
      <c r="M364" s="233"/>
    </row>
    <row r="365" ht="15.75" customHeight="1">
      <c r="A365" s="225" t="s">
        <v>280</v>
      </c>
      <c r="B365" s="222"/>
      <c r="C365" s="224"/>
      <c r="D365" s="227"/>
      <c r="E365" s="224"/>
      <c r="F365" s="228"/>
      <c r="G365" s="233"/>
      <c r="H365" s="233"/>
      <c r="I365" s="233"/>
      <c r="J365" s="233"/>
      <c r="K365" s="233"/>
      <c r="L365" s="233"/>
      <c r="M365" s="233"/>
    </row>
    <row r="366" ht="15.75" customHeight="1">
      <c r="A366" s="231" t="s">
        <v>281</v>
      </c>
      <c r="B366" s="222"/>
      <c r="C366" s="224"/>
      <c r="D366" s="227"/>
      <c r="E366" s="224"/>
      <c r="F366" s="228"/>
      <c r="G366" s="233"/>
      <c r="H366" s="233"/>
      <c r="I366" s="233"/>
      <c r="J366" s="233"/>
      <c r="K366" s="233"/>
      <c r="L366" s="233"/>
      <c r="M366" s="233"/>
    </row>
    <row r="367" ht="15.75" customHeight="1">
      <c r="A367" s="231"/>
      <c r="B367" s="222"/>
      <c r="C367" s="224"/>
      <c r="D367" s="227"/>
      <c r="E367" s="224"/>
      <c r="F367" s="228"/>
      <c r="G367" s="233"/>
      <c r="H367" s="233"/>
      <c r="I367" s="233"/>
      <c r="J367" s="233"/>
      <c r="K367" s="233"/>
      <c r="L367" s="233"/>
      <c r="M367" s="233"/>
    </row>
    <row r="368" ht="15.75" customHeight="1">
      <c r="A368" s="231"/>
      <c r="B368" s="222"/>
      <c r="C368" s="224"/>
      <c r="D368" s="227"/>
      <c r="E368" s="224"/>
      <c r="F368" s="228"/>
      <c r="G368" s="233"/>
      <c r="H368" s="233"/>
      <c r="I368" s="233"/>
      <c r="J368" s="233"/>
      <c r="K368" s="233"/>
      <c r="L368" s="233"/>
      <c r="M368" s="233"/>
    </row>
    <row r="369" ht="15.75" customHeight="1">
      <c r="A369" s="231"/>
      <c r="B369" s="222"/>
      <c r="C369" s="224"/>
      <c r="D369" s="227"/>
      <c r="E369" s="224"/>
      <c r="F369" s="228"/>
      <c r="G369" s="233"/>
      <c r="H369" s="233"/>
      <c r="I369" s="233"/>
      <c r="J369" s="233"/>
      <c r="K369" s="233"/>
      <c r="L369" s="233"/>
      <c r="M369" s="233"/>
    </row>
    <row r="370" ht="15.75" customHeight="1">
      <c r="A370" s="225" t="s">
        <v>282</v>
      </c>
      <c r="B370" s="222"/>
      <c r="C370" s="224"/>
      <c r="D370" s="227"/>
      <c r="E370" s="224"/>
      <c r="F370" s="228"/>
      <c r="G370" s="233"/>
      <c r="H370" s="233"/>
      <c r="I370" s="233"/>
      <c r="J370" s="233"/>
      <c r="K370" s="233"/>
      <c r="L370" s="233"/>
      <c r="M370" s="233"/>
    </row>
    <row r="371" ht="15.75" customHeight="1">
      <c r="A371" s="225" t="s">
        <v>283</v>
      </c>
      <c r="B371" s="222"/>
      <c r="C371" s="224"/>
      <c r="D371" s="227"/>
      <c r="E371" s="224"/>
      <c r="F371" s="228"/>
      <c r="G371" s="233"/>
      <c r="H371" s="233"/>
      <c r="I371" s="233"/>
      <c r="J371" s="233"/>
      <c r="K371" s="233"/>
      <c r="L371" s="233"/>
      <c r="M371" s="233"/>
    </row>
    <row r="372" ht="15.75" customHeight="1">
      <c r="A372" s="231" t="s">
        <v>284</v>
      </c>
      <c r="B372" s="222"/>
      <c r="C372" s="224"/>
      <c r="D372" s="227"/>
      <c r="E372" s="224"/>
      <c r="F372" s="228"/>
      <c r="G372" s="233"/>
      <c r="H372" s="233"/>
      <c r="I372" s="233"/>
      <c r="J372" s="233"/>
      <c r="K372" s="233"/>
      <c r="L372" s="233"/>
      <c r="M372" s="233"/>
    </row>
    <row r="373" ht="15.75" customHeight="1">
      <c r="A373" s="231" t="s">
        <v>285</v>
      </c>
      <c r="B373" s="222"/>
      <c r="C373" s="224"/>
      <c r="D373" s="227"/>
      <c r="E373" s="224"/>
      <c r="F373" s="228"/>
      <c r="G373" s="233"/>
      <c r="H373" s="233"/>
      <c r="I373" s="233"/>
      <c r="J373" s="233"/>
      <c r="K373" s="233"/>
      <c r="L373" s="233"/>
      <c r="M373" s="233"/>
    </row>
    <row r="374" ht="15.75" customHeight="1">
      <c r="A374" s="231" t="s">
        <v>286</v>
      </c>
      <c r="B374" s="222"/>
      <c r="C374" s="224"/>
      <c r="D374" s="227"/>
      <c r="E374" s="224"/>
      <c r="F374" s="228"/>
      <c r="G374" s="233"/>
      <c r="H374" s="233"/>
      <c r="I374" s="233"/>
      <c r="J374" s="233"/>
      <c r="K374" s="233"/>
      <c r="L374" s="233"/>
      <c r="M374" s="233"/>
    </row>
    <row r="375" ht="15.75" customHeight="1">
      <c r="A375" s="231" t="s">
        <v>287</v>
      </c>
      <c r="B375" s="222"/>
      <c r="C375" s="224"/>
      <c r="D375" s="227"/>
      <c r="E375" s="224"/>
      <c r="F375" s="228"/>
      <c r="G375" s="233"/>
      <c r="H375" s="233"/>
      <c r="I375" s="233"/>
      <c r="J375" s="233"/>
      <c r="K375" s="233"/>
      <c r="L375" s="233"/>
      <c r="M375" s="233"/>
    </row>
    <row r="376" ht="15.75" customHeight="1">
      <c r="A376" s="231" t="s">
        <v>288</v>
      </c>
      <c r="B376" s="222"/>
      <c r="C376" s="224"/>
      <c r="D376" s="227"/>
      <c r="E376" s="224"/>
      <c r="F376" s="228"/>
      <c r="G376" s="233"/>
      <c r="H376" s="233"/>
      <c r="I376" s="233"/>
      <c r="J376" s="233"/>
      <c r="K376" s="233"/>
      <c r="L376" s="233"/>
      <c r="M376" s="233"/>
    </row>
    <row r="377" ht="15.75" customHeight="1">
      <c r="A377" s="231" t="s">
        <v>289</v>
      </c>
      <c r="B377" s="222"/>
      <c r="C377" s="224"/>
      <c r="D377" s="227"/>
      <c r="E377" s="224"/>
      <c r="F377" s="228"/>
      <c r="G377" s="233"/>
      <c r="H377" s="233"/>
      <c r="I377" s="233"/>
      <c r="J377" s="233"/>
      <c r="K377" s="233"/>
      <c r="L377" s="233"/>
      <c r="M377" s="233"/>
    </row>
    <row r="378" ht="15.75" customHeight="1">
      <c r="A378" s="231" t="s">
        <v>290</v>
      </c>
      <c r="B378" s="222"/>
      <c r="C378" s="224"/>
      <c r="D378" s="227"/>
      <c r="E378" s="224"/>
      <c r="F378" s="228"/>
      <c r="G378" s="233"/>
      <c r="H378" s="233"/>
      <c r="I378" s="233"/>
      <c r="J378" s="233"/>
      <c r="K378" s="233"/>
      <c r="L378" s="233"/>
      <c r="M378" s="233"/>
    </row>
    <row r="379" ht="15.75" customHeight="1">
      <c r="A379" s="231" t="s">
        <v>291</v>
      </c>
      <c r="B379" s="222"/>
      <c r="C379" s="224"/>
      <c r="D379" s="227"/>
      <c r="E379" s="224"/>
      <c r="F379" s="228"/>
      <c r="G379" s="233"/>
      <c r="H379" s="233"/>
      <c r="I379" s="233"/>
      <c r="J379" s="233"/>
      <c r="K379" s="233"/>
      <c r="L379" s="233"/>
      <c r="M379" s="233"/>
    </row>
    <row r="380" ht="15.75" customHeight="1">
      <c r="A380" s="231" t="s">
        <v>292</v>
      </c>
      <c r="B380" s="222"/>
      <c r="C380" s="224"/>
      <c r="D380" s="227"/>
      <c r="E380" s="224"/>
      <c r="F380" s="228"/>
      <c r="G380" s="233"/>
      <c r="H380" s="233"/>
      <c r="I380" s="233"/>
      <c r="J380" s="233"/>
      <c r="K380" s="233"/>
      <c r="L380" s="233"/>
      <c r="M380" s="233"/>
    </row>
    <row r="381" ht="15.75" customHeight="1">
      <c r="A381" s="231" t="s">
        <v>293</v>
      </c>
      <c r="B381" s="222"/>
      <c r="C381" s="224"/>
      <c r="D381" s="227"/>
      <c r="E381" s="224"/>
      <c r="F381" s="228"/>
      <c r="G381" s="233"/>
      <c r="H381" s="233"/>
      <c r="I381" s="233"/>
      <c r="J381" s="233"/>
      <c r="K381" s="233"/>
      <c r="L381" s="233"/>
      <c r="M381" s="233"/>
    </row>
    <row r="382" ht="15.75" customHeight="1">
      <c r="A382" s="231" t="s">
        <v>294</v>
      </c>
      <c r="B382" s="222"/>
      <c r="C382" s="224"/>
      <c r="D382" s="227"/>
      <c r="E382" s="224"/>
      <c r="F382" s="228"/>
      <c r="G382" s="233"/>
      <c r="H382" s="233"/>
      <c r="I382" s="233"/>
      <c r="J382" s="233"/>
      <c r="K382" s="233"/>
      <c r="L382" s="233"/>
      <c r="M382" s="233"/>
    </row>
    <row r="383" ht="15.75" customHeight="1">
      <c r="A383" s="231" t="s">
        <v>295</v>
      </c>
      <c r="B383" s="222"/>
      <c r="C383" s="224"/>
      <c r="D383" s="227"/>
      <c r="E383" s="224"/>
      <c r="F383" s="228"/>
      <c r="G383" s="233"/>
      <c r="H383" s="233"/>
      <c r="I383" s="233"/>
      <c r="J383" s="233"/>
      <c r="K383" s="233"/>
      <c r="L383" s="233"/>
      <c r="M383" s="233"/>
    </row>
    <row r="384" ht="15.75" customHeight="1">
      <c r="A384" s="231"/>
      <c r="B384" s="222"/>
      <c r="C384" s="224"/>
      <c r="D384" s="227"/>
      <c r="E384" s="224"/>
      <c r="F384" s="228"/>
      <c r="G384" s="233"/>
      <c r="H384" s="233"/>
      <c r="I384" s="233"/>
      <c r="J384" s="233"/>
      <c r="K384" s="233"/>
      <c r="L384" s="233"/>
      <c r="M384" s="233"/>
    </row>
    <row r="385" ht="15.75" customHeight="1">
      <c r="A385" s="225" t="s">
        <v>296</v>
      </c>
      <c r="B385" s="222"/>
      <c r="C385" s="224"/>
      <c r="D385" s="227"/>
      <c r="E385" s="224"/>
      <c r="F385" s="228"/>
      <c r="G385" s="233"/>
      <c r="H385" s="233"/>
      <c r="I385" s="233"/>
      <c r="J385" s="233"/>
      <c r="K385" s="233"/>
      <c r="L385" s="233"/>
      <c r="M385" s="233"/>
    </row>
    <row r="386" ht="15.75" customHeight="1">
      <c r="A386" s="231" t="s">
        <v>284</v>
      </c>
      <c r="B386" s="222"/>
      <c r="C386" s="224"/>
      <c r="D386" s="227"/>
      <c r="E386" s="224"/>
      <c r="F386" s="228"/>
      <c r="G386" s="233"/>
      <c r="H386" s="233"/>
      <c r="I386" s="233"/>
      <c r="J386" s="233"/>
      <c r="K386" s="233"/>
      <c r="L386" s="233"/>
      <c r="M386" s="233"/>
    </row>
    <row r="387" ht="15.75" customHeight="1">
      <c r="A387" s="231" t="s">
        <v>285</v>
      </c>
      <c r="B387" s="222"/>
      <c r="C387" s="224"/>
      <c r="D387" s="227"/>
      <c r="E387" s="224"/>
      <c r="F387" s="228"/>
      <c r="G387" s="233"/>
      <c r="H387" s="233"/>
      <c r="I387" s="233"/>
      <c r="J387" s="233"/>
      <c r="K387" s="233"/>
      <c r="L387" s="233"/>
      <c r="M387" s="233"/>
    </row>
    <row r="388" ht="15.75" customHeight="1">
      <c r="A388" s="231" t="s">
        <v>286</v>
      </c>
      <c r="B388" s="222"/>
      <c r="C388" s="224"/>
      <c r="D388" s="227"/>
      <c r="E388" s="224"/>
      <c r="F388" s="228"/>
      <c r="G388" s="233"/>
      <c r="H388" s="233"/>
      <c r="I388" s="233"/>
      <c r="J388" s="233"/>
      <c r="K388" s="233"/>
      <c r="L388" s="233"/>
      <c r="M388" s="233"/>
    </row>
    <row r="389" ht="15.75" customHeight="1">
      <c r="A389" s="231" t="s">
        <v>287</v>
      </c>
      <c r="B389" s="222"/>
      <c r="C389" s="224"/>
      <c r="D389" s="227"/>
      <c r="E389" s="224"/>
      <c r="F389" s="228"/>
      <c r="G389" s="233"/>
      <c r="H389" s="233"/>
      <c r="I389" s="233"/>
      <c r="J389" s="233"/>
      <c r="K389" s="233"/>
      <c r="L389" s="233"/>
      <c r="M389" s="233"/>
    </row>
    <row r="390" ht="15.75" customHeight="1">
      <c r="A390" s="231" t="s">
        <v>288</v>
      </c>
      <c r="B390" s="222"/>
      <c r="C390" s="224"/>
      <c r="D390" s="227"/>
      <c r="E390" s="224"/>
      <c r="F390" s="228"/>
      <c r="G390" s="233"/>
      <c r="H390" s="233"/>
      <c r="I390" s="233"/>
      <c r="J390" s="233"/>
      <c r="K390" s="233"/>
      <c r="L390" s="233"/>
      <c r="M390" s="233"/>
    </row>
    <row r="391" ht="15.75" customHeight="1">
      <c r="A391" s="231" t="s">
        <v>289</v>
      </c>
      <c r="B391" s="222"/>
      <c r="C391" s="224"/>
      <c r="D391" s="227"/>
      <c r="E391" s="224"/>
      <c r="F391" s="228"/>
      <c r="G391" s="233"/>
      <c r="H391" s="233"/>
      <c r="I391" s="233"/>
      <c r="J391" s="233"/>
      <c r="K391" s="233"/>
      <c r="L391" s="233"/>
      <c r="M391" s="233"/>
    </row>
    <row r="392" ht="15.75" customHeight="1">
      <c r="A392" s="231" t="s">
        <v>290</v>
      </c>
      <c r="B392" s="222"/>
      <c r="C392" s="224"/>
      <c r="D392" s="227"/>
      <c r="E392" s="224"/>
      <c r="F392" s="228"/>
      <c r="G392" s="233"/>
      <c r="H392" s="233"/>
      <c r="I392" s="233"/>
      <c r="J392" s="233"/>
      <c r="K392" s="233"/>
      <c r="L392" s="233"/>
      <c r="M392" s="233"/>
    </row>
    <row r="393" ht="15.75" customHeight="1">
      <c r="A393" s="231" t="s">
        <v>291</v>
      </c>
      <c r="B393" s="222"/>
      <c r="C393" s="224"/>
      <c r="D393" s="227"/>
      <c r="E393" s="224"/>
      <c r="F393" s="228"/>
      <c r="G393" s="233"/>
      <c r="H393" s="233"/>
      <c r="I393" s="233"/>
      <c r="J393" s="233"/>
      <c r="K393" s="233"/>
      <c r="L393" s="233"/>
      <c r="M393" s="233"/>
    </row>
    <row r="394" ht="15.75" customHeight="1">
      <c r="A394" s="231" t="s">
        <v>292</v>
      </c>
      <c r="B394" s="222"/>
      <c r="C394" s="224"/>
      <c r="D394" s="227"/>
      <c r="E394" s="224"/>
      <c r="F394" s="228"/>
      <c r="G394" s="233"/>
      <c r="H394" s="233"/>
      <c r="I394" s="233"/>
      <c r="J394" s="233"/>
      <c r="K394" s="233"/>
      <c r="L394" s="233"/>
      <c r="M394" s="233"/>
    </row>
    <row r="395" ht="15.75" customHeight="1">
      <c r="A395" s="231" t="s">
        <v>297</v>
      </c>
      <c r="B395" s="222"/>
      <c r="C395" s="224"/>
      <c r="D395" s="227"/>
      <c r="E395" s="224"/>
      <c r="F395" s="228"/>
      <c r="G395" s="233"/>
      <c r="H395" s="233"/>
      <c r="I395" s="233"/>
      <c r="J395" s="233"/>
      <c r="K395" s="233"/>
      <c r="L395" s="233"/>
      <c r="M395" s="233"/>
    </row>
    <row r="396" ht="15.75" customHeight="1">
      <c r="A396" s="240" t="s">
        <v>298</v>
      </c>
      <c r="B396" s="244"/>
      <c r="C396" s="224"/>
      <c r="D396" s="227"/>
      <c r="E396" s="224"/>
      <c r="F396" s="228"/>
      <c r="G396" s="233"/>
      <c r="H396" s="233"/>
      <c r="I396" s="233"/>
      <c r="J396" s="233"/>
      <c r="K396" s="233"/>
      <c r="L396" s="233"/>
      <c r="M396" s="233"/>
    </row>
    <row r="397" ht="15.75" customHeight="1">
      <c r="A397" s="240" t="s">
        <v>299</v>
      </c>
      <c r="B397" s="244"/>
      <c r="C397" s="224"/>
      <c r="D397" s="227"/>
      <c r="E397" s="224"/>
      <c r="F397" s="228"/>
      <c r="G397" s="233"/>
      <c r="H397" s="233"/>
      <c r="I397" s="233"/>
      <c r="J397" s="233"/>
      <c r="K397" s="233"/>
      <c r="L397" s="233"/>
      <c r="M397" s="233"/>
    </row>
    <row r="398" ht="15.75" customHeight="1">
      <c r="A398" s="240" t="s">
        <v>300</v>
      </c>
      <c r="B398" s="244"/>
      <c r="C398" s="224"/>
      <c r="D398" s="227"/>
      <c r="E398" s="224"/>
      <c r="F398" s="228"/>
      <c r="G398" s="233"/>
      <c r="H398" s="233"/>
      <c r="I398" s="233"/>
      <c r="J398" s="233"/>
      <c r="K398" s="233"/>
      <c r="L398" s="233"/>
      <c r="M398" s="233"/>
    </row>
    <row r="399" ht="15.75" customHeight="1">
      <c r="A399" s="240" t="s">
        <v>301</v>
      </c>
      <c r="B399" s="244"/>
      <c r="C399" s="224"/>
      <c r="D399" s="227"/>
      <c r="E399" s="224"/>
      <c r="F399" s="228"/>
      <c r="G399" s="233"/>
      <c r="H399" s="233"/>
      <c r="I399" s="233"/>
      <c r="J399" s="233"/>
      <c r="K399" s="233"/>
      <c r="L399" s="233"/>
      <c r="M399" s="233"/>
    </row>
    <row r="400" ht="15.75" customHeight="1">
      <c r="A400" s="240" t="s">
        <v>302</v>
      </c>
      <c r="B400" s="244"/>
      <c r="C400" s="224"/>
      <c r="D400" s="227"/>
      <c r="E400" s="224"/>
      <c r="F400" s="228"/>
      <c r="G400" s="233"/>
      <c r="H400" s="233"/>
      <c r="I400" s="233"/>
      <c r="J400" s="233"/>
      <c r="K400" s="233"/>
      <c r="L400" s="233"/>
      <c r="M400" s="233"/>
    </row>
    <row r="401" ht="15.75" customHeight="1">
      <c r="A401" s="240"/>
      <c r="B401" s="244"/>
      <c r="C401" s="224"/>
      <c r="D401" s="227"/>
      <c r="E401" s="224"/>
      <c r="F401" s="228"/>
      <c r="G401" s="233"/>
      <c r="H401" s="233"/>
      <c r="I401" s="233"/>
      <c r="J401" s="233"/>
      <c r="K401" s="233"/>
      <c r="L401" s="233"/>
      <c r="M401" s="233"/>
    </row>
    <row r="402" ht="15.75" customHeight="1">
      <c r="A402" s="245" t="s">
        <v>303</v>
      </c>
      <c r="B402" s="244"/>
      <c r="C402" s="224"/>
      <c r="D402" s="227"/>
      <c r="E402" s="224"/>
      <c r="F402" s="228"/>
      <c r="G402" s="233"/>
      <c r="H402" s="233"/>
      <c r="I402" s="233"/>
      <c r="J402" s="233"/>
      <c r="K402" s="233"/>
      <c r="L402" s="233"/>
      <c r="M402" s="233"/>
    </row>
    <row r="403" ht="15.75" customHeight="1">
      <c r="A403" s="240" t="s">
        <v>284</v>
      </c>
      <c r="B403" s="244"/>
      <c r="C403" s="224"/>
      <c r="D403" s="227"/>
      <c r="E403" s="224"/>
      <c r="F403" s="228"/>
      <c r="G403" s="233"/>
      <c r="H403" s="233"/>
      <c r="I403" s="233"/>
      <c r="J403" s="233"/>
      <c r="K403" s="233"/>
      <c r="L403" s="233"/>
      <c r="M403" s="233"/>
    </row>
    <row r="404" ht="15.75" customHeight="1">
      <c r="A404" s="231" t="s">
        <v>285</v>
      </c>
      <c r="B404" s="222"/>
      <c r="C404" s="224"/>
      <c r="D404" s="227"/>
      <c r="E404" s="224"/>
      <c r="F404" s="228"/>
      <c r="G404" s="233"/>
      <c r="H404" s="233"/>
      <c r="I404" s="233"/>
      <c r="J404" s="233"/>
      <c r="K404" s="233"/>
      <c r="L404" s="233"/>
      <c r="M404" s="233"/>
    </row>
    <row r="405" ht="15.75" customHeight="1">
      <c r="A405" s="240" t="s">
        <v>286</v>
      </c>
      <c r="B405" s="222"/>
      <c r="C405" s="224"/>
      <c r="D405" s="227"/>
      <c r="E405" s="224"/>
      <c r="F405" s="228"/>
      <c r="G405" s="233"/>
      <c r="H405" s="233"/>
      <c r="I405" s="233"/>
      <c r="J405" s="233"/>
      <c r="K405" s="233"/>
      <c r="L405" s="233"/>
      <c r="M405" s="233"/>
    </row>
    <row r="406" ht="15.75" customHeight="1">
      <c r="A406" s="231" t="s">
        <v>287</v>
      </c>
      <c r="B406" s="222"/>
      <c r="C406" s="224"/>
      <c r="D406" s="227"/>
      <c r="E406" s="224"/>
      <c r="F406" s="228"/>
      <c r="G406" s="233"/>
      <c r="H406" s="233"/>
      <c r="I406" s="233"/>
      <c r="J406" s="233"/>
      <c r="K406" s="233"/>
      <c r="L406" s="233"/>
      <c r="M406" s="233"/>
    </row>
    <row r="407" ht="15.75" customHeight="1">
      <c r="A407" s="231" t="s">
        <v>288</v>
      </c>
      <c r="B407" s="222"/>
      <c r="C407" s="224"/>
      <c r="D407" s="227"/>
      <c r="E407" s="224"/>
      <c r="F407" s="228"/>
      <c r="G407" s="233"/>
      <c r="H407" s="233"/>
      <c r="I407" s="233"/>
      <c r="J407" s="233"/>
      <c r="K407" s="233"/>
      <c r="L407" s="233"/>
      <c r="M407" s="233"/>
    </row>
    <row r="408" ht="15.75" customHeight="1">
      <c r="A408" s="231" t="s">
        <v>289</v>
      </c>
      <c r="B408" s="222"/>
      <c r="C408" s="224"/>
      <c r="D408" s="227"/>
      <c r="E408" s="224"/>
      <c r="F408" s="228"/>
      <c r="G408" s="233"/>
      <c r="H408" s="233"/>
      <c r="I408" s="233"/>
      <c r="J408" s="233"/>
      <c r="K408" s="233"/>
      <c r="L408" s="233"/>
      <c r="M408" s="233"/>
    </row>
    <row r="409" ht="15.75" customHeight="1">
      <c r="A409" s="231" t="s">
        <v>304</v>
      </c>
      <c r="B409" s="222"/>
      <c r="C409" s="224"/>
      <c r="D409" s="227"/>
      <c r="E409" s="224"/>
      <c r="F409" s="228"/>
      <c r="G409" s="233"/>
      <c r="H409" s="233"/>
      <c r="I409" s="233"/>
      <c r="J409" s="233"/>
      <c r="K409" s="233"/>
      <c r="L409" s="233"/>
      <c r="M409" s="233"/>
    </row>
    <row r="410" ht="15.75" customHeight="1">
      <c r="A410" s="240" t="s">
        <v>292</v>
      </c>
      <c r="B410" s="244"/>
      <c r="C410" s="224"/>
      <c r="D410" s="227"/>
      <c r="E410" s="224"/>
      <c r="F410" s="228"/>
      <c r="G410" s="233"/>
      <c r="H410" s="233"/>
      <c r="I410" s="233"/>
      <c r="J410" s="233"/>
      <c r="K410" s="233"/>
      <c r="L410" s="233"/>
      <c r="M410" s="233"/>
    </row>
    <row r="411" ht="15.75" customHeight="1">
      <c r="A411" s="240" t="s">
        <v>305</v>
      </c>
      <c r="B411" s="244"/>
      <c r="C411" s="224"/>
      <c r="D411" s="227"/>
      <c r="E411" s="224"/>
      <c r="F411" s="228"/>
      <c r="G411" s="233"/>
      <c r="H411" s="233"/>
      <c r="I411" s="233"/>
      <c r="J411" s="233"/>
      <c r="K411" s="233"/>
      <c r="L411" s="233"/>
      <c r="M411" s="233"/>
    </row>
    <row r="412" ht="15.75" customHeight="1">
      <c r="A412" s="240" t="s">
        <v>295</v>
      </c>
      <c r="B412" s="244"/>
      <c r="C412" s="224"/>
      <c r="D412" s="227"/>
      <c r="E412" s="224"/>
      <c r="F412" s="228"/>
      <c r="G412" s="233"/>
      <c r="H412" s="233"/>
      <c r="I412" s="233"/>
      <c r="J412" s="233"/>
      <c r="K412" s="233"/>
      <c r="L412" s="233"/>
      <c r="M412" s="233"/>
    </row>
    <row r="413" ht="15.75" customHeight="1">
      <c r="A413" s="231" t="s">
        <v>306</v>
      </c>
      <c r="B413" s="222"/>
      <c r="C413" s="224"/>
      <c r="D413" s="227"/>
      <c r="E413" s="224"/>
      <c r="F413" s="228"/>
      <c r="G413" s="233"/>
      <c r="H413" s="233"/>
      <c r="I413" s="233"/>
      <c r="J413" s="233"/>
      <c r="K413" s="233"/>
      <c r="L413" s="233"/>
      <c r="M413" s="233"/>
    </row>
    <row r="414" ht="15.75" customHeight="1">
      <c r="A414" s="231"/>
      <c r="B414" s="222"/>
      <c r="C414" s="224"/>
      <c r="D414" s="227"/>
      <c r="E414" s="224"/>
      <c r="F414" s="228"/>
      <c r="G414" s="233"/>
      <c r="H414" s="233"/>
      <c r="I414" s="233"/>
      <c r="J414" s="233"/>
      <c r="K414" s="233"/>
      <c r="L414" s="233"/>
      <c r="M414" s="233"/>
    </row>
    <row r="415" ht="15.75" customHeight="1">
      <c r="A415" s="225" t="s">
        <v>307</v>
      </c>
      <c r="B415" s="222"/>
      <c r="C415" s="224"/>
      <c r="D415" s="227"/>
      <c r="E415" s="224"/>
      <c r="F415" s="228"/>
      <c r="G415" s="233"/>
      <c r="H415" s="233"/>
      <c r="I415" s="233"/>
      <c r="J415" s="233"/>
      <c r="K415" s="233"/>
      <c r="L415" s="233"/>
      <c r="M415" s="233"/>
    </row>
    <row r="416" ht="15.75" customHeight="1">
      <c r="A416" s="231" t="s">
        <v>308</v>
      </c>
      <c r="B416" s="222"/>
      <c r="C416" s="224"/>
      <c r="D416" s="227"/>
      <c r="E416" s="224"/>
      <c r="F416" s="228"/>
      <c r="G416" s="233"/>
      <c r="H416" s="233"/>
      <c r="I416" s="233"/>
      <c r="J416" s="233"/>
      <c r="K416" s="233"/>
      <c r="L416" s="233"/>
      <c r="M416" s="233"/>
    </row>
    <row r="417" ht="15.75" customHeight="1">
      <c r="A417" s="225"/>
      <c r="B417" s="222"/>
      <c r="C417" s="224"/>
      <c r="D417" s="227"/>
      <c r="E417" s="224"/>
      <c r="F417" s="228"/>
      <c r="G417" s="233"/>
      <c r="H417" s="233"/>
      <c r="I417" s="233"/>
      <c r="J417" s="233"/>
      <c r="K417" s="233"/>
      <c r="L417" s="233"/>
      <c r="M417" s="233"/>
    </row>
    <row r="418" ht="15.75" customHeight="1">
      <c r="A418" s="225"/>
      <c r="B418" s="222"/>
      <c r="C418" s="224"/>
      <c r="D418" s="227"/>
      <c r="E418" s="224"/>
      <c r="F418" s="228"/>
      <c r="G418" s="233"/>
      <c r="H418" s="233"/>
      <c r="I418" s="233"/>
      <c r="J418" s="233"/>
      <c r="K418" s="233"/>
      <c r="L418" s="233"/>
      <c r="M418" s="233"/>
    </row>
    <row r="419" ht="15.75" customHeight="1">
      <c r="A419" s="225"/>
      <c r="B419" s="222"/>
      <c r="C419" s="224"/>
      <c r="D419" s="227"/>
      <c r="E419" s="224"/>
      <c r="F419" s="228"/>
      <c r="G419" s="233"/>
      <c r="H419" s="233"/>
      <c r="I419" s="233"/>
      <c r="J419" s="233"/>
      <c r="K419" s="233"/>
      <c r="L419" s="233"/>
      <c r="M419" s="233"/>
    </row>
    <row r="420" ht="15.75" customHeight="1">
      <c r="A420" s="225" t="s">
        <v>309</v>
      </c>
      <c r="B420" s="222"/>
      <c r="C420" s="224"/>
      <c r="D420" s="227"/>
      <c r="E420" s="224"/>
      <c r="F420" s="228"/>
      <c r="G420" s="233"/>
      <c r="H420" s="233"/>
      <c r="I420" s="233"/>
      <c r="J420" s="233"/>
      <c r="K420" s="233"/>
      <c r="L420" s="233"/>
      <c r="M420" s="233"/>
    </row>
    <row r="421" ht="15.75" customHeight="1">
      <c r="A421" s="231" t="s">
        <v>288</v>
      </c>
      <c r="B421" s="222"/>
      <c r="C421" s="224"/>
      <c r="D421" s="227"/>
      <c r="E421" s="224"/>
      <c r="F421" s="228"/>
      <c r="G421" s="233"/>
      <c r="H421" s="233"/>
      <c r="I421" s="233"/>
      <c r="J421" s="233"/>
      <c r="K421" s="233"/>
      <c r="L421" s="233"/>
      <c r="M421" s="233"/>
    </row>
    <row r="422" ht="15.75" customHeight="1">
      <c r="A422" s="231" t="s">
        <v>289</v>
      </c>
      <c r="B422" s="222"/>
      <c r="C422" s="224"/>
      <c r="D422" s="227"/>
      <c r="E422" s="224"/>
      <c r="F422" s="228"/>
      <c r="G422" s="233"/>
      <c r="H422" s="233"/>
      <c r="I422" s="233"/>
      <c r="J422" s="233"/>
      <c r="K422" s="233"/>
      <c r="L422" s="233"/>
      <c r="M422" s="233"/>
    </row>
    <row r="423" ht="15.75" customHeight="1">
      <c r="A423" s="231" t="s">
        <v>310</v>
      </c>
      <c r="B423" s="222"/>
      <c r="C423" s="224"/>
      <c r="D423" s="227"/>
      <c r="E423" s="224"/>
      <c r="F423" s="228"/>
      <c r="G423" s="233"/>
      <c r="H423" s="233"/>
      <c r="I423" s="233"/>
      <c r="J423" s="233"/>
      <c r="K423" s="233"/>
      <c r="L423" s="233"/>
      <c r="M423" s="233"/>
    </row>
    <row r="424" ht="15.75" customHeight="1">
      <c r="A424" s="231"/>
      <c r="B424" s="222"/>
      <c r="C424" s="224"/>
      <c r="D424" s="227"/>
      <c r="E424" s="224"/>
      <c r="F424" s="228"/>
      <c r="G424" s="233"/>
      <c r="H424" s="233"/>
      <c r="I424" s="233"/>
      <c r="J424" s="233"/>
      <c r="K424" s="233"/>
      <c r="L424" s="233"/>
      <c r="M424" s="233"/>
    </row>
    <row r="425" ht="15.75" customHeight="1">
      <c r="A425" s="225" t="s">
        <v>311</v>
      </c>
      <c r="B425" s="222"/>
      <c r="C425" s="224"/>
      <c r="D425" s="227"/>
      <c r="E425" s="224"/>
      <c r="F425" s="228"/>
      <c r="G425" s="233"/>
      <c r="H425" s="233"/>
      <c r="I425" s="233"/>
      <c r="J425" s="233"/>
      <c r="K425" s="233"/>
      <c r="L425" s="233"/>
      <c r="M425" s="233"/>
    </row>
    <row r="426" ht="15.75" customHeight="1">
      <c r="A426" s="231" t="s">
        <v>290</v>
      </c>
      <c r="B426" s="222"/>
      <c r="C426" s="224"/>
      <c r="D426" s="227"/>
      <c r="E426" s="224"/>
      <c r="F426" s="228"/>
      <c r="G426" s="233"/>
      <c r="H426" s="233"/>
      <c r="I426" s="233"/>
      <c r="J426" s="233"/>
      <c r="K426" s="233"/>
      <c r="L426" s="233"/>
      <c r="M426" s="233"/>
    </row>
    <row r="427" ht="15.75" customHeight="1">
      <c r="A427" s="231" t="s">
        <v>291</v>
      </c>
      <c r="B427" s="222"/>
      <c r="C427" s="224"/>
      <c r="D427" s="227"/>
      <c r="E427" s="224"/>
      <c r="F427" s="228"/>
      <c r="G427" s="233"/>
      <c r="H427" s="233"/>
      <c r="I427" s="233"/>
      <c r="J427" s="233"/>
      <c r="K427" s="233"/>
      <c r="L427" s="233"/>
      <c r="M427" s="233"/>
    </row>
    <row r="428" ht="15.75" customHeight="1">
      <c r="A428" s="231" t="s">
        <v>292</v>
      </c>
      <c r="B428" s="222"/>
      <c r="C428" s="224"/>
      <c r="D428" s="227"/>
      <c r="E428" s="224"/>
      <c r="F428" s="228"/>
      <c r="G428" s="233"/>
      <c r="H428" s="233"/>
      <c r="I428" s="233"/>
      <c r="J428" s="233"/>
      <c r="K428" s="233"/>
      <c r="L428" s="233"/>
      <c r="M428" s="233"/>
    </row>
    <row r="429" ht="15.75" customHeight="1">
      <c r="A429" s="225"/>
      <c r="B429" s="222"/>
      <c r="C429" s="224"/>
      <c r="D429" s="227"/>
      <c r="E429" s="224"/>
      <c r="F429" s="228"/>
      <c r="G429" s="233"/>
      <c r="H429" s="233"/>
      <c r="I429" s="233"/>
      <c r="J429" s="233"/>
      <c r="K429" s="233"/>
      <c r="L429" s="233"/>
      <c r="M429" s="233"/>
    </row>
    <row r="430">
      <c r="A430" s="225" t="s">
        <v>312</v>
      </c>
      <c r="B430" s="222"/>
      <c r="C430" s="224"/>
      <c r="D430" s="227"/>
      <c r="E430" s="224"/>
      <c r="F430" s="228"/>
      <c r="G430" s="233"/>
      <c r="H430" s="233"/>
      <c r="I430" s="233"/>
      <c r="J430" s="233"/>
      <c r="K430" s="233"/>
      <c r="L430" s="233"/>
      <c r="M430" s="233"/>
    </row>
    <row r="431">
      <c r="A431" s="231" t="s">
        <v>313</v>
      </c>
      <c r="B431" s="222"/>
      <c r="C431" s="224"/>
      <c r="D431" s="227"/>
      <c r="E431" s="224"/>
      <c r="F431" s="228"/>
      <c r="G431" s="233"/>
      <c r="H431" s="233"/>
      <c r="I431" s="233"/>
      <c r="J431" s="233"/>
      <c r="K431" s="233"/>
      <c r="L431" s="233"/>
      <c r="M431" s="233"/>
    </row>
    <row r="432">
      <c r="A432" s="231" t="s">
        <v>314</v>
      </c>
      <c r="B432" s="222"/>
      <c r="C432" s="224"/>
      <c r="D432" s="227"/>
      <c r="E432" s="224"/>
      <c r="F432" s="228"/>
      <c r="G432" s="233"/>
      <c r="H432" s="233"/>
      <c r="I432" s="233"/>
      <c r="J432" s="233"/>
      <c r="K432" s="233"/>
      <c r="L432" s="233"/>
      <c r="M432" s="233"/>
    </row>
    <row r="433">
      <c r="A433" s="231" t="s">
        <v>315</v>
      </c>
      <c r="B433" s="222" t="s">
        <v>33</v>
      </c>
      <c r="C433" s="224">
        <v>15.0</v>
      </c>
      <c r="D433" s="227">
        <v>1500.0</v>
      </c>
      <c r="E433" s="224">
        <v>15.0</v>
      </c>
      <c r="F433" s="228">
        <v>1500.0</v>
      </c>
      <c r="G433" s="237">
        <v>15.0</v>
      </c>
      <c r="H433" s="237">
        <v>2250.0</v>
      </c>
      <c r="I433" s="233"/>
      <c r="J433" s="233"/>
      <c r="K433" s="237">
        <v>15.0</v>
      </c>
      <c r="L433" s="237">
        <v>2250.0</v>
      </c>
      <c r="M433" s="233"/>
    </row>
    <row r="434" ht="15.75" hidden="1" customHeight="1">
      <c r="A434" s="231"/>
      <c r="B434" s="222"/>
      <c r="C434" s="224"/>
      <c r="D434" s="227"/>
      <c r="E434" s="224"/>
      <c r="F434" s="228"/>
      <c r="G434" s="233"/>
      <c r="H434" s="233"/>
      <c r="I434" s="233"/>
      <c r="J434" s="233"/>
      <c r="K434" s="233"/>
      <c r="L434" s="233"/>
      <c r="M434" s="233"/>
    </row>
    <row r="435" ht="15.75" hidden="1" customHeight="1">
      <c r="A435" s="225" t="s">
        <v>316</v>
      </c>
      <c r="B435" s="222"/>
      <c r="C435" s="224"/>
      <c r="D435" s="227"/>
      <c r="E435" s="224"/>
      <c r="F435" s="228"/>
      <c r="G435" s="233"/>
      <c r="H435" s="233"/>
      <c r="I435" s="233"/>
      <c r="J435" s="233"/>
      <c r="K435" s="233"/>
      <c r="L435" s="233"/>
      <c r="M435" s="233"/>
    </row>
    <row r="436" ht="15.75" hidden="1" customHeight="1">
      <c r="A436" s="231" t="s">
        <v>317</v>
      </c>
      <c r="B436" s="222"/>
      <c r="C436" s="224"/>
      <c r="D436" s="227"/>
      <c r="E436" s="224"/>
      <c r="F436" s="228"/>
      <c r="G436" s="233"/>
      <c r="H436" s="233"/>
      <c r="I436" s="233"/>
      <c r="J436" s="233"/>
      <c r="K436" s="233"/>
      <c r="L436" s="233"/>
      <c r="M436" s="233"/>
    </row>
    <row r="437" ht="15.75" hidden="1" customHeight="1">
      <c r="A437" s="231" t="s">
        <v>318</v>
      </c>
      <c r="B437" s="222"/>
      <c r="C437" s="224"/>
      <c r="D437" s="227"/>
      <c r="E437" s="224"/>
      <c r="F437" s="228"/>
      <c r="G437" s="233"/>
      <c r="H437" s="233"/>
      <c r="I437" s="233"/>
      <c r="J437" s="233"/>
      <c r="K437" s="233"/>
      <c r="L437" s="233"/>
      <c r="M437" s="233"/>
    </row>
    <row r="438" ht="15.75" hidden="1" customHeight="1">
      <c r="A438" s="231" t="s">
        <v>319</v>
      </c>
      <c r="B438" s="222"/>
      <c r="C438" s="224"/>
      <c r="D438" s="227"/>
      <c r="E438" s="224"/>
      <c r="F438" s="228"/>
      <c r="G438" s="233"/>
      <c r="H438" s="233"/>
      <c r="I438" s="233"/>
      <c r="J438" s="233"/>
      <c r="K438" s="233"/>
      <c r="L438" s="233"/>
      <c r="M438" s="233"/>
    </row>
    <row r="439" ht="15.75" hidden="1" customHeight="1">
      <c r="A439" s="231" t="s">
        <v>320</v>
      </c>
      <c r="B439" s="222"/>
      <c r="C439" s="224"/>
      <c r="D439" s="227"/>
      <c r="E439" s="224"/>
      <c r="F439" s="228"/>
      <c r="G439" s="233"/>
      <c r="H439" s="233"/>
      <c r="I439" s="233"/>
      <c r="J439" s="233"/>
      <c r="K439" s="233"/>
      <c r="L439" s="233"/>
      <c r="M439" s="233"/>
    </row>
    <row r="440" ht="15.75" hidden="1" customHeight="1">
      <c r="A440" s="231" t="s">
        <v>321</v>
      </c>
      <c r="B440" s="222"/>
      <c r="C440" s="224"/>
      <c r="D440" s="227"/>
      <c r="E440" s="224"/>
      <c r="F440" s="228"/>
      <c r="G440" s="233"/>
      <c r="H440" s="233"/>
      <c r="I440" s="233"/>
      <c r="J440" s="233"/>
      <c r="K440" s="233"/>
      <c r="L440" s="233"/>
      <c r="M440" s="233"/>
    </row>
    <row r="441" ht="15.75" hidden="1" customHeight="1">
      <c r="A441" s="231" t="s">
        <v>322</v>
      </c>
      <c r="B441" s="222"/>
      <c r="C441" s="224"/>
      <c r="D441" s="227"/>
      <c r="E441" s="224"/>
      <c r="F441" s="228"/>
      <c r="G441" s="233"/>
      <c r="H441" s="233"/>
      <c r="I441" s="233"/>
      <c r="J441" s="233"/>
      <c r="K441" s="233"/>
      <c r="L441" s="233"/>
      <c r="M441" s="233"/>
    </row>
    <row r="442" ht="15.75" hidden="1" customHeight="1">
      <c r="A442" s="231" t="s">
        <v>323</v>
      </c>
      <c r="B442" s="222"/>
      <c r="C442" s="224"/>
      <c r="D442" s="227"/>
      <c r="E442" s="224"/>
      <c r="F442" s="228"/>
      <c r="G442" s="233"/>
      <c r="H442" s="233"/>
      <c r="I442" s="233"/>
      <c r="J442" s="233"/>
      <c r="K442" s="233"/>
      <c r="L442" s="233"/>
      <c r="M442" s="233"/>
    </row>
    <row r="443" ht="15.75" hidden="1" customHeight="1">
      <c r="A443" s="231" t="s">
        <v>324</v>
      </c>
      <c r="B443" s="222"/>
      <c r="C443" s="224"/>
      <c r="D443" s="227"/>
      <c r="E443" s="224"/>
      <c r="F443" s="228"/>
      <c r="G443" s="233"/>
      <c r="H443" s="233"/>
      <c r="I443" s="233"/>
      <c r="J443" s="233"/>
      <c r="K443" s="233"/>
      <c r="L443" s="233"/>
      <c r="M443" s="233"/>
    </row>
    <row r="444" ht="15.75" hidden="1" customHeight="1">
      <c r="A444" s="231" t="s">
        <v>325</v>
      </c>
      <c r="B444" s="222"/>
      <c r="C444" s="224"/>
      <c r="D444" s="227"/>
      <c r="E444" s="224"/>
      <c r="F444" s="228"/>
      <c r="G444" s="233"/>
      <c r="H444" s="233"/>
      <c r="I444" s="233"/>
      <c r="J444" s="233"/>
      <c r="K444" s="233"/>
      <c r="L444" s="233"/>
      <c r="M444" s="233"/>
    </row>
    <row r="445" ht="15.75" hidden="1" customHeight="1">
      <c r="A445" s="231" t="s">
        <v>326</v>
      </c>
      <c r="B445" s="222"/>
      <c r="C445" s="224"/>
      <c r="D445" s="227"/>
      <c r="E445" s="224"/>
      <c r="F445" s="228"/>
      <c r="G445" s="233"/>
      <c r="H445" s="233"/>
      <c r="I445" s="233"/>
      <c r="J445" s="233"/>
      <c r="K445" s="233"/>
      <c r="L445" s="233"/>
      <c r="M445" s="233"/>
    </row>
    <row r="446" ht="15.75" hidden="1" customHeight="1">
      <c r="A446" s="231" t="s">
        <v>327</v>
      </c>
      <c r="B446" s="222"/>
      <c r="C446" s="224"/>
      <c r="D446" s="227"/>
      <c r="E446" s="224"/>
      <c r="F446" s="228"/>
      <c r="G446" s="233"/>
      <c r="H446" s="233"/>
      <c r="I446" s="233"/>
      <c r="J446" s="233"/>
      <c r="K446" s="233"/>
      <c r="L446" s="233"/>
      <c r="M446" s="233"/>
    </row>
    <row r="447" ht="15.75" hidden="1" customHeight="1">
      <c r="A447" s="231" t="s">
        <v>328</v>
      </c>
      <c r="B447" s="222"/>
      <c r="C447" s="224"/>
      <c r="D447" s="227"/>
      <c r="E447" s="224"/>
      <c r="F447" s="228"/>
      <c r="G447" s="233"/>
      <c r="H447" s="233"/>
      <c r="I447" s="233"/>
      <c r="J447" s="233"/>
      <c r="K447" s="233"/>
      <c r="L447" s="233"/>
      <c r="M447" s="233"/>
    </row>
    <row r="448" ht="15.75" hidden="1" customHeight="1">
      <c r="A448" s="231" t="s">
        <v>329</v>
      </c>
      <c r="B448" s="222"/>
      <c r="C448" s="224"/>
      <c r="D448" s="227"/>
      <c r="E448" s="224"/>
      <c r="F448" s="228"/>
      <c r="G448" s="233"/>
      <c r="H448" s="233"/>
      <c r="I448" s="233"/>
      <c r="J448" s="233"/>
      <c r="K448" s="233"/>
      <c r="L448" s="233"/>
      <c r="M448" s="233"/>
    </row>
    <row r="449" ht="15.75" hidden="1" customHeight="1">
      <c r="A449" s="246" t="s">
        <v>330</v>
      </c>
      <c r="B449" s="222"/>
      <c r="C449" s="224"/>
      <c r="D449" s="227"/>
      <c r="E449" s="224"/>
      <c r="F449" s="228"/>
      <c r="G449" s="233"/>
      <c r="H449" s="233"/>
      <c r="I449" s="233"/>
      <c r="J449" s="233"/>
      <c r="K449" s="233"/>
      <c r="L449" s="233"/>
      <c r="M449" s="233"/>
    </row>
    <row r="450" ht="15.75" hidden="1" customHeight="1">
      <c r="A450" s="246" t="s">
        <v>331</v>
      </c>
      <c r="B450" s="222"/>
      <c r="C450" s="224"/>
      <c r="D450" s="227"/>
      <c r="E450" s="224"/>
      <c r="F450" s="228"/>
      <c r="G450" s="233"/>
      <c r="H450" s="233"/>
      <c r="I450" s="233"/>
      <c r="J450" s="233"/>
      <c r="K450" s="233"/>
      <c r="L450" s="233"/>
      <c r="M450" s="233"/>
    </row>
    <row r="451" ht="15.75" hidden="1" customHeight="1">
      <c r="A451" s="246" t="s">
        <v>332</v>
      </c>
      <c r="B451" s="222"/>
      <c r="C451" s="224"/>
      <c r="D451" s="227"/>
      <c r="E451" s="224"/>
      <c r="F451" s="228"/>
      <c r="G451" s="233"/>
      <c r="H451" s="233"/>
      <c r="I451" s="233"/>
      <c r="J451" s="233"/>
      <c r="K451" s="233"/>
      <c r="L451" s="233"/>
      <c r="M451" s="233"/>
    </row>
    <row r="452" ht="15.75" hidden="1" customHeight="1">
      <c r="A452" s="230" t="s">
        <v>333</v>
      </c>
      <c r="B452" s="222"/>
      <c r="C452" s="224"/>
      <c r="D452" s="227"/>
      <c r="E452" s="224"/>
      <c r="F452" s="228"/>
      <c r="G452" s="233"/>
      <c r="H452" s="233"/>
      <c r="I452" s="233"/>
      <c r="J452" s="233"/>
      <c r="K452" s="233"/>
      <c r="L452" s="233"/>
      <c r="M452" s="233"/>
    </row>
    <row r="453" ht="15.75" hidden="1" customHeight="1">
      <c r="A453" s="230"/>
      <c r="B453" s="222"/>
      <c r="C453" s="224"/>
      <c r="D453" s="227"/>
      <c r="E453" s="224"/>
      <c r="F453" s="228"/>
      <c r="G453" s="233"/>
      <c r="H453" s="233"/>
      <c r="I453" s="233"/>
      <c r="J453" s="233"/>
      <c r="K453" s="233"/>
      <c r="L453" s="233"/>
      <c r="M453" s="233"/>
    </row>
    <row r="454" ht="15.75" hidden="1" customHeight="1">
      <c r="A454" s="226" t="s">
        <v>334</v>
      </c>
      <c r="B454" s="222"/>
      <c r="C454" s="224"/>
      <c r="D454" s="227"/>
      <c r="E454" s="224"/>
      <c r="F454" s="228"/>
      <c r="G454" s="233"/>
      <c r="H454" s="233"/>
      <c r="I454" s="233"/>
      <c r="J454" s="233"/>
      <c r="K454" s="233"/>
      <c r="L454" s="233"/>
      <c r="M454" s="233"/>
    </row>
    <row r="455" ht="15.75" hidden="1" customHeight="1">
      <c r="A455" s="230" t="s">
        <v>335</v>
      </c>
      <c r="B455" s="222"/>
      <c r="C455" s="224"/>
      <c r="D455" s="227"/>
      <c r="E455" s="224"/>
      <c r="F455" s="228"/>
      <c r="G455" s="233"/>
      <c r="H455" s="233"/>
      <c r="I455" s="233"/>
      <c r="J455" s="233"/>
      <c r="K455" s="233"/>
      <c r="L455" s="233"/>
      <c r="M455" s="233"/>
    </row>
    <row r="456" ht="15.75" hidden="1" customHeight="1">
      <c r="A456" s="230" t="s">
        <v>336</v>
      </c>
      <c r="B456" s="222"/>
      <c r="C456" s="224"/>
      <c r="D456" s="227"/>
      <c r="E456" s="224"/>
      <c r="F456" s="228"/>
      <c r="G456" s="233"/>
      <c r="H456" s="233"/>
      <c r="I456" s="233"/>
      <c r="J456" s="233"/>
      <c r="K456" s="233"/>
      <c r="L456" s="233"/>
      <c r="M456" s="233"/>
    </row>
    <row r="457" ht="15.75" hidden="1" customHeight="1">
      <c r="A457" s="230" t="s">
        <v>337</v>
      </c>
      <c r="B457" s="222"/>
      <c r="C457" s="224"/>
      <c r="D457" s="227"/>
      <c r="E457" s="224"/>
      <c r="F457" s="228"/>
      <c r="G457" s="233"/>
      <c r="H457" s="233"/>
      <c r="I457" s="233"/>
      <c r="J457" s="233"/>
      <c r="K457" s="233"/>
      <c r="L457" s="233"/>
      <c r="M457" s="233"/>
    </row>
    <row r="458" ht="15.75" hidden="1" customHeight="1">
      <c r="A458" s="230" t="s">
        <v>338</v>
      </c>
      <c r="B458" s="222"/>
      <c r="C458" s="224"/>
      <c r="D458" s="227"/>
      <c r="E458" s="224"/>
      <c r="F458" s="228"/>
      <c r="G458" s="233"/>
      <c r="H458" s="233"/>
      <c r="I458" s="233"/>
      <c r="J458" s="233"/>
      <c r="K458" s="233"/>
      <c r="L458" s="233"/>
      <c r="M458" s="233"/>
    </row>
    <row r="459" ht="15.75" hidden="1" customHeight="1">
      <c r="A459" s="230" t="s">
        <v>339</v>
      </c>
      <c r="B459" s="222"/>
      <c r="C459" s="224"/>
      <c r="D459" s="227"/>
      <c r="E459" s="224"/>
      <c r="F459" s="228"/>
      <c r="G459" s="233"/>
      <c r="H459" s="233"/>
      <c r="I459" s="233"/>
      <c r="J459" s="233"/>
      <c r="K459" s="233"/>
      <c r="L459" s="233"/>
      <c r="M459" s="233"/>
    </row>
    <row r="460" ht="15.75" hidden="1" customHeight="1">
      <c r="A460" s="230" t="s">
        <v>340</v>
      </c>
      <c r="B460" s="222"/>
      <c r="C460" s="224"/>
      <c r="D460" s="227"/>
      <c r="E460" s="224"/>
      <c r="F460" s="228"/>
      <c r="G460" s="233"/>
      <c r="H460" s="233"/>
      <c r="I460" s="233"/>
      <c r="J460" s="233"/>
      <c r="K460" s="233"/>
      <c r="L460" s="233"/>
      <c r="M460" s="233"/>
    </row>
    <row r="461" ht="15.75" hidden="1" customHeight="1">
      <c r="A461" s="246" t="s">
        <v>341</v>
      </c>
      <c r="B461" s="222"/>
      <c r="C461" s="224"/>
      <c r="D461" s="227"/>
      <c r="E461" s="224"/>
      <c r="F461" s="228"/>
      <c r="G461" s="233"/>
      <c r="H461" s="233"/>
      <c r="I461" s="233"/>
      <c r="J461" s="233"/>
      <c r="K461" s="233"/>
      <c r="L461" s="233"/>
      <c r="M461" s="233"/>
    </row>
    <row r="462" ht="15.75" hidden="1" customHeight="1">
      <c r="A462" s="228"/>
      <c r="B462" s="222"/>
      <c r="C462" s="224"/>
      <c r="D462" s="227"/>
      <c r="E462" s="224"/>
      <c r="F462" s="228"/>
      <c r="G462" s="233"/>
      <c r="H462" s="233"/>
      <c r="I462" s="233"/>
      <c r="J462" s="233"/>
      <c r="K462" s="233"/>
      <c r="L462" s="233"/>
      <c r="M462" s="233"/>
    </row>
    <row r="463">
      <c r="A463" s="221" t="s">
        <v>342</v>
      </c>
      <c r="B463" s="222" t="s">
        <v>33</v>
      </c>
      <c r="C463" s="224"/>
      <c r="D463" s="218">
        <f>D529+D532+D538+D550</f>
        <v>3300</v>
      </c>
      <c r="E463" s="224"/>
      <c r="F463" s="228"/>
      <c r="G463" s="233"/>
      <c r="H463" s="233"/>
      <c r="I463" s="233"/>
      <c r="J463" s="233"/>
      <c r="K463" s="233"/>
      <c r="L463" s="233"/>
      <c r="M463" s="233"/>
    </row>
    <row r="464" ht="15.75" customHeight="1">
      <c r="A464" s="226" t="s">
        <v>165</v>
      </c>
      <c r="B464" s="222" t="s">
        <v>33</v>
      </c>
      <c r="C464" s="224"/>
      <c r="D464" s="227"/>
      <c r="E464" s="224"/>
      <c r="F464" s="228"/>
      <c r="G464" s="233"/>
      <c r="H464" s="233"/>
      <c r="I464" s="233"/>
      <c r="J464" s="233"/>
      <c r="K464" s="233"/>
      <c r="L464" s="233"/>
      <c r="M464" s="233"/>
    </row>
    <row r="465" ht="15.75" customHeight="1">
      <c r="A465" s="230" t="s">
        <v>343</v>
      </c>
      <c r="B465" s="222" t="s">
        <v>33</v>
      </c>
      <c r="C465" s="224"/>
      <c r="D465" s="227"/>
      <c r="E465" s="224"/>
      <c r="F465" s="228"/>
      <c r="G465" s="233"/>
      <c r="H465" s="233"/>
      <c r="I465" s="233"/>
      <c r="J465" s="233"/>
      <c r="K465" s="233"/>
      <c r="L465" s="233"/>
      <c r="M465" s="233"/>
    </row>
    <row r="466" ht="15.75" customHeight="1">
      <c r="A466" s="226" t="s">
        <v>168</v>
      </c>
      <c r="B466" s="222" t="s">
        <v>33</v>
      </c>
      <c r="C466" s="224"/>
      <c r="D466" s="227"/>
      <c r="E466" s="224"/>
      <c r="F466" s="228"/>
      <c r="G466" s="233"/>
      <c r="H466" s="233"/>
      <c r="I466" s="233"/>
      <c r="J466" s="233"/>
      <c r="K466" s="233"/>
      <c r="L466" s="233"/>
      <c r="M466" s="233"/>
    </row>
    <row r="467" ht="15.75" customHeight="1">
      <c r="A467" s="230" t="s">
        <v>344</v>
      </c>
      <c r="B467" s="222" t="s">
        <v>33</v>
      </c>
      <c r="C467" s="224"/>
      <c r="D467" s="227"/>
      <c r="E467" s="224"/>
      <c r="F467" s="228"/>
      <c r="G467" s="233"/>
      <c r="H467" s="233"/>
      <c r="I467" s="233"/>
      <c r="J467" s="233"/>
      <c r="K467" s="233"/>
      <c r="L467" s="233"/>
      <c r="M467" s="233"/>
    </row>
    <row r="468" ht="15.75" customHeight="1">
      <c r="A468" s="230" t="s">
        <v>345</v>
      </c>
      <c r="B468" s="222" t="s">
        <v>33</v>
      </c>
      <c r="C468" s="224"/>
      <c r="D468" s="227"/>
      <c r="E468" s="224"/>
      <c r="F468" s="228"/>
      <c r="G468" s="233"/>
      <c r="H468" s="233"/>
      <c r="I468" s="233"/>
      <c r="J468" s="233"/>
      <c r="K468" s="233"/>
      <c r="L468" s="233"/>
      <c r="M468" s="233"/>
    </row>
    <row r="469" ht="15.75" customHeight="1">
      <c r="A469" s="230" t="s">
        <v>346</v>
      </c>
      <c r="B469" s="222" t="s">
        <v>33</v>
      </c>
      <c r="C469" s="224"/>
      <c r="D469" s="227"/>
      <c r="E469" s="224"/>
      <c r="F469" s="228"/>
      <c r="G469" s="233"/>
      <c r="H469" s="233"/>
      <c r="I469" s="233"/>
      <c r="J469" s="233"/>
      <c r="K469" s="233"/>
      <c r="L469" s="233"/>
      <c r="M469" s="233"/>
    </row>
    <row r="470" ht="15.75" customHeight="1">
      <c r="A470" s="230" t="s">
        <v>347</v>
      </c>
      <c r="B470" s="222" t="s">
        <v>33</v>
      </c>
      <c r="C470" s="224"/>
      <c r="D470" s="227"/>
      <c r="E470" s="224"/>
      <c r="F470" s="228"/>
      <c r="G470" s="233"/>
      <c r="H470" s="233"/>
      <c r="I470" s="233"/>
      <c r="J470" s="233"/>
      <c r="K470" s="233"/>
      <c r="L470" s="233"/>
      <c r="M470" s="233"/>
    </row>
    <row r="471" ht="15.75" customHeight="1">
      <c r="A471" s="230" t="s">
        <v>345</v>
      </c>
      <c r="B471" s="222" t="s">
        <v>33</v>
      </c>
      <c r="C471" s="224"/>
      <c r="D471" s="227"/>
      <c r="E471" s="224"/>
      <c r="F471" s="228"/>
      <c r="G471" s="233"/>
      <c r="H471" s="233"/>
      <c r="I471" s="233"/>
      <c r="J471" s="233"/>
      <c r="K471" s="233"/>
      <c r="L471" s="233"/>
      <c r="M471" s="233"/>
    </row>
    <row r="472" ht="15.75" customHeight="1">
      <c r="A472" s="230" t="s">
        <v>346</v>
      </c>
      <c r="B472" s="222" t="s">
        <v>33</v>
      </c>
      <c r="C472" s="224"/>
      <c r="D472" s="227"/>
      <c r="E472" s="224"/>
      <c r="F472" s="228"/>
      <c r="G472" s="233"/>
      <c r="H472" s="233"/>
      <c r="I472" s="233"/>
      <c r="J472" s="233"/>
      <c r="K472" s="233"/>
      <c r="L472" s="233"/>
      <c r="M472" s="233"/>
    </row>
    <row r="473">
      <c r="A473" s="226" t="s">
        <v>170</v>
      </c>
      <c r="B473" s="222" t="s">
        <v>33</v>
      </c>
      <c r="C473" s="224"/>
      <c r="D473" s="227"/>
      <c r="E473" s="224"/>
      <c r="F473" s="228"/>
      <c r="G473" s="233"/>
      <c r="H473" s="233"/>
      <c r="I473" s="233"/>
      <c r="J473" s="233"/>
      <c r="K473" s="233"/>
      <c r="L473" s="233"/>
      <c r="M473" s="233"/>
    </row>
    <row r="474" ht="15.75" customHeight="1">
      <c r="A474" s="226" t="s">
        <v>348</v>
      </c>
      <c r="B474" s="222" t="s">
        <v>33</v>
      </c>
      <c r="C474" s="224"/>
      <c r="D474" s="227"/>
      <c r="E474" s="224"/>
      <c r="F474" s="228"/>
      <c r="G474" s="233"/>
      <c r="H474" s="233"/>
      <c r="I474" s="233"/>
      <c r="J474" s="233"/>
      <c r="K474" s="233"/>
      <c r="L474" s="233"/>
      <c r="M474" s="233"/>
    </row>
    <row r="475" ht="15.75" customHeight="1">
      <c r="A475" s="226" t="s">
        <v>349</v>
      </c>
      <c r="B475" s="222" t="s">
        <v>33</v>
      </c>
      <c r="C475" s="224"/>
      <c r="D475" s="227"/>
      <c r="E475" s="224"/>
      <c r="F475" s="228"/>
      <c r="G475" s="233"/>
      <c r="H475" s="233"/>
      <c r="I475" s="233"/>
      <c r="J475" s="233"/>
      <c r="K475" s="233"/>
      <c r="L475" s="233"/>
      <c r="M475" s="233"/>
    </row>
    <row r="476" ht="15.75" customHeight="1">
      <c r="A476" s="230" t="s">
        <v>350</v>
      </c>
      <c r="B476" s="222" t="s">
        <v>33</v>
      </c>
      <c r="C476" s="224"/>
      <c r="D476" s="227"/>
      <c r="E476" s="224"/>
      <c r="F476" s="228"/>
      <c r="G476" s="233"/>
      <c r="H476" s="233"/>
      <c r="I476" s="233"/>
      <c r="J476" s="233"/>
      <c r="K476" s="233"/>
      <c r="L476" s="233"/>
      <c r="M476" s="233"/>
    </row>
    <row r="477" ht="15.75" customHeight="1">
      <c r="A477" s="247" t="s">
        <v>345</v>
      </c>
      <c r="B477" s="222" t="s">
        <v>33</v>
      </c>
      <c r="C477" s="224"/>
      <c r="D477" s="227"/>
      <c r="E477" s="224"/>
      <c r="F477" s="228"/>
      <c r="G477" s="233"/>
      <c r="H477" s="233"/>
      <c r="I477" s="233"/>
      <c r="J477" s="233"/>
      <c r="K477" s="233"/>
      <c r="L477" s="233"/>
      <c r="M477" s="233"/>
    </row>
    <row r="478" ht="15.75" customHeight="1">
      <c r="A478" s="247" t="s">
        <v>346</v>
      </c>
      <c r="B478" s="222" t="s">
        <v>33</v>
      </c>
      <c r="C478" s="224"/>
      <c r="D478" s="227"/>
      <c r="E478" s="224"/>
      <c r="F478" s="228"/>
      <c r="G478" s="233"/>
      <c r="H478" s="233"/>
      <c r="I478" s="233"/>
      <c r="J478" s="233"/>
      <c r="K478" s="233"/>
      <c r="L478" s="233"/>
      <c r="M478" s="233"/>
    </row>
    <row r="479" ht="15.75" customHeight="1">
      <c r="A479" s="230" t="s">
        <v>351</v>
      </c>
      <c r="B479" s="222" t="s">
        <v>33</v>
      </c>
      <c r="C479" s="224"/>
      <c r="D479" s="227"/>
      <c r="E479" s="224"/>
      <c r="F479" s="228"/>
      <c r="G479" s="233"/>
      <c r="H479" s="233"/>
      <c r="I479" s="233"/>
      <c r="J479" s="233"/>
      <c r="K479" s="233"/>
      <c r="L479" s="233"/>
      <c r="M479" s="233"/>
    </row>
    <row r="480" ht="15.75" customHeight="1">
      <c r="A480" s="247" t="s">
        <v>345</v>
      </c>
      <c r="B480" s="222" t="s">
        <v>33</v>
      </c>
      <c r="C480" s="224"/>
      <c r="D480" s="227"/>
      <c r="E480" s="224"/>
      <c r="F480" s="228"/>
      <c r="G480" s="233"/>
      <c r="H480" s="233"/>
      <c r="I480" s="233"/>
      <c r="J480" s="233"/>
      <c r="K480" s="233"/>
      <c r="L480" s="233"/>
      <c r="M480" s="233"/>
    </row>
    <row r="481" ht="15.75" customHeight="1">
      <c r="A481" s="247" t="s">
        <v>346</v>
      </c>
      <c r="B481" s="222" t="s">
        <v>33</v>
      </c>
      <c r="C481" s="224"/>
      <c r="D481" s="227"/>
      <c r="E481" s="224"/>
      <c r="F481" s="228"/>
      <c r="G481" s="233"/>
      <c r="H481" s="233"/>
      <c r="I481" s="233"/>
      <c r="J481" s="233"/>
      <c r="K481" s="233"/>
      <c r="L481" s="233"/>
      <c r="M481" s="233"/>
    </row>
    <row r="482" ht="15.75" customHeight="1">
      <c r="A482" s="226" t="s">
        <v>352</v>
      </c>
      <c r="B482" s="222" t="s">
        <v>33</v>
      </c>
      <c r="C482" s="224"/>
      <c r="D482" s="227"/>
      <c r="E482" s="224"/>
      <c r="F482" s="228"/>
      <c r="G482" s="233"/>
      <c r="H482" s="233"/>
      <c r="I482" s="233"/>
      <c r="J482" s="233"/>
      <c r="K482" s="233"/>
      <c r="L482" s="233"/>
      <c r="M482" s="233"/>
    </row>
    <row r="483" ht="15.75" customHeight="1">
      <c r="A483" s="230" t="s">
        <v>353</v>
      </c>
      <c r="B483" s="222" t="s">
        <v>33</v>
      </c>
      <c r="C483" s="224"/>
      <c r="D483" s="227"/>
      <c r="E483" s="224"/>
      <c r="F483" s="228"/>
      <c r="G483" s="233"/>
      <c r="H483" s="233"/>
      <c r="I483" s="233"/>
      <c r="J483" s="233"/>
      <c r="K483" s="233"/>
      <c r="L483" s="233"/>
      <c r="M483" s="233"/>
    </row>
    <row r="484" ht="15.75" customHeight="1">
      <c r="A484" s="247" t="s">
        <v>345</v>
      </c>
      <c r="B484" s="222" t="s">
        <v>33</v>
      </c>
      <c r="C484" s="224"/>
      <c r="D484" s="227"/>
      <c r="E484" s="224"/>
      <c r="F484" s="228"/>
      <c r="G484" s="233"/>
      <c r="H484" s="233"/>
      <c r="I484" s="233"/>
      <c r="J484" s="233"/>
      <c r="K484" s="233"/>
      <c r="L484" s="233"/>
      <c r="M484" s="233"/>
    </row>
    <row r="485" ht="15.75" customHeight="1">
      <c r="A485" s="247" t="s">
        <v>346</v>
      </c>
      <c r="B485" s="222" t="s">
        <v>33</v>
      </c>
      <c r="C485" s="224"/>
      <c r="D485" s="227"/>
      <c r="E485" s="224"/>
      <c r="F485" s="228"/>
      <c r="G485" s="233"/>
      <c r="H485" s="233"/>
      <c r="I485" s="233"/>
      <c r="J485" s="233"/>
      <c r="K485" s="233"/>
      <c r="L485" s="233"/>
      <c r="M485" s="233"/>
    </row>
    <row r="486" ht="15.75" customHeight="1">
      <c r="A486" s="230" t="s">
        <v>351</v>
      </c>
      <c r="B486" s="222" t="s">
        <v>33</v>
      </c>
      <c r="C486" s="224"/>
      <c r="D486" s="227"/>
      <c r="E486" s="224"/>
      <c r="F486" s="228"/>
      <c r="G486" s="233"/>
      <c r="H486" s="233"/>
      <c r="I486" s="233"/>
      <c r="J486" s="233"/>
      <c r="K486" s="233"/>
      <c r="L486" s="233"/>
      <c r="M486" s="233"/>
    </row>
    <row r="487" ht="15.75" customHeight="1">
      <c r="A487" s="247" t="s">
        <v>345</v>
      </c>
      <c r="B487" s="222" t="s">
        <v>33</v>
      </c>
      <c r="C487" s="224"/>
      <c r="D487" s="227"/>
      <c r="E487" s="224"/>
      <c r="F487" s="228"/>
      <c r="G487" s="233"/>
      <c r="H487" s="233"/>
      <c r="I487" s="233"/>
      <c r="J487" s="233"/>
      <c r="K487" s="233"/>
      <c r="L487" s="233"/>
      <c r="M487" s="233"/>
    </row>
    <row r="488" ht="15.75" customHeight="1">
      <c r="A488" s="247" t="s">
        <v>346</v>
      </c>
      <c r="B488" s="222" t="s">
        <v>33</v>
      </c>
      <c r="C488" s="224"/>
      <c r="D488" s="227"/>
      <c r="E488" s="224"/>
      <c r="F488" s="228"/>
      <c r="G488" s="233"/>
      <c r="H488" s="233"/>
      <c r="I488" s="233"/>
      <c r="J488" s="233"/>
      <c r="K488" s="233"/>
      <c r="L488" s="233"/>
      <c r="M488" s="233"/>
    </row>
    <row r="489" ht="15.75" customHeight="1">
      <c r="A489" s="226" t="s">
        <v>354</v>
      </c>
      <c r="B489" s="222" t="s">
        <v>33</v>
      </c>
      <c r="C489" s="224"/>
      <c r="D489" s="227"/>
      <c r="E489" s="224"/>
      <c r="F489" s="228"/>
      <c r="G489" s="233"/>
      <c r="H489" s="233"/>
      <c r="I489" s="233"/>
      <c r="J489" s="233"/>
      <c r="K489" s="233"/>
      <c r="L489" s="233"/>
      <c r="M489" s="233"/>
    </row>
    <row r="490" ht="15.75" customHeight="1">
      <c r="A490" s="230" t="s">
        <v>353</v>
      </c>
      <c r="B490" s="222" t="s">
        <v>33</v>
      </c>
      <c r="C490" s="224"/>
      <c r="D490" s="227"/>
      <c r="E490" s="224"/>
      <c r="F490" s="228"/>
      <c r="G490" s="233"/>
      <c r="H490" s="233"/>
      <c r="I490" s="233"/>
      <c r="J490" s="233"/>
      <c r="K490" s="233"/>
      <c r="L490" s="233"/>
      <c r="M490" s="233"/>
    </row>
    <row r="491" ht="15.75" customHeight="1">
      <c r="A491" s="247" t="s">
        <v>345</v>
      </c>
      <c r="B491" s="222" t="s">
        <v>33</v>
      </c>
      <c r="C491" s="224"/>
      <c r="D491" s="227"/>
      <c r="E491" s="224"/>
      <c r="F491" s="228"/>
      <c r="G491" s="233"/>
      <c r="H491" s="233"/>
      <c r="I491" s="233"/>
      <c r="J491" s="233"/>
      <c r="K491" s="233"/>
      <c r="L491" s="233"/>
      <c r="M491" s="233"/>
    </row>
    <row r="492" ht="15.75" customHeight="1">
      <c r="A492" s="247" t="s">
        <v>346</v>
      </c>
      <c r="B492" s="222" t="s">
        <v>33</v>
      </c>
      <c r="C492" s="224"/>
      <c r="D492" s="227"/>
      <c r="E492" s="224"/>
      <c r="F492" s="228"/>
      <c r="G492" s="233"/>
      <c r="H492" s="233"/>
      <c r="I492" s="233"/>
      <c r="J492" s="233"/>
      <c r="K492" s="233"/>
      <c r="L492" s="233"/>
      <c r="M492" s="233"/>
    </row>
    <row r="493" ht="15.75" customHeight="1">
      <c r="A493" s="230" t="s">
        <v>351</v>
      </c>
      <c r="B493" s="222" t="s">
        <v>33</v>
      </c>
      <c r="C493" s="224"/>
      <c r="D493" s="227"/>
      <c r="E493" s="224"/>
      <c r="F493" s="228"/>
      <c r="G493" s="233"/>
      <c r="H493" s="233"/>
      <c r="I493" s="233"/>
      <c r="J493" s="233"/>
      <c r="K493" s="233"/>
      <c r="L493" s="233"/>
      <c r="M493" s="233"/>
    </row>
    <row r="494" ht="15.75" customHeight="1">
      <c r="A494" s="247" t="s">
        <v>345</v>
      </c>
      <c r="B494" s="222" t="s">
        <v>33</v>
      </c>
      <c r="C494" s="224"/>
      <c r="D494" s="227"/>
      <c r="E494" s="224"/>
      <c r="F494" s="228"/>
      <c r="G494" s="233"/>
      <c r="H494" s="233"/>
      <c r="I494" s="233"/>
      <c r="J494" s="233"/>
      <c r="K494" s="233"/>
      <c r="L494" s="233"/>
      <c r="M494" s="233"/>
    </row>
    <row r="495" ht="15.75" customHeight="1">
      <c r="A495" s="247" t="s">
        <v>346</v>
      </c>
      <c r="B495" s="222" t="s">
        <v>33</v>
      </c>
      <c r="C495" s="224"/>
      <c r="D495" s="227"/>
      <c r="E495" s="224"/>
      <c r="F495" s="228"/>
      <c r="G495" s="233"/>
      <c r="H495" s="233"/>
      <c r="I495" s="233"/>
      <c r="J495" s="233"/>
      <c r="K495" s="233"/>
      <c r="L495" s="233"/>
      <c r="M495" s="233"/>
    </row>
    <row r="496" ht="15.75" customHeight="1">
      <c r="A496" s="226" t="s">
        <v>355</v>
      </c>
      <c r="B496" s="222" t="s">
        <v>33</v>
      </c>
      <c r="C496" s="224"/>
      <c r="D496" s="227"/>
      <c r="E496" s="224"/>
      <c r="F496" s="228"/>
      <c r="G496" s="233"/>
      <c r="H496" s="233"/>
      <c r="I496" s="233"/>
      <c r="J496" s="233"/>
      <c r="K496" s="233"/>
      <c r="L496" s="233"/>
      <c r="M496" s="233"/>
    </row>
    <row r="497" ht="15.75" customHeight="1">
      <c r="A497" s="230" t="s">
        <v>353</v>
      </c>
      <c r="B497" s="222" t="s">
        <v>33</v>
      </c>
      <c r="C497" s="224"/>
      <c r="D497" s="227"/>
      <c r="E497" s="224"/>
      <c r="F497" s="228"/>
      <c r="G497" s="233"/>
      <c r="H497" s="233"/>
      <c r="I497" s="233"/>
      <c r="J497" s="233"/>
      <c r="K497" s="233"/>
      <c r="L497" s="233"/>
      <c r="M497" s="233"/>
    </row>
    <row r="498" ht="15.75" customHeight="1">
      <c r="A498" s="247" t="s">
        <v>345</v>
      </c>
      <c r="B498" s="222" t="s">
        <v>33</v>
      </c>
      <c r="C498" s="224"/>
      <c r="D498" s="227"/>
      <c r="E498" s="224"/>
      <c r="F498" s="228"/>
      <c r="G498" s="233"/>
      <c r="H498" s="233"/>
      <c r="I498" s="233"/>
      <c r="J498" s="233"/>
      <c r="K498" s="233"/>
      <c r="L498" s="233"/>
      <c r="M498" s="233"/>
    </row>
    <row r="499" ht="15.75" customHeight="1">
      <c r="A499" s="248" t="s">
        <v>346</v>
      </c>
      <c r="B499" s="222" t="s">
        <v>33</v>
      </c>
      <c r="C499" s="224"/>
      <c r="D499" s="227"/>
      <c r="E499" s="224"/>
      <c r="F499" s="228"/>
      <c r="G499" s="233"/>
      <c r="H499" s="233"/>
      <c r="I499" s="233"/>
      <c r="J499" s="233"/>
      <c r="K499" s="233"/>
      <c r="L499" s="233"/>
      <c r="M499" s="233"/>
    </row>
    <row r="500" ht="15.75" customHeight="1">
      <c r="A500" s="230" t="s">
        <v>351</v>
      </c>
      <c r="B500" s="222" t="s">
        <v>33</v>
      </c>
      <c r="C500" s="224"/>
      <c r="D500" s="227"/>
      <c r="E500" s="224"/>
      <c r="F500" s="228"/>
      <c r="G500" s="233"/>
      <c r="H500" s="233"/>
      <c r="I500" s="233"/>
      <c r="J500" s="233"/>
      <c r="K500" s="233"/>
      <c r="L500" s="233"/>
      <c r="M500" s="233"/>
    </row>
    <row r="501" ht="15.75" customHeight="1">
      <c r="A501" s="247" t="s">
        <v>345</v>
      </c>
      <c r="B501" s="222" t="s">
        <v>33</v>
      </c>
      <c r="C501" s="224"/>
      <c r="D501" s="227"/>
      <c r="E501" s="224"/>
      <c r="F501" s="228"/>
      <c r="G501" s="233"/>
      <c r="H501" s="233"/>
      <c r="I501" s="233"/>
      <c r="J501" s="233"/>
      <c r="K501" s="233"/>
      <c r="L501" s="233"/>
      <c r="M501" s="233"/>
    </row>
    <row r="502" ht="15.75" customHeight="1">
      <c r="A502" s="247" t="s">
        <v>346</v>
      </c>
      <c r="B502" s="222" t="s">
        <v>33</v>
      </c>
      <c r="C502" s="224"/>
      <c r="D502" s="227"/>
      <c r="E502" s="224"/>
      <c r="F502" s="228"/>
      <c r="G502" s="233"/>
      <c r="H502" s="233"/>
      <c r="I502" s="233"/>
      <c r="J502" s="233"/>
      <c r="K502" s="233"/>
      <c r="L502" s="233"/>
      <c r="M502" s="233"/>
    </row>
    <row r="503" ht="15.75" customHeight="1">
      <c r="A503" s="226" t="s">
        <v>356</v>
      </c>
      <c r="B503" s="222" t="s">
        <v>33</v>
      </c>
      <c r="C503" s="224"/>
      <c r="D503" s="227"/>
      <c r="E503" s="224"/>
      <c r="F503" s="228"/>
      <c r="G503" s="233"/>
      <c r="H503" s="233"/>
      <c r="I503" s="233"/>
      <c r="J503" s="233"/>
      <c r="K503" s="233"/>
      <c r="L503" s="233"/>
      <c r="M503" s="233"/>
    </row>
    <row r="504" ht="15.75" customHeight="1">
      <c r="A504" s="230" t="s">
        <v>350</v>
      </c>
      <c r="B504" s="222" t="s">
        <v>33</v>
      </c>
      <c r="C504" s="224"/>
      <c r="D504" s="227"/>
      <c r="E504" s="224"/>
      <c r="F504" s="228"/>
      <c r="G504" s="233"/>
      <c r="H504" s="233"/>
      <c r="I504" s="233"/>
      <c r="J504" s="233"/>
      <c r="K504" s="233"/>
      <c r="L504" s="233"/>
      <c r="M504" s="233"/>
    </row>
    <row r="505" ht="15.75" customHeight="1">
      <c r="A505" s="247" t="s">
        <v>345</v>
      </c>
      <c r="B505" s="222" t="s">
        <v>33</v>
      </c>
      <c r="C505" s="224"/>
      <c r="D505" s="227"/>
      <c r="E505" s="224"/>
      <c r="F505" s="228"/>
      <c r="G505" s="233"/>
      <c r="H505" s="233"/>
      <c r="I505" s="233"/>
      <c r="J505" s="233"/>
      <c r="K505" s="233"/>
      <c r="L505" s="233"/>
      <c r="M505" s="233"/>
    </row>
    <row r="506" ht="15.75" customHeight="1">
      <c r="A506" s="247" t="s">
        <v>346</v>
      </c>
      <c r="B506" s="222" t="s">
        <v>33</v>
      </c>
      <c r="C506" s="224"/>
      <c r="D506" s="227"/>
      <c r="E506" s="224"/>
      <c r="F506" s="228"/>
      <c r="G506" s="233"/>
      <c r="H506" s="233"/>
      <c r="I506" s="233"/>
      <c r="J506" s="233"/>
      <c r="K506" s="233"/>
      <c r="L506" s="233"/>
      <c r="M506" s="233"/>
    </row>
    <row r="507" ht="15.75" customHeight="1">
      <c r="A507" s="230" t="s">
        <v>351</v>
      </c>
      <c r="B507" s="222" t="s">
        <v>33</v>
      </c>
      <c r="C507" s="224"/>
      <c r="D507" s="227"/>
      <c r="E507" s="224"/>
      <c r="F507" s="228"/>
      <c r="G507" s="233"/>
      <c r="H507" s="233"/>
      <c r="I507" s="233"/>
      <c r="J507" s="233"/>
      <c r="K507" s="233"/>
      <c r="L507" s="233"/>
      <c r="M507" s="233"/>
    </row>
    <row r="508" ht="15.75" customHeight="1">
      <c r="A508" s="247" t="s">
        <v>345</v>
      </c>
      <c r="B508" s="222" t="s">
        <v>33</v>
      </c>
      <c r="C508" s="224"/>
      <c r="D508" s="227"/>
      <c r="E508" s="224"/>
      <c r="F508" s="228"/>
      <c r="G508" s="233"/>
      <c r="H508" s="233"/>
      <c r="I508" s="233"/>
      <c r="J508" s="233"/>
      <c r="K508" s="233"/>
      <c r="L508" s="233"/>
      <c r="M508" s="233"/>
    </row>
    <row r="509" ht="15.75" customHeight="1">
      <c r="A509" s="247" t="s">
        <v>346</v>
      </c>
      <c r="B509" s="222" t="s">
        <v>33</v>
      </c>
      <c r="C509" s="224"/>
      <c r="D509" s="227"/>
      <c r="E509" s="224"/>
      <c r="F509" s="228"/>
      <c r="G509" s="233"/>
      <c r="H509" s="233"/>
      <c r="I509" s="233"/>
      <c r="J509" s="233"/>
      <c r="K509" s="233"/>
      <c r="L509" s="233"/>
      <c r="M509" s="233"/>
    </row>
    <row r="510" ht="15.75" customHeight="1">
      <c r="A510" s="226" t="s">
        <v>357</v>
      </c>
      <c r="B510" s="222" t="s">
        <v>33</v>
      </c>
      <c r="C510" s="224"/>
      <c r="D510" s="227"/>
      <c r="E510" s="224"/>
      <c r="F510" s="228"/>
      <c r="G510" s="233"/>
      <c r="H510" s="233"/>
      <c r="I510" s="233"/>
      <c r="J510" s="233"/>
      <c r="K510" s="233"/>
      <c r="L510" s="233"/>
      <c r="M510" s="233"/>
    </row>
    <row r="511" ht="15.75" customHeight="1">
      <c r="A511" s="230" t="s">
        <v>350</v>
      </c>
      <c r="B511" s="222" t="s">
        <v>33</v>
      </c>
      <c r="C511" s="224"/>
      <c r="D511" s="227"/>
      <c r="E511" s="224"/>
      <c r="F511" s="228"/>
      <c r="G511" s="233"/>
      <c r="H511" s="233"/>
      <c r="I511" s="233"/>
      <c r="J511" s="233"/>
      <c r="K511" s="233"/>
      <c r="L511" s="233"/>
      <c r="M511" s="233"/>
    </row>
    <row r="512" ht="15.75" customHeight="1">
      <c r="A512" s="247" t="s">
        <v>345</v>
      </c>
      <c r="B512" s="222" t="s">
        <v>33</v>
      </c>
      <c r="C512" s="224"/>
      <c r="D512" s="227"/>
      <c r="E512" s="224"/>
      <c r="F512" s="228"/>
      <c r="G512" s="233"/>
      <c r="H512" s="233"/>
      <c r="I512" s="233"/>
      <c r="J512" s="233"/>
      <c r="K512" s="233"/>
      <c r="L512" s="233"/>
      <c r="M512" s="233"/>
    </row>
    <row r="513" ht="15.75" customHeight="1">
      <c r="A513" s="247" t="s">
        <v>346</v>
      </c>
      <c r="B513" s="222" t="s">
        <v>33</v>
      </c>
      <c r="C513" s="224"/>
      <c r="D513" s="227"/>
      <c r="E513" s="224"/>
      <c r="F513" s="228"/>
      <c r="G513" s="233"/>
      <c r="H513" s="233"/>
      <c r="I513" s="233"/>
      <c r="J513" s="233"/>
      <c r="K513" s="233"/>
      <c r="L513" s="233"/>
      <c r="M513" s="233"/>
    </row>
    <row r="514" ht="15.75" customHeight="1">
      <c r="A514" s="230" t="s">
        <v>351</v>
      </c>
      <c r="B514" s="222" t="s">
        <v>33</v>
      </c>
      <c r="C514" s="224"/>
      <c r="D514" s="227"/>
      <c r="E514" s="224"/>
      <c r="F514" s="228"/>
      <c r="G514" s="233"/>
      <c r="H514" s="233"/>
      <c r="I514" s="233"/>
      <c r="J514" s="233"/>
      <c r="K514" s="233"/>
      <c r="L514" s="233"/>
      <c r="M514" s="233"/>
    </row>
    <row r="515" ht="15.75" customHeight="1">
      <c r="A515" s="247" t="s">
        <v>345</v>
      </c>
      <c r="B515" s="222" t="s">
        <v>33</v>
      </c>
      <c r="C515" s="224"/>
      <c r="D515" s="227"/>
      <c r="E515" s="224"/>
      <c r="F515" s="228"/>
      <c r="G515" s="233"/>
      <c r="H515" s="233"/>
      <c r="I515" s="233"/>
      <c r="J515" s="233"/>
      <c r="K515" s="233"/>
      <c r="L515" s="233"/>
      <c r="M515" s="233"/>
    </row>
    <row r="516" ht="15.75" customHeight="1">
      <c r="A516" s="247" t="s">
        <v>346</v>
      </c>
      <c r="B516" s="222" t="s">
        <v>33</v>
      </c>
      <c r="C516" s="224"/>
      <c r="D516" s="227"/>
      <c r="E516" s="224"/>
      <c r="F516" s="228"/>
      <c r="G516" s="233"/>
      <c r="H516" s="233"/>
      <c r="I516" s="233"/>
      <c r="J516" s="233"/>
      <c r="K516" s="233"/>
      <c r="L516" s="233"/>
      <c r="M516" s="233"/>
    </row>
    <row r="517" ht="15.75" customHeight="1">
      <c r="A517" s="230"/>
      <c r="B517" s="222" t="s">
        <v>33</v>
      </c>
      <c r="C517" s="224"/>
      <c r="D517" s="227"/>
      <c r="E517" s="224"/>
      <c r="F517" s="228"/>
      <c r="G517" s="233"/>
      <c r="H517" s="233"/>
      <c r="I517" s="233"/>
      <c r="J517" s="233"/>
      <c r="K517" s="233"/>
      <c r="L517" s="233"/>
      <c r="M517" s="233"/>
    </row>
    <row r="518" ht="15.75" customHeight="1">
      <c r="A518" s="226" t="s">
        <v>358</v>
      </c>
      <c r="B518" s="222" t="s">
        <v>33</v>
      </c>
      <c r="C518" s="224"/>
      <c r="D518" s="227"/>
      <c r="E518" s="224"/>
      <c r="F518" s="228"/>
      <c r="G518" s="233"/>
      <c r="H518" s="233"/>
      <c r="I518" s="233"/>
      <c r="J518" s="233"/>
      <c r="K518" s="233"/>
      <c r="L518" s="233"/>
      <c r="M518" s="233"/>
    </row>
    <row r="519" ht="15.75" customHeight="1">
      <c r="A519" s="230" t="s">
        <v>359</v>
      </c>
      <c r="B519" s="222" t="s">
        <v>33</v>
      </c>
      <c r="C519" s="224"/>
      <c r="D519" s="227"/>
      <c r="E519" s="224"/>
      <c r="F519" s="228"/>
      <c r="G519" s="233"/>
      <c r="H519" s="233"/>
      <c r="I519" s="233"/>
      <c r="J519" s="233"/>
      <c r="K519" s="233"/>
      <c r="L519" s="233"/>
      <c r="M519" s="233"/>
    </row>
    <row r="520" ht="15.75" customHeight="1">
      <c r="A520" s="230" t="s">
        <v>360</v>
      </c>
      <c r="B520" s="222" t="s">
        <v>33</v>
      </c>
      <c r="C520" s="224"/>
      <c r="D520" s="227"/>
      <c r="E520" s="224"/>
      <c r="F520" s="228"/>
      <c r="G520" s="233"/>
      <c r="H520" s="233"/>
      <c r="I520" s="233"/>
      <c r="J520" s="233"/>
      <c r="K520" s="233"/>
      <c r="L520" s="233"/>
      <c r="M520" s="233"/>
    </row>
    <row r="521" ht="15.75" customHeight="1">
      <c r="A521" s="230" t="s">
        <v>361</v>
      </c>
      <c r="B521" s="222" t="s">
        <v>33</v>
      </c>
      <c r="C521" s="224"/>
      <c r="D521" s="227"/>
      <c r="E521" s="224"/>
      <c r="F521" s="228"/>
      <c r="G521" s="233"/>
      <c r="H521" s="233"/>
      <c r="I521" s="233"/>
      <c r="J521" s="233"/>
      <c r="K521" s="233"/>
      <c r="L521" s="233"/>
      <c r="M521" s="233"/>
    </row>
    <row r="522" ht="15.75" customHeight="1">
      <c r="A522" s="230" t="s">
        <v>362</v>
      </c>
      <c r="B522" s="222" t="s">
        <v>33</v>
      </c>
      <c r="C522" s="224"/>
      <c r="D522" s="227"/>
      <c r="E522" s="224"/>
      <c r="F522" s="228"/>
      <c r="G522" s="233"/>
      <c r="H522" s="233"/>
      <c r="I522" s="233"/>
      <c r="J522" s="233"/>
      <c r="K522" s="233"/>
      <c r="L522" s="233"/>
      <c r="M522" s="233"/>
    </row>
    <row r="523" ht="15.75" customHeight="1">
      <c r="A523" s="230" t="s">
        <v>363</v>
      </c>
      <c r="B523" s="222" t="s">
        <v>33</v>
      </c>
      <c r="C523" s="224"/>
      <c r="D523" s="227"/>
      <c r="E523" s="224"/>
      <c r="F523" s="228"/>
      <c r="G523" s="233"/>
      <c r="H523" s="233"/>
      <c r="I523" s="233"/>
      <c r="J523" s="233"/>
      <c r="K523" s="233"/>
      <c r="L523" s="233"/>
      <c r="M523" s="233"/>
    </row>
    <row r="524" ht="15.75" customHeight="1">
      <c r="A524" s="230" t="s">
        <v>364</v>
      </c>
      <c r="B524" s="222" t="s">
        <v>33</v>
      </c>
      <c r="C524" s="224"/>
      <c r="D524" s="227"/>
      <c r="E524" s="224"/>
      <c r="F524" s="228"/>
      <c r="G524" s="233"/>
      <c r="H524" s="233"/>
      <c r="I524" s="233"/>
      <c r="J524" s="233"/>
      <c r="K524" s="233"/>
      <c r="L524" s="233"/>
      <c r="M524" s="233"/>
    </row>
    <row r="525" ht="15.75" customHeight="1">
      <c r="A525" s="230" t="s">
        <v>365</v>
      </c>
      <c r="B525" s="222" t="s">
        <v>33</v>
      </c>
      <c r="C525" s="224"/>
      <c r="D525" s="227"/>
      <c r="E525" s="224"/>
      <c r="F525" s="228"/>
      <c r="G525" s="233"/>
      <c r="H525" s="233"/>
      <c r="I525" s="233"/>
      <c r="J525" s="233"/>
      <c r="K525" s="233"/>
      <c r="L525" s="233"/>
      <c r="M525" s="233"/>
    </row>
    <row r="526" ht="15.75" customHeight="1">
      <c r="A526" s="230" t="s">
        <v>366</v>
      </c>
      <c r="B526" s="222" t="s">
        <v>33</v>
      </c>
      <c r="C526" s="224"/>
      <c r="D526" s="227"/>
      <c r="E526" s="224"/>
      <c r="F526" s="228"/>
      <c r="G526" s="233"/>
      <c r="H526" s="233"/>
      <c r="I526" s="233"/>
      <c r="J526" s="233"/>
      <c r="K526" s="233"/>
      <c r="L526" s="233"/>
      <c r="M526" s="233"/>
    </row>
    <row r="527" ht="15.75" customHeight="1">
      <c r="A527" s="230"/>
      <c r="B527" s="222" t="s">
        <v>33</v>
      </c>
      <c r="C527" s="224"/>
      <c r="D527" s="227"/>
      <c r="E527" s="224"/>
      <c r="F527" s="228"/>
      <c r="G527" s="233"/>
      <c r="H527" s="233"/>
      <c r="I527" s="233"/>
      <c r="J527" s="233"/>
      <c r="K527" s="233"/>
      <c r="L527" s="233"/>
      <c r="M527" s="233"/>
    </row>
    <row r="528">
      <c r="A528" s="225" t="s">
        <v>367</v>
      </c>
      <c r="B528" s="222" t="s">
        <v>33</v>
      </c>
      <c r="C528" s="224"/>
      <c r="D528" s="227"/>
      <c r="E528" s="224"/>
      <c r="F528" s="228"/>
      <c r="G528" s="233"/>
      <c r="H528" s="233"/>
      <c r="I528" s="233"/>
      <c r="J528" s="233"/>
      <c r="K528" s="233"/>
      <c r="L528" s="233"/>
      <c r="M528" s="233"/>
    </row>
    <row r="529">
      <c r="A529" s="225" t="s">
        <v>368</v>
      </c>
      <c r="B529" s="222" t="s">
        <v>33</v>
      </c>
      <c r="C529" s="224"/>
      <c r="D529" s="235">
        <v>300.0</v>
      </c>
      <c r="E529" s="224"/>
      <c r="F529" s="228"/>
      <c r="G529" s="233"/>
      <c r="H529" s="233"/>
      <c r="I529" s="233"/>
      <c r="J529" s="233"/>
      <c r="K529" s="233"/>
      <c r="L529" s="233"/>
      <c r="M529" s="233"/>
    </row>
    <row r="530">
      <c r="A530" s="221" t="s">
        <v>369</v>
      </c>
      <c r="B530" s="222" t="s">
        <v>33</v>
      </c>
      <c r="C530" s="224"/>
      <c r="D530" s="227"/>
      <c r="E530" s="224"/>
      <c r="F530" s="228"/>
      <c r="G530" s="233"/>
      <c r="H530" s="233"/>
      <c r="I530" s="233"/>
      <c r="J530" s="233"/>
      <c r="K530" s="233"/>
      <c r="L530" s="233"/>
      <c r="M530" s="233"/>
    </row>
    <row r="531">
      <c r="A531" s="231" t="s">
        <v>217</v>
      </c>
      <c r="B531" s="222" t="s">
        <v>33</v>
      </c>
      <c r="C531" s="224"/>
      <c r="D531" s="227"/>
      <c r="E531" s="224"/>
      <c r="F531" s="228"/>
      <c r="G531" s="233"/>
      <c r="H531" s="233"/>
      <c r="I531" s="233"/>
      <c r="J531" s="233"/>
      <c r="K531" s="233"/>
      <c r="L531" s="233"/>
      <c r="M531" s="233"/>
    </row>
    <row r="532" ht="15.75" customHeight="1">
      <c r="A532" s="231" t="s">
        <v>370</v>
      </c>
      <c r="B532" s="222" t="s">
        <v>33</v>
      </c>
      <c r="C532" s="236">
        <v>4.0</v>
      </c>
      <c r="D532" s="235">
        <v>2000.0</v>
      </c>
      <c r="E532" s="224"/>
      <c r="F532" s="228"/>
      <c r="G532" s="233"/>
      <c r="H532" s="233"/>
      <c r="I532" s="233"/>
      <c r="J532" s="233"/>
      <c r="K532" s="233"/>
      <c r="L532" s="233"/>
      <c r="M532" s="233"/>
    </row>
    <row r="533" ht="15.75" hidden="1" customHeight="1">
      <c r="A533" s="231" t="s">
        <v>371</v>
      </c>
      <c r="B533" s="222" t="s">
        <v>33</v>
      </c>
      <c r="C533" s="224"/>
      <c r="D533" s="227"/>
      <c r="E533" s="224"/>
      <c r="F533" s="228"/>
      <c r="G533" s="233"/>
      <c r="H533" s="233"/>
      <c r="I533" s="233"/>
      <c r="J533" s="233"/>
      <c r="K533" s="233"/>
      <c r="L533" s="233"/>
      <c r="M533" s="233"/>
    </row>
    <row r="534" ht="15.75" hidden="1" customHeight="1">
      <c r="A534" s="231" t="s">
        <v>218</v>
      </c>
      <c r="B534" s="222" t="s">
        <v>33</v>
      </c>
      <c r="C534" s="224"/>
      <c r="D534" s="227"/>
      <c r="E534" s="224"/>
      <c r="F534" s="228"/>
      <c r="G534" s="233"/>
      <c r="H534" s="233"/>
      <c r="I534" s="233"/>
      <c r="J534" s="233"/>
      <c r="K534" s="233"/>
      <c r="L534" s="233"/>
      <c r="M534" s="233"/>
    </row>
    <row r="535" ht="15.75" hidden="1" customHeight="1">
      <c r="A535" s="231" t="s">
        <v>370</v>
      </c>
      <c r="B535" s="222" t="s">
        <v>33</v>
      </c>
      <c r="C535" s="224"/>
      <c r="D535" s="227"/>
      <c r="E535" s="224"/>
      <c r="F535" s="228"/>
      <c r="G535" s="233"/>
      <c r="H535" s="233"/>
      <c r="I535" s="233"/>
      <c r="J535" s="233"/>
      <c r="K535" s="233"/>
      <c r="L535" s="233"/>
      <c r="M535" s="233"/>
    </row>
    <row r="536" ht="15.75" hidden="1" customHeight="1">
      <c r="A536" s="231" t="s">
        <v>371</v>
      </c>
      <c r="B536" s="222" t="s">
        <v>33</v>
      </c>
      <c r="C536" s="224"/>
      <c r="D536" s="227"/>
      <c r="E536" s="224"/>
      <c r="F536" s="228"/>
      <c r="G536" s="233"/>
      <c r="H536" s="233"/>
      <c r="I536" s="233"/>
      <c r="J536" s="233"/>
      <c r="K536" s="233"/>
      <c r="L536" s="233"/>
      <c r="M536" s="233"/>
    </row>
    <row r="537">
      <c r="A537" s="231" t="s">
        <v>200</v>
      </c>
      <c r="B537" s="222" t="s">
        <v>33</v>
      </c>
      <c r="C537" s="224"/>
      <c r="D537" s="227"/>
      <c r="E537" s="224"/>
      <c r="F537" s="228"/>
      <c r="G537" s="233"/>
      <c r="H537" s="233"/>
      <c r="I537" s="233"/>
      <c r="J537" s="233"/>
      <c r="K537" s="233"/>
      <c r="L537" s="233"/>
      <c r="M537" s="233"/>
    </row>
    <row r="538">
      <c r="A538" s="231" t="s">
        <v>370</v>
      </c>
      <c r="B538" s="222" t="s">
        <v>33</v>
      </c>
      <c r="C538" s="236">
        <v>1.0</v>
      </c>
      <c r="D538" s="235">
        <v>400.0</v>
      </c>
      <c r="E538" s="224"/>
      <c r="F538" s="228"/>
      <c r="G538" s="233"/>
      <c r="H538" s="233"/>
      <c r="I538" s="233"/>
      <c r="J538" s="233"/>
      <c r="K538" s="233"/>
      <c r="L538" s="233"/>
      <c r="M538" s="233"/>
    </row>
    <row r="539">
      <c r="A539" s="231" t="s">
        <v>371</v>
      </c>
      <c r="B539" s="222" t="s">
        <v>33</v>
      </c>
      <c r="C539" s="224"/>
      <c r="D539" s="227"/>
      <c r="E539" s="224"/>
      <c r="F539" s="228"/>
      <c r="G539" s="233"/>
      <c r="H539" s="233"/>
      <c r="I539" s="233"/>
      <c r="J539" s="233"/>
      <c r="K539" s="233"/>
      <c r="L539" s="233"/>
      <c r="M539" s="233"/>
    </row>
    <row r="540" ht="15.75" hidden="1" customHeight="1">
      <c r="A540" s="231" t="s">
        <v>205</v>
      </c>
      <c r="B540" s="222" t="s">
        <v>33</v>
      </c>
      <c r="C540" s="224"/>
      <c r="D540" s="227"/>
      <c r="E540" s="224"/>
      <c r="F540" s="228"/>
      <c r="G540" s="233"/>
      <c r="H540" s="233"/>
      <c r="I540" s="233"/>
      <c r="J540" s="233"/>
      <c r="K540" s="233"/>
      <c r="L540" s="233"/>
      <c r="M540" s="233"/>
    </row>
    <row r="541" ht="15.75" hidden="1" customHeight="1">
      <c r="A541" s="231" t="s">
        <v>370</v>
      </c>
      <c r="B541" s="222" t="s">
        <v>33</v>
      </c>
      <c r="C541" s="224"/>
      <c r="D541" s="227"/>
      <c r="E541" s="224"/>
      <c r="F541" s="228"/>
      <c r="G541" s="233"/>
      <c r="H541" s="233"/>
      <c r="I541" s="233"/>
      <c r="J541" s="233"/>
      <c r="K541" s="233"/>
      <c r="L541" s="233"/>
      <c r="M541" s="233"/>
    </row>
    <row r="542" ht="15.75" hidden="1" customHeight="1">
      <c r="A542" s="231" t="s">
        <v>371</v>
      </c>
      <c r="B542" s="222" t="s">
        <v>33</v>
      </c>
      <c r="C542" s="224"/>
      <c r="D542" s="227"/>
      <c r="E542" s="224"/>
      <c r="F542" s="228"/>
      <c r="G542" s="233"/>
      <c r="H542" s="233"/>
      <c r="I542" s="233"/>
      <c r="J542" s="233"/>
      <c r="K542" s="233"/>
      <c r="L542" s="233"/>
      <c r="M542" s="233"/>
    </row>
    <row r="543" ht="15.75" hidden="1" customHeight="1">
      <c r="A543" s="231" t="s">
        <v>206</v>
      </c>
      <c r="B543" s="222" t="s">
        <v>33</v>
      </c>
      <c r="C543" s="224"/>
      <c r="D543" s="227"/>
      <c r="E543" s="224"/>
      <c r="F543" s="228"/>
      <c r="G543" s="233"/>
      <c r="H543" s="233"/>
      <c r="I543" s="233"/>
      <c r="J543" s="233"/>
      <c r="K543" s="233"/>
      <c r="L543" s="233"/>
      <c r="M543" s="233"/>
    </row>
    <row r="544" ht="15.75" hidden="1" customHeight="1">
      <c r="A544" s="231" t="s">
        <v>370</v>
      </c>
      <c r="B544" s="222" t="s">
        <v>33</v>
      </c>
      <c r="C544" s="224"/>
      <c r="D544" s="227"/>
      <c r="E544" s="224"/>
      <c r="F544" s="228"/>
      <c r="G544" s="233"/>
      <c r="H544" s="233"/>
      <c r="I544" s="233"/>
      <c r="J544" s="233"/>
      <c r="K544" s="233"/>
      <c r="L544" s="233"/>
      <c r="M544" s="233"/>
    </row>
    <row r="545" ht="15.75" hidden="1" customHeight="1">
      <c r="A545" s="231" t="s">
        <v>371</v>
      </c>
      <c r="B545" s="222" t="s">
        <v>33</v>
      </c>
      <c r="C545" s="224"/>
      <c r="D545" s="227"/>
      <c r="E545" s="224"/>
      <c r="F545" s="228"/>
      <c r="G545" s="233"/>
      <c r="H545" s="233"/>
      <c r="I545" s="233"/>
      <c r="J545" s="233"/>
      <c r="K545" s="233"/>
      <c r="L545" s="233"/>
      <c r="M545" s="233"/>
    </row>
    <row r="546" ht="15.75" hidden="1" customHeight="1">
      <c r="A546" s="231" t="s">
        <v>372</v>
      </c>
      <c r="B546" s="222" t="s">
        <v>33</v>
      </c>
      <c r="C546" s="224"/>
      <c r="D546" s="227"/>
      <c r="E546" s="224"/>
      <c r="F546" s="228"/>
      <c r="G546" s="233"/>
      <c r="H546" s="233"/>
      <c r="I546" s="233"/>
      <c r="J546" s="233"/>
      <c r="K546" s="233"/>
      <c r="L546" s="233"/>
      <c r="M546" s="233"/>
    </row>
    <row r="547" ht="15.75" hidden="1" customHeight="1">
      <c r="A547" s="231" t="s">
        <v>370</v>
      </c>
      <c r="B547" s="222" t="s">
        <v>33</v>
      </c>
      <c r="C547" s="224"/>
      <c r="D547" s="227"/>
      <c r="E547" s="224"/>
      <c r="F547" s="228"/>
      <c r="G547" s="233"/>
      <c r="H547" s="233"/>
      <c r="I547" s="233"/>
      <c r="J547" s="233"/>
      <c r="K547" s="233"/>
      <c r="L547" s="233"/>
      <c r="M547" s="233"/>
    </row>
    <row r="548" ht="15.75" hidden="1" customHeight="1">
      <c r="A548" s="231" t="s">
        <v>371</v>
      </c>
      <c r="B548" s="222" t="s">
        <v>33</v>
      </c>
      <c r="C548" s="224"/>
      <c r="D548" s="227"/>
      <c r="E548" s="224"/>
      <c r="F548" s="228"/>
      <c r="G548" s="233"/>
      <c r="H548" s="233"/>
      <c r="I548" s="233"/>
      <c r="J548" s="233"/>
      <c r="K548" s="233"/>
      <c r="L548" s="233"/>
      <c r="M548" s="233"/>
    </row>
    <row r="549">
      <c r="A549" s="231" t="s">
        <v>207</v>
      </c>
      <c r="B549" s="222" t="s">
        <v>33</v>
      </c>
      <c r="C549" s="224"/>
      <c r="D549" s="227"/>
      <c r="E549" s="224"/>
      <c r="F549" s="228"/>
      <c r="G549" s="233"/>
      <c r="H549" s="233"/>
      <c r="I549" s="233"/>
      <c r="J549" s="233"/>
      <c r="K549" s="233"/>
      <c r="L549" s="233"/>
      <c r="M549" s="233"/>
    </row>
    <row r="550">
      <c r="A550" s="231" t="s">
        <v>370</v>
      </c>
      <c r="B550" s="222" t="s">
        <v>33</v>
      </c>
      <c r="C550" s="236">
        <v>1.0</v>
      </c>
      <c r="D550" s="235">
        <v>600.0</v>
      </c>
      <c r="E550" s="224"/>
      <c r="F550" s="228"/>
      <c r="G550" s="233"/>
      <c r="H550" s="233"/>
      <c r="I550" s="233"/>
      <c r="J550" s="233"/>
      <c r="K550" s="233"/>
      <c r="L550" s="233"/>
      <c r="M550" s="233"/>
    </row>
    <row r="551">
      <c r="A551" s="231" t="s">
        <v>371</v>
      </c>
      <c r="B551" s="222" t="s">
        <v>33</v>
      </c>
      <c r="C551" s="224"/>
      <c r="D551" s="227"/>
      <c r="E551" s="224"/>
      <c r="F551" s="228"/>
      <c r="G551" s="233"/>
      <c r="H551" s="233"/>
      <c r="I551" s="233"/>
      <c r="J551" s="233"/>
      <c r="K551" s="233"/>
      <c r="L551" s="233"/>
      <c r="M551" s="233"/>
    </row>
    <row r="552" ht="15.75" hidden="1" customHeight="1">
      <c r="A552" s="225" t="s">
        <v>219</v>
      </c>
      <c r="B552" s="222" t="s">
        <v>33</v>
      </c>
      <c r="C552" s="224"/>
      <c r="D552" s="227"/>
      <c r="E552" s="224"/>
      <c r="F552" s="228"/>
      <c r="G552" s="233"/>
      <c r="H552" s="233"/>
      <c r="I552" s="233"/>
      <c r="J552" s="233"/>
      <c r="K552" s="233"/>
      <c r="L552" s="233"/>
      <c r="M552" s="233"/>
    </row>
    <row r="553" ht="15.75" hidden="1" customHeight="1">
      <c r="A553" s="225" t="s">
        <v>370</v>
      </c>
      <c r="B553" s="222" t="s">
        <v>33</v>
      </c>
      <c r="C553" s="224"/>
      <c r="D553" s="227"/>
      <c r="E553" s="224"/>
      <c r="F553" s="228"/>
      <c r="G553" s="233"/>
      <c r="H553" s="233"/>
      <c r="I553" s="233"/>
      <c r="J553" s="233"/>
      <c r="K553" s="233"/>
      <c r="L553" s="233"/>
      <c r="M553" s="233"/>
    </row>
    <row r="554" ht="15.75" hidden="1" customHeight="1">
      <c r="A554" s="249" t="s">
        <v>371</v>
      </c>
      <c r="B554" s="222" t="s">
        <v>33</v>
      </c>
      <c r="C554" s="224"/>
      <c r="D554" s="227"/>
      <c r="E554" s="224"/>
      <c r="F554" s="228"/>
      <c r="G554" s="233"/>
      <c r="H554" s="233"/>
      <c r="I554" s="233"/>
      <c r="J554" s="233"/>
      <c r="K554" s="233"/>
      <c r="L554" s="233"/>
      <c r="M554" s="233"/>
    </row>
    <row r="555" ht="15.75" hidden="1" customHeight="1">
      <c r="A555" s="225" t="s">
        <v>204</v>
      </c>
      <c r="B555" s="222" t="s">
        <v>33</v>
      </c>
      <c r="C555" s="224"/>
      <c r="D555" s="227"/>
      <c r="E555" s="224"/>
      <c r="F555" s="228"/>
      <c r="G555" s="233"/>
      <c r="H555" s="233"/>
      <c r="I555" s="233"/>
      <c r="J555" s="233"/>
      <c r="K555" s="233"/>
      <c r="L555" s="233"/>
      <c r="M555" s="233"/>
    </row>
    <row r="556" ht="15.75" hidden="1" customHeight="1">
      <c r="A556" s="225" t="s">
        <v>370</v>
      </c>
      <c r="B556" s="222" t="s">
        <v>33</v>
      </c>
      <c r="C556" s="224"/>
      <c r="D556" s="227"/>
      <c r="E556" s="224"/>
      <c r="F556" s="228"/>
      <c r="G556" s="233"/>
      <c r="H556" s="233"/>
      <c r="I556" s="233"/>
      <c r="J556" s="233"/>
      <c r="K556" s="233"/>
      <c r="L556" s="233"/>
      <c r="M556" s="233"/>
    </row>
    <row r="557" ht="15.75" hidden="1" customHeight="1">
      <c r="A557" s="249" t="s">
        <v>371</v>
      </c>
      <c r="B557" s="222" t="s">
        <v>33</v>
      </c>
      <c r="C557" s="224"/>
      <c r="D557" s="227"/>
      <c r="E557" s="224"/>
      <c r="F557" s="228"/>
      <c r="G557" s="233"/>
      <c r="H557" s="233"/>
      <c r="I557" s="233"/>
      <c r="J557" s="233"/>
      <c r="K557" s="233"/>
      <c r="L557" s="233"/>
      <c r="M557" s="233"/>
    </row>
    <row r="558" ht="15.75" hidden="1" customHeight="1">
      <c r="A558" s="225" t="s">
        <v>203</v>
      </c>
      <c r="B558" s="222" t="s">
        <v>33</v>
      </c>
      <c r="C558" s="224"/>
      <c r="D558" s="227"/>
      <c r="E558" s="224"/>
      <c r="F558" s="228"/>
      <c r="G558" s="233"/>
      <c r="H558" s="233"/>
      <c r="I558" s="233"/>
      <c r="J558" s="233"/>
      <c r="K558" s="233"/>
      <c r="L558" s="233"/>
      <c r="M558" s="233"/>
    </row>
    <row r="559" ht="15.75" hidden="1" customHeight="1">
      <c r="A559" s="225" t="s">
        <v>370</v>
      </c>
      <c r="B559" s="222" t="s">
        <v>33</v>
      </c>
      <c r="C559" s="224"/>
      <c r="D559" s="227"/>
      <c r="E559" s="224"/>
      <c r="F559" s="228"/>
      <c r="G559" s="233"/>
      <c r="H559" s="233"/>
      <c r="I559" s="233"/>
      <c r="J559" s="233"/>
      <c r="K559" s="233"/>
      <c r="L559" s="233"/>
      <c r="M559" s="233"/>
    </row>
    <row r="560" ht="15.75" hidden="1" customHeight="1">
      <c r="A560" s="249" t="s">
        <v>371</v>
      </c>
      <c r="B560" s="222" t="s">
        <v>33</v>
      </c>
      <c r="C560" s="224"/>
      <c r="D560" s="227"/>
      <c r="E560" s="224"/>
      <c r="F560" s="228"/>
      <c r="G560" s="233"/>
      <c r="H560" s="233"/>
      <c r="I560" s="233"/>
      <c r="J560" s="233"/>
      <c r="K560" s="233"/>
      <c r="L560" s="233"/>
      <c r="M560" s="233"/>
    </row>
    <row r="561" ht="15.75" hidden="1" customHeight="1">
      <c r="A561" s="249"/>
      <c r="B561" s="222" t="s">
        <v>33</v>
      </c>
      <c r="C561" s="224"/>
      <c r="D561" s="227"/>
      <c r="E561" s="224"/>
      <c r="F561" s="228"/>
      <c r="G561" s="233"/>
      <c r="H561" s="233"/>
      <c r="I561" s="233"/>
      <c r="J561" s="233"/>
      <c r="K561" s="233"/>
      <c r="L561" s="233"/>
      <c r="M561" s="233"/>
    </row>
    <row r="562" ht="15.75" hidden="1" customHeight="1">
      <c r="A562" s="225" t="s">
        <v>373</v>
      </c>
      <c r="B562" s="222" t="s">
        <v>33</v>
      </c>
      <c r="C562" s="224"/>
      <c r="D562" s="227"/>
      <c r="E562" s="224"/>
      <c r="F562" s="228"/>
      <c r="G562" s="233"/>
      <c r="H562" s="233"/>
      <c r="I562" s="233"/>
      <c r="J562" s="233"/>
      <c r="K562" s="233"/>
      <c r="L562" s="233"/>
      <c r="M562" s="233"/>
    </row>
    <row r="563" ht="15.75" hidden="1" customHeight="1">
      <c r="A563" s="231" t="s">
        <v>374</v>
      </c>
      <c r="B563" s="222" t="s">
        <v>33</v>
      </c>
      <c r="C563" s="224"/>
      <c r="D563" s="227"/>
      <c r="E563" s="224"/>
      <c r="F563" s="228"/>
      <c r="G563" s="233"/>
      <c r="H563" s="233"/>
      <c r="I563" s="233"/>
      <c r="J563" s="233"/>
      <c r="K563" s="233"/>
      <c r="L563" s="233"/>
      <c r="M563" s="233"/>
    </row>
    <row r="564" ht="15.75" hidden="1" customHeight="1">
      <c r="A564" s="231" t="s">
        <v>375</v>
      </c>
      <c r="B564" s="222" t="s">
        <v>33</v>
      </c>
      <c r="C564" s="224"/>
      <c r="D564" s="227"/>
      <c r="E564" s="224"/>
      <c r="F564" s="228"/>
      <c r="G564" s="233"/>
      <c r="H564" s="233"/>
      <c r="I564" s="233"/>
      <c r="J564" s="233"/>
      <c r="K564" s="233"/>
      <c r="L564" s="233"/>
      <c r="M564" s="233"/>
    </row>
    <row r="565" ht="15.75" hidden="1" customHeight="1">
      <c r="A565" s="231"/>
      <c r="B565" s="222" t="s">
        <v>33</v>
      </c>
      <c r="C565" s="224"/>
      <c r="D565" s="227"/>
      <c r="E565" s="224"/>
      <c r="F565" s="228"/>
      <c r="G565" s="233"/>
      <c r="H565" s="233"/>
      <c r="I565" s="233"/>
      <c r="J565" s="233"/>
      <c r="K565" s="233"/>
      <c r="L565" s="233"/>
      <c r="M565" s="233"/>
    </row>
    <row r="566" ht="15.75" hidden="1" customHeight="1">
      <c r="A566" s="225" t="s">
        <v>376</v>
      </c>
      <c r="B566" s="222" t="s">
        <v>33</v>
      </c>
      <c r="C566" s="224"/>
      <c r="D566" s="227"/>
      <c r="E566" s="224"/>
      <c r="F566" s="228"/>
      <c r="G566" s="233"/>
      <c r="H566" s="233"/>
      <c r="I566" s="233"/>
      <c r="J566" s="233"/>
      <c r="K566" s="233"/>
      <c r="L566" s="233"/>
      <c r="M566" s="233"/>
    </row>
    <row r="567" ht="15.75" hidden="1" customHeight="1">
      <c r="A567" s="250" t="s">
        <v>377</v>
      </c>
      <c r="B567" s="222" t="s">
        <v>33</v>
      </c>
      <c r="C567" s="224"/>
      <c r="D567" s="227"/>
      <c r="E567" s="224"/>
      <c r="F567" s="228"/>
      <c r="G567" s="233"/>
      <c r="H567" s="233"/>
      <c r="I567" s="233"/>
      <c r="J567" s="233"/>
      <c r="K567" s="233"/>
      <c r="L567" s="233"/>
      <c r="M567" s="233"/>
    </row>
    <row r="568" ht="15.75" hidden="1" customHeight="1">
      <c r="A568" s="225" t="s">
        <v>378</v>
      </c>
      <c r="B568" s="222" t="s">
        <v>33</v>
      </c>
      <c r="C568" s="224"/>
      <c r="D568" s="227"/>
      <c r="E568" s="224"/>
      <c r="F568" s="228"/>
      <c r="G568" s="233"/>
      <c r="H568" s="233"/>
      <c r="I568" s="233"/>
      <c r="J568" s="233"/>
      <c r="K568" s="233"/>
      <c r="L568" s="233"/>
      <c r="M568" s="233"/>
    </row>
    <row r="569" ht="15.75" hidden="1" customHeight="1">
      <c r="A569" s="250" t="s">
        <v>379</v>
      </c>
      <c r="B569" s="222" t="s">
        <v>33</v>
      </c>
      <c r="C569" s="224"/>
      <c r="D569" s="227"/>
      <c r="E569" s="224"/>
      <c r="F569" s="228"/>
      <c r="G569" s="233"/>
      <c r="H569" s="233"/>
      <c r="I569" s="233"/>
      <c r="J569" s="233"/>
      <c r="K569" s="233"/>
      <c r="L569" s="233"/>
      <c r="M569" s="233"/>
    </row>
    <row r="570" ht="15.75" hidden="1" customHeight="1">
      <c r="A570" s="250" t="s">
        <v>380</v>
      </c>
      <c r="B570" s="222" t="s">
        <v>33</v>
      </c>
      <c r="C570" s="224"/>
      <c r="D570" s="227"/>
      <c r="E570" s="224"/>
      <c r="F570" s="228"/>
      <c r="G570" s="233"/>
      <c r="H570" s="233"/>
      <c r="I570" s="233"/>
      <c r="J570" s="233"/>
      <c r="K570" s="233"/>
      <c r="L570" s="233"/>
      <c r="M570" s="233"/>
    </row>
    <row r="571" ht="15.75" hidden="1" customHeight="1">
      <c r="A571" s="250" t="s">
        <v>381</v>
      </c>
      <c r="B571" s="222" t="s">
        <v>33</v>
      </c>
      <c r="C571" s="224"/>
      <c r="D571" s="227"/>
      <c r="E571" s="224"/>
      <c r="F571" s="228"/>
      <c r="G571" s="233"/>
      <c r="H571" s="233"/>
      <c r="I571" s="233"/>
      <c r="J571" s="233"/>
      <c r="K571" s="233"/>
      <c r="L571" s="233"/>
      <c r="M571" s="233"/>
    </row>
    <row r="572" ht="15.75" hidden="1" customHeight="1">
      <c r="A572" s="250" t="s">
        <v>382</v>
      </c>
      <c r="B572" s="222" t="s">
        <v>33</v>
      </c>
      <c r="C572" s="224"/>
      <c r="D572" s="227"/>
      <c r="E572" s="224"/>
      <c r="F572" s="228"/>
      <c r="G572" s="233"/>
      <c r="H572" s="233"/>
      <c r="I572" s="233"/>
      <c r="J572" s="233"/>
      <c r="K572" s="233"/>
      <c r="L572" s="233"/>
      <c r="M572" s="233"/>
    </row>
    <row r="573" ht="15.75" hidden="1" customHeight="1">
      <c r="A573" s="250" t="s">
        <v>383</v>
      </c>
      <c r="B573" s="222" t="s">
        <v>33</v>
      </c>
      <c r="C573" s="224"/>
      <c r="D573" s="227"/>
      <c r="E573" s="224"/>
      <c r="F573" s="228"/>
      <c r="G573" s="233"/>
      <c r="H573" s="233"/>
      <c r="I573" s="233"/>
      <c r="J573" s="233"/>
      <c r="K573" s="233"/>
      <c r="L573" s="233"/>
      <c r="M573" s="233"/>
    </row>
    <row r="574" ht="15.75" hidden="1" customHeight="1">
      <c r="A574" s="250"/>
      <c r="B574" s="222" t="s">
        <v>33</v>
      </c>
      <c r="C574" s="224"/>
      <c r="D574" s="227"/>
      <c r="E574" s="224"/>
      <c r="F574" s="228"/>
      <c r="G574" s="233"/>
      <c r="H574" s="233"/>
      <c r="I574" s="233"/>
      <c r="J574" s="233"/>
      <c r="K574" s="233"/>
      <c r="L574" s="233"/>
      <c r="M574" s="233"/>
    </row>
    <row r="575" ht="15.75" hidden="1" customHeight="1">
      <c r="A575" s="225" t="s">
        <v>384</v>
      </c>
      <c r="B575" s="222" t="s">
        <v>33</v>
      </c>
      <c r="C575" s="224"/>
      <c r="D575" s="227"/>
      <c r="E575" s="224"/>
      <c r="F575" s="228"/>
      <c r="G575" s="233"/>
      <c r="H575" s="233"/>
      <c r="I575" s="233"/>
      <c r="J575" s="233"/>
      <c r="K575" s="233"/>
      <c r="L575" s="233"/>
      <c r="M575" s="233"/>
    </row>
    <row r="576" ht="15.75" hidden="1" customHeight="1">
      <c r="A576" s="225" t="s">
        <v>385</v>
      </c>
      <c r="B576" s="222" t="s">
        <v>33</v>
      </c>
      <c r="C576" s="224"/>
      <c r="D576" s="227"/>
      <c r="E576" s="224"/>
      <c r="F576" s="228"/>
      <c r="G576" s="233"/>
      <c r="H576" s="233"/>
      <c r="I576" s="233"/>
      <c r="J576" s="233"/>
      <c r="K576" s="233"/>
      <c r="L576" s="233"/>
      <c r="M576" s="233"/>
    </row>
    <row r="577" ht="15.75" hidden="1" customHeight="1">
      <c r="A577" s="231" t="s">
        <v>386</v>
      </c>
      <c r="B577" s="222" t="s">
        <v>33</v>
      </c>
      <c r="C577" s="224"/>
      <c r="D577" s="227"/>
      <c r="E577" s="224"/>
      <c r="F577" s="228"/>
      <c r="G577" s="233"/>
      <c r="H577" s="233"/>
      <c r="I577" s="233"/>
      <c r="J577" s="233"/>
      <c r="K577" s="233"/>
      <c r="L577" s="233"/>
      <c r="M577" s="233"/>
    </row>
    <row r="578" ht="15.75" hidden="1" customHeight="1">
      <c r="A578" s="231" t="s">
        <v>387</v>
      </c>
      <c r="B578" s="222" t="s">
        <v>33</v>
      </c>
      <c r="C578" s="224"/>
      <c r="D578" s="227"/>
      <c r="E578" s="224"/>
      <c r="F578" s="228"/>
      <c r="G578" s="233"/>
      <c r="H578" s="233"/>
      <c r="I578" s="233"/>
      <c r="J578" s="233"/>
      <c r="K578" s="233"/>
      <c r="L578" s="233"/>
      <c r="M578" s="233"/>
    </row>
    <row r="579" ht="15.75" hidden="1" customHeight="1">
      <c r="A579" s="231" t="s">
        <v>388</v>
      </c>
      <c r="B579" s="222" t="s">
        <v>33</v>
      </c>
      <c r="C579" s="224"/>
      <c r="D579" s="227"/>
      <c r="E579" s="224"/>
      <c r="F579" s="228"/>
      <c r="G579" s="233"/>
      <c r="H579" s="233"/>
      <c r="I579" s="233"/>
      <c r="J579" s="233"/>
      <c r="K579" s="233"/>
      <c r="L579" s="233"/>
      <c r="M579" s="233"/>
    </row>
    <row r="580" ht="15.75" hidden="1" customHeight="1">
      <c r="A580" s="231" t="s">
        <v>389</v>
      </c>
      <c r="B580" s="222" t="s">
        <v>33</v>
      </c>
      <c r="C580" s="224"/>
      <c r="D580" s="227"/>
      <c r="E580" s="224"/>
      <c r="F580" s="228"/>
      <c r="G580" s="233"/>
      <c r="H580" s="233"/>
      <c r="I580" s="233"/>
      <c r="J580" s="233"/>
      <c r="K580" s="233"/>
      <c r="L580" s="233"/>
      <c r="M580" s="233"/>
    </row>
    <row r="581" ht="15.75" hidden="1" customHeight="1">
      <c r="A581" s="225" t="s">
        <v>390</v>
      </c>
      <c r="B581" s="222" t="s">
        <v>33</v>
      </c>
      <c r="C581" s="224"/>
      <c r="D581" s="227"/>
      <c r="E581" s="224"/>
      <c r="F581" s="228"/>
      <c r="G581" s="233"/>
      <c r="H581" s="233"/>
      <c r="I581" s="233"/>
      <c r="J581" s="233"/>
      <c r="K581" s="233"/>
      <c r="L581" s="233"/>
      <c r="M581" s="233"/>
    </row>
    <row r="582" ht="15.75" hidden="1" customHeight="1">
      <c r="A582" s="231" t="s">
        <v>391</v>
      </c>
      <c r="B582" s="222" t="s">
        <v>33</v>
      </c>
      <c r="C582" s="224"/>
      <c r="D582" s="227"/>
      <c r="E582" s="224"/>
      <c r="F582" s="228"/>
      <c r="G582" s="233"/>
      <c r="H582" s="233"/>
      <c r="I582" s="233"/>
      <c r="J582" s="233"/>
      <c r="K582" s="233"/>
      <c r="L582" s="233"/>
      <c r="M582" s="233"/>
    </row>
    <row r="583" ht="15.75" hidden="1" customHeight="1">
      <c r="A583" s="231" t="s">
        <v>392</v>
      </c>
      <c r="B583" s="222" t="s">
        <v>33</v>
      </c>
      <c r="C583" s="224"/>
      <c r="D583" s="227"/>
      <c r="E583" s="224"/>
      <c r="F583" s="228"/>
      <c r="G583" s="233"/>
      <c r="H583" s="233"/>
      <c r="I583" s="233"/>
      <c r="J583" s="233"/>
      <c r="K583" s="233"/>
      <c r="L583" s="233"/>
      <c r="M583" s="233"/>
    </row>
    <row r="584" ht="15.75" hidden="1" customHeight="1">
      <c r="A584" s="231" t="s">
        <v>393</v>
      </c>
      <c r="B584" s="222" t="s">
        <v>33</v>
      </c>
      <c r="C584" s="224"/>
      <c r="D584" s="227"/>
      <c r="E584" s="224"/>
      <c r="F584" s="228"/>
      <c r="G584" s="233"/>
      <c r="H584" s="233"/>
      <c r="I584" s="233"/>
      <c r="J584" s="233"/>
      <c r="K584" s="233"/>
      <c r="L584" s="233"/>
      <c r="M584" s="233"/>
    </row>
    <row r="585" ht="15.75" hidden="1" customHeight="1">
      <c r="A585" s="225" t="s">
        <v>394</v>
      </c>
      <c r="B585" s="222"/>
      <c r="C585" s="224"/>
      <c r="D585" s="227"/>
      <c r="E585" s="224"/>
      <c r="F585" s="228"/>
      <c r="G585" s="233"/>
      <c r="H585" s="233"/>
      <c r="I585" s="233"/>
      <c r="J585" s="233"/>
      <c r="K585" s="233"/>
      <c r="L585" s="233"/>
      <c r="M585" s="233"/>
    </row>
    <row r="586" ht="15.75" hidden="1" customHeight="1">
      <c r="A586" s="231" t="s">
        <v>395</v>
      </c>
      <c r="B586" s="222"/>
      <c r="C586" s="224"/>
      <c r="D586" s="227"/>
      <c r="E586" s="224"/>
      <c r="F586" s="228"/>
      <c r="G586" s="233"/>
      <c r="H586" s="233"/>
      <c r="I586" s="233"/>
      <c r="J586" s="233"/>
      <c r="K586" s="233"/>
      <c r="L586" s="233"/>
      <c r="M586" s="233"/>
    </row>
    <row r="587" ht="15.75" hidden="1" customHeight="1">
      <c r="A587" s="231" t="s">
        <v>396</v>
      </c>
      <c r="B587" s="222"/>
      <c r="C587" s="224"/>
      <c r="D587" s="227"/>
      <c r="E587" s="224"/>
      <c r="F587" s="228"/>
      <c r="G587" s="233"/>
      <c r="H587" s="233"/>
      <c r="I587" s="233"/>
      <c r="J587" s="233"/>
      <c r="K587" s="233"/>
      <c r="L587" s="233"/>
      <c r="M587" s="233"/>
    </row>
    <row r="588" ht="15.75" hidden="1" customHeight="1">
      <c r="A588" s="251"/>
      <c r="B588" s="222"/>
      <c r="C588" s="224"/>
      <c r="D588" s="227"/>
      <c r="E588" s="224"/>
      <c r="F588" s="228"/>
      <c r="G588" s="233"/>
      <c r="H588" s="233"/>
      <c r="I588" s="233"/>
      <c r="J588" s="233"/>
      <c r="K588" s="233"/>
      <c r="L588" s="233"/>
      <c r="M588" s="233"/>
    </row>
    <row r="589" ht="15.75" hidden="1" customHeight="1">
      <c r="A589" s="226" t="s">
        <v>397</v>
      </c>
      <c r="B589" s="222"/>
      <c r="C589" s="224"/>
      <c r="D589" s="227"/>
      <c r="E589" s="224"/>
      <c r="F589" s="228"/>
      <c r="G589" s="233"/>
      <c r="H589" s="233"/>
      <c r="I589" s="233"/>
      <c r="J589" s="233"/>
      <c r="K589" s="233"/>
      <c r="L589" s="233"/>
      <c r="M589" s="233"/>
    </row>
    <row r="590" ht="15.75" hidden="1" customHeight="1">
      <c r="A590" s="226" t="s">
        <v>398</v>
      </c>
      <c r="B590" s="222"/>
      <c r="C590" s="224"/>
      <c r="D590" s="227"/>
      <c r="E590" s="224"/>
      <c r="F590" s="228"/>
      <c r="G590" s="233"/>
      <c r="H590" s="233"/>
      <c r="I590" s="233"/>
      <c r="J590" s="233"/>
      <c r="K590" s="233"/>
      <c r="L590" s="233"/>
      <c r="M590" s="233"/>
    </row>
    <row r="591" ht="15.75" hidden="1" customHeight="1">
      <c r="A591" s="230" t="s">
        <v>399</v>
      </c>
      <c r="B591" s="222"/>
      <c r="C591" s="224"/>
      <c r="D591" s="227"/>
      <c r="E591" s="224"/>
      <c r="F591" s="228"/>
      <c r="G591" s="233"/>
      <c r="H591" s="233"/>
      <c r="I591" s="233"/>
      <c r="J591" s="233"/>
      <c r="K591" s="233"/>
      <c r="L591" s="233"/>
      <c r="M591" s="233"/>
    </row>
    <row r="592" ht="15.75" hidden="1" customHeight="1">
      <c r="A592" s="226" t="s">
        <v>168</v>
      </c>
      <c r="B592" s="222"/>
      <c r="C592" s="224"/>
      <c r="D592" s="227"/>
      <c r="E592" s="224"/>
      <c r="F592" s="228"/>
      <c r="G592" s="233"/>
      <c r="H592" s="233"/>
      <c r="I592" s="233"/>
      <c r="J592" s="233"/>
      <c r="K592" s="233"/>
      <c r="L592" s="233"/>
      <c r="M592" s="233"/>
    </row>
    <row r="593" ht="15.75" hidden="1" customHeight="1">
      <c r="A593" s="226" t="s">
        <v>400</v>
      </c>
      <c r="B593" s="222"/>
      <c r="C593" s="224"/>
      <c r="D593" s="227"/>
      <c r="E593" s="224"/>
      <c r="F593" s="228"/>
      <c r="G593" s="233"/>
      <c r="H593" s="233"/>
      <c r="I593" s="233"/>
      <c r="J593" s="233"/>
      <c r="K593" s="233"/>
      <c r="L593" s="233"/>
      <c r="M593" s="233"/>
    </row>
    <row r="594" ht="15.75" hidden="1" customHeight="1">
      <c r="A594" s="226" t="s">
        <v>401</v>
      </c>
      <c r="B594" s="222"/>
      <c r="C594" s="224"/>
      <c r="D594" s="227"/>
      <c r="E594" s="224"/>
      <c r="F594" s="228"/>
      <c r="G594" s="233"/>
      <c r="H594" s="233"/>
      <c r="I594" s="233"/>
      <c r="J594" s="233"/>
      <c r="K594" s="233"/>
      <c r="L594" s="233"/>
      <c r="M594" s="233"/>
    </row>
    <row r="595" ht="15.75" hidden="1" customHeight="1">
      <c r="A595" s="230" t="s">
        <v>402</v>
      </c>
      <c r="B595" s="222"/>
      <c r="C595" s="224"/>
      <c r="D595" s="227"/>
      <c r="E595" s="224"/>
      <c r="F595" s="228"/>
      <c r="G595" s="233"/>
      <c r="H595" s="233"/>
      <c r="I595" s="233"/>
      <c r="J595" s="233"/>
      <c r="K595" s="233"/>
      <c r="L595" s="233"/>
      <c r="M595" s="233"/>
    </row>
    <row r="596" ht="15.75" hidden="1" customHeight="1">
      <c r="A596" s="230" t="s">
        <v>403</v>
      </c>
      <c r="B596" s="222"/>
      <c r="C596" s="224"/>
      <c r="D596" s="227"/>
      <c r="E596" s="224"/>
      <c r="F596" s="228"/>
      <c r="G596" s="233"/>
      <c r="H596" s="233"/>
      <c r="I596" s="233"/>
      <c r="J596" s="233"/>
      <c r="K596" s="233"/>
      <c r="L596" s="233"/>
      <c r="M596" s="233"/>
    </row>
    <row r="597" ht="15.75" hidden="1" customHeight="1">
      <c r="A597" s="230" t="s">
        <v>404</v>
      </c>
      <c r="B597" s="222"/>
      <c r="C597" s="224"/>
      <c r="D597" s="227"/>
      <c r="E597" s="224"/>
      <c r="F597" s="228"/>
      <c r="G597" s="233"/>
      <c r="H597" s="233"/>
      <c r="I597" s="233"/>
      <c r="J597" s="233"/>
      <c r="K597" s="233"/>
      <c r="L597" s="233"/>
      <c r="M597" s="233"/>
    </row>
    <row r="598" ht="15.75" hidden="1" customHeight="1">
      <c r="A598" s="230" t="s">
        <v>405</v>
      </c>
      <c r="B598" s="222"/>
      <c r="C598" s="224"/>
      <c r="D598" s="227"/>
      <c r="E598" s="224"/>
      <c r="F598" s="228"/>
      <c r="G598" s="233"/>
      <c r="H598" s="233"/>
      <c r="I598" s="233"/>
      <c r="J598" s="233"/>
      <c r="K598" s="233"/>
      <c r="L598" s="233"/>
      <c r="M598" s="233"/>
    </row>
    <row r="599" ht="15.75" hidden="1" customHeight="1">
      <c r="A599" s="230" t="s">
        <v>406</v>
      </c>
      <c r="B599" s="222"/>
      <c r="C599" s="224"/>
      <c r="D599" s="227"/>
      <c r="E599" s="224"/>
      <c r="F599" s="228"/>
      <c r="G599" s="233"/>
      <c r="H599" s="233"/>
      <c r="I599" s="233"/>
      <c r="J599" s="233"/>
      <c r="K599" s="233"/>
      <c r="L599" s="233"/>
      <c r="M599" s="233"/>
    </row>
    <row r="600" ht="15.75" hidden="1" customHeight="1">
      <c r="A600" s="230" t="s">
        <v>407</v>
      </c>
      <c r="B600" s="222"/>
      <c r="C600" s="224"/>
      <c r="D600" s="227"/>
      <c r="E600" s="224"/>
      <c r="F600" s="228"/>
      <c r="G600" s="233"/>
      <c r="H600" s="233"/>
      <c r="I600" s="233"/>
      <c r="J600" s="233"/>
      <c r="K600" s="233"/>
      <c r="L600" s="233"/>
      <c r="M600" s="233"/>
    </row>
    <row r="601" ht="15.75" hidden="1" customHeight="1">
      <c r="A601" s="230" t="s">
        <v>408</v>
      </c>
      <c r="B601" s="222"/>
      <c r="C601" s="224"/>
      <c r="D601" s="227"/>
      <c r="E601" s="224"/>
      <c r="F601" s="228"/>
      <c r="G601" s="233"/>
      <c r="H601" s="233"/>
      <c r="I601" s="233"/>
      <c r="J601" s="233"/>
      <c r="K601" s="233"/>
      <c r="L601" s="233"/>
      <c r="M601" s="233"/>
    </row>
    <row r="602" ht="15.75" hidden="1" customHeight="1">
      <c r="A602" s="230" t="s">
        <v>409</v>
      </c>
      <c r="B602" s="222"/>
      <c r="C602" s="224"/>
      <c r="D602" s="227"/>
      <c r="E602" s="224"/>
      <c r="F602" s="228"/>
      <c r="G602" s="233"/>
      <c r="H602" s="233"/>
      <c r="I602" s="233"/>
      <c r="J602" s="233"/>
      <c r="K602" s="233"/>
      <c r="L602" s="233"/>
      <c r="M602" s="233"/>
    </row>
    <row r="603" ht="15.75" hidden="1" customHeight="1">
      <c r="A603" s="230" t="s">
        <v>403</v>
      </c>
      <c r="B603" s="222"/>
      <c r="C603" s="224"/>
      <c r="D603" s="227"/>
      <c r="E603" s="224"/>
      <c r="F603" s="228"/>
      <c r="G603" s="233"/>
      <c r="H603" s="233"/>
      <c r="I603" s="233"/>
      <c r="J603" s="233"/>
      <c r="K603" s="233"/>
      <c r="L603" s="233"/>
      <c r="M603" s="233"/>
    </row>
    <row r="604" ht="15.75" hidden="1" customHeight="1">
      <c r="A604" s="230" t="s">
        <v>410</v>
      </c>
      <c r="B604" s="222"/>
      <c r="C604" s="224"/>
      <c r="D604" s="227"/>
      <c r="E604" s="224"/>
      <c r="F604" s="228"/>
      <c r="G604" s="233"/>
      <c r="H604" s="233"/>
      <c r="I604" s="233"/>
      <c r="J604" s="233"/>
      <c r="K604" s="233"/>
      <c r="L604" s="233"/>
      <c r="M604" s="233"/>
    </row>
    <row r="605" ht="15.75" hidden="1" customHeight="1">
      <c r="A605" s="230" t="s">
        <v>411</v>
      </c>
      <c r="B605" s="222"/>
      <c r="C605" s="224"/>
      <c r="D605" s="227"/>
      <c r="E605" s="224"/>
      <c r="F605" s="228"/>
      <c r="G605" s="233"/>
      <c r="H605" s="233"/>
      <c r="I605" s="233"/>
      <c r="J605" s="233"/>
      <c r="K605" s="233"/>
      <c r="L605" s="233"/>
      <c r="M605" s="233"/>
    </row>
    <row r="606" ht="15.75" hidden="1" customHeight="1">
      <c r="A606" s="230" t="s">
        <v>406</v>
      </c>
      <c r="B606" s="222"/>
      <c r="C606" s="224"/>
      <c r="D606" s="227"/>
      <c r="E606" s="224"/>
      <c r="F606" s="228"/>
      <c r="G606" s="233"/>
      <c r="H606" s="233"/>
      <c r="I606" s="233"/>
      <c r="J606" s="233"/>
      <c r="K606" s="233"/>
      <c r="L606" s="233"/>
      <c r="M606" s="233"/>
    </row>
    <row r="607" ht="15.75" hidden="1" customHeight="1">
      <c r="A607" s="230" t="s">
        <v>412</v>
      </c>
      <c r="B607" s="222"/>
      <c r="C607" s="224"/>
      <c r="D607" s="227"/>
      <c r="E607" s="224"/>
      <c r="F607" s="228"/>
      <c r="G607" s="233"/>
      <c r="H607" s="233"/>
      <c r="I607" s="233"/>
      <c r="J607" s="233"/>
      <c r="K607" s="233"/>
      <c r="L607" s="233"/>
      <c r="M607" s="233"/>
    </row>
    <row r="608" ht="15.75" hidden="1" customHeight="1">
      <c r="A608" s="230" t="s">
        <v>413</v>
      </c>
      <c r="B608" s="222"/>
      <c r="C608" s="224"/>
      <c r="D608" s="227"/>
      <c r="E608" s="224"/>
      <c r="F608" s="228"/>
      <c r="G608" s="233"/>
      <c r="H608" s="233"/>
      <c r="I608" s="233"/>
      <c r="J608" s="233"/>
      <c r="K608" s="233"/>
      <c r="L608" s="233"/>
      <c r="M608" s="233"/>
    </row>
    <row r="609" ht="15.75" hidden="1" customHeight="1">
      <c r="A609" s="226" t="s">
        <v>414</v>
      </c>
      <c r="B609" s="222"/>
      <c r="C609" s="224"/>
      <c r="D609" s="227"/>
      <c r="E609" s="224"/>
      <c r="F609" s="228"/>
      <c r="G609" s="233"/>
      <c r="H609" s="233"/>
      <c r="I609" s="233"/>
      <c r="J609" s="233"/>
      <c r="K609" s="233"/>
      <c r="L609" s="233"/>
      <c r="M609" s="233"/>
    </row>
    <row r="610" ht="15.75" hidden="1" customHeight="1">
      <c r="A610" s="230" t="s">
        <v>402</v>
      </c>
      <c r="B610" s="222"/>
      <c r="C610" s="224"/>
      <c r="D610" s="227"/>
      <c r="E610" s="224"/>
      <c r="F610" s="228"/>
      <c r="G610" s="233"/>
      <c r="H610" s="233"/>
      <c r="I610" s="233"/>
      <c r="J610" s="233"/>
      <c r="K610" s="233"/>
      <c r="L610" s="233"/>
      <c r="M610" s="233"/>
    </row>
    <row r="611" ht="15.75" hidden="1" customHeight="1">
      <c r="A611" s="230" t="s">
        <v>403</v>
      </c>
      <c r="B611" s="222"/>
      <c r="C611" s="224"/>
      <c r="D611" s="227"/>
      <c r="E611" s="224"/>
      <c r="F611" s="228"/>
      <c r="G611" s="233"/>
      <c r="H611" s="233"/>
      <c r="I611" s="233"/>
      <c r="J611" s="233"/>
      <c r="K611" s="233"/>
      <c r="L611" s="233"/>
      <c r="M611" s="233"/>
    </row>
    <row r="612" ht="15.75" hidden="1" customHeight="1">
      <c r="A612" s="230" t="s">
        <v>404</v>
      </c>
      <c r="B612" s="222"/>
      <c r="C612" s="224"/>
      <c r="D612" s="227"/>
      <c r="E612" s="224"/>
      <c r="F612" s="228"/>
      <c r="G612" s="233"/>
      <c r="H612" s="233"/>
      <c r="I612" s="233"/>
      <c r="J612" s="233"/>
      <c r="K612" s="233"/>
      <c r="L612" s="233"/>
      <c r="M612" s="233"/>
    </row>
    <row r="613" ht="15.75" hidden="1" customHeight="1">
      <c r="A613" s="230" t="s">
        <v>405</v>
      </c>
      <c r="B613" s="222"/>
      <c r="C613" s="224"/>
      <c r="D613" s="227"/>
      <c r="E613" s="224"/>
      <c r="F613" s="228"/>
      <c r="G613" s="233"/>
      <c r="H613" s="233"/>
      <c r="I613" s="233"/>
      <c r="J613" s="233"/>
      <c r="K613" s="233"/>
      <c r="L613" s="233"/>
      <c r="M613" s="233"/>
    </row>
    <row r="614" ht="15.75" hidden="1" customHeight="1">
      <c r="A614" s="230" t="s">
        <v>406</v>
      </c>
      <c r="B614" s="222"/>
      <c r="C614" s="224"/>
      <c r="D614" s="227"/>
      <c r="E614" s="224"/>
      <c r="F614" s="228"/>
      <c r="G614" s="233"/>
      <c r="H614" s="233"/>
      <c r="I614" s="233"/>
      <c r="J614" s="233"/>
      <c r="K614" s="233"/>
      <c r="L614" s="233"/>
      <c r="M614" s="233"/>
    </row>
    <row r="615" ht="15.75" hidden="1" customHeight="1">
      <c r="A615" s="230" t="s">
        <v>407</v>
      </c>
      <c r="B615" s="222"/>
      <c r="C615" s="224"/>
      <c r="D615" s="227"/>
      <c r="E615" s="224"/>
      <c r="F615" s="228"/>
      <c r="G615" s="233"/>
      <c r="H615" s="233"/>
      <c r="I615" s="233"/>
      <c r="J615" s="233"/>
      <c r="K615" s="233"/>
      <c r="L615" s="233"/>
      <c r="M615" s="233"/>
    </row>
    <row r="616" ht="15.75" hidden="1" customHeight="1">
      <c r="A616" s="230" t="s">
        <v>408</v>
      </c>
      <c r="B616" s="222"/>
      <c r="C616" s="224"/>
      <c r="D616" s="227"/>
      <c r="E616" s="224"/>
      <c r="F616" s="228"/>
      <c r="G616" s="233"/>
      <c r="H616" s="233"/>
      <c r="I616" s="233"/>
      <c r="J616" s="233"/>
      <c r="K616" s="233"/>
      <c r="L616" s="233"/>
      <c r="M616" s="233"/>
    </row>
    <row r="617" ht="15.75" hidden="1" customHeight="1">
      <c r="A617" s="230" t="s">
        <v>409</v>
      </c>
      <c r="B617" s="222"/>
      <c r="C617" s="224"/>
      <c r="D617" s="227"/>
      <c r="E617" s="224"/>
      <c r="F617" s="228"/>
      <c r="G617" s="233"/>
      <c r="H617" s="233"/>
      <c r="I617" s="233"/>
      <c r="J617" s="233"/>
      <c r="K617" s="233"/>
      <c r="L617" s="233"/>
      <c r="M617" s="233"/>
    </row>
    <row r="618" ht="15.75" hidden="1" customHeight="1">
      <c r="A618" s="230" t="s">
        <v>403</v>
      </c>
      <c r="B618" s="222"/>
      <c r="C618" s="224"/>
      <c r="D618" s="227"/>
      <c r="E618" s="224"/>
      <c r="F618" s="228"/>
      <c r="G618" s="233"/>
      <c r="H618" s="233"/>
      <c r="I618" s="233"/>
      <c r="J618" s="233"/>
      <c r="K618" s="233"/>
      <c r="L618" s="233"/>
      <c r="M618" s="233"/>
    </row>
    <row r="619" ht="15.75" hidden="1" customHeight="1">
      <c r="A619" s="230" t="s">
        <v>410</v>
      </c>
      <c r="B619" s="222"/>
      <c r="C619" s="224"/>
      <c r="D619" s="227"/>
      <c r="E619" s="224"/>
      <c r="F619" s="228"/>
      <c r="G619" s="233"/>
      <c r="H619" s="233"/>
      <c r="I619" s="233"/>
      <c r="J619" s="233"/>
      <c r="K619" s="233"/>
      <c r="L619" s="233"/>
      <c r="M619" s="233"/>
    </row>
    <row r="620" ht="15.75" hidden="1" customHeight="1">
      <c r="A620" s="230" t="s">
        <v>411</v>
      </c>
      <c r="B620" s="222"/>
      <c r="C620" s="224"/>
      <c r="D620" s="227"/>
      <c r="E620" s="224"/>
      <c r="F620" s="228"/>
      <c r="G620" s="233"/>
      <c r="H620" s="233"/>
      <c r="I620" s="233"/>
      <c r="J620" s="233"/>
      <c r="K620" s="233"/>
      <c r="L620" s="233"/>
      <c r="M620" s="233"/>
    </row>
    <row r="621" ht="15.75" hidden="1" customHeight="1">
      <c r="A621" s="230" t="s">
        <v>406</v>
      </c>
      <c r="B621" s="222"/>
      <c r="C621" s="224"/>
      <c r="D621" s="227"/>
      <c r="E621" s="224"/>
      <c r="F621" s="228"/>
      <c r="G621" s="233"/>
      <c r="H621" s="233"/>
      <c r="I621" s="233"/>
      <c r="J621" s="233"/>
      <c r="K621" s="233"/>
      <c r="L621" s="233"/>
      <c r="M621" s="233"/>
    </row>
    <row r="622" ht="15.75" hidden="1" customHeight="1">
      <c r="A622" s="230" t="s">
        <v>412</v>
      </c>
      <c r="B622" s="222"/>
      <c r="C622" s="224"/>
      <c r="D622" s="227"/>
      <c r="E622" s="224"/>
      <c r="F622" s="228"/>
      <c r="G622" s="233"/>
      <c r="H622" s="233"/>
      <c r="I622" s="233"/>
      <c r="J622" s="233"/>
      <c r="K622" s="233"/>
      <c r="L622" s="233"/>
      <c r="M622" s="233"/>
    </row>
    <row r="623" ht="15.75" hidden="1" customHeight="1">
      <c r="A623" s="230" t="s">
        <v>413</v>
      </c>
      <c r="B623" s="222"/>
      <c r="C623" s="224"/>
      <c r="D623" s="227"/>
      <c r="E623" s="224"/>
      <c r="F623" s="228"/>
      <c r="G623" s="233"/>
      <c r="H623" s="233"/>
      <c r="I623" s="233"/>
      <c r="J623" s="233"/>
      <c r="K623" s="233"/>
      <c r="L623" s="233"/>
      <c r="M623" s="233"/>
    </row>
    <row r="624" ht="15.75" customHeight="1">
      <c r="A624" s="228"/>
      <c r="B624" s="222"/>
      <c r="C624" s="224"/>
      <c r="D624" s="227"/>
      <c r="E624" s="224"/>
      <c r="F624" s="228"/>
      <c r="G624" s="233"/>
      <c r="H624" s="233"/>
      <c r="I624" s="233"/>
      <c r="J624" s="233"/>
      <c r="K624" s="233"/>
      <c r="L624" s="233"/>
      <c r="M624" s="233"/>
    </row>
    <row r="625">
      <c r="A625" s="221" t="s">
        <v>415</v>
      </c>
      <c r="B625" s="222" t="s">
        <v>33</v>
      </c>
      <c r="C625" s="224"/>
      <c r="D625" s="218">
        <f>D626+D767</f>
        <v>79500</v>
      </c>
      <c r="E625" s="224"/>
      <c r="F625" s="219">
        <f>F626+F767</f>
        <v>63350</v>
      </c>
      <c r="G625" s="252"/>
      <c r="H625" s="252">
        <f>H626+H767</f>
        <v>32100</v>
      </c>
      <c r="I625" s="252"/>
      <c r="J625" s="252"/>
      <c r="K625" s="252"/>
      <c r="L625" s="252">
        <f>L626+L767</f>
        <v>32100</v>
      </c>
      <c r="M625" s="252"/>
    </row>
    <row r="626">
      <c r="A626" s="221" t="s">
        <v>416</v>
      </c>
      <c r="B626" s="222" t="s">
        <v>33</v>
      </c>
      <c r="C626" s="224"/>
      <c r="D626" s="218">
        <f>D634+D636+D649+D655+D686+D700+D730+D749+D656+D734+D751+D658</f>
        <v>44500</v>
      </c>
      <c r="E626" s="224"/>
      <c r="F626" s="253">
        <f>SUM(F636:F734)</f>
        <v>60550</v>
      </c>
      <c r="G626" s="252"/>
      <c r="H626" s="252">
        <f>sum(H632:H751)</f>
        <v>32100</v>
      </c>
      <c r="I626" s="252"/>
      <c r="J626" s="252"/>
      <c r="K626" s="252"/>
      <c r="L626" s="252">
        <f>sum(L632:L751)</f>
        <v>32100</v>
      </c>
      <c r="M626" s="252"/>
    </row>
    <row r="627" ht="15.75" hidden="1" customHeight="1">
      <c r="A627" s="254" t="s">
        <v>165</v>
      </c>
      <c r="B627" s="222" t="s">
        <v>33</v>
      </c>
      <c r="C627" s="224"/>
      <c r="D627" s="227"/>
      <c r="E627" s="224"/>
      <c r="F627" s="228"/>
      <c r="G627" s="233"/>
      <c r="H627" s="233"/>
      <c r="I627" s="233"/>
      <c r="J627" s="233"/>
      <c r="K627" s="233"/>
      <c r="L627" s="233"/>
      <c r="M627" s="233"/>
    </row>
    <row r="628" ht="15.75" hidden="1" customHeight="1">
      <c r="A628" s="255" t="s">
        <v>417</v>
      </c>
      <c r="B628" s="222" t="s">
        <v>33</v>
      </c>
      <c r="C628" s="224"/>
      <c r="D628" s="227"/>
      <c r="E628" s="224"/>
      <c r="F628" s="228"/>
      <c r="G628" s="233"/>
      <c r="H628" s="233"/>
      <c r="I628" s="233"/>
      <c r="J628" s="233"/>
      <c r="K628" s="233"/>
      <c r="L628" s="233"/>
      <c r="M628" s="233"/>
    </row>
    <row r="629" ht="15.75" hidden="1" customHeight="1">
      <c r="A629" s="254" t="s">
        <v>168</v>
      </c>
      <c r="B629" s="222" t="s">
        <v>33</v>
      </c>
      <c r="C629" s="224"/>
      <c r="D629" s="227"/>
      <c r="E629" s="224"/>
      <c r="F629" s="228"/>
      <c r="G629" s="233"/>
      <c r="H629" s="233"/>
      <c r="I629" s="233"/>
      <c r="J629" s="233"/>
      <c r="K629" s="233"/>
      <c r="L629" s="233"/>
      <c r="M629" s="233"/>
    </row>
    <row r="630" ht="15.75" hidden="1" customHeight="1">
      <c r="A630" s="255" t="s">
        <v>418</v>
      </c>
      <c r="B630" s="222" t="s">
        <v>33</v>
      </c>
      <c r="C630" s="224"/>
      <c r="D630" s="227"/>
      <c r="E630" s="224"/>
      <c r="F630" s="228"/>
      <c r="G630" s="233"/>
      <c r="H630" s="233"/>
      <c r="I630" s="233"/>
      <c r="J630" s="233"/>
      <c r="K630" s="233"/>
      <c r="L630" s="233"/>
      <c r="M630" s="233"/>
    </row>
    <row r="631">
      <c r="A631" s="221" t="s">
        <v>170</v>
      </c>
      <c r="B631" s="222" t="s">
        <v>33</v>
      </c>
      <c r="C631" s="224"/>
      <c r="D631" s="227"/>
      <c r="E631" s="224"/>
      <c r="F631" s="228"/>
      <c r="G631" s="233"/>
      <c r="H631" s="233"/>
      <c r="I631" s="233"/>
      <c r="J631" s="233"/>
      <c r="K631" s="233"/>
      <c r="L631" s="233"/>
      <c r="M631" s="233"/>
    </row>
    <row r="632">
      <c r="A632" s="221" t="s">
        <v>419</v>
      </c>
      <c r="B632" s="222" t="s">
        <v>33</v>
      </c>
      <c r="C632" s="224"/>
      <c r="D632" s="227"/>
      <c r="E632" s="224"/>
      <c r="F632" s="228"/>
      <c r="G632" s="233"/>
      <c r="H632" s="233"/>
      <c r="I632" s="233"/>
      <c r="J632" s="233"/>
      <c r="K632" s="233"/>
      <c r="L632" s="233"/>
      <c r="M632" s="233"/>
    </row>
    <row r="633">
      <c r="A633" s="225" t="s">
        <v>420</v>
      </c>
      <c r="B633" s="222" t="s">
        <v>33</v>
      </c>
      <c r="C633" s="224"/>
      <c r="D633" s="227"/>
      <c r="E633" s="224"/>
      <c r="F633" s="228"/>
      <c r="G633" s="233"/>
      <c r="H633" s="233"/>
      <c r="I633" s="233"/>
      <c r="J633" s="233"/>
      <c r="K633" s="233"/>
      <c r="L633" s="233"/>
      <c r="M633" s="233"/>
    </row>
    <row r="634">
      <c r="A634" s="231" t="s">
        <v>421</v>
      </c>
      <c r="B634" s="222" t="s">
        <v>33</v>
      </c>
      <c r="C634" s="224"/>
      <c r="D634" s="227"/>
      <c r="E634" s="224"/>
      <c r="F634" s="228"/>
      <c r="G634" s="233"/>
      <c r="H634" s="233"/>
      <c r="I634" s="233"/>
      <c r="J634" s="233"/>
      <c r="K634" s="233"/>
      <c r="L634" s="233"/>
      <c r="M634" s="233"/>
    </row>
    <row r="635" ht="15.75" customHeight="1">
      <c r="A635" s="231" t="s">
        <v>318</v>
      </c>
      <c r="B635" s="222" t="s">
        <v>33</v>
      </c>
      <c r="C635" s="224"/>
      <c r="D635" s="227"/>
      <c r="E635" s="224"/>
      <c r="F635" s="228"/>
      <c r="G635" s="233"/>
      <c r="H635" s="233"/>
      <c r="I635" s="233"/>
      <c r="J635" s="233"/>
      <c r="K635" s="233"/>
      <c r="L635" s="233"/>
      <c r="M635" s="233"/>
    </row>
    <row r="636" ht="21.75" customHeight="1">
      <c r="A636" s="231" t="s">
        <v>422</v>
      </c>
      <c r="B636" s="222" t="s">
        <v>33</v>
      </c>
      <c r="C636" s="224"/>
      <c r="D636" s="227"/>
      <c r="E636" s="236">
        <v>10.0</v>
      </c>
      <c r="F636" s="238">
        <v>1500.0</v>
      </c>
      <c r="G636" s="233"/>
      <c r="H636" s="233"/>
      <c r="I636" s="233"/>
      <c r="J636" s="233"/>
      <c r="K636" s="233"/>
      <c r="L636" s="233"/>
      <c r="M636" s="233"/>
    </row>
    <row r="637" ht="15.75" hidden="1" customHeight="1">
      <c r="A637" s="231" t="s">
        <v>423</v>
      </c>
      <c r="B637" s="222" t="s">
        <v>33</v>
      </c>
      <c r="C637" s="224"/>
      <c r="D637" s="227"/>
      <c r="E637" s="224"/>
      <c r="F637" s="228"/>
      <c r="G637" s="233"/>
      <c r="H637" s="233"/>
      <c r="I637" s="233"/>
      <c r="J637" s="233"/>
      <c r="K637" s="233"/>
      <c r="L637" s="233"/>
      <c r="M637" s="233"/>
    </row>
    <row r="638" ht="15.75" hidden="1" customHeight="1">
      <c r="A638" s="231" t="s">
        <v>321</v>
      </c>
      <c r="B638" s="222" t="s">
        <v>33</v>
      </c>
      <c r="C638" s="224"/>
      <c r="D638" s="227"/>
      <c r="E638" s="224"/>
      <c r="F638" s="228"/>
      <c r="G638" s="233"/>
      <c r="H638" s="233"/>
      <c r="I638" s="233"/>
      <c r="J638" s="233"/>
      <c r="K638" s="233"/>
      <c r="L638" s="233"/>
      <c r="M638" s="233"/>
    </row>
    <row r="639" ht="15.75" hidden="1" customHeight="1">
      <c r="A639" s="231" t="s">
        <v>424</v>
      </c>
      <c r="B639" s="222" t="s">
        <v>33</v>
      </c>
      <c r="C639" s="224"/>
      <c r="D639" s="227"/>
      <c r="E639" s="224"/>
      <c r="F639" s="228"/>
      <c r="G639" s="233"/>
      <c r="H639" s="233"/>
      <c r="I639" s="233"/>
      <c r="J639" s="233"/>
      <c r="K639" s="233"/>
      <c r="L639" s="233"/>
      <c r="M639" s="233"/>
    </row>
    <row r="640" ht="15.75" hidden="1" customHeight="1">
      <c r="A640" s="231" t="s">
        <v>323</v>
      </c>
      <c r="B640" s="222" t="s">
        <v>33</v>
      </c>
      <c r="C640" s="224"/>
      <c r="D640" s="227"/>
      <c r="E640" s="224"/>
      <c r="F640" s="228"/>
      <c r="G640" s="233"/>
      <c r="H640" s="233"/>
      <c r="I640" s="233"/>
      <c r="J640" s="233"/>
      <c r="K640" s="233"/>
      <c r="L640" s="233"/>
      <c r="M640" s="233"/>
    </row>
    <row r="641" ht="15.75" hidden="1" customHeight="1">
      <c r="A641" s="231" t="s">
        <v>325</v>
      </c>
      <c r="B641" s="222" t="s">
        <v>33</v>
      </c>
      <c r="C641" s="224"/>
      <c r="D641" s="227"/>
      <c r="E641" s="224"/>
      <c r="F641" s="228"/>
      <c r="G641" s="233"/>
      <c r="H641" s="233"/>
      <c r="I641" s="233"/>
      <c r="J641" s="233"/>
      <c r="K641" s="233"/>
      <c r="L641" s="233"/>
      <c r="M641" s="233"/>
    </row>
    <row r="642" ht="15.75" hidden="1" customHeight="1">
      <c r="A642" s="231" t="s">
        <v>425</v>
      </c>
      <c r="B642" s="222" t="s">
        <v>33</v>
      </c>
      <c r="C642" s="224"/>
      <c r="D642" s="227"/>
      <c r="E642" s="224"/>
      <c r="F642" s="228"/>
      <c r="G642" s="233"/>
      <c r="H642" s="233"/>
      <c r="I642" s="233"/>
      <c r="J642" s="233"/>
      <c r="K642" s="233"/>
      <c r="L642" s="233"/>
      <c r="M642" s="233"/>
    </row>
    <row r="643" ht="15.75" hidden="1" customHeight="1">
      <c r="A643" s="231" t="s">
        <v>426</v>
      </c>
      <c r="B643" s="222" t="s">
        <v>33</v>
      </c>
      <c r="C643" s="224"/>
      <c r="D643" s="227"/>
      <c r="E643" s="224"/>
      <c r="F643" s="228"/>
      <c r="G643" s="233"/>
      <c r="H643" s="233"/>
      <c r="I643" s="233"/>
      <c r="J643" s="233"/>
      <c r="K643" s="233"/>
      <c r="L643" s="233"/>
      <c r="M643" s="233"/>
    </row>
    <row r="644" ht="15.75" hidden="1" customHeight="1">
      <c r="A644" s="231" t="s">
        <v>327</v>
      </c>
      <c r="B644" s="222" t="s">
        <v>33</v>
      </c>
      <c r="C644" s="224"/>
      <c r="D644" s="227"/>
      <c r="E644" s="224"/>
      <c r="F644" s="228"/>
      <c r="G644" s="233"/>
      <c r="H644" s="233"/>
      <c r="I644" s="233"/>
      <c r="J644" s="233"/>
      <c r="K644" s="233"/>
      <c r="L644" s="233"/>
      <c r="M644" s="233"/>
    </row>
    <row r="645" ht="15.75" hidden="1" customHeight="1">
      <c r="A645" s="231" t="s">
        <v>328</v>
      </c>
      <c r="B645" s="222" t="s">
        <v>33</v>
      </c>
      <c r="C645" s="224"/>
      <c r="D645" s="227"/>
      <c r="E645" s="224"/>
      <c r="F645" s="228"/>
      <c r="G645" s="233"/>
      <c r="H645" s="233"/>
      <c r="I645" s="233"/>
      <c r="J645" s="233"/>
      <c r="K645" s="233"/>
      <c r="L645" s="233"/>
      <c r="M645" s="233"/>
    </row>
    <row r="646" ht="15.75" hidden="1" customHeight="1">
      <c r="A646" s="231" t="s">
        <v>427</v>
      </c>
      <c r="B646" s="222" t="s">
        <v>33</v>
      </c>
      <c r="C646" s="224"/>
      <c r="D646" s="227"/>
      <c r="E646" s="224"/>
      <c r="F646" s="228"/>
      <c r="G646" s="233"/>
      <c r="H646" s="233"/>
      <c r="I646" s="233"/>
      <c r="J646" s="233"/>
      <c r="K646" s="233"/>
      <c r="L646" s="233"/>
      <c r="M646" s="233"/>
    </row>
    <row r="647" ht="15.75" hidden="1" customHeight="1">
      <c r="A647" s="231" t="s">
        <v>428</v>
      </c>
      <c r="B647" s="222" t="s">
        <v>33</v>
      </c>
      <c r="C647" s="224"/>
      <c r="D647" s="227"/>
      <c r="E647" s="224"/>
      <c r="F647" s="228"/>
      <c r="G647" s="233"/>
      <c r="H647" s="233"/>
      <c r="I647" s="233"/>
      <c r="J647" s="233"/>
      <c r="K647" s="233"/>
      <c r="L647" s="233"/>
      <c r="M647" s="233"/>
    </row>
    <row r="648" ht="15.75" hidden="1" customHeight="1">
      <c r="A648" s="231" t="s">
        <v>429</v>
      </c>
      <c r="B648" s="222" t="s">
        <v>33</v>
      </c>
      <c r="C648" s="224"/>
      <c r="D648" s="227"/>
      <c r="E648" s="224"/>
      <c r="F648" s="228"/>
      <c r="G648" s="233"/>
      <c r="H648" s="233"/>
      <c r="I648" s="233"/>
      <c r="J648" s="233"/>
      <c r="K648" s="233"/>
      <c r="L648" s="233"/>
      <c r="M648" s="233"/>
    </row>
    <row r="649" ht="15.75" customHeight="1">
      <c r="A649" s="231" t="s">
        <v>430</v>
      </c>
      <c r="B649" s="222" t="s">
        <v>33</v>
      </c>
      <c r="C649" s="224"/>
      <c r="D649" s="227"/>
      <c r="E649" s="236">
        <v>10.0</v>
      </c>
      <c r="F649" s="238">
        <v>1500.0</v>
      </c>
      <c r="G649" s="233"/>
      <c r="H649" s="233"/>
      <c r="I649" s="233"/>
      <c r="J649" s="233"/>
      <c r="K649" s="233"/>
      <c r="L649" s="233"/>
      <c r="M649" s="233"/>
    </row>
    <row r="650" ht="15.75" hidden="1" customHeight="1">
      <c r="A650" s="251"/>
      <c r="B650" s="222" t="s">
        <v>33</v>
      </c>
      <c r="C650" s="224"/>
      <c r="D650" s="227"/>
      <c r="E650" s="224"/>
      <c r="F650" s="228"/>
      <c r="G650" s="233"/>
      <c r="H650" s="233"/>
      <c r="I650" s="233"/>
      <c r="J650" s="233"/>
      <c r="K650" s="233"/>
      <c r="L650" s="233"/>
      <c r="M650" s="233"/>
    </row>
    <row r="651" ht="15.75" hidden="1" customHeight="1">
      <c r="A651" s="251"/>
      <c r="B651" s="222" t="s">
        <v>33</v>
      </c>
      <c r="C651" s="224"/>
      <c r="D651" s="227"/>
      <c r="E651" s="224"/>
      <c r="F651" s="228"/>
      <c r="G651" s="233"/>
      <c r="H651" s="233"/>
      <c r="I651" s="233"/>
      <c r="J651" s="233"/>
      <c r="K651" s="233"/>
      <c r="L651" s="233"/>
      <c r="M651" s="233"/>
    </row>
    <row r="652" ht="15.75" hidden="1" customHeight="1">
      <c r="A652" s="251"/>
      <c r="B652" s="222" t="s">
        <v>33</v>
      </c>
      <c r="C652" s="224"/>
      <c r="D652" s="227"/>
      <c r="E652" s="224"/>
      <c r="F652" s="228"/>
      <c r="G652" s="233"/>
      <c r="H652" s="233"/>
      <c r="I652" s="233"/>
      <c r="J652" s="233"/>
      <c r="K652" s="233"/>
      <c r="L652" s="233"/>
      <c r="M652" s="233"/>
    </row>
    <row r="653">
      <c r="A653" s="225" t="s">
        <v>431</v>
      </c>
      <c r="B653" s="222" t="s">
        <v>33</v>
      </c>
      <c r="C653" s="224"/>
      <c r="D653" s="227"/>
      <c r="E653" s="224"/>
      <c r="F653" s="228"/>
      <c r="G653" s="233"/>
      <c r="H653" s="233"/>
      <c r="I653" s="233"/>
      <c r="J653" s="233"/>
      <c r="K653" s="233"/>
      <c r="L653" s="233"/>
      <c r="M653" s="233"/>
    </row>
    <row r="654">
      <c r="A654" s="225" t="s">
        <v>420</v>
      </c>
      <c r="B654" s="222" t="s">
        <v>33</v>
      </c>
      <c r="C654" s="224"/>
      <c r="D654" s="227"/>
      <c r="E654" s="224"/>
      <c r="F654" s="228"/>
      <c r="G654" s="233"/>
      <c r="H654" s="233"/>
      <c r="I654" s="233"/>
      <c r="J654" s="233"/>
      <c r="K654" s="233"/>
      <c r="L654" s="233"/>
      <c r="M654" s="233"/>
    </row>
    <row r="655">
      <c r="A655" s="231" t="s">
        <v>284</v>
      </c>
      <c r="B655" s="222" t="s">
        <v>33</v>
      </c>
      <c r="C655" s="224"/>
      <c r="D655" s="227"/>
      <c r="E655" s="236">
        <v>203.0</v>
      </c>
      <c r="F655" s="238">
        <v>20500.0</v>
      </c>
      <c r="G655" s="233"/>
      <c r="H655" s="233"/>
      <c r="I655" s="233"/>
      <c r="J655" s="233"/>
      <c r="K655" s="233"/>
      <c r="L655" s="233"/>
      <c r="M655" s="233"/>
    </row>
    <row r="656">
      <c r="A656" s="231" t="s">
        <v>432</v>
      </c>
      <c r="B656" s="222" t="s">
        <v>33</v>
      </c>
      <c r="C656" s="236">
        <v>3.0</v>
      </c>
      <c r="D656" s="235">
        <v>10500.0</v>
      </c>
      <c r="E656" s="236">
        <v>6.0</v>
      </c>
      <c r="F656" s="238">
        <v>14600.0</v>
      </c>
      <c r="G656" s="237"/>
      <c r="H656" s="233"/>
      <c r="I656" s="233"/>
      <c r="J656" s="233"/>
      <c r="K656" s="237"/>
      <c r="L656" s="233"/>
      <c r="M656" s="233"/>
    </row>
    <row r="657">
      <c r="A657" s="231" t="s">
        <v>286</v>
      </c>
      <c r="B657" s="222" t="s">
        <v>33</v>
      </c>
      <c r="C657" s="224"/>
      <c r="D657" s="227"/>
      <c r="E657" s="224"/>
      <c r="F657" s="228"/>
      <c r="G657" s="237">
        <v>1.0</v>
      </c>
      <c r="H657" s="237">
        <v>4000.0</v>
      </c>
      <c r="I657" s="233"/>
      <c r="J657" s="233"/>
      <c r="K657" s="237">
        <v>1.0</v>
      </c>
      <c r="L657" s="237">
        <v>4000.0</v>
      </c>
      <c r="M657" s="233"/>
    </row>
    <row r="658">
      <c r="A658" s="231" t="s">
        <v>287</v>
      </c>
      <c r="B658" s="222" t="s">
        <v>33</v>
      </c>
      <c r="C658" s="236">
        <v>10.0</v>
      </c>
      <c r="D658" s="235">
        <v>20000.0</v>
      </c>
      <c r="E658" s="224"/>
      <c r="F658" s="228"/>
      <c r="G658" s="237">
        <v>1.0</v>
      </c>
      <c r="H658" s="237">
        <v>2000.0</v>
      </c>
      <c r="I658" s="233"/>
      <c r="J658" s="233"/>
      <c r="K658" s="237">
        <v>1.0</v>
      </c>
      <c r="L658" s="237">
        <v>2000.0</v>
      </c>
      <c r="M658" s="233"/>
    </row>
    <row r="659" ht="15.75" hidden="1" customHeight="1">
      <c r="A659" s="231" t="s">
        <v>288</v>
      </c>
      <c r="B659" s="222" t="s">
        <v>33</v>
      </c>
      <c r="C659" s="224"/>
      <c r="D659" s="227"/>
      <c r="E659" s="224"/>
      <c r="F659" s="228"/>
      <c r="G659" s="233"/>
      <c r="H659" s="233"/>
      <c r="I659" s="233"/>
      <c r="J659" s="233"/>
      <c r="K659" s="233"/>
      <c r="L659" s="233"/>
      <c r="M659" s="233"/>
    </row>
    <row r="660" ht="15.75" hidden="1" customHeight="1">
      <c r="A660" s="231" t="s">
        <v>289</v>
      </c>
      <c r="B660" s="222" t="s">
        <v>33</v>
      </c>
      <c r="C660" s="224"/>
      <c r="D660" s="227"/>
      <c r="E660" s="224"/>
      <c r="F660" s="228"/>
      <c r="G660" s="233"/>
      <c r="H660" s="233"/>
      <c r="I660" s="233"/>
      <c r="J660" s="233"/>
      <c r="K660" s="233"/>
      <c r="L660" s="233"/>
      <c r="M660" s="233"/>
    </row>
    <row r="661" ht="15.75" hidden="1" customHeight="1">
      <c r="A661" s="231" t="s">
        <v>314</v>
      </c>
      <c r="B661" s="222" t="s">
        <v>33</v>
      </c>
      <c r="C661" s="224"/>
      <c r="D661" s="227"/>
      <c r="E661" s="224"/>
      <c r="F661" s="228"/>
      <c r="G661" s="233"/>
      <c r="H661" s="233"/>
      <c r="I661" s="233"/>
      <c r="J661" s="233"/>
      <c r="K661" s="233"/>
      <c r="L661" s="233"/>
      <c r="M661" s="233"/>
    </row>
    <row r="662" ht="15.75" hidden="1" customHeight="1">
      <c r="A662" s="231" t="s">
        <v>433</v>
      </c>
      <c r="B662" s="222" t="s">
        <v>33</v>
      </c>
      <c r="C662" s="224"/>
      <c r="D662" s="227"/>
      <c r="E662" s="224"/>
      <c r="F662" s="228"/>
      <c r="G662" s="233"/>
      <c r="H662" s="233"/>
      <c r="I662" s="233"/>
      <c r="J662" s="233"/>
      <c r="K662" s="233"/>
      <c r="L662" s="233"/>
      <c r="M662" s="233"/>
    </row>
    <row r="663" ht="15.75" hidden="1" customHeight="1">
      <c r="A663" s="231" t="s">
        <v>434</v>
      </c>
      <c r="B663" s="222" t="s">
        <v>33</v>
      </c>
      <c r="C663" s="224"/>
      <c r="D663" s="227"/>
      <c r="E663" s="224"/>
      <c r="F663" s="228"/>
      <c r="G663" s="233"/>
      <c r="H663" s="233"/>
      <c r="I663" s="233"/>
      <c r="J663" s="233"/>
      <c r="K663" s="233"/>
      <c r="L663" s="233"/>
      <c r="M663" s="233"/>
    </row>
    <row r="664" ht="15.75" hidden="1" customHeight="1">
      <c r="A664" s="231" t="s">
        <v>435</v>
      </c>
      <c r="B664" s="222" t="s">
        <v>33</v>
      </c>
      <c r="C664" s="224"/>
      <c r="D664" s="227"/>
      <c r="E664" s="224"/>
      <c r="F664" s="228"/>
      <c r="G664" s="233"/>
      <c r="H664" s="233"/>
      <c r="I664" s="233"/>
      <c r="J664" s="233"/>
      <c r="K664" s="233"/>
      <c r="L664" s="233"/>
      <c r="M664" s="233"/>
    </row>
    <row r="665" ht="15.75" hidden="1" customHeight="1">
      <c r="A665" s="231" t="s">
        <v>436</v>
      </c>
      <c r="B665" s="222" t="s">
        <v>33</v>
      </c>
      <c r="C665" s="224"/>
      <c r="D665" s="227"/>
      <c r="E665" s="224"/>
      <c r="F665" s="228"/>
      <c r="G665" s="233"/>
      <c r="H665" s="233"/>
      <c r="I665" s="233"/>
      <c r="J665" s="233"/>
      <c r="K665" s="233"/>
      <c r="L665" s="233"/>
      <c r="M665" s="233"/>
    </row>
    <row r="666" ht="15.75" hidden="1" customHeight="1">
      <c r="A666" s="231" t="s">
        <v>437</v>
      </c>
      <c r="B666" s="222" t="s">
        <v>33</v>
      </c>
      <c r="C666" s="224"/>
      <c r="D666" s="227"/>
      <c r="E666" s="224"/>
      <c r="F666" s="228"/>
      <c r="G666" s="233"/>
      <c r="H666" s="233"/>
      <c r="I666" s="233"/>
      <c r="J666" s="233"/>
      <c r="K666" s="233"/>
      <c r="L666" s="233"/>
      <c r="M666" s="233"/>
    </row>
    <row r="667" ht="15.75" customHeight="1">
      <c r="A667" s="251"/>
      <c r="B667" s="222"/>
      <c r="C667" s="224"/>
      <c r="D667" s="227"/>
      <c r="E667" s="224"/>
      <c r="F667" s="228"/>
      <c r="G667" s="233"/>
      <c r="H667" s="233"/>
      <c r="I667" s="233"/>
      <c r="J667" s="233"/>
      <c r="K667" s="233"/>
      <c r="L667" s="233"/>
      <c r="M667" s="233"/>
    </row>
    <row r="668">
      <c r="A668" s="221" t="s">
        <v>438</v>
      </c>
      <c r="B668" s="222" t="s">
        <v>33</v>
      </c>
      <c r="C668" s="224"/>
      <c r="D668" s="227"/>
      <c r="E668" s="224"/>
      <c r="F668" s="228"/>
      <c r="G668" s="233"/>
      <c r="H668" s="233"/>
      <c r="I668" s="233"/>
      <c r="J668" s="233"/>
      <c r="K668" s="233"/>
      <c r="L668" s="233"/>
      <c r="M668" s="233"/>
    </row>
    <row r="669">
      <c r="A669" s="225" t="s">
        <v>420</v>
      </c>
      <c r="B669" s="222" t="s">
        <v>33</v>
      </c>
      <c r="C669" s="224"/>
      <c r="D669" s="227"/>
      <c r="E669" s="224"/>
      <c r="F669" s="228"/>
      <c r="G669" s="233"/>
      <c r="H669" s="233"/>
      <c r="I669" s="233"/>
      <c r="J669" s="233"/>
      <c r="K669" s="233"/>
      <c r="L669" s="233"/>
      <c r="M669" s="233"/>
    </row>
    <row r="670" ht="15.75" hidden="1" customHeight="1">
      <c r="A670" s="231" t="s">
        <v>439</v>
      </c>
      <c r="B670" s="222" t="s">
        <v>33</v>
      </c>
      <c r="C670" s="224"/>
      <c r="D670" s="227"/>
      <c r="E670" s="224"/>
      <c r="F670" s="228"/>
      <c r="G670" s="233"/>
      <c r="H670" s="233"/>
      <c r="I670" s="233"/>
      <c r="J670" s="233"/>
      <c r="K670" s="233"/>
      <c r="L670" s="233"/>
      <c r="M670" s="233"/>
    </row>
    <row r="671" ht="15.75" hidden="1" customHeight="1">
      <c r="A671" s="231" t="s">
        <v>440</v>
      </c>
      <c r="B671" s="222" t="s">
        <v>33</v>
      </c>
      <c r="C671" s="224"/>
      <c r="D671" s="227"/>
      <c r="E671" s="224"/>
      <c r="F671" s="228"/>
      <c r="G671" s="233"/>
      <c r="H671" s="233"/>
      <c r="I671" s="233"/>
      <c r="J671" s="233"/>
      <c r="K671" s="233"/>
      <c r="L671" s="233"/>
      <c r="M671" s="233"/>
    </row>
    <row r="672" ht="15.75" hidden="1" customHeight="1">
      <c r="A672" s="231" t="s">
        <v>441</v>
      </c>
      <c r="B672" s="222" t="s">
        <v>33</v>
      </c>
      <c r="C672" s="224"/>
      <c r="D672" s="227"/>
      <c r="E672" s="224"/>
      <c r="F672" s="228"/>
      <c r="G672" s="233"/>
      <c r="H672" s="233"/>
      <c r="I672" s="233"/>
      <c r="J672" s="233"/>
      <c r="K672" s="233"/>
      <c r="L672" s="233"/>
      <c r="M672" s="233"/>
    </row>
    <row r="673" ht="15.75" hidden="1" customHeight="1">
      <c r="A673" s="231" t="s">
        <v>442</v>
      </c>
      <c r="B673" s="222" t="s">
        <v>33</v>
      </c>
      <c r="C673" s="224"/>
      <c r="D673" s="227"/>
      <c r="E673" s="224"/>
      <c r="F673" s="228"/>
      <c r="G673" s="233"/>
      <c r="H673" s="233"/>
      <c r="I673" s="233"/>
      <c r="J673" s="233"/>
      <c r="K673" s="233"/>
      <c r="L673" s="233"/>
      <c r="M673" s="233"/>
    </row>
    <row r="674" ht="15.75" hidden="1" customHeight="1">
      <c r="A674" s="231" t="s">
        <v>443</v>
      </c>
      <c r="B674" s="222" t="s">
        <v>33</v>
      </c>
      <c r="C674" s="224"/>
      <c r="D674" s="227"/>
      <c r="E674" s="224"/>
      <c r="F674" s="228"/>
      <c r="G674" s="233"/>
      <c r="H674" s="233"/>
      <c r="I674" s="233"/>
      <c r="J674" s="233"/>
      <c r="K674" s="233"/>
      <c r="L674" s="233"/>
      <c r="M674" s="233"/>
    </row>
    <row r="675" ht="15.75" hidden="1" customHeight="1">
      <c r="A675" s="231" t="s">
        <v>444</v>
      </c>
      <c r="B675" s="222" t="s">
        <v>33</v>
      </c>
      <c r="C675" s="224"/>
      <c r="D675" s="227"/>
      <c r="E675" s="224"/>
      <c r="F675" s="228"/>
      <c r="G675" s="233"/>
      <c r="H675" s="233"/>
      <c r="I675" s="233"/>
      <c r="J675" s="233"/>
      <c r="K675" s="233"/>
      <c r="L675" s="233"/>
      <c r="M675" s="233"/>
    </row>
    <row r="676" ht="15.75" hidden="1" customHeight="1">
      <c r="A676" s="231" t="s">
        <v>445</v>
      </c>
      <c r="B676" s="222" t="s">
        <v>33</v>
      </c>
      <c r="C676" s="224"/>
      <c r="D676" s="227"/>
      <c r="E676" s="224"/>
      <c r="F676" s="228"/>
      <c r="G676" s="233"/>
      <c r="H676" s="233"/>
      <c r="I676" s="233"/>
      <c r="J676" s="233"/>
      <c r="K676" s="233"/>
      <c r="L676" s="233"/>
      <c r="M676" s="233"/>
    </row>
    <row r="677" ht="15.75" hidden="1" customHeight="1">
      <c r="A677" s="231" t="s">
        <v>446</v>
      </c>
      <c r="B677" s="222" t="s">
        <v>33</v>
      </c>
      <c r="C677" s="224"/>
      <c r="D677" s="227"/>
      <c r="E677" s="224"/>
      <c r="F677" s="228"/>
      <c r="G677" s="233"/>
      <c r="H677" s="233"/>
      <c r="I677" s="233"/>
      <c r="J677" s="233"/>
      <c r="K677" s="233"/>
      <c r="L677" s="233"/>
      <c r="M677" s="233"/>
    </row>
    <row r="678" ht="15.75" hidden="1" customHeight="1">
      <c r="A678" s="231" t="s">
        <v>447</v>
      </c>
      <c r="B678" s="222" t="s">
        <v>33</v>
      </c>
      <c r="C678" s="224"/>
      <c r="D678" s="227"/>
      <c r="E678" s="224"/>
      <c r="F678" s="228"/>
      <c r="G678" s="233"/>
      <c r="H678" s="233"/>
      <c r="I678" s="233"/>
      <c r="J678" s="233"/>
      <c r="K678" s="233"/>
      <c r="L678" s="233"/>
      <c r="M678" s="233"/>
    </row>
    <row r="679" ht="15.75" hidden="1" customHeight="1">
      <c r="A679" s="231" t="s">
        <v>448</v>
      </c>
      <c r="B679" s="222" t="s">
        <v>33</v>
      </c>
      <c r="C679" s="224"/>
      <c r="D679" s="227"/>
      <c r="E679" s="224"/>
      <c r="F679" s="228"/>
      <c r="G679" s="233"/>
      <c r="H679" s="233"/>
      <c r="I679" s="233"/>
      <c r="J679" s="233"/>
      <c r="K679" s="233"/>
      <c r="L679" s="233"/>
      <c r="M679" s="233"/>
    </row>
    <row r="680" ht="15.75" hidden="1" customHeight="1">
      <c r="A680" s="231" t="s">
        <v>449</v>
      </c>
      <c r="B680" s="222" t="s">
        <v>33</v>
      </c>
      <c r="C680" s="224"/>
      <c r="D680" s="227"/>
      <c r="E680" s="224"/>
      <c r="F680" s="228"/>
      <c r="G680" s="233"/>
      <c r="H680" s="233"/>
      <c r="I680" s="233"/>
      <c r="J680" s="233"/>
      <c r="K680" s="233"/>
      <c r="L680" s="233"/>
      <c r="M680" s="233"/>
    </row>
    <row r="681" ht="15.75" hidden="1" customHeight="1">
      <c r="A681" s="231" t="s">
        <v>450</v>
      </c>
      <c r="B681" s="222" t="s">
        <v>33</v>
      </c>
      <c r="C681" s="224"/>
      <c r="D681" s="227"/>
      <c r="E681" s="224"/>
      <c r="F681" s="228"/>
      <c r="G681" s="233"/>
      <c r="H681" s="233"/>
      <c r="I681" s="233"/>
      <c r="J681" s="233"/>
      <c r="K681" s="233"/>
      <c r="L681" s="233"/>
      <c r="M681" s="233"/>
    </row>
    <row r="682" ht="15.75" hidden="1" customHeight="1">
      <c r="A682" s="231" t="s">
        <v>451</v>
      </c>
      <c r="B682" s="222" t="s">
        <v>33</v>
      </c>
      <c r="C682" s="224"/>
      <c r="D682" s="227"/>
      <c r="E682" s="224"/>
      <c r="F682" s="228"/>
      <c r="G682" s="233"/>
      <c r="H682" s="233"/>
      <c r="I682" s="233"/>
      <c r="J682" s="233"/>
      <c r="K682" s="233"/>
      <c r="L682" s="233"/>
      <c r="M682" s="233"/>
    </row>
    <row r="683" ht="15.75" hidden="1" customHeight="1">
      <c r="A683" s="231" t="s">
        <v>452</v>
      </c>
      <c r="B683" s="222" t="s">
        <v>33</v>
      </c>
      <c r="C683" s="224"/>
      <c r="D683" s="227"/>
      <c r="E683" s="224"/>
      <c r="F683" s="228"/>
      <c r="G683" s="233"/>
      <c r="H683" s="233"/>
      <c r="I683" s="233"/>
      <c r="J683" s="233"/>
      <c r="K683" s="233"/>
      <c r="L683" s="233"/>
      <c r="M683" s="233"/>
    </row>
    <row r="684" ht="15.75" hidden="1" customHeight="1">
      <c r="A684" s="231" t="s">
        <v>453</v>
      </c>
      <c r="B684" s="222" t="s">
        <v>33</v>
      </c>
      <c r="C684" s="224"/>
      <c r="D684" s="227"/>
      <c r="E684" s="224"/>
      <c r="F684" s="228"/>
      <c r="G684" s="233"/>
      <c r="H684" s="233"/>
      <c r="I684" s="233"/>
      <c r="J684" s="233"/>
      <c r="K684" s="233"/>
      <c r="L684" s="233"/>
      <c r="M684" s="233"/>
    </row>
    <row r="685" ht="15.75" hidden="1" customHeight="1">
      <c r="A685" s="231" t="s">
        <v>454</v>
      </c>
      <c r="B685" s="222" t="s">
        <v>33</v>
      </c>
      <c r="C685" s="224"/>
      <c r="D685" s="227"/>
      <c r="E685" s="224"/>
      <c r="F685" s="228"/>
      <c r="G685" s="233"/>
      <c r="H685" s="233"/>
      <c r="I685" s="233"/>
      <c r="J685" s="233"/>
      <c r="K685" s="233"/>
      <c r="L685" s="233"/>
      <c r="M685" s="233"/>
    </row>
    <row r="686">
      <c r="A686" s="231" t="s">
        <v>455</v>
      </c>
      <c r="B686" s="222" t="s">
        <v>33</v>
      </c>
      <c r="C686" s="224"/>
      <c r="D686" s="227"/>
      <c r="E686" s="224"/>
      <c r="F686" s="228"/>
      <c r="G686" s="233"/>
      <c r="H686" s="233"/>
      <c r="I686" s="233"/>
      <c r="J686" s="233"/>
      <c r="K686" s="233"/>
      <c r="L686" s="233"/>
      <c r="M686" s="233"/>
    </row>
    <row r="687" ht="15.75" hidden="1" customHeight="1">
      <c r="A687" s="231" t="s">
        <v>456</v>
      </c>
      <c r="B687" s="222" t="s">
        <v>33</v>
      </c>
      <c r="C687" s="224"/>
      <c r="D687" s="227"/>
      <c r="E687" s="224"/>
      <c r="F687" s="228"/>
      <c r="G687" s="233"/>
      <c r="H687" s="233"/>
      <c r="I687" s="233"/>
      <c r="J687" s="233"/>
      <c r="K687" s="233"/>
      <c r="L687" s="233"/>
      <c r="M687" s="233"/>
    </row>
    <row r="688" ht="15.75" hidden="1" customHeight="1">
      <c r="A688" s="231" t="s">
        <v>457</v>
      </c>
      <c r="B688" s="222" t="s">
        <v>33</v>
      </c>
      <c r="C688" s="224"/>
      <c r="D688" s="227"/>
      <c r="E688" s="224"/>
      <c r="F688" s="228"/>
      <c r="G688" s="233"/>
      <c r="H688" s="233"/>
      <c r="I688" s="233"/>
      <c r="J688" s="233"/>
      <c r="K688" s="233"/>
      <c r="L688" s="233"/>
      <c r="M688" s="233"/>
    </row>
    <row r="689" ht="15.75" hidden="1" customHeight="1">
      <c r="A689" s="231" t="s">
        <v>458</v>
      </c>
      <c r="B689" s="222" t="s">
        <v>33</v>
      </c>
      <c r="C689" s="224"/>
      <c r="D689" s="227"/>
      <c r="E689" s="224"/>
      <c r="F689" s="228"/>
      <c r="G689" s="233"/>
      <c r="H689" s="233"/>
      <c r="I689" s="233"/>
      <c r="J689" s="233"/>
      <c r="K689" s="233"/>
      <c r="L689" s="233"/>
      <c r="M689" s="233"/>
    </row>
    <row r="690" ht="15.75" hidden="1" customHeight="1">
      <c r="A690" s="231" t="s">
        <v>459</v>
      </c>
      <c r="B690" s="222" t="s">
        <v>33</v>
      </c>
      <c r="C690" s="224"/>
      <c r="D690" s="227"/>
      <c r="E690" s="224"/>
      <c r="F690" s="228"/>
      <c r="G690" s="233"/>
      <c r="H690" s="233"/>
      <c r="I690" s="233"/>
      <c r="J690" s="233"/>
      <c r="K690" s="233"/>
      <c r="L690" s="233"/>
      <c r="M690" s="233"/>
    </row>
    <row r="691" ht="15.75" hidden="1" customHeight="1">
      <c r="A691" s="231" t="s">
        <v>460</v>
      </c>
      <c r="B691" s="222" t="s">
        <v>33</v>
      </c>
      <c r="C691" s="224"/>
      <c r="D691" s="227"/>
      <c r="E691" s="224"/>
      <c r="F691" s="228"/>
      <c r="G691" s="233"/>
      <c r="H691" s="233"/>
      <c r="I691" s="233"/>
      <c r="J691" s="233"/>
      <c r="K691" s="233"/>
      <c r="L691" s="233"/>
      <c r="M691" s="233"/>
    </row>
    <row r="692" ht="15.75" hidden="1" customHeight="1">
      <c r="A692" s="231" t="s">
        <v>461</v>
      </c>
      <c r="B692" s="222" t="s">
        <v>33</v>
      </c>
      <c r="C692" s="224"/>
      <c r="D692" s="227"/>
      <c r="E692" s="224"/>
      <c r="F692" s="228"/>
      <c r="G692" s="233"/>
      <c r="H692" s="233"/>
      <c r="I692" s="233"/>
      <c r="J692" s="233"/>
      <c r="K692" s="233"/>
      <c r="L692" s="233"/>
      <c r="M692" s="233"/>
    </row>
    <row r="693" ht="15.75" hidden="1" customHeight="1">
      <c r="A693" s="231" t="s">
        <v>462</v>
      </c>
      <c r="B693" s="222" t="s">
        <v>33</v>
      </c>
      <c r="C693" s="224"/>
      <c r="D693" s="227"/>
      <c r="E693" s="224"/>
      <c r="F693" s="228"/>
      <c r="G693" s="233"/>
      <c r="H693" s="233"/>
      <c r="I693" s="233"/>
      <c r="J693" s="233"/>
      <c r="K693" s="233"/>
      <c r="L693" s="233"/>
      <c r="M693" s="233"/>
    </row>
    <row r="694" ht="15.75" hidden="1" customHeight="1">
      <c r="A694" s="231" t="s">
        <v>463</v>
      </c>
      <c r="B694" s="222" t="s">
        <v>33</v>
      </c>
      <c r="C694" s="224"/>
      <c r="D694" s="227"/>
      <c r="E694" s="224"/>
      <c r="F694" s="228"/>
      <c r="G694" s="233"/>
      <c r="H694" s="233"/>
      <c r="I694" s="233"/>
      <c r="J694" s="233"/>
      <c r="K694" s="233"/>
      <c r="L694" s="233"/>
      <c r="M694" s="233"/>
    </row>
    <row r="695" ht="15.75" hidden="1" customHeight="1">
      <c r="A695" s="231" t="s">
        <v>464</v>
      </c>
      <c r="B695" s="222" t="s">
        <v>33</v>
      </c>
      <c r="C695" s="224"/>
      <c r="D695" s="227"/>
      <c r="E695" s="224"/>
      <c r="F695" s="228"/>
      <c r="G695" s="233"/>
      <c r="H695" s="233"/>
      <c r="I695" s="233"/>
      <c r="J695" s="233"/>
      <c r="K695" s="233"/>
      <c r="L695" s="233"/>
      <c r="M695" s="233"/>
    </row>
    <row r="696" ht="15.75" hidden="1" customHeight="1">
      <c r="A696" s="231" t="s">
        <v>465</v>
      </c>
      <c r="B696" s="222" t="s">
        <v>33</v>
      </c>
      <c r="C696" s="224"/>
      <c r="D696" s="227"/>
      <c r="E696" s="224"/>
      <c r="F696" s="228"/>
      <c r="G696" s="233"/>
      <c r="H696" s="233"/>
      <c r="I696" s="233"/>
      <c r="J696" s="233"/>
      <c r="K696" s="233"/>
      <c r="L696" s="233"/>
      <c r="M696" s="233"/>
    </row>
    <row r="697" ht="15.75" hidden="1" customHeight="1">
      <c r="A697" s="231" t="s">
        <v>466</v>
      </c>
      <c r="B697" s="222" t="s">
        <v>33</v>
      </c>
      <c r="C697" s="224"/>
      <c r="D697" s="227"/>
      <c r="E697" s="224"/>
      <c r="F697" s="228"/>
      <c r="G697" s="233"/>
      <c r="H697" s="233"/>
      <c r="I697" s="233"/>
      <c r="J697" s="233"/>
      <c r="K697" s="233"/>
      <c r="L697" s="233"/>
      <c r="M697" s="233"/>
    </row>
    <row r="698" ht="15.75" hidden="1" customHeight="1">
      <c r="A698" s="231" t="s">
        <v>467</v>
      </c>
      <c r="B698" s="222" t="s">
        <v>33</v>
      </c>
      <c r="C698" s="224"/>
      <c r="D698" s="227"/>
      <c r="E698" s="224"/>
      <c r="F698" s="228"/>
      <c r="G698" s="233"/>
      <c r="H698" s="233"/>
      <c r="I698" s="233"/>
      <c r="J698" s="233"/>
      <c r="K698" s="233"/>
      <c r="L698" s="233"/>
      <c r="M698" s="233"/>
    </row>
    <row r="699" ht="15.75" hidden="1" customHeight="1">
      <c r="A699" s="231" t="s">
        <v>330</v>
      </c>
      <c r="B699" s="222" t="s">
        <v>33</v>
      </c>
      <c r="C699" s="224"/>
      <c r="D699" s="227"/>
      <c r="E699" s="224"/>
      <c r="F699" s="228"/>
      <c r="G699" s="233"/>
      <c r="H699" s="233"/>
      <c r="I699" s="233"/>
      <c r="J699" s="233"/>
      <c r="K699" s="233"/>
      <c r="L699" s="233"/>
      <c r="M699" s="233"/>
    </row>
    <row r="700">
      <c r="A700" s="231" t="s">
        <v>329</v>
      </c>
      <c r="B700" s="222" t="s">
        <v>33</v>
      </c>
      <c r="C700" s="224"/>
      <c r="D700" s="227"/>
      <c r="E700" s="224">
        <v>1.0</v>
      </c>
      <c r="F700" s="228">
        <v>2500.0</v>
      </c>
      <c r="G700" s="233"/>
      <c r="H700" s="233"/>
      <c r="I700" s="233"/>
      <c r="J700" s="233"/>
      <c r="K700" s="233"/>
      <c r="L700" s="233"/>
      <c r="M700" s="233"/>
    </row>
    <row r="701" ht="15.75" hidden="1" customHeight="1">
      <c r="A701" s="231" t="s">
        <v>468</v>
      </c>
      <c r="B701" s="222" t="s">
        <v>33</v>
      </c>
      <c r="C701" s="224"/>
      <c r="D701" s="227"/>
      <c r="E701" s="224"/>
      <c r="F701" s="228"/>
      <c r="G701" s="233"/>
      <c r="H701" s="233"/>
      <c r="I701" s="233"/>
      <c r="J701" s="233"/>
      <c r="K701" s="233"/>
      <c r="L701" s="233"/>
      <c r="M701" s="233"/>
    </row>
    <row r="702" ht="15.75" hidden="1" customHeight="1">
      <c r="A702" s="231" t="s">
        <v>239</v>
      </c>
      <c r="B702" s="222" t="s">
        <v>33</v>
      </c>
      <c r="C702" s="224"/>
      <c r="D702" s="227"/>
      <c r="E702" s="224"/>
      <c r="F702" s="228"/>
      <c r="G702" s="233"/>
      <c r="H702" s="233"/>
      <c r="I702" s="233"/>
      <c r="J702" s="233"/>
      <c r="K702" s="233"/>
      <c r="L702" s="233"/>
      <c r="M702" s="233"/>
    </row>
    <row r="703" ht="15.75" hidden="1" customHeight="1">
      <c r="A703" s="231" t="s">
        <v>469</v>
      </c>
      <c r="B703" s="222" t="s">
        <v>33</v>
      </c>
      <c r="C703" s="224"/>
      <c r="D703" s="227"/>
      <c r="E703" s="224"/>
      <c r="F703" s="228"/>
      <c r="G703" s="233"/>
      <c r="H703" s="233"/>
      <c r="I703" s="233"/>
      <c r="J703" s="233"/>
      <c r="K703" s="233"/>
      <c r="L703" s="233"/>
      <c r="M703" s="233"/>
    </row>
    <row r="704" ht="15.75" hidden="1" customHeight="1">
      <c r="A704" s="231" t="s">
        <v>470</v>
      </c>
      <c r="B704" s="222" t="s">
        <v>33</v>
      </c>
      <c r="C704" s="224"/>
      <c r="D704" s="227"/>
      <c r="E704" s="224"/>
      <c r="F704" s="228"/>
      <c r="G704" s="233"/>
      <c r="H704" s="233"/>
      <c r="I704" s="233"/>
      <c r="J704" s="233"/>
      <c r="K704" s="233"/>
      <c r="L704" s="233"/>
      <c r="M704" s="233"/>
    </row>
    <row r="705" ht="15.75" hidden="1" customHeight="1">
      <c r="A705" s="231" t="s">
        <v>471</v>
      </c>
      <c r="B705" s="222" t="s">
        <v>33</v>
      </c>
      <c r="C705" s="224"/>
      <c r="D705" s="227"/>
      <c r="E705" s="224"/>
      <c r="F705" s="228"/>
      <c r="G705" s="233"/>
      <c r="H705" s="233"/>
      <c r="I705" s="233"/>
      <c r="J705" s="233"/>
      <c r="K705" s="233"/>
      <c r="L705" s="233"/>
      <c r="M705" s="233"/>
    </row>
    <row r="706">
      <c r="A706" s="231" t="s">
        <v>472</v>
      </c>
      <c r="B706" s="222" t="s">
        <v>33</v>
      </c>
      <c r="C706" s="224"/>
      <c r="D706" s="227"/>
      <c r="E706" s="224">
        <v>3.0</v>
      </c>
      <c r="F706" s="228">
        <v>300.0</v>
      </c>
      <c r="G706" s="233"/>
      <c r="H706" s="233"/>
      <c r="I706" s="233"/>
      <c r="J706" s="233"/>
      <c r="K706" s="233"/>
      <c r="L706" s="233"/>
      <c r="M706" s="233"/>
    </row>
    <row r="707" ht="15.75" hidden="1" customHeight="1">
      <c r="A707" s="231" t="s">
        <v>473</v>
      </c>
      <c r="B707" s="222" t="s">
        <v>33</v>
      </c>
      <c r="C707" s="224"/>
      <c r="D707" s="227"/>
      <c r="E707" s="224"/>
      <c r="F707" s="228"/>
      <c r="G707" s="233"/>
      <c r="H707" s="233"/>
      <c r="I707" s="233"/>
      <c r="J707" s="233"/>
      <c r="K707" s="233"/>
      <c r="L707" s="233"/>
      <c r="M707" s="233"/>
    </row>
    <row r="708" ht="15.75" hidden="1" customHeight="1">
      <c r="A708" s="231" t="s">
        <v>474</v>
      </c>
      <c r="B708" s="222" t="s">
        <v>33</v>
      </c>
      <c r="C708" s="224"/>
      <c r="D708" s="227"/>
      <c r="E708" s="224"/>
      <c r="F708" s="228"/>
      <c r="G708" s="233"/>
      <c r="H708" s="233"/>
      <c r="I708" s="233"/>
      <c r="J708" s="233"/>
      <c r="K708" s="233"/>
      <c r="L708" s="233"/>
      <c r="M708" s="233"/>
    </row>
    <row r="709" ht="15.75" hidden="1" customHeight="1">
      <c r="A709" s="231" t="s">
        <v>475</v>
      </c>
      <c r="B709" s="222" t="s">
        <v>33</v>
      </c>
      <c r="C709" s="224"/>
      <c r="D709" s="227"/>
      <c r="E709" s="224"/>
      <c r="F709" s="228"/>
      <c r="G709" s="233"/>
      <c r="H709" s="233"/>
      <c r="I709" s="233"/>
      <c r="J709" s="233"/>
      <c r="K709" s="233"/>
      <c r="L709" s="233"/>
      <c r="M709" s="233"/>
    </row>
    <row r="710" ht="15.75" hidden="1" customHeight="1">
      <c r="A710" s="231" t="s">
        <v>476</v>
      </c>
      <c r="B710" s="222" t="s">
        <v>33</v>
      </c>
      <c r="C710" s="224"/>
      <c r="D710" s="227"/>
      <c r="E710" s="224"/>
      <c r="F710" s="228"/>
      <c r="G710" s="233"/>
      <c r="H710" s="233"/>
      <c r="I710" s="233"/>
      <c r="J710" s="233"/>
      <c r="K710" s="233"/>
      <c r="L710" s="233"/>
      <c r="M710" s="233"/>
    </row>
    <row r="711" ht="15.75" hidden="1" customHeight="1">
      <c r="A711" s="231" t="s">
        <v>477</v>
      </c>
      <c r="B711" s="222" t="s">
        <v>33</v>
      </c>
      <c r="C711" s="224"/>
      <c r="D711" s="227"/>
      <c r="E711" s="224"/>
      <c r="F711" s="228"/>
      <c r="G711" s="233"/>
      <c r="H711" s="233"/>
      <c r="I711" s="233"/>
      <c r="J711" s="233"/>
      <c r="K711" s="233"/>
      <c r="L711" s="233"/>
      <c r="M711" s="233"/>
    </row>
    <row r="712" ht="15.75" hidden="1" customHeight="1">
      <c r="A712" s="231" t="s">
        <v>478</v>
      </c>
      <c r="B712" s="222" t="s">
        <v>33</v>
      </c>
      <c r="C712" s="224"/>
      <c r="D712" s="227"/>
      <c r="E712" s="224"/>
      <c r="F712" s="228"/>
      <c r="G712" s="233"/>
      <c r="H712" s="233"/>
      <c r="I712" s="233"/>
      <c r="J712" s="233"/>
      <c r="K712" s="233"/>
      <c r="L712" s="233"/>
      <c r="M712" s="233"/>
    </row>
    <row r="713" ht="15.75" hidden="1" customHeight="1">
      <c r="A713" s="231" t="s">
        <v>479</v>
      </c>
      <c r="B713" s="222" t="s">
        <v>33</v>
      </c>
      <c r="C713" s="224"/>
      <c r="D713" s="227"/>
      <c r="E713" s="224"/>
      <c r="F713" s="228"/>
      <c r="G713" s="233"/>
      <c r="H713" s="233"/>
      <c r="I713" s="233"/>
      <c r="J713" s="233"/>
      <c r="K713" s="233"/>
      <c r="L713" s="233"/>
      <c r="M713" s="233"/>
    </row>
    <row r="714" ht="15.75" hidden="1" customHeight="1">
      <c r="A714" s="231" t="s">
        <v>480</v>
      </c>
      <c r="B714" s="222" t="s">
        <v>33</v>
      </c>
      <c r="C714" s="224"/>
      <c r="D714" s="227"/>
      <c r="E714" s="224"/>
      <c r="F714" s="228"/>
      <c r="G714" s="233"/>
      <c r="H714" s="233"/>
      <c r="I714" s="233"/>
      <c r="J714" s="233"/>
      <c r="K714" s="233"/>
      <c r="L714" s="233"/>
      <c r="M714" s="233"/>
    </row>
    <row r="715" ht="15.75" hidden="1" customHeight="1">
      <c r="A715" s="231" t="s">
        <v>481</v>
      </c>
      <c r="B715" s="222" t="s">
        <v>33</v>
      </c>
      <c r="C715" s="224"/>
      <c r="D715" s="227"/>
      <c r="E715" s="224"/>
      <c r="F715" s="228"/>
      <c r="G715" s="233"/>
      <c r="H715" s="233"/>
      <c r="I715" s="233"/>
      <c r="J715" s="233"/>
      <c r="K715" s="233"/>
      <c r="L715" s="233"/>
      <c r="M715" s="233"/>
    </row>
    <row r="716" ht="15.75" hidden="1" customHeight="1">
      <c r="A716" s="231" t="s">
        <v>482</v>
      </c>
      <c r="B716" s="222" t="s">
        <v>33</v>
      </c>
      <c r="C716" s="224"/>
      <c r="D716" s="227"/>
      <c r="E716" s="224"/>
      <c r="F716" s="228"/>
      <c r="G716" s="233"/>
      <c r="H716" s="233"/>
      <c r="I716" s="233"/>
      <c r="J716" s="233"/>
      <c r="K716" s="233"/>
      <c r="L716" s="233"/>
      <c r="M716" s="233"/>
    </row>
    <row r="717" ht="15.75" hidden="1" customHeight="1">
      <c r="A717" s="231" t="s">
        <v>483</v>
      </c>
      <c r="B717" s="222" t="s">
        <v>33</v>
      </c>
      <c r="C717" s="224"/>
      <c r="D717" s="227"/>
      <c r="E717" s="224"/>
      <c r="F717" s="228"/>
      <c r="G717" s="233"/>
      <c r="H717" s="233"/>
      <c r="I717" s="233"/>
      <c r="J717" s="233"/>
      <c r="K717" s="233"/>
      <c r="L717" s="233"/>
      <c r="M717" s="233"/>
    </row>
    <row r="718" ht="15.75" hidden="1" customHeight="1">
      <c r="A718" s="231" t="s">
        <v>484</v>
      </c>
      <c r="B718" s="222" t="s">
        <v>33</v>
      </c>
      <c r="C718" s="224"/>
      <c r="D718" s="227"/>
      <c r="E718" s="224"/>
      <c r="F718" s="228"/>
      <c r="G718" s="233"/>
      <c r="H718" s="233"/>
      <c r="I718" s="233"/>
      <c r="J718" s="233"/>
      <c r="K718" s="233"/>
      <c r="L718" s="233"/>
      <c r="M718" s="233"/>
    </row>
    <row r="719" ht="15.75" hidden="1" customHeight="1">
      <c r="A719" s="231" t="s">
        <v>485</v>
      </c>
      <c r="B719" s="222" t="s">
        <v>33</v>
      </c>
      <c r="C719" s="224"/>
      <c r="D719" s="227"/>
      <c r="E719" s="224"/>
      <c r="F719" s="228"/>
      <c r="G719" s="233"/>
      <c r="H719" s="233"/>
      <c r="I719" s="233"/>
      <c r="J719" s="233"/>
      <c r="K719" s="233"/>
      <c r="L719" s="233"/>
      <c r="M719" s="233"/>
    </row>
    <row r="720" ht="15.75" hidden="1" customHeight="1">
      <c r="A720" s="231" t="s">
        <v>486</v>
      </c>
      <c r="B720" s="222" t="s">
        <v>33</v>
      </c>
      <c r="C720" s="224"/>
      <c r="D720" s="227"/>
      <c r="E720" s="224"/>
      <c r="F720" s="228"/>
      <c r="G720" s="233"/>
      <c r="H720" s="233"/>
      <c r="I720" s="233"/>
      <c r="J720" s="233"/>
      <c r="K720" s="233"/>
      <c r="L720" s="233"/>
      <c r="M720" s="233"/>
    </row>
    <row r="721" ht="15.75" hidden="1" customHeight="1">
      <c r="A721" s="231"/>
      <c r="B721" s="222" t="s">
        <v>33</v>
      </c>
      <c r="C721" s="224"/>
      <c r="D721" s="227"/>
      <c r="E721" s="224"/>
      <c r="F721" s="228"/>
      <c r="G721" s="233"/>
      <c r="H721" s="233"/>
      <c r="I721" s="233"/>
      <c r="J721" s="233"/>
      <c r="K721" s="233"/>
      <c r="L721" s="233"/>
      <c r="M721" s="233"/>
    </row>
    <row r="722" ht="15.75" hidden="1" customHeight="1">
      <c r="A722" s="251"/>
      <c r="B722" s="222" t="s">
        <v>33</v>
      </c>
      <c r="C722" s="224"/>
      <c r="D722" s="227"/>
      <c r="E722" s="224"/>
      <c r="F722" s="228"/>
      <c r="G722" s="233"/>
      <c r="H722" s="233"/>
      <c r="I722" s="233"/>
      <c r="J722" s="233"/>
      <c r="K722" s="233"/>
      <c r="L722" s="233"/>
      <c r="M722" s="233"/>
    </row>
    <row r="723">
      <c r="A723" s="256" t="s">
        <v>487</v>
      </c>
      <c r="B723" s="257" t="s">
        <v>33</v>
      </c>
      <c r="C723" s="224"/>
      <c r="D723" s="227"/>
      <c r="E723" s="224">
        <v>1.0</v>
      </c>
      <c r="F723" s="228">
        <v>1400.0</v>
      </c>
      <c r="G723" s="233"/>
      <c r="H723" s="233"/>
      <c r="I723" s="233"/>
      <c r="J723" s="233"/>
      <c r="K723" s="233"/>
      <c r="L723" s="233"/>
      <c r="M723" s="233"/>
    </row>
    <row r="724">
      <c r="A724" s="256" t="s">
        <v>488</v>
      </c>
      <c r="B724" s="257" t="s">
        <v>33</v>
      </c>
      <c r="C724" s="224"/>
      <c r="D724" s="227"/>
      <c r="E724" s="224">
        <v>1.0</v>
      </c>
      <c r="F724" s="228">
        <v>1250.0</v>
      </c>
      <c r="G724" s="233"/>
      <c r="H724" s="233"/>
      <c r="I724" s="233"/>
      <c r="J724" s="233"/>
      <c r="K724" s="233"/>
      <c r="L724" s="233"/>
      <c r="M724" s="233"/>
    </row>
    <row r="725">
      <c r="A725" s="256" t="s">
        <v>489</v>
      </c>
      <c r="B725" s="257" t="s">
        <v>33</v>
      </c>
      <c r="C725" s="224"/>
      <c r="D725" s="227"/>
      <c r="E725" s="224">
        <v>1.0</v>
      </c>
      <c r="F725" s="238">
        <v>5000.0</v>
      </c>
      <c r="G725" s="233"/>
      <c r="H725" s="233"/>
      <c r="I725" s="233"/>
      <c r="J725" s="233"/>
      <c r="K725" s="233"/>
      <c r="L725" s="233"/>
      <c r="M725" s="233"/>
    </row>
    <row r="726">
      <c r="A726" s="225" t="s">
        <v>490</v>
      </c>
      <c r="B726" s="222" t="s">
        <v>33</v>
      </c>
      <c r="C726" s="224"/>
      <c r="D726" s="227"/>
      <c r="E726" s="224"/>
      <c r="F726" s="228"/>
      <c r="G726" s="233"/>
      <c r="H726" s="233"/>
      <c r="I726" s="233"/>
      <c r="J726" s="233"/>
      <c r="K726" s="233"/>
      <c r="L726" s="233"/>
      <c r="M726" s="233"/>
    </row>
    <row r="727">
      <c r="A727" s="225" t="s">
        <v>420</v>
      </c>
      <c r="B727" s="222" t="s">
        <v>33</v>
      </c>
      <c r="C727" s="224"/>
      <c r="D727" s="227"/>
      <c r="E727" s="224"/>
      <c r="F727" s="228"/>
      <c r="G727" s="233"/>
      <c r="H727" s="233"/>
      <c r="I727" s="233"/>
      <c r="J727" s="233"/>
      <c r="K727" s="233"/>
      <c r="L727" s="233"/>
      <c r="M727" s="233"/>
    </row>
    <row r="728" ht="15.75" hidden="1" customHeight="1">
      <c r="A728" s="231" t="s">
        <v>491</v>
      </c>
      <c r="B728" s="222" t="s">
        <v>33</v>
      </c>
      <c r="C728" s="224"/>
      <c r="D728" s="227"/>
      <c r="E728" s="224"/>
      <c r="F728" s="228"/>
      <c r="G728" s="233"/>
      <c r="H728" s="233"/>
      <c r="I728" s="233"/>
      <c r="J728" s="233"/>
      <c r="K728" s="233"/>
      <c r="L728" s="233"/>
      <c r="M728" s="233"/>
    </row>
    <row r="729" ht="15.75" hidden="1" customHeight="1">
      <c r="A729" s="231" t="s">
        <v>492</v>
      </c>
      <c r="B729" s="222" t="s">
        <v>33</v>
      </c>
      <c r="C729" s="224"/>
      <c r="D729" s="227"/>
      <c r="E729" s="224"/>
      <c r="F729" s="228"/>
      <c r="G729" s="233"/>
      <c r="H729" s="233"/>
      <c r="I729" s="233"/>
      <c r="J729" s="233"/>
      <c r="K729" s="233"/>
      <c r="L729" s="233"/>
      <c r="M729" s="233"/>
    </row>
    <row r="730">
      <c r="A730" s="231" t="s">
        <v>493</v>
      </c>
      <c r="B730" s="222" t="s">
        <v>33</v>
      </c>
      <c r="C730" s="224"/>
      <c r="D730" s="227"/>
      <c r="E730" s="224"/>
      <c r="F730" s="228"/>
      <c r="G730" s="233"/>
      <c r="H730" s="233"/>
      <c r="I730" s="233"/>
      <c r="J730" s="233"/>
      <c r="K730" s="233"/>
      <c r="L730" s="233"/>
      <c r="M730" s="233"/>
    </row>
    <row r="731" ht="15.75" hidden="1" customHeight="1">
      <c r="A731" s="231" t="s">
        <v>304</v>
      </c>
      <c r="B731" s="222" t="s">
        <v>33</v>
      </c>
      <c r="C731" s="224"/>
      <c r="D731" s="227"/>
      <c r="E731" s="224"/>
      <c r="F731" s="228"/>
      <c r="G731" s="233"/>
      <c r="H731" s="233"/>
      <c r="I731" s="233"/>
      <c r="J731" s="233"/>
      <c r="K731" s="233"/>
      <c r="L731" s="233"/>
      <c r="M731" s="233"/>
    </row>
    <row r="732" ht="15.75" hidden="1" customHeight="1">
      <c r="A732" s="231" t="s">
        <v>494</v>
      </c>
      <c r="B732" s="222" t="s">
        <v>33</v>
      </c>
      <c r="C732" s="224"/>
      <c r="D732" s="227"/>
      <c r="E732" s="224"/>
      <c r="F732" s="228"/>
      <c r="G732" s="233"/>
      <c r="H732" s="233"/>
      <c r="I732" s="233"/>
      <c r="J732" s="233"/>
      <c r="K732" s="233"/>
      <c r="L732" s="233"/>
      <c r="M732" s="233"/>
    </row>
    <row r="733" ht="15.75" hidden="1" customHeight="1">
      <c r="A733" s="231" t="s">
        <v>495</v>
      </c>
      <c r="B733" s="222" t="s">
        <v>33</v>
      </c>
      <c r="C733" s="224"/>
      <c r="D733" s="227"/>
      <c r="E733" s="224"/>
      <c r="F733" s="228"/>
      <c r="G733" s="233"/>
      <c r="H733" s="233"/>
      <c r="I733" s="233"/>
      <c r="J733" s="233"/>
      <c r="K733" s="233"/>
      <c r="L733" s="233"/>
      <c r="M733" s="233"/>
    </row>
    <row r="734">
      <c r="A734" s="231" t="s">
        <v>496</v>
      </c>
      <c r="B734" s="222" t="s">
        <v>33</v>
      </c>
      <c r="C734" s="236">
        <v>1.0</v>
      </c>
      <c r="D734" s="235">
        <v>4000.0</v>
      </c>
      <c r="E734" s="224">
        <v>3.0</v>
      </c>
      <c r="F734" s="228">
        <v>12000.0</v>
      </c>
      <c r="G734" s="237">
        <v>3.0</v>
      </c>
      <c r="H734" s="237">
        <v>13500.0</v>
      </c>
      <c r="I734" s="233"/>
      <c r="J734" s="233"/>
      <c r="K734" s="237">
        <v>3.0</v>
      </c>
      <c r="L734" s="237">
        <v>13500.0</v>
      </c>
      <c r="M734" s="233"/>
    </row>
    <row r="735">
      <c r="A735" s="256" t="s">
        <v>497</v>
      </c>
      <c r="B735" s="222" t="s">
        <v>33</v>
      </c>
      <c r="C735" s="224"/>
      <c r="D735" s="227"/>
      <c r="E735" s="224"/>
      <c r="F735" s="228"/>
      <c r="G735" s="233"/>
      <c r="H735" s="233"/>
      <c r="I735" s="233"/>
      <c r="J735" s="233"/>
      <c r="K735" s="233"/>
      <c r="L735" s="233"/>
      <c r="M735" s="233"/>
    </row>
    <row r="736" ht="15.75" customHeight="1">
      <c r="A736" s="231" t="s">
        <v>498</v>
      </c>
      <c r="B736" s="222" t="s">
        <v>33</v>
      </c>
      <c r="C736" s="224"/>
      <c r="D736" s="227"/>
      <c r="E736" s="224"/>
      <c r="F736" s="228"/>
      <c r="G736" s="233"/>
      <c r="H736" s="233"/>
      <c r="I736" s="233"/>
      <c r="J736" s="233"/>
      <c r="K736" s="233"/>
      <c r="L736" s="233"/>
      <c r="M736" s="233"/>
    </row>
    <row r="737" ht="15.75" customHeight="1">
      <c r="A737" s="231" t="s">
        <v>499</v>
      </c>
      <c r="B737" s="222" t="s">
        <v>33</v>
      </c>
      <c r="C737" s="224"/>
      <c r="D737" s="227"/>
      <c r="E737" s="224"/>
      <c r="F737" s="228"/>
      <c r="G737" s="233"/>
      <c r="H737" s="233"/>
      <c r="I737" s="233"/>
      <c r="J737" s="233"/>
      <c r="K737" s="233"/>
      <c r="L737" s="233"/>
      <c r="M737" s="233"/>
    </row>
    <row r="738" ht="15.75" customHeight="1">
      <c r="A738" s="231" t="s">
        <v>500</v>
      </c>
      <c r="B738" s="222" t="s">
        <v>33</v>
      </c>
      <c r="C738" s="224"/>
      <c r="D738" s="227"/>
      <c r="E738" s="224"/>
      <c r="F738" s="228"/>
      <c r="G738" s="233"/>
      <c r="H738" s="233"/>
      <c r="I738" s="233"/>
      <c r="J738" s="233"/>
      <c r="K738" s="233"/>
      <c r="L738" s="233"/>
      <c r="M738" s="233"/>
    </row>
    <row r="739" ht="15.75" customHeight="1">
      <c r="A739" s="231" t="s">
        <v>501</v>
      </c>
      <c r="B739" s="222" t="s">
        <v>33</v>
      </c>
      <c r="C739" s="224"/>
      <c r="D739" s="227"/>
      <c r="E739" s="224"/>
      <c r="F739" s="228"/>
      <c r="G739" s="233"/>
      <c r="H739" s="233"/>
      <c r="I739" s="233"/>
      <c r="J739" s="233"/>
      <c r="K739" s="233"/>
      <c r="L739" s="233"/>
      <c r="M739" s="233"/>
    </row>
    <row r="740" ht="15.75" customHeight="1">
      <c r="A740" s="231" t="s">
        <v>502</v>
      </c>
      <c r="B740" s="222" t="s">
        <v>33</v>
      </c>
      <c r="C740" s="224"/>
      <c r="D740" s="227"/>
      <c r="E740" s="224"/>
      <c r="F740" s="228"/>
      <c r="G740" s="233"/>
      <c r="H740" s="233"/>
      <c r="I740" s="233"/>
      <c r="J740" s="233"/>
      <c r="K740" s="233"/>
      <c r="L740" s="233"/>
      <c r="M740" s="233"/>
    </row>
    <row r="741" ht="15.75" customHeight="1">
      <c r="A741" s="231" t="s">
        <v>503</v>
      </c>
      <c r="B741" s="222" t="s">
        <v>33</v>
      </c>
      <c r="C741" s="224"/>
      <c r="D741" s="227"/>
      <c r="E741" s="224"/>
      <c r="F741" s="228"/>
      <c r="G741" s="233"/>
      <c r="H741" s="233"/>
      <c r="I741" s="233"/>
      <c r="J741" s="233"/>
      <c r="K741" s="233"/>
      <c r="L741" s="233"/>
      <c r="M741" s="233"/>
    </row>
    <row r="742" ht="21.75" customHeight="1">
      <c r="A742" s="258" t="s">
        <v>504</v>
      </c>
      <c r="B742" s="222" t="s">
        <v>33</v>
      </c>
      <c r="C742" s="224"/>
      <c r="D742" s="227"/>
      <c r="E742" s="224"/>
      <c r="F742" s="228"/>
      <c r="G742" s="237">
        <v>2.0</v>
      </c>
      <c r="H742" s="237">
        <v>12000.0</v>
      </c>
      <c r="I742" s="233"/>
      <c r="J742" s="233"/>
      <c r="K742" s="237">
        <v>2.0</v>
      </c>
      <c r="L742" s="237">
        <v>12000.0</v>
      </c>
      <c r="M742" s="233"/>
    </row>
    <row r="743" ht="22.5" customHeight="1">
      <c r="A743" s="258" t="s">
        <v>505</v>
      </c>
      <c r="B743" s="222" t="s">
        <v>33</v>
      </c>
      <c r="C743" s="224"/>
      <c r="D743" s="227"/>
      <c r="E743" s="224"/>
      <c r="F743" s="228"/>
      <c r="G743" s="237">
        <v>6.0</v>
      </c>
      <c r="H743" s="237">
        <v>600.0</v>
      </c>
      <c r="I743" s="233"/>
      <c r="J743" s="233"/>
      <c r="K743" s="237">
        <v>6.0</v>
      </c>
      <c r="L743" s="237">
        <v>600.0</v>
      </c>
      <c r="M743" s="233"/>
    </row>
    <row r="744" ht="15.75" customHeight="1">
      <c r="A744" s="251"/>
      <c r="B744" s="222" t="s">
        <v>33</v>
      </c>
      <c r="C744" s="224"/>
      <c r="D744" s="227"/>
      <c r="E744" s="224"/>
      <c r="F744" s="228"/>
      <c r="G744" s="233"/>
      <c r="H744" s="233"/>
      <c r="I744" s="233"/>
      <c r="J744" s="233"/>
      <c r="K744" s="233"/>
      <c r="L744" s="233"/>
      <c r="M744" s="233"/>
    </row>
    <row r="745">
      <c r="A745" s="221" t="s">
        <v>506</v>
      </c>
      <c r="B745" s="222" t="s">
        <v>33</v>
      </c>
      <c r="C745" s="259"/>
      <c r="D745" s="55"/>
      <c r="E745" s="259"/>
      <c r="F745" s="260"/>
      <c r="G745" s="233"/>
      <c r="H745" s="233"/>
      <c r="I745" s="233"/>
      <c r="J745" s="233"/>
      <c r="K745" s="233"/>
      <c r="L745" s="233"/>
      <c r="M745" s="233"/>
    </row>
    <row r="746">
      <c r="A746" s="225" t="s">
        <v>420</v>
      </c>
      <c r="B746" s="222" t="s">
        <v>33</v>
      </c>
      <c r="C746" s="224"/>
      <c r="D746" s="227"/>
      <c r="E746" s="224"/>
      <c r="F746" s="228"/>
      <c r="G746" s="233"/>
      <c r="H746" s="233"/>
      <c r="I746" s="233"/>
      <c r="J746" s="233"/>
      <c r="K746" s="233"/>
      <c r="L746" s="233"/>
      <c r="M746" s="233"/>
    </row>
    <row r="747" ht="15.75" hidden="1" customHeight="1">
      <c r="A747" s="231" t="s">
        <v>507</v>
      </c>
      <c r="B747" s="222" t="s">
        <v>33</v>
      </c>
      <c r="C747" s="224"/>
      <c r="D747" s="227"/>
      <c r="E747" s="224"/>
      <c r="F747" s="228"/>
      <c r="G747" s="233"/>
      <c r="H747" s="233"/>
      <c r="I747" s="233"/>
      <c r="J747" s="233"/>
      <c r="K747" s="233"/>
      <c r="L747" s="233"/>
      <c r="M747" s="233"/>
    </row>
    <row r="748" ht="15.75" hidden="1" customHeight="1">
      <c r="A748" s="231" t="s">
        <v>508</v>
      </c>
      <c r="B748" s="222" t="s">
        <v>33</v>
      </c>
      <c r="C748" s="224"/>
      <c r="D748" s="227"/>
      <c r="E748" s="224"/>
      <c r="F748" s="228"/>
      <c r="G748" s="233"/>
      <c r="H748" s="233"/>
      <c r="I748" s="233"/>
      <c r="J748" s="233"/>
      <c r="K748" s="233"/>
      <c r="L748" s="233"/>
      <c r="M748" s="233"/>
    </row>
    <row r="749" ht="15.75" hidden="1" customHeight="1">
      <c r="A749" s="231" t="s">
        <v>509</v>
      </c>
      <c r="B749" s="222" t="s">
        <v>33</v>
      </c>
      <c r="C749" s="224"/>
      <c r="D749" s="227"/>
      <c r="E749" s="224"/>
      <c r="F749" s="228"/>
      <c r="G749" s="233"/>
      <c r="H749" s="233"/>
      <c r="I749" s="233"/>
      <c r="J749" s="233"/>
      <c r="K749" s="233"/>
      <c r="L749" s="233"/>
      <c r="M749" s="233"/>
    </row>
    <row r="750" ht="15.75" hidden="1" customHeight="1">
      <c r="A750" s="231" t="s">
        <v>510</v>
      </c>
      <c r="B750" s="222" t="s">
        <v>33</v>
      </c>
      <c r="C750" s="224"/>
      <c r="D750" s="227"/>
      <c r="E750" s="224"/>
      <c r="F750" s="228"/>
      <c r="G750" s="233"/>
      <c r="H750" s="233"/>
      <c r="I750" s="233"/>
      <c r="J750" s="233"/>
      <c r="K750" s="233"/>
      <c r="L750" s="233"/>
      <c r="M750" s="233"/>
    </row>
    <row r="751">
      <c r="A751" s="256" t="s">
        <v>511</v>
      </c>
      <c r="B751" s="222" t="s">
        <v>33</v>
      </c>
      <c r="C751" s="236">
        <v>1.0</v>
      </c>
      <c r="D751" s="235">
        <v>10000.0</v>
      </c>
      <c r="E751" s="224"/>
      <c r="F751" s="228"/>
      <c r="G751" s="233"/>
      <c r="H751" s="233"/>
      <c r="I751" s="233"/>
      <c r="J751" s="233"/>
      <c r="K751" s="233"/>
      <c r="L751" s="233"/>
      <c r="M751" s="233"/>
    </row>
    <row r="752" ht="15.75" hidden="1" customHeight="1">
      <c r="A752" s="231" t="s">
        <v>512</v>
      </c>
      <c r="B752" s="222" t="s">
        <v>33</v>
      </c>
      <c r="C752" s="224"/>
      <c r="D752" s="227"/>
      <c r="E752" s="224"/>
      <c r="F752" s="228"/>
      <c r="G752" s="233"/>
      <c r="H752" s="233"/>
      <c r="I752" s="233"/>
      <c r="J752" s="233"/>
      <c r="K752" s="233"/>
      <c r="L752" s="233"/>
      <c r="M752" s="233"/>
    </row>
    <row r="753" ht="15.75" hidden="1" customHeight="1">
      <c r="A753" s="231" t="s">
        <v>513</v>
      </c>
      <c r="B753" s="222" t="s">
        <v>33</v>
      </c>
      <c r="C753" s="224"/>
      <c r="D753" s="227"/>
      <c r="E753" s="224"/>
      <c r="F753" s="228"/>
      <c r="G753" s="233"/>
      <c r="H753" s="233"/>
      <c r="I753" s="233"/>
      <c r="J753" s="233"/>
      <c r="K753" s="233"/>
      <c r="L753" s="233"/>
      <c r="M753" s="233"/>
    </row>
    <row r="754" ht="15.75" hidden="1" customHeight="1">
      <c r="A754" s="231" t="s">
        <v>514</v>
      </c>
      <c r="B754" s="222" t="s">
        <v>33</v>
      </c>
      <c r="C754" s="224"/>
      <c r="D754" s="227"/>
      <c r="E754" s="224"/>
      <c r="F754" s="228"/>
      <c r="G754" s="233"/>
      <c r="H754" s="233"/>
      <c r="I754" s="233"/>
      <c r="J754" s="233"/>
      <c r="K754" s="233"/>
      <c r="L754" s="233"/>
      <c r="M754" s="233"/>
    </row>
    <row r="755" ht="15.75" hidden="1" customHeight="1">
      <c r="A755" s="231" t="s">
        <v>515</v>
      </c>
      <c r="B755" s="222" t="s">
        <v>33</v>
      </c>
      <c r="C755" s="224"/>
      <c r="D755" s="227"/>
      <c r="E755" s="224"/>
      <c r="F755" s="228"/>
      <c r="G755" s="233"/>
      <c r="H755" s="233"/>
      <c r="I755" s="233"/>
      <c r="J755" s="233"/>
      <c r="K755" s="233"/>
      <c r="L755" s="233"/>
      <c r="M755" s="233"/>
    </row>
    <row r="756" ht="15.75" hidden="1" customHeight="1">
      <c r="A756" s="231" t="s">
        <v>516</v>
      </c>
      <c r="B756" s="222" t="s">
        <v>33</v>
      </c>
      <c r="C756" s="224"/>
      <c r="D756" s="227"/>
      <c r="E756" s="224"/>
      <c r="F756" s="228"/>
      <c r="G756" s="233"/>
      <c r="H756" s="233"/>
      <c r="I756" s="233"/>
      <c r="J756" s="233"/>
      <c r="K756" s="233"/>
      <c r="L756" s="233"/>
      <c r="M756" s="233"/>
    </row>
    <row r="757" ht="15.75" hidden="1" customHeight="1">
      <c r="A757" s="231" t="s">
        <v>517</v>
      </c>
      <c r="B757" s="222" t="s">
        <v>33</v>
      </c>
      <c r="C757" s="224"/>
      <c r="D757" s="227"/>
      <c r="E757" s="224"/>
      <c r="F757" s="228"/>
      <c r="G757" s="233"/>
      <c r="H757" s="233"/>
      <c r="I757" s="233"/>
      <c r="J757" s="233"/>
      <c r="K757" s="233"/>
      <c r="L757" s="233"/>
      <c r="M757" s="233"/>
    </row>
    <row r="758" ht="15.75" hidden="1" customHeight="1">
      <c r="A758" s="231" t="s">
        <v>518</v>
      </c>
      <c r="B758" s="222" t="s">
        <v>33</v>
      </c>
      <c r="C758" s="224"/>
      <c r="D758" s="227"/>
      <c r="E758" s="224"/>
      <c r="F758" s="228"/>
      <c r="G758" s="233"/>
      <c r="H758" s="233"/>
      <c r="I758" s="233"/>
      <c r="J758" s="233"/>
      <c r="K758" s="233"/>
      <c r="L758" s="233"/>
      <c r="M758" s="233"/>
    </row>
    <row r="759" ht="15.75" hidden="1" customHeight="1">
      <c r="A759" s="231" t="s">
        <v>519</v>
      </c>
      <c r="B759" s="222" t="s">
        <v>33</v>
      </c>
      <c r="C759" s="224"/>
      <c r="D759" s="227"/>
      <c r="E759" s="224"/>
      <c r="F759" s="228"/>
      <c r="G759" s="233"/>
      <c r="H759" s="233"/>
      <c r="I759" s="233"/>
      <c r="J759" s="233"/>
      <c r="K759" s="233"/>
      <c r="L759" s="233"/>
      <c r="M759" s="233"/>
    </row>
    <row r="760" ht="15.75" hidden="1" customHeight="1">
      <c r="A760" s="231" t="s">
        <v>520</v>
      </c>
      <c r="B760" s="222" t="s">
        <v>33</v>
      </c>
      <c r="C760" s="224"/>
      <c r="D760" s="227"/>
      <c r="E760" s="224"/>
      <c r="F760" s="228"/>
      <c r="G760" s="233"/>
      <c r="H760" s="233"/>
      <c r="I760" s="233"/>
      <c r="J760" s="233"/>
      <c r="K760" s="233"/>
      <c r="L760" s="233"/>
      <c r="M760" s="233"/>
    </row>
    <row r="761" ht="15.75" hidden="1" customHeight="1">
      <c r="A761" s="231" t="s">
        <v>521</v>
      </c>
      <c r="B761" s="222" t="s">
        <v>33</v>
      </c>
      <c r="C761" s="224"/>
      <c r="D761" s="227"/>
      <c r="E761" s="224"/>
      <c r="F761" s="228"/>
      <c r="G761" s="233"/>
      <c r="H761" s="233"/>
      <c r="I761" s="233"/>
      <c r="J761" s="233"/>
      <c r="K761" s="233"/>
      <c r="L761" s="233"/>
      <c r="M761" s="233"/>
    </row>
    <row r="762" ht="15.75" hidden="1" customHeight="1">
      <c r="A762" s="231" t="s">
        <v>522</v>
      </c>
      <c r="B762" s="222" t="s">
        <v>33</v>
      </c>
      <c r="C762" s="224"/>
      <c r="D762" s="227"/>
      <c r="E762" s="224"/>
      <c r="F762" s="228"/>
      <c r="G762" s="233"/>
      <c r="H762" s="233"/>
      <c r="I762" s="233"/>
      <c r="J762" s="233"/>
      <c r="K762" s="233"/>
      <c r="L762" s="233"/>
      <c r="M762" s="233"/>
    </row>
    <row r="763" ht="15.75" hidden="1" customHeight="1">
      <c r="A763" s="231" t="s">
        <v>523</v>
      </c>
      <c r="B763" s="222" t="s">
        <v>33</v>
      </c>
      <c r="C763" s="224"/>
      <c r="D763" s="227"/>
      <c r="E763" s="224"/>
      <c r="F763" s="228"/>
      <c r="G763" s="233"/>
      <c r="H763" s="233"/>
      <c r="I763" s="233"/>
      <c r="J763" s="233"/>
      <c r="K763" s="233"/>
      <c r="L763" s="233"/>
      <c r="M763" s="233"/>
    </row>
    <row r="764" ht="15.75" hidden="1" customHeight="1">
      <c r="A764" s="231" t="s">
        <v>524</v>
      </c>
      <c r="B764" s="222" t="s">
        <v>33</v>
      </c>
      <c r="C764" s="224"/>
      <c r="D764" s="227"/>
      <c r="E764" s="224"/>
      <c r="F764" s="228"/>
      <c r="G764" s="233"/>
      <c r="H764" s="233"/>
      <c r="I764" s="233"/>
      <c r="J764" s="233"/>
      <c r="K764" s="233"/>
      <c r="L764" s="233"/>
      <c r="M764" s="233"/>
    </row>
    <row r="765" ht="15.75" hidden="1" customHeight="1">
      <c r="A765" s="231" t="s">
        <v>525</v>
      </c>
      <c r="B765" s="222" t="s">
        <v>33</v>
      </c>
      <c r="C765" s="224"/>
      <c r="D765" s="227"/>
      <c r="E765" s="224"/>
      <c r="F765" s="228"/>
      <c r="G765" s="233"/>
      <c r="H765" s="233"/>
      <c r="I765" s="233"/>
      <c r="J765" s="233"/>
      <c r="K765" s="233"/>
      <c r="L765" s="233"/>
      <c r="M765" s="233"/>
    </row>
    <row r="766" ht="15.75" customHeight="1">
      <c r="A766" s="231"/>
      <c r="B766" s="222" t="s">
        <v>33</v>
      </c>
      <c r="C766" s="224"/>
      <c r="D766" s="227"/>
      <c r="E766" s="224"/>
      <c r="F766" s="228"/>
      <c r="G766" s="233"/>
      <c r="H766" s="233"/>
      <c r="I766" s="233"/>
      <c r="J766" s="233"/>
      <c r="K766" s="233"/>
      <c r="L766" s="233"/>
      <c r="M766" s="233"/>
    </row>
    <row r="767">
      <c r="A767" s="225" t="s">
        <v>526</v>
      </c>
      <c r="B767" s="222" t="s">
        <v>33</v>
      </c>
      <c r="C767" s="224"/>
      <c r="D767" s="218">
        <f>SUM(D773:D800)</f>
        <v>35000</v>
      </c>
      <c r="E767" s="218"/>
      <c r="F767" s="218">
        <v>2800.0</v>
      </c>
      <c r="G767" s="261"/>
      <c r="H767" s="261"/>
      <c r="I767" s="261"/>
      <c r="J767" s="261"/>
      <c r="K767" s="261"/>
      <c r="L767" s="261"/>
      <c r="M767" s="261"/>
    </row>
    <row r="768" ht="15.75" hidden="1" customHeight="1">
      <c r="A768" s="226" t="s">
        <v>165</v>
      </c>
      <c r="B768" s="222" t="s">
        <v>33</v>
      </c>
      <c r="C768" s="224"/>
      <c r="D768" s="227"/>
      <c r="E768" s="224"/>
      <c r="F768" s="228"/>
      <c r="G768" s="233"/>
      <c r="H768" s="233"/>
      <c r="I768" s="233"/>
      <c r="J768" s="233"/>
      <c r="K768" s="233"/>
      <c r="L768" s="233"/>
      <c r="M768" s="233"/>
    </row>
    <row r="769" ht="15.75" hidden="1" customHeight="1">
      <c r="A769" s="230" t="s">
        <v>527</v>
      </c>
      <c r="B769" s="222" t="s">
        <v>33</v>
      </c>
      <c r="C769" s="224"/>
      <c r="D769" s="227"/>
      <c r="E769" s="224"/>
      <c r="F769" s="228"/>
      <c r="G769" s="233"/>
      <c r="H769" s="233"/>
      <c r="I769" s="233"/>
      <c r="J769" s="233"/>
      <c r="K769" s="233"/>
      <c r="L769" s="233"/>
      <c r="M769" s="233"/>
    </row>
    <row r="770" ht="15.75" hidden="1" customHeight="1">
      <c r="A770" s="226" t="s">
        <v>168</v>
      </c>
      <c r="B770" s="222" t="s">
        <v>33</v>
      </c>
      <c r="C770" s="224"/>
      <c r="D770" s="227"/>
      <c r="E770" s="224"/>
      <c r="F770" s="228"/>
      <c r="G770" s="233"/>
      <c r="H770" s="233"/>
      <c r="I770" s="233"/>
      <c r="J770" s="233"/>
      <c r="K770" s="233"/>
      <c r="L770" s="233"/>
      <c r="M770" s="233"/>
    </row>
    <row r="771" ht="15.75" hidden="1" customHeight="1">
      <c r="A771" s="230" t="s">
        <v>528</v>
      </c>
      <c r="B771" s="222" t="s">
        <v>33</v>
      </c>
      <c r="C771" s="224"/>
      <c r="D771" s="227"/>
      <c r="E771" s="224"/>
      <c r="F771" s="228"/>
      <c r="G771" s="233"/>
      <c r="H771" s="233"/>
      <c r="I771" s="233"/>
      <c r="J771" s="233"/>
      <c r="K771" s="233"/>
      <c r="L771" s="233"/>
      <c r="M771" s="233"/>
    </row>
    <row r="772">
      <c r="A772" s="226" t="s">
        <v>170</v>
      </c>
      <c r="B772" s="222" t="s">
        <v>33</v>
      </c>
      <c r="C772" s="224"/>
      <c r="D772" s="227"/>
      <c r="E772" s="224"/>
      <c r="F772" s="228"/>
      <c r="G772" s="233"/>
      <c r="H772" s="233"/>
      <c r="I772" s="233"/>
      <c r="J772" s="233"/>
      <c r="K772" s="233"/>
      <c r="L772" s="233"/>
      <c r="M772" s="233"/>
    </row>
    <row r="773">
      <c r="A773" s="254" t="s">
        <v>529</v>
      </c>
      <c r="B773" s="222" t="s">
        <v>33</v>
      </c>
      <c r="C773" s="224"/>
      <c r="D773" s="235"/>
      <c r="E773" s="224"/>
      <c r="F773" s="228"/>
      <c r="G773" s="233"/>
      <c r="H773" s="233"/>
      <c r="I773" s="233"/>
      <c r="J773" s="233"/>
      <c r="K773" s="233"/>
      <c r="L773" s="233"/>
      <c r="M773" s="233"/>
    </row>
    <row r="774">
      <c r="A774" s="231" t="s">
        <v>420</v>
      </c>
      <c r="B774" s="222" t="s">
        <v>33</v>
      </c>
      <c r="C774" s="236"/>
      <c r="D774" s="227"/>
      <c r="E774" s="224"/>
      <c r="F774" s="228"/>
      <c r="G774" s="233"/>
      <c r="H774" s="233"/>
      <c r="I774" s="233"/>
      <c r="J774" s="233"/>
      <c r="K774" s="233"/>
      <c r="L774" s="233"/>
      <c r="M774" s="233"/>
    </row>
    <row r="775">
      <c r="A775" s="231" t="s">
        <v>530</v>
      </c>
      <c r="B775" s="222" t="s">
        <v>33</v>
      </c>
      <c r="C775" s="236"/>
      <c r="D775" s="227"/>
      <c r="E775" s="224"/>
      <c r="F775" s="228"/>
      <c r="G775" s="233"/>
      <c r="H775" s="233"/>
      <c r="I775" s="233"/>
      <c r="J775" s="233"/>
      <c r="K775" s="233"/>
      <c r="L775" s="233"/>
      <c r="M775" s="233"/>
    </row>
    <row r="776">
      <c r="A776" s="225" t="s">
        <v>531</v>
      </c>
      <c r="B776" s="222" t="s">
        <v>33</v>
      </c>
      <c r="C776" s="224"/>
      <c r="D776" s="227"/>
      <c r="E776" s="224"/>
      <c r="F776" s="228"/>
      <c r="G776" s="233"/>
      <c r="H776" s="233"/>
      <c r="I776" s="233"/>
      <c r="J776" s="233"/>
      <c r="K776" s="233"/>
      <c r="L776" s="233"/>
      <c r="M776" s="233"/>
    </row>
    <row r="777">
      <c r="A777" s="231" t="s">
        <v>530</v>
      </c>
      <c r="B777" s="222" t="s">
        <v>33</v>
      </c>
      <c r="C777" s="224"/>
      <c r="D777" s="227"/>
      <c r="E777" s="224"/>
      <c r="F777" s="228"/>
      <c r="G777" s="233"/>
      <c r="H777" s="233"/>
      <c r="I777" s="233"/>
      <c r="J777" s="233"/>
      <c r="K777" s="233"/>
      <c r="L777" s="233"/>
      <c r="M777" s="233"/>
    </row>
    <row r="778">
      <c r="A778" s="225" t="s">
        <v>532</v>
      </c>
      <c r="B778" s="222" t="s">
        <v>33</v>
      </c>
      <c r="C778" s="236">
        <v>5.0</v>
      </c>
      <c r="D778" s="235">
        <v>5000.0</v>
      </c>
      <c r="E778" s="224"/>
      <c r="F778" s="228"/>
      <c r="G778" s="233"/>
      <c r="H778" s="233"/>
      <c r="I778" s="233"/>
      <c r="J778" s="233"/>
      <c r="K778" s="233"/>
      <c r="L778" s="233"/>
      <c r="M778" s="233"/>
    </row>
    <row r="779">
      <c r="A779" s="231" t="s">
        <v>530</v>
      </c>
      <c r="B779" s="222" t="s">
        <v>24</v>
      </c>
      <c r="C779" s="236">
        <v>15.0</v>
      </c>
      <c r="D779" s="227"/>
      <c r="E779" s="224"/>
      <c r="F779" s="228"/>
      <c r="G779" s="233"/>
      <c r="H779" s="233"/>
      <c r="I779" s="233"/>
      <c r="J779" s="233"/>
      <c r="K779" s="233"/>
      <c r="L779" s="233"/>
      <c r="M779" s="233"/>
    </row>
    <row r="780" ht="15.75" hidden="1" customHeight="1">
      <c r="A780" s="225" t="s">
        <v>276</v>
      </c>
      <c r="B780" s="222" t="s">
        <v>33</v>
      </c>
      <c r="C780" s="224"/>
      <c r="D780" s="227"/>
      <c r="E780" s="224"/>
      <c r="F780" s="228"/>
      <c r="G780" s="233"/>
      <c r="H780" s="233"/>
      <c r="I780" s="233"/>
      <c r="J780" s="233"/>
      <c r="K780" s="233"/>
      <c r="L780" s="233"/>
      <c r="M780" s="233"/>
    </row>
    <row r="781" ht="15.75" hidden="1" customHeight="1">
      <c r="A781" s="231" t="s">
        <v>530</v>
      </c>
      <c r="B781" s="222" t="s">
        <v>24</v>
      </c>
      <c r="C781" s="224"/>
      <c r="D781" s="227"/>
      <c r="E781" s="224"/>
      <c r="F781" s="228"/>
      <c r="G781" s="233"/>
      <c r="H781" s="233"/>
      <c r="I781" s="233"/>
      <c r="J781" s="233"/>
      <c r="K781" s="233"/>
      <c r="L781" s="233"/>
      <c r="M781" s="233"/>
    </row>
    <row r="782" ht="15.75" hidden="1" customHeight="1">
      <c r="A782" s="225" t="s">
        <v>533</v>
      </c>
      <c r="B782" s="222" t="s">
        <v>33</v>
      </c>
      <c r="C782" s="224"/>
      <c r="D782" s="227"/>
      <c r="E782" s="224"/>
      <c r="F782" s="228"/>
      <c r="G782" s="233"/>
      <c r="H782" s="233"/>
      <c r="I782" s="233"/>
      <c r="J782" s="233"/>
      <c r="K782" s="233"/>
      <c r="L782" s="233"/>
      <c r="M782" s="233"/>
    </row>
    <row r="783" ht="15.75" hidden="1" customHeight="1">
      <c r="A783" s="231" t="s">
        <v>530</v>
      </c>
      <c r="B783" s="222" t="s">
        <v>33</v>
      </c>
      <c r="C783" s="224"/>
      <c r="D783" s="227"/>
      <c r="E783" s="224"/>
      <c r="F783" s="228"/>
      <c r="G783" s="233"/>
      <c r="H783" s="233"/>
      <c r="I783" s="233"/>
      <c r="J783" s="233"/>
      <c r="K783" s="233"/>
      <c r="L783" s="233"/>
      <c r="M783" s="233"/>
    </row>
    <row r="784">
      <c r="A784" s="225" t="s">
        <v>534</v>
      </c>
      <c r="B784" s="222" t="s">
        <v>33</v>
      </c>
      <c r="C784" s="224"/>
      <c r="D784" s="227"/>
      <c r="E784" s="236">
        <v>4.0</v>
      </c>
      <c r="F784" s="238">
        <v>2800.0</v>
      </c>
      <c r="G784" s="233"/>
      <c r="H784" s="233"/>
      <c r="I784" s="233"/>
      <c r="J784" s="233"/>
      <c r="K784" s="233"/>
      <c r="L784" s="233"/>
      <c r="M784" s="233"/>
    </row>
    <row r="785">
      <c r="A785" s="231" t="s">
        <v>530</v>
      </c>
      <c r="B785" s="222" t="s">
        <v>33</v>
      </c>
      <c r="C785" s="224"/>
      <c r="D785" s="227"/>
      <c r="E785" s="236">
        <v>4.0</v>
      </c>
      <c r="F785" s="228"/>
      <c r="G785" s="233"/>
      <c r="H785" s="233"/>
      <c r="I785" s="233"/>
      <c r="J785" s="233"/>
      <c r="K785" s="233"/>
      <c r="L785" s="233"/>
      <c r="M785" s="233"/>
    </row>
    <row r="786" ht="19.5" hidden="1" customHeight="1">
      <c r="A786" s="225" t="s">
        <v>535</v>
      </c>
      <c r="B786" s="222" t="s">
        <v>33</v>
      </c>
      <c r="C786" s="224"/>
      <c r="D786" s="227"/>
      <c r="E786" s="224"/>
      <c r="F786" s="228"/>
      <c r="G786" s="233"/>
      <c r="H786" s="233"/>
      <c r="I786" s="233"/>
      <c r="J786" s="233"/>
      <c r="K786" s="233"/>
      <c r="L786" s="233"/>
      <c r="M786" s="233"/>
    </row>
    <row r="787" ht="19.5" hidden="1" customHeight="1">
      <c r="A787" s="231" t="s">
        <v>530</v>
      </c>
      <c r="B787" s="222" t="s">
        <v>33</v>
      </c>
      <c r="C787" s="224"/>
      <c r="D787" s="227"/>
      <c r="E787" s="224"/>
      <c r="F787" s="228"/>
      <c r="G787" s="233"/>
      <c r="H787" s="233"/>
      <c r="I787" s="233"/>
      <c r="J787" s="233"/>
      <c r="K787" s="233"/>
      <c r="L787" s="233"/>
      <c r="M787" s="233"/>
    </row>
    <row r="788" ht="19.5" hidden="1" customHeight="1">
      <c r="A788" s="225" t="s">
        <v>536</v>
      </c>
      <c r="B788" s="222" t="s">
        <v>33</v>
      </c>
      <c r="C788" s="224"/>
      <c r="D788" s="227"/>
      <c r="E788" s="224"/>
      <c r="F788" s="228"/>
      <c r="G788" s="233"/>
      <c r="H788" s="233"/>
      <c r="I788" s="233"/>
      <c r="J788" s="233"/>
      <c r="K788" s="233"/>
      <c r="L788" s="233"/>
      <c r="M788" s="233"/>
    </row>
    <row r="789" ht="19.5" hidden="1" customHeight="1">
      <c r="A789" s="231" t="s">
        <v>530</v>
      </c>
      <c r="B789" s="222" t="s">
        <v>33</v>
      </c>
      <c r="C789" s="224"/>
      <c r="D789" s="227"/>
      <c r="E789" s="224"/>
      <c r="F789" s="228"/>
      <c r="G789" s="233"/>
      <c r="H789" s="233"/>
      <c r="I789" s="233"/>
      <c r="J789" s="233"/>
      <c r="K789" s="233"/>
      <c r="L789" s="233"/>
      <c r="M789" s="233"/>
    </row>
    <row r="790">
      <c r="A790" s="225" t="s">
        <v>537</v>
      </c>
      <c r="B790" s="222" t="s">
        <v>33</v>
      </c>
      <c r="C790" s="236">
        <v>30.0</v>
      </c>
      <c r="D790" s="235">
        <v>30000.0</v>
      </c>
      <c r="E790" s="224"/>
      <c r="F790" s="228"/>
      <c r="G790" s="233"/>
      <c r="H790" s="233"/>
      <c r="I790" s="233"/>
      <c r="J790" s="233"/>
      <c r="K790" s="233"/>
      <c r="L790" s="233"/>
      <c r="M790" s="233"/>
    </row>
    <row r="791">
      <c r="A791" s="231" t="s">
        <v>530</v>
      </c>
      <c r="B791" s="222" t="s">
        <v>24</v>
      </c>
      <c r="C791" s="236">
        <v>40.0</v>
      </c>
      <c r="D791" s="235"/>
      <c r="E791" s="224"/>
      <c r="F791" s="228"/>
      <c r="G791" s="233"/>
      <c r="H791" s="233"/>
      <c r="I791" s="233"/>
      <c r="J791" s="233"/>
      <c r="K791" s="233"/>
      <c r="L791" s="233"/>
      <c r="M791" s="233"/>
    </row>
    <row r="792" ht="19.5" hidden="1" customHeight="1">
      <c r="A792" s="226" t="s">
        <v>538</v>
      </c>
      <c r="B792" s="222" t="s">
        <v>33</v>
      </c>
      <c r="C792" s="224"/>
      <c r="D792" s="227"/>
      <c r="E792" s="224"/>
      <c r="F792" s="228"/>
      <c r="G792" s="233"/>
      <c r="H792" s="233"/>
      <c r="I792" s="233"/>
      <c r="J792" s="233"/>
      <c r="K792" s="233"/>
      <c r="L792" s="233"/>
      <c r="M792" s="233"/>
    </row>
    <row r="793" ht="19.5" hidden="1" customHeight="1">
      <c r="A793" s="230" t="s">
        <v>530</v>
      </c>
      <c r="B793" s="222" t="s">
        <v>24</v>
      </c>
      <c r="C793" s="224"/>
      <c r="D793" s="227"/>
      <c r="E793" s="224"/>
      <c r="F793" s="228"/>
      <c r="G793" s="233"/>
      <c r="H793" s="233"/>
      <c r="I793" s="233"/>
      <c r="J793" s="233"/>
      <c r="K793" s="233"/>
      <c r="L793" s="233"/>
      <c r="M793" s="233"/>
    </row>
    <row r="794" ht="20.25" hidden="1" customHeight="1">
      <c r="A794" s="226" t="s">
        <v>192</v>
      </c>
      <c r="B794" s="222"/>
      <c r="C794" s="224"/>
      <c r="D794" s="227"/>
      <c r="E794" s="224"/>
      <c r="F794" s="228"/>
      <c r="G794" s="233"/>
      <c r="H794" s="233"/>
      <c r="I794" s="233"/>
      <c r="J794" s="233"/>
      <c r="K794" s="233"/>
      <c r="L794" s="233"/>
      <c r="M794" s="233"/>
    </row>
    <row r="795" ht="19.5" hidden="1" customHeight="1">
      <c r="A795" s="230" t="s">
        <v>530</v>
      </c>
      <c r="B795" s="222"/>
      <c r="C795" s="224"/>
      <c r="D795" s="227"/>
      <c r="E795" s="224"/>
      <c r="F795" s="228"/>
      <c r="G795" s="233"/>
      <c r="H795" s="233"/>
      <c r="I795" s="233"/>
      <c r="J795" s="233"/>
      <c r="K795" s="233"/>
      <c r="L795" s="233"/>
      <c r="M795" s="233"/>
    </row>
    <row r="796" ht="19.5" hidden="1" customHeight="1">
      <c r="A796" s="226" t="s">
        <v>192</v>
      </c>
      <c r="B796" s="222"/>
      <c r="C796" s="224"/>
      <c r="D796" s="227"/>
      <c r="E796" s="224"/>
      <c r="F796" s="228"/>
      <c r="G796" s="233"/>
      <c r="H796" s="233"/>
      <c r="I796" s="233"/>
      <c r="J796" s="233"/>
      <c r="K796" s="233"/>
      <c r="L796" s="233"/>
      <c r="M796" s="233"/>
    </row>
    <row r="797" ht="19.5" hidden="1" customHeight="1">
      <c r="A797" s="230" t="s">
        <v>530</v>
      </c>
      <c r="B797" s="222"/>
      <c r="C797" s="224"/>
      <c r="D797" s="227"/>
      <c r="E797" s="224"/>
      <c r="F797" s="228"/>
      <c r="G797" s="233"/>
      <c r="H797" s="233"/>
      <c r="I797" s="233"/>
      <c r="J797" s="233"/>
      <c r="K797" s="233"/>
      <c r="L797" s="233"/>
      <c r="M797" s="233"/>
    </row>
    <row r="798" ht="19.5" hidden="1" customHeight="1">
      <c r="A798" s="228"/>
      <c r="B798" s="222"/>
      <c r="C798" s="224"/>
      <c r="D798" s="227"/>
      <c r="E798" s="224"/>
      <c r="F798" s="228"/>
      <c r="G798" s="233"/>
      <c r="H798" s="233"/>
      <c r="I798" s="233"/>
      <c r="J798" s="233"/>
      <c r="K798" s="233"/>
      <c r="L798" s="233"/>
      <c r="M798" s="233"/>
    </row>
    <row r="799" ht="19.5" hidden="1" customHeight="1">
      <c r="A799" s="228"/>
      <c r="B799" s="222"/>
      <c r="C799" s="224"/>
      <c r="D799" s="227"/>
      <c r="E799" s="224"/>
      <c r="F799" s="228"/>
      <c r="G799" s="233"/>
      <c r="H799" s="233"/>
      <c r="I799" s="233"/>
      <c r="J799" s="233"/>
      <c r="K799" s="233"/>
      <c r="L799" s="233"/>
      <c r="M799" s="233"/>
    </row>
    <row r="800" ht="19.5" customHeight="1">
      <c r="A800" s="228"/>
      <c r="B800" s="222"/>
      <c r="C800" s="224"/>
      <c r="D800" s="227"/>
      <c r="E800" s="224"/>
      <c r="F800" s="228"/>
      <c r="G800" s="233"/>
      <c r="H800" s="233"/>
      <c r="I800" s="233"/>
      <c r="J800" s="233"/>
      <c r="K800" s="233"/>
      <c r="L800" s="233"/>
      <c r="M800" s="233"/>
    </row>
    <row r="801" ht="19.5" customHeight="1">
      <c r="A801" s="262" t="s">
        <v>69</v>
      </c>
      <c r="B801" s="222"/>
      <c r="C801" s="224"/>
      <c r="D801" s="218">
        <f>D12+D625</f>
        <v>125655.82</v>
      </c>
      <c r="E801" s="218"/>
      <c r="F801" s="218">
        <f>F12+F625</f>
        <v>78350.29</v>
      </c>
      <c r="G801" s="261"/>
      <c r="H801" s="218">
        <f>H12+H625</f>
        <v>65180.71</v>
      </c>
      <c r="I801" s="261"/>
      <c r="J801" s="218">
        <f>J12+J625</f>
        <v>0</v>
      </c>
      <c r="K801" s="261"/>
      <c r="L801" s="218">
        <f>L12+L625</f>
        <v>65180.71</v>
      </c>
      <c r="M801" s="261"/>
    </row>
    <row r="802" ht="19.5" customHeight="1">
      <c r="A802" s="263"/>
      <c r="B802" s="264"/>
      <c r="C802" s="265"/>
      <c r="D802" s="266"/>
      <c r="E802" s="266"/>
      <c r="F802" s="266"/>
      <c r="G802" s="267"/>
      <c r="H802" s="267"/>
      <c r="I802" s="267"/>
      <c r="J802" s="267"/>
      <c r="K802" s="267"/>
      <c r="L802" s="267"/>
      <c r="M802" s="267"/>
    </row>
    <row r="803" ht="16.5" customHeight="1">
      <c r="A803" s="102" t="s">
        <v>70</v>
      </c>
      <c r="B803" s="12"/>
      <c r="E803" s="103" t="s">
        <v>83</v>
      </c>
      <c r="J803" s="2"/>
      <c r="K803" s="2"/>
      <c r="L803" s="97" t="s">
        <v>73</v>
      </c>
      <c r="M803" s="2"/>
    </row>
    <row r="804" ht="16.5" customHeight="1">
      <c r="A804" s="104"/>
      <c r="B804" s="12"/>
      <c r="E804" s="105"/>
      <c r="J804" s="2"/>
      <c r="K804" s="2"/>
      <c r="L804" s="98"/>
      <c r="M804" s="2"/>
    </row>
    <row r="805" ht="16.5" customHeight="1">
      <c r="A805" s="104"/>
      <c r="B805" s="12"/>
      <c r="E805" s="105"/>
      <c r="J805" s="2"/>
      <c r="K805" s="2"/>
      <c r="L805" s="98"/>
      <c r="M805" s="2"/>
    </row>
    <row r="806" ht="16.5" customHeight="1">
      <c r="B806" s="12"/>
      <c r="E806" s="105"/>
      <c r="F806" s="12"/>
      <c r="G806" s="12"/>
      <c r="H806" s="12"/>
      <c r="J806" s="12"/>
      <c r="K806" s="12"/>
      <c r="L806" s="98"/>
      <c r="M806" s="12"/>
    </row>
    <row r="807" ht="16.5" customHeight="1">
      <c r="A807" s="104"/>
      <c r="B807" s="12"/>
      <c r="E807" s="105"/>
      <c r="F807" s="12"/>
      <c r="G807" s="12"/>
      <c r="H807" s="12"/>
      <c r="J807" s="12"/>
      <c r="K807" s="12"/>
      <c r="L807" s="98"/>
      <c r="M807" s="12"/>
    </row>
    <row r="808" ht="20.25" customHeight="1">
      <c r="A808" s="106" t="s">
        <v>75</v>
      </c>
      <c r="B808" s="12"/>
      <c r="E808" s="107" t="s">
        <v>76</v>
      </c>
      <c r="F808" s="12"/>
      <c r="G808" s="12"/>
      <c r="H808" s="12"/>
      <c r="J808" s="12"/>
      <c r="K808" s="12"/>
      <c r="L808" s="100" t="s">
        <v>77</v>
      </c>
      <c r="M808" s="12"/>
    </row>
    <row r="809" ht="16.5" customHeight="1">
      <c r="A809" s="108" t="s">
        <v>79</v>
      </c>
      <c r="B809" s="12"/>
      <c r="E809" s="103" t="s">
        <v>80</v>
      </c>
      <c r="F809" s="12"/>
      <c r="G809" s="12"/>
      <c r="H809" s="12"/>
      <c r="J809" s="12"/>
      <c r="K809" s="12"/>
      <c r="L809" s="95" t="s">
        <v>81</v>
      </c>
      <c r="M809" s="12"/>
    </row>
    <row r="810" ht="18.75" customHeight="1">
      <c r="A810" s="268"/>
      <c r="B810" s="269"/>
      <c r="C810" s="270"/>
      <c r="D810" s="270"/>
      <c r="E810" s="270"/>
      <c r="F810" s="270"/>
      <c r="G810" s="270"/>
      <c r="H810" s="270"/>
      <c r="I810" s="270"/>
      <c r="J810" s="270"/>
      <c r="K810" s="270"/>
      <c r="L810" s="270"/>
      <c r="M810" s="270"/>
    </row>
    <row r="811" ht="21.75" customHeight="1">
      <c r="A811" s="270"/>
      <c r="B811" s="270"/>
      <c r="C811" s="270"/>
      <c r="D811" s="270"/>
      <c r="E811" s="270"/>
      <c r="F811" s="270"/>
      <c r="G811" s="12"/>
      <c r="H811" s="12"/>
      <c r="I811" s="12"/>
      <c r="J811" s="12"/>
      <c r="K811" s="12"/>
      <c r="L811" s="12"/>
      <c r="M811" s="12"/>
    </row>
    <row r="812" ht="19.5" customHeight="1">
      <c r="A812" s="270"/>
      <c r="B812" s="270"/>
      <c r="C812" s="270"/>
      <c r="D812" s="270"/>
      <c r="E812" s="270"/>
      <c r="F812" s="270"/>
      <c r="G812" s="12"/>
      <c r="H812" s="12"/>
      <c r="I812" s="12"/>
      <c r="J812" s="12"/>
      <c r="K812" s="12"/>
      <c r="L812" s="12"/>
      <c r="M812" s="12"/>
    </row>
    <row r="813" ht="19.5" customHeight="1">
      <c r="A813" s="270"/>
      <c r="B813" s="270"/>
      <c r="C813" s="270"/>
      <c r="D813" s="270"/>
      <c r="E813" s="270"/>
      <c r="F813" s="270"/>
      <c r="G813" s="12"/>
      <c r="H813" s="12"/>
      <c r="I813" s="12"/>
      <c r="J813" s="12"/>
      <c r="K813" s="12"/>
      <c r="L813" s="12"/>
      <c r="M813" s="12"/>
    </row>
    <row r="814" ht="19.5" customHeight="1">
      <c r="A814" s="270"/>
      <c r="B814" s="27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</row>
    <row r="815" ht="19.5" customHeight="1">
      <c r="A815" s="270"/>
      <c r="B815" s="27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</row>
    <row r="816" ht="19.5" customHeight="1">
      <c r="A816" s="270"/>
      <c r="B816" s="27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</row>
    <row r="817" ht="19.5" customHeight="1">
      <c r="A817" s="270"/>
      <c r="B817" s="27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</row>
    <row r="818" ht="19.5" customHeight="1">
      <c r="A818" s="270"/>
      <c r="B818" s="270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</row>
    <row r="819" ht="19.5" customHeight="1">
      <c r="A819" s="270"/>
      <c r="B819" s="270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</row>
    <row r="820" ht="19.5" customHeight="1">
      <c r="A820" s="213"/>
      <c r="B820" s="214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</row>
    <row r="821" ht="19.5" customHeight="1">
      <c r="A821" s="213"/>
      <c r="B821" s="214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</row>
    <row r="822" ht="19.5" customHeight="1">
      <c r="A822" s="213"/>
      <c r="B822" s="214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</row>
    <row r="823" ht="19.5" customHeight="1">
      <c r="A823" s="213"/>
      <c r="B823" s="214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</row>
    <row r="824" ht="19.5" customHeight="1">
      <c r="A824" s="213"/>
      <c r="B824" s="214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</row>
    <row r="825" ht="19.5" customHeight="1">
      <c r="A825" s="213"/>
      <c r="B825" s="214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</row>
    <row r="826" ht="19.5" customHeight="1">
      <c r="A826" s="213"/>
      <c r="B826" s="214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</row>
    <row r="827" ht="19.5" customHeight="1">
      <c r="A827" s="213"/>
      <c r="B827" s="214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</row>
    <row r="828" ht="19.5" customHeight="1">
      <c r="A828" s="213"/>
      <c r="B828" s="214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</row>
    <row r="829" ht="19.5" customHeight="1">
      <c r="A829" s="213"/>
      <c r="B829" s="214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</row>
    <row r="830" ht="19.5" customHeight="1">
      <c r="A830" s="213"/>
      <c r="B830" s="214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</row>
    <row r="831" ht="19.5" customHeight="1">
      <c r="A831" s="213"/>
      <c r="B831" s="214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</row>
    <row r="832" ht="19.5" customHeight="1">
      <c r="A832" s="213"/>
      <c r="B832" s="214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</row>
    <row r="833" ht="19.5" customHeight="1">
      <c r="A833" s="213"/>
      <c r="B833" s="214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</row>
    <row r="834" ht="19.5" customHeight="1">
      <c r="A834" s="213"/>
      <c r="B834" s="214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</row>
    <row r="835" ht="19.5" customHeight="1">
      <c r="A835" s="213"/>
      <c r="B835" s="214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</row>
    <row r="836" ht="19.5" customHeight="1">
      <c r="A836" s="213"/>
      <c r="B836" s="214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</row>
    <row r="837" ht="19.5" customHeight="1">
      <c r="A837" s="213"/>
      <c r="B837" s="214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</row>
    <row r="838" ht="19.5" customHeight="1">
      <c r="A838" s="213"/>
      <c r="B838" s="214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</row>
    <row r="839" ht="19.5" customHeight="1">
      <c r="A839" s="213"/>
      <c r="B839" s="214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</row>
    <row r="840" ht="19.5" customHeight="1">
      <c r="A840" s="213"/>
      <c r="B840" s="214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</row>
    <row r="841" ht="19.5" customHeight="1">
      <c r="A841" s="213"/>
      <c r="B841" s="214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</row>
    <row r="842" ht="19.5" customHeight="1">
      <c r="A842" s="213"/>
      <c r="B842" s="214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</row>
    <row r="843" ht="19.5" customHeight="1">
      <c r="A843" s="213"/>
      <c r="B843" s="214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</row>
    <row r="844" ht="19.5" customHeight="1">
      <c r="A844" s="213"/>
      <c r="B844" s="214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</row>
    <row r="845" ht="19.5" customHeight="1">
      <c r="A845" s="213"/>
      <c r="B845" s="214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</row>
    <row r="846" ht="19.5" customHeight="1">
      <c r="A846" s="213"/>
      <c r="B846" s="214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</row>
    <row r="847" ht="19.5" customHeight="1">
      <c r="A847" s="213"/>
      <c r="B847" s="214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</row>
    <row r="848" ht="19.5" customHeight="1">
      <c r="A848" s="213"/>
      <c r="B848" s="214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</row>
    <row r="849" ht="19.5" customHeight="1">
      <c r="A849" s="213"/>
      <c r="B849" s="214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</row>
    <row r="850" ht="19.5" customHeight="1">
      <c r="A850" s="213"/>
      <c r="B850" s="214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</row>
    <row r="851" ht="14.25" customHeight="1">
      <c r="A851" s="213"/>
      <c r="B851" s="214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</row>
    <row r="852" ht="15.75" customHeight="1">
      <c r="A852" s="12"/>
      <c r="B852" s="1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</row>
    <row r="853" ht="15.75" customHeight="1">
      <c r="A853" s="12"/>
      <c r="B853" s="1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</row>
    <row r="854" ht="15.75" customHeight="1">
      <c r="A854" s="12"/>
      <c r="B854" s="1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</row>
    <row r="855" ht="15.75" customHeight="1">
      <c r="A855" s="12"/>
      <c r="B855" s="1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</row>
    <row r="856" ht="15.75" customHeight="1">
      <c r="A856" s="12"/>
      <c r="B856" s="1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</row>
    <row r="857" ht="15.75" customHeight="1">
      <c r="A857" s="12"/>
      <c r="B857" s="1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</row>
    <row r="858" ht="15.75" customHeight="1">
      <c r="A858" s="12"/>
      <c r="B858" s="1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</row>
    <row r="859" ht="15.75" customHeight="1">
      <c r="A859" s="12"/>
      <c r="B859" s="1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</row>
    <row r="860" ht="15.75" customHeight="1">
      <c r="A860" s="12"/>
      <c r="B860" s="1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</row>
    <row r="861" ht="15.75" customHeight="1">
      <c r="A861" s="12"/>
      <c r="B861" s="1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</row>
    <row r="862" ht="15.75" customHeight="1">
      <c r="A862" s="12"/>
      <c r="B862" s="1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</row>
    <row r="863" ht="15.75" customHeight="1">
      <c r="A863" s="12"/>
      <c r="B863" s="1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</row>
    <row r="864" ht="15.75" customHeight="1">
      <c r="A864" s="12"/>
      <c r="B864" s="1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</row>
    <row r="865" ht="15.75" customHeight="1">
      <c r="A865" s="12"/>
      <c r="B865" s="1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</row>
    <row r="866" ht="15.75" customHeight="1">
      <c r="A866" s="12"/>
      <c r="B866" s="1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</row>
    <row r="867" ht="15.75" customHeight="1">
      <c r="A867" s="12"/>
      <c r="B867" s="1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</row>
    <row r="868" ht="15.75" customHeight="1">
      <c r="A868" s="12"/>
      <c r="B868" s="1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</row>
    <row r="869" ht="15.75" customHeight="1">
      <c r="A869" s="12"/>
      <c r="B869" s="1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</row>
    <row r="870" ht="15.75" customHeight="1">
      <c r="A870" s="12"/>
      <c r="B870" s="1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</row>
    <row r="871" ht="15.75" customHeight="1">
      <c r="A871" s="12"/>
      <c r="B871" s="1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</row>
    <row r="872" ht="15.75" customHeight="1">
      <c r="A872" s="12"/>
      <c r="B872" s="1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</row>
    <row r="873" ht="15.75" customHeight="1">
      <c r="A873" s="12"/>
      <c r="B873" s="1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</row>
    <row r="874" ht="15.75" customHeight="1">
      <c r="A874" s="12"/>
      <c r="B874" s="1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</row>
    <row r="875" ht="15.75" customHeight="1">
      <c r="A875" s="12"/>
      <c r="B875" s="1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</row>
    <row r="876" ht="15.75" customHeight="1">
      <c r="A876" s="12"/>
      <c r="B876" s="1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</row>
    <row r="877" ht="15.75" customHeight="1">
      <c r="A877" s="272"/>
      <c r="B877" s="27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</row>
    <row r="878" ht="15.75" customHeight="1">
      <c r="A878" s="272"/>
      <c r="B878" s="27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</row>
    <row r="879" ht="15.75" customHeight="1">
      <c r="A879" s="272"/>
      <c r="B879" s="27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</row>
    <row r="880" ht="15.75" customHeight="1">
      <c r="A880" s="272"/>
      <c r="B880" s="27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</row>
    <row r="881" ht="15.75" customHeight="1">
      <c r="A881" s="272"/>
      <c r="B881" s="27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</row>
    <row r="882" ht="15.75" customHeight="1">
      <c r="A882" s="272"/>
      <c r="B882" s="27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</row>
    <row r="883" ht="15.75" customHeight="1">
      <c r="A883" s="272"/>
      <c r="B883" s="27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</row>
    <row r="884" ht="15.75" customHeight="1">
      <c r="A884" s="272"/>
      <c r="B884" s="27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</row>
    <row r="885" ht="15.75" customHeight="1">
      <c r="A885" s="272"/>
      <c r="B885" s="27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</row>
    <row r="886" ht="15.75" customHeight="1">
      <c r="A886" s="272"/>
      <c r="B886" s="27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</row>
    <row r="887" ht="15.75" customHeight="1">
      <c r="A887" s="272"/>
      <c r="B887" s="27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</row>
    <row r="888" ht="15.75" customHeight="1">
      <c r="A888" s="272"/>
      <c r="B888" s="27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</row>
    <row r="889" ht="15.75" customHeight="1">
      <c r="A889" s="272"/>
      <c r="B889" s="27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</row>
    <row r="890" ht="15.75" customHeight="1">
      <c r="A890" s="272"/>
      <c r="B890" s="27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</row>
    <row r="891" ht="15.75" customHeight="1">
      <c r="A891" s="272"/>
      <c r="B891" s="27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</row>
    <row r="892" ht="15.75" customHeight="1">
      <c r="A892" s="272"/>
      <c r="B892" s="27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</row>
    <row r="893" ht="15.75" customHeight="1">
      <c r="A893" s="272"/>
      <c r="B893" s="27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</row>
    <row r="894" ht="15.75" customHeight="1">
      <c r="A894" s="272"/>
      <c r="B894" s="27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</row>
    <row r="895" ht="15.75" customHeight="1">
      <c r="A895" s="272"/>
      <c r="B895" s="27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</row>
    <row r="896" ht="15.75" customHeight="1">
      <c r="A896" s="272"/>
      <c r="B896" s="27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</row>
    <row r="897" ht="15.75" customHeight="1">
      <c r="A897" s="272"/>
      <c r="B897" s="27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</row>
    <row r="898" ht="15.75" customHeight="1">
      <c r="A898" s="272"/>
      <c r="B898" s="27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</row>
    <row r="899" ht="15.75" customHeight="1">
      <c r="A899" s="272"/>
      <c r="B899" s="27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</row>
    <row r="900" ht="15.75" customHeight="1">
      <c r="A900" s="272"/>
      <c r="B900" s="27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</row>
    <row r="901" ht="15.75" customHeight="1">
      <c r="A901" s="272"/>
      <c r="B901" s="27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</row>
    <row r="902" ht="15.75" customHeight="1">
      <c r="A902" s="272"/>
      <c r="B902" s="27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</row>
    <row r="903" ht="15.75" customHeight="1">
      <c r="A903" s="272"/>
      <c r="B903" s="27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</row>
    <row r="904" ht="15.75" customHeight="1">
      <c r="A904" s="272"/>
      <c r="B904" s="27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</row>
    <row r="905" ht="15.75" customHeight="1">
      <c r="A905" s="272"/>
      <c r="B905" s="27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</row>
    <row r="906" ht="15.75" customHeight="1">
      <c r="A906" s="272"/>
      <c r="B906" s="27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</row>
    <row r="907" ht="15.75" customHeight="1">
      <c r="A907" s="272"/>
      <c r="B907" s="27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</row>
    <row r="908" ht="15.75" customHeight="1">
      <c r="A908" s="272"/>
      <c r="B908" s="27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</row>
    <row r="909" ht="15.75" customHeight="1">
      <c r="A909" s="272"/>
      <c r="B909" s="27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</row>
    <row r="910" ht="15.75" customHeight="1">
      <c r="A910" s="272"/>
      <c r="B910" s="27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</row>
    <row r="911" ht="15.75" customHeight="1">
      <c r="A911" s="272"/>
      <c r="B911" s="27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</row>
    <row r="912" ht="15.75" customHeight="1">
      <c r="A912" s="272"/>
      <c r="B912" s="27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</row>
    <row r="913" ht="15.75" customHeight="1">
      <c r="A913" s="272"/>
      <c r="B913" s="27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</row>
    <row r="914" ht="15.75" customHeight="1">
      <c r="A914" s="272"/>
      <c r="B914" s="27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</row>
    <row r="915" ht="15.75" customHeight="1">
      <c r="A915" s="272"/>
      <c r="B915" s="27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</row>
    <row r="916" ht="15.75" customHeight="1">
      <c r="A916" s="272"/>
      <c r="B916" s="27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</row>
    <row r="917" ht="15.75" customHeight="1">
      <c r="A917" s="272"/>
      <c r="B917" s="27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</row>
    <row r="918" ht="15.75" customHeight="1">
      <c r="A918" s="272"/>
      <c r="B918" s="27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</row>
    <row r="919" ht="15.75" customHeight="1">
      <c r="A919" s="272"/>
      <c r="B919" s="27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</row>
    <row r="920" ht="15.75" customHeight="1">
      <c r="A920" s="272"/>
      <c r="B920" s="27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</row>
    <row r="921" ht="15.75" customHeight="1">
      <c r="A921" s="272"/>
      <c r="B921" s="27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</row>
    <row r="922" ht="15.75" customHeight="1">
      <c r="A922" s="272"/>
      <c r="B922" s="27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</row>
    <row r="923" ht="15.75" customHeight="1">
      <c r="A923" s="272"/>
      <c r="B923" s="27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</row>
    <row r="924" ht="15.75" customHeight="1">
      <c r="A924" s="272"/>
      <c r="B924" s="27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</row>
    <row r="925" ht="15.75" customHeight="1">
      <c r="A925" s="272"/>
      <c r="B925" s="27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</row>
    <row r="926" ht="15.75" customHeight="1">
      <c r="A926" s="272"/>
      <c r="B926" s="27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</row>
    <row r="927" ht="15.75" customHeight="1">
      <c r="A927" s="272"/>
      <c r="B927" s="27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</row>
    <row r="928" ht="15.75" customHeight="1">
      <c r="A928" s="272"/>
      <c r="B928" s="27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</row>
    <row r="929" ht="15.75" customHeight="1">
      <c r="A929" s="272"/>
      <c r="B929" s="27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</row>
    <row r="930" ht="15.75" customHeight="1">
      <c r="A930" s="272"/>
      <c r="B930" s="27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</row>
    <row r="931" ht="15.75" customHeight="1">
      <c r="A931" s="272"/>
      <c r="B931" s="27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</row>
    <row r="932" ht="15.75" customHeight="1">
      <c r="A932" s="272"/>
      <c r="B932" s="27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</row>
    <row r="933" ht="15.75" customHeight="1">
      <c r="A933" s="272"/>
      <c r="B933" s="27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</row>
    <row r="934" ht="15.75" customHeight="1">
      <c r="A934" s="272"/>
      <c r="B934" s="27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</row>
    <row r="935" ht="15.75" customHeight="1">
      <c r="A935" s="272"/>
      <c r="B935" s="27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</row>
    <row r="936" ht="15.75" customHeight="1">
      <c r="A936" s="272"/>
      <c r="B936" s="27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</row>
    <row r="937" ht="15.75" customHeight="1">
      <c r="A937" s="272"/>
      <c r="B937" s="27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</row>
    <row r="938" ht="15.75" customHeight="1">
      <c r="A938" s="272"/>
      <c r="B938" s="27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</row>
    <row r="939" ht="15.75" customHeight="1">
      <c r="A939" s="272"/>
      <c r="B939" s="27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</row>
    <row r="940" ht="15.75" customHeight="1">
      <c r="A940" s="272"/>
      <c r="B940" s="27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</row>
    <row r="941" ht="15.75" customHeight="1">
      <c r="A941" s="272"/>
      <c r="B941" s="27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</row>
    <row r="942" ht="15.75" customHeight="1">
      <c r="A942" s="272"/>
      <c r="B942" s="27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</row>
    <row r="943" ht="15.75" customHeight="1">
      <c r="A943" s="272"/>
      <c r="B943" s="27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</row>
    <row r="944" ht="15.75" customHeight="1">
      <c r="A944" s="272"/>
      <c r="B944" s="27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</row>
    <row r="945" ht="15.75" customHeight="1">
      <c r="A945" s="272"/>
      <c r="B945" s="27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</row>
    <row r="946" ht="15.75" customHeight="1">
      <c r="A946" s="272"/>
      <c r="B946" s="27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</row>
    <row r="947" ht="15.75" customHeight="1">
      <c r="A947" s="272"/>
      <c r="B947" s="27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</row>
    <row r="948" ht="15.75" customHeight="1">
      <c r="A948" s="272"/>
      <c r="B948" s="27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</row>
    <row r="949" ht="15.75" customHeight="1">
      <c r="A949" s="272"/>
      <c r="B949" s="27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</row>
    <row r="950" ht="15.75" customHeight="1">
      <c r="A950" s="272"/>
      <c r="B950" s="27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</row>
    <row r="951" ht="15.75" customHeight="1">
      <c r="A951" s="272"/>
      <c r="B951" s="27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</row>
    <row r="952" ht="15.75" customHeight="1">
      <c r="A952" s="272"/>
      <c r="B952" s="27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</row>
    <row r="953" ht="15.75" customHeight="1">
      <c r="A953" s="272"/>
      <c r="B953" s="27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</row>
    <row r="954" ht="15.75" customHeight="1">
      <c r="A954" s="272"/>
      <c r="B954" s="27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</row>
    <row r="955" ht="15.75" customHeight="1">
      <c r="A955" s="272"/>
      <c r="B955" s="27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</row>
    <row r="956" ht="15.75" customHeight="1">
      <c r="A956" s="272"/>
      <c r="B956" s="27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</row>
    <row r="957" ht="15.75" customHeight="1">
      <c r="A957" s="272"/>
      <c r="B957" s="27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</row>
    <row r="958" ht="15.75" customHeight="1">
      <c r="A958" s="272"/>
      <c r="B958" s="27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</row>
    <row r="959" ht="15.75" customHeight="1">
      <c r="A959" s="272"/>
      <c r="B959" s="27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</row>
    <row r="960" ht="15.75" customHeight="1">
      <c r="A960" s="272"/>
      <c r="B960" s="27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</row>
    <row r="961" ht="15.75" customHeight="1">
      <c r="A961" s="272"/>
      <c r="B961" s="27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</row>
    <row r="962" ht="15.75" customHeight="1">
      <c r="A962" s="272"/>
      <c r="B962" s="27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</row>
    <row r="963" ht="15.75" customHeight="1">
      <c r="A963" s="272"/>
      <c r="B963" s="27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</row>
    <row r="964" ht="15.75" customHeight="1">
      <c r="A964" s="272"/>
      <c r="B964" s="27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</row>
    <row r="965" ht="15.75" customHeight="1">
      <c r="A965" s="272"/>
      <c r="B965" s="27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</row>
    <row r="966" ht="15.75" customHeight="1">
      <c r="A966" s="272"/>
      <c r="B966" s="27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</row>
    <row r="967" ht="15.75" customHeight="1">
      <c r="A967" s="272"/>
      <c r="B967" s="27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</row>
    <row r="968" ht="15.75" customHeight="1">
      <c r="A968" s="272"/>
      <c r="B968" s="27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</row>
    <row r="969" ht="15.75" customHeight="1">
      <c r="A969" s="272"/>
      <c r="B969" s="27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</row>
    <row r="970" ht="15.75" customHeight="1">
      <c r="A970" s="272"/>
      <c r="B970" s="27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</row>
    <row r="971" ht="15.75" customHeight="1">
      <c r="A971" s="272"/>
      <c r="B971" s="27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</row>
    <row r="972" ht="15.75" customHeight="1">
      <c r="A972" s="272"/>
      <c r="B972" s="27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</row>
    <row r="973" ht="15.75" customHeight="1">
      <c r="A973" s="272"/>
      <c r="B973" s="27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</row>
    <row r="974" ht="15.75" customHeight="1">
      <c r="A974" s="272"/>
      <c r="B974" s="27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</row>
    <row r="975" ht="15.75" customHeight="1">
      <c r="A975" s="272"/>
      <c r="B975" s="27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</row>
    <row r="976" ht="15.75" customHeight="1">
      <c r="A976" s="272"/>
      <c r="B976" s="27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</row>
    <row r="977" ht="15.75" customHeight="1">
      <c r="A977" s="272"/>
      <c r="B977" s="27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</row>
    <row r="978" ht="15.75" customHeight="1">
      <c r="A978" s="272"/>
      <c r="B978" s="27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</row>
    <row r="979" ht="15.75" customHeight="1">
      <c r="A979" s="272"/>
      <c r="B979" s="27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</row>
    <row r="980" ht="15.75" customHeight="1">
      <c r="A980" s="272"/>
      <c r="B980" s="27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</row>
    <row r="981" ht="15.75" customHeight="1">
      <c r="A981" s="272"/>
      <c r="B981" s="27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</row>
    <row r="982" ht="15.75" customHeight="1">
      <c r="A982" s="272"/>
      <c r="B982" s="27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</row>
    <row r="983" ht="15.75" customHeight="1">
      <c r="A983" s="272"/>
      <c r="B983" s="27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</row>
    <row r="984" ht="15.75" customHeight="1">
      <c r="A984" s="272"/>
      <c r="B984" s="27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</row>
    <row r="985" ht="15.75" customHeight="1">
      <c r="A985" s="272"/>
      <c r="B985" s="27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</row>
    <row r="986" ht="15.75" customHeight="1">
      <c r="A986" s="272"/>
      <c r="B986" s="27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</row>
    <row r="987" ht="15.75" customHeight="1">
      <c r="A987" s="272"/>
      <c r="B987" s="27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</row>
    <row r="988" ht="15.75" customHeight="1">
      <c r="A988" s="272"/>
      <c r="B988" s="27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</row>
    <row r="989" ht="15.75" customHeight="1">
      <c r="A989" s="272"/>
      <c r="B989" s="27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</row>
    <row r="990" ht="15.75" customHeight="1">
      <c r="A990" s="272"/>
      <c r="B990" s="27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</row>
    <row r="991" ht="15.75" customHeight="1">
      <c r="A991" s="272"/>
      <c r="B991" s="27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</row>
    <row r="992" ht="15.75" customHeight="1">
      <c r="A992" s="272"/>
      <c r="B992" s="27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</row>
    <row r="993" ht="15.75" customHeight="1">
      <c r="A993" s="272"/>
      <c r="B993" s="27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</row>
    <row r="994" ht="15.75" customHeight="1">
      <c r="A994" s="272"/>
      <c r="B994" s="27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</row>
    <row r="995" ht="15.75" customHeight="1">
      <c r="A995" s="272"/>
      <c r="B995" s="27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</row>
    <row r="996" ht="15.75" customHeight="1">
      <c r="A996" s="272"/>
      <c r="B996" s="27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</row>
    <row r="997" ht="15.75" customHeight="1">
      <c r="A997" s="272"/>
      <c r="B997" s="27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</row>
    <row r="998" ht="15.75" customHeight="1">
      <c r="A998" s="272"/>
      <c r="B998" s="27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</row>
    <row r="999" ht="15.75" customHeight="1">
      <c r="A999" s="272"/>
      <c r="B999" s="27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</row>
    <row r="1000" ht="15.75" customHeight="1">
      <c r="A1000" s="272"/>
      <c r="B1000" s="27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</row>
    <row r="1001" ht="15.75" customHeight="1">
      <c r="A1001" s="272"/>
      <c r="B1001" s="27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</row>
    <row r="1002" ht="15.75" customHeight="1">
      <c r="A1002" s="272"/>
      <c r="B1002" s="27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</row>
    <row r="1003" ht="15.75" customHeight="1">
      <c r="A1003" s="272"/>
      <c r="B1003" s="27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</row>
    <row r="1004" ht="15.75" customHeight="1">
      <c r="A1004" s="272"/>
      <c r="B1004" s="27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</row>
    <row r="1005" ht="15.75" customHeight="1">
      <c r="A1005" s="272"/>
      <c r="B1005" s="27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</row>
    <row r="1006" ht="15.75" customHeight="1">
      <c r="A1006" s="272"/>
      <c r="B1006" s="27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</row>
    <row r="1007" ht="15.75" customHeight="1">
      <c r="A1007" s="272"/>
      <c r="B1007" s="27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</row>
    <row r="1008" ht="15.75" customHeight="1">
      <c r="A1008" s="272"/>
      <c r="B1008" s="27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7:A10"/>
    <mergeCell ref="B7:B10"/>
    <mergeCell ref="E7:F8"/>
    <mergeCell ref="G7:L7"/>
    <mergeCell ref="M7:M10"/>
    <mergeCell ref="K8:L8"/>
    <mergeCell ref="L9:L10"/>
  </mergeCells>
  <printOptions/>
  <pageMargins bottom="0.748031496062992" footer="0.0" header="0.0" left="0.236220472440945" right="0.236220472440945" top="0.748031496062992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77.57"/>
    <col customWidth="1" min="2" max="2" width="21.71"/>
    <col customWidth="1" min="3" max="6" width="25.29"/>
    <col customWidth="1" min="7" max="7" width="26.57"/>
    <col customWidth="1" min="8" max="8" width="18.86"/>
    <col customWidth="1" min="9" max="9" width="17.71"/>
    <col customWidth="1" min="10" max="10" width="17.57"/>
    <col customWidth="1" min="11" max="11" width="18.86"/>
    <col customWidth="1" min="12" max="12" width="18.0"/>
    <col customWidth="1" min="13" max="13" width="23.0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118"/>
      <c r="L1" s="2"/>
      <c r="M1" s="2"/>
    </row>
    <row r="2" ht="33.75" customHeight="1">
      <c r="A2" s="5" t="s">
        <v>1</v>
      </c>
      <c r="B2" s="2"/>
      <c r="C2" s="2"/>
      <c r="D2" s="2"/>
      <c r="E2" s="2"/>
      <c r="F2" s="2"/>
      <c r="G2" s="2"/>
      <c r="I2" s="6"/>
      <c r="L2" s="2"/>
      <c r="M2" s="2"/>
    </row>
    <row r="3" ht="24.0" customHeight="1">
      <c r="A3" s="212" t="s">
        <v>539</v>
      </c>
      <c r="D3" s="9"/>
      <c r="E3" s="9"/>
      <c r="F3" s="9"/>
      <c r="G3" s="9"/>
      <c r="L3" s="9"/>
      <c r="M3" s="9"/>
    </row>
    <row r="4" ht="24.0" customHeight="1">
      <c r="A4" s="7" t="s">
        <v>3</v>
      </c>
      <c r="B4" s="8"/>
      <c r="C4" s="9"/>
      <c r="D4" s="9"/>
      <c r="E4" s="9"/>
      <c r="F4" s="9"/>
      <c r="G4" s="9"/>
      <c r="L4" s="9"/>
      <c r="M4" s="9"/>
    </row>
    <row r="5" ht="21.0" customHeight="1">
      <c r="A5" s="7" t="s">
        <v>4</v>
      </c>
      <c r="B5" s="8"/>
      <c r="C5" s="9"/>
      <c r="D5" s="9"/>
      <c r="E5" s="9"/>
      <c r="F5" s="9"/>
      <c r="G5" s="9"/>
      <c r="H5" s="9"/>
      <c r="I5" s="9"/>
      <c r="J5" s="9"/>
      <c r="K5" s="126"/>
      <c r="L5" s="9"/>
      <c r="M5" s="9"/>
    </row>
    <row r="6">
      <c r="A6" s="273"/>
      <c r="B6" s="273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ht="21.75" customHeight="1">
      <c r="A7" s="13" t="s">
        <v>5</v>
      </c>
      <c r="B7" s="13" t="s">
        <v>6</v>
      </c>
      <c r="C7" s="14" t="s">
        <v>7</v>
      </c>
      <c r="D7" s="15"/>
      <c r="E7" s="16" t="s">
        <v>8</v>
      </c>
      <c r="F7" s="15"/>
      <c r="G7" s="17" t="s">
        <v>9</v>
      </c>
      <c r="H7" s="18"/>
      <c r="I7" s="18"/>
      <c r="J7" s="18"/>
      <c r="K7" s="18"/>
      <c r="L7" s="19"/>
      <c r="M7" s="20" t="s">
        <v>540</v>
      </c>
    </row>
    <row r="8" ht="23.25" customHeight="1">
      <c r="A8" s="21"/>
      <c r="B8" s="21"/>
      <c r="C8" s="22"/>
      <c r="D8" s="23"/>
      <c r="E8" s="22"/>
      <c r="F8" s="23"/>
      <c r="G8" s="24" t="s">
        <v>11</v>
      </c>
      <c r="H8" s="19"/>
      <c r="I8" s="24" t="s">
        <v>12</v>
      </c>
      <c r="J8" s="19"/>
      <c r="K8" s="24" t="s">
        <v>13</v>
      </c>
      <c r="L8" s="19"/>
      <c r="M8" s="21"/>
    </row>
    <row r="9" ht="20.25" customHeight="1">
      <c r="A9" s="21"/>
      <c r="B9" s="21"/>
      <c r="C9" s="25" t="s">
        <v>14</v>
      </c>
      <c r="D9" s="26" t="s">
        <v>15</v>
      </c>
      <c r="E9" s="27" t="s">
        <v>16</v>
      </c>
      <c r="F9" s="15"/>
      <c r="G9" s="28" t="s">
        <v>17</v>
      </c>
      <c r="H9" s="29" t="s">
        <v>18</v>
      </c>
      <c r="I9" s="28" t="s">
        <v>17</v>
      </c>
      <c r="J9" s="29" t="s">
        <v>18</v>
      </c>
      <c r="K9" s="28" t="s">
        <v>17</v>
      </c>
      <c r="L9" s="29" t="s">
        <v>18</v>
      </c>
      <c r="M9" s="21"/>
    </row>
    <row r="10" ht="64.5" customHeight="1">
      <c r="A10" s="30"/>
      <c r="B10" s="30"/>
      <c r="C10" s="30"/>
      <c r="D10" s="30"/>
      <c r="E10" s="31" t="s">
        <v>17</v>
      </c>
      <c r="F10" s="29" t="s">
        <v>18</v>
      </c>
      <c r="G10" s="30"/>
      <c r="H10" s="30"/>
      <c r="I10" s="30"/>
      <c r="J10" s="30"/>
      <c r="K10" s="30"/>
      <c r="L10" s="30"/>
      <c r="M10" s="30"/>
    </row>
    <row r="11">
      <c r="A11" s="274" t="s">
        <v>162</v>
      </c>
      <c r="B11" s="275"/>
      <c r="C11" s="229"/>
      <c r="D11" s="276"/>
      <c r="E11" s="277"/>
      <c r="F11" s="276"/>
      <c r="G11" s="12"/>
      <c r="H11" s="12"/>
      <c r="I11" s="12"/>
      <c r="J11" s="12"/>
      <c r="K11" s="12"/>
      <c r="L11" s="12"/>
      <c r="M11" s="12"/>
    </row>
    <row r="12">
      <c r="A12" s="274" t="s">
        <v>163</v>
      </c>
      <c r="B12" s="275"/>
      <c r="C12" s="229"/>
      <c r="D12" s="276">
        <f>D13+D41</f>
        <v>876.77762</v>
      </c>
      <c r="E12" s="278"/>
      <c r="F12" s="279">
        <f>F13</f>
        <v>80.5</v>
      </c>
      <c r="G12" s="229"/>
      <c r="H12" s="229"/>
      <c r="I12" s="229"/>
      <c r="J12" s="229"/>
      <c r="K12" s="229"/>
      <c r="L12" s="229"/>
      <c r="M12" s="229"/>
    </row>
    <row r="13">
      <c r="A13" s="274" t="s">
        <v>541</v>
      </c>
      <c r="B13" s="275"/>
      <c r="C13" s="229"/>
      <c r="D13" s="276">
        <f>SUM(D15:D40)</f>
        <v>876.77762</v>
      </c>
      <c r="E13" s="278"/>
      <c r="F13" s="280">
        <f>SUM(F15:F39)</f>
        <v>80.5</v>
      </c>
      <c r="G13" s="229"/>
      <c r="H13" s="229"/>
      <c r="I13" s="229"/>
      <c r="J13" s="229"/>
      <c r="K13" s="229"/>
      <c r="L13" s="229"/>
      <c r="M13" s="229"/>
    </row>
    <row r="14">
      <c r="A14" s="281" t="s">
        <v>542</v>
      </c>
      <c r="B14" s="282"/>
      <c r="C14" s="229"/>
      <c r="D14" s="283"/>
      <c r="E14" s="278"/>
      <c r="F14" s="278"/>
      <c r="G14" s="229"/>
      <c r="H14" s="229"/>
      <c r="I14" s="229"/>
      <c r="J14" s="229"/>
      <c r="K14" s="229"/>
      <c r="L14" s="229"/>
      <c r="M14" s="229"/>
    </row>
    <row r="15">
      <c r="A15" s="282" t="s">
        <v>186</v>
      </c>
      <c r="B15" s="284" t="s">
        <v>543</v>
      </c>
      <c r="C15" s="285">
        <v>13.0</v>
      </c>
      <c r="D15" s="286">
        <v>169.87176</v>
      </c>
      <c r="E15" s="287"/>
      <c r="F15" s="288"/>
      <c r="G15" s="229"/>
      <c r="H15" s="229"/>
      <c r="I15" s="229"/>
      <c r="J15" s="229"/>
      <c r="K15" s="229"/>
      <c r="L15" s="229"/>
      <c r="M15" s="229"/>
    </row>
    <row r="16">
      <c r="A16" s="282" t="s">
        <v>187</v>
      </c>
      <c r="B16" s="284" t="s">
        <v>543</v>
      </c>
      <c r="C16" s="285">
        <v>13.0</v>
      </c>
      <c r="D16" s="286">
        <v>169.87176</v>
      </c>
      <c r="E16" s="287"/>
      <c r="F16" s="288"/>
      <c r="G16" s="229"/>
      <c r="H16" s="229"/>
      <c r="I16" s="229"/>
      <c r="J16" s="229"/>
      <c r="K16" s="229"/>
      <c r="L16" s="229"/>
      <c r="M16" s="229"/>
    </row>
    <row r="17" ht="21.0" customHeight="1">
      <c r="A17" s="281" t="s">
        <v>544</v>
      </c>
      <c r="B17" s="282"/>
      <c r="C17" s="229"/>
      <c r="D17" s="283"/>
      <c r="E17" s="278"/>
      <c r="F17" s="278"/>
      <c r="G17" s="229"/>
      <c r="H17" s="229"/>
      <c r="I17" s="229"/>
      <c r="J17" s="229"/>
      <c r="K17" s="229"/>
      <c r="L17" s="229"/>
      <c r="M17" s="229"/>
    </row>
    <row r="18">
      <c r="A18" s="282" t="s">
        <v>545</v>
      </c>
      <c r="B18" s="284" t="s">
        <v>108</v>
      </c>
      <c r="C18" s="229"/>
      <c r="D18" s="283"/>
      <c r="E18" s="278"/>
      <c r="F18" s="278"/>
      <c r="G18" s="229"/>
      <c r="H18" s="229"/>
      <c r="I18" s="229"/>
      <c r="J18" s="229"/>
      <c r="K18" s="229"/>
      <c r="L18" s="229"/>
      <c r="M18" s="229"/>
    </row>
    <row r="19">
      <c r="A19" s="282" t="s">
        <v>546</v>
      </c>
      <c r="B19" s="284" t="s">
        <v>108</v>
      </c>
      <c r="C19" s="285">
        <v>200.0</v>
      </c>
      <c r="D19" s="286">
        <v>15.238</v>
      </c>
      <c r="E19" s="278"/>
      <c r="F19" s="289"/>
      <c r="G19" s="229"/>
      <c r="H19" s="229"/>
      <c r="I19" s="229"/>
      <c r="J19" s="229"/>
      <c r="K19" s="229"/>
      <c r="L19" s="229"/>
      <c r="M19" s="229"/>
    </row>
    <row r="20" ht="33.0" hidden="1" customHeight="1">
      <c r="A20" s="290" t="s">
        <v>185</v>
      </c>
      <c r="B20" s="284" t="s">
        <v>108</v>
      </c>
      <c r="C20" s="285"/>
      <c r="D20" s="286"/>
      <c r="E20" s="287"/>
      <c r="F20" s="288"/>
      <c r="G20" s="229"/>
      <c r="H20" s="229"/>
      <c r="I20" s="229"/>
      <c r="J20" s="229"/>
      <c r="K20" s="229"/>
      <c r="L20" s="229"/>
      <c r="M20" s="229"/>
    </row>
    <row r="21" ht="33.0" hidden="1" customHeight="1">
      <c r="A21" s="290" t="s">
        <v>200</v>
      </c>
      <c r="B21" s="284" t="s">
        <v>108</v>
      </c>
      <c r="C21" s="285"/>
      <c r="D21" s="286"/>
      <c r="E21" s="287"/>
      <c r="F21" s="288"/>
      <c r="G21" s="229"/>
      <c r="H21" s="229"/>
      <c r="I21" s="229"/>
      <c r="J21" s="229"/>
      <c r="K21" s="229"/>
      <c r="L21" s="229"/>
      <c r="M21" s="229"/>
    </row>
    <row r="22" ht="20.25" customHeight="1">
      <c r="A22" s="282" t="s">
        <v>547</v>
      </c>
      <c r="B22" s="284" t="s">
        <v>108</v>
      </c>
      <c r="C22" s="285">
        <v>125.0</v>
      </c>
      <c r="D22" s="286">
        <v>12.5</v>
      </c>
      <c r="E22" s="287"/>
      <c r="F22" s="288"/>
      <c r="G22" s="229"/>
      <c r="H22" s="229"/>
      <c r="I22" s="229"/>
      <c r="J22" s="229"/>
      <c r="K22" s="229"/>
      <c r="L22" s="229"/>
      <c r="M22" s="229"/>
    </row>
    <row r="23" ht="21.75" customHeight="1">
      <c r="A23" s="281" t="s">
        <v>548</v>
      </c>
      <c r="B23" s="282"/>
      <c r="C23" s="229"/>
      <c r="D23" s="283"/>
      <c r="E23" s="278"/>
      <c r="F23" s="278"/>
      <c r="G23" s="229"/>
      <c r="H23" s="229"/>
      <c r="I23" s="229"/>
      <c r="J23" s="229"/>
      <c r="K23" s="229"/>
      <c r="L23" s="229"/>
      <c r="M23" s="229"/>
    </row>
    <row r="24" ht="22.5" customHeight="1">
      <c r="A24" s="282" t="s">
        <v>549</v>
      </c>
      <c r="B24" s="284" t="s">
        <v>543</v>
      </c>
      <c r="C24" s="287">
        <v>6000.0</v>
      </c>
      <c r="D24" s="286">
        <v>76.2</v>
      </c>
      <c r="E24" s="287">
        <v>161.0</v>
      </c>
      <c r="F24" s="288">
        <v>80.5</v>
      </c>
      <c r="G24" s="229"/>
      <c r="H24" s="229"/>
      <c r="I24" s="229"/>
      <c r="J24" s="229"/>
      <c r="K24" s="229"/>
      <c r="L24" s="229"/>
      <c r="M24" s="229"/>
    </row>
    <row r="25" ht="21.75" customHeight="1">
      <c r="A25" s="282" t="s">
        <v>550</v>
      </c>
      <c r="B25" s="284" t="s">
        <v>543</v>
      </c>
      <c r="C25" s="285">
        <v>4500.0</v>
      </c>
      <c r="D25" s="286">
        <v>66.6667</v>
      </c>
      <c r="E25" s="287"/>
      <c r="F25" s="288"/>
      <c r="G25" s="229"/>
      <c r="H25" s="229"/>
      <c r="I25" s="229"/>
      <c r="J25" s="229"/>
      <c r="K25" s="229"/>
      <c r="L25" s="229"/>
      <c r="M25" s="229"/>
    </row>
    <row r="26" ht="15.75" hidden="1" customHeight="1">
      <c r="A26" s="282" t="s">
        <v>551</v>
      </c>
      <c r="B26" s="291" t="s">
        <v>255</v>
      </c>
      <c r="C26" s="229"/>
      <c r="D26" s="283"/>
      <c r="E26" s="278"/>
      <c r="F26" s="278"/>
      <c r="G26" s="229"/>
      <c r="H26" s="229"/>
      <c r="I26" s="229"/>
      <c r="J26" s="229"/>
      <c r="K26" s="229"/>
      <c r="L26" s="229"/>
      <c r="M26" s="229"/>
    </row>
    <row r="27" ht="40.5" hidden="1" customHeight="1">
      <c r="A27" s="290" t="s">
        <v>253</v>
      </c>
      <c r="B27" s="284" t="s">
        <v>543</v>
      </c>
      <c r="C27" s="229"/>
      <c r="D27" s="283"/>
      <c r="E27" s="287"/>
      <c r="F27" s="287"/>
      <c r="G27" s="229"/>
      <c r="H27" s="229"/>
      <c r="I27" s="229"/>
      <c r="J27" s="229"/>
      <c r="K27" s="229"/>
      <c r="L27" s="229"/>
      <c r="M27" s="229"/>
    </row>
    <row r="28" ht="19.5" customHeight="1">
      <c r="A28" s="281" t="s">
        <v>552</v>
      </c>
      <c r="B28" s="282"/>
      <c r="C28" s="229"/>
      <c r="D28" s="283"/>
      <c r="E28" s="278"/>
      <c r="F28" s="278"/>
      <c r="G28" s="229"/>
      <c r="H28" s="229"/>
      <c r="I28" s="229"/>
      <c r="J28" s="229"/>
      <c r="K28" s="229"/>
      <c r="L28" s="229"/>
      <c r="M28" s="229"/>
    </row>
    <row r="29" ht="19.5" customHeight="1">
      <c r="A29" s="282" t="s">
        <v>553</v>
      </c>
      <c r="B29" s="291" t="s">
        <v>108</v>
      </c>
      <c r="C29" s="285">
        <v>300.0</v>
      </c>
      <c r="D29" s="286">
        <v>27.501</v>
      </c>
      <c r="E29" s="287"/>
      <c r="F29" s="288"/>
      <c r="G29" s="229"/>
      <c r="H29" s="229"/>
      <c r="I29" s="229"/>
      <c r="J29" s="229"/>
      <c r="K29" s="229"/>
      <c r="L29" s="229"/>
      <c r="M29" s="229"/>
    </row>
    <row r="30">
      <c r="A30" s="282" t="s">
        <v>233</v>
      </c>
      <c r="B30" s="291" t="s">
        <v>108</v>
      </c>
      <c r="C30" s="285">
        <v>100.0</v>
      </c>
      <c r="D30" s="286">
        <v>62.5</v>
      </c>
      <c r="E30" s="287"/>
      <c r="F30" s="288"/>
      <c r="G30" s="229"/>
      <c r="H30" s="229"/>
      <c r="I30" s="229"/>
      <c r="J30" s="229"/>
      <c r="K30" s="229"/>
      <c r="L30" s="229"/>
      <c r="M30" s="229"/>
    </row>
    <row r="31">
      <c r="A31" s="282" t="s">
        <v>554</v>
      </c>
      <c r="B31" s="291" t="s">
        <v>555</v>
      </c>
      <c r="C31" s="285">
        <v>20.0</v>
      </c>
      <c r="D31" s="286">
        <v>59.0476</v>
      </c>
      <c r="E31" s="287"/>
      <c r="F31" s="288"/>
      <c r="G31" s="229"/>
      <c r="H31" s="229"/>
      <c r="I31" s="229"/>
      <c r="J31" s="229"/>
      <c r="K31" s="229"/>
      <c r="L31" s="229"/>
      <c r="M31" s="229"/>
    </row>
    <row r="32" ht="25.5" hidden="1" customHeight="1">
      <c r="A32" s="290" t="s">
        <v>556</v>
      </c>
      <c r="B32" s="291" t="s">
        <v>33</v>
      </c>
      <c r="C32" s="229"/>
      <c r="D32" s="283"/>
      <c r="E32" s="287"/>
      <c r="F32" s="288"/>
      <c r="G32" s="229"/>
      <c r="H32" s="229"/>
      <c r="I32" s="229"/>
      <c r="J32" s="229"/>
      <c r="K32" s="229"/>
      <c r="L32" s="229"/>
      <c r="M32" s="229"/>
    </row>
    <row r="33" ht="15.75" hidden="1" customHeight="1">
      <c r="A33" s="282" t="s">
        <v>557</v>
      </c>
      <c r="B33" s="291" t="s">
        <v>33</v>
      </c>
      <c r="C33" s="229"/>
      <c r="D33" s="283"/>
      <c r="E33" s="278"/>
      <c r="F33" s="289"/>
      <c r="G33" s="229"/>
      <c r="H33" s="229"/>
      <c r="I33" s="229"/>
      <c r="J33" s="229"/>
      <c r="K33" s="229"/>
      <c r="L33" s="229"/>
      <c r="M33" s="229"/>
    </row>
    <row r="34" ht="15.75" hidden="1" customHeight="1">
      <c r="A34" s="282" t="s">
        <v>558</v>
      </c>
      <c r="B34" s="291" t="s">
        <v>33</v>
      </c>
      <c r="C34" s="229"/>
      <c r="D34" s="283"/>
      <c r="E34" s="278"/>
      <c r="F34" s="289"/>
      <c r="G34" s="229"/>
      <c r="H34" s="229"/>
      <c r="I34" s="229"/>
      <c r="J34" s="229"/>
      <c r="K34" s="229"/>
      <c r="L34" s="229"/>
      <c r="M34" s="229"/>
    </row>
    <row r="35">
      <c r="A35" s="282" t="s">
        <v>559</v>
      </c>
      <c r="B35" s="291" t="s">
        <v>33</v>
      </c>
      <c r="C35" s="285">
        <v>100.0</v>
      </c>
      <c r="D35" s="286">
        <v>12.5</v>
      </c>
      <c r="E35" s="278"/>
      <c r="F35" s="289"/>
      <c r="G35" s="229"/>
      <c r="H35" s="229"/>
      <c r="I35" s="229"/>
      <c r="J35" s="229"/>
      <c r="K35" s="229"/>
      <c r="L35" s="229"/>
      <c r="M35" s="229"/>
    </row>
    <row r="36">
      <c r="A36" s="282" t="s">
        <v>560</v>
      </c>
      <c r="B36" s="291" t="s">
        <v>33</v>
      </c>
      <c r="C36" s="285">
        <v>40.0</v>
      </c>
      <c r="D36" s="286">
        <v>152.3808</v>
      </c>
      <c r="E36" s="278"/>
      <c r="F36" s="289"/>
      <c r="G36" s="229"/>
      <c r="H36" s="229"/>
      <c r="I36" s="229"/>
      <c r="J36" s="229"/>
      <c r="K36" s="229"/>
      <c r="L36" s="229"/>
      <c r="M36" s="229"/>
    </row>
    <row r="37">
      <c r="A37" s="282" t="s">
        <v>561</v>
      </c>
      <c r="B37" s="291" t="s">
        <v>33</v>
      </c>
      <c r="C37" s="285">
        <v>10.0</v>
      </c>
      <c r="D37" s="286">
        <v>40.0</v>
      </c>
      <c r="E37" s="287"/>
      <c r="F37" s="288"/>
      <c r="G37" s="229"/>
      <c r="H37" s="229"/>
      <c r="I37" s="229"/>
      <c r="J37" s="229"/>
      <c r="K37" s="229"/>
      <c r="L37" s="229"/>
      <c r="M37" s="229"/>
    </row>
    <row r="38" ht="15.75" hidden="1" customHeight="1">
      <c r="A38" s="282" t="s">
        <v>562</v>
      </c>
      <c r="B38" s="291" t="s">
        <v>33</v>
      </c>
      <c r="C38" s="229"/>
      <c r="D38" s="283"/>
      <c r="E38" s="287"/>
      <c r="F38" s="288"/>
      <c r="G38" s="229"/>
      <c r="H38" s="229"/>
      <c r="I38" s="229"/>
      <c r="J38" s="229"/>
      <c r="K38" s="229"/>
      <c r="L38" s="229"/>
      <c r="M38" s="229"/>
    </row>
    <row r="39">
      <c r="A39" s="282" t="s">
        <v>563</v>
      </c>
      <c r="B39" s="291" t="s">
        <v>33</v>
      </c>
      <c r="C39" s="285">
        <v>2.0</v>
      </c>
      <c r="D39" s="286">
        <v>12.5</v>
      </c>
      <c r="E39" s="287"/>
      <c r="F39" s="288"/>
      <c r="G39" s="229"/>
      <c r="H39" s="229"/>
      <c r="I39" s="229"/>
      <c r="J39" s="229"/>
      <c r="K39" s="229"/>
      <c r="L39" s="229"/>
      <c r="M39" s="229"/>
    </row>
    <row r="40">
      <c r="A40" s="282" t="s">
        <v>53</v>
      </c>
      <c r="B40" s="291" t="s">
        <v>33</v>
      </c>
      <c r="C40" s="229"/>
      <c r="D40" s="283"/>
      <c r="E40" s="278"/>
      <c r="F40" s="289"/>
      <c r="G40" s="229"/>
      <c r="H40" s="229"/>
      <c r="I40" s="229"/>
      <c r="J40" s="229"/>
      <c r="K40" s="229"/>
      <c r="L40" s="229"/>
      <c r="M40" s="229"/>
    </row>
    <row r="41" ht="45.0" customHeight="1">
      <c r="A41" s="292" t="s">
        <v>564</v>
      </c>
      <c r="B41" s="282"/>
      <c r="C41" s="229"/>
      <c r="D41" s="283"/>
      <c r="E41" s="278"/>
      <c r="F41" s="278"/>
      <c r="G41" s="229"/>
      <c r="H41" s="229"/>
      <c r="I41" s="229"/>
      <c r="J41" s="229"/>
      <c r="K41" s="229"/>
      <c r="L41" s="229"/>
      <c r="M41" s="229"/>
    </row>
    <row r="42">
      <c r="A42" s="292" t="s">
        <v>415</v>
      </c>
      <c r="B42" s="282"/>
      <c r="C42" s="229"/>
      <c r="D42" s="276">
        <f>SUM(D45:D59)</f>
        <v>2750</v>
      </c>
      <c r="E42" s="278"/>
      <c r="F42" s="276">
        <f>SUM(F45:F59)</f>
        <v>5524</v>
      </c>
      <c r="G42" s="229"/>
      <c r="H42" s="229"/>
      <c r="I42" s="229"/>
      <c r="J42" s="229"/>
      <c r="K42" s="229"/>
      <c r="L42" s="229"/>
      <c r="M42" s="229"/>
    </row>
    <row r="43" ht="46.5" customHeight="1">
      <c r="A43" s="292" t="s">
        <v>565</v>
      </c>
      <c r="B43" s="282"/>
      <c r="C43" s="229"/>
      <c r="D43" s="283"/>
      <c r="E43" s="278"/>
      <c r="F43" s="293"/>
      <c r="G43" s="229"/>
      <c r="H43" s="229"/>
      <c r="I43" s="229"/>
      <c r="J43" s="229"/>
      <c r="K43" s="229"/>
      <c r="L43" s="229"/>
      <c r="M43" s="229"/>
    </row>
    <row r="44">
      <c r="A44" s="292" t="s">
        <v>566</v>
      </c>
      <c r="B44" s="282"/>
      <c r="C44" s="229"/>
      <c r="D44" s="283"/>
      <c r="E44" s="278"/>
      <c r="F44" s="278"/>
      <c r="G44" s="229"/>
      <c r="H44" s="229"/>
      <c r="I44" s="229"/>
      <c r="J44" s="229"/>
      <c r="K44" s="229"/>
      <c r="L44" s="229"/>
      <c r="M44" s="229"/>
    </row>
    <row r="45">
      <c r="A45" s="282" t="s">
        <v>326</v>
      </c>
      <c r="B45" s="291" t="s">
        <v>33</v>
      </c>
      <c r="C45" s="285">
        <v>1.0</v>
      </c>
      <c r="D45" s="286">
        <v>100.0</v>
      </c>
      <c r="E45" s="287">
        <v>2.0</v>
      </c>
      <c r="F45" s="294">
        <v>94.0</v>
      </c>
      <c r="G45" s="229"/>
      <c r="H45" s="229"/>
      <c r="I45" s="229"/>
      <c r="J45" s="229"/>
      <c r="K45" s="229"/>
      <c r="L45" s="229"/>
      <c r="M45" s="229"/>
    </row>
    <row r="46">
      <c r="A46" s="282" t="s">
        <v>567</v>
      </c>
      <c r="B46" s="291" t="s">
        <v>33</v>
      </c>
      <c r="C46" s="229"/>
      <c r="D46" s="283"/>
      <c r="E46" s="278"/>
      <c r="F46" s="293"/>
      <c r="G46" s="229"/>
      <c r="H46" s="229"/>
      <c r="I46" s="229"/>
      <c r="J46" s="229"/>
      <c r="K46" s="229"/>
      <c r="L46" s="229"/>
      <c r="M46" s="229"/>
    </row>
    <row r="47">
      <c r="A47" s="282" t="s">
        <v>568</v>
      </c>
      <c r="B47" s="291" t="s">
        <v>33</v>
      </c>
      <c r="C47" s="285">
        <v>1.0</v>
      </c>
      <c r="D47" s="286">
        <v>100.0</v>
      </c>
      <c r="E47" s="287">
        <v>2.0</v>
      </c>
      <c r="F47" s="294">
        <v>200.0</v>
      </c>
      <c r="G47" s="229"/>
      <c r="H47" s="229"/>
      <c r="I47" s="229"/>
      <c r="J47" s="229"/>
      <c r="K47" s="229"/>
      <c r="L47" s="229"/>
      <c r="M47" s="229"/>
    </row>
    <row r="48">
      <c r="A48" s="281" t="s">
        <v>569</v>
      </c>
      <c r="B48" s="282"/>
      <c r="C48" s="229"/>
      <c r="D48" s="283"/>
      <c r="E48" s="278"/>
      <c r="F48" s="293"/>
      <c r="G48" s="229"/>
      <c r="H48" s="229"/>
      <c r="I48" s="229"/>
      <c r="J48" s="229"/>
      <c r="K48" s="229"/>
      <c r="L48" s="229"/>
      <c r="M48" s="229"/>
    </row>
    <row r="49">
      <c r="A49" s="282" t="s">
        <v>570</v>
      </c>
      <c r="B49" s="291" t="s">
        <v>33</v>
      </c>
      <c r="C49" s="285">
        <v>1.0</v>
      </c>
      <c r="D49" s="286">
        <v>300.0</v>
      </c>
      <c r="E49" s="287">
        <v>2.0</v>
      </c>
      <c r="F49" s="294">
        <v>630.0</v>
      </c>
      <c r="G49" s="229"/>
      <c r="H49" s="229"/>
      <c r="I49" s="229"/>
      <c r="J49" s="229"/>
      <c r="K49" s="229"/>
      <c r="L49" s="229"/>
      <c r="M49" s="229"/>
    </row>
    <row r="50">
      <c r="A50" s="282" t="s">
        <v>571</v>
      </c>
      <c r="B50" s="291" t="s">
        <v>33</v>
      </c>
      <c r="C50" s="285">
        <v>1.0</v>
      </c>
      <c r="D50" s="286">
        <v>250.0</v>
      </c>
      <c r="E50" s="287">
        <v>2.0</v>
      </c>
      <c r="F50" s="294">
        <v>600.0</v>
      </c>
      <c r="G50" s="229"/>
      <c r="H50" s="229"/>
      <c r="I50" s="229"/>
      <c r="J50" s="229"/>
      <c r="K50" s="229"/>
      <c r="L50" s="229"/>
      <c r="M50" s="229"/>
    </row>
    <row r="51">
      <c r="A51" s="282" t="s">
        <v>572</v>
      </c>
      <c r="B51" s="291" t="s">
        <v>33</v>
      </c>
      <c r="C51" s="285">
        <v>1.0</v>
      </c>
      <c r="D51" s="286">
        <v>2000.0</v>
      </c>
      <c r="E51" s="287">
        <v>2.0</v>
      </c>
      <c r="F51" s="294">
        <v>4000.0</v>
      </c>
      <c r="G51" s="229"/>
      <c r="H51" s="229"/>
      <c r="I51" s="229"/>
      <c r="J51" s="229"/>
      <c r="K51" s="229"/>
      <c r="L51" s="229"/>
      <c r="M51" s="229"/>
    </row>
    <row r="52">
      <c r="A52" s="282" t="s">
        <v>287</v>
      </c>
      <c r="B52" s="291" t="s">
        <v>33</v>
      </c>
      <c r="C52" s="229"/>
      <c r="D52" s="283"/>
      <c r="E52" s="35"/>
      <c r="F52" s="36"/>
      <c r="G52" s="229"/>
      <c r="H52" s="229"/>
      <c r="I52" s="229"/>
      <c r="J52" s="229"/>
      <c r="K52" s="229"/>
      <c r="L52" s="229"/>
      <c r="M52" s="229"/>
    </row>
    <row r="53">
      <c r="A53" s="282" t="s">
        <v>573</v>
      </c>
      <c r="B53" s="291" t="s">
        <v>33</v>
      </c>
      <c r="C53" s="229"/>
      <c r="D53" s="283"/>
      <c r="E53" s="295"/>
      <c r="F53" s="296"/>
      <c r="G53" s="229"/>
      <c r="H53" s="229"/>
      <c r="I53" s="229"/>
      <c r="J53" s="229"/>
      <c r="K53" s="229"/>
      <c r="L53" s="229"/>
      <c r="M53" s="229"/>
    </row>
    <row r="54">
      <c r="A54" s="292" t="s">
        <v>574</v>
      </c>
      <c r="B54" s="282"/>
      <c r="C54" s="229"/>
      <c r="D54" s="283"/>
      <c r="E54" s="295"/>
      <c r="F54" s="296"/>
      <c r="G54" s="229"/>
      <c r="H54" s="229"/>
      <c r="I54" s="229"/>
      <c r="J54" s="229"/>
      <c r="K54" s="229"/>
      <c r="L54" s="229"/>
      <c r="M54" s="229"/>
    </row>
    <row r="55">
      <c r="A55" s="297" t="s">
        <v>233</v>
      </c>
      <c r="B55" s="291" t="s">
        <v>108</v>
      </c>
      <c r="C55" s="229"/>
      <c r="D55" s="283"/>
      <c r="E55" s="295"/>
      <c r="F55" s="296"/>
      <c r="G55" s="229"/>
      <c r="H55" s="229"/>
      <c r="I55" s="229"/>
      <c r="J55" s="229"/>
      <c r="K55" s="229"/>
      <c r="L55" s="229"/>
      <c r="M55" s="229"/>
    </row>
    <row r="56">
      <c r="A56" s="281" t="s">
        <v>575</v>
      </c>
      <c r="B56" s="282"/>
      <c r="C56" s="229"/>
      <c r="D56" s="283"/>
      <c r="E56" s="295"/>
      <c r="F56" s="296"/>
      <c r="G56" s="229"/>
      <c r="H56" s="229"/>
      <c r="I56" s="229"/>
      <c r="J56" s="229"/>
      <c r="K56" s="229"/>
      <c r="L56" s="229"/>
      <c r="M56" s="229"/>
    </row>
    <row r="57">
      <c r="A57" s="282" t="s">
        <v>576</v>
      </c>
      <c r="B57" s="291" t="s">
        <v>33</v>
      </c>
      <c r="C57" s="229"/>
      <c r="D57" s="283"/>
      <c r="E57" s="295"/>
      <c r="F57" s="296"/>
      <c r="G57" s="229"/>
      <c r="H57" s="229"/>
      <c r="I57" s="229"/>
      <c r="J57" s="229"/>
      <c r="K57" s="229"/>
      <c r="L57" s="229"/>
      <c r="M57" s="229"/>
    </row>
    <row r="58">
      <c r="A58" s="282" t="s">
        <v>577</v>
      </c>
      <c r="B58" s="291" t="s">
        <v>33</v>
      </c>
      <c r="C58" s="229"/>
      <c r="D58" s="283"/>
      <c r="E58" s="295"/>
      <c r="F58" s="296"/>
      <c r="G58" s="229"/>
      <c r="H58" s="229"/>
      <c r="I58" s="229"/>
      <c r="J58" s="229"/>
      <c r="K58" s="229"/>
      <c r="L58" s="229"/>
      <c r="M58" s="229"/>
    </row>
    <row r="59">
      <c r="A59" s="282" t="s">
        <v>578</v>
      </c>
      <c r="B59" s="291" t="s">
        <v>33</v>
      </c>
      <c r="C59" s="229"/>
      <c r="D59" s="283"/>
      <c r="E59" s="295"/>
      <c r="F59" s="296"/>
      <c r="G59" s="229"/>
      <c r="H59" s="229"/>
      <c r="I59" s="229"/>
      <c r="J59" s="229"/>
      <c r="K59" s="229"/>
      <c r="L59" s="229"/>
      <c r="M59" s="229"/>
    </row>
    <row r="60">
      <c r="A60" s="290" t="s">
        <v>53</v>
      </c>
      <c r="B60" s="298" t="s">
        <v>157</v>
      </c>
      <c r="C60" s="229"/>
      <c r="D60" s="283"/>
      <c r="E60" s="299">
        <v>1.0</v>
      </c>
      <c r="F60" s="300">
        <v>1500.0</v>
      </c>
      <c r="G60" s="229"/>
      <c r="H60" s="229"/>
      <c r="I60" s="229"/>
      <c r="J60" s="229"/>
      <c r="K60" s="229"/>
      <c r="L60" s="229"/>
      <c r="M60" s="229"/>
    </row>
    <row r="61" ht="15.75" hidden="1" customHeight="1">
      <c r="A61" s="281" t="s">
        <v>579</v>
      </c>
      <c r="B61" s="282"/>
      <c r="C61" s="229"/>
      <c r="D61" s="283"/>
      <c r="E61" s="295"/>
      <c r="F61" s="296"/>
      <c r="G61" s="229"/>
      <c r="H61" s="229"/>
      <c r="I61" s="229"/>
      <c r="J61" s="229"/>
      <c r="K61" s="229"/>
      <c r="L61" s="229"/>
      <c r="M61" s="229"/>
    </row>
    <row r="62" ht="15.75" customHeight="1">
      <c r="A62" s="282"/>
      <c r="B62" s="282"/>
      <c r="C62" s="229"/>
      <c r="D62" s="283"/>
      <c r="E62" s="295"/>
      <c r="F62" s="296"/>
      <c r="G62" s="229"/>
      <c r="H62" s="229"/>
      <c r="I62" s="229"/>
      <c r="J62" s="229"/>
      <c r="K62" s="229"/>
      <c r="L62" s="229"/>
      <c r="M62" s="229"/>
    </row>
    <row r="63">
      <c r="A63" s="301" t="s">
        <v>69</v>
      </c>
      <c r="B63" s="282"/>
      <c r="C63" s="229"/>
      <c r="D63" s="276">
        <f>D42+D12</f>
        <v>3626.77762</v>
      </c>
      <c r="E63" s="276"/>
      <c r="F63" s="276">
        <f>F42+F12</f>
        <v>5604.5</v>
      </c>
      <c r="G63" s="229"/>
      <c r="H63" s="302">
        <v>0.0</v>
      </c>
      <c r="I63" s="261"/>
      <c r="J63" s="302">
        <v>0.0</v>
      </c>
      <c r="K63" s="261"/>
      <c r="L63" s="302">
        <v>0.0</v>
      </c>
      <c r="M63" s="229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ht="19.5" hidden="1" customHeight="1">
      <c r="A65" s="93" t="s">
        <v>70</v>
      </c>
      <c r="B65" s="94" t="s">
        <v>71</v>
      </c>
      <c r="C65" s="95" t="s">
        <v>72</v>
      </c>
      <c r="D65" s="4"/>
      <c r="E65" s="4"/>
      <c r="F65" s="4"/>
      <c r="G65" s="99"/>
      <c r="H65" s="99"/>
      <c r="I65" s="99"/>
      <c r="J65" s="99"/>
      <c r="K65" s="99"/>
      <c r="L65" s="99"/>
      <c r="M65" s="99"/>
    </row>
    <row r="66" ht="14.25" hidden="1" customHeight="1">
      <c r="A66" s="98"/>
      <c r="B66" s="98"/>
      <c r="C66" s="98"/>
      <c r="D66" s="4"/>
      <c r="E66" s="2"/>
      <c r="F66" s="2"/>
      <c r="G66" s="12"/>
      <c r="H66" s="12"/>
      <c r="I66" s="12"/>
      <c r="J66" s="12"/>
      <c r="K66" s="12"/>
      <c r="L66" s="12"/>
      <c r="M66" s="12"/>
    </row>
    <row r="67" ht="14.25" hidden="1" customHeight="1">
      <c r="A67" s="98"/>
      <c r="B67" s="98"/>
      <c r="C67" s="98"/>
      <c r="D67" s="4"/>
      <c r="E67" s="4"/>
      <c r="F67" s="4"/>
      <c r="G67" s="12"/>
      <c r="H67" s="12"/>
      <c r="I67" s="12"/>
      <c r="J67" s="12"/>
      <c r="K67" s="12"/>
      <c r="L67" s="12"/>
      <c r="M67" s="12"/>
    </row>
    <row r="68" ht="14.25" hidden="1" customHeight="1">
      <c r="A68" s="98"/>
      <c r="B68" s="96"/>
      <c r="C68" s="98"/>
      <c r="D68" s="4"/>
      <c r="E68" s="4"/>
      <c r="F68" s="4"/>
      <c r="G68" s="12"/>
      <c r="H68" s="12"/>
      <c r="I68" s="12"/>
      <c r="J68" s="12"/>
      <c r="K68" s="12"/>
      <c r="L68" s="12"/>
      <c r="M68" s="12"/>
    </row>
    <row r="69" ht="14.25" hidden="1" customHeight="1">
      <c r="A69" s="98"/>
      <c r="B69" s="98"/>
      <c r="C69" s="98"/>
      <c r="D69" s="4"/>
      <c r="E69" s="4"/>
      <c r="F69" s="4"/>
      <c r="G69" s="12"/>
      <c r="H69" s="12"/>
      <c r="I69" s="12"/>
      <c r="J69" s="12"/>
      <c r="K69" s="12"/>
      <c r="L69" s="12"/>
      <c r="M69" s="12"/>
    </row>
    <row r="70" ht="19.5" hidden="1" customHeight="1">
      <c r="A70" s="100" t="s">
        <v>74</v>
      </c>
      <c r="B70" s="100" t="s">
        <v>75</v>
      </c>
      <c r="C70" s="100" t="s">
        <v>76</v>
      </c>
      <c r="D70" s="4"/>
      <c r="E70" s="4"/>
      <c r="F70" s="4"/>
      <c r="G70" s="12"/>
      <c r="H70" s="12"/>
      <c r="I70" s="12"/>
      <c r="J70" s="12"/>
      <c r="K70" s="12"/>
      <c r="L70" s="12"/>
      <c r="M70" s="12"/>
    </row>
    <row r="71" ht="18.75" hidden="1" customHeight="1">
      <c r="A71" s="93" t="s">
        <v>78</v>
      </c>
      <c r="B71" s="95" t="s">
        <v>79</v>
      </c>
      <c r="C71" s="95" t="s">
        <v>80</v>
      </c>
      <c r="D71" s="4"/>
      <c r="E71" s="4"/>
      <c r="F71" s="4"/>
      <c r="G71" s="99"/>
      <c r="H71" s="99"/>
      <c r="I71" s="99"/>
      <c r="J71" s="99"/>
      <c r="K71" s="99"/>
      <c r="L71" s="99"/>
      <c r="M71" s="99"/>
    </row>
    <row r="72" ht="20.25" hidden="1" customHeight="1">
      <c r="A72" s="101" t="s">
        <v>82</v>
      </c>
      <c r="B72" s="96"/>
      <c r="C72" s="2"/>
      <c r="D72" s="2"/>
      <c r="E72" s="2"/>
      <c r="F72" s="2"/>
      <c r="G72" s="99"/>
      <c r="H72" s="99"/>
      <c r="I72" s="99"/>
      <c r="J72" s="99"/>
      <c r="K72" s="99"/>
      <c r="L72" s="99"/>
      <c r="M72" s="99"/>
    </row>
    <row r="73" ht="16.5" customHeight="1">
      <c r="A73" s="102" t="s">
        <v>70</v>
      </c>
      <c r="B73" s="12"/>
      <c r="E73" s="103" t="s">
        <v>83</v>
      </c>
      <c r="J73" s="2"/>
      <c r="K73" s="2"/>
      <c r="L73" s="97" t="s">
        <v>73</v>
      </c>
      <c r="M73" s="2"/>
    </row>
    <row r="74" ht="16.5" customHeight="1">
      <c r="A74" s="104"/>
      <c r="B74" s="12"/>
      <c r="E74" s="105"/>
      <c r="J74" s="2"/>
      <c r="K74" s="2"/>
      <c r="L74" s="98"/>
      <c r="M74" s="2"/>
    </row>
    <row r="75" ht="16.5" customHeight="1">
      <c r="A75" s="104"/>
      <c r="B75" s="12"/>
      <c r="E75" s="105"/>
      <c r="J75" s="2"/>
      <c r="K75" s="2"/>
      <c r="L75" s="98"/>
      <c r="M75" s="2"/>
    </row>
    <row r="76" ht="16.5" customHeight="1">
      <c r="B76" s="12"/>
      <c r="E76" s="105"/>
      <c r="F76" s="12"/>
      <c r="G76" s="12"/>
      <c r="H76" s="12"/>
      <c r="J76" s="12"/>
      <c r="K76" s="12"/>
      <c r="L76" s="98"/>
      <c r="M76" s="12"/>
    </row>
    <row r="77" ht="16.5" customHeight="1">
      <c r="A77" s="104"/>
      <c r="B77" s="12"/>
      <c r="E77" s="105"/>
      <c r="F77" s="12"/>
      <c r="G77" s="12"/>
      <c r="H77" s="12"/>
      <c r="J77" s="12"/>
      <c r="K77" s="12"/>
      <c r="L77" s="98"/>
      <c r="M77" s="12"/>
    </row>
    <row r="78" ht="20.25" customHeight="1">
      <c r="A78" s="106" t="s">
        <v>75</v>
      </c>
      <c r="B78" s="12"/>
      <c r="E78" s="107" t="s">
        <v>76</v>
      </c>
      <c r="F78" s="12"/>
      <c r="G78" s="12"/>
      <c r="H78" s="12"/>
      <c r="J78" s="12"/>
      <c r="K78" s="12"/>
      <c r="L78" s="100" t="s">
        <v>77</v>
      </c>
      <c r="M78" s="12"/>
    </row>
    <row r="79" ht="16.5" customHeight="1">
      <c r="A79" s="108" t="s">
        <v>79</v>
      </c>
      <c r="B79" s="12"/>
      <c r="E79" s="103" t="s">
        <v>80</v>
      </c>
      <c r="F79" s="12"/>
      <c r="G79" s="12"/>
      <c r="H79" s="12"/>
      <c r="J79" s="12"/>
      <c r="K79" s="12"/>
      <c r="L79" s="95" t="s">
        <v>81</v>
      </c>
      <c r="M79" s="12"/>
    </row>
    <row r="80" ht="15.75" customHeight="1">
      <c r="B80" s="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ht="15.75" customHeight="1">
      <c r="A81" s="303"/>
      <c r="B81" s="303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E7:F8"/>
    <mergeCell ref="G8:H8"/>
    <mergeCell ref="I8:J8"/>
    <mergeCell ref="K8:L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3:C3"/>
    <mergeCell ref="A7:A10"/>
    <mergeCell ref="B7:B10"/>
    <mergeCell ref="C7:D8"/>
    <mergeCell ref="G7:L7"/>
    <mergeCell ref="M7:M10"/>
    <mergeCell ref="L9:L10"/>
  </mergeCells>
  <printOptions/>
  <pageMargins bottom="0.748031496062992" footer="0.0" header="0.0" left="0.236220472440945" right="0.236220472440945" top="0.748031496062992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83.57"/>
    <col customWidth="1" min="2" max="2" width="18.57"/>
    <col customWidth="1" min="3" max="6" width="25.29"/>
    <col customWidth="1" min="7" max="12" width="18.86"/>
    <col customWidth="1" min="13" max="13" width="28.29"/>
  </cols>
  <sheetData>
    <row r="1" ht="20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118"/>
      <c r="L1" s="2"/>
      <c r="M1" s="2"/>
    </row>
    <row r="2" ht="33.75" customHeight="1">
      <c r="A2" s="5" t="s">
        <v>1</v>
      </c>
      <c r="B2" s="2"/>
      <c r="C2" s="2"/>
      <c r="D2" s="2"/>
      <c r="E2" s="2"/>
      <c r="F2" s="2"/>
      <c r="G2" s="2"/>
      <c r="I2" s="6"/>
      <c r="L2" s="2"/>
      <c r="M2" s="2"/>
    </row>
    <row r="3" ht="24.0" customHeight="1">
      <c r="A3" s="212" t="s">
        <v>580</v>
      </c>
      <c r="D3" s="9"/>
      <c r="E3" s="9"/>
      <c r="F3" s="9"/>
      <c r="G3" s="9"/>
      <c r="L3" s="9"/>
      <c r="M3" s="9"/>
    </row>
    <row r="4" ht="24.0" customHeight="1">
      <c r="A4" s="7" t="s">
        <v>3</v>
      </c>
      <c r="B4" s="8"/>
      <c r="C4" s="9"/>
      <c r="D4" s="9"/>
      <c r="E4" s="9"/>
      <c r="F4" s="9"/>
      <c r="G4" s="9"/>
      <c r="L4" s="9"/>
      <c r="M4" s="9"/>
    </row>
    <row r="5" ht="21.0" customHeight="1">
      <c r="A5" s="7" t="s">
        <v>4</v>
      </c>
      <c r="B5" s="8"/>
      <c r="C5" s="9"/>
      <c r="D5" s="9"/>
      <c r="E5" s="9"/>
      <c r="F5" s="9"/>
      <c r="G5" s="9"/>
      <c r="H5" s="9"/>
      <c r="I5" s="9"/>
      <c r="J5" s="9"/>
      <c r="K5" s="126"/>
      <c r="L5" s="9"/>
      <c r="M5" s="9"/>
    </row>
    <row r="6">
      <c r="A6" s="12"/>
      <c r="B6" s="114"/>
      <c r="C6" s="304"/>
      <c r="D6" s="304"/>
      <c r="E6" s="12"/>
      <c r="F6" s="12"/>
      <c r="G6" s="12"/>
      <c r="H6" s="12"/>
      <c r="I6" s="12"/>
      <c r="J6" s="12"/>
      <c r="K6" s="12"/>
      <c r="L6" s="12"/>
      <c r="M6" s="12"/>
    </row>
    <row r="7" ht="21.75" customHeight="1">
      <c r="A7" s="13" t="s">
        <v>5</v>
      </c>
      <c r="B7" s="13" t="s">
        <v>6</v>
      </c>
      <c r="C7" s="14" t="s">
        <v>7</v>
      </c>
      <c r="D7" s="15"/>
      <c r="E7" s="16" t="s">
        <v>8</v>
      </c>
      <c r="F7" s="15"/>
      <c r="G7" s="17" t="s">
        <v>9</v>
      </c>
      <c r="H7" s="18"/>
      <c r="I7" s="18"/>
      <c r="J7" s="18"/>
      <c r="K7" s="18"/>
      <c r="L7" s="19"/>
      <c r="M7" s="20" t="s">
        <v>581</v>
      </c>
    </row>
    <row r="8" ht="23.25" customHeight="1">
      <c r="A8" s="21"/>
      <c r="B8" s="21"/>
      <c r="C8" s="22"/>
      <c r="D8" s="23"/>
      <c r="E8" s="22"/>
      <c r="F8" s="23"/>
      <c r="G8" s="24" t="s">
        <v>11</v>
      </c>
      <c r="H8" s="19"/>
      <c r="I8" s="24" t="s">
        <v>12</v>
      </c>
      <c r="J8" s="19"/>
      <c r="K8" s="24" t="s">
        <v>13</v>
      </c>
      <c r="L8" s="19"/>
      <c r="M8" s="21"/>
    </row>
    <row r="9" ht="20.25" customHeight="1">
      <c r="A9" s="21"/>
      <c r="B9" s="21"/>
      <c r="C9" s="25" t="s">
        <v>14</v>
      </c>
      <c r="D9" s="26" t="s">
        <v>15</v>
      </c>
      <c r="E9" s="27" t="s">
        <v>16</v>
      </c>
      <c r="F9" s="15"/>
      <c r="G9" s="28" t="s">
        <v>17</v>
      </c>
      <c r="H9" s="29" t="s">
        <v>18</v>
      </c>
      <c r="I9" s="28" t="s">
        <v>17</v>
      </c>
      <c r="J9" s="29" t="s">
        <v>18</v>
      </c>
      <c r="K9" s="28" t="s">
        <v>17</v>
      </c>
      <c r="L9" s="29" t="s">
        <v>18</v>
      </c>
      <c r="M9" s="21"/>
    </row>
    <row r="10" ht="64.5" customHeight="1">
      <c r="A10" s="30"/>
      <c r="B10" s="30"/>
      <c r="C10" s="30"/>
      <c r="D10" s="30"/>
      <c r="E10" s="31" t="s">
        <v>17</v>
      </c>
      <c r="F10" s="29" t="s">
        <v>18</v>
      </c>
      <c r="G10" s="30"/>
      <c r="H10" s="30"/>
      <c r="I10" s="30"/>
      <c r="J10" s="30"/>
      <c r="K10" s="30"/>
      <c r="L10" s="30"/>
      <c r="M10" s="30"/>
    </row>
    <row r="11">
      <c r="A11" s="305" t="s">
        <v>163</v>
      </c>
      <c r="B11" s="91"/>
      <c r="C11" s="306"/>
      <c r="D11" s="306">
        <f t="shared" ref="D11:D12" si="1">D12</f>
        <v>3497.2</v>
      </c>
      <c r="E11" s="306"/>
      <c r="F11" s="306">
        <f t="shared" ref="F11:F12" si="2">F12</f>
        <v>3133.83</v>
      </c>
      <c r="G11" s="307"/>
      <c r="H11" s="306">
        <f t="shared" ref="H11:H12" si="3">H12</f>
        <v>4030</v>
      </c>
      <c r="I11" s="306"/>
      <c r="J11" s="306"/>
      <c r="K11" s="307"/>
      <c r="L11" s="306">
        <f t="shared" ref="L11:L12" si="4">L12</f>
        <v>4030</v>
      </c>
      <c r="M11" s="307"/>
    </row>
    <row r="12">
      <c r="A12" s="32" t="s">
        <v>164</v>
      </c>
      <c r="B12" s="308"/>
      <c r="C12" s="35"/>
      <c r="D12" s="35">
        <f t="shared" si="1"/>
        <v>3497.2</v>
      </c>
      <c r="E12" s="309"/>
      <c r="F12" s="35">
        <f t="shared" si="2"/>
        <v>3133.83</v>
      </c>
      <c r="G12" s="306"/>
      <c r="H12" s="35">
        <f t="shared" si="3"/>
        <v>4030</v>
      </c>
      <c r="I12" s="306"/>
      <c r="J12" s="306"/>
      <c r="K12" s="306"/>
      <c r="L12" s="35">
        <f t="shared" si="4"/>
        <v>4030</v>
      </c>
      <c r="M12" s="306"/>
    </row>
    <row r="13">
      <c r="A13" s="32" t="s">
        <v>582</v>
      </c>
      <c r="B13" s="308"/>
      <c r="C13" s="35"/>
      <c r="D13" s="35">
        <f>D14+D21</f>
        <v>3497.2</v>
      </c>
      <c r="E13" s="309"/>
      <c r="F13" s="35">
        <f>F14+F21</f>
        <v>3133.83</v>
      </c>
      <c r="G13" s="306"/>
      <c r="H13" s="35">
        <f>H14+H21</f>
        <v>4030</v>
      </c>
      <c r="I13" s="306"/>
      <c r="J13" s="306"/>
      <c r="K13" s="306"/>
      <c r="L13" s="35">
        <f>L14+L21</f>
        <v>4030</v>
      </c>
      <c r="M13" s="306"/>
    </row>
    <row r="14">
      <c r="A14" s="32" t="s">
        <v>583</v>
      </c>
      <c r="B14" s="310"/>
      <c r="C14" s="252"/>
      <c r="D14" s="252">
        <f>D15+D16</f>
        <v>967.2</v>
      </c>
      <c r="E14" s="311"/>
      <c r="F14" s="252">
        <f>F15+F16</f>
        <v>933.83</v>
      </c>
      <c r="G14" s="306"/>
      <c r="H14" s="261">
        <f>H15+H16+H17</f>
        <v>1250</v>
      </c>
      <c r="I14" s="312"/>
      <c r="J14" s="312"/>
      <c r="K14" s="306"/>
      <c r="L14" s="261">
        <f>L15+L16+L17</f>
        <v>1250</v>
      </c>
      <c r="M14" s="306"/>
    </row>
    <row r="15">
      <c r="A15" s="39" t="s">
        <v>584</v>
      </c>
      <c r="B15" s="81" t="s">
        <v>33</v>
      </c>
      <c r="C15" s="313">
        <v>910.0</v>
      </c>
      <c r="D15" s="313">
        <v>920.7</v>
      </c>
      <c r="E15" s="314">
        <v>900.0</v>
      </c>
      <c r="F15" s="313">
        <v>910.58</v>
      </c>
      <c r="G15" s="315">
        <v>1000.0</v>
      </c>
      <c r="H15" s="293">
        <f>1000*0.5</f>
        <v>500</v>
      </c>
      <c r="I15" s="293"/>
      <c r="J15" s="293"/>
      <c r="K15" s="315">
        <v>1000.0</v>
      </c>
      <c r="L15" s="293">
        <f>1000*0.5</f>
        <v>500</v>
      </c>
      <c r="M15" s="293"/>
    </row>
    <row r="16">
      <c r="A16" s="229" t="s">
        <v>585</v>
      </c>
      <c r="B16" s="310" t="s">
        <v>33</v>
      </c>
      <c r="C16" s="313">
        <v>200.0</v>
      </c>
      <c r="D16" s="313">
        <v>46.5</v>
      </c>
      <c r="E16" s="314">
        <v>100.0</v>
      </c>
      <c r="F16" s="313">
        <v>23.25</v>
      </c>
      <c r="G16" s="315"/>
      <c r="H16" s="293"/>
      <c r="I16" s="293"/>
      <c r="J16" s="293"/>
      <c r="K16" s="315"/>
      <c r="L16" s="293"/>
      <c r="M16" s="293"/>
    </row>
    <row r="17">
      <c r="A17" s="316" t="s">
        <v>586</v>
      </c>
      <c r="B17" s="81"/>
      <c r="C17" s="283"/>
      <c r="D17" s="283"/>
      <c r="E17" s="311"/>
      <c r="F17" s="293"/>
      <c r="G17" s="315">
        <v>50000.0</v>
      </c>
      <c r="H17" s="293">
        <f>G17*0.015</f>
        <v>750</v>
      </c>
      <c r="I17" s="293"/>
      <c r="J17" s="293"/>
      <c r="K17" s="315">
        <v>50000.0</v>
      </c>
      <c r="L17" s="293">
        <f>K17*0.015</f>
        <v>750</v>
      </c>
      <c r="M17" s="229"/>
    </row>
    <row r="18">
      <c r="A18" s="317" t="s">
        <v>587</v>
      </c>
      <c r="B18" s="81"/>
      <c r="C18" s="283"/>
      <c r="D18" s="283"/>
      <c r="E18" s="311"/>
      <c r="F18" s="293"/>
      <c r="G18" s="315"/>
      <c r="H18" s="261">
        <f>H19+H20</f>
        <v>500</v>
      </c>
      <c r="I18" s="293"/>
      <c r="J18" s="293"/>
      <c r="K18" s="315"/>
      <c r="L18" s="261">
        <f>L19+L20</f>
        <v>500</v>
      </c>
      <c r="M18" s="229"/>
    </row>
    <row r="19">
      <c r="A19" s="318" t="s">
        <v>588</v>
      </c>
      <c r="B19" s="81" t="s">
        <v>33</v>
      </c>
      <c r="C19" s="283"/>
      <c r="D19" s="283"/>
      <c r="E19" s="311"/>
      <c r="F19" s="293"/>
      <c r="G19" s="315">
        <v>1000.0</v>
      </c>
      <c r="H19" s="293">
        <f>G19*0.5</f>
        <v>500</v>
      </c>
      <c r="I19" s="293"/>
      <c r="J19" s="293"/>
      <c r="K19" s="315">
        <v>1000.0</v>
      </c>
      <c r="L19" s="293">
        <f>K19*0.5</f>
        <v>500</v>
      </c>
      <c r="M19" s="229"/>
    </row>
    <row r="20">
      <c r="A20" s="318" t="s">
        <v>589</v>
      </c>
      <c r="B20" s="310" t="s">
        <v>33</v>
      </c>
      <c r="C20" s="283"/>
      <c r="D20" s="283"/>
      <c r="E20" s="311"/>
      <c r="F20" s="293"/>
      <c r="G20" s="315"/>
      <c r="H20" s="293"/>
      <c r="I20" s="293"/>
      <c r="J20" s="293"/>
      <c r="K20" s="315"/>
      <c r="L20" s="293"/>
      <c r="M20" s="229"/>
    </row>
    <row r="21">
      <c r="A21" s="83" t="s">
        <v>590</v>
      </c>
      <c r="B21" s="81"/>
      <c r="C21" s="252"/>
      <c r="D21" s="252">
        <f>D23</f>
        <v>2530</v>
      </c>
      <c r="E21" s="311">
        <v>40.0</v>
      </c>
      <c r="F21" s="252">
        <v>2200.0</v>
      </c>
      <c r="G21" s="252"/>
      <c r="H21" s="261">
        <f>H22+H23+H24</f>
        <v>2780</v>
      </c>
      <c r="I21" s="261"/>
      <c r="J21" s="261"/>
      <c r="K21" s="252"/>
      <c r="L21" s="261">
        <f>L22+L23+L24</f>
        <v>2780</v>
      </c>
      <c r="M21" s="252"/>
    </row>
    <row r="22">
      <c r="A22" s="39" t="s">
        <v>591</v>
      </c>
      <c r="B22" s="81" t="s">
        <v>33</v>
      </c>
      <c r="C22" s="283"/>
      <c r="D22" s="283"/>
      <c r="E22" s="311"/>
      <c r="F22" s="293"/>
      <c r="G22" s="229"/>
      <c r="H22" s="293"/>
      <c r="I22" s="293"/>
      <c r="J22" s="293"/>
      <c r="K22" s="229"/>
      <c r="L22" s="293"/>
      <c r="M22" s="229"/>
    </row>
    <row r="23">
      <c r="A23" s="39" t="s">
        <v>592</v>
      </c>
      <c r="B23" s="81" t="s">
        <v>33</v>
      </c>
      <c r="C23" s="319">
        <v>46.0</v>
      </c>
      <c r="D23" s="319">
        <v>2530.0</v>
      </c>
      <c r="E23" s="320">
        <v>40.0</v>
      </c>
      <c r="F23" s="319">
        <v>2200.0</v>
      </c>
      <c r="G23" s="321">
        <v>35.0</v>
      </c>
      <c r="H23" s="322">
        <f>G23*70</f>
        <v>2450</v>
      </c>
      <c r="I23" s="322"/>
      <c r="J23" s="322"/>
      <c r="K23" s="321">
        <v>35.0</v>
      </c>
      <c r="L23" s="322">
        <f>K23*70</f>
        <v>2450</v>
      </c>
      <c r="M23" s="323"/>
    </row>
    <row r="24">
      <c r="A24" s="39" t="s">
        <v>593</v>
      </c>
      <c r="B24" s="81" t="s">
        <v>33</v>
      </c>
      <c r="C24" s="283"/>
      <c r="D24" s="283"/>
      <c r="E24" s="311"/>
      <c r="F24" s="293"/>
      <c r="G24" s="324">
        <v>6.0</v>
      </c>
      <c r="H24" s="293">
        <f>G24*55</f>
        <v>330</v>
      </c>
      <c r="I24" s="293"/>
      <c r="J24" s="293"/>
      <c r="K24" s="324">
        <v>6.0</v>
      </c>
      <c r="L24" s="293">
        <f>K24*55</f>
        <v>330</v>
      </c>
      <c r="M24" s="229"/>
    </row>
    <row r="25" ht="12.0" customHeight="1">
      <c r="A25" s="39"/>
      <c r="B25" s="310"/>
      <c r="C25" s="283"/>
      <c r="D25" s="283"/>
      <c r="E25" s="311"/>
      <c r="F25" s="293"/>
      <c r="G25" s="229"/>
      <c r="H25" s="293"/>
      <c r="I25" s="293"/>
      <c r="J25" s="293"/>
      <c r="K25" s="229"/>
      <c r="L25" s="293"/>
      <c r="M25" s="229"/>
    </row>
    <row r="26">
      <c r="A26" s="83" t="s">
        <v>594</v>
      </c>
      <c r="B26" s="310"/>
      <c r="C26" s="36"/>
      <c r="D26" s="36"/>
      <c r="E26" s="309">
        <v>0.0</v>
      </c>
      <c r="F26" s="36">
        <v>0.0</v>
      </c>
      <c r="G26" s="36"/>
      <c r="H26" s="36"/>
      <c r="I26" s="36"/>
      <c r="J26" s="36"/>
      <c r="K26" s="36"/>
      <c r="L26" s="36"/>
      <c r="M26" s="36"/>
    </row>
    <row r="27">
      <c r="A27" s="39" t="s">
        <v>595</v>
      </c>
      <c r="B27" s="310" t="s">
        <v>33</v>
      </c>
      <c r="C27" s="283"/>
      <c r="D27" s="283"/>
      <c r="E27" s="311"/>
      <c r="F27" s="293"/>
      <c r="G27" s="229"/>
      <c r="H27" s="293"/>
      <c r="I27" s="293"/>
      <c r="J27" s="293"/>
      <c r="K27" s="229"/>
      <c r="L27" s="293"/>
      <c r="M27" s="229"/>
    </row>
    <row r="28">
      <c r="A28" s="39" t="s">
        <v>596</v>
      </c>
      <c r="B28" s="81" t="s">
        <v>33</v>
      </c>
      <c r="C28" s="283"/>
      <c r="D28" s="283"/>
      <c r="E28" s="311"/>
      <c r="F28" s="293"/>
      <c r="G28" s="293"/>
      <c r="H28" s="293"/>
      <c r="I28" s="293"/>
      <c r="J28" s="293"/>
      <c r="K28" s="293"/>
      <c r="L28" s="293"/>
      <c r="M28" s="293"/>
    </row>
    <row r="29">
      <c r="A29" s="39" t="s">
        <v>597</v>
      </c>
      <c r="B29" s="310" t="s">
        <v>33</v>
      </c>
      <c r="C29" s="283"/>
      <c r="D29" s="283"/>
      <c r="E29" s="311"/>
      <c r="F29" s="293"/>
      <c r="G29" s="229"/>
      <c r="H29" s="293"/>
      <c r="I29" s="293"/>
      <c r="J29" s="293"/>
      <c r="K29" s="229"/>
      <c r="L29" s="293"/>
      <c r="M29" s="229"/>
    </row>
    <row r="30">
      <c r="A30" s="39" t="s">
        <v>598</v>
      </c>
      <c r="B30" s="310" t="s">
        <v>33</v>
      </c>
      <c r="C30" s="283"/>
      <c r="D30" s="283"/>
      <c r="E30" s="311"/>
      <c r="F30" s="293"/>
      <c r="G30" s="229"/>
      <c r="H30" s="293"/>
      <c r="I30" s="293"/>
      <c r="J30" s="293"/>
      <c r="K30" s="229"/>
      <c r="L30" s="293"/>
      <c r="M30" s="229"/>
    </row>
    <row r="31" ht="15.75" hidden="1" customHeight="1">
      <c r="A31" s="39" t="s">
        <v>599</v>
      </c>
      <c r="B31" s="310" t="s">
        <v>33</v>
      </c>
      <c r="C31" s="283"/>
      <c r="D31" s="283"/>
      <c r="E31" s="311"/>
      <c r="F31" s="293"/>
      <c r="G31" s="229"/>
      <c r="H31" s="293"/>
      <c r="I31" s="293"/>
      <c r="J31" s="293"/>
      <c r="K31" s="229"/>
      <c r="L31" s="293"/>
      <c r="M31" s="229"/>
    </row>
    <row r="32">
      <c r="A32" s="80" t="s">
        <v>600</v>
      </c>
      <c r="B32" s="81"/>
      <c r="C32" s="283"/>
      <c r="D32" s="283"/>
      <c r="E32" s="311"/>
      <c r="F32" s="293"/>
      <c r="G32" s="229"/>
      <c r="H32" s="293"/>
      <c r="I32" s="293"/>
      <c r="J32" s="293"/>
      <c r="K32" s="229"/>
      <c r="L32" s="293"/>
      <c r="M32" s="229"/>
    </row>
    <row r="33">
      <c r="A33" s="39" t="s">
        <v>601</v>
      </c>
      <c r="B33" s="81" t="s">
        <v>33</v>
      </c>
      <c r="C33" s="325"/>
      <c r="D33" s="325"/>
      <c r="E33" s="314"/>
      <c r="F33" s="294"/>
      <c r="G33" s="293"/>
      <c r="H33" s="293"/>
      <c r="I33" s="293"/>
      <c r="J33" s="293"/>
      <c r="K33" s="293"/>
      <c r="L33" s="293"/>
      <c r="M33" s="293"/>
    </row>
    <row r="34">
      <c r="A34" s="39" t="s">
        <v>602</v>
      </c>
      <c r="B34" s="310" t="s">
        <v>33</v>
      </c>
      <c r="C34" s="325"/>
      <c r="D34" s="325"/>
      <c r="E34" s="311"/>
      <c r="F34" s="293"/>
      <c r="G34" s="293"/>
      <c r="H34" s="293"/>
      <c r="I34" s="293"/>
      <c r="J34" s="293"/>
      <c r="K34" s="293"/>
      <c r="L34" s="293"/>
      <c r="M34" s="293"/>
    </row>
    <row r="35">
      <c r="A35" s="39" t="s">
        <v>603</v>
      </c>
      <c r="B35" s="310" t="s">
        <v>33</v>
      </c>
      <c r="C35" s="325"/>
      <c r="D35" s="325"/>
      <c r="E35" s="314"/>
      <c r="F35" s="294"/>
      <c r="G35" s="293"/>
      <c r="H35" s="293"/>
      <c r="I35" s="293"/>
      <c r="J35" s="293"/>
      <c r="K35" s="293"/>
      <c r="L35" s="293"/>
      <c r="M35" s="293"/>
    </row>
    <row r="36">
      <c r="A36" s="83" t="s">
        <v>415</v>
      </c>
      <c r="B36" s="81"/>
      <c r="C36" s="326"/>
      <c r="D36" s="326"/>
      <c r="E36" s="311" t="s">
        <v>604</v>
      </c>
      <c r="F36" s="261">
        <f>F37</f>
        <v>1000</v>
      </c>
      <c r="G36" s="261"/>
      <c r="H36" s="261">
        <f>H37</f>
        <v>12500</v>
      </c>
      <c r="I36" s="261"/>
      <c r="J36" s="261"/>
      <c r="K36" s="261"/>
      <c r="L36" s="261">
        <f>L37</f>
        <v>12500</v>
      </c>
      <c r="M36" s="261"/>
    </row>
    <row r="37">
      <c r="A37" s="83" t="s">
        <v>416</v>
      </c>
      <c r="B37" s="310"/>
      <c r="C37" s="327"/>
      <c r="D37" s="327"/>
      <c r="E37" s="309">
        <v>0.0</v>
      </c>
      <c r="F37" s="327">
        <f>SUM(F38:F49)</f>
        <v>1000</v>
      </c>
      <c r="G37" s="327"/>
      <c r="H37" s="36">
        <f>sum(H49:H58)</f>
        <v>12500</v>
      </c>
      <c r="I37" s="36"/>
      <c r="J37" s="36"/>
      <c r="K37" s="327"/>
      <c r="L37" s="36">
        <f>sum(L49:L58)</f>
        <v>12500</v>
      </c>
      <c r="M37" s="327"/>
    </row>
    <row r="38" ht="27.75" customHeight="1">
      <c r="A38" s="83" t="s">
        <v>605</v>
      </c>
      <c r="B38" s="81"/>
      <c r="C38" s="283"/>
      <c r="D38" s="283"/>
      <c r="E38" s="311"/>
      <c r="F38" s="293"/>
      <c r="G38" s="229"/>
      <c r="H38" s="293"/>
      <c r="I38" s="293"/>
      <c r="J38" s="293"/>
      <c r="K38" s="229"/>
      <c r="L38" s="293"/>
      <c r="M38" s="229"/>
    </row>
    <row r="39">
      <c r="A39" s="83" t="s">
        <v>606</v>
      </c>
      <c r="B39" s="81"/>
      <c r="C39" s="283"/>
      <c r="D39" s="283"/>
      <c r="E39" s="311"/>
      <c r="F39" s="283"/>
      <c r="G39" s="283"/>
      <c r="H39" s="293"/>
      <c r="I39" s="293"/>
      <c r="J39" s="293"/>
      <c r="K39" s="283"/>
      <c r="L39" s="293"/>
      <c r="M39" s="283"/>
    </row>
    <row r="40">
      <c r="A40" s="39" t="s">
        <v>607</v>
      </c>
      <c r="B40" s="310" t="s">
        <v>33</v>
      </c>
      <c r="C40" s="325"/>
      <c r="D40" s="325"/>
      <c r="E40" s="314"/>
      <c r="F40" s="325">
        <v>0.0</v>
      </c>
      <c r="G40" s="293"/>
      <c r="H40" s="293"/>
      <c r="I40" s="293"/>
      <c r="J40" s="293"/>
      <c r="K40" s="293"/>
      <c r="L40" s="293"/>
      <c r="M40" s="293"/>
    </row>
    <row r="41">
      <c r="A41" s="39" t="s">
        <v>601</v>
      </c>
      <c r="B41" s="81" t="s">
        <v>33</v>
      </c>
      <c r="C41" s="325"/>
      <c r="D41" s="325"/>
      <c r="E41" s="314"/>
      <c r="F41" s="294"/>
      <c r="G41" s="293"/>
      <c r="H41" s="293"/>
      <c r="I41" s="293"/>
      <c r="J41" s="293"/>
      <c r="K41" s="293"/>
      <c r="L41" s="293"/>
      <c r="M41" s="293"/>
    </row>
    <row r="42">
      <c r="A42" s="39" t="s">
        <v>608</v>
      </c>
      <c r="B42" s="81" t="s">
        <v>33</v>
      </c>
      <c r="C42" s="325"/>
      <c r="D42" s="325"/>
      <c r="E42" s="314"/>
      <c r="F42" s="294"/>
      <c r="G42" s="293"/>
      <c r="H42" s="293"/>
      <c r="I42" s="293"/>
      <c r="J42" s="293"/>
      <c r="K42" s="293"/>
      <c r="L42" s="293"/>
      <c r="M42" s="293"/>
    </row>
    <row r="43">
      <c r="A43" s="39" t="s">
        <v>602</v>
      </c>
      <c r="B43" s="310" t="s">
        <v>33</v>
      </c>
      <c r="C43" s="325"/>
      <c r="D43" s="325"/>
      <c r="E43" s="311"/>
      <c r="F43" s="293"/>
      <c r="G43" s="293"/>
      <c r="H43" s="293"/>
      <c r="I43" s="293"/>
      <c r="J43" s="293"/>
      <c r="K43" s="293"/>
      <c r="L43" s="293"/>
      <c r="M43" s="293"/>
    </row>
    <row r="44">
      <c r="A44" s="39" t="s">
        <v>603</v>
      </c>
      <c r="B44" s="310" t="s">
        <v>33</v>
      </c>
      <c r="C44" s="325"/>
      <c r="D44" s="325"/>
      <c r="E44" s="314"/>
      <c r="F44" s="294"/>
      <c r="G44" s="293"/>
      <c r="H44" s="293"/>
      <c r="I44" s="293"/>
      <c r="J44" s="293"/>
      <c r="K44" s="293"/>
      <c r="L44" s="293"/>
      <c r="M44" s="293"/>
    </row>
    <row r="45">
      <c r="A45" s="39" t="s">
        <v>609</v>
      </c>
      <c r="B45" s="310" t="s">
        <v>33</v>
      </c>
      <c r="C45" s="328"/>
      <c r="D45" s="328"/>
      <c r="E45" s="314"/>
      <c r="F45" s="294"/>
      <c r="G45" s="293"/>
      <c r="H45" s="293"/>
      <c r="I45" s="293"/>
      <c r="J45" s="293"/>
      <c r="K45" s="293"/>
      <c r="L45" s="293"/>
      <c r="M45" s="293"/>
    </row>
    <row r="46">
      <c r="A46" s="39" t="s">
        <v>610</v>
      </c>
      <c r="B46" s="310" t="s">
        <v>33</v>
      </c>
      <c r="C46" s="325"/>
      <c r="D46" s="325"/>
      <c r="E46" s="311"/>
      <c r="F46" s="293"/>
      <c r="G46" s="293"/>
      <c r="H46" s="293"/>
      <c r="I46" s="293"/>
      <c r="J46" s="293"/>
      <c r="K46" s="293"/>
      <c r="L46" s="293"/>
      <c r="M46" s="293"/>
    </row>
    <row r="47">
      <c r="A47" s="80" t="s">
        <v>611</v>
      </c>
      <c r="B47" s="329" t="s">
        <v>33</v>
      </c>
      <c r="C47" s="325"/>
      <c r="D47" s="325"/>
      <c r="E47" s="314"/>
      <c r="F47" s="294"/>
      <c r="G47" s="293"/>
      <c r="H47" s="293"/>
      <c r="I47" s="293"/>
      <c r="J47" s="293"/>
      <c r="K47" s="293"/>
      <c r="L47" s="293"/>
      <c r="M47" s="293"/>
    </row>
    <row r="48">
      <c r="A48" s="330" t="s">
        <v>612</v>
      </c>
      <c r="B48" s="81" t="s">
        <v>33</v>
      </c>
      <c r="C48" s="325"/>
      <c r="D48" s="325"/>
      <c r="E48" s="311"/>
      <c r="F48" s="293"/>
      <c r="G48" s="293"/>
      <c r="H48" s="293"/>
      <c r="I48" s="293"/>
      <c r="J48" s="293"/>
      <c r="K48" s="293"/>
      <c r="L48" s="293"/>
      <c r="M48" s="293"/>
    </row>
    <row r="49">
      <c r="A49" s="331" t="s">
        <v>613</v>
      </c>
      <c r="B49" s="81" t="s">
        <v>33</v>
      </c>
      <c r="C49" s="283"/>
      <c r="D49" s="283"/>
      <c r="E49" s="311">
        <v>1.0</v>
      </c>
      <c r="F49" s="293">
        <v>1000.0</v>
      </c>
      <c r="G49" s="324">
        <v>1.0</v>
      </c>
      <c r="H49" s="315">
        <v>1500.0</v>
      </c>
      <c r="I49" s="293"/>
      <c r="J49" s="293"/>
      <c r="K49" s="324">
        <v>1.0</v>
      </c>
      <c r="L49" s="315">
        <v>1500.0</v>
      </c>
      <c r="M49" s="229"/>
    </row>
    <row r="50" ht="21.0" customHeight="1">
      <c r="A50" s="331" t="s">
        <v>614</v>
      </c>
      <c r="B50" s="81" t="s">
        <v>33</v>
      </c>
      <c r="C50" s="283"/>
      <c r="D50" s="283"/>
      <c r="E50" s="311"/>
      <c r="F50" s="293"/>
      <c r="G50" s="324">
        <v>1.0</v>
      </c>
      <c r="H50" s="315">
        <v>2500.0</v>
      </c>
      <c r="I50" s="293"/>
      <c r="J50" s="293"/>
      <c r="K50" s="324">
        <v>1.0</v>
      </c>
      <c r="L50" s="315">
        <v>2500.0</v>
      </c>
      <c r="M50" s="229"/>
    </row>
    <row r="51" ht="18.75" customHeight="1">
      <c r="A51" s="332" t="s">
        <v>615</v>
      </c>
      <c r="B51" s="333" t="s">
        <v>157</v>
      </c>
      <c r="C51" s="334"/>
      <c r="D51" s="334"/>
      <c r="E51" s="335"/>
      <c r="F51" s="296"/>
      <c r="G51" s="336">
        <v>1.0</v>
      </c>
      <c r="H51" s="337">
        <f>1000000/1000</f>
        <v>1000</v>
      </c>
      <c r="I51" s="296"/>
      <c r="J51" s="296"/>
      <c r="K51" s="336">
        <v>1.0</v>
      </c>
      <c r="L51" s="337">
        <f>1000000/1000</f>
        <v>1000</v>
      </c>
      <c r="M51" s="282"/>
    </row>
    <row r="52" ht="21.75" customHeight="1">
      <c r="A52" s="332" t="s">
        <v>616</v>
      </c>
      <c r="B52" s="284"/>
      <c r="C52" s="334"/>
      <c r="D52" s="334"/>
      <c r="E52" s="335"/>
      <c r="F52" s="296"/>
      <c r="G52" s="282"/>
      <c r="H52" s="296"/>
      <c r="I52" s="296"/>
      <c r="J52" s="296"/>
      <c r="K52" s="282"/>
      <c r="L52" s="296"/>
      <c r="M52" s="282"/>
    </row>
    <row r="53" ht="20.25" customHeight="1">
      <c r="A53" s="332" t="s">
        <v>617</v>
      </c>
      <c r="B53" s="284"/>
      <c r="C53" s="334"/>
      <c r="D53" s="334"/>
      <c r="E53" s="335"/>
      <c r="F53" s="296"/>
      <c r="G53" s="336">
        <v>2.0</v>
      </c>
      <c r="H53" s="337">
        <f>2000000/1000</f>
        <v>2000</v>
      </c>
      <c r="I53" s="296"/>
      <c r="J53" s="296"/>
      <c r="K53" s="336">
        <v>2.0</v>
      </c>
      <c r="L53" s="337">
        <f>2000000/1000</f>
        <v>2000</v>
      </c>
      <c r="M53" s="282"/>
    </row>
    <row r="54" ht="18.0" customHeight="1">
      <c r="A54" s="332" t="s">
        <v>618</v>
      </c>
      <c r="B54" s="284"/>
      <c r="C54" s="334"/>
      <c r="D54" s="334"/>
      <c r="E54" s="335"/>
      <c r="F54" s="296"/>
      <c r="G54" s="336">
        <v>1.0</v>
      </c>
      <c r="H54" s="337">
        <f>1500000/1000</f>
        <v>1500</v>
      </c>
      <c r="I54" s="296"/>
      <c r="J54" s="296"/>
      <c r="K54" s="336">
        <v>1.0</v>
      </c>
      <c r="L54" s="337">
        <f>1500000/1000</f>
        <v>1500</v>
      </c>
      <c r="M54" s="282"/>
    </row>
    <row r="55" ht="20.25" customHeight="1">
      <c r="A55" s="332" t="s">
        <v>619</v>
      </c>
      <c r="B55" s="284"/>
      <c r="C55" s="334"/>
      <c r="D55" s="334"/>
      <c r="E55" s="335"/>
      <c r="F55" s="296"/>
      <c r="G55" s="336">
        <v>1.0</v>
      </c>
      <c r="H55" s="337">
        <f>500000/1000</f>
        <v>500</v>
      </c>
      <c r="I55" s="296"/>
      <c r="J55" s="296"/>
      <c r="K55" s="336">
        <v>1.0</v>
      </c>
      <c r="L55" s="337">
        <f>500000/1000</f>
        <v>500</v>
      </c>
      <c r="M55" s="282"/>
    </row>
    <row r="56" ht="17.25" customHeight="1">
      <c r="A56" s="332" t="s">
        <v>620</v>
      </c>
      <c r="B56" s="284"/>
      <c r="C56" s="334"/>
      <c r="D56" s="334"/>
      <c r="E56" s="335"/>
      <c r="F56" s="296"/>
      <c r="G56" s="336">
        <v>1.0</v>
      </c>
      <c r="H56" s="337">
        <f>2000000/1000</f>
        <v>2000</v>
      </c>
      <c r="I56" s="296"/>
      <c r="J56" s="296"/>
      <c r="K56" s="336">
        <v>1.0</v>
      </c>
      <c r="L56" s="337">
        <f>2000000/1000</f>
        <v>2000</v>
      </c>
      <c r="M56" s="282"/>
    </row>
    <row r="57" ht="17.25" customHeight="1">
      <c r="A57" s="332" t="s">
        <v>621</v>
      </c>
      <c r="B57" s="284"/>
      <c r="C57" s="334"/>
      <c r="D57" s="334"/>
      <c r="E57" s="335"/>
      <c r="F57" s="296"/>
      <c r="G57" s="336">
        <v>1.0</v>
      </c>
      <c r="H57" s="337">
        <f>1000000/1000</f>
        <v>1000</v>
      </c>
      <c r="I57" s="296"/>
      <c r="J57" s="296"/>
      <c r="K57" s="336">
        <v>1.0</v>
      </c>
      <c r="L57" s="337">
        <f>1000000/1000</f>
        <v>1000</v>
      </c>
      <c r="M57" s="282"/>
    </row>
    <row r="58" ht="17.25" customHeight="1">
      <c r="A58" s="332" t="s">
        <v>622</v>
      </c>
      <c r="B58" s="284"/>
      <c r="C58" s="334"/>
      <c r="D58" s="334"/>
      <c r="E58" s="335"/>
      <c r="F58" s="296"/>
      <c r="G58" s="336">
        <v>1.0</v>
      </c>
      <c r="H58" s="337">
        <f>500000/1000</f>
        <v>500</v>
      </c>
      <c r="I58" s="296"/>
      <c r="J58" s="296"/>
      <c r="K58" s="336">
        <v>1.0</v>
      </c>
      <c r="L58" s="337">
        <f>500000/1000</f>
        <v>500</v>
      </c>
      <c r="M58" s="282"/>
    </row>
    <row r="59" ht="17.25" customHeight="1">
      <c r="A59" s="39"/>
      <c r="B59" s="81"/>
      <c r="C59" s="283"/>
      <c r="D59" s="283"/>
      <c r="E59" s="311"/>
      <c r="F59" s="293"/>
      <c r="G59" s="229"/>
      <c r="H59" s="293"/>
      <c r="I59" s="293"/>
      <c r="J59" s="293"/>
      <c r="K59" s="229"/>
      <c r="L59" s="293"/>
      <c r="M59" s="229"/>
    </row>
    <row r="60">
      <c r="A60" s="91" t="s">
        <v>69</v>
      </c>
      <c r="B60" s="310"/>
      <c r="C60" s="261"/>
      <c r="D60" s="261">
        <f>D36+D11</f>
        <v>3497.2</v>
      </c>
      <c r="E60" s="311"/>
      <c r="F60" s="261">
        <f>F36+F11</f>
        <v>4133.83</v>
      </c>
      <c r="G60" s="261"/>
      <c r="H60" s="261">
        <f>H36+H11</f>
        <v>16530</v>
      </c>
      <c r="I60" s="261"/>
      <c r="J60" s="302">
        <v>0.0</v>
      </c>
      <c r="K60" s="261"/>
      <c r="L60" s="261">
        <f>L36+L11</f>
        <v>16530</v>
      </c>
      <c r="M60" s="261"/>
    </row>
    <row r="61" ht="12.75" hidden="1" customHeight="1">
      <c r="A61" s="12"/>
      <c r="B61" s="114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ht="19.5" hidden="1" customHeight="1">
      <c r="A62" s="93" t="s">
        <v>70</v>
      </c>
      <c r="B62" s="94" t="s">
        <v>71</v>
      </c>
      <c r="C62" s="4"/>
      <c r="D62" s="4"/>
      <c r="E62" s="4"/>
      <c r="F62" s="4"/>
      <c r="G62" s="99"/>
      <c r="H62" s="99"/>
      <c r="I62" s="99"/>
      <c r="J62" s="99"/>
      <c r="K62" s="99"/>
      <c r="L62" s="99"/>
      <c r="M62" s="99"/>
    </row>
    <row r="63" ht="14.25" hidden="1" customHeight="1">
      <c r="A63" s="98"/>
      <c r="B63" s="98"/>
      <c r="C63" s="4"/>
      <c r="D63" s="4"/>
      <c r="E63" s="2"/>
      <c r="F63" s="2"/>
      <c r="G63" s="12"/>
      <c r="H63" s="12"/>
      <c r="I63" s="12"/>
      <c r="J63" s="12"/>
      <c r="K63" s="12"/>
      <c r="L63" s="12"/>
      <c r="M63" s="12"/>
    </row>
    <row r="64" ht="14.25" hidden="1" customHeight="1">
      <c r="A64" s="98"/>
      <c r="B64" s="98"/>
      <c r="C64" s="4"/>
      <c r="D64" s="4"/>
      <c r="E64" s="4"/>
      <c r="F64" s="4"/>
      <c r="G64" s="12"/>
      <c r="H64" s="12"/>
      <c r="I64" s="12"/>
      <c r="J64" s="12"/>
      <c r="K64" s="12"/>
      <c r="L64" s="12"/>
      <c r="M64" s="12"/>
    </row>
    <row r="65" ht="14.25" hidden="1" customHeight="1">
      <c r="A65" s="98"/>
      <c r="B65" s="96"/>
      <c r="C65" s="4"/>
      <c r="D65" s="4"/>
      <c r="E65" s="4"/>
      <c r="F65" s="4"/>
      <c r="G65" s="12"/>
      <c r="H65" s="12"/>
      <c r="I65" s="12"/>
      <c r="J65" s="12"/>
      <c r="K65" s="12"/>
      <c r="L65" s="12"/>
      <c r="M65" s="12"/>
    </row>
    <row r="66" ht="14.25" hidden="1" customHeight="1">
      <c r="A66" s="98"/>
      <c r="B66" s="98"/>
      <c r="C66" s="4"/>
      <c r="D66" s="4"/>
      <c r="E66" s="4"/>
      <c r="F66" s="4"/>
      <c r="G66" s="12"/>
      <c r="H66" s="12"/>
      <c r="I66" s="12"/>
      <c r="J66" s="12"/>
      <c r="K66" s="12"/>
      <c r="L66" s="12"/>
      <c r="M66" s="12"/>
    </row>
    <row r="67" ht="19.5" hidden="1" customHeight="1">
      <c r="A67" s="100" t="s">
        <v>74</v>
      </c>
      <c r="B67" s="100" t="s">
        <v>75</v>
      </c>
      <c r="C67" s="4"/>
      <c r="D67" s="4"/>
      <c r="E67" s="4"/>
      <c r="F67" s="4"/>
      <c r="G67" s="12"/>
      <c r="H67" s="12"/>
      <c r="I67" s="12"/>
      <c r="J67" s="12"/>
      <c r="K67" s="12"/>
      <c r="L67" s="12"/>
      <c r="M67" s="12"/>
    </row>
    <row r="68" ht="18.75" hidden="1" customHeight="1">
      <c r="A68" s="93" t="s">
        <v>78</v>
      </c>
      <c r="B68" s="95" t="s">
        <v>79</v>
      </c>
      <c r="C68" s="4"/>
      <c r="D68" s="4"/>
      <c r="E68" s="4"/>
      <c r="F68" s="4"/>
      <c r="G68" s="99"/>
      <c r="H68" s="99"/>
      <c r="I68" s="99"/>
      <c r="J68" s="99"/>
      <c r="K68" s="99"/>
      <c r="L68" s="99"/>
      <c r="M68" s="99"/>
    </row>
    <row r="69" ht="15.75" hidden="1" customHeight="1">
      <c r="A69" s="101" t="s">
        <v>82</v>
      </c>
      <c r="B69" s="96"/>
      <c r="C69" s="2"/>
      <c r="D69" s="2"/>
      <c r="E69" s="2"/>
      <c r="F69" s="2"/>
      <c r="G69" s="12"/>
      <c r="H69" s="12"/>
      <c r="I69" s="12"/>
      <c r="J69" s="12"/>
      <c r="K69" s="12"/>
      <c r="L69" s="12"/>
      <c r="M69" s="12"/>
    </row>
    <row r="70" ht="15.75" customHeight="1">
      <c r="A70" s="12"/>
      <c r="B70" s="114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ht="16.5" customHeight="1">
      <c r="A71" s="102" t="s">
        <v>70</v>
      </c>
      <c r="B71" s="12"/>
      <c r="E71" s="103" t="s">
        <v>83</v>
      </c>
      <c r="J71" s="2"/>
      <c r="K71" s="2"/>
      <c r="L71" s="97" t="s">
        <v>73</v>
      </c>
      <c r="M71" s="2"/>
    </row>
    <row r="72" ht="16.5" customHeight="1">
      <c r="A72" s="104"/>
      <c r="B72" s="12"/>
      <c r="E72" s="105"/>
      <c r="J72" s="2"/>
      <c r="K72" s="2"/>
      <c r="L72" s="98"/>
      <c r="M72" s="2"/>
    </row>
    <row r="73" ht="16.5" customHeight="1">
      <c r="A73" s="104"/>
      <c r="B73" s="12"/>
      <c r="E73" s="105"/>
      <c r="J73" s="2"/>
      <c r="K73" s="2"/>
      <c r="L73" s="98"/>
      <c r="M73" s="2"/>
    </row>
    <row r="74" ht="16.5" customHeight="1">
      <c r="B74" s="12"/>
      <c r="E74" s="105"/>
      <c r="F74" s="12"/>
      <c r="G74" s="12"/>
      <c r="H74" s="12"/>
      <c r="J74" s="12"/>
      <c r="K74" s="12"/>
      <c r="L74" s="98"/>
      <c r="M74" s="12"/>
    </row>
    <row r="75" ht="16.5" customHeight="1">
      <c r="A75" s="104"/>
      <c r="B75" s="12"/>
      <c r="E75" s="105"/>
      <c r="F75" s="12"/>
      <c r="G75" s="12"/>
      <c r="H75" s="12"/>
      <c r="J75" s="12"/>
      <c r="K75" s="12"/>
      <c r="L75" s="98"/>
      <c r="M75" s="12"/>
    </row>
    <row r="76" ht="20.25" customHeight="1">
      <c r="A76" s="106" t="s">
        <v>75</v>
      </c>
      <c r="B76" s="12"/>
      <c r="E76" s="107" t="s">
        <v>76</v>
      </c>
      <c r="F76" s="12"/>
      <c r="G76" s="12"/>
      <c r="H76" s="12"/>
      <c r="J76" s="12"/>
      <c r="K76" s="12"/>
      <c r="L76" s="100" t="s">
        <v>77</v>
      </c>
      <c r="M76" s="12"/>
    </row>
    <row r="77" ht="16.5" customHeight="1">
      <c r="A77" s="108" t="s">
        <v>79</v>
      </c>
      <c r="B77" s="12"/>
      <c r="E77" s="103" t="s">
        <v>80</v>
      </c>
      <c r="F77" s="12"/>
      <c r="G77" s="12"/>
      <c r="H77" s="12"/>
      <c r="J77" s="12"/>
      <c r="K77" s="12"/>
      <c r="L77" s="95" t="s">
        <v>81</v>
      </c>
      <c r="M77" s="12"/>
    </row>
    <row r="78" ht="15.75" customHeight="1">
      <c r="A78" s="338"/>
      <c r="B78" s="339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ht="15.75" customHeight="1">
      <c r="A79" s="12"/>
      <c r="B79" s="114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ht="15.75" customHeight="1">
      <c r="A80" s="12"/>
      <c r="B80" s="114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ht="15.75" customHeight="1">
      <c r="A81" s="12"/>
      <c r="B81" s="114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ht="15.75" customHeight="1">
      <c r="A82" s="12"/>
      <c r="B82" s="114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ht="15.75" customHeight="1">
      <c r="A83" s="12"/>
      <c r="B83" s="114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ht="15.75" customHeight="1">
      <c r="A84" s="12"/>
      <c r="B84" s="114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ht="15.75" customHeight="1">
      <c r="A85" s="12"/>
      <c r="B85" s="114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ht="15.75" customHeight="1">
      <c r="A86" s="12"/>
      <c r="B86" s="114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ht="15.75" customHeight="1">
      <c r="A87" s="12"/>
      <c r="B87" s="114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ht="15.75" customHeight="1">
      <c r="A88" s="12"/>
      <c r="B88" s="114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ht="15.75" customHeight="1">
      <c r="A89" s="12"/>
      <c r="B89" s="114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ht="15.75" customHeight="1">
      <c r="A90" s="12"/>
      <c r="B90" s="114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ht="15.75" customHeight="1">
      <c r="A91" s="12"/>
      <c r="B91" s="114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ht="15.75" customHeight="1">
      <c r="A92" s="12"/>
      <c r="B92" s="114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ht="15.75" customHeight="1">
      <c r="A93" s="12"/>
      <c r="B93" s="114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ht="15.75" customHeight="1">
      <c r="A94" s="12"/>
      <c r="B94" s="114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ht="15.75" customHeight="1">
      <c r="A95" s="12"/>
      <c r="B95" s="114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ht="15.75" customHeight="1">
      <c r="A96" s="12"/>
      <c r="B96" s="114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ht="15.75" customHeight="1">
      <c r="A97" s="12"/>
      <c r="B97" s="114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ht="15.75" customHeight="1">
      <c r="A98" s="12"/>
      <c r="B98" s="114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ht="15.75" customHeight="1">
      <c r="A99" s="12"/>
      <c r="B99" s="114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ht="15.75" customHeight="1">
      <c r="A100" s="12"/>
      <c r="B100" s="114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ht="15.75" customHeight="1">
      <c r="A101" s="12"/>
      <c r="B101" s="114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ht="15.75" customHeight="1">
      <c r="A102" s="12"/>
      <c r="B102" s="114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ht="15.75" customHeight="1">
      <c r="A103" s="12"/>
      <c r="B103" s="114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ht="15.75" customHeight="1">
      <c r="A104" s="12"/>
      <c r="B104" s="114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ht="15.75" customHeight="1">
      <c r="A105" s="12"/>
      <c r="B105" s="114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ht="15.75" customHeight="1">
      <c r="A106" s="12"/>
      <c r="B106" s="114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ht="15.75" customHeight="1">
      <c r="A107" s="12"/>
      <c r="B107" s="114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ht="15.75" customHeight="1">
      <c r="A108" s="12"/>
      <c r="B108" s="114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ht="15.75" customHeight="1">
      <c r="A109" s="12"/>
      <c r="B109" s="114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ht="15.75" customHeight="1">
      <c r="A110" s="12"/>
      <c r="B110" s="114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ht="15.75" customHeight="1">
      <c r="A111" s="12"/>
      <c r="B111" s="114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ht="15.75" customHeight="1">
      <c r="A112" s="12"/>
      <c r="B112" s="114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ht="15.75" customHeight="1">
      <c r="A113" s="12"/>
      <c r="B113" s="114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ht="15.75" customHeight="1">
      <c r="A114" s="12"/>
      <c r="B114" s="114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ht="15.75" customHeight="1">
      <c r="A115" s="12"/>
      <c r="B115" s="114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ht="15.75" customHeight="1">
      <c r="A116" s="12"/>
      <c r="B116" s="114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ht="15.75" customHeight="1">
      <c r="A117" s="12"/>
      <c r="B117" s="114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ht="15.75" customHeight="1">
      <c r="A118" s="12"/>
      <c r="B118" s="114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ht="15.75" customHeight="1">
      <c r="A119" s="12"/>
      <c r="B119" s="114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ht="15.75" customHeight="1">
      <c r="A120" s="12"/>
      <c r="B120" s="114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ht="15.75" customHeight="1">
      <c r="A121" s="12"/>
      <c r="B121" s="114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ht="15.75" customHeight="1">
      <c r="A122" s="12"/>
      <c r="B122" s="114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ht="15.75" customHeight="1">
      <c r="A123" s="12"/>
      <c r="B123" s="114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ht="15.75" customHeight="1">
      <c r="A124" s="12"/>
      <c r="B124" s="114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ht="15.75" customHeight="1">
      <c r="A125" s="12"/>
      <c r="B125" s="114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ht="15.75" customHeight="1">
      <c r="A126" s="12"/>
      <c r="B126" s="114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ht="15.75" customHeight="1">
      <c r="A127" s="12"/>
      <c r="B127" s="114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ht="15.75" customHeight="1">
      <c r="A128" s="12"/>
      <c r="B128" s="114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ht="15.75" customHeight="1">
      <c r="A129" s="12"/>
      <c r="B129" s="114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ht="15.75" customHeight="1">
      <c r="A130" s="12"/>
      <c r="B130" s="114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ht="15.75" customHeight="1">
      <c r="A131" s="12"/>
      <c r="B131" s="114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ht="15.75" customHeight="1">
      <c r="A132" s="12"/>
      <c r="B132" s="114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ht="15.75" customHeight="1">
      <c r="A133" s="12"/>
      <c r="B133" s="11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ht="15.75" customHeight="1">
      <c r="A134" s="12"/>
      <c r="B134" s="114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ht="15.75" customHeight="1">
      <c r="A135" s="12"/>
      <c r="B135" s="114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ht="15.75" customHeight="1">
      <c r="A136" s="12"/>
      <c r="B136" s="11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ht="15.75" customHeight="1">
      <c r="A137" s="12"/>
      <c r="B137" s="114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ht="15.75" customHeight="1">
      <c r="A138" s="12"/>
      <c r="B138" s="114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ht="15.75" customHeight="1">
      <c r="A139" s="12"/>
      <c r="B139" s="114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ht="15.75" customHeight="1">
      <c r="A140" s="12"/>
      <c r="B140" s="114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ht="15.75" customHeight="1">
      <c r="A141" s="12"/>
      <c r="B141" s="114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ht="15.75" customHeight="1">
      <c r="A142" s="12"/>
      <c r="B142" s="114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ht="15.75" customHeight="1">
      <c r="A143" s="12"/>
      <c r="B143" s="114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ht="15.75" customHeight="1">
      <c r="A144" s="12"/>
      <c r="B144" s="114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ht="15.75" customHeight="1">
      <c r="A145" s="12"/>
      <c r="B145" s="114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ht="15.75" customHeight="1">
      <c r="A146" s="12"/>
      <c r="B146" s="114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ht="15.75" customHeight="1">
      <c r="A147" s="12"/>
      <c r="B147" s="114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ht="15.75" customHeight="1">
      <c r="A148" s="12"/>
      <c r="B148" s="114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ht="15.75" customHeight="1">
      <c r="A149" s="12"/>
      <c r="B149" s="114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ht="15.75" customHeight="1">
      <c r="A150" s="12"/>
      <c r="B150" s="114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ht="15.75" customHeight="1">
      <c r="A151" s="12"/>
      <c r="B151" s="114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ht="15.75" customHeight="1">
      <c r="A152" s="12"/>
      <c r="B152" s="114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ht="15.75" customHeight="1">
      <c r="A153" s="12"/>
      <c r="B153" s="114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ht="15.75" customHeight="1">
      <c r="A154" s="12"/>
      <c r="B154" s="114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ht="15.75" customHeight="1">
      <c r="A155" s="12"/>
      <c r="B155" s="114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ht="15.75" customHeight="1">
      <c r="A156" s="12"/>
      <c r="B156" s="114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ht="15.75" customHeight="1">
      <c r="A157" s="12"/>
      <c r="B157" s="114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ht="15.75" customHeight="1">
      <c r="A158" s="12"/>
      <c r="B158" s="114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ht="15.75" customHeight="1">
      <c r="A159" s="12"/>
      <c r="B159" s="114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ht="15.75" customHeight="1">
      <c r="A160" s="12"/>
      <c r="B160" s="114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ht="15.75" customHeight="1">
      <c r="A161" s="12"/>
      <c r="B161" s="114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ht="15.75" customHeight="1">
      <c r="A162" s="12"/>
      <c r="B162" s="114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ht="15.75" customHeight="1">
      <c r="A163" s="12"/>
      <c r="B163" s="114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5.75" customHeight="1">
      <c r="A164" s="12"/>
      <c r="B164" s="114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ht="15.75" customHeight="1">
      <c r="A165" s="12"/>
      <c r="B165" s="114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ht="15.75" customHeight="1">
      <c r="A166" s="12"/>
      <c r="B166" s="114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ht="15.75" customHeight="1">
      <c r="A167" s="12"/>
      <c r="B167" s="11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ht="15.75" customHeight="1">
      <c r="A168" s="12"/>
      <c r="B168" s="114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ht="15.75" customHeight="1">
      <c r="A169" s="12"/>
      <c r="B169" s="114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ht="15.75" customHeight="1">
      <c r="A170" s="12"/>
      <c r="B170" s="114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ht="15.75" customHeight="1">
      <c r="A171" s="12"/>
      <c r="B171" s="114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ht="15.75" customHeight="1">
      <c r="A172" s="12"/>
      <c r="B172" s="114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ht="15.75" customHeight="1">
      <c r="A173" s="12"/>
      <c r="B173" s="114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ht="15.75" customHeight="1">
      <c r="A174" s="12"/>
      <c r="B174" s="11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ht="15.75" customHeight="1">
      <c r="A175" s="12"/>
      <c r="B175" s="114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ht="15.75" customHeight="1">
      <c r="A176" s="12"/>
      <c r="B176" s="114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ht="15.75" customHeight="1">
      <c r="A177" s="12"/>
      <c r="B177" s="114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ht="15.75" customHeight="1">
      <c r="A178" s="12"/>
      <c r="B178" s="114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ht="15.75" customHeight="1">
      <c r="A179" s="12"/>
      <c r="B179" s="114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ht="15.75" customHeight="1">
      <c r="A180" s="12"/>
      <c r="B180" s="114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ht="15.75" customHeight="1">
      <c r="A181" s="12"/>
      <c r="B181" s="114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ht="15.75" customHeight="1">
      <c r="A182" s="12"/>
      <c r="B182" s="114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ht="15.75" customHeight="1">
      <c r="A183" s="12"/>
      <c r="B183" s="114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ht="15.75" customHeight="1">
      <c r="A184" s="12"/>
      <c r="B184" s="114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ht="15.75" customHeight="1">
      <c r="A185" s="12"/>
      <c r="B185" s="114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ht="15.75" customHeight="1">
      <c r="A186" s="12"/>
      <c r="B186" s="114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ht="15.75" customHeight="1">
      <c r="A187" s="12"/>
      <c r="B187" s="114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ht="15.75" customHeight="1">
      <c r="A188" s="12"/>
      <c r="B188" s="114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ht="15.75" customHeight="1">
      <c r="A189" s="12"/>
      <c r="B189" s="114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ht="15.75" customHeight="1">
      <c r="A190" s="12"/>
      <c r="B190" s="114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ht="15.75" customHeight="1">
      <c r="A191" s="12"/>
      <c r="B191" s="114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ht="15.75" customHeight="1">
      <c r="A192" s="12"/>
      <c r="B192" s="114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ht="15.75" customHeight="1">
      <c r="A193" s="12"/>
      <c r="B193" s="114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ht="15.75" customHeight="1">
      <c r="A194" s="12"/>
      <c r="B194" s="114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ht="15.75" customHeight="1">
      <c r="A195" s="12"/>
      <c r="B195" s="114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ht="15.75" customHeight="1">
      <c r="A196" s="12"/>
      <c r="B196" s="114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ht="15.75" customHeight="1">
      <c r="A197" s="12"/>
      <c r="B197" s="114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ht="15.75" customHeight="1">
      <c r="A198" s="12"/>
      <c r="B198" s="114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ht="15.75" customHeight="1">
      <c r="A199" s="12"/>
      <c r="B199" s="114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  <row r="200" ht="15.75" customHeight="1">
      <c r="A200" s="12"/>
      <c r="B200" s="114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ht="15.75" customHeight="1">
      <c r="A201" s="12"/>
      <c r="B201" s="114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</row>
    <row r="202" ht="15.75" customHeight="1">
      <c r="A202" s="12"/>
      <c r="B202" s="114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</row>
    <row r="203" ht="15.75" customHeight="1">
      <c r="A203" s="12"/>
      <c r="B203" s="114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</row>
    <row r="204" ht="15.75" customHeight="1">
      <c r="A204" s="12"/>
      <c r="B204" s="114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</row>
    <row r="205" ht="15.75" customHeight="1">
      <c r="A205" s="12"/>
      <c r="B205" s="114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</row>
    <row r="206" ht="15.75" customHeight="1">
      <c r="A206" s="12"/>
      <c r="B206" s="114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ht="15.75" customHeight="1">
      <c r="A207" s="12"/>
      <c r="B207" s="114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</row>
    <row r="208" ht="15.75" customHeight="1">
      <c r="A208" s="12"/>
      <c r="B208" s="114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</row>
    <row r="209" ht="15.75" customHeight="1">
      <c r="A209" s="12"/>
      <c r="B209" s="114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</row>
    <row r="210" ht="15.75" customHeight="1">
      <c r="A210" s="12"/>
      <c r="B210" s="114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</row>
    <row r="211" ht="15.75" customHeight="1">
      <c r="A211" s="12"/>
      <c r="B211" s="114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ht="15.75" customHeight="1">
      <c r="A212" s="12"/>
      <c r="B212" s="114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ht="15.75" customHeight="1">
      <c r="A213" s="12"/>
      <c r="B213" s="114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</row>
    <row r="214" ht="15.75" customHeight="1">
      <c r="A214" s="12"/>
      <c r="B214" s="114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</row>
    <row r="215" ht="15.75" customHeight="1">
      <c r="A215" s="12"/>
      <c r="B215" s="114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</row>
    <row r="216" ht="15.75" customHeight="1">
      <c r="A216" s="12"/>
      <c r="B216" s="114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ht="15.75" customHeight="1">
      <c r="A217" s="12"/>
      <c r="B217" s="11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</row>
    <row r="218" ht="15.75" customHeight="1">
      <c r="A218" s="12"/>
      <c r="B218" s="114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ht="15.75" customHeight="1">
      <c r="A219" s="12"/>
      <c r="B219" s="114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</row>
    <row r="220" ht="15.75" customHeight="1">
      <c r="A220" s="12"/>
      <c r="B220" s="114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</row>
    <row r="221" ht="15.75" customHeight="1">
      <c r="A221" s="12"/>
      <c r="B221" s="114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</row>
    <row r="222" ht="15.75" customHeight="1">
      <c r="A222" s="12"/>
      <c r="B222" s="114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</row>
    <row r="223" ht="15.75" customHeight="1">
      <c r="A223" s="12"/>
      <c r="B223" s="114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</row>
    <row r="224" ht="15.75" customHeight="1">
      <c r="A224" s="12"/>
      <c r="B224" s="114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ht="15.75" customHeight="1">
      <c r="A225" s="12"/>
      <c r="B225" s="114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</row>
    <row r="226" ht="15.75" customHeight="1">
      <c r="A226" s="12"/>
      <c r="B226" s="114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</row>
    <row r="227" ht="15.75" customHeight="1">
      <c r="A227" s="12"/>
      <c r="B227" s="114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</row>
    <row r="228" ht="15.75" customHeight="1">
      <c r="A228" s="12"/>
      <c r="B228" s="114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</row>
    <row r="229" ht="15.75" customHeight="1">
      <c r="A229" s="12"/>
      <c r="B229" s="114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</row>
    <row r="230" ht="15.75" customHeight="1">
      <c r="A230" s="12"/>
      <c r="B230" s="114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ht="15.75" customHeight="1">
      <c r="A231" s="12"/>
      <c r="B231" s="1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ht="15.75" customHeight="1">
      <c r="A232" s="12"/>
      <c r="B232" s="1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</row>
    <row r="233" ht="15.75" customHeight="1">
      <c r="A233" s="12"/>
      <c r="B233" s="1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</row>
    <row r="234" ht="15.75" customHeight="1">
      <c r="A234" s="12"/>
      <c r="B234" s="1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</row>
    <row r="235" ht="15.75" customHeight="1">
      <c r="A235" s="12"/>
      <c r="B235" s="114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</row>
    <row r="236" ht="15.75" customHeight="1">
      <c r="A236" s="12"/>
      <c r="B236" s="114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ht="15.75" customHeight="1">
      <c r="A237" s="12"/>
      <c r="B237" s="114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</row>
    <row r="238" ht="15.75" customHeight="1">
      <c r="A238" s="12"/>
      <c r="B238" s="114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</row>
    <row r="239" ht="15.75" customHeight="1">
      <c r="A239" s="12"/>
      <c r="B239" s="114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</row>
    <row r="240" ht="15.75" customHeight="1">
      <c r="A240" s="12"/>
      <c r="B240" s="114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</row>
    <row r="241" ht="15.75" customHeight="1">
      <c r="A241" s="12"/>
      <c r="B241" s="114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</row>
    <row r="242" ht="15.75" customHeight="1">
      <c r="A242" s="12"/>
      <c r="B242" s="114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ht="15.75" customHeight="1">
      <c r="A243" s="12"/>
      <c r="B243" s="114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</row>
    <row r="244" ht="15.75" customHeight="1">
      <c r="A244" s="12"/>
      <c r="B244" s="114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ht="15.75" customHeight="1">
      <c r="A245" s="12"/>
      <c r="B245" s="114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</row>
    <row r="246" ht="15.75" customHeight="1">
      <c r="A246" s="12"/>
      <c r="B246" s="114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</row>
    <row r="247" ht="15.75" customHeight="1">
      <c r="A247" s="12"/>
      <c r="B247" s="114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</row>
    <row r="248" ht="15.75" customHeight="1">
      <c r="A248" s="12"/>
      <c r="B248" s="114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ht="15.75" customHeight="1">
      <c r="A249" s="12"/>
      <c r="B249" s="114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</row>
    <row r="250" ht="15.75" customHeight="1">
      <c r="A250" s="12"/>
      <c r="B250" s="114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ht="15.75" customHeight="1">
      <c r="A251" s="12"/>
      <c r="B251" s="114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</row>
    <row r="252" ht="15.75" customHeight="1">
      <c r="A252" s="12"/>
      <c r="B252" s="114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</row>
    <row r="253" ht="15.75" customHeight="1">
      <c r="A253" s="12"/>
      <c r="B253" s="114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ht="15.75" customHeight="1">
      <c r="A254" s="12"/>
      <c r="B254" s="114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ht="15.75" customHeight="1">
      <c r="A255" s="12"/>
      <c r="B255" s="114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</row>
    <row r="256" ht="15.75" customHeight="1">
      <c r="A256" s="12"/>
      <c r="B256" s="114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</row>
    <row r="257" ht="15.75" customHeight="1">
      <c r="A257" s="12"/>
      <c r="B257" s="114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</row>
    <row r="258" ht="15.75" customHeight="1">
      <c r="A258" s="12"/>
      <c r="B258" s="114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</row>
    <row r="259" ht="15.75" customHeight="1">
      <c r="A259" s="12"/>
      <c r="B259" s="114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</row>
    <row r="260" ht="15.75" customHeight="1">
      <c r="A260" s="12"/>
      <c r="B260" s="114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ht="15.75" customHeight="1">
      <c r="A261" s="12"/>
      <c r="B261" s="114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</row>
    <row r="262" ht="15.75" customHeight="1">
      <c r="A262" s="12"/>
      <c r="B262" s="11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ht="15.75" customHeight="1">
      <c r="A263" s="12"/>
      <c r="B263" s="11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</row>
    <row r="264" ht="15.75" customHeight="1">
      <c r="A264" s="12"/>
      <c r="B264" s="11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</row>
    <row r="265" ht="15.75" customHeight="1">
      <c r="A265" s="12"/>
      <c r="B265" s="11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</row>
    <row r="266" ht="15.75" customHeight="1">
      <c r="A266" s="12"/>
      <c r="B266" s="114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ht="15.75" customHeight="1">
      <c r="A267" s="12"/>
      <c r="B267" s="114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</row>
    <row r="268" ht="15.75" customHeight="1">
      <c r="A268" s="12"/>
      <c r="B268" s="114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ht="15.75" customHeight="1">
      <c r="A269" s="12"/>
      <c r="B269" s="114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</row>
    <row r="270" ht="15.75" customHeight="1">
      <c r="A270" s="12"/>
      <c r="B270" s="114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</row>
    <row r="271" ht="15.75" customHeight="1">
      <c r="A271" s="12"/>
      <c r="B271" s="114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</row>
    <row r="272" ht="15.75" customHeight="1">
      <c r="A272" s="12"/>
      <c r="B272" s="114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ht="15.75" customHeight="1">
      <c r="A273" s="12"/>
      <c r="B273" s="114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</row>
    <row r="274" ht="15.75" customHeight="1">
      <c r="A274" s="12"/>
      <c r="B274" s="114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</row>
    <row r="275" ht="15.75" customHeight="1">
      <c r="A275" s="12"/>
      <c r="B275" s="114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</row>
    <row r="276" ht="15.75" customHeight="1">
      <c r="A276" s="12"/>
      <c r="B276" s="114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</row>
    <row r="277" ht="15.75" customHeight="1">
      <c r="A277" s="12"/>
      <c r="B277" s="114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20">
    <mergeCell ref="E7:F8"/>
    <mergeCell ref="G8:H8"/>
    <mergeCell ref="I8:J8"/>
    <mergeCell ref="K8:L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3:C3"/>
    <mergeCell ref="A7:A10"/>
    <mergeCell ref="B7:B10"/>
    <mergeCell ref="C7:D8"/>
    <mergeCell ref="G7:L7"/>
    <mergeCell ref="M7:M10"/>
    <mergeCell ref="L9:L10"/>
  </mergeCells>
  <printOptions/>
  <pageMargins bottom="0.58" footer="0.0" header="0.0" left="0.25" right="0.25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73.86"/>
    <col customWidth="1" min="2" max="2" width="21.29"/>
    <col customWidth="1" min="3" max="6" width="21.57"/>
    <col customWidth="1" min="7" max="7" width="24.14"/>
    <col customWidth="1" min="8" max="8" width="19.43"/>
    <col customWidth="1" min="9" max="9" width="20.43"/>
    <col customWidth="1" min="10" max="10" width="20.14"/>
    <col customWidth="1" min="11" max="11" width="18.86"/>
    <col customWidth="1" min="12" max="12" width="18.0"/>
    <col customWidth="1" min="13" max="13" width="73.0"/>
  </cols>
  <sheetData>
    <row r="1" ht="30.0" customHeight="1">
      <c r="A1" s="340" t="s">
        <v>0</v>
      </c>
      <c r="B1" s="340"/>
      <c r="C1" s="341"/>
      <c r="D1" s="341"/>
      <c r="E1" s="341"/>
      <c r="F1" s="341"/>
      <c r="G1" s="341"/>
      <c r="H1" s="342"/>
      <c r="I1" s="341"/>
      <c r="J1" s="341"/>
      <c r="K1" s="341"/>
      <c r="L1" s="341"/>
      <c r="M1" s="341"/>
    </row>
    <row r="2" ht="25.5" customHeight="1">
      <c r="A2" s="343" t="s">
        <v>1</v>
      </c>
      <c r="B2" s="340"/>
      <c r="C2" s="341"/>
      <c r="D2" s="341"/>
      <c r="E2" s="341"/>
      <c r="F2" s="341"/>
      <c r="G2" s="341"/>
      <c r="H2" s="342"/>
      <c r="I2" s="344"/>
      <c r="L2" s="341"/>
      <c r="M2" s="341"/>
    </row>
    <row r="3" ht="24.75" customHeight="1">
      <c r="A3" s="345" t="s">
        <v>623</v>
      </c>
      <c r="B3" s="346"/>
      <c r="C3" s="9"/>
      <c r="D3" s="9"/>
      <c r="E3" s="9"/>
      <c r="F3" s="9"/>
      <c r="G3" s="9"/>
      <c r="H3" s="347"/>
      <c r="L3" s="9"/>
      <c r="M3" s="9"/>
    </row>
    <row r="4" ht="24.0" customHeight="1">
      <c r="A4" s="345" t="s">
        <v>3</v>
      </c>
      <c r="B4" s="346"/>
      <c r="C4" s="9"/>
      <c r="D4" s="9"/>
      <c r="E4" s="9"/>
      <c r="F4" s="9"/>
      <c r="G4" s="9"/>
      <c r="H4" s="347"/>
      <c r="L4" s="9"/>
      <c r="M4" s="9"/>
    </row>
    <row r="5" ht="23.25" customHeight="1">
      <c r="A5" s="345" t="s">
        <v>4</v>
      </c>
      <c r="B5" s="346"/>
      <c r="C5" s="9"/>
      <c r="D5" s="9"/>
      <c r="E5" s="9"/>
      <c r="F5" s="9"/>
      <c r="G5" s="9"/>
      <c r="H5" s="347"/>
      <c r="I5" s="9"/>
      <c r="J5" s="9"/>
      <c r="K5" s="9"/>
      <c r="L5" s="9"/>
      <c r="M5" s="9"/>
    </row>
    <row r="6" ht="15.75" customHeight="1">
      <c r="A6" s="348"/>
      <c r="B6" s="10"/>
      <c r="C6" s="12"/>
      <c r="D6" s="12"/>
      <c r="E6" s="12"/>
      <c r="F6" s="12"/>
      <c r="G6" s="12"/>
      <c r="H6" s="349"/>
      <c r="I6" s="12"/>
      <c r="J6" s="12"/>
      <c r="K6" s="12"/>
      <c r="L6" s="12"/>
      <c r="M6" s="12"/>
    </row>
    <row r="7" ht="21.75" customHeight="1">
      <c r="A7" s="13" t="s">
        <v>5</v>
      </c>
      <c r="B7" s="13" t="s">
        <v>6</v>
      </c>
      <c r="C7" s="14" t="s">
        <v>7</v>
      </c>
      <c r="D7" s="15"/>
      <c r="E7" s="16" t="s">
        <v>8</v>
      </c>
      <c r="F7" s="15"/>
      <c r="G7" s="17" t="s">
        <v>9</v>
      </c>
      <c r="H7" s="18"/>
      <c r="I7" s="18"/>
      <c r="J7" s="18"/>
      <c r="K7" s="18"/>
      <c r="L7" s="19"/>
      <c r="M7" s="20" t="s">
        <v>624</v>
      </c>
    </row>
    <row r="8" ht="23.25" customHeight="1">
      <c r="A8" s="21"/>
      <c r="B8" s="21"/>
      <c r="C8" s="22"/>
      <c r="D8" s="23"/>
      <c r="E8" s="22"/>
      <c r="F8" s="23"/>
      <c r="G8" s="24" t="s">
        <v>11</v>
      </c>
      <c r="H8" s="19"/>
      <c r="I8" s="24" t="s">
        <v>12</v>
      </c>
      <c r="J8" s="19"/>
      <c r="K8" s="24" t="s">
        <v>13</v>
      </c>
      <c r="L8" s="19"/>
      <c r="M8" s="21"/>
    </row>
    <row r="9" ht="20.25" customHeight="1">
      <c r="A9" s="21"/>
      <c r="B9" s="21"/>
      <c r="C9" s="25" t="s">
        <v>14</v>
      </c>
      <c r="D9" s="26" t="s">
        <v>15</v>
      </c>
      <c r="E9" s="27" t="s">
        <v>16</v>
      </c>
      <c r="F9" s="15"/>
      <c r="G9" s="28" t="s">
        <v>17</v>
      </c>
      <c r="H9" s="350" t="s">
        <v>18</v>
      </c>
      <c r="I9" s="28" t="s">
        <v>17</v>
      </c>
      <c r="J9" s="29" t="s">
        <v>18</v>
      </c>
      <c r="K9" s="28" t="s">
        <v>17</v>
      </c>
      <c r="L9" s="29" t="s">
        <v>18</v>
      </c>
      <c r="M9" s="21"/>
    </row>
    <row r="10" ht="64.5" customHeight="1">
      <c r="A10" s="30"/>
      <c r="B10" s="30"/>
      <c r="C10" s="30"/>
      <c r="D10" s="30"/>
      <c r="E10" s="31" t="s">
        <v>17</v>
      </c>
      <c r="F10" s="29" t="s">
        <v>18</v>
      </c>
      <c r="G10" s="30"/>
      <c r="H10" s="30"/>
      <c r="I10" s="30"/>
      <c r="J10" s="30"/>
      <c r="K10" s="30"/>
      <c r="L10" s="30"/>
      <c r="M10" s="30"/>
    </row>
    <row r="11" ht="52.5" customHeight="1">
      <c r="A11" s="83" t="s">
        <v>625</v>
      </c>
      <c r="B11" s="83"/>
      <c r="C11" s="39"/>
      <c r="D11" s="36">
        <v>1800.0</v>
      </c>
      <c r="E11" s="83"/>
      <c r="F11" s="351">
        <f>F12+F45</f>
        <v>1000</v>
      </c>
      <c r="G11" s="83"/>
      <c r="H11" s="351">
        <f>H12+H45</f>
        <v>1600</v>
      </c>
      <c r="I11" s="83"/>
      <c r="J11" s="83"/>
      <c r="K11" s="83"/>
      <c r="L11" s="351">
        <f>L12+L45</f>
        <v>1600</v>
      </c>
      <c r="M11" s="83"/>
    </row>
    <row r="12" ht="25.5" customHeight="1">
      <c r="A12" s="83" t="s">
        <v>626</v>
      </c>
      <c r="B12" s="81" t="s">
        <v>33</v>
      </c>
      <c r="C12" s="39"/>
      <c r="D12" s="36">
        <f>SUM(D19:D43)</f>
        <v>1800</v>
      </c>
      <c r="E12" s="83"/>
      <c r="F12" s="351">
        <f>SUM(F19:F43)</f>
        <v>1000</v>
      </c>
      <c r="G12" s="83"/>
      <c r="H12" s="351">
        <f>SUM(H19:H43)</f>
        <v>1600</v>
      </c>
      <c r="I12" s="83"/>
      <c r="J12" s="83"/>
      <c r="K12" s="83"/>
      <c r="L12" s="351">
        <f>SUM(L19:L43)</f>
        <v>1600</v>
      </c>
      <c r="M12" s="83"/>
    </row>
    <row r="13" ht="25.5" customHeight="1">
      <c r="A13" s="352" t="s">
        <v>627</v>
      </c>
      <c r="B13" s="81" t="s">
        <v>33</v>
      </c>
      <c r="C13" s="39"/>
      <c r="D13" s="39"/>
      <c r="E13" s="39"/>
      <c r="F13" s="47"/>
      <c r="G13" s="39"/>
      <c r="H13" s="47"/>
      <c r="I13" s="39"/>
      <c r="J13" s="39"/>
      <c r="K13" s="39"/>
      <c r="L13" s="47"/>
      <c r="M13" s="39"/>
    </row>
    <row r="14" ht="25.5" customHeight="1">
      <c r="A14" s="352" t="s">
        <v>628</v>
      </c>
      <c r="B14" s="81" t="s">
        <v>33</v>
      </c>
      <c r="C14" s="39"/>
      <c r="D14" s="39"/>
      <c r="E14" s="39"/>
      <c r="F14" s="47"/>
      <c r="G14" s="39"/>
      <c r="H14" s="47"/>
      <c r="I14" s="39"/>
      <c r="J14" s="39"/>
      <c r="K14" s="39"/>
      <c r="L14" s="47"/>
      <c r="M14" s="39"/>
    </row>
    <row r="15" ht="25.5" customHeight="1">
      <c r="A15" s="353" t="s">
        <v>629</v>
      </c>
      <c r="B15" s="81" t="s">
        <v>33</v>
      </c>
      <c r="C15" s="39"/>
      <c r="D15" s="39"/>
      <c r="E15" s="39"/>
      <c r="F15" s="47"/>
      <c r="G15" s="39"/>
      <c r="H15" s="47"/>
      <c r="I15" s="39"/>
      <c r="J15" s="39"/>
      <c r="K15" s="39"/>
      <c r="L15" s="47"/>
      <c r="M15" s="39"/>
    </row>
    <row r="16" ht="25.5" customHeight="1">
      <c r="A16" s="353" t="s">
        <v>346</v>
      </c>
      <c r="B16" s="81" t="s">
        <v>33</v>
      </c>
      <c r="C16" s="354">
        <v>20.0</v>
      </c>
      <c r="D16" s="39"/>
      <c r="E16" s="39"/>
      <c r="F16" s="47"/>
      <c r="G16" s="39"/>
      <c r="H16" s="47"/>
      <c r="I16" s="39"/>
      <c r="J16" s="39"/>
      <c r="K16" s="39"/>
      <c r="L16" s="47"/>
      <c r="M16" s="39"/>
    </row>
    <row r="17" ht="25.5" customHeight="1">
      <c r="A17" s="353" t="s">
        <v>345</v>
      </c>
      <c r="B17" s="81" t="s">
        <v>33</v>
      </c>
      <c r="C17" s="354">
        <v>20.0</v>
      </c>
      <c r="D17" s="39"/>
      <c r="E17" s="39"/>
      <c r="F17" s="47"/>
      <c r="G17" s="39"/>
      <c r="H17" s="47"/>
      <c r="I17" s="39"/>
      <c r="J17" s="39"/>
      <c r="K17" s="39"/>
      <c r="L17" s="47"/>
      <c r="M17" s="39"/>
    </row>
    <row r="18" ht="25.5" customHeight="1">
      <c r="A18" s="353" t="s">
        <v>630</v>
      </c>
      <c r="B18" s="81" t="s">
        <v>33</v>
      </c>
      <c r="C18" s="354">
        <v>2.0</v>
      </c>
      <c r="D18" s="39"/>
      <c r="E18" s="80">
        <v>5.0</v>
      </c>
      <c r="F18" s="47"/>
      <c r="G18" s="355">
        <v>4.0</v>
      </c>
      <c r="H18" s="47"/>
      <c r="I18" s="39"/>
      <c r="J18" s="39"/>
      <c r="K18" s="355">
        <v>4.0</v>
      </c>
      <c r="L18" s="47"/>
      <c r="M18" s="39"/>
    </row>
    <row r="19" ht="25.5" customHeight="1">
      <c r="A19" s="353" t="s">
        <v>631</v>
      </c>
      <c r="B19" s="81" t="s">
        <v>632</v>
      </c>
      <c r="C19" s="354">
        <v>80.0</v>
      </c>
      <c r="D19" s="354">
        <v>800.0</v>
      </c>
      <c r="E19" s="80">
        <v>50.0</v>
      </c>
      <c r="F19" s="74">
        <v>500.0</v>
      </c>
      <c r="G19" s="355">
        <v>50.0</v>
      </c>
      <c r="H19" s="356">
        <v>600.0</v>
      </c>
      <c r="I19" s="39"/>
      <c r="J19" s="39"/>
      <c r="K19" s="355">
        <v>50.0</v>
      </c>
      <c r="L19" s="356">
        <v>600.0</v>
      </c>
      <c r="M19" s="355" t="s">
        <v>633</v>
      </c>
    </row>
    <row r="20" ht="25.5" hidden="1" customHeight="1">
      <c r="A20" s="83"/>
      <c r="B20" s="39"/>
      <c r="C20" s="39"/>
      <c r="D20" s="39"/>
      <c r="E20" s="39"/>
      <c r="F20" s="47"/>
      <c r="G20" s="39"/>
      <c r="H20" s="47"/>
      <c r="I20" s="39"/>
      <c r="J20" s="39"/>
      <c r="K20" s="39"/>
      <c r="L20" s="47"/>
      <c r="M20" s="39"/>
    </row>
    <row r="21" ht="25.5" customHeight="1">
      <c r="A21" s="352" t="s">
        <v>634</v>
      </c>
      <c r="B21" s="81" t="s">
        <v>33</v>
      </c>
      <c r="C21" s="39"/>
      <c r="D21" s="39"/>
      <c r="E21" s="39"/>
      <c r="F21" s="47"/>
      <c r="G21" s="39"/>
      <c r="H21" s="47"/>
      <c r="I21" s="39"/>
      <c r="J21" s="39"/>
      <c r="K21" s="39"/>
      <c r="L21" s="47"/>
      <c r="M21" s="39"/>
    </row>
    <row r="22" ht="25.5" customHeight="1">
      <c r="A22" s="353" t="s">
        <v>635</v>
      </c>
      <c r="B22" s="81" t="s">
        <v>33</v>
      </c>
      <c r="C22" s="39"/>
      <c r="D22" s="39"/>
      <c r="E22" s="39"/>
      <c r="F22" s="47"/>
      <c r="G22" s="39"/>
      <c r="H22" s="47"/>
      <c r="I22" s="39"/>
      <c r="J22" s="39"/>
      <c r="K22" s="39"/>
      <c r="L22" s="47"/>
      <c r="M22" s="39"/>
    </row>
    <row r="23" ht="25.5" customHeight="1">
      <c r="A23" s="353" t="s">
        <v>346</v>
      </c>
      <c r="B23" s="81" t="s">
        <v>33</v>
      </c>
      <c r="C23" s="354">
        <v>10.0</v>
      </c>
      <c r="D23" s="39"/>
      <c r="E23" s="39"/>
      <c r="F23" s="47"/>
      <c r="G23" s="39"/>
      <c r="H23" s="47"/>
      <c r="I23" s="39"/>
      <c r="J23" s="39"/>
      <c r="K23" s="39"/>
      <c r="L23" s="47"/>
      <c r="M23" s="39"/>
    </row>
    <row r="24" ht="25.5" customHeight="1">
      <c r="A24" s="353" t="s">
        <v>345</v>
      </c>
      <c r="B24" s="81" t="s">
        <v>33</v>
      </c>
      <c r="C24" s="354">
        <v>10.0</v>
      </c>
      <c r="D24" s="39"/>
      <c r="E24" s="39"/>
      <c r="F24" s="47"/>
      <c r="G24" s="39"/>
      <c r="H24" s="47"/>
      <c r="I24" s="39"/>
      <c r="J24" s="39"/>
      <c r="K24" s="39"/>
      <c r="L24" s="47"/>
      <c r="M24" s="39"/>
    </row>
    <row r="25" ht="25.5" customHeight="1">
      <c r="A25" s="353" t="s">
        <v>630</v>
      </c>
      <c r="B25" s="81" t="s">
        <v>33</v>
      </c>
      <c r="C25" s="354">
        <v>1.0</v>
      </c>
      <c r="D25" s="39"/>
      <c r="E25" s="80">
        <v>3.0</v>
      </c>
      <c r="F25" s="47"/>
      <c r="G25" s="355">
        <v>4.0</v>
      </c>
      <c r="H25" s="47"/>
      <c r="I25" s="39"/>
      <c r="J25" s="39"/>
      <c r="K25" s="355">
        <v>4.0</v>
      </c>
      <c r="L25" s="47"/>
      <c r="M25" s="39"/>
    </row>
    <row r="26" ht="25.5" hidden="1" customHeight="1">
      <c r="A26" s="83"/>
      <c r="B26" s="39"/>
      <c r="C26" s="39"/>
      <c r="D26" s="39"/>
      <c r="E26" s="39"/>
      <c r="F26" s="47"/>
      <c r="G26" s="39"/>
      <c r="H26" s="47"/>
      <c r="I26" s="39"/>
      <c r="J26" s="39"/>
      <c r="K26" s="39"/>
      <c r="L26" s="47"/>
      <c r="M26" s="39"/>
    </row>
    <row r="27" ht="25.5" customHeight="1">
      <c r="A27" s="353" t="s">
        <v>636</v>
      </c>
      <c r="B27" s="81" t="s">
        <v>632</v>
      </c>
      <c r="C27" s="354">
        <v>750.0</v>
      </c>
      <c r="D27" s="354">
        <v>500.0</v>
      </c>
      <c r="E27" s="63">
        <v>500.0</v>
      </c>
      <c r="F27" s="74">
        <v>500.0</v>
      </c>
      <c r="G27" s="355">
        <v>1000.0</v>
      </c>
      <c r="H27" s="356">
        <v>500.0</v>
      </c>
      <c r="I27" s="39"/>
      <c r="J27" s="39"/>
      <c r="K27" s="355">
        <v>1000.0</v>
      </c>
      <c r="L27" s="356">
        <v>500.0</v>
      </c>
      <c r="M27" s="355" t="s">
        <v>633</v>
      </c>
    </row>
    <row r="28" ht="25.5" hidden="1" customHeight="1">
      <c r="A28" s="83"/>
      <c r="B28" s="39"/>
      <c r="C28" s="39"/>
      <c r="D28" s="39"/>
      <c r="E28" s="39"/>
      <c r="F28" s="47"/>
      <c r="G28" s="39"/>
      <c r="H28" s="47"/>
      <c r="I28" s="39"/>
      <c r="J28" s="39"/>
      <c r="K28" s="39"/>
      <c r="L28" s="47"/>
      <c r="M28" s="39"/>
    </row>
    <row r="29" ht="25.5" customHeight="1">
      <c r="A29" s="352" t="s">
        <v>637</v>
      </c>
      <c r="B29" s="81"/>
      <c r="C29" s="39"/>
      <c r="D29" s="39"/>
      <c r="E29" s="39"/>
      <c r="F29" s="47"/>
      <c r="G29" s="39"/>
      <c r="H29" s="47"/>
      <c r="I29" s="39"/>
      <c r="J29" s="39"/>
      <c r="K29" s="39"/>
      <c r="L29" s="47"/>
      <c r="M29" s="39"/>
    </row>
    <row r="30" ht="25.5" customHeight="1">
      <c r="A30" s="353" t="s">
        <v>638</v>
      </c>
      <c r="B30" s="81" t="s">
        <v>33</v>
      </c>
      <c r="C30" s="39"/>
      <c r="D30" s="39"/>
      <c r="E30" s="39"/>
      <c r="F30" s="47"/>
      <c r="G30" s="39"/>
      <c r="H30" s="47"/>
      <c r="I30" s="39"/>
      <c r="J30" s="39"/>
      <c r="K30" s="39"/>
      <c r="L30" s="47"/>
      <c r="M30" s="39"/>
    </row>
    <row r="31" ht="25.5" customHeight="1">
      <c r="A31" s="353" t="s">
        <v>346</v>
      </c>
      <c r="B31" s="81" t="s">
        <v>33</v>
      </c>
      <c r="C31" s="354">
        <v>15.0</v>
      </c>
      <c r="D31" s="39"/>
      <c r="E31" s="39"/>
      <c r="F31" s="47"/>
      <c r="G31" s="39"/>
      <c r="H31" s="47"/>
      <c r="I31" s="39"/>
      <c r="J31" s="39"/>
      <c r="K31" s="39"/>
      <c r="L31" s="47"/>
      <c r="M31" s="39"/>
    </row>
    <row r="32" ht="25.5" customHeight="1">
      <c r="A32" s="353" t="s">
        <v>345</v>
      </c>
      <c r="B32" s="81" t="s">
        <v>33</v>
      </c>
      <c r="C32" s="354">
        <v>15.0</v>
      </c>
      <c r="D32" s="39"/>
      <c r="E32" s="39"/>
      <c r="F32" s="47"/>
      <c r="G32" s="39"/>
      <c r="H32" s="47"/>
      <c r="I32" s="39"/>
      <c r="J32" s="39"/>
      <c r="K32" s="39"/>
      <c r="L32" s="47"/>
      <c r="M32" s="39"/>
    </row>
    <row r="33" ht="25.5" customHeight="1">
      <c r="A33" s="353" t="s">
        <v>630</v>
      </c>
      <c r="B33" s="81" t="s">
        <v>33</v>
      </c>
      <c r="C33" s="354">
        <v>1.0</v>
      </c>
      <c r="D33" s="39"/>
      <c r="E33" s="39"/>
      <c r="F33" s="47"/>
      <c r="G33" s="39"/>
      <c r="H33" s="47"/>
      <c r="I33" s="39"/>
      <c r="J33" s="39"/>
      <c r="K33" s="39"/>
      <c r="L33" s="47"/>
      <c r="M33" s="39"/>
    </row>
    <row r="34" ht="25.5" hidden="1" customHeight="1">
      <c r="A34" s="83"/>
      <c r="B34" s="39"/>
      <c r="C34" s="39"/>
      <c r="D34" s="39"/>
      <c r="E34" s="39"/>
      <c r="F34" s="47"/>
      <c r="G34" s="39"/>
      <c r="H34" s="47"/>
      <c r="I34" s="39"/>
      <c r="J34" s="39"/>
      <c r="K34" s="39"/>
      <c r="L34" s="47"/>
      <c r="M34" s="39"/>
    </row>
    <row r="35" ht="25.5" customHeight="1">
      <c r="A35" s="353" t="s">
        <v>639</v>
      </c>
      <c r="B35" s="81" t="s">
        <v>33</v>
      </c>
      <c r="C35" s="354">
        <v>800.0</v>
      </c>
      <c r="D35" s="354">
        <v>500.0</v>
      </c>
      <c r="E35" s="39"/>
      <c r="F35" s="47"/>
      <c r="G35" s="39"/>
      <c r="H35" s="47"/>
      <c r="I35" s="39"/>
      <c r="J35" s="39"/>
      <c r="K35" s="39"/>
      <c r="L35" s="47"/>
      <c r="M35" s="39"/>
    </row>
    <row r="36" ht="25.5" customHeight="1">
      <c r="A36" s="357" t="s">
        <v>640</v>
      </c>
      <c r="B36" s="358" t="s">
        <v>641</v>
      </c>
      <c r="C36" s="354"/>
      <c r="D36" s="354"/>
      <c r="E36" s="39"/>
      <c r="F36" s="47"/>
      <c r="G36" s="355">
        <v>200.0</v>
      </c>
      <c r="H36" s="356">
        <v>500.0</v>
      </c>
      <c r="I36" s="39"/>
      <c r="J36" s="39"/>
      <c r="K36" s="355">
        <v>200.0</v>
      </c>
      <c r="L36" s="356">
        <v>500.0</v>
      </c>
      <c r="M36" s="355" t="s">
        <v>633</v>
      </c>
    </row>
    <row r="37" ht="25.5" customHeight="1">
      <c r="A37" s="353"/>
      <c r="B37" s="81"/>
      <c r="C37" s="354"/>
      <c r="D37" s="354"/>
      <c r="E37" s="39"/>
      <c r="F37" s="47"/>
      <c r="G37" s="39"/>
      <c r="H37" s="47"/>
      <c r="I37" s="39"/>
      <c r="J37" s="39"/>
      <c r="K37" s="39"/>
      <c r="L37" s="47"/>
      <c r="M37" s="39"/>
    </row>
    <row r="38" ht="25.5" hidden="1" customHeight="1">
      <c r="A38" s="83"/>
      <c r="B38" s="39"/>
      <c r="C38" s="39"/>
      <c r="D38" s="39"/>
      <c r="E38" s="39"/>
      <c r="F38" s="47"/>
      <c r="G38" s="39"/>
      <c r="H38" s="47"/>
      <c r="I38" s="39"/>
      <c r="J38" s="39"/>
      <c r="K38" s="39"/>
      <c r="L38" s="47"/>
      <c r="M38" s="39"/>
    </row>
    <row r="39" ht="25.5" hidden="1" customHeight="1">
      <c r="A39" s="87" t="s">
        <v>642</v>
      </c>
      <c r="B39" s="359"/>
      <c r="C39" s="39"/>
      <c r="D39" s="39"/>
      <c r="E39" s="39"/>
      <c r="F39" s="47"/>
      <c r="G39" s="39"/>
      <c r="H39" s="47"/>
      <c r="I39" s="39"/>
      <c r="J39" s="39"/>
      <c r="K39" s="39"/>
      <c r="L39" s="47"/>
      <c r="M39" s="39"/>
    </row>
    <row r="40" ht="25.5" hidden="1" customHeight="1">
      <c r="A40" s="359" t="s">
        <v>643</v>
      </c>
      <c r="B40" s="244" t="s">
        <v>644</v>
      </c>
      <c r="C40" s="39"/>
      <c r="D40" s="39"/>
      <c r="E40" s="39"/>
      <c r="F40" s="47"/>
      <c r="G40" s="39"/>
      <c r="H40" s="47"/>
      <c r="I40" s="39"/>
      <c r="J40" s="39"/>
      <c r="K40" s="39"/>
      <c r="L40" s="47"/>
      <c r="M40" s="39"/>
    </row>
    <row r="41" ht="25.5" hidden="1" customHeight="1">
      <c r="A41" s="359" t="s">
        <v>645</v>
      </c>
      <c r="B41" s="244" t="s">
        <v>646</v>
      </c>
      <c r="C41" s="39"/>
      <c r="D41" s="39"/>
      <c r="E41" s="39"/>
      <c r="F41" s="47"/>
      <c r="G41" s="39"/>
      <c r="H41" s="47"/>
      <c r="I41" s="39"/>
      <c r="J41" s="39"/>
      <c r="K41" s="39"/>
      <c r="L41" s="47"/>
      <c r="M41" s="39"/>
    </row>
    <row r="42" ht="25.5" hidden="1" customHeight="1">
      <c r="A42" s="87"/>
      <c r="B42" s="81"/>
      <c r="C42" s="39"/>
      <c r="D42" s="39"/>
      <c r="E42" s="39"/>
      <c r="F42" s="47"/>
      <c r="G42" s="39"/>
      <c r="H42" s="47"/>
      <c r="I42" s="39"/>
      <c r="J42" s="39"/>
      <c r="K42" s="39"/>
      <c r="L42" s="47"/>
      <c r="M42" s="39"/>
    </row>
    <row r="43" ht="25.5" hidden="1" customHeight="1">
      <c r="A43" s="87" t="s">
        <v>647</v>
      </c>
      <c r="B43" s="81" t="s">
        <v>33</v>
      </c>
      <c r="C43" s="39"/>
      <c r="D43" s="39"/>
      <c r="E43" s="39"/>
      <c r="F43" s="47"/>
      <c r="G43" s="39"/>
      <c r="H43" s="47"/>
      <c r="I43" s="39"/>
      <c r="J43" s="39"/>
      <c r="K43" s="39"/>
      <c r="L43" s="47"/>
      <c r="M43" s="39"/>
    </row>
    <row r="44" ht="25.5" hidden="1" customHeight="1">
      <c r="A44" s="83"/>
      <c r="B44" s="39"/>
      <c r="C44" s="39"/>
      <c r="D44" s="39"/>
      <c r="E44" s="39"/>
      <c r="F44" s="47"/>
      <c r="G44" s="39"/>
      <c r="H44" s="47"/>
      <c r="I44" s="39"/>
      <c r="J44" s="39"/>
      <c r="K44" s="39"/>
      <c r="L44" s="47"/>
      <c r="M44" s="39"/>
    </row>
    <row r="45" ht="25.5" hidden="1" customHeight="1">
      <c r="A45" s="83" t="s">
        <v>564</v>
      </c>
      <c r="B45" s="81" t="s">
        <v>33</v>
      </c>
      <c r="C45" s="39"/>
      <c r="D45" s="39"/>
      <c r="E45" s="39"/>
      <c r="F45" s="47"/>
      <c r="G45" s="39"/>
      <c r="H45" s="47"/>
      <c r="I45" s="39"/>
      <c r="J45" s="39"/>
      <c r="K45" s="39"/>
      <c r="L45" s="47"/>
      <c r="M45" s="39"/>
    </row>
    <row r="46" ht="25.5" hidden="1" customHeight="1">
      <c r="A46" s="83"/>
      <c r="B46" s="83"/>
      <c r="C46" s="39"/>
      <c r="D46" s="39"/>
      <c r="E46" s="83"/>
      <c r="F46" s="351"/>
      <c r="G46" s="83"/>
      <c r="H46" s="351"/>
      <c r="I46" s="83"/>
      <c r="J46" s="83"/>
      <c r="K46" s="83"/>
      <c r="L46" s="351"/>
      <c r="M46" s="83"/>
    </row>
    <row r="47">
      <c r="A47" s="83" t="s">
        <v>648</v>
      </c>
      <c r="B47" s="81" t="s">
        <v>33</v>
      </c>
      <c r="C47" s="39"/>
      <c r="D47" s="36">
        <v>5000.0</v>
      </c>
      <c r="E47" s="83"/>
      <c r="F47" s="351">
        <v>0.0</v>
      </c>
      <c r="G47" s="83"/>
      <c r="H47" s="351">
        <f>H49+H57</f>
        <v>10500</v>
      </c>
      <c r="I47" s="83"/>
      <c r="J47" s="83"/>
      <c r="K47" s="83"/>
      <c r="L47" s="351">
        <f>L49+L57</f>
        <v>10500</v>
      </c>
      <c r="M47" s="83"/>
    </row>
    <row r="48">
      <c r="A48" s="83" t="s">
        <v>649</v>
      </c>
      <c r="B48" s="81" t="s">
        <v>33</v>
      </c>
      <c r="C48" s="39"/>
      <c r="D48" s="36">
        <v>3000.0</v>
      </c>
      <c r="E48" s="83"/>
      <c r="F48" s="351">
        <v>0.0</v>
      </c>
      <c r="G48" s="83"/>
      <c r="H48" s="351"/>
      <c r="I48" s="83"/>
      <c r="J48" s="83"/>
      <c r="K48" s="83"/>
      <c r="L48" s="351"/>
      <c r="M48" s="83"/>
    </row>
    <row r="49">
      <c r="A49" s="352" t="s">
        <v>650</v>
      </c>
      <c r="B49" s="81" t="s">
        <v>33</v>
      </c>
      <c r="C49" s="39"/>
      <c r="D49" s="39"/>
      <c r="E49" s="83"/>
      <c r="F49" s="351"/>
      <c r="G49" s="83"/>
      <c r="H49" s="351">
        <f>H53</f>
        <v>7000</v>
      </c>
      <c r="I49" s="83"/>
      <c r="J49" s="83"/>
      <c r="K49" s="83"/>
      <c r="L49" s="351">
        <f>L53</f>
        <v>7000</v>
      </c>
      <c r="M49" s="83"/>
    </row>
    <row r="50" ht="25.5" hidden="1" customHeight="1">
      <c r="A50" s="360" t="s">
        <v>651</v>
      </c>
      <c r="B50" s="81" t="s">
        <v>33</v>
      </c>
      <c r="C50" s="39"/>
      <c r="D50" s="39"/>
      <c r="E50" s="83"/>
      <c r="F50" s="351"/>
      <c r="G50" s="83"/>
      <c r="H50" s="351"/>
      <c r="I50" s="83"/>
      <c r="J50" s="83"/>
      <c r="K50" s="83"/>
      <c r="L50" s="351"/>
      <c r="M50" s="83"/>
    </row>
    <row r="51" ht="25.5" hidden="1" customHeight="1">
      <c r="A51" s="360" t="s">
        <v>652</v>
      </c>
      <c r="B51" s="81" t="s">
        <v>33</v>
      </c>
      <c r="C51" s="39"/>
      <c r="D51" s="39"/>
      <c r="E51" s="361"/>
      <c r="F51" s="362"/>
      <c r="G51" s="83"/>
      <c r="H51" s="351"/>
      <c r="I51" s="83"/>
      <c r="J51" s="83"/>
      <c r="K51" s="83"/>
      <c r="L51" s="351"/>
      <c r="M51" s="83"/>
    </row>
    <row r="52" ht="25.5" customHeight="1">
      <c r="A52" s="353" t="s">
        <v>653</v>
      </c>
      <c r="B52" s="81" t="s">
        <v>33</v>
      </c>
      <c r="C52" s="354">
        <v>1.0</v>
      </c>
      <c r="D52" s="89">
        <v>3000.0</v>
      </c>
      <c r="E52" s="39"/>
      <c r="F52" s="47"/>
      <c r="G52" s="83"/>
      <c r="H52" s="351"/>
      <c r="I52" s="83"/>
      <c r="J52" s="83"/>
      <c r="K52" s="83"/>
      <c r="L52" s="351"/>
      <c r="M52" s="83"/>
    </row>
    <row r="53" ht="112.5" customHeight="1">
      <c r="A53" s="353" t="s">
        <v>654</v>
      </c>
      <c r="B53" s="81" t="s">
        <v>33</v>
      </c>
      <c r="C53" s="39"/>
      <c r="D53" s="39"/>
      <c r="E53" s="83"/>
      <c r="F53" s="351"/>
      <c r="G53" s="363">
        <v>2.0</v>
      </c>
      <c r="H53" s="364">
        <v>7000.0</v>
      </c>
      <c r="I53" s="83"/>
      <c r="J53" s="83"/>
      <c r="K53" s="363">
        <v>2.0</v>
      </c>
      <c r="L53" s="364">
        <v>7000.0</v>
      </c>
      <c r="M53" s="355" t="s">
        <v>655</v>
      </c>
    </row>
    <row r="54" ht="25.5" customHeight="1">
      <c r="A54" s="353" t="s">
        <v>656</v>
      </c>
      <c r="B54" s="81" t="s">
        <v>33</v>
      </c>
      <c r="C54" s="39"/>
      <c r="D54" s="39"/>
      <c r="E54" s="39"/>
      <c r="F54" s="47"/>
      <c r="G54" s="83"/>
      <c r="H54" s="351"/>
      <c r="I54" s="83"/>
      <c r="J54" s="83"/>
      <c r="K54" s="83"/>
      <c r="L54" s="351"/>
      <c r="M54" s="83"/>
    </row>
    <row r="55" ht="25.5" customHeight="1">
      <c r="A55" s="353" t="s">
        <v>657</v>
      </c>
      <c r="B55" s="81" t="s">
        <v>33</v>
      </c>
      <c r="C55" s="39"/>
      <c r="D55" s="39"/>
      <c r="E55" s="39"/>
      <c r="F55" s="47"/>
      <c r="G55" s="83"/>
      <c r="H55" s="351"/>
      <c r="I55" s="83"/>
      <c r="J55" s="83"/>
      <c r="K55" s="83"/>
      <c r="L55" s="351"/>
      <c r="M55" s="83"/>
    </row>
    <row r="56" ht="25.5" hidden="1" customHeight="1">
      <c r="A56" s="83"/>
      <c r="B56" s="83"/>
      <c r="C56" s="39"/>
      <c r="D56" s="39"/>
      <c r="E56" s="83"/>
      <c r="F56" s="351"/>
      <c r="G56" s="83"/>
      <c r="H56" s="351"/>
      <c r="I56" s="83"/>
      <c r="J56" s="83"/>
      <c r="K56" s="83"/>
      <c r="L56" s="351"/>
      <c r="M56" s="83"/>
    </row>
    <row r="57" ht="25.5" customHeight="1">
      <c r="A57" s="83" t="s">
        <v>658</v>
      </c>
      <c r="B57" s="81" t="s">
        <v>33</v>
      </c>
      <c r="C57" s="39"/>
      <c r="D57" s="36">
        <v>2000.0</v>
      </c>
      <c r="E57" s="83"/>
      <c r="F57" s="351"/>
      <c r="G57" s="83"/>
      <c r="H57" s="36">
        <f>H59</f>
        <v>3500</v>
      </c>
      <c r="I57" s="83"/>
      <c r="J57" s="83"/>
      <c r="K57" s="83"/>
      <c r="L57" s="36">
        <f>L59</f>
        <v>3500</v>
      </c>
      <c r="M57" s="83"/>
    </row>
    <row r="58" ht="25.5" customHeight="1">
      <c r="A58" s="352" t="s">
        <v>659</v>
      </c>
      <c r="B58" s="81" t="s">
        <v>33</v>
      </c>
      <c r="C58" s="39"/>
      <c r="D58" s="39"/>
      <c r="E58" s="39"/>
      <c r="F58" s="47"/>
      <c r="G58" s="39"/>
      <c r="H58" s="47"/>
      <c r="I58" s="39"/>
      <c r="J58" s="39"/>
      <c r="K58" s="39"/>
      <c r="L58" s="47"/>
      <c r="M58" s="39"/>
    </row>
    <row r="59" ht="25.5" customHeight="1">
      <c r="A59" s="365" t="s">
        <v>660</v>
      </c>
      <c r="B59" s="81" t="s">
        <v>33</v>
      </c>
      <c r="C59" s="354">
        <v>1.0</v>
      </c>
      <c r="D59" s="89">
        <v>2000.0</v>
      </c>
      <c r="E59" s="80"/>
      <c r="F59" s="74"/>
      <c r="G59" s="355">
        <v>1.0</v>
      </c>
      <c r="H59" s="356">
        <v>3500.0</v>
      </c>
      <c r="I59" s="39"/>
      <c r="J59" s="39"/>
      <c r="K59" s="355">
        <v>1.0</v>
      </c>
      <c r="L59" s="356">
        <v>3500.0</v>
      </c>
      <c r="M59" s="355" t="s">
        <v>661</v>
      </c>
    </row>
    <row r="60" ht="25.5" hidden="1" customHeight="1">
      <c r="A60" s="359" t="s">
        <v>662</v>
      </c>
      <c r="B60" s="244" t="s">
        <v>33</v>
      </c>
      <c r="C60" s="39"/>
      <c r="D60" s="39"/>
      <c r="E60" s="359"/>
      <c r="F60" s="55"/>
      <c r="G60" s="39"/>
      <c r="H60" s="47"/>
      <c r="I60" s="39"/>
      <c r="J60" s="39"/>
      <c r="K60" s="39"/>
      <c r="L60" s="47"/>
      <c r="M60" s="39"/>
    </row>
    <row r="61" ht="25.5" customHeight="1">
      <c r="A61" s="91" t="s">
        <v>69</v>
      </c>
      <c r="B61" s="83"/>
      <c r="C61" s="39"/>
      <c r="D61" s="36">
        <f>D11+D47</f>
        <v>6800</v>
      </c>
      <c r="E61" s="366"/>
      <c r="F61" s="36">
        <f>F11+F47</f>
        <v>1000</v>
      </c>
      <c r="G61" s="83"/>
      <c r="H61" s="351">
        <f>H11+H47</f>
        <v>12100</v>
      </c>
      <c r="I61" s="83"/>
      <c r="J61" s="367">
        <v>0.0</v>
      </c>
      <c r="K61" s="83"/>
      <c r="L61" s="351">
        <f>L11+L47</f>
        <v>12100</v>
      </c>
      <c r="M61" s="83"/>
    </row>
    <row r="62" ht="21.75" hidden="1" customHeight="1">
      <c r="A62" s="368"/>
      <c r="B62" s="368"/>
      <c r="C62" s="12"/>
      <c r="D62" s="12"/>
      <c r="E62" s="12"/>
      <c r="F62" s="12"/>
      <c r="G62" s="12"/>
      <c r="H62" s="349"/>
      <c r="I62" s="12"/>
      <c r="J62" s="12"/>
      <c r="K62" s="12"/>
      <c r="L62" s="12"/>
      <c r="M62" s="12"/>
    </row>
    <row r="63" ht="19.5" hidden="1" customHeight="1">
      <c r="A63" s="369" t="s">
        <v>70</v>
      </c>
      <c r="B63" s="370" t="s">
        <v>71</v>
      </c>
      <c r="C63" s="108" t="s">
        <v>72</v>
      </c>
      <c r="D63" s="371"/>
      <c r="E63" s="371"/>
      <c r="F63" s="371"/>
      <c r="G63" s="99"/>
      <c r="H63" s="372"/>
      <c r="I63" s="99"/>
      <c r="J63" s="99"/>
      <c r="K63" s="99"/>
      <c r="L63" s="99"/>
      <c r="M63" s="99"/>
    </row>
    <row r="64" ht="14.25" hidden="1" customHeight="1">
      <c r="A64" s="373"/>
      <c r="B64" s="373"/>
      <c r="C64" s="373"/>
      <c r="D64" s="371"/>
      <c r="E64" s="374"/>
      <c r="F64" s="374"/>
      <c r="G64" s="12"/>
      <c r="H64" s="349"/>
      <c r="I64" s="12"/>
      <c r="J64" s="12"/>
      <c r="K64" s="12"/>
      <c r="L64" s="12"/>
      <c r="M64" s="12"/>
    </row>
    <row r="65" ht="14.25" hidden="1" customHeight="1">
      <c r="A65" s="373"/>
      <c r="B65" s="373"/>
      <c r="C65" s="373"/>
      <c r="D65" s="371"/>
      <c r="E65" s="371"/>
      <c r="F65" s="371"/>
      <c r="G65" s="12"/>
      <c r="H65" s="349"/>
      <c r="I65" s="12"/>
      <c r="J65" s="12"/>
      <c r="K65" s="12"/>
      <c r="L65" s="12"/>
      <c r="M65" s="12"/>
    </row>
    <row r="66" ht="14.25" hidden="1" customHeight="1">
      <c r="A66" s="373"/>
      <c r="B66" s="375"/>
      <c r="C66" s="373"/>
      <c r="D66" s="371"/>
      <c r="E66" s="371"/>
      <c r="F66" s="371"/>
      <c r="G66" s="12"/>
      <c r="H66" s="349"/>
      <c r="I66" s="12"/>
      <c r="J66" s="12"/>
      <c r="K66" s="12"/>
      <c r="L66" s="12"/>
      <c r="M66" s="12"/>
    </row>
    <row r="67" ht="14.25" hidden="1" customHeight="1">
      <c r="A67" s="373"/>
      <c r="B67" s="373"/>
      <c r="C67" s="373"/>
      <c r="D67" s="371"/>
      <c r="E67" s="371"/>
      <c r="F67" s="371"/>
      <c r="G67" s="12"/>
      <c r="H67" s="349"/>
      <c r="I67" s="12"/>
      <c r="J67" s="12"/>
      <c r="K67" s="12"/>
      <c r="L67" s="12"/>
      <c r="M67" s="12"/>
    </row>
    <row r="68" ht="19.5" hidden="1" customHeight="1">
      <c r="A68" s="106" t="s">
        <v>74</v>
      </c>
      <c r="B68" s="106" t="s">
        <v>75</v>
      </c>
      <c r="C68" s="106" t="s">
        <v>76</v>
      </c>
      <c r="D68" s="371"/>
      <c r="E68" s="371"/>
      <c r="F68" s="371"/>
      <c r="G68" s="12"/>
      <c r="H68" s="349"/>
      <c r="I68" s="12"/>
      <c r="J68" s="12"/>
      <c r="K68" s="12"/>
      <c r="L68" s="12"/>
      <c r="M68" s="12"/>
    </row>
    <row r="69" ht="18.75" hidden="1" customHeight="1">
      <c r="A69" s="369" t="s">
        <v>78</v>
      </c>
      <c r="B69" s="108" t="s">
        <v>79</v>
      </c>
      <c r="C69" s="108" t="s">
        <v>80</v>
      </c>
      <c r="D69" s="371"/>
      <c r="E69" s="371"/>
      <c r="F69" s="371"/>
      <c r="G69" s="99"/>
      <c r="H69" s="372"/>
      <c r="I69" s="99"/>
      <c r="J69" s="99"/>
      <c r="K69" s="99"/>
      <c r="L69" s="99"/>
      <c r="M69" s="99"/>
    </row>
    <row r="70" ht="15.75" hidden="1" customHeight="1">
      <c r="A70" s="376" t="s">
        <v>82</v>
      </c>
      <c r="B70" s="375"/>
      <c r="C70" s="374"/>
      <c r="D70" s="374"/>
      <c r="E70" s="374"/>
      <c r="F70" s="374"/>
      <c r="G70" s="99"/>
      <c r="H70" s="372"/>
      <c r="I70" s="99"/>
      <c r="J70" s="99"/>
      <c r="K70" s="99"/>
      <c r="L70" s="99"/>
      <c r="M70" s="99"/>
    </row>
    <row r="71" ht="15.75" customHeight="1">
      <c r="A71" s="10"/>
      <c r="B71" s="10"/>
      <c r="C71" s="12"/>
      <c r="D71" s="12"/>
      <c r="E71" s="12"/>
      <c r="F71" s="12"/>
      <c r="G71" s="12"/>
      <c r="H71" s="349"/>
      <c r="I71" s="12"/>
      <c r="J71" s="12"/>
      <c r="K71" s="12"/>
      <c r="L71" s="12"/>
      <c r="M71" s="12"/>
    </row>
    <row r="72" ht="23.25" customHeight="1">
      <c r="A72" s="102" t="s">
        <v>70</v>
      </c>
      <c r="B72" s="12"/>
      <c r="C72" s="377"/>
      <c r="D72" s="377"/>
      <c r="E72" s="378" t="s">
        <v>83</v>
      </c>
      <c r="F72" s="377"/>
      <c r="G72" s="377"/>
      <c r="H72" s="379"/>
      <c r="I72" s="377"/>
      <c r="J72" s="374"/>
      <c r="K72" s="374"/>
      <c r="L72" s="108" t="s">
        <v>73</v>
      </c>
      <c r="M72" s="374"/>
    </row>
    <row r="73" ht="16.5" customHeight="1">
      <c r="A73" s="104"/>
      <c r="B73" s="12"/>
      <c r="C73" s="377"/>
      <c r="D73" s="377"/>
      <c r="E73" s="371"/>
      <c r="F73" s="377"/>
      <c r="G73" s="377"/>
      <c r="H73" s="379"/>
      <c r="I73" s="377"/>
      <c r="J73" s="374"/>
      <c r="K73" s="374"/>
      <c r="L73" s="373"/>
      <c r="M73" s="374"/>
    </row>
    <row r="74" ht="16.5" customHeight="1">
      <c r="A74" s="104"/>
      <c r="B74" s="12"/>
      <c r="C74" s="377"/>
      <c r="D74" s="377"/>
      <c r="E74" s="371"/>
      <c r="F74" s="377"/>
      <c r="G74" s="377"/>
      <c r="H74" s="379"/>
      <c r="I74" s="377"/>
      <c r="J74" s="374"/>
      <c r="K74" s="374"/>
      <c r="L74" s="373"/>
      <c r="M74" s="374"/>
    </row>
    <row r="75" ht="16.5" customHeight="1">
      <c r="A75" s="377"/>
      <c r="B75" s="12"/>
      <c r="C75" s="377"/>
      <c r="D75" s="377"/>
      <c r="E75" s="371"/>
      <c r="F75" s="12"/>
      <c r="G75" s="12"/>
      <c r="H75" s="349"/>
      <c r="I75" s="377"/>
      <c r="J75" s="12"/>
      <c r="K75" s="12"/>
      <c r="L75" s="373"/>
      <c r="M75" s="12"/>
    </row>
    <row r="76" ht="16.5" customHeight="1">
      <c r="A76" s="104"/>
      <c r="B76" s="12"/>
      <c r="C76" s="377"/>
      <c r="D76" s="377"/>
      <c r="E76" s="371"/>
      <c r="F76" s="12"/>
      <c r="G76" s="12"/>
      <c r="H76" s="349"/>
      <c r="I76" s="377"/>
      <c r="J76" s="12"/>
      <c r="K76" s="12"/>
      <c r="L76" s="373"/>
      <c r="M76" s="12"/>
    </row>
    <row r="77" ht="20.25" customHeight="1">
      <c r="A77" s="106" t="s">
        <v>75</v>
      </c>
      <c r="B77" s="12"/>
      <c r="C77" s="377"/>
      <c r="D77" s="377"/>
      <c r="E77" s="380" t="s">
        <v>76</v>
      </c>
      <c r="F77" s="12"/>
      <c r="G77" s="12"/>
      <c r="H77" s="349"/>
      <c r="I77" s="377"/>
      <c r="J77" s="12"/>
      <c r="K77" s="12"/>
      <c r="L77" s="106" t="s">
        <v>77</v>
      </c>
      <c r="M77" s="12"/>
    </row>
    <row r="78" ht="16.5" customHeight="1">
      <c r="A78" s="108" t="s">
        <v>79</v>
      </c>
      <c r="B78" s="12"/>
      <c r="C78" s="377"/>
      <c r="D78" s="377"/>
      <c r="E78" s="378" t="s">
        <v>80</v>
      </c>
      <c r="F78" s="12"/>
      <c r="G78" s="12"/>
      <c r="H78" s="349"/>
      <c r="I78" s="377"/>
      <c r="J78" s="12"/>
      <c r="K78" s="12"/>
      <c r="L78" s="108" t="s">
        <v>81</v>
      </c>
      <c r="M78" s="12"/>
    </row>
    <row r="79" ht="15.75" customHeight="1">
      <c r="A79" s="10"/>
      <c r="B79" s="10"/>
      <c r="C79" s="12"/>
      <c r="D79" s="12"/>
      <c r="E79" s="12"/>
      <c r="F79" s="12"/>
      <c r="G79" s="12"/>
      <c r="H79" s="349"/>
      <c r="I79" s="12"/>
      <c r="J79" s="12"/>
      <c r="K79" s="12"/>
      <c r="L79" s="12"/>
      <c r="M79" s="12"/>
    </row>
    <row r="80" ht="15.75" customHeight="1">
      <c r="A80" s="10"/>
      <c r="B80" s="10"/>
      <c r="C80" s="12"/>
      <c r="D80" s="12"/>
      <c r="E80" s="12"/>
      <c r="F80" s="12"/>
      <c r="G80" s="12"/>
      <c r="H80" s="349"/>
      <c r="I80" s="12"/>
      <c r="J80" s="12"/>
      <c r="K80" s="12"/>
      <c r="L80" s="12"/>
      <c r="M80" s="12"/>
    </row>
    <row r="81" ht="15.75" customHeight="1">
      <c r="A81" s="10"/>
      <c r="B81" s="10"/>
      <c r="C81" s="12"/>
      <c r="D81" s="12"/>
      <c r="E81" s="12"/>
      <c r="F81" s="12"/>
      <c r="G81" s="12"/>
      <c r="H81" s="349"/>
      <c r="I81" s="12"/>
      <c r="J81" s="12"/>
      <c r="K81" s="12"/>
      <c r="L81" s="12"/>
      <c r="M81" s="12"/>
    </row>
    <row r="82" ht="15.75" customHeight="1">
      <c r="A82" s="10"/>
      <c r="B82" s="10"/>
      <c r="C82" s="12"/>
      <c r="D82" s="12"/>
      <c r="E82" s="12"/>
      <c r="F82" s="12"/>
      <c r="G82" s="12"/>
      <c r="H82" s="349"/>
      <c r="I82" s="12"/>
      <c r="J82" s="12"/>
      <c r="K82" s="12"/>
      <c r="L82" s="12"/>
      <c r="M82" s="12"/>
    </row>
    <row r="83" ht="15.75" customHeight="1">
      <c r="A83" s="10"/>
      <c r="B83" s="10"/>
      <c r="C83" s="12"/>
      <c r="D83" s="12"/>
      <c r="E83" s="12"/>
      <c r="F83" s="12"/>
      <c r="G83" s="12"/>
      <c r="H83" s="349"/>
      <c r="I83" s="12"/>
      <c r="J83" s="12"/>
      <c r="K83" s="12"/>
      <c r="L83" s="12"/>
      <c r="M83" s="12"/>
    </row>
    <row r="84" ht="15.75" customHeight="1">
      <c r="A84" s="10"/>
      <c r="B84" s="10"/>
      <c r="C84" s="12"/>
      <c r="D84" s="12"/>
      <c r="E84" s="12"/>
      <c r="F84" s="12"/>
      <c r="G84" s="12"/>
      <c r="H84" s="349"/>
      <c r="I84" s="12"/>
      <c r="J84" s="12"/>
      <c r="K84" s="12"/>
      <c r="L84" s="12"/>
      <c r="M84" s="12"/>
    </row>
    <row r="85" ht="15.75" customHeight="1">
      <c r="A85" s="10"/>
      <c r="B85" s="10"/>
      <c r="C85" s="12"/>
      <c r="D85" s="12"/>
      <c r="E85" s="12"/>
      <c r="F85" s="12"/>
      <c r="G85" s="12"/>
      <c r="H85" s="349"/>
      <c r="I85" s="12"/>
      <c r="J85" s="12"/>
      <c r="K85" s="12"/>
      <c r="L85" s="12"/>
      <c r="M85" s="12"/>
    </row>
    <row r="86" ht="15.75" customHeight="1">
      <c r="A86" s="10"/>
      <c r="B86" s="10"/>
      <c r="C86" s="12"/>
      <c r="D86" s="12"/>
      <c r="E86" s="12"/>
      <c r="F86" s="12"/>
      <c r="G86" s="12"/>
      <c r="H86" s="349"/>
      <c r="I86" s="12"/>
      <c r="J86" s="12"/>
      <c r="K86" s="12"/>
      <c r="L86" s="12"/>
      <c r="M86" s="12"/>
    </row>
    <row r="87" ht="15.75" customHeight="1">
      <c r="A87" s="10"/>
      <c r="B87" s="10"/>
      <c r="C87" s="12"/>
      <c r="D87" s="12"/>
      <c r="E87" s="12"/>
      <c r="F87" s="12"/>
      <c r="G87" s="12"/>
      <c r="H87" s="349"/>
      <c r="I87" s="12"/>
      <c r="J87" s="12"/>
      <c r="K87" s="12"/>
      <c r="L87" s="12"/>
      <c r="M87" s="12"/>
    </row>
    <row r="88" ht="15.75" customHeight="1">
      <c r="A88" s="10"/>
      <c r="B88" s="10"/>
      <c r="C88" s="12"/>
      <c r="D88" s="12"/>
      <c r="E88" s="12"/>
      <c r="F88" s="12"/>
      <c r="G88" s="12"/>
      <c r="H88" s="349"/>
      <c r="I88" s="12"/>
      <c r="J88" s="12"/>
      <c r="K88" s="12"/>
      <c r="L88" s="12"/>
      <c r="M88" s="12"/>
    </row>
    <row r="89" ht="15.75" customHeight="1">
      <c r="A89" s="10"/>
      <c r="B89" s="10"/>
      <c r="C89" s="12"/>
      <c r="D89" s="12"/>
      <c r="E89" s="12"/>
      <c r="F89" s="12"/>
      <c r="G89" s="12"/>
      <c r="H89" s="349"/>
      <c r="I89" s="12"/>
      <c r="J89" s="12"/>
      <c r="K89" s="12"/>
      <c r="L89" s="12"/>
      <c r="M89" s="12"/>
    </row>
    <row r="90" ht="15.75" customHeight="1">
      <c r="A90" s="10"/>
      <c r="B90" s="10"/>
      <c r="C90" s="12"/>
      <c r="D90" s="12"/>
      <c r="E90" s="12"/>
      <c r="F90" s="12"/>
      <c r="G90" s="12"/>
      <c r="H90" s="349"/>
      <c r="I90" s="12"/>
      <c r="J90" s="12"/>
      <c r="K90" s="12"/>
      <c r="L90" s="12"/>
      <c r="M90" s="12"/>
    </row>
    <row r="91" ht="15.75" customHeight="1">
      <c r="A91" s="10"/>
      <c r="B91" s="10"/>
      <c r="C91" s="12"/>
      <c r="D91" s="12"/>
      <c r="E91" s="12"/>
      <c r="F91" s="12"/>
      <c r="G91" s="12"/>
      <c r="H91" s="349"/>
      <c r="I91" s="12"/>
      <c r="J91" s="12"/>
      <c r="K91" s="12"/>
      <c r="L91" s="12"/>
      <c r="M91" s="12"/>
    </row>
    <row r="92" ht="15.75" customHeight="1">
      <c r="A92" s="10"/>
      <c r="B92" s="10"/>
      <c r="C92" s="12"/>
      <c r="D92" s="12"/>
      <c r="E92" s="12"/>
      <c r="F92" s="12"/>
      <c r="G92" s="12"/>
      <c r="H92" s="349"/>
      <c r="I92" s="12"/>
      <c r="J92" s="12"/>
      <c r="K92" s="12"/>
      <c r="L92" s="12"/>
      <c r="M92" s="12"/>
    </row>
    <row r="93" ht="15.75" customHeight="1">
      <c r="A93" s="10"/>
      <c r="B93" s="10"/>
      <c r="C93" s="12"/>
      <c r="D93" s="12"/>
      <c r="E93" s="12"/>
      <c r="F93" s="12"/>
      <c r="G93" s="12"/>
      <c r="H93" s="349"/>
      <c r="I93" s="12"/>
      <c r="J93" s="12"/>
      <c r="K93" s="12"/>
      <c r="L93" s="12"/>
      <c r="M93" s="12"/>
    </row>
    <row r="94" ht="15.75" customHeight="1">
      <c r="A94" s="10"/>
      <c r="B94" s="10"/>
      <c r="C94" s="12"/>
      <c r="D94" s="12"/>
      <c r="E94" s="12"/>
      <c r="F94" s="12"/>
      <c r="G94" s="12"/>
      <c r="H94" s="349"/>
      <c r="I94" s="12"/>
      <c r="J94" s="12"/>
      <c r="K94" s="12"/>
      <c r="L94" s="12"/>
      <c r="M94" s="12"/>
    </row>
    <row r="95" ht="15.75" customHeight="1">
      <c r="A95" s="10"/>
      <c r="B95" s="10"/>
      <c r="C95" s="12"/>
      <c r="D95" s="12"/>
      <c r="E95" s="12"/>
      <c r="F95" s="12"/>
      <c r="G95" s="12"/>
      <c r="H95" s="349"/>
      <c r="I95" s="12"/>
      <c r="J95" s="12"/>
      <c r="K95" s="12"/>
      <c r="L95" s="12"/>
      <c r="M95" s="12"/>
    </row>
    <row r="96" ht="15.75" customHeight="1">
      <c r="A96" s="10"/>
      <c r="B96" s="10"/>
      <c r="C96" s="12"/>
      <c r="D96" s="12"/>
      <c r="E96" s="12"/>
      <c r="F96" s="12"/>
      <c r="G96" s="12"/>
      <c r="H96" s="349"/>
      <c r="I96" s="12"/>
      <c r="J96" s="12"/>
      <c r="K96" s="12"/>
      <c r="L96" s="12"/>
      <c r="M96" s="12"/>
    </row>
    <row r="97" ht="15.75" customHeight="1">
      <c r="A97" s="10"/>
      <c r="B97" s="10"/>
      <c r="C97" s="12"/>
      <c r="D97" s="12"/>
      <c r="E97" s="12"/>
      <c r="F97" s="12"/>
      <c r="G97" s="12"/>
      <c r="H97" s="349"/>
      <c r="I97" s="12"/>
      <c r="J97" s="12"/>
      <c r="K97" s="12"/>
      <c r="L97" s="12"/>
      <c r="M97" s="12"/>
    </row>
    <row r="98" ht="15.75" customHeight="1">
      <c r="A98" s="10"/>
      <c r="B98" s="10"/>
      <c r="C98" s="12"/>
      <c r="D98" s="12"/>
      <c r="E98" s="12"/>
      <c r="F98" s="12"/>
      <c r="G98" s="12"/>
      <c r="H98" s="349"/>
      <c r="I98" s="12"/>
      <c r="J98" s="12"/>
      <c r="K98" s="12"/>
      <c r="L98" s="12"/>
      <c r="M98" s="12"/>
    </row>
    <row r="99" ht="15.75" customHeight="1">
      <c r="A99" s="10"/>
      <c r="B99" s="10"/>
      <c r="C99" s="12"/>
      <c r="D99" s="12"/>
      <c r="E99" s="12"/>
      <c r="F99" s="12"/>
      <c r="G99" s="12"/>
      <c r="H99" s="349"/>
      <c r="I99" s="12"/>
      <c r="J99" s="12"/>
      <c r="K99" s="12"/>
      <c r="L99" s="12"/>
      <c r="M99" s="12"/>
    </row>
    <row r="100" ht="15.75" customHeight="1">
      <c r="A100" s="10"/>
      <c r="B100" s="10"/>
      <c r="C100" s="12"/>
      <c r="D100" s="12"/>
      <c r="E100" s="12"/>
      <c r="F100" s="12"/>
      <c r="G100" s="12"/>
      <c r="H100" s="349"/>
      <c r="I100" s="12"/>
      <c r="J100" s="12"/>
      <c r="K100" s="12"/>
      <c r="L100" s="12"/>
      <c r="M100" s="12"/>
    </row>
    <row r="101" ht="15.75" customHeight="1">
      <c r="A101" s="10"/>
      <c r="B101" s="10"/>
      <c r="C101" s="12"/>
      <c r="D101" s="12"/>
      <c r="E101" s="12"/>
      <c r="F101" s="12"/>
      <c r="G101" s="12"/>
      <c r="H101" s="349"/>
      <c r="I101" s="12"/>
      <c r="J101" s="12"/>
      <c r="K101" s="12"/>
      <c r="L101" s="12"/>
      <c r="M101" s="12"/>
    </row>
    <row r="102" ht="15.75" customHeight="1">
      <c r="A102" s="10"/>
      <c r="B102" s="10"/>
      <c r="C102" s="12"/>
      <c r="D102" s="12"/>
      <c r="E102" s="12"/>
      <c r="F102" s="12"/>
      <c r="G102" s="12"/>
      <c r="H102" s="349"/>
      <c r="I102" s="12"/>
      <c r="J102" s="12"/>
      <c r="K102" s="12"/>
      <c r="L102" s="12"/>
      <c r="M102" s="12"/>
    </row>
    <row r="103" ht="15.75" customHeight="1">
      <c r="A103" s="10"/>
      <c r="B103" s="10"/>
      <c r="C103" s="12"/>
      <c r="D103" s="12"/>
      <c r="E103" s="12"/>
      <c r="F103" s="12"/>
      <c r="G103" s="12"/>
      <c r="H103" s="349"/>
      <c r="I103" s="12"/>
      <c r="J103" s="12"/>
      <c r="K103" s="12"/>
      <c r="L103" s="12"/>
      <c r="M103" s="12"/>
    </row>
    <row r="104" ht="15.75" customHeight="1">
      <c r="A104" s="10"/>
      <c r="B104" s="10"/>
      <c r="C104" s="12"/>
      <c r="D104" s="12"/>
      <c r="E104" s="12"/>
      <c r="F104" s="12"/>
      <c r="G104" s="12"/>
      <c r="H104" s="349"/>
      <c r="I104" s="12"/>
      <c r="J104" s="12"/>
      <c r="K104" s="12"/>
      <c r="L104" s="12"/>
      <c r="M104" s="12"/>
    </row>
    <row r="105" ht="15.75" customHeight="1">
      <c r="A105" s="10"/>
      <c r="B105" s="10"/>
      <c r="C105" s="12"/>
      <c r="D105" s="12"/>
      <c r="E105" s="12"/>
      <c r="F105" s="12"/>
      <c r="G105" s="12"/>
      <c r="H105" s="349"/>
      <c r="I105" s="12"/>
      <c r="J105" s="12"/>
      <c r="K105" s="12"/>
      <c r="L105" s="12"/>
      <c r="M105" s="12"/>
    </row>
    <row r="106" ht="15.75" customHeight="1">
      <c r="A106" s="10"/>
      <c r="B106" s="10"/>
      <c r="C106" s="12"/>
      <c r="D106" s="12"/>
      <c r="E106" s="12"/>
      <c r="F106" s="12"/>
      <c r="G106" s="12"/>
      <c r="H106" s="349"/>
      <c r="I106" s="12"/>
      <c r="J106" s="12"/>
      <c r="K106" s="12"/>
      <c r="L106" s="12"/>
      <c r="M106" s="12"/>
    </row>
    <row r="107" ht="15.75" customHeight="1">
      <c r="A107" s="10"/>
      <c r="B107" s="10"/>
      <c r="C107" s="12"/>
      <c r="D107" s="12"/>
      <c r="E107" s="12"/>
      <c r="F107" s="12"/>
      <c r="G107" s="12"/>
      <c r="H107" s="349"/>
      <c r="I107" s="12"/>
      <c r="J107" s="12"/>
      <c r="K107" s="12"/>
      <c r="L107" s="12"/>
      <c r="M107" s="12"/>
    </row>
    <row r="108" ht="15.75" customHeight="1">
      <c r="A108" s="10"/>
      <c r="B108" s="10"/>
      <c r="C108" s="12"/>
      <c r="D108" s="12"/>
      <c r="E108" s="12"/>
      <c r="F108" s="12"/>
      <c r="G108" s="12"/>
      <c r="H108" s="349"/>
      <c r="I108" s="12"/>
      <c r="J108" s="12"/>
      <c r="K108" s="12"/>
      <c r="L108" s="12"/>
      <c r="M108" s="12"/>
    </row>
    <row r="109" ht="15.75" customHeight="1">
      <c r="A109" s="10"/>
      <c r="B109" s="10"/>
      <c r="C109" s="12"/>
      <c r="D109" s="12"/>
      <c r="E109" s="12"/>
      <c r="F109" s="12"/>
      <c r="G109" s="12"/>
      <c r="H109" s="349"/>
      <c r="I109" s="12"/>
      <c r="J109" s="12"/>
      <c r="K109" s="12"/>
      <c r="L109" s="12"/>
      <c r="M109" s="12"/>
    </row>
    <row r="110" ht="15.75" customHeight="1">
      <c r="A110" s="10"/>
      <c r="B110" s="10"/>
      <c r="C110" s="12"/>
      <c r="D110" s="12"/>
      <c r="E110" s="12"/>
      <c r="F110" s="12"/>
      <c r="G110" s="12"/>
      <c r="H110" s="349"/>
      <c r="I110" s="12"/>
      <c r="J110" s="12"/>
      <c r="K110" s="12"/>
      <c r="L110" s="12"/>
      <c r="M110" s="12"/>
    </row>
    <row r="111" ht="15.75" customHeight="1">
      <c r="A111" s="10"/>
      <c r="B111" s="10"/>
      <c r="C111" s="12"/>
      <c r="D111" s="12"/>
      <c r="E111" s="12"/>
      <c r="F111" s="12"/>
      <c r="G111" s="12"/>
      <c r="H111" s="349"/>
      <c r="I111" s="12"/>
      <c r="J111" s="12"/>
      <c r="K111" s="12"/>
      <c r="L111" s="12"/>
      <c r="M111" s="12"/>
    </row>
    <row r="112" ht="15.75" customHeight="1">
      <c r="A112" s="10"/>
      <c r="B112" s="10"/>
      <c r="C112" s="12"/>
      <c r="D112" s="12"/>
      <c r="E112" s="12"/>
      <c r="F112" s="12"/>
      <c r="G112" s="12"/>
      <c r="H112" s="349"/>
      <c r="I112" s="12"/>
      <c r="J112" s="12"/>
      <c r="K112" s="12"/>
      <c r="L112" s="12"/>
      <c r="M112" s="12"/>
    </row>
    <row r="113" ht="15.75" customHeight="1">
      <c r="A113" s="10"/>
      <c r="B113" s="10"/>
      <c r="C113" s="12"/>
      <c r="D113" s="12"/>
      <c r="E113" s="12"/>
      <c r="F113" s="12"/>
      <c r="G113" s="12"/>
      <c r="H113" s="349"/>
      <c r="I113" s="12"/>
      <c r="J113" s="12"/>
      <c r="K113" s="12"/>
      <c r="L113" s="12"/>
      <c r="M113" s="12"/>
    </row>
    <row r="114" ht="15.75" customHeight="1">
      <c r="A114" s="10"/>
      <c r="B114" s="10"/>
      <c r="C114" s="12"/>
      <c r="D114" s="12"/>
      <c r="E114" s="12"/>
      <c r="F114" s="12"/>
      <c r="G114" s="12"/>
      <c r="H114" s="349"/>
      <c r="I114" s="12"/>
      <c r="J114" s="12"/>
      <c r="K114" s="12"/>
      <c r="L114" s="12"/>
      <c r="M114" s="12"/>
    </row>
    <row r="115" ht="15.75" customHeight="1">
      <c r="A115" s="10"/>
      <c r="B115" s="10"/>
      <c r="C115" s="12"/>
      <c r="D115" s="12"/>
      <c r="E115" s="12"/>
      <c r="F115" s="12"/>
      <c r="G115" s="12"/>
      <c r="H115" s="349"/>
      <c r="I115" s="12"/>
      <c r="J115" s="12"/>
      <c r="K115" s="12"/>
      <c r="L115" s="12"/>
      <c r="M115" s="12"/>
    </row>
    <row r="116" ht="15.75" customHeight="1">
      <c r="A116" s="10"/>
      <c r="B116" s="10"/>
      <c r="C116" s="12"/>
      <c r="D116" s="12"/>
      <c r="E116" s="12"/>
      <c r="F116" s="12"/>
      <c r="G116" s="12"/>
      <c r="H116" s="349"/>
      <c r="I116" s="12"/>
      <c r="J116" s="12"/>
      <c r="K116" s="12"/>
      <c r="L116" s="12"/>
      <c r="M116" s="12"/>
    </row>
    <row r="117" ht="15.75" customHeight="1">
      <c r="A117" s="10"/>
      <c r="B117" s="10"/>
      <c r="C117" s="12"/>
      <c r="D117" s="12"/>
      <c r="E117" s="12"/>
      <c r="F117" s="12"/>
      <c r="G117" s="12"/>
      <c r="H117" s="349"/>
      <c r="I117" s="12"/>
      <c r="J117" s="12"/>
      <c r="K117" s="12"/>
      <c r="L117" s="12"/>
      <c r="M117" s="12"/>
    </row>
    <row r="118" ht="15.75" customHeight="1">
      <c r="A118" s="10"/>
      <c r="B118" s="10"/>
      <c r="C118" s="12"/>
      <c r="D118" s="12"/>
      <c r="E118" s="12"/>
      <c r="F118" s="12"/>
      <c r="G118" s="12"/>
      <c r="H118" s="349"/>
      <c r="I118" s="12"/>
      <c r="J118" s="12"/>
      <c r="K118" s="12"/>
      <c r="L118" s="12"/>
      <c r="M118" s="12"/>
    </row>
    <row r="119" ht="15.75" customHeight="1">
      <c r="A119" s="10"/>
      <c r="B119" s="10"/>
      <c r="C119" s="12"/>
      <c r="D119" s="12"/>
      <c r="E119" s="12"/>
      <c r="F119" s="12"/>
      <c r="G119" s="12"/>
      <c r="H119" s="349"/>
      <c r="I119" s="12"/>
      <c r="J119" s="12"/>
      <c r="K119" s="12"/>
      <c r="L119" s="12"/>
      <c r="M119" s="12"/>
    </row>
    <row r="120" ht="15.75" customHeight="1">
      <c r="A120" s="10"/>
      <c r="B120" s="10"/>
      <c r="C120" s="12"/>
      <c r="D120" s="12"/>
      <c r="E120" s="12"/>
      <c r="F120" s="12"/>
      <c r="G120" s="12"/>
      <c r="H120" s="349"/>
      <c r="I120" s="12"/>
      <c r="J120" s="12"/>
      <c r="K120" s="12"/>
      <c r="L120" s="12"/>
      <c r="M120" s="12"/>
    </row>
    <row r="121" ht="15.75" customHeight="1">
      <c r="A121" s="10"/>
      <c r="B121" s="10"/>
      <c r="C121" s="12"/>
      <c r="D121" s="12"/>
      <c r="E121" s="12"/>
      <c r="F121" s="12"/>
      <c r="G121" s="12"/>
      <c r="H121" s="349"/>
      <c r="I121" s="12"/>
      <c r="J121" s="12"/>
      <c r="K121" s="12"/>
      <c r="L121" s="12"/>
      <c r="M121" s="12"/>
    </row>
    <row r="122" ht="15.75" customHeight="1">
      <c r="A122" s="10"/>
      <c r="B122" s="10"/>
      <c r="C122" s="12"/>
      <c r="D122" s="12"/>
      <c r="E122" s="12"/>
      <c r="F122" s="12"/>
      <c r="G122" s="12"/>
      <c r="H122" s="349"/>
      <c r="I122" s="12"/>
      <c r="J122" s="12"/>
      <c r="K122" s="12"/>
      <c r="L122" s="12"/>
      <c r="M122" s="12"/>
    </row>
    <row r="123" ht="15.75" customHeight="1">
      <c r="A123" s="10"/>
      <c r="B123" s="10"/>
      <c r="C123" s="12"/>
      <c r="D123" s="12"/>
      <c r="E123" s="12"/>
      <c r="F123" s="12"/>
      <c r="G123" s="12"/>
      <c r="H123" s="349"/>
      <c r="I123" s="12"/>
      <c r="J123" s="12"/>
      <c r="K123" s="12"/>
      <c r="L123" s="12"/>
      <c r="M123" s="12"/>
    </row>
    <row r="124" ht="15.75" customHeight="1">
      <c r="A124" s="10"/>
      <c r="B124" s="10"/>
      <c r="C124" s="12"/>
      <c r="D124" s="12"/>
      <c r="E124" s="12"/>
      <c r="F124" s="12"/>
      <c r="G124" s="12"/>
      <c r="H124" s="349"/>
      <c r="I124" s="12"/>
      <c r="J124" s="12"/>
      <c r="K124" s="12"/>
      <c r="L124" s="12"/>
      <c r="M124" s="12"/>
    </row>
    <row r="125" ht="15.75" customHeight="1">
      <c r="A125" s="10"/>
      <c r="B125" s="10"/>
      <c r="C125" s="12"/>
      <c r="D125" s="12"/>
      <c r="E125" s="12"/>
      <c r="F125" s="12"/>
      <c r="G125" s="12"/>
      <c r="H125" s="349"/>
      <c r="I125" s="12"/>
      <c r="J125" s="12"/>
      <c r="K125" s="12"/>
      <c r="L125" s="12"/>
      <c r="M125" s="12"/>
    </row>
    <row r="126" ht="15.75" customHeight="1">
      <c r="A126" s="10"/>
      <c r="B126" s="10"/>
      <c r="C126" s="12"/>
      <c r="D126" s="12"/>
      <c r="E126" s="12"/>
      <c r="F126" s="12"/>
      <c r="G126" s="12"/>
      <c r="H126" s="349"/>
      <c r="I126" s="12"/>
      <c r="J126" s="12"/>
      <c r="K126" s="12"/>
      <c r="L126" s="12"/>
      <c r="M126" s="12"/>
    </row>
    <row r="127" ht="15.75" customHeight="1">
      <c r="A127" s="10"/>
      <c r="B127" s="10"/>
      <c r="C127" s="12"/>
      <c r="D127" s="12"/>
      <c r="E127" s="12"/>
      <c r="F127" s="12"/>
      <c r="G127" s="12"/>
      <c r="H127" s="349"/>
      <c r="I127" s="12"/>
      <c r="J127" s="12"/>
      <c r="K127" s="12"/>
      <c r="L127" s="12"/>
      <c r="M127" s="12"/>
    </row>
    <row r="128" ht="15.75" customHeight="1">
      <c r="A128" s="10"/>
      <c r="B128" s="10"/>
      <c r="C128" s="12"/>
      <c r="D128" s="12"/>
      <c r="E128" s="12"/>
      <c r="F128" s="12"/>
      <c r="G128" s="12"/>
      <c r="H128" s="349"/>
      <c r="I128" s="12"/>
      <c r="J128" s="12"/>
      <c r="K128" s="12"/>
      <c r="L128" s="12"/>
      <c r="M128" s="12"/>
    </row>
    <row r="129" ht="15.75" customHeight="1">
      <c r="A129" s="10"/>
      <c r="B129" s="10"/>
      <c r="C129" s="12"/>
      <c r="D129" s="12"/>
      <c r="E129" s="12"/>
      <c r="F129" s="12"/>
      <c r="G129" s="12"/>
      <c r="H129" s="349"/>
      <c r="I129" s="12"/>
      <c r="J129" s="12"/>
      <c r="K129" s="12"/>
      <c r="L129" s="12"/>
      <c r="M129" s="12"/>
    </row>
    <row r="130" ht="15.75" customHeight="1">
      <c r="A130" s="10"/>
      <c r="B130" s="10"/>
      <c r="C130" s="12"/>
      <c r="D130" s="12"/>
      <c r="E130" s="12"/>
      <c r="F130" s="12"/>
      <c r="G130" s="12"/>
      <c r="H130" s="349"/>
      <c r="I130" s="12"/>
      <c r="J130" s="12"/>
      <c r="K130" s="12"/>
      <c r="L130" s="12"/>
      <c r="M130" s="12"/>
    </row>
    <row r="131" ht="15.75" customHeight="1">
      <c r="A131" s="10"/>
      <c r="B131" s="10"/>
      <c r="C131" s="12"/>
      <c r="D131" s="12"/>
      <c r="E131" s="12"/>
      <c r="F131" s="12"/>
      <c r="G131" s="12"/>
      <c r="H131" s="349"/>
      <c r="I131" s="12"/>
      <c r="J131" s="12"/>
      <c r="K131" s="12"/>
      <c r="L131" s="12"/>
      <c r="M131" s="12"/>
    </row>
    <row r="132" ht="15.75" customHeight="1">
      <c r="A132" s="10"/>
      <c r="B132" s="10"/>
      <c r="C132" s="12"/>
      <c r="D132" s="12"/>
      <c r="E132" s="12"/>
      <c r="F132" s="12"/>
      <c r="G132" s="12"/>
      <c r="H132" s="349"/>
      <c r="I132" s="12"/>
      <c r="J132" s="12"/>
      <c r="K132" s="12"/>
      <c r="L132" s="12"/>
      <c r="M132" s="12"/>
    </row>
    <row r="133" ht="15.75" customHeight="1">
      <c r="A133" s="10"/>
      <c r="B133" s="10"/>
      <c r="C133" s="12"/>
      <c r="D133" s="12"/>
      <c r="E133" s="12"/>
      <c r="F133" s="12"/>
      <c r="G133" s="12"/>
      <c r="H133" s="349"/>
      <c r="I133" s="12"/>
      <c r="J133" s="12"/>
      <c r="K133" s="12"/>
      <c r="L133" s="12"/>
      <c r="M133" s="12"/>
    </row>
    <row r="134" ht="15.75" customHeight="1">
      <c r="A134" s="10"/>
      <c r="B134" s="10"/>
      <c r="C134" s="12"/>
      <c r="D134" s="12"/>
      <c r="E134" s="12"/>
      <c r="F134" s="12"/>
      <c r="G134" s="12"/>
      <c r="H134" s="349"/>
      <c r="I134" s="12"/>
      <c r="J134" s="12"/>
      <c r="K134" s="12"/>
      <c r="L134" s="12"/>
      <c r="M134" s="12"/>
    </row>
    <row r="135" ht="15.75" customHeight="1">
      <c r="A135" s="10"/>
      <c r="B135" s="10"/>
      <c r="C135" s="12"/>
      <c r="D135" s="12"/>
      <c r="E135" s="12"/>
      <c r="F135" s="12"/>
      <c r="G135" s="12"/>
      <c r="H135" s="349"/>
      <c r="I135" s="12"/>
      <c r="J135" s="12"/>
      <c r="K135" s="12"/>
      <c r="L135" s="12"/>
      <c r="M135" s="12"/>
    </row>
    <row r="136" ht="15.75" customHeight="1">
      <c r="A136" s="10"/>
      <c r="B136" s="10"/>
      <c r="C136" s="12"/>
      <c r="D136" s="12"/>
      <c r="E136" s="12"/>
      <c r="F136" s="12"/>
      <c r="G136" s="12"/>
      <c r="H136" s="349"/>
      <c r="I136" s="12"/>
      <c r="J136" s="12"/>
      <c r="K136" s="12"/>
      <c r="L136" s="12"/>
      <c r="M136" s="12"/>
    </row>
    <row r="137" ht="15.75" customHeight="1">
      <c r="A137" s="10"/>
      <c r="B137" s="10"/>
      <c r="C137" s="12"/>
      <c r="D137" s="12"/>
      <c r="E137" s="12"/>
      <c r="F137" s="12"/>
      <c r="G137" s="12"/>
      <c r="H137" s="349"/>
      <c r="I137" s="12"/>
      <c r="J137" s="12"/>
      <c r="K137" s="12"/>
      <c r="L137" s="12"/>
      <c r="M137" s="12"/>
    </row>
    <row r="138" ht="15.75" customHeight="1">
      <c r="A138" s="10"/>
      <c r="B138" s="10"/>
      <c r="C138" s="12"/>
      <c r="D138" s="12"/>
      <c r="E138" s="12"/>
      <c r="F138" s="12"/>
      <c r="G138" s="12"/>
      <c r="H138" s="349"/>
      <c r="I138" s="12"/>
      <c r="J138" s="12"/>
      <c r="K138" s="12"/>
      <c r="L138" s="12"/>
      <c r="M138" s="12"/>
    </row>
    <row r="139" ht="15.75" customHeight="1">
      <c r="A139" s="10"/>
      <c r="B139" s="10"/>
      <c r="C139" s="12"/>
      <c r="D139" s="12"/>
      <c r="E139" s="12"/>
      <c r="F139" s="12"/>
      <c r="G139" s="12"/>
      <c r="H139" s="349"/>
      <c r="I139" s="12"/>
      <c r="J139" s="12"/>
      <c r="K139" s="12"/>
      <c r="L139" s="12"/>
      <c r="M139" s="12"/>
    </row>
    <row r="140" ht="15.75" customHeight="1">
      <c r="A140" s="10"/>
      <c r="B140" s="10"/>
      <c r="C140" s="12"/>
      <c r="D140" s="12"/>
      <c r="E140" s="12"/>
      <c r="F140" s="12"/>
      <c r="G140" s="12"/>
      <c r="H140" s="349"/>
      <c r="I140" s="12"/>
      <c r="J140" s="12"/>
      <c r="K140" s="12"/>
      <c r="L140" s="12"/>
      <c r="M140" s="12"/>
    </row>
    <row r="141" ht="15.75" customHeight="1">
      <c r="A141" s="10"/>
      <c r="B141" s="10"/>
      <c r="C141" s="12"/>
      <c r="D141" s="12"/>
      <c r="E141" s="12"/>
      <c r="F141" s="12"/>
      <c r="G141" s="12"/>
      <c r="H141" s="349"/>
      <c r="I141" s="12"/>
      <c r="J141" s="12"/>
      <c r="K141" s="12"/>
      <c r="L141" s="12"/>
      <c r="M141" s="12"/>
    </row>
    <row r="142" ht="15.75" customHeight="1">
      <c r="A142" s="10"/>
      <c r="B142" s="10"/>
      <c r="C142" s="12"/>
      <c r="D142" s="12"/>
      <c r="E142" s="12"/>
      <c r="F142" s="12"/>
      <c r="G142" s="12"/>
      <c r="H142" s="349"/>
      <c r="I142" s="12"/>
      <c r="J142" s="12"/>
      <c r="K142" s="12"/>
      <c r="L142" s="12"/>
      <c r="M142" s="12"/>
    </row>
    <row r="143" ht="15.75" customHeight="1">
      <c r="A143" s="10"/>
      <c r="B143" s="10"/>
      <c r="C143" s="12"/>
      <c r="D143" s="12"/>
      <c r="E143" s="12"/>
      <c r="F143" s="12"/>
      <c r="G143" s="12"/>
      <c r="H143" s="349"/>
      <c r="I143" s="12"/>
      <c r="J143" s="12"/>
      <c r="K143" s="12"/>
      <c r="L143" s="12"/>
      <c r="M143" s="12"/>
    </row>
    <row r="144" ht="15.75" customHeight="1">
      <c r="A144" s="10"/>
      <c r="B144" s="10"/>
      <c r="C144" s="12"/>
      <c r="D144" s="12"/>
      <c r="E144" s="12"/>
      <c r="F144" s="12"/>
      <c r="G144" s="12"/>
      <c r="H144" s="349"/>
      <c r="I144" s="12"/>
      <c r="J144" s="12"/>
      <c r="K144" s="12"/>
      <c r="L144" s="12"/>
      <c r="M144" s="12"/>
    </row>
    <row r="145" ht="15.75" customHeight="1">
      <c r="A145" s="10"/>
      <c r="B145" s="10"/>
      <c r="C145" s="12"/>
      <c r="D145" s="12"/>
      <c r="E145" s="12"/>
      <c r="F145" s="12"/>
      <c r="G145" s="12"/>
      <c r="H145" s="349"/>
      <c r="I145" s="12"/>
      <c r="J145" s="12"/>
      <c r="K145" s="12"/>
      <c r="L145" s="12"/>
      <c r="M145" s="12"/>
    </row>
    <row r="146" ht="15.75" customHeight="1">
      <c r="A146" s="10"/>
      <c r="B146" s="10"/>
      <c r="C146" s="12"/>
      <c r="D146" s="12"/>
      <c r="E146" s="12"/>
      <c r="F146" s="12"/>
      <c r="G146" s="12"/>
      <c r="H146" s="349"/>
      <c r="I146" s="12"/>
      <c r="J146" s="12"/>
      <c r="K146" s="12"/>
      <c r="L146" s="12"/>
      <c r="M146" s="12"/>
    </row>
    <row r="147" ht="15.75" customHeight="1">
      <c r="A147" s="10"/>
      <c r="B147" s="10"/>
      <c r="C147" s="12"/>
      <c r="D147" s="12"/>
      <c r="E147" s="12"/>
      <c r="F147" s="12"/>
      <c r="G147" s="12"/>
      <c r="H147" s="349"/>
      <c r="I147" s="12"/>
      <c r="J147" s="12"/>
      <c r="K147" s="12"/>
      <c r="L147" s="12"/>
      <c r="M147" s="12"/>
    </row>
    <row r="148" ht="15.75" customHeight="1">
      <c r="A148" s="10"/>
      <c r="B148" s="10"/>
      <c r="C148" s="12"/>
      <c r="D148" s="12"/>
      <c r="E148" s="12"/>
      <c r="F148" s="12"/>
      <c r="G148" s="12"/>
      <c r="H148" s="349"/>
      <c r="I148" s="12"/>
      <c r="J148" s="12"/>
      <c r="K148" s="12"/>
      <c r="L148" s="12"/>
      <c r="M148" s="12"/>
    </row>
    <row r="149" ht="15.75" customHeight="1">
      <c r="A149" s="10"/>
      <c r="B149" s="10"/>
      <c r="C149" s="12"/>
      <c r="D149" s="12"/>
      <c r="E149" s="12"/>
      <c r="F149" s="12"/>
      <c r="G149" s="12"/>
      <c r="H149" s="349"/>
      <c r="I149" s="12"/>
      <c r="J149" s="12"/>
      <c r="K149" s="12"/>
      <c r="L149" s="12"/>
      <c r="M149" s="12"/>
    </row>
    <row r="150" ht="15.75" customHeight="1">
      <c r="A150" s="10"/>
      <c r="B150" s="10"/>
      <c r="C150" s="12"/>
      <c r="D150" s="12"/>
      <c r="E150" s="12"/>
      <c r="F150" s="12"/>
      <c r="G150" s="12"/>
      <c r="H150" s="349"/>
      <c r="I150" s="12"/>
      <c r="J150" s="12"/>
      <c r="K150" s="12"/>
      <c r="L150" s="12"/>
      <c r="M150" s="12"/>
    </row>
    <row r="151" ht="15.75" customHeight="1">
      <c r="A151" s="10"/>
      <c r="B151" s="10"/>
      <c r="C151" s="12"/>
      <c r="D151" s="12"/>
      <c r="E151" s="12"/>
      <c r="F151" s="12"/>
      <c r="G151" s="12"/>
      <c r="H151" s="349"/>
      <c r="I151" s="12"/>
      <c r="J151" s="12"/>
      <c r="K151" s="12"/>
      <c r="L151" s="12"/>
      <c r="M151" s="12"/>
    </row>
    <row r="152" ht="15.75" customHeight="1">
      <c r="A152" s="10"/>
      <c r="B152" s="10"/>
      <c r="C152" s="12"/>
      <c r="D152" s="12"/>
      <c r="E152" s="12"/>
      <c r="F152" s="12"/>
      <c r="G152" s="12"/>
      <c r="H152" s="349"/>
      <c r="I152" s="12"/>
      <c r="J152" s="12"/>
      <c r="K152" s="12"/>
      <c r="L152" s="12"/>
      <c r="M152" s="12"/>
    </row>
    <row r="153" ht="15.75" customHeight="1">
      <c r="A153" s="10"/>
      <c r="B153" s="10"/>
      <c r="C153" s="12"/>
      <c r="D153" s="12"/>
      <c r="E153" s="12"/>
      <c r="F153" s="12"/>
      <c r="G153" s="12"/>
      <c r="H153" s="349"/>
      <c r="I153" s="12"/>
      <c r="J153" s="12"/>
      <c r="K153" s="12"/>
      <c r="L153" s="12"/>
      <c r="M153" s="12"/>
    </row>
    <row r="154" ht="15.75" customHeight="1">
      <c r="A154" s="10"/>
      <c r="B154" s="10"/>
      <c r="C154" s="12"/>
      <c r="D154" s="12"/>
      <c r="E154" s="12"/>
      <c r="F154" s="12"/>
      <c r="G154" s="12"/>
      <c r="H154" s="349"/>
      <c r="I154" s="12"/>
      <c r="J154" s="12"/>
      <c r="K154" s="12"/>
      <c r="L154" s="12"/>
      <c r="M154" s="12"/>
    </row>
    <row r="155" ht="15.75" customHeight="1">
      <c r="A155" s="10"/>
      <c r="B155" s="10"/>
      <c r="C155" s="12"/>
      <c r="D155" s="12"/>
      <c r="E155" s="12"/>
      <c r="F155" s="12"/>
      <c r="G155" s="12"/>
      <c r="H155" s="349"/>
      <c r="I155" s="12"/>
      <c r="J155" s="12"/>
      <c r="K155" s="12"/>
      <c r="L155" s="12"/>
      <c r="M155" s="12"/>
    </row>
    <row r="156" ht="15.75" customHeight="1">
      <c r="A156" s="10"/>
      <c r="B156" s="10"/>
      <c r="C156" s="12"/>
      <c r="D156" s="12"/>
      <c r="E156" s="12"/>
      <c r="F156" s="12"/>
      <c r="G156" s="12"/>
      <c r="H156" s="349"/>
      <c r="I156" s="12"/>
      <c r="J156" s="12"/>
      <c r="K156" s="12"/>
      <c r="L156" s="12"/>
      <c r="M156" s="12"/>
    </row>
    <row r="157" ht="15.75" customHeight="1">
      <c r="A157" s="10"/>
      <c r="B157" s="10"/>
      <c r="C157" s="12"/>
      <c r="D157" s="12"/>
      <c r="E157" s="12"/>
      <c r="F157" s="12"/>
      <c r="G157" s="12"/>
      <c r="H157" s="349"/>
      <c r="I157" s="12"/>
      <c r="J157" s="12"/>
      <c r="K157" s="12"/>
      <c r="L157" s="12"/>
      <c r="M157" s="12"/>
    </row>
    <row r="158" ht="15.75" customHeight="1">
      <c r="A158" s="10"/>
      <c r="B158" s="10"/>
      <c r="C158" s="12"/>
      <c r="D158" s="12"/>
      <c r="E158" s="12"/>
      <c r="F158" s="12"/>
      <c r="G158" s="12"/>
      <c r="H158" s="349"/>
      <c r="I158" s="12"/>
      <c r="J158" s="12"/>
      <c r="K158" s="12"/>
      <c r="L158" s="12"/>
      <c r="M158" s="12"/>
    </row>
    <row r="159" ht="15.75" customHeight="1">
      <c r="A159" s="10"/>
      <c r="B159" s="10"/>
      <c r="C159" s="12"/>
      <c r="D159" s="12"/>
      <c r="E159" s="12"/>
      <c r="F159" s="12"/>
      <c r="G159" s="12"/>
      <c r="H159" s="349"/>
      <c r="I159" s="12"/>
      <c r="J159" s="12"/>
      <c r="K159" s="12"/>
      <c r="L159" s="12"/>
      <c r="M159" s="12"/>
    </row>
    <row r="160" ht="15.75" customHeight="1">
      <c r="A160" s="10"/>
      <c r="B160" s="10"/>
      <c r="C160" s="12"/>
      <c r="D160" s="12"/>
      <c r="E160" s="12"/>
      <c r="F160" s="12"/>
      <c r="G160" s="12"/>
      <c r="H160" s="349"/>
      <c r="I160" s="12"/>
      <c r="J160" s="12"/>
      <c r="K160" s="12"/>
      <c r="L160" s="12"/>
      <c r="M160" s="12"/>
    </row>
    <row r="161" ht="15.75" customHeight="1">
      <c r="A161" s="10"/>
      <c r="B161" s="10"/>
      <c r="C161" s="12"/>
      <c r="D161" s="12"/>
      <c r="E161" s="12"/>
      <c r="F161" s="12"/>
      <c r="G161" s="12"/>
      <c r="H161" s="349"/>
      <c r="I161" s="12"/>
      <c r="J161" s="12"/>
      <c r="K161" s="12"/>
      <c r="L161" s="12"/>
      <c r="M161" s="12"/>
    </row>
    <row r="162" ht="15.75" customHeight="1">
      <c r="A162" s="10"/>
      <c r="B162" s="10"/>
      <c r="C162" s="12"/>
      <c r="D162" s="12"/>
      <c r="E162" s="12"/>
      <c r="F162" s="12"/>
      <c r="G162" s="12"/>
      <c r="H162" s="349"/>
      <c r="I162" s="12"/>
      <c r="J162" s="12"/>
      <c r="K162" s="12"/>
      <c r="L162" s="12"/>
      <c r="M162" s="12"/>
    </row>
    <row r="163" ht="15.75" customHeight="1">
      <c r="A163" s="10"/>
      <c r="B163" s="10"/>
      <c r="C163" s="12"/>
      <c r="D163" s="12"/>
      <c r="E163" s="12"/>
      <c r="F163" s="12"/>
      <c r="G163" s="12"/>
      <c r="H163" s="349"/>
      <c r="I163" s="12"/>
      <c r="J163" s="12"/>
      <c r="K163" s="12"/>
      <c r="L163" s="12"/>
      <c r="M163" s="12"/>
    </row>
    <row r="164" ht="15.75" customHeight="1">
      <c r="A164" s="10"/>
      <c r="B164" s="10"/>
      <c r="C164" s="12"/>
      <c r="D164" s="12"/>
      <c r="E164" s="12"/>
      <c r="F164" s="12"/>
      <c r="G164" s="12"/>
      <c r="H164" s="349"/>
      <c r="I164" s="12"/>
      <c r="J164" s="12"/>
      <c r="K164" s="12"/>
      <c r="L164" s="12"/>
      <c r="M164" s="12"/>
    </row>
    <row r="165" ht="15.75" customHeight="1">
      <c r="A165" s="10"/>
      <c r="B165" s="10"/>
      <c r="C165" s="12"/>
      <c r="D165" s="12"/>
      <c r="E165" s="12"/>
      <c r="F165" s="12"/>
      <c r="G165" s="12"/>
      <c r="H165" s="349"/>
      <c r="I165" s="12"/>
      <c r="J165" s="12"/>
      <c r="K165" s="12"/>
      <c r="L165" s="12"/>
      <c r="M165" s="12"/>
    </row>
    <row r="166" ht="15.75" customHeight="1">
      <c r="A166" s="10"/>
      <c r="B166" s="10"/>
      <c r="C166" s="12"/>
      <c r="D166" s="12"/>
      <c r="E166" s="12"/>
      <c r="F166" s="12"/>
      <c r="G166" s="12"/>
      <c r="H166" s="349"/>
      <c r="I166" s="12"/>
      <c r="J166" s="12"/>
      <c r="K166" s="12"/>
      <c r="L166" s="12"/>
      <c r="M166" s="12"/>
    </row>
    <row r="167" ht="15.75" customHeight="1">
      <c r="A167" s="10"/>
      <c r="B167" s="10"/>
      <c r="C167" s="12"/>
      <c r="D167" s="12"/>
      <c r="E167" s="12"/>
      <c r="F167" s="12"/>
      <c r="G167" s="12"/>
      <c r="H167" s="349"/>
      <c r="I167" s="12"/>
      <c r="J167" s="12"/>
      <c r="K167" s="12"/>
      <c r="L167" s="12"/>
      <c r="M167" s="12"/>
    </row>
    <row r="168" ht="15.75" customHeight="1">
      <c r="A168" s="10"/>
      <c r="B168" s="10"/>
      <c r="C168" s="12"/>
      <c r="D168" s="12"/>
      <c r="E168" s="12"/>
      <c r="F168" s="12"/>
      <c r="G168" s="12"/>
      <c r="H168" s="349"/>
      <c r="I168" s="12"/>
      <c r="J168" s="12"/>
      <c r="K168" s="12"/>
      <c r="L168" s="12"/>
      <c r="M168" s="12"/>
    </row>
    <row r="169" ht="15.75" customHeight="1">
      <c r="A169" s="10"/>
      <c r="B169" s="10"/>
      <c r="C169" s="12"/>
      <c r="D169" s="12"/>
      <c r="E169" s="12"/>
      <c r="F169" s="12"/>
      <c r="G169" s="12"/>
      <c r="H169" s="349"/>
      <c r="I169" s="12"/>
      <c r="J169" s="12"/>
      <c r="K169" s="12"/>
      <c r="L169" s="12"/>
      <c r="M169" s="12"/>
    </row>
    <row r="170" ht="15.75" customHeight="1">
      <c r="A170" s="10"/>
      <c r="B170" s="10"/>
      <c r="C170" s="12"/>
      <c r="D170" s="12"/>
      <c r="E170" s="12"/>
      <c r="F170" s="12"/>
      <c r="G170" s="12"/>
      <c r="H170" s="349"/>
      <c r="I170" s="12"/>
      <c r="J170" s="12"/>
      <c r="K170" s="12"/>
      <c r="L170" s="12"/>
      <c r="M170" s="12"/>
    </row>
    <row r="171" ht="15.75" customHeight="1">
      <c r="A171" s="10"/>
      <c r="B171" s="10"/>
      <c r="C171" s="12"/>
      <c r="D171" s="12"/>
      <c r="E171" s="12"/>
      <c r="F171" s="12"/>
      <c r="G171" s="12"/>
      <c r="H171" s="349"/>
      <c r="I171" s="12"/>
      <c r="J171" s="12"/>
      <c r="K171" s="12"/>
      <c r="L171" s="12"/>
      <c r="M171" s="12"/>
    </row>
    <row r="172" ht="15.75" customHeight="1">
      <c r="A172" s="10"/>
      <c r="B172" s="10"/>
      <c r="C172" s="12"/>
      <c r="D172" s="12"/>
      <c r="E172" s="12"/>
      <c r="F172" s="12"/>
      <c r="G172" s="12"/>
      <c r="H172" s="349"/>
      <c r="I172" s="12"/>
      <c r="J172" s="12"/>
      <c r="K172" s="12"/>
      <c r="L172" s="12"/>
      <c r="M172" s="12"/>
    </row>
    <row r="173" ht="15.75" customHeight="1">
      <c r="A173" s="10"/>
      <c r="B173" s="10"/>
      <c r="C173" s="12"/>
      <c r="D173" s="12"/>
      <c r="E173" s="12"/>
      <c r="F173" s="12"/>
      <c r="G173" s="12"/>
      <c r="H173" s="349"/>
      <c r="I173" s="12"/>
      <c r="J173" s="12"/>
      <c r="K173" s="12"/>
      <c r="L173" s="12"/>
      <c r="M173" s="12"/>
    </row>
    <row r="174" ht="15.75" customHeight="1">
      <c r="A174" s="10"/>
      <c r="B174" s="10"/>
      <c r="C174" s="12"/>
      <c r="D174" s="12"/>
      <c r="E174" s="12"/>
      <c r="F174" s="12"/>
      <c r="G174" s="12"/>
      <c r="H174" s="349"/>
      <c r="I174" s="12"/>
      <c r="J174" s="12"/>
      <c r="K174" s="12"/>
      <c r="L174" s="12"/>
      <c r="M174" s="12"/>
    </row>
    <row r="175" ht="15.75" customHeight="1">
      <c r="A175" s="10"/>
      <c r="B175" s="10"/>
      <c r="C175" s="12"/>
      <c r="D175" s="12"/>
      <c r="E175" s="12"/>
      <c r="F175" s="12"/>
      <c r="G175" s="12"/>
      <c r="H175" s="349"/>
      <c r="I175" s="12"/>
      <c r="J175" s="12"/>
      <c r="K175" s="12"/>
      <c r="L175" s="12"/>
      <c r="M175" s="12"/>
    </row>
    <row r="176" ht="15.75" customHeight="1">
      <c r="A176" s="10"/>
      <c r="B176" s="10"/>
      <c r="C176" s="12"/>
      <c r="D176" s="12"/>
      <c r="E176" s="12"/>
      <c r="F176" s="12"/>
      <c r="G176" s="12"/>
      <c r="H176" s="349"/>
      <c r="I176" s="12"/>
      <c r="J176" s="12"/>
      <c r="K176" s="12"/>
      <c r="L176" s="12"/>
      <c r="M176" s="12"/>
    </row>
    <row r="177" ht="15.75" customHeight="1">
      <c r="A177" s="10"/>
      <c r="B177" s="10"/>
      <c r="C177" s="12"/>
      <c r="D177" s="12"/>
      <c r="E177" s="12"/>
      <c r="F177" s="12"/>
      <c r="G177" s="12"/>
      <c r="H177" s="349"/>
      <c r="I177" s="12"/>
      <c r="J177" s="12"/>
      <c r="K177" s="12"/>
      <c r="L177" s="12"/>
      <c r="M177" s="12"/>
    </row>
    <row r="178" ht="15.75" customHeight="1">
      <c r="A178" s="10"/>
      <c r="B178" s="10"/>
      <c r="C178" s="12"/>
      <c r="D178" s="12"/>
      <c r="E178" s="12"/>
      <c r="F178" s="12"/>
      <c r="G178" s="12"/>
      <c r="H178" s="349"/>
      <c r="I178" s="12"/>
      <c r="J178" s="12"/>
      <c r="K178" s="12"/>
      <c r="L178" s="12"/>
      <c r="M178" s="12"/>
    </row>
    <row r="179" ht="15.75" customHeight="1">
      <c r="A179" s="10"/>
      <c r="B179" s="10"/>
      <c r="C179" s="12"/>
      <c r="D179" s="12"/>
      <c r="E179" s="12"/>
      <c r="F179" s="12"/>
      <c r="G179" s="12"/>
      <c r="H179" s="349"/>
      <c r="I179" s="12"/>
      <c r="J179" s="12"/>
      <c r="K179" s="12"/>
      <c r="L179" s="12"/>
      <c r="M179" s="12"/>
    </row>
    <row r="180" ht="15.75" customHeight="1">
      <c r="A180" s="10"/>
      <c r="B180" s="10"/>
      <c r="C180" s="12"/>
      <c r="D180" s="12"/>
      <c r="E180" s="12"/>
      <c r="F180" s="12"/>
      <c r="G180" s="12"/>
      <c r="H180" s="349"/>
      <c r="I180" s="12"/>
      <c r="J180" s="12"/>
      <c r="K180" s="12"/>
      <c r="L180" s="12"/>
      <c r="M180" s="12"/>
    </row>
    <row r="181" ht="15.75" customHeight="1">
      <c r="A181" s="10"/>
      <c r="B181" s="10"/>
      <c r="C181" s="12"/>
      <c r="D181" s="12"/>
      <c r="E181" s="12"/>
      <c r="F181" s="12"/>
      <c r="G181" s="12"/>
      <c r="H181" s="349"/>
      <c r="I181" s="12"/>
      <c r="J181" s="12"/>
      <c r="K181" s="12"/>
      <c r="L181" s="12"/>
      <c r="M181" s="12"/>
    </row>
    <row r="182" ht="15.75" customHeight="1">
      <c r="A182" s="10"/>
      <c r="B182" s="10"/>
      <c r="C182" s="12"/>
      <c r="D182" s="12"/>
      <c r="E182" s="12"/>
      <c r="F182" s="12"/>
      <c r="G182" s="12"/>
      <c r="H182" s="349"/>
      <c r="I182" s="12"/>
      <c r="J182" s="12"/>
      <c r="K182" s="12"/>
      <c r="L182" s="12"/>
      <c r="M182" s="12"/>
    </row>
    <row r="183" ht="15.75" customHeight="1">
      <c r="A183" s="10"/>
      <c r="B183" s="10"/>
      <c r="C183" s="12"/>
      <c r="D183" s="12"/>
      <c r="E183" s="12"/>
      <c r="F183" s="12"/>
      <c r="G183" s="12"/>
      <c r="H183" s="349"/>
      <c r="I183" s="12"/>
      <c r="J183" s="12"/>
      <c r="K183" s="12"/>
      <c r="L183" s="12"/>
      <c r="M183" s="12"/>
    </row>
    <row r="184" ht="15.75" customHeight="1">
      <c r="A184" s="10"/>
      <c r="B184" s="10"/>
      <c r="C184" s="12"/>
      <c r="D184" s="12"/>
      <c r="E184" s="12"/>
      <c r="F184" s="12"/>
      <c r="G184" s="12"/>
      <c r="H184" s="349"/>
      <c r="I184" s="12"/>
      <c r="J184" s="12"/>
      <c r="K184" s="12"/>
      <c r="L184" s="12"/>
      <c r="M184" s="12"/>
    </row>
    <row r="185" ht="15.75" customHeight="1">
      <c r="A185" s="10"/>
      <c r="B185" s="10"/>
      <c r="C185" s="12"/>
      <c r="D185" s="12"/>
      <c r="E185" s="12"/>
      <c r="F185" s="12"/>
      <c r="G185" s="12"/>
      <c r="H185" s="349"/>
      <c r="I185" s="12"/>
      <c r="J185" s="12"/>
      <c r="K185" s="12"/>
      <c r="L185" s="12"/>
      <c r="M185" s="12"/>
    </row>
    <row r="186" ht="15.75" customHeight="1">
      <c r="A186" s="10"/>
      <c r="B186" s="10"/>
      <c r="C186" s="12"/>
      <c r="D186" s="12"/>
      <c r="E186" s="12"/>
      <c r="F186" s="12"/>
      <c r="G186" s="12"/>
      <c r="H186" s="349"/>
      <c r="I186" s="12"/>
      <c r="J186" s="12"/>
      <c r="K186" s="12"/>
      <c r="L186" s="12"/>
      <c r="M186" s="12"/>
    </row>
    <row r="187" ht="15.75" customHeight="1">
      <c r="A187" s="10"/>
      <c r="B187" s="10"/>
      <c r="C187" s="12"/>
      <c r="D187" s="12"/>
      <c r="E187" s="12"/>
      <c r="F187" s="12"/>
      <c r="G187" s="12"/>
      <c r="H187" s="349"/>
      <c r="I187" s="12"/>
      <c r="J187" s="12"/>
      <c r="K187" s="12"/>
      <c r="L187" s="12"/>
      <c r="M187" s="12"/>
    </row>
    <row r="188" ht="15.75" customHeight="1">
      <c r="A188" s="10"/>
      <c r="B188" s="10"/>
      <c r="C188" s="12"/>
      <c r="D188" s="12"/>
      <c r="E188" s="12"/>
      <c r="F188" s="12"/>
      <c r="G188" s="12"/>
      <c r="H188" s="349"/>
      <c r="I188" s="12"/>
      <c r="J188" s="12"/>
      <c r="K188" s="12"/>
      <c r="L188" s="12"/>
      <c r="M188" s="12"/>
    </row>
    <row r="189" ht="15.75" customHeight="1">
      <c r="A189" s="10"/>
      <c r="B189" s="10"/>
      <c r="C189" s="12"/>
      <c r="D189" s="12"/>
      <c r="E189" s="12"/>
      <c r="F189" s="12"/>
      <c r="G189" s="12"/>
      <c r="H189" s="349"/>
      <c r="I189" s="12"/>
      <c r="J189" s="12"/>
      <c r="K189" s="12"/>
      <c r="L189" s="12"/>
      <c r="M189" s="12"/>
    </row>
    <row r="190" ht="15.75" customHeight="1">
      <c r="A190" s="10"/>
      <c r="B190" s="10"/>
      <c r="C190" s="12"/>
      <c r="D190" s="12"/>
      <c r="E190" s="12"/>
      <c r="F190" s="12"/>
      <c r="G190" s="12"/>
      <c r="H190" s="349"/>
      <c r="I190" s="12"/>
      <c r="J190" s="12"/>
      <c r="K190" s="12"/>
      <c r="L190" s="12"/>
      <c r="M190" s="12"/>
    </row>
    <row r="191" ht="15.75" customHeight="1">
      <c r="A191" s="10"/>
      <c r="B191" s="10"/>
      <c r="C191" s="12"/>
      <c r="D191" s="12"/>
      <c r="E191" s="12"/>
      <c r="F191" s="12"/>
      <c r="G191" s="12"/>
      <c r="H191" s="349"/>
      <c r="I191" s="12"/>
      <c r="J191" s="12"/>
      <c r="K191" s="12"/>
      <c r="L191" s="12"/>
      <c r="M191" s="12"/>
    </row>
    <row r="192" ht="15.75" customHeight="1">
      <c r="A192" s="10"/>
      <c r="B192" s="10"/>
      <c r="C192" s="12"/>
      <c r="D192" s="12"/>
      <c r="E192" s="12"/>
      <c r="F192" s="12"/>
      <c r="G192" s="12"/>
      <c r="H192" s="349"/>
      <c r="I192" s="12"/>
      <c r="J192" s="12"/>
      <c r="K192" s="12"/>
      <c r="L192" s="12"/>
      <c r="M192" s="12"/>
    </row>
    <row r="193" ht="15.75" customHeight="1">
      <c r="A193" s="10"/>
      <c r="B193" s="10"/>
      <c r="C193" s="12"/>
      <c r="D193" s="12"/>
      <c r="E193" s="12"/>
      <c r="F193" s="12"/>
      <c r="G193" s="12"/>
      <c r="H193" s="349"/>
      <c r="I193" s="12"/>
      <c r="J193" s="12"/>
      <c r="K193" s="12"/>
      <c r="L193" s="12"/>
      <c r="M193" s="12"/>
    </row>
    <row r="194" ht="15.75" customHeight="1">
      <c r="A194" s="10"/>
      <c r="B194" s="10"/>
      <c r="C194" s="12"/>
      <c r="D194" s="12"/>
      <c r="E194" s="12"/>
      <c r="F194" s="12"/>
      <c r="G194" s="12"/>
      <c r="H194" s="349"/>
      <c r="I194" s="12"/>
      <c r="J194" s="12"/>
      <c r="K194" s="12"/>
      <c r="L194" s="12"/>
      <c r="M194" s="12"/>
    </row>
    <row r="195" ht="15.75" customHeight="1">
      <c r="A195" s="10"/>
      <c r="B195" s="10"/>
      <c r="C195" s="12"/>
      <c r="D195" s="12"/>
      <c r="E195" s="12"/>
      <c r="F195" s="12"/>
      <c r="G195" s="12"/>
      <c r="H195" s="349"/>
      <c r="I195" s="12"/>
      <c r="J195" s="12"/>
      <c r="K195" s="12"/>
      <c r="L195" s="12"/>
      <c r="M195" s="12"/>
    </row>
    <row r="196" ht="15.75" customHeight="1">
      <c r="A196" s="10"/>
      <c r="B196" s="10"/>
      <c r="C196" s="12"/>
      <c r="D196" s="12"/>
      <c r="E196" s="12"/>
      <c r="F196" s="12"/>
      <c r="G196" s="12"/>
      <c r="H196" s="349"/>
      <c r="I196" s="12"/>
      <c r="J196" s="12"/>
      <c r="K196" s="12"/>
      <c r="L196" s="12"/>
      <c r="M196" s="12"/>
    </row>
    <row r="197" ht="15.75" customHeight="1">
      <c r="A197" s="10"/>
      <c r="B197" s="10"/>
      <c r="C197" s="12"/>
      <c r="D197" s="12"/>
      <c r="E197" s="12"/>
      <c r="F197" s="12"/>
      <c r="G197" s="12"/>
      <c r="H197" s="349"/>
      <c r="I197" s="12"/>
      <c r="J197" s="12"/>
      <c r="K197" s="12"/>
      <c r="L197" s="12"/>
      <c r="M197" s="12"/>
    </row>
    <row r="198" ht="15.75" customHeight="1">
      <c r="A198" s="10"/>
      <c r="B198" s="10"/>
      <c r="C198" s="12"/>
      <c r="D198" s="12"/>
      <c r="E198" s="12"/>
      <c r="F198" s="12"/>
      <c r="G198" s="12"/>
      <c r="H198" s="349"/>
      <c r="I198" s="12"/>
      <c r="J198" s="12"/>
      <c r="K198" s="12"/>
      <c r="L198" s="12"/>
      <c r="M198" s="12"/>
    </row>
    <row r="199" ht="15.75" customHeight="1">
      <c r="A199" s="10"/>
      <c r="B199" s="10"/>
      <c r="C199" s="12"/>
      <c r="D199" s="12"/>
      <c r="E199" s="12"/>
      <c r="F199" s="12"/>
      <c r="G199" s="12"/>
      <c r="H199" s="349"/>
      <c r="I199" s="12"/>
      <c r="J199" s="12"/>
      <c r="K199" s="12"/>
      <c r="L199" s="12"/>
      <c r="M199" s="12"/>
    </row>
    <row r="200" ht="15.75" customHeight="1">
      <c r="A200" s="10"/>
      <c r="B200" s="10"/>
      <c r="C200" s="12"/>
      <c r="D200" s="12"/>
      <c r="E200" s="12"/>
      <c r="F200" s="12"/>
      <c r="G200" s="12"/>
      <c r="H200" s="349"/>
      <c r="I200" s="12"/>
      <c r="J200" s="12"/>
      <c r="K200" s="12"/>
      <c r="L200" s="12"/>
      <c r="M200" s="12"/>
    </row>
    <row r="201" ht="15.75" customHeight="1">
      <c r="A201" s="10"/>
      <c r="B201" s="10"/>
      <c r="C201" s="12"/>
      <c r="D201" s="12"/>
      <c r="E201" s="12"/>
      <c r="F201" s="12"/>
      <c r="G201" s="12"/>
      <c r="H201" s="349"/>
      <c r="I201" s="12"/>
      <c r="J201" s="12"/>
      <c r="K201" s="12"/>
      <c r="L201" s="12"/>
      <c r="M201" s="12"/>
    </row>
    <row r="202" ht="15.75" customHeight="1">
      <c r="A202" s="10"/>
      <c r="B202" s="10"/>
      <c r="C202" s="12"/>
      <c r="D202" s="12"/>
      <c r="E202" s="12"/>
      <c r="F202" s="12"/>
      <c r="G202" s="12"/>
      <c r="H202" s="349"/>
      <c r="I202" s="12"/>
      <c r="J202" s="12"/>
      <c r="K202" s="12"/>
      <c r="L202" s="12"/>
      <c r="M202" s="12"/>
    </row>
    <row r="203" ht="15.75" customHeight="1">
      <c r="A203" s="10"/>
      <c r="B203" s="10"/>
      <c r="C203" s="12"/>
      <c r="D203" s="12"/>
      <c r="E203" s="12"/>
      <c r="F203" s="12"/>
      <c r="G203" s="12"/>
      <c r="H203" s="349"/>
      <c r="I203" s="12"/>
      <c r="J203" s="12"/>
      <c r="K203" s="12"/>
      <c r="L203" s="12"/>
      <c r="M203" s="12"/>
    </row>
    <row r="204" ht="15.75" customHeight="1">
      <c r="A204" s="10"/>
      <c r="B204" s="10"/>
      <c r="C204" s="12"/>
      <c r="D204" s="12"/>
      <c r="E204" s="12"/>
      <c r="F204" s="12"/>
      <c r="G204" s="12"/>
      <c r="H204" s="349"/>
      <c r="I204" s="12"/>
      <c r="J204" s="12"/>
      <c r="K204" s="12"/>
      <c r="L204" s="12"/>
      <c r="M204" s="12"/>
    </row>
    <row r="205" ht="15.75" customHeight="1">
      <c r="A205" s="10"/>
      <c r="B205" s="10"/>
      <c r="C205" s="12"/>
      <c r="D205" s="12"/>
      <c r="E205" s="12"/>
      <c r="F205" s="12"/>
      <c r="G205" s="12"/>
      <c r="H205" s="349"/>
      <c r="I205" s="12"/>
      <c r="J205" s="12"/>
      <c r="K205" s="12"/>
      <c r="L205" s="12"/>
      <c r="M205" s="12"/>
    </row>
    <row r="206" ht="15.75" customHeight="1">
      <c r="A206" s="10"/>
      <c r="B206" s="10"/>
      <c r="C206" s="12"/>
      <c r="D206" s="12"/>
      <c r="E206" s="12"/>
      <c r="F206" s="12"/>
      <c r="G206" s="12"/>
      <c r="H206" s="349"/>
      <c r="I206" s="12"/>
      <c r="J206" s="12"/>
      <c r="K206" s="12"/>
      <c r="L206" s="12"/>
      <c r="M206" s="12"/>
    </row>
    <row r="207" ht="15.75" customHeight="1">
      <c r="A207" s="10"/>
      <c r="B207" s="10"/>
      <c r="C207" s="12"/>
      <c r="D207" s="12"/>
      <c r="E207" s="12"/>
      <c r="F207" s="12"/>
      <c r="G207" s="12"/>
      <c r="H207" s="349"/>
      <c r="I207" s="12"/>
      <c r="J207" s="12"/>
      <c r="K207" s="12"/>
      <c r="L207" s="12"/>
      <c r="M207" s="12"/>
    </row>
    <row r="208" ht="15.75" customHeight="1">
      <c r="A208" s="10"/>
      <c r="B208" s="10"/>
      <c r="C208" s="12"/>
      <c r="D208" s="12"/>
      <c r="E208" s="12"/>
      <c r="F208" s="12"/>
      <c r="G208" s="12"/>
      <c r="H208" s="349"/>
      <c r="I208" s="12"/>
      <c r="J208" s="12"/>
      <c r="K208" s="12"/>
      <c r="L208" s="12"/>
      <c r="M208" s="12"/>
    </row>
    <row r="209" ht="15.75" customHeight="1">
      <c r="A209" s="10"/>
      <c r="B209" s="10"/>
      <c r="C209" s="12"/>
      <c r="D209" s="12"/>
      <c r="E209" s="12"/>
      <c r="F209" s="12"/>
      <c r="G209" s="12"/>
      <c r="H209" s="349"/>
      <c r="I209" s="12"/>
      <c r="J209" s="12"/>
      <c r="K209" s="12"/>
      <c r="L209" s="12"/>
      <c r="M209" s="12"/>
    </row>
    <row r="210" ht="15.75" customHeight="1">
      <c r="A210" s="10"/>
      <c r="B210" s="10"/>
      <c r="C210" s="12"/>
      <c r="D210" s="12"/>
      <c r="E210" s="12"/>
      <c r="F210" s="12"/>
      <c r="G210" s="12"/>
      <c r="H210" s="349"/>
      <c r="I210" s="12"/>
      <c r="J210" s="12"/>
      <c r="K210" s="12"/>
      <c r="L210" s="12"/>
      <c r="M210" s="12"/>
    </row>
    <row r="211" ht="15.75" customHeight="1">
      <c r="A211" s="10"/>
      <c r="B211" s="10"/>
      <c r="C211" s="12"/>
      <c r="D211" s="12"/>
      <c r="E211" s="12"/>
      <c r="F211" s="12"/>
      <c r="G211" s="12"/>
      <c r="H211" s="349"/>
      <c r="I211" s="12"/>
      <c r="J211" s="12"/>
      <c r="K211" s="12"/>
      <c r="L211" s="12"/>
      <c r="M211" s="12"/>
    </row>
    <row r="212" ht="15.75" customHeight="1">
      <c r="A212" s="10"/>
      <c r="B212" s="10"/>
      <c r="C212" s="12"/>
      <c r="D212" s="12"/>
      <c r="E212" s="12"/>
      <c r="F212" s="12"/>
      <c r="G212" s="12"/>
      <c r="H212" s="349"/>
      <c r="I212" s="12"/>
      <c r="J212" s="12"/>
      <c r="K212" s="12"/>
      <c r="L212" s="12"/>
      <c r="M212" s="12"/>
    </row>
    <row r="213" ht="15.75" customHeight="1">
      <c r="A213" s="10"/>
      <c r="B213" s="10"/>
      <c r="C213" s="12"/>
      <c r="D213" s="12"/>
      <c r="E213" s="12"/>
      <c r="F213" s="12"/>
      <c r="G213" s="12"/>
      <c r="H213" s="349"/>
      <c r="I213" s="12"/>
      <c r="J213" s="12"/>
      <c r="K213" s="12"/>
      <c r="L213" s="12"/>
      <c r="M213" s="12"/>
    </row>
    <row r="214" ht="15.75" customHeight="1">
      <c r="A214" s="10"/>
      <c r="B214" s="10"/>
      <c r="C214" s="12"/>
      <c r="D214" s="12"/>
      <c r="E214" s="12"/>
      <c r="F214" s="12"/>
      <c r="G214" s="12"/>
      <c r="H214" s="349"/>
      <c r="I214" s="12"/>
      <c r="J214" s="12"/>
      <c r="K214" s="12"/>
      <c r="L214" s="12"/>
      <c r="M214" s="12"/>
    </row>
    <row r="215" ht="15.75" customHeight="1">
      <c r="A215" s="10"/>
      <c r="B215" s="10"/>
      <c r="C215" s="12"/>
      <c r="D215" s="12"/>
      <c r="E215" s="12"/>
      <c r="F215" s="12"/>
      <c r="G215" s="12"/>
      <c r="H215" s="349"/>
      <c r="I215" s="12"/>
      <c r="J215" s="12"/>
      <c r="K215" s="12"/>
      <c r="L215" s="12"/>
      <c r="M215" s="12"/>
    </row>
    <row r="216" ht="15.75" customHeight="1">
      <c r="A216" s="10"/>
      <c r="B216" s="10"/>
      <c r="C216" s="12"/>
      <c r="D216" s="12"/>
      <c r="E216" s="12"/>
      <c r="F216" s="12"/>
      <c r="G216" s="12"/>
      <c r="H216" s="349"/>
      <c r="I216" s="12"/>
      <c r="J216" s="12"/>
      <c r="K216" s="12"/>
      <c r="L216" s="12"/>
      <c r="M216" s="12"/>
    </row>
    <row r="217" ht="15.75" customHeight="1">
      <c r="A217" s="10"/>
      <c r="B217" s="10"/>
      <c r="C217" s="12"/>
      <c r="D217" s="12"/>
      <c r="E217" s="12"/>
      <c r="F217" s="12"/>
      <c r="G217" s="12"/>
      <c r="H217" s="349"/>
      <c r="I217" s="12"/>
      <c r="J217" s="12"/>
      <c r="K217" s="12"/>
      <c r="L217" s="12"/>
      <c r="M217" s="12"/>
    </row>
    <row r="218" ht="15.75" customHeight="1">
      <c r="A218" s="10"/>
      <c r="B218" s="10"/>
      <c r="C218" s="12"/>
      <c r="D218" s="12"/>
      <c r="E218" s="12"/>
      <c r="F218" s="12"/>
      <c r="G218" s="12"/>
      <c r="H218" s="349"/>
      <c r="I218" s="12"/>
      <c r="J218" s="12"/>
      <c r="K218" s="12"/>
      <c r="L218" s="12"/>
      <c r="M218" s="12"/>
    </row>
    <row r="219" ht="15.75" customHeight="1">
      <c r="A219" s="10"/>
      <c r="B219" s="10"/>
      <c r="C219" s="12"/>
      <c r="D219" s="12"/>
      <c r="E219" s="12"/>
      <c r="F219" s="12"/>
      <c r="G219" s="12"/>
      <c r="H219" s="349"/>
      <c r="I219" s="12"/>
      <c r="J219" s="12"/>
      <c r="K219" s="12"/>
      <c r="L219" s="12"/>
      <c r="M219" s="12"/>
    </row>
    <row r="220" ht="15.75" customHeight="1">
      <c r="A220" s="10"/>
      <c r="B220" s="10"/>
      <c r="C220" s="12"/>
      <c r="D220" s="12"/>
      <c r="E220" s="12"/>
      <c r="F220" s="12"/>
      <c r="G220" s="12"/>
      <c r="H220" s="349"/>
      <c r="I220" s="12"/>
      <c r="J220" s="12"/>
      <c r="K220" s="12"/>
      <c r="L220" s="12"/>
      <c r="M220" s="12"/>
    </row>
    <row r="221" ht="15.75" customHeight="1">
      <c r="A221" s="10"/>
      <c r="B221" s="10"/>
      <c r="C221" s="12"/>
      <c r="D221" s="12"/>
      <c r="E221" s="12"/>
      <c r="F221" s="12"/>
      <c r="G221" s="12"/>
      <c r="H221" s="349"/>
      <c r="I221" s="12"/>
      <c r="J221" s="12"/>
      <c r="K221" s="12"/>
      <c r="L221" s="12"/>
      <c r="M221" s="12"/>
    </row>
    <row r="222" ht="15.75" customHeight="1">
      <c r="A222" s="10"/>
      <c r="B222" s="10"/>
      <c r="C222" s="12"/>
      <c r="D222" s="12"/>
      <c r="E222" s="12"/>
      <c r="F222" s="12"/>
      <c r="G222" s="12"/>
      <c r="H222" s="349"/>
      <c r="I222" s="12"/>
      <c r="J222" s="12"/>
      <c r="K222" s="12"/>
      <c r="L222" s="12"/>
      <c r="M222" s="12"/>
    </row>
    <row r="223" ht="15.75" customHeight="1">
      <c r="A223" s="10"/>
      <c r="B223" s="10"/>
      <c r="C223" s="12"/>
      <c r="D223" s="12"/>
      <c r="E223" s="12"/>
      <c r="F223" s="12"/>
      <c r="G223" s="12"/>
      <c r="H223" s="349"/>
      <c r="I223" s="12"/>
      <c r="J223" s="12"/>
      <c r="K223" s="12"/>
      <c r="L223" s="12"/>
      <c r="M223" s="12"/>
    </row>
    <row r="224" ht="15.75" customHeight="1">
      <c r="A224" s="10"/>
      <c r="B224" s="10"/>
      <c r="C224" s="12"/>
      <c r="D224" s="12"/>
      <c r="E224" s="12"/>
      <c r="F224" s="12"/>
      <c r="G224" s="12"/>
      <c r="H224" s="349"/>
      <c r="I224" s="12"/>
      <c r="J224" s="12"/>
      <c r="K224" s="12"/>
      <c r="L224" s="12"/>
      <c r="M224" s="12"/>
    </row>
    <row r="225" ht="15.75" customHeight="1">
      <c r="A225" s="10"/>
      <c r="B225" s="10"/>
      <c r="C225" s="12"/>
      <c r="D225" s="12"/>
      <c r="E225" s="12"/>
      <c r="F225" s="12"/>
      <c r="G225" s="12"/>
      <c r="H225" s="349"/>
      <c r="I225" s="12"/>
      <c r="J225" s="12"/>
      <c r="K225" s="12"/>
      <c r="L225" s="12"/>
      <c r="M225" s="12"/>
    </row>
    <row r="226" ht="15.75" customHeight="1">
      <c r="A226" s="10"/>
      <c r="B226" s="10"/>
      <c r="C226" s="12"/>
      <c r="D226" s="12"/>
      <c r="E226" s="12"/>
      <c r="F226" s="12"/>
      <c r="G226" s="12"/>
      <c r="H226" s="349"/>
      <c r="I226" s="12"/>
      <c r="J226" s="12"/>
      <c r="K226" s="12"/>
      <c r="L226" s="12"/>
      <c r="M226" s="12"/>
    </row>
    <row r="227" ht="15.75" customHeight="1">
      <c r="A227" s="10"/>
      <c r="B227" s="10"/>
      <c r="C227" s="12"/>
      <c r="D227" s="12"/>
      <c r="E227" s="12"/>
      <c r="F227" s="12"/>
      <c r="G227" s="12"/>
      <c r="H227" s="349"/>
      <c r="I227" s="12"/>
      <c r="J227" s="12"/>
      <c r="K227" s="12"/>
      <c r="L227" s="12"/>
      <c r="M227" s="12"/>
    </row>
    <row r="228" ht="15.75" customHeight="1">
      <c r="A228" s="10"/>
      <c r="B228" s="10"/>
      <c r="C228" s="12"/>
      <c r="D228" s="12"/>
      <c r="E228" s="12"/>
      <c r="F228" s="12"/>
      <c r="G228" s="12"/>
      <c r="H228" s="349"/>
      <c r="I228" s="12"/>
      <c r="J228" s="12"/>
      <c r="K228" s="12"/>
      <c r="L228" s="12"/>
      <c r="M228" s="12"/>
    </row>
    <row r="229" ht="15.75" customHeight="1">
      <c r="A229" s="10"/>
      <c r="B229" s="10"/>
      <c r="C229" s="12"/>
      <c r="D229" s="12"/>
      <c r="E229" s="12"/>
      <c r="F229" s="12"/>
      <c r="G229" s="12"/>
      <c r="H229" s="349"/>
      <c r="I229" s="12"/>
      <c r="J229" s="12"/>
      <c r="K229" s="12"/>
      <c r="L229" s="12"/>
      <c r="M229" s="12"/>
    </row>
    <row r="230" ht="15.75" customHeight="1">
      <c r="A230" s="10"/>
      <c r="B230" s="10"/>
      <c r="C230" s="12"/>
      <c r="D230" s="12"/>
      <c r="E230" s="12"/>
      <c r="F230" s="12"/>
      <c r="G230" s="12"/>
      <c r="H230" s="349"/>
      <c r="I230" s="12"/>
      <c r="J230" s="12"/>
      <c r="K230" s="12"/>
      <c r="L230" s="12"/>
      <c r="M230" s="12"/>
    </row>
    <row r="231" ht="15.75" customHeight="1">
      <c r="A231" s="10"/>
      <c r="B231" s="10"/>
      <c r="C231" s="12"/>
      <c r="D231" s="12"/>
      <c r="E231" s="12"/>
      <c r="F231" s="12"/>
      <c r="G231" s="12"/>
      <c r="H231" s="349"/>
      <c r="I231" s="12"/>
      <c r="J231" s="12"/>
      <c r="K231" s="12"/>
      <c r="L231" s="12"/>
      <c r="M231" s="12"/>
    </row>
    <row r="232" ht="15.75" customHeight="1">
      <c r="A232" s="10"/>
      <c r="B232" s="10"/>
      <c r="C232" s="12"/>
      <c r="D232" s="12"/>
      <c r="E232" s="12"/>
      <c r="F232" s="12"/>
      <c r="G232" s="12"/>
      <c r="H232" s="349"/>
      <c r="I232" s="12"/>
      <c r="J232" s="12"/>
      <c r="K232" s="12"/>
      <c r="L232" s="12"/>
      <c r="M232" s="12"/>
    </row>
    <row r="233" ht="15.75" customHeight="1">
      <c r="A233" s="10"/>
      <c r="B233" s="10"/>
      <c r="C233" s="12"/>
      <c r="D233" s="12"/>
      <c r="E233" s="12"/>
      <c r="F233" s="12"/>
      <c r="G233" s="12"/>
      <c r="H233" s="349"/>
      <c r="I233" s="12"/>
      <c r="J233" s="12"/>
      <c r="K233" s="12"/>
      <c r="L233" s="12"/>
      <c r="M233" s="12"/>
    </row>
    <row r="234" ht="15.75" customHeight="1">
      <c r="A234" s="10"/>
      <c r="B234" s="10"/>
      <c r="C234" s="12"/>
      <c r="D234" s="12"/>
      <c r="E234" s="12"/>
      <c r="F234" s="12"/>
      <c r="G234" s="12"/>
      <c r="H234" s="349"/>
      <c r="I234" s="12"/>
      <c r="J234" s="12"/>
      <c r="K234" s="12"/>
      <c r="L234" s="12"/>
      <c r="M234" s="12"/>
    </row>
    <row r="235" ht="15.75" customHeight="1">
      <c r="A235" s="10"/>
      <c r="B235" s="10"/>
      <c r="C235" s="12"/>
      <c r="D235" s="12"/>
      <c r="E235" s="12"/>
      <c r="F235" s="12"/>
      <c r="G235" s="12"/>
      <c r="H235" s="349"/>
      <c r="I235" s="12"/>
      <c r="J235" s="12"/>
      <c r="K235" s="12"/>
      <c r="L235" s="12"/>
      <c r="M235" s="12"/>
    </row>
    <row r="236" ht="15.75" customHeight="1">
      <c r="A236" s="10"/>
      <c r="B236" s="10"/>
      <c r="C236" s="12"/>
      <c r="D236" s="12"/>
      <c r="E236" s="12"/>
      <c r="F236" s="12"/>
      <c r="G236" s="12"/>
      <c r="H236" s="349"/>
      <c r="I236" s="12"/>
      <c r="J236" s="12"/>
      <c r="K236" s="12"/>
      <c r="L236" s="12"/>
      <c r="M236" s="12"/>
    </row>
    <row r="237" ht="15.75" customHeight="1">
      <c r="A237" s="10"/>
      <c r="B237" s="10"/>
      <c r="C237" s="12"/>
      <c r="D237" s="12"/>
      <c r="E237" s="12"/>
      <c r="F237" s="12"/>
      <c r="G237" s="12"/>
      <c r="H237" s="349"/>
      <c r="I237" s="12"/>
      <c r="J237" s="12"/>
      <c r="K237" s="12"/>
      <c r="L237" s="12"/>
      <c r="M237" s="12"/>
    </row>
    <row r="238" ht="15.75" customHeight="1">
      <c r="A238" s="10"/>
      <c r="B238" s="10"/>
      <c r="C238" s="12"/>
      <c r="D238" s="12"/>
      <c r="E238" s="12"/>
      <c r="F238" s="12"/>
      <c r="G238" s="12"/>
      <c r="H238" s="349"/>
      <c r="I238" s="12"/>
      <c r="J238" s="12"/>
      <c r="K238" s="12"/>
      <c r="L238" s="12"/>
      <c r="M238" s="12"/>
    </row>
    <row r="239" ht="15.75" customHeight="1">
      <c r="A239" s="10"/>
      <c r="B239" s="10"/>
      <c r="C239" s="12"/>
      <c r="D239" s="12"/>
      <c r="E239" s="12"/>
      <c r="F239" s="12"/>
      <c r="G239" s="12"/>
      <c r="H239" s="349"/>
      <c r="I239" s="12"/>
      <c r="J239" s="12"/>
      <c r="K239" s="12"/>
      <c r="L239" s="12"/>
      <c r="M239" s="12"/>
    </row>
    <row r="240" ht="15.75" customHeight="1">
      <c r="A240" s="10"/>
      <c r="B240" s="10"/>
      <c r="C240" s="12"/>
      <c r="D240" s="12"/>
      <c r="E240" s="12"/>
      <c r="F240" s="12"/>
      <c r="G240" s="12"/>
      <c r="H240" s="349"/>
      <c r="I240" s="12"/>
      <c r="J240" s="12"/>
      <c r="K240" s="12"/>
      <c r="L240" s="12"/>
      <c r="M240" s="12"/>
    </row>
    <row r="241" ht="15.75" customHeight="1">
      <c r="A241" s="10"/>
      <c r="B241" s="10"/>
      <c r="C241" s="12"/>
      <c r="D241" s="12"/>
      <c r="E241" s="12"/>
      <c r="F241" s="12"/>
      <c r="G241" s="12"/>
      <c r="H241" s="349"/>
      <c r="I241" s="12"/>
      <c r="J241" s="12"/>
      <c r="K241" s="12"/>
      <c r="L241" s="12"/>
      <c r="M241" s="12"/>
    </row>
    <row r="242" ht="15.75" customHeight="1">
      <c r="A242" s="10"/>
      <c r="B242" s="10"/>
      <c r="C242" s="12"/>
      <c r="D242" s="12"/>
      <c r="E242" s="12"/>
      <c r="F242" s="12"/>
      <c r="G242" s="12"/>
      <c r="H242" s="349"/>
      <c r="I242" s="12"/>
      <c r="J242" s="12"/>
      <c r="K242" s="12"/>
      <c r="L242" s="12"/>
      <c r="M242" s="12"/>
    </row>
    <row r="243" ht="15.75" customHeight="1">
      <c r="A243" s="10"/>
      <c r="B243" s="10"/>
      <c r="C243" s="12"/>
      <c r="D243" s="12"/>
      <c r="E243" s="12"/>
      <c r="F243" s="12"/>
      <c r="G243" s="12"/>
      <c r="H243" s="349"/>
      <c r="I243" s="12"/>
      <c r="J243" s="12"/>
      <c r="K243" s="12"/>
      <c r="L243" s="12"/>
      <c r="M243" s="12"/>
    </row>
    <row r="244" ht="15.75" customHeight="1">
      <c r="A244" s="10"/>
      <c r="B244" s="10"/>
      <c r="C244" s="12"/>
      <c r="D244" s="12"/>
      <c r="E244" s="12"/>
      <c r="F244" s="12"/>
      <c r="G244" s="12"/>
      <c r="H244" s="349"/>
      <c r="I244" s="12"/>
      <c r="J244" s="12"/>
      <c r="K244" s="12"/>
      <c r="L244" s="12"/>
      <c r="M244" s="12"/>
    </row>
    <row r="245" ht="15.75" customHeight="1">
      <c r="A245" s="10"/>
      <c r="B245" s="10"/>
      <c r="C245" s="12"/>
      <c r="D245" s="12"/>
      <c r="E245" s="12"/>
      <c r="F245" s="12"/>
      <c r="G245" s="12"/>
      <c r="H245" s="349"/>
      <c r="I245" s="12"/>
      <c r="J245" s="12"/>
      <c r="K245" s="12"/>
      <c r="L245" s="12"/>
      <c r="M245" s="12"/>
    </row>
    <row r="246" ht="15.75" customHeight="1">
      <c r="A246" s="10"/>
      <c r="B246" s="10"/>
      <c r="C246" s="12"/>
      <c r="D246" s="12"/>
      <c r="E246" s="12"/>
      <c r="F246" s="12"/>
      <c r="G246" s="12"/>
      <c r="H246" s="349"/>
      <c r="I246" s="12"/>
      <c r="J246" s="12"/>
      <c r="K246" s="12"/>
      <c r="L246" s="12"/>
      <c r="M246" s="12"/>
    </row>
    <row r="247" ht="15.75" customHeight="1">
      <c r="A247" s="10"/>
      <c r="B247" s="10"/>
      <c r="C247" s="12"/>
      <c r="D247" s="12"/>
      <c r="E247" s="12"/>
      <c r="F247" s="12"/>
      <c r="G247" s="12"/>
      <c r="H247" s="349"/>
      <c r="I247" s="12"/>
      <c r="J247" s="12"/>
      <c r="K247" s="12"/>
      <c r="L247" s="12"/>
      <c r="M247" s="12"/>
    </row>
    <row r="248" ht="15.75" customHeight="1">
      <c r="A248" s="10"/>
      <c r="B248" s="10"/>
      <c r="C248" s="12"/>
      <c r="D248" s="12"/>
      <c r="E248" s="12"/>
      <c r="F248" s="12"/>
      <c r="G248" s="12"/>
      <c r="H248" s="349"/>
      <c r="I248" s="12"/>
      <c r="J248" s="12"/>
      <c r="K248" s="12"/>
      <c r="L248" s="12"/>
      <c r="M248" s="12"/>
    </row>
    <row r="249" ht="15.75" customHeight="1">
      <c r="A249" s="10"/>
      <c r="B249" s="10"/>
      <c r="C249" s="12"/>
      <c r="D249" s="12"/>
      <c r="E249" s="12"/>
      <c r="F249" s="12"/>
      <c r="G249" s="12"/>
      <c r="H249" s="349"/>
      <c r="I249" s="12"/>
      <c r="J249" s="12"/>
      <c r="K249" s="12"/>
      <c r="L249" s="12"/>
      <c r="M249" s="12"/>
    </row>
    <row r="250" ht="15.75" customHeight="1">
      <c r="A250" s="10"/>
      <c r="B250" s="10"/>
      <c r="C250" s="12"/>
      <c r="D250" s="12"/>
      <c r="E250" s="12"/>
      <c r="F250" s="12"/>
      <c r="G250" s="12"/>
      <c r="H250" s="349"/>
      <c r="I250" s="12"/>
      <c r="J250" s="12"/>
      <c r="K250" s="12"/>
      <c r="L250" s="12"/>
      <c r="M250" s="12"/>
    </row>
    <row r="251" ht="15.75" customHeight="1">
      <c r="A251" s="10"/>
      <c r="B251" s="10"/>
      <c r="C251" s="12"/>
      <c r="D251" s="12"/>
      <c r="E251" s="12"/>
      <c r="F251" s="12"/>
      <c r="G251" s="12"/>
      <c r="H251" s="349"/>
      <c r="I251" s="12"/>
      <c r="J251" s="12"/>
      <c r="K251" s="12"/>
      <c r="L251" s="12"/>
      <c r="M251" s="12"/>
    </row>
    <row r="252" ht="15.75" customHeight="1">
      <c r="A252" s="10"/>
      <c r="B252" s="10"/>
      <c r="C252" s="12"/>
      <c r="D252" s="12"/>
      <c r="E252" s="12"/>
      <c r="F252" s="12"/>
      <c r="G252" s="12"/>
      <c r="H252" s="349"/>
      <c r="I252" s="12"/>
      <c r="J252" s="12"/>
      <c r="K252" s="12"/>
      <c r="L252" s="12"/>
      <c r="M252" s="12"/>
    </row>
    <row r="253" ht="15.75" customHeight="1">
      <c r="A253" s="10"/>
      <c r="B253" s="10"/>
      <c r="C253" s="12"/>
      <c r="D253" s="12"/>
      <c r="E253" s="12"/>
      <c r="F253" s="12"/>
      <c r="G253" s="12"/>
      <c r="H253" s="349"/>
      <c r="I253" s="12"/>
      <c r="J253" s="12"/>
      <c r="K253" s="12"/>
      <c r="L253" s="12"/>
      <c r="M253" s="12"/>
    </row>
    <row r="254" ht="15.75" customHeight="1">
      <c r="A254" s="10"/>
      <c r="B254" s="10"/>
      <c r="C254" s="12"/>
      <c r="D254" s="12"/>
      <c r="E254" s="12"/>
      <c r="F254" s="12"/>
      <c r="G254" s="12"/>
      <c r="H254" s="349"/>
      <c r="I254" s="12"/>
      <c r="J254" s="12"/>
      <c r="K254" s="12"/>
      <c r="L254" s="12"/>
      <c r="M254" s="12"/>
    </row>
    <row r="255" ht="15.75" customHeight="1">
      <c r="A255" s="10"/>
      <c r="B255" s="10"/>
      <c r="C255" s="12"/>
      <c r="D255" s="12"/>
      <c r="E255" s="12"/>
      <c r="F255" s="12"/>
      <c r="G255" s="12"/>
      <c r="H255" s="349"/>
      <c r="I255" s="12"/>
      <c r="J255" s="12"/>
      <c r="K255" s="12"/>
      <c r="L255" s="12"/>
      <c r="M255" s="12"/>
    </row>
    <row r="256" ht="15.75" customHeight="1">
      <c r="A256" s="10"/>
      <c r="B256" s="10"/>
      <c r="C256" s="12"/>
      <c r="D256" s="12"/>
      <c r="E256" s="12"/>
      <c r="F256" s="12"/>
      <c r="G256" s="12"/>
      <c r="H256" s="349"/>
      <c r="I256" s="12"/>
      <c r="J256" s="12"/>
      <c r="K256" s="12"/>
      <c r="L256" s="12"/>
      <c r="M256" s="12"/>
    </row>
    <row r="257" ht="15.75" customHeight="1">
      <c r="A257" s="10"/>
      <c r="B257" s="10"/>
      <c r="C257" s="12"/>
      <c r="D257" s="12"/>
      <c r="E257" s="12"/>
      <c r="F257" s="12"/>
      <c r="G257" s="12"/>
      <c r="H257" s="349"/>
      <c r="I257" s="12"/>
      <c r="J257" s="12"/>
      <c r="K257" s="12"/>
      <c r="L257" s="12"/>
      <c r="M257" s="12"/>
    </row>
    <row r="258" ht="15.75" customHeight="1">
      <c r="A258" s="10"/>
      <c r="B258" s="10"/>
      <c r="C258" s="12"/>
      <c r="D258" s="12"/>
      <c r="E258" s="12"/>
      <c r="F258" s="12"/>
      <c r="G258" s="12"/>
      <c r="H258" s="349"/>
      <c r="I258" s="12"/>
      <c r="J258" s="12"/>
      <c r="K258" s="12"/>
      <c r="L258" s="12"/>
      <c r="M258" s="12"/>
    </row>
    <row r="259" ht="15.75" customHeight="1">
      <c r="A259" s="10"/>
      <c r="B259" s="10"/>
      <c r="C259" s="12"/>
      <c r="D259" s="12"/>
      <c r="E259" s="12"/>
      <c r="F259" s="12"/>
      <c r="G259" s="12"/>
      <c r="H259" s="349"/>
      <c r="I259" s="12"/>
      <c r="J259" s="12"/>
      <c r="K259" s="12"/>
      <c r="L259" s="12"/>
      <c r="M259" s="12"/>
    </row>
    <row r="260" ht="15.75" customHeight="1">
      <c r="A260" s="10"/>
      <c r="B260" s="10"/>
      <c r="C260" s="12"/>
      <c r="D260" s="12"/>
      <c r="E260" s="12"/>
      <c r="F260" s="12"/>
      <c r="G260" s="12"/>
      <c r="H260" s="349"/>
      <c r="I260" s="12"/>
      <c r="J260" s="12"/>
      <c r="K260" s="12"/>
      <c r="L260" s="12"/>
      <c r="M260" s="12"/>
    </row>
    <row r="261" ht="15.75" customHeight="1">
      <c r="A261" s="10"/>
      <c r="B261" s="10"/>
      <c r="C261" s="12"/>
      <c r="D261" s="12"/>
      <c r="E261" s="12"/>
      <c r="F261" s="12"/>
      <c r="G261" s="12"/>
      <c r="H261" s="349"/>
      <c r="I261" s="12"/>
      <c r="J261" s="12"/>
      <c r="K261" s="12"/>
      <c r="L261" s="12"/>
      <c r="M261" s="12"/>
    </row>
    <row r="262" ht="15.75" customHeight="1">
      <c r="A262" s="10"/>
      <c r="B262" s="10"/>
      <c r="C262" s="12"/>
      <c r="D262" s="12"/>
      <c r="E262" s="12"/>
      <c r="F262" s="12"/>
      <c r="G262" s="12"/>
      <c r="H262" s="349"/>
      <c r="I262" s="12"/>
      <c r="J262" s="12"/>
      <c r="K262" s="12"/>
      <c r="L262" s="12"/>
      <c r="M262" s="12"/>
    </row>
    <row r="263" ht="15.75" customHeight="1">
      <c r="A263" s="10"/>
      <c r="B263" s="10"/>
      <c r="C263" s="12"/>
      <c r="D263" s="12"/>
      <c r="E263" s="12"/>
      <c r="F263" s="12"/>
      <c r="G263" s="12"/>
      <c r="H263" s="349"/>
      <c r="I263" s="12"/>
      <c r="J263" s="12"/>
      <c r="K263" s="12"/>
      <c r="L263" s="12"/>
      <c r="M263" s="12"/>
    </row>
    <row r="264" ht="15.75" customHeight="1">
      <c r="A264" s="10"/>
      <c r="B264" s="10"/>
      <c r="C264" s="12"/>
      <c r="D264" s="12"/>
      <c r="E264" s="12"/>
      <c r="F264" s="12"/>
      <c r="G264" s="12"/>
      <c r="H264" s="349"/>
      <c r="I264" s="12"/>
      <c r="J264" s="12"/>
      <c r="K264" s="12"/>
      <c r="L264" s="12"/>
      <c r="M264" s="12"/>
    </row>
    <row r="265" ht="15.75" customHeight="1">
      <c r="A265" s="10"/>
      <c r="B265" s="10"/>
      <c r="C265" s="12"/>
      <c r="D265" s="12"/>
      <c r="E265" s="12"/>
      <c r="F265" s="12"/>
      <c r="G265" s="12"/>
      <c r="H265" s="349"/>
      <c r="I265" s="12"/>
      <c r="J265" s="12"/>
      <c r="K265" s="12"/>
      <c r="L265" s="12"/>
      <c r="M265" s="12"/>
    </row>
    <row r="266" ht="15.75" customHeight="1">
      <c r="A266" s="10"/>
      <c r="B266" s="10"/>
      <c r="C266" s="12"/>
      <c r="D266" s="12"/>
      <c r="E266" s="12"/>
      <c r="F266" s="12"/>
      <c r="G266" s="12"/>
      <c r="H266" s="349"/>
      <c r="I266" s="12"/>
      <c r="J266" s="12"/>
      <c r="K266" s="12"/>
      <c r="L266" s="12"/>
      <c r="M266" s="12"/>
    </row>
    <row r="267" ht="15.75" customHeight="1">
      <c r="A267" s="10"/>
      <c r="B267" s="10"/>
      <c r="C267" s="12"/>
      <c r="D267" s="12"/>
      <c r="E267" s="12"/>
      <c r="F267" s="12"/>
      <c r="G267" s="12"/>
      <c r="H267" s="349"/>
      <c r="I267" s="12"/>
      <c r="J267" s="12"/>
      <c r="K267" s="12"/>
      <c r="L267" s="12"/>
      <c r="M267" s="12"/>
    </row>
    <row r="268" ht="15.75" customHeight="1">
      <c r="A268" s="10"/>
      <c r="B268" s="10"/>
      <c r="C268" s="12"/>
      <c r="D268" s="12"/>
      <c r="E268" s="12"/>
      <c r="F268" s="12"/>
      <c r="G268" s="12"/>
      <c r="H268" s="349"/>
      <c r="I268" s="12"/>
      <c r="J268" s="12"/>
      <c r="K268" s="12"/>
      <c r="L268" s="12"/>
      <c r="M268" s="12"/>
    </row>
    <row r="269" ht="15.75" customHeight="1">
      <c r="A269" s="10"/>
      <c r="B269" s="10"/>
      <c r="C269" s="12"/>
      <c r="D269" s="12"/>
      <c r="E269" s="12"/>
      <c r="F269" s="12"/>
      <c r="G269" s="12"/>
      <c r="H269" s="349"/>
      <c r="I269" s="12"/>
      <c r="J269" s="12"/>
      <c r="K269" s="12"/>
      <c r="L269" s="12"/>
      <c r="M269" s="12"/>
    </row>
    <row r="270" ht="15.75" customHeight="1">
      <c r="A270" s="10"/>
      <c r="B270" s="10"/>
      <c r="C270" s="12"/>
      <c r="D270" s="12"/>
      <c r="E270" s="12"/>
      <c r="F270" s="12"/>
      <c r="G270" s="12"/>
      <c r="H270" s="349"/>
      <c r="I270" s="12"/>
      <c r="J270" s="12"/>
      <c r="K270" s="12"/>
      <c r="L270" s="12"/>
      <c r="M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349"/>
      <c r="I271" s="12"/>
      <c r="J271" s="12"/>
      <c r="K271" s="12"/>
      <c r="L271" s="12"/>
      <c r="M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349"/>
      <c r="I272" s="12"/>
      <c r="J272" s="12"/>
      <c r="K272" s="12"/>
      <c r="L272" s="12"/>
      <c r="M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349"/>
      <c r="I273" s="12"/>
      <c r="J273" s="12"/>
      <c r="K273" s="12"/>
      <c r="L273" s="12"/>
      <c r="M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349"/>
      <c r="I274" s="12"/>
      <c r="J274" s="12"/>
      <c r="K274" s="12"/>
      <c r="L274" s="12"/>
      <c r="M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349"/>
      <c r="I275" s="12"/>
      <c r="J275" s="12"/>
      <c r="K275" s="12"/>
      <c r="L275" s="12"/>
      <c r="M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349"/>
      <c r="I276" s="12"/>
      <c r="J276" s="12"/>
      <c r="K276" s="12"/>
      <c r="L276" s="12"/>
      <c r="M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349"/>
      <c r="I277" s="12"/>
      <c r="J277" s="12"/>
      <c r="K277" s="12"/>
      <c r="L277" s="12"/>
      <c r="M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349"/>
      <c r="I278" s="12"/>
      <c r="J278" s="12"/>
      <c r="K278" s="12"/>
      <c r="L278" s="12"/>
      <c r="M278" s="12"/>
    </row>
    <row r="279" ht="15.75" customHeight="1">
      <c r="A279" s="377"/>
      <c r="B279" s="377"/>
      <c r="C279" s="377"/>
      <c r="D279" s="377"/>
      <c r="E279" s="377"/>
      <c r="F279" s="377"/>
      <c r="G279" s="377"/>
      <c r="H279" s="379"/>
      <c r="I279" s="377"/>
      <c r="J279" s="377"/>
      <c r="K279" s="377"/>
      <c r="L279" s="377"/>
      <c r="M279" s="377"/>
    </row>
    <row r="280" ht="15.75" customHeight="1">
      <c r="A280" s="377"/>
      <c r="B280" s="377"/>
      <c r="C280" s="377"/>
      <c r="D280" s="377"/>
      <c r="E280" s="377"/>
      <c r="F280" s="377"/>
      <c r="G280" s="377"/>
      <c r="H280" s="379"/>
      <c r="I280" s="377"/>
      <c r="J280" s="377"/>
      <c r="K280" s="377"/>
      <c r="L280" s="377"/>
      <c r="M280" s="377"/>
    </row>
    <row r="281" ht="15.75" customHeight="1">
      <c r="A281" s="377"/>
      <c r="B281" s="377"/>
      <c r="C281" s="377"/>
      <c r="D281" s="377"/>
      <c r="E281" s="377"/>
      <c r="F281" s="377"/>
      <c r="G281" s="377"/>
      <c r="H281" s="379"/>
      <c r="I281" s="377"/>
      <c r="J281" s="377"/>
      <c r="K281" s="377"/>
      <c r="L281" s="377"/>
      <c r="M281" s="377"/>
    </row>
    <row r="282" ht="15.75" customHeight="1">
      <c r="A282" s="377"/>
      <c r="B282" s="377"/>
      <c r="C282" s="377"/>
      <c r="D282" s="377"/>
      <c r="E282" s="377"/>
      <c r="F282" s="377"/>
      <c r="G282" s="377"/>
      <c r="H282" s="379"/>
      <c r="I282" s="377"/>
      <c r="J282" s="377"/>
      <c r="K282" s="377"/>
      <c r="L282" s="377"/>
      <c r="M282" s="377"/>
    </row>
    <row r="283" ht="15.75" customHeight="1">
      <c r="A283" s="377"/>
      <c r="B283" s="377"/>
      <c r="C283" s="377"/>
      <c r="D283" s="377"/>
      <c r="E283" s="377"/>
      <c r="F283" s="377"/>
      <c r="G283" s="377"/>
      <c r="H283" s="379"/>
      <c r="I283" s="377"/>
      <c r="J283" s="377"/>
      <c r="K283" s="377"/>
      <c r="L283" s="377"/>
      <c r="M283" s="377"/>
    </row>
    <row r="284" ht="15.75" customHeight="1">
      <c r="A284" s="377"/>
      <c r="B284" s="377"/>
      <c r="C284" s="377"/>
      <c r="D284" s="377"/>
      <c r="E284" s="377"/>
      <c r="F284" s="377"/>
      <c r="G284" s="377"/>
      <c r="H284" s="379"/>
      <c r="I284" s="377"/>
      <c r="J284" s="377"/>
      <c r="K284" s="377"/>
      <c r="L284" s="377"/>
      <c r="M284" s="377"/>
    </row>
    <row r="285" ht="15.75" customHeight="1">
      <c r="A285" s="377"/>
      <c r="B285" s="377"/>
      <c r="C285" s="377"/>
      <c r="D285" s="377"/>
      <c r="E285" s="377"/>
      <c r="F285" s="377"/>
      <c r="G285" s="377"/>
      <c r="H285" s="379"/>
      <c r="I285" s="377"/>
      <c r="J285" s="377"/>
      <c r="K285" s="377"/>
      <c r="L285" s="377"/>
      <c r="M285" s="377"/>
    </row>
    <row r="286" ht="15.75" customHeight="1">
      <c r="A286" s="377"/>
      <c r="B286" s="377"/>
      <c r="C286" s="377"/>
      <c r="D286" s="377"/>
      <c r="E286" s="377"/>
      <c r="F286" s="377"/>
      <c r="G286" s="377"/>
      <c r="H286" s="379"/>
      <c r="I286" s="377"/>
      <c r="J286" s="377"/>
      <c r="K286" s="377"/>
      <c r="L286" s="377"/>
      <c r="M286" s="377"/>
    </row>
    <row r="287" ht="15.75" customHeight="1">
      <c r="A287" s="377"/>
      <c r="B287" s="377"/>
      <c r="C287" s="377"/>
      <c r="D287" s="377"/>
      <c r="E287" s="377"/>
      <c r="F287" s="377"/>
      <c r="G287" s="377"/>
      <c r="H287" s="379"/>
      <c r="I287" s="377"/>
      <c r="J287" s="377"/>
      <c r="K287" s="377"/>
      <c r="L287" s="377"/>
      <c r="M287" s="377"/>
    </row>
    <row r="288" ht="15.75" customHeight="1">
      <c r="A288" s="377"/>
      <c r="B288" s="377"/>
      <c r="C288" s="377"/>
      <c r="D288" s="377"/>
      <c r="E288" s="377"/>
      <c r="F288" s="377"/>
      <c r="G288" s="377"/>
      <c r="H288" s="379"/>
      <c r="I288" s="377"/>
      <c r="J288" s="377"/>
      <c r="K288" s="377"/>
      <c r="L288" s="377"/>
      <c r="M288" s="377"/>
    </row>
    <row r="289" ht="15.75" customHeight="1">
      <c r="A289" s="377"/>
      <c r="B289" s="377"/>
      <c r="C289" s="377"/>
      <c r="D289" s="377"/>
      <c r="E289" s="377"/>
      <c r="F289" s="377"/>
      <c r="G289" s="377"/>
      <c r="H289" s="379"/>
      <c r="I289" s="377"/>
      <c r="J289" s="377"/>
      <c r="K289" s="377"/>
      <c r="L289" s="377"/>
      <c r="M289" s="377"/>
    </row>
    <row r="290" ht="15.75" customHeight="1">
      <c r="A290" s="377"/>
      <c r="B290" s="377"/>
      <c r="C290" s="377"/>
      <c r="D290" s="377"/>
      <c r="E290" s="377"/>
      <c r="F290" s="377"/>
      <c r="G290" s="377"/>
      <c r="H290" s="379"/>
      <c r="I290" s="377"/>
      <c r="J290" s="377"/>
      <c r="K290" s="377"/>
      <c r="L290" s="377"/>
      <c r="M290" s="377"/>
    </row>
    <row r="291" ht="15.75" customHeight="1">
      <c r="A291" s="377"/>
      <c r="B291" s="377"/>
      <c r="C291" s="377"/>
      <c r="D291" s="377"/>
      <c r="E291" s="377"/>
      <c r="F291" s="377"/>
      <c r="G291" s="377"/>
      <c r="H291" s="379"/>
      <c r="I291" s="377"/>
      <c r="J291" s="377"/>
      <c r="K291" s="377"/>
      <c r="L291" s="377"/>
      <c r="M291" s="377"/>
    </row>
    <row r="292" ht="15.75" customHeight="1">
      <c r="A292" s="377"/>
      <c r="B292" s="377"/>
      <c r="C292" s="377"/>
      <c r="D292" s="377"/>
      <c r="E292" s="377"/>
      <c r="F292" s="377"/>
      <c r="G292" s="377"/>
      <c r="H292" s="379"/>
      <c r="I292" s="377"/>
      <c r="J292" s="377"/>
      <c r="K292" s="377"/>
      <c r="L292" s="377"/>
      <c r="M292" s="377"/>
    </row>
    <row r="293" ht="15.75" customHeight="1">
      <c r="A293" s="377"/>
      <c r="B293" s="377"/>
      <c r="C293" s="377"/>
      <c r="D293" s="377"/>
      <c r="E293" s="377"/>
      <c r="F293" s="377"/>
      <c r="G293" s="377"/>
      <c r="H293" s="379"/>
      <c r="I293" s="377"/>
      <c r="J293" s="377"/>
      <c r="K293" s="377"/>
      <c r="L293" s="377"/>
      <c r="M293" s="377"/>
    </row>
    <row r="294" ht="15.75" customHeight="1">
      <c r="A294" s="377"/>
      <c r="B294" s="377"/>
      <c r="C294" s="377"/>
      <c r="D294" s="377"/>
      <c r="E294" s="377"/>
      <c r="F294" s="377"/>
      <c r="G294" s="377"/>
      <c r="H294" s="379"/>
      <c r="I294" s="377"/>
      <c r="J294" s="377"/>
      <c r="K294" s="377"/>
      <c r="L294" s="377"/>
      <c r="M294" s="377"/>
    </row>
    <row r="295" ht="15.75" customHeight="1">
      <c r="A295" s="377"/>
      <c r="B295" s="377"/>
      <c r="C295" s="377"/>
      <c r="D295" s="377"/>
      <c r="E295" s="377"/>
      <c r="F295" s="377"/>
      <c r="G295" s="377"/>
      <c r="H295" s="379"/>
      <c r="I295" s="377"/>
      <c r="J295" s="377"/>
      <c r="K295" s="377"/>
      <c r="L295" s="377"/>
      <c r="M295" s="377"/>
    </row>
    <row r="296" ht="15.75" customHeight="1">
      <c r="A296" s="377"/>
      <c r="B296" s="377"/>
      <c r="C296" s="377"/>
      <c r="D296" s="377"/>
      <c r="E296" s="377"/>
      <c r="F296" s="377"/>
      <c r="G296" s="377"/>
      <c r="H296" s="379"/>
      <c r="I296" s="377"/>
      <c r="J296" s="377"/>
      <c r="K296" s="377"/>
      <c r="L296" s="377"/>
      <c r="M296" s="377"/>
    </row>
    <row r="297" ht="15.75" customHeight="1">
      <c r="A297" s="377"/>
      <c r="B297" s="377"/>
      <c r="C297" s="377"/>
      <c r="D297" s="377"/>
      <c r="E297" s="377"/>
      <c r="F297" s="377"/>
      <c r="G297" s="377"/>
      <c r="H297" s="379"/>
      <c r="I297" s="377"/>
      <c r="J297" s="377"/>
      <c r="K297" s="377"/>
      <c r="L297" s="377"/>
      <c r="M297" s="377"/>
    </row>
    <row r="298" ht="15.75" customHeight="1">
      <c r="A298" s="377"/>
      <c r="B298" s="377"/>
      <c r="C298" s="377"/>
      <c r="D298" s="377"/>
      <c r="E298" s="377"/>
      <c r="F298" s="377"/>
      <c r="G298" s="377"/>
      <c r="H298" s="379"/>
      <c r="I298" s="377"/>
      <c r="J298" s="377"/>
      <c r="K298" s="377"/>
      <c r="L298" s="377"/>
      <c r="M298" s="377"/>
    </row>
    <row r="299" ht="15.75" customHeight="1">
      <c r="A299" s="377"/>
      <c r="B299" s="377"/>
      <c r="C299" s="377"/>
      <c r="D299" s="377"/>
      <c r="E299" s="377"/>
      <c r="F299" s="377"/>
      <c r="G299" s="377"/>
      <c r="H299" s="379"/>
      <c r="I299" s="377"/>
      <c r="J299" s="377"/>
      <c r="K299" s="377"/>
      <c r="L299" s="377"/>
      <c r="M299" s="377"/>
    </row>
    <row r="300" ht="15.75" customHeight="1">
      <c r="A300" s="377"/>
      <c r="B300" s="377"/>
      <c r="C300" s="377"/>
      <c r="D300" s="377"/>
      <c r="E300" s="377"/>
      <c r="F300" s="377"/>
      <c r="G300" s="377"/>
      <c r="H300" s="379"/>
      <c r="I300" s="377"/>
      <c r="J300" s="377"/>
      <c r="K300" s="377"/>
      <c r="L300" s="377"/>
      <c r="M300" s="377"/>
    </row>
    <row r="301" ht="15.75" customHeight="1">
      <c r="A301" s="377"/>
      <c r="B301" s="377"/>
      <c r="C301" s="377"/>
      <c r="D301" s="377"/>
      <c r="E301" s="377"/>
      <c r="F301" s="377"/>
      <c r="G301" s="377"/>
      <c r="H301" s="379"/>
      <c r="I301" s="377"/>
      <c r="J301" s="377"/>
      <c r="K301" s="377"/>
      <c r="L301" s="377"/>
      <c r="M301" s="377"/>
    </row>
    <row r="302" ht="15.75" customHeight="1">
      <c r="A302" s="377"/>
      <c r="B302" s="377"/>
      <c r="C302" s="377"/>
      <c r="D302" s="377"/>
      <c r="E302" s="377"/>
      <c r="F302" s="377"/>
      <c r="G302" s="377"/>
      <c r="H302" s="379"/>
      <c r="I302" s="377"/>
      <c r="J302" s="377"/>
      <c r="K302" s="377"/>
      <c r="L302" s="377"/>
      <c r="M302" s="377"/>
    </row>
    <row r="303" ht="15.75" customHeight="1">
      <c r="A303" s="377"/>
      <c r="B303" s="377"/>
      <c r="C303" s="377"/>
      <c r="D303" s="377"/>
      <c r="E303" s="377"/>
      <c r="F303" s="377"/>
      <c r="G303" s="377"/>
      <c r="H303" s="379"/>
      <c r="I303" s="377"/>
      <c r="J303" s="377"/>
      <c r="K303" s="377"/>
      <c r="L303" s="377"/>
      <c r="M303" s="377"/>
    </row>
    <row r="304" ht="15.75" customHeight="1">
      <c r="A304" s="377"/>
      <c r="B304" s="377"/>
      <c r="C304" s="377"/>
      <c r="D304" s="377"/>
      <c r="E304" s="377"/>
      <c r="F304" s="377"/>
      <c r="G304" s="377"/>
      <c r="H304" s="379"/>
      <c r="I304" s="377"/>
      <c r="J304" s="377"/>
      <c r="K304" s="377"/>
      <c r="L304" s="377"/>
      <c r="M304" s="377"/>
    </row>
    <row r="305" ht="15.75" customHeight="1">
      <c r="A305" s="377"/>
      <c r="B305" s="377"/>
      <c r="C305" s="377"/>
      <c r="D305" s="377"/>
      <c r="E305" s="377"/>
      <c r="F305" s="377"/>
      <c r="G305" s="377"/>
      <c r="H305" s="379"/>
      <c r="I305" s="377"/>
      <c r="J305" s="377"/>
      <c r="K305" s="377"/>
      <c r="L305" s="377"/>
      <c r="M305" s="377"/>
    </row>
    <row r="306" ht="15.75" customHeight="1">
      <c r="A306" s="377"/>
      <c r="B306" s="377"/>
      <c r="C306" s="377"/>
      <c r="D306" s="377"/>
      <c r="E306" s="377"/>
      <c r="F306" s="377"/>
      <c r="G306" s="377"/>
      <c r="H306" s="379"/>
      <c r="I306" s="377"/>
      <c r="J306" s="377"/>
      <c r="K306" s="377"/>
      <c r="L306" s="377"/>
      <c r="M306" s="377"/>
    </row>
    <row r="307" ht="15.75" customHeight="1">
      <c r="A307" s="377"/>
      <c r="B307" s="377"/>
      <c r="C307" s="377"/>
      <c r="D307" s="377"/>
      <c r="E307" s="377"/>
      <c r="F307" s="377"/>
      <c r="G307" s="377"/>
      <c r="H307" s="379"/>
      <c r="I307" s="377"/>
      <c r="J307" s="377"/>
      <c r="K307" s="377"/>
      <c r="L307" s="377"/>
      <c r="M307" s="377"/>
    </row>
    <row r="308" ht="15.75" customHeight="1">
      <c r="A308" s="377"/>
      <c r="B308" s="377"/>
      <c r="C308" s="377"/>
      <c r="D308" s="377"/>
      <c r="E308" s="377"/>
      <c r="F308" s="377"/>
      <c r="G308" s="377"/>
      <c r="H308" s="379"/>
      <c r="I308" s="377"/>
      <c r="J308" s="377"/>
      <c r="K308" s="377"/>
      <c r="L308" s="377"/>
      <c r="M308" s="377"/>
    </row>
    <row r="309" ht="15.75" customHeight="1">
      <c r="A309" s="377"/>
      <c r="B309" s="377"/>
      <c r="C309" s="377"/>
      <c r="D309" s="377"/>
      <c r="E309" s="377"/>
      <c r="F309" s="377"/>
      <c r="G309" s="377"/>
      <c r="H309" s="379"/>
      <c r="I309" s="377"/>
      <c r="J309" s="377"/>
      <c r="K309" s="377"/>
      <c r="L309" s="377"/>
      <c r="M309" s="377"/>
    </row>
    <row r="310" ht="15.75" customHeight="1">
      <c r="A310" s="377"/>
      <c r="B310" s="377"/>
      <c r="C310" s="377"/>
      <c r="D310" s="377"/>
      <c r="E310" s="377"/>
      <c r="F310" s="377"/>
      <c r="G310" s="377"/>
      <c r="H310" s="379"/>
      <c r="I310" s="377"/>
      <c r="J310" s="377"/>
      <c r="K310" s="377"/>
      <c r="L310" s="377"/>
      <c r="M310" s="377"/>
    </row>
    <row r="311" ht="15.75" customHeight="1">
      <c r="A311" s="377"/>
      <c r="B311" s="377"/>
      <c r="C311" s="377"/>
      <c r="D311" s="377"/>
      <c r="E311" s="377"/>
      <c r="F311" s="377"/>
      <c r="G311" s="377"/>
      <c r="H311" s="379"/>
      <c r="I311" s="377"/>
      <c r="J311" s="377"/>
      <c r="K311" s="377"/>
      <c r="L311" s="377"/>
      <c r="M311" s="377"/>
    </row>
    <row r="312" ht="15.75" customHeight="1">
      <c r="A312" s="377"/>
      <c r="B312" s="377"/>
      <c r="C312" s="377"/>
      <c r="D312" s="377"/>
      <c r="E312" s="377"/>
      <c r="F312" s="377"/>
      <c r="G312" s="377"/>
      <c r="H312" s="379"/>
      <c r="I312" s="377"/>
      <c r="J312" s="377"/>
      <c r="K312" s="377"/>
      <c r="L312" s="377"/>
      <c r="M312" s="377"/>
    </row>
    <row r="313" ht="15.75" customHeight="1">
      <c r="A313" s="377"/>
      <c r="B313" s="377"/>
      <c r="C313" s="377"/>
      <c r="D313" s="377"/>
      <c r="E313" s="377"/>
      <c r="F313" s="377"/>
      <c r="G313" s="377"/>
      <c r="H313" s="379"/>
      <c r="I313" s="377"/>
      <c r="J313" s="377"/>
      <c r="K313" s="377"/>
      <c r="L313" s="377"/>
      <c r="M313" s="377"/>
    </row>
    <row r="314" ht="15.75" customHeight="1">
      <c r="A314" s="377"/>
      <c r="B314" s="377"/>
      <c r="C314" s="377"/>
      <c r="D314" s="377"/>
      <c r="E314" s="377"/>
      <c r="F314" s="377"/>
      <c r="G314" s="377"/>
      <c r="H314" s="379"/>
      <c r="I314" s="377"/>
      <c r="J314" s="377"/>
      <c r="K314" s="377"/>
      <c r="L314" s="377"/>
      <c r="M314" s="377"/>
    </row>
    <row r="315" ht="15.75" customHeight="1">
      <c r="A315" s="377"/>
      <c r="B315" s="377"/>
      <c r="C315" s="377"/>
      <c r="D315" s="377"/>
      <c r="E315" s="377"/>
      <c r="F315" s="377"/>
      <c r="G315" s="377"/>
      <c r="H315" s="379"/>
      <c r="I315" s="377"/>
      <c r="J315" s="377"/>
      <c r="K315" s="377"/>
      <c r="L315" s="377"/>
      <c r="M315" s="377"/>
    </row>
    <row r="316" ht="15.75" customHeight="1">
      <c r="A316" s="377"/>
      <c r="B316" s="377"/>
      <c r="C316" s="377"/>
      <c r="D316" s="377"/>
      <c r="E316" s="377"/>
      <c r="F316" s="377"/>
      <c r="G316" s="377"/>
      <c r="H316" s="379"/>
      <c r="I316" s="377"/>
      <c r="J316" s="377"/>
      <c r="K316" s="377"/>
      <c r="L316" s="377"/>
      <c r="M316" s="377"/>
    </row>
    <row r="317" ht="15.75" customHeight="1">
      <c r="A317" s="377"/>
      <c r="B317" s="377"/>
      <c r="C317" s="377"/>
      <c r="D317" s="377"/>
      <c r="E317" s="377"/>
      <c r="F317" s="377"/>
      <c r="G317" s="377"/>
      <c r="H317" s="379"/>
      <c r="I317" s="377"/>
      <c r="J317" s="377"/>
      <c r="K317" s="377"/>
      <c r="L317" s="377"/>
      <c r="M317" s="377"/>
    </row>
    <row r="318" ht="15.75" customHeight="1">
      <c r="A318" s="377"/>
      <c r="B318" s="377"/>
      <c r="C318" s="377"/>
      <c r="D318" s="377"/>
      <c r="E318" s="377"/>
      <c r="F318" s="377"/>
      <c r="G318" s="377"/>
      <c r="H318" s="379"/>
      <c r="I318" s="377"/>
      <c r="J318" s="377"/>
      <c r="K318" s="377"/>
      <c r="L318" s="377"/>
      <c r="M318" s="377"/>
    </row>
    <row r="319" ht="15.75" customHeight="1">
      <c r="A319" s="377"/>
      <c r="B319" s="377"/>
      <c r="C319" s="377"/>
      <c r="D319" s="377"/>
      <c r="E319" s="377"/>
      <c r="F319" s="377"/>
      <c r="G319" s="377"/>
      <c r="H319" s="379"/>
      <c r="I319" s="377"/>
      <c r="J319" s="377"/>
      <c r="K319" s="377"/>
      <c r="L319" s="377"/>
      <c r="M319" s="377"/>
    </row>
    <row r="320" ht="15.75" customHeight="1">
      <c r="A320" s="377"/>
      <c r="B320" s="377"/>
      <c r="C320" s="377"/>
      <c r="D320" s="377"/>
      <c r="E320" s="377"/>
      <c r="F320" s="377"/>
      <c r="G320" s="377"/>
      <c r="H320" s="379"/>
      <c r="I320" s="377"/>
      <c r="J320" s="377"/>
      <c r="K320" s="377"/>
      <c r="L320" s="377"/>
      <c r="M320" s="377"/>
    </row>
    <row r="321" ht="15.75" customHeight="1">
      <c r="A321" s="377"/>
      <c r="B321" s="377"/>
      <c r="C321" s="377"/>
      <c r="D321" s="377"/>
      <c r="E321" s="377"/>
      <c r="F321" s="377"/>
      <c r="G321" s="377"/>
      <c r="H321" s="379"/>
      <c r="I321" s="377"/>
      <c r="J321" s="377"/>
      <c r="K321" s="377"/>
      <c r="L321" s="377"/>
      <c r="M321" s="377"/>
    </row>
    <row r="322" ht="15.75" customHeight="1">
      <c r="A322" s="377"/>
      <c r="B322" s="377"/>
      <c r="C322" s="377"/>
      <c r="D322" s="377"/>
      <c r="E322" s="377"/>
      <c r="F322" s="377"/>
      <c r="G322" s="377"/>
      <c r="H322" s="379"/>
      <c r="I322" s="377"/>
      <c r="J322" s="377"/>
      <c r="K322" s="377"/>
      <c r="L322" s="377"/>
      <c r="M322" s="377"/>
    </row>
    <row r="323" ht="15.75" customHeight="1">
      <c r="A323" s="377"/>
      <c r="B323" s="377"/>
      <c r="C323" s="377"/>
      <c r="D323" s="377"/>
      <c r="E323" s="377"/>
      <c r="F323" s="377"/>
      <c r="G323" s="377"/>
      <c r="H323" s="379"/>
      <c r="I323" s="377"/>
      <c r="J323" s="377"/>
      <c r="K323" s="377"/>
      <c r="L323" s="377"/>
      <c r="M323" s="377"/>
    </row>
    <row r="324" ht="15.75" customHeight="1">
      <c r="A324" s="377"/>
      <c r="B324" s="377"/>
      <c r="C324" s="377"/>
      <c r="D324" s="377"/>
      <c r="E324" s="377"/>
      <c r="F324" s="377"/>
      <c r="G324" s="377"/>
      <c r="H324" s="379"/>
      <c r="I324" s="377"/>
      <c r="J324" s="377"/>
      <c r="K324" s="377"/>
      <c r="L324" s="377"/>
      <c r="M324" s="377"/>
    </row>
    <row r="325" ht="15.75" customHeight="1">
      <c r="A325" s="377"/>
      <c r="B325" s="377"/>
      <c r="C325" s="377"/>
      <c r="D325" s="377"/>
      <c r="E325" s="377"/>
      <c r="F325" s="377"/>
      <c r="G325" s="377"/>
      <c r="H325" s="379"/>
      <c r="I325" s="377"/>
      <c r="J325" s="377"/>
      <c r="K325" s="377"/>
      <c r="L325" s="377"/>
      <c r="M325" s="377"/>
    </row>
    <row r="326" ht="15.75" customHeight="1">
      <c r="A326" s="377"/>
      <c r="B326" s="377"/>
      <c r="C326" s="377"/>
      <c r="D326" s="377"/>
      <c r="E326" s="377"/>
      <c r="F326" s="377"/>
      <c r="G326" s="377"/>
      <c r="H326" s="379"/>
      <c r="I326" s="377"/>
      <c r="J326" s="377"/>
      <c r="K326" s="377"/>
      <c r="L326" s="377"/>
      <c r="M326" s="377"/>
    </row>
    <row r="327" ht="15.75" customHeight="1">
      <c r="A327" s="377"/>
      <c r="B327" s="377"/>
      <c r="C327" s="377"/>
      <c r="D327" s="377"/>
      <c r="E327" s="377"/>
      <c r="F327" s="377"/>
      <c r="G327" s="377"/>
      <c r="H327" s="379"/>
      <c r="I327" s="377"/>
      <c r="J327" s="377"/>
      <c r="K327" s="377"/>
      <c r="L327" s="377"/>
      <c r="M327" s="377"/>
    </row>
    <row r="328" ht="15.75" customHeight="1">
      <c r="A328" s="377"/>
      <c r="B328" s="377"/>
      <c r="C328" s="377"/>
      <c r="D328" s="377"/>
      <c r="E328" s="377"/>
      <c r="F328" s="377"/>
      <c r="G328" s="377"/>
      <c r="H328" s="379"/>
      <c r="I328" s="377"/>
      <c r="J328" s="377"/>
      <c r="K328" s="377"/>
      <c r="L328" s="377"/>
      <c r="M328" s="377"/>
    </row>
    <row r="329" ht="15.75" customHeight="1">
      <c r="A329" s="377"/>
      <c r="B329" s="377"/>
      <c r="C329" s="377"/>
      <c r="D329" s="377"/>
      <c r="E329" s="377"/>
      <c r="F329" s="377"/>
      <c r="G329" s="377"/>
      <c r="H329" s="379"/>
      <c r="I329" s="377"/>
      <c r="J329" s="377"/>
      <c r="K329" s="377"/>
      <c r="L329" s="377"/>
      <c r="M329" s="377"/>
    </row>
    <row r="330" ht="15.75" customHeight="1">
      <c r="A330" s="377"/>
      <c r="B330" s="377"/>
      <c r="C330" s="377"/>
      <c r="D330" s="377"/>
      <c r="E330" s="377"/>
      <c r="F330" s="377"/>
      <c r="G330" s="377"/>
      <c r="H330" s="379"/>
      <c r="I330" s="377"/>
      <c r="J330" s="377"/>
      <c r="K330" s="377"/>
      <c r="L330" s="377"/>
      <c r="M330" s="377"/>
    </row>
    <row r="331" ht="15.75" customHeight="1">
      <c r="A331" s="377"/>
      <c r="B331" s="377"/>
      <c r="C331" s="377"/>
      <c r="D331" s="377"/>
      <c r="E331" s="377"/>
      <c r="F331" s="377"/>
      <c r="G331" s="377"/>
      <c r="H331" s="379"/>
      <c r="I331" s="377"/>
      <c r="J331" s="377"/>
      <c r="K331" s="377"/>
      <c r="L331" s="377"/>
      <c r="M331" s="377"/>
    </row>
    <row r="332" ht="15.75" customHeight="1">
      <c r="A332" s="377"/>
      <c r="B332" s="377"/>
      <c r="C332" s="377"/>
      <c r="D332" s="377"/>
      <c r="E332" s="377"/>
      <c r="F332" s="377"/>
      <c r="G332" s="377"/>
      <c r="H332" s="379"/>
      <c r="I332" s="377"/>
      <c r="J332" s="377"/>
      <c r="K332" s="377"/>
      <c r="L332" s="377"/>
      <c r="M332" s="377"/>
    </row>
    <row r="333" ht="15.75" customHeight="1">
      <c r="A333" s="377"/>
      <c r="B333" s="377"/>
      <c r="C333" s="377"/>
      <c r="D333" s="377"/>
      <c r="E333" s="377"/>
      <c r="F333" s="377"/>
      <c r="G333" s="377"/>
      <c r="H333" s="379"/>
      <c r="I333" s="377"/>
      <c r="J333" s="377"/>
      <c r="K333" s="377"/>
      <c r="L333" s="377"/>
      <c r="M333" s="377"/>
    </row>
    <row r="334" ht="15.75" customHeight="1">
      <c r="A334" s="377"/>
      <c r="B334" s="377"/>
      <c r="C334" s="377"/>
      <c r="D334" s="377"/>
      <c r="E334" s="377"/>
      <c r="F334" s="377"/>
      <c r="G334" s="377"/>
      <c r="H334" s="379"/>
      <c r="I334" s="377"/>
      <c r="J334" s="377"/>
      <c r="K334" s="377"/>
      <c r="L334" s="377"/>
      <c r="M334" s="377"/>
    </row>
    <row r="335" ht="15.75" customHeight="1">
      <c r="A335" s="377"/>
      <c r="B335" s="377"/>
      <c r="C335" s="377"/>
      <c r="D335" s="377"/>
      <c r="E335" s="377"/>
      <c r="F335" s="377"/>
      <c r="G335" s="377"/>
      <c r="H335" s="379"/>
      <c r="I335" s="377"/>
      <c r="J335" s="377"/>
      <c r="K335" s="377"/>
      <c r="L335" s="377"/>
      <c r="M335" s="377"/>
    </row>
    <row r="336" ht="15.75" customHeight="1">
      <c r="A336" s="377"/>
      <c r="B336" s="377"/>
      <c r="C336" s="377"/>
      <c r="D336" s="377"/>
      <c r="E336" s="377"/>
      <c r="F336" s="377"/>
      <c r="G336" s="377"/>
      <c r="H336" s="379"/>
      <c r="I336" s="377"/>
      <c r="J336" s="377"/>
      <c r="K336" s="377"/>
      <c r="L336" s="377"/>
      <c r="M336" s="377"/>
    </row>
    <row r="337" ht="15.75" customHeight="1">
      <c r="A337" s="377"/>
      <c r="B337" s="377"/>
      <c r="C337" s="377"/>
      <c r="D337" s="377"/>
      <c r="E337" s="377"/>
      <c r="F337" s="377"/>
      <c r="G337" s="377"/>
      <c r="H337" s="379"/>
      <c r="I337" s="377"/>
      <c r="J337" s="377"/>
      <c r="K337" s="377"/>
      <c r="L337" s="377"/>
      <c r="M337" s="377"/>
    </row>
    <row r="338" ht="15.75" customHeight="1">
      <c r="A338" s="377"/>
      <c r="B338" s="377"/>
      <c r="C338" s="377"/>
      <c r="D338" s="377"/>
      <c r="E338" s="377"/>
      <c r="F338" s="377"/>
      <c r="G338" s="377"/>
      <c r="H338" s="379"/>
      <c r="I338" s="377"/>
      <c r="J338" s="377"/>
      <c r="K338" s="377"/>
      <c r="L338" s="377"/>
      <c r="M338" s="377"/>
    </row>
    <row r="339" ht="15.75" customHeight="1">
      <c r="A339" s="377"/>
      <c r="B339" s="377"/>
      <c r="C339" s="377"/>
      <c r="D339" s="377"/>
      <c r="E339" s="377"/>
      <c r="F339" s="377"/>
      <c r="G339" s="377"/>
      <c r="H339" s="379"/>
      <c r="I339" s="377"/>
      <c r="J339" s="377"/>
      <c r="K339" s="377"/>
      <c r="L339" s="377"/>
      <c r="M339" s="377"/>
    </row>
    <row r="340" ht="15.75" customHeight="1">
      <c r="A340" s="377"/>
      <c r="B340" s="377"/>
      <c r="C340" s="377"/>
      <c r="D340" s="377"/>
      <c r="E340" s="377"/>
      <c r="F340" s="377"/>
      <c r="G340" s="377"/>
      <c r="H340" s="379"/>
      <c r="I340" s="377"/>
      <c r="J340" s="377"/>
      <c r="K340" s="377"/>
      <c r="L340" s="377"/>
      <c r="M340" s="377"/>
    </row>
    <row r="341" ht="15.75" customHeight="1">
      <c r="A341" s="377"/>
      <c r="B341" s="377"/>
      <c r="C341" s="377"/>
      <c r="D341" s="377"/>
      <c r="E341" s="377"/>
      <c r="F341" s="377"/>
      <c r="G341" s="377"/>
      <c r="H341" s="379"/>
      <c r="I341" s="377"/>
      <c r="J341" s="377"/>
      <c r="K341" s="377"/>
      <c r="L341" s="377"/>
      <c r="M341" s="377"/>
    </row>
    <row r="342" ht="15.75" customHeight="1">
      <c r="A342" s="377"/>
      <c r="B342" s="377"/>
      <c r="C342" s="377"/>
      <c r="D342" s="377"/>
      <c r="E342" s="377"/>
      <c r="F342" s="377"/>
      <c r="G342" s="377"/>
      <c r="H342" s="379"/>
      <c r="I342" s="377"/>
      <c r="J342" s="377"/>
      <c r="K342" s="377"/>
      <c r="L342" s="377"/>
      <c r="M342" s="377"/>
    </row>
    <row r="343" ht="15.75" customHeight="1">
      <c r="A343" s="377"/>
      <c r="B343" s="377"/>
      <c r="C343" s="377"/>
      <c r="D343" s="377"/>
      <c r="E343" s="377"/>
      <c r="F343" s="377"/>
      <c r="G343" s="377"/>
      <c r="H343" s="379"/>
      <c r="I343" s="377"/>
      <c r="J343" s="377"/>
      <c r="K343" s="377"/>
      <c r="L343" s="377"/>
      <c r="M343" s="377"/>
    </row>
    <row r="344" ht="15.75" customHeight="1">
      <c r="A344" s="377"/>
      <c r="B344" s="377"/>
      <c r="C344" s="377"/>
      <c r="D344" s="377"/>
      <c r="E344" s="377"/>
      <c r="F344" s="377"/>
      <c r="G344" s="377"/>
      <c r="H344" s="379"/>
      <c r="I344" s="377"/>
      <c r="J344" s="377"/>
      <c r="K344" s="377"/>
      <c r="L344" s="377"/>
      <c r="M344" s="377"/>
    </row>
    <row r="345" ht="15.75" customHeight="1">
      <c r="A345" s="377"/>
      <c r="B345" s="377"/>
      <c r="C345" s="377"/>
      <c r="D345" s="377"/>
      <c r="E345" s="377"/>
      <c r="F345" s="377"/>
      <c r="G345" s="377"/>
      <c r="H345" s="379"/>
      <c r="I345" s="377"/>
      <c r="J345" s="377"/>
      <c r="K345" s="377"/>
      <c r="L345" s="377"/>
      <c r="M345" s="377"/>
    </row>
    <row r="346" ht="15.75" customHeight="1">
      <c r="A346" s="377"/>
      <c r="B346" s="377"/>
      <c r="C346" s="377"/>
      <c r="D346" s="377"/>
      <c r="E346" s="377"/>
      <c r="F346" s="377"/>
      <c r="G346" s="377"/>
      <c r="H346" s="379"/>
      <c r="I346" s="377"/>
      <c r="J346" s="377"/>
      <c r="K346" s="377"/>
      <c r="L346" s="377"/>
      <c r="M346" s="377"/>
    </row>
    <row r="347" ht="15.75" customHeight="1">
      <c r="A347" s="377"/>
      <c r="B347" s="377"/>
      <c r="C347" s="377"/>
      <c r="D347" s="377"/>
      <c r="E347" s="377"/>
      <c r="F347" s="377"/>
      <c r="G347" s="377"/>
      <c r="H347" s="379"/>
      <c r="I347" s="377"/>
      <c r="J347" s="377"/>
      <c r="K347" s="377"/>
      <c r="L347" s="377"/>
      <c r="M347" s="377"/>
    </row>
    <row r="348" ht="15.75" customHeight="1">
      <c r="A348" s="377"/>
      <c r="B348" s="377"/>
      <c r="C348" s="377"/>
      <c r="D348" s="377"/>
      <c r="E348" s="377"/>
      <c r="F348" s="377"/>
      <c r="G348" s="377"/>
      <c r="H348" s="379"/>
      <c r="I348" s="377"/>
      <c r="J348" s="377"/>
      <c r="K348" s="377"/>
      <c r="L348" s="377"/>
      <c r="M348" s="377"/>
    </row>
    <row r="349" ht="15.75" customHeight="1">
      <c r="A349" s="377"/>
      <c r="B349" s="377"/>
      <c r="C349" s="377"/>
      <c r="D349" s="377"/>
      <c r="E349" s="377"/>
      <c r="F349" s="377"/>
      <c r="G349" s="377"/>
      <c r="H349" s="379"/>
      <c r="I349" s="377"/>
      <c r="J349" s="377"/>
      <c r="K349" s="377"/>
      <c r="L349" s="377"/>
      <c r="M349" s="377"/>
    </row>
    <row r="350" ht="15.75" customHeight="1">
      <c r="A350" s="377"/>
      <c r="B350" s="377"/>
      <c r="C350" s="377"/>
      <c r="D350" s="377"/>
      <c r="E350" s="377"/>
      <c r="F350" s="377"/>
      <c r="G350" s="377"/>
      <c r="H350" s="379"/>
      <c r="I350" s="377"/>
      <c r="J350" s="377"/>
      <c r="K350" s="377"/>
      <c r="L350" s="377"/>
      <c r="M350" s="377"/>
    </row>
    <row r="351" ht="15.75" customHeight="1">
      <c r="A351" s="377"/>
      <c r="B351" s="377"/>
      <c r="C351" s="377"/>
      <c r="D351" s="377"/>
      <c r="E351" s="377"/>
      <c r="F351" s="377"/>
      <c r="G351" s="377"/>
      <c r="H351" s="379"/>
      <c r="I351" s="377"/>
      <c r="J351" s="377"/>
      <c r="K351" s="377"/>
      <c r="L351" s="377"/>
      <c r="M351" s="377"/>
    </row>
    <row r="352" ht="15.75" customHeight="1">
      <c r="A352" s="377"/>
      <c r="B352" s="377"/>
      <c r="C352" s="377"/>
      <c r="D352" s="377"/>
      <c r="E352" s="377"/>
      <c r="F352" s="377"/>
      <c r="G352" s="377"/>
      <c r="H352" s="379"/>
      <c r="I352" s="377"/>
      <c r="J352" s="377"/>
      <c r="K352" s="377"/>
      <c r="L352" s="377"/>
      <c r="M352" s="377"/>
    </row>
    <row r="353" ht="15.75" customHeight="1">
      <c r="A353" s="377"/>
      <c r="B353" s="377"/>
      <c r="C353" s="377"/>
      <c r="D353" s="377"/>
      <c r="E353" s="377"/>
      <c r="F353" s="377"/>
      <c r="G353" s="377"/>
      <c r="H353" s="379"/>
      <c r="I353" s="377"/>
      <c r="J353" s="377"/>
      <c r="K353" s="377"/>
      <c r="L353" s="377"/>
      <c r="M353" s="377"/>
    </row>
    <row r="354" ht="15.75" customHeight="1">
      <c r="A354" s="377"/>
      <c r="B354" s="377"/>
      <c r="C354" s="377"/>
      <c r="D354" s="377"/>
      <c r="E354" s="377"/>
      <c r="F354" s="377"/>
      <c r="G354" s="377"/>
      <c r="H354" s="379"/>
      <c r="I354" s="377"/>
      <c r="J354" s="377"/>
      <c r="K354" s="377"/>
      <c r="L354" s="377"/>
      <c r="M354" s="377"/>
    </row>
    <row r="355" ht="15.75" customHeight="1">
      <c r="A355" s="377"/>
      <c r="B355" s="377"/>
      <c r="C355" s="377"/>
      <c r="D355" s="377"/>
      <c r="E355" s="377"/>
      <c r="F355" s="377"/>
      <c r="G355" s="377"/>
      <c r="H355" s="379"/>
      <c r="I355" s="377"/>
      <c r="J355" s="377"/>
      <c r="K355" s="377"/>
      <c r="L355" s="377"/>
      <c r="M355" s="377"/>
    </row>
    <row r="356" ht="15.75" customHeight="1">
      <c r="A356" s="377"/>
      <c r="B356" s="377"/>
      <c r="C356" s="377"/>
      <c r="D356" s="377"/>
      <c r="E356" s="377"/>
      <c r="F356" s="377"/>
      <c r="G356" s="377"/>
      <c r="H356" s="379"/>
      <c r="I356" s="377"/>
      <c r="J356" s="377"/>
      <c r="K356" s="377"/>
      <c r="L356" s="377"/>
      <c r="M356" s="377"/>
    </row>
    <row r="357" ht="15.75" customHeight="1">
      <c r="A357" s="377"/>
      <c r="B357" s="377"/>
      <c r="C357" s="377"/>
      <c r="D357" s="377"/>
      <c r="E357" s="377"/>
      <c r="F357" s="377"/>
      <c r="G357" s="377"/>
      <c r="H357" s="379"/>
      <c r="I357" s="377"/>
      <c r="J357" s="377"/>
      <c r="K357" s="377"/>
      <c r="L357" s="377"/>
      <c r="M357" s="377"/>
    </row>
    <row r="358" ht="15.75" customHeight="1">
      <c r="A358" s="377"/>
      <c r="B358" s="377"/>
      <c r="C358" s="377"/>
      <c r="D358" s="377"/>
      <c r="E358" s="377"/>
      <c r="F358" s="377"/>
      <c r="G358" s="377"/>
      <c r="H358" s="379"/>
      <c r="I358" s="377"/>
      <c r="J358" s="377"/>
      <c r="K358" s="377"/>
      <c r="L358" s="377"/>
      <c r="M358" s="377"/>
    </row>
    <row r="359" ht="15.75" customHeight="1">
      <c r="A359" s="377"/>
      <c r="B359" s="377"/>
      <c r="C359" s="377"/>
      <c r="D359" s="377"/>
      <c r="E359" s="377"/>
      <c r="F359" s="377"/>
      <c r="G359" s="377"/>
      <c r="H359" s="379"/>
      <c r="I359" s="377"/>
      <c r="J359" s="377"/>
      <c r="K359" s="377"/>
      <c r="L359" s="377"/>
      <c r="M359" s="377"/>
    </row>
    <row r="360" ht="15.75" customHeight="1">
      <c r="A360" s="377"/>
      <c r="B360" s="377"/>
      <c r="C360" s="377"/>
      <c r="D360" s="377"/>
      <c r="E360" s="377"/>
      <c r="F360" s="377"/>
      <c r="G360" s="377"/>
      <c r="H360" s="379"/>
      <c r="I360" s="377"/>
      <c r="J360" s="377"/>
      <c r="K360" s="377"/>
      <c r="L360" s="377"/>
      <c r="M360" s="377"/>
    </row>
    <row r="361" ht="15.75" customHeight="1">
      <c r="A361" s="377"/>
      <c r="B361" s="377"/>
      <c r="C361" s="377"/>
      <c r="D361" s="377"/>
      <c r="E361" s="377"/>
      <c r="F361" s="377"/>
      <c r="G361" s="377"/>
      <c r="H361" s="379"/>
      <c r="I361" s="377"/>
      <c r="J361" s="377"/>
      <c r="K361" s="377"/>
      <c r="L361" s="377"/>
      <c r="M361" s="377"/>
    </row>
    <row r="362" ht="15.75" customHeight="1">
      <c r="A362" s="377"/>
      <c r="B362" s="377"/>
      <c r="C362" s="377"/>
      <c r="D362" s="377"/>
      <c r="E362" s="377"/>
      <c r="F362" s="377"/>
      <c r="G362" s="377"/>
      <c r="H362" s="379"/>
      <c r="I362" s="377"/>
      <c r="J362" s="377"/>
      <c r="K362" s="377"/>
      <c r="L362" s="377"/>
      <c r="M362" s="377"/>
    </row>
    <row r="363" ht="15.75" customHeight="1">
      <c r="A363" s="377"/>
      <c r="B363" s="377"/>
      <c r="C363" s="377"/>
      <c r="D363" s="377"/>
      <c r="E363" s="377"/>
      <c r="F363" s="377"/>
      <c r="G363" s="377"/>
      <c r="H363" s="379"/>
      <c r="I363" s="377"/>
      <c r="J363" s="377"/>
      <c r="K363" s="377"/>
      <c r="L363" s="377"/>
      <c r="M363" s="377"/>
    </row>
    <row r="364" ht="15.75" customHeight="1">
      <c r="A364" s="377"/>
      <c r="B364" s="377"/>
      <c r="C364" s="377"/>
      <c r="D364" s="377"/>
      <c r="E364" s="377"/>
      <c r="F364" s="377"/>
      <c r="G364" s="377"/>
      <c r="H364" s="379"/>
      <c r="I364" s="377"/>
      <c r="J364" s="377"/>
      <c r="K364" s="377"/>
      <c r="L364" s="377"/>
      <c r="M364" s="377"/>
    </row>
    <row r="365" ht="15.75" customHeight="1">
      <c r="A365" s="377"/>
      <c r="B365" s="377"/>
      <c r="C365" s="377"/>
      <c r="D365" s="377"/>
      <c r="E365" s="377"/>
      <c r="F365" s="377"/>
      <c r="G365" s="377"/>
      <c r="H365" s="379"/>
      <c r="I365" s="377"/>
      <c r="J365" s="377"/>
      <c r="K365" s="377"/>
      <c r="L365" s="377"/>
      <c r="M365" s="377"/>
    </row>
    <row r="366" ht="15.75" customHeight="1">
      <c r="A366" s="377"/>
      <c r="B366" s="377"/>
      <c r="C366" s="377"/>
      <c r="D366" s="377"/>
      <c r="E366" s="377"/>
      <c r="F366" s="377"/>
      <c r="G366" s="377"/>
      <c r="H366" s="379"/>
      <c r="I366" s="377"/>
      <c r="J366" s="377"/>
      <c r="K366" s="377"/>
      <c r="L366" s="377"/>
      <c r="M366" s="377"/>
    </row>
    <row r="367" ht="15.75" customHeight="1">
      <c r="A367" s="377"/>
      <c r="B367" s="377"/>
      <c r="C367" s="377"/>
      <c r="D367" s="377"/>
      <c r="E367" s="377"/>
      <c r="F367" s="377"/>
      <c r="G367" s="377"/>
      <c r="H367" s="379"/>
      <c r="I367" s="377"/>
      <c r="J367" s="377"/>
      <c r="K367" s="377"/>
      <c r="L367" s="377"/>
      <c r="M367" s="377"/>
    </row>
    <row r="368" ht="15.75" customHeight="1">
      <c r="A368" s="377"/>
      <c r="B368" s="377"/>
      <c r="C368" s="377"/>
      <c r="D368" s="377"/>
      <c r="E368" s="377"/>
      <c r="F368" s="377"/>
      <c r="G368" s="377"/>
      <c r="H368" s="379"/>
      <c r="I368" s="377"/>
      <c r="J368" s="377"/>
      <c r="K368" s="377"/>
      <c r="L368" s="377"/>
      <c r="M368" s="377"/>
    </row>
    <row r="369" ht="15.75" customHeight="1">
      <c r="A369" s="377"/>
      <c r="B369" s="377"/>
      <c r="C369" s="377"/>
      <c r="D369" s="377"/>
      <c r="E369" s="377"/>
      <c r="F369" s="377"/>
      <c r="G369" s="377"/>
      <c r="H369" s="379"/>
      <c r="I369" s="377"/>
      <c r="J369" s="377"/>
      <c r="K369" s="377"/>
      <c r="L369" s="377"/>
      <c r="M369" s="377"/>
    </row>
    <row r="370" ht="15.75" customHeight="1">
      <c r="A370" s="377"/>
      <c r="B370" s="377"/>
      <c r="C370" s="377"/>
      <c r="D370" s="377"/>
      <c r="E370" s="377"/>
      <c r="F370" s="377"/>
      <c r="G370" s="377"/>
      <c r="H370" s="379"/>
      <c r="I370" s="377"/>
      <c r="J370" s="377"/>
      <c r="K370" s="377"/>
      <c r="L370" s="377"/>
      <c r="M370" s="377"/>
    </row>
    <row r="371" ht="15.75" customHeight="1">
      <c r="A371" s="377"/>
      <c r="B371" s="377"/>
      <c r="C371" s="377"/>
      <c r="D371" s="377"/>
      <c r="E371" s="377"/>
      <c r="F371" s="377"/>
      <c r="G371" s="377"/>
      <c r="H371" s="379"/>
      <c r="I371" s="377"/>
      <c r="J371" s="377"/>
      <c r="K371" s="377"/>
      <c r="L371" s="377"/>
      <c r="M371" s="377"/>
    </row>
    <row r="372" ht="15.75" customHeight="1">
      <c r="A372" s="377"/>
      <c r="B372" s="377"/>
      <c r="C372" s="377"/>
      <c r="D372" s="377"/>
      <c r="E372" s="377"/>
      <c r="F372" s="377"/>
      <c r="G372" s="377"/>
      <c r="H372" s="379"/>
      <c r="I372" s="377"/>
      <c r="J372" s="377"/>
      <c r="K372" s="377"/>
      <c r="L372" s="377"/>
      <c r="M372" s="377"/>
    </row>
    <row r="373" ht="15.75" customHeight="1">
      <c r="A373" s="377"/>
      <c r="B373" s="377"/>
      <c r="C373" s="377"/>
      <c r="D373" s="377"/>
      <c r="E373" s="377"/>
      <c r="F373" s="377"/>
      <c r="G373" s="377"/>
      <c r="H373" s="379"/>
      <c r="I373" s="377"/>
      <c r="J373" s="377"/>
      <c r="K373" s="377"/>
      <c r="L373" s="377"/>
      <c r="M373" s="377"/>
    </row>
    <row r="374" ht="15.75" customHeight="1">
      <c r="A374" s="377"/>
      <c r="B374" s="377"/>
      <c r="C374" s="377"/>
      <c r="D374" s="377"/>
      <c r="E374" s="377"/>
      <c r="F374" s="377"/>
      <c r="G374" s="377"/>
      <c r="H374" s="379"/>
      <c r="I374" s="377"/>
      <c r="J374" s="377"/>
      <c r="K374" s="377"/>
      <c r="L374" s="377"/>
      <c r="M374" s="377"/>
    </row>
    <row r="375" ht="15.75" customHeight="1">
      <c r="A375" s="377"/>
      <c r="B375" s="377"/>
      <c r="C375" s="377"/>
      <c r="D375" s="377"/>
      <c r="E375" s="377"/>
      <c r="F375" s="377"/>
      <c r="G375" s="377"/>
      <c r="H375" s="379"/>
      <c r="I375" s="377"/>
      <c r="J375" s="377"/>
      <c r="K375" s="377"/>
      <c r="L375" s="377"/>
      <c r="M375" s="377"/>
    </row>
    <row r="376" ht="15.75" customHeight="1">
      <c r="A376" s="377"/>
      <c r="B376" s="377"/>
      <c r="C376" s="377"/>
      <c r="D376" s="377"/>
      <c r="E376" s="377"/>
      <c r="F376" s="377"/>
      <c r="G376" s="377"/>
      <c r="H376" s="379"/>
      <c r="I376" s="377"/>
      <c r="J376" s="377"/>
      <c r="K376" s="377"/>
      <c r="L376" s="377"/>
      <c r="M376" s="377"/>
    </row>
    <row r="377" ht="15.75" customHeight="1">
      <c r="A377" s="377"/>
      <c r="B377" s="377"/>
      <c r="C377" s="377"/>
      <c r="D377" s="377"/>
      <c r="E377" s="377"/>
      <c r="F377" s="377"/>
      <c r="G377" s="377"/>
      <c r="H377" s="379"/>
      <c r="I377" s="377"/>
      <c r="J377" s="377"/>
      <c r="K377" s="377"/>
      <c r="L377" s="377"/>
      <c r="M377" s="377"/>
    </row>
    <row r="378" ht="15.75" customHeight="1">
      <c r="A378" s="377"/>
      <c r="B378" s="377"/>
      <c r="C378" s="377"/>
      <c r="D378" s="377"/>
      <c r="E378" s="377"/>
      <c r="F378" s="377"/>
      <c r="G378" s="377"/>
      <c r="H378" s="379"/>
      <c r="I378" s="377"/>
      <c r="J378" s="377"/>
      <c r="K378" s="377"/>
      <c r="L378" s="377"/>
      <c r="M378" s="377"/>
    </row>
    <row r="379" ht="15.75" customHeight="1">
      <c r="A379" s="377"/>
      <c r="B379" s="377"/>
      <c r="C379" s="377"/>
      <c r="D379" s="377"/>
      <c r="E379" s="377"/>
      <c r="F379" s="377"/>
      <c r="G379" s="377"/>
      <c r="H379" s="379"/>
      <c r="I379" s="377"/>
      <c r="J379" s="377"/>
      <c r="K379" s="377"/>
      <c r="L379" s="377"/>
      <c r="M379" s="377"/>
    </row>
    <row r="380" ht="15.75" customHeight="1">
      <c r="A380" s="377"/>
      <c r="B380" s="377"/>
      <c r="C380" s="377"/>
      <c r="D380" s="377"/>
      <c r="E380" s="377"/>
      <c r="F380" s="377"/>
      <c r="G380" s="377"/>
      <c r="H380" s="379"/>
      <c r="I380" s="377"/>
      <c r="J380" s="377"/>
      <c r="K380" s="377"/>
      <c r="L380" s="377"/>
      <c r="M380" s="377"/>
    </row>
    <row r="381" ht="15.75" customHeight="1">
      <c r="A381" s="377"/>
      <c r="B381" s="377"/>
      <c r="C381" s="377"/>
      <c r="D381" s="377"/>
      <c r="E381" s="377"/>
      <c r="F381" s="377"/>
      <c r="G381" s="377"/>
      <c r="H381" s="379"/>
      <c r="I381" s="377"/>
      <c r="J381" s="377"/>
      <c r="K381" s="377"/>
      <c r="L381" s="377"/>
      <c r="M381" s="377"/>
    </row>
    <row r="382" ht="15.75" customHeight="1">
      <c r="A382" s="377"/>
      <c r="B382" s="377"/>
      <c r="C382" s="377"/>
      <c r="D382" s="377"/>
      <c r="E382" s="377"/>
      <c r="F382" s="377"/>
      <c r="G382" s="377"/>
      <c r="H382" s="379"/>
      <c r="I382" s="377"/>
      <c r="J382" s="377"/>
      <c r="K382" s="377"/>
      <c r="L382" s="377"/>
      <c r="M382" s="377"/>
    </row>
    <row r="383" ht="15.75" customHeight="1">
      <c r="A383" s="377"/>
      <c r="B383" s="377"/>
      <c r="C383" s="377"/>
      <c r="D383" s="377"/>
      <c r="E383" s="377"/>
      <c r="F383" s="377"/>
      <c r="G383" s="377"/>
      <c r="H383" s="379"/>
      <c r="I383" s="377"/>
      <c r="J383" s="377"/>
      <c r="K383" s="377"/>
      <c r="L383" s="377"/>
      <c r="M383" s="377"/>
    </row>
    <row r="384" ht="15.75" customHeight="1">
      <c r="A384" s="377"/>
      <c r="B384" s="377"/>
      <c r="C384" s="377"/>
      <c r="D384" s="377"/>
      <c r="E384" s="377"/>
      <c r="F384" s="377"/>
      <c r="G384" s="377"/>
      <c r="H384" s="379"/>
      <c r="I384" s="377"/>
      <c r="J384" s="377"/>
      <c r="K384" s="377"/>
      <c r="L384" s="377"/>
      <c r="M384" s="377"/>
    </row>
    <row r="385" ht="15.75" customHeight="1">
      <c r="A385" s="377"/>
      <c r="B385" s="377"/>
      <c r="C385" s="377"/>
      <c r="D385" s="377"/>
      <c r="E385" s="377"/>
      <c r="F385" s="377"/>
      <c r="G385" s="377"/>
      <c r="H385" s="379"/>
      <c r="I385" s="377"/>
      <c r="J385" s="377"/>
      <c r="K385" s="377"/>
      <c r="L385" s="377"/>
      <c r="M385" s="377"/>
    </row>
    <row r="386" ht="15.75" customHeight="1">
      <c r="A386" s="377"/>
      <c r="B386" s="377"/>
      <c r="C386" s="377"/>
      <c r="D386" s="377"/>
      <c r="E386" s="377"/>
      <c r="F386" s="377"/>
      <c r="G386" s="377"/>
      <c r="H386" s="379"/>
      <c r="I386" s="377"/>
      <c r="J386" s="377"/>
      <c r="K386" s="377"/>
      <c r="L386" s="377"/>
      <c r="M386" s="377"/>
    </row>
    <row r="387" ht="15.75" customHeight="1">
      <c r="A387" s="377"/>
      <c r="B387" s="377"/>
      <c r="C387" s="377"/>
      <c r="D387" s="377"/>
      <c r="E387" s="377"/>
      <c r="F387" s="377"/>
      <c r="G387" s="377"/>
      <c r="H387" s="379"/>
      <c r="I387" s="377"/>
      <c r="J387" s="377"/>
      <c r="K387" s="377"/>
      <c r="L387" s="377"/>
      <c r="M387" s="377"/>
    </row>
    <row r="388" ht="15.75" customHeight="1">
      <c r="A388" s="377"/>
      <c r="B388" s="377"/>
      <c r="C388" s="377"/>
      <c r="D388" s="377"/>
      <c r="E388" s="377"/>
      <c r="F388" s="377"/>
      <c r="G388" s="377"/>
      <c r="H388" s="379"/>
      <c r="I388" s="377"/>
      <c r="J388" s="377"/>
      <c r="K388" s="377"/>
      <c r="L388" s="377"/>
      <c r="M388" s="377"/>
    </row>
    <row r="389" ht="15.75" customHeight="1">
      <c r="A389" s="377"/>
      <c r="B389" s="377"/>
      <c r="C389" s="377"/>
      <c r="D389" s="377"/>
      <c r="E389" s="377"/>
      <c r="F389" s="377"/>
      <c r="G389" s="377"/>
      <c r="H389" s="379"/>
      <c r="I389" s="377"/>
      <c r="J389" s="377"/>
      <c r="K389" s="377"/>
      <c r="L389" s="377"/>
      <c r="M389" s="377"/>
    </row>
    <row r="390" ht="15.75" customHeight="1">
      <c r="A390" s="377"/>
      <c r="B390" s="377"/>
      <c r="C390" s="377"/>
      <c r="D390" s="377"/>
      <c r="E390" s="377"/>
      <c r="F390" s="377"/>
      <c r="G390" s="377"/>
      <c r="H390" s="379"/>
      <c r="I390" s="377"/>
      <c r="J390" s="377"/>
      <c r="K390" s="377"/>
      <c r="L390" s="377"/>
      <c r="M390" s="377"/>
    </row>
    <row r="391" ht="15.75" customHeight="1">
      <c r="A391" s="377"/>
      <c r="B391" s="377"/>
      <c r="C391" s="377"/>
      <c r="D391" s="377"/>
      <c r="E391" s="377"/>
      <c r="F391" s="377"/>
      <c r="G391" s="377"/>
      <c r="H391" s="379"/>
      <c r="I391" s="377"/>
      <c r="J391" s="377"/>
      <c r="K391" s="377"/>
      <c r="L391" s="377"/>
      <c r="M391" s="377"/>
    </row>
    <row r="392" ht="15.75" customHeight="1">
      <c r="A392" s="377"/>
      <c r="B392" s="377"/>
      <c r="C392" s="377"/>
      <c r="D392" s="377"/>
      <c r="E392" s="377"/>
      <c r="F392" s="377"/>
      <c r="G392" s="377"/>
      <c r="H392" s="379"/>
      <c r="I392" s="377"/>
      <c r="J392" s="377"/>
      <c r="K392" s="377"/>
      <c r="L392" s="377"/>
      <c r="M392" s="377"/>
    </row>
    <row r="393" ht="15.75" customHeight="1">
      <c r="A393" s="377"/>
      <c r="B393" s="377"/>
      <c r="C393" s="377"/>
      <c r="D393" s="377"/>
      <c r="E393" s="377"/>
      <c r="F393" s="377"/>
      <c r="G393" s="377"/>
      <c r="H393" s="379"/>
      <c r="I393" s="377"/>
      <c r="J393" s="377"/>
      <c r="K393" s="377"/>
      <c r="L393" s="377"/>
      <c r="M393" s="377"/>
    </row>
    <row r="394" ht="15.75" customHeight="1">
      <c r="A394" s="377"/>
      <c r="B394" s="377"/>
      <c r="C394" s="377"/>
      <c r="D394" s="377"/>
      <c r="E394" s="377"/>
      <c r="F394" s="377"/>
      <c r="G394" s="377"/>
      <c r="H394" s="379"/>
      <c r="I394" s="377"/>
      <c r="J394" s="377"/>
      <c r="K394" s="377"/>
      <c r="L394" s="377"/>
      <c r="M394" s="377"/>
    </row>
    <row r="395" ht="15.75" customHeight="1">
      <c r="A395" s="377"/>
      <c r="B395" s="377"/>
      <c r="C395" s="377"/>
      <c r="D395" s="377"/>
      <c r="E395" s="377"/>
      <c r="F395" s="377"/>
      <c r="G395" s="377"/>
      <c r="H395" s="379"/>
      <c r="I395" s="377"/>
      <c r="J395" s="377"/>
      <c r="K395" s="377"/>
      <c r="L395" s="377"/>
      <c r="M395" s="377"/>
    </row>
    <row r="396" ht="15.75" customHeight="1">
      <c r="A396" s="377"/>
      <c r="B396" s="377"/>
      <c r="C396" s="377"/>
      <c r="D396" s="377"/>
      <c r="E396" s="377"/>
      <c r="F396" s="377"/>
      <c r="G396" s="377"/>
      <c r="H396" s="379"/>
      <c r="I396" s="377"/>
      <c r="J396" s="377"/>
      <c r="K396" s="377"/>
      <c r="L396" s="377"/>
      <c r="M396" s="377"/>
    </row>
    <row r="397" ht="15.75" customHeight="1">
      <c r="A397" s="377"/>
      <c r="B397" s="377"/>
      <c r="C397" s="377"/>
      <c r="D397" s="377"/>
      <c r="E397" s="377"/>
      <c r="F397" s="377"/>
      <c r="G397" s="377"/>
      <c r="H397" s="379"/>
      <c r="I397" s="377"/>
      <c r="J397" s="377"/>
      <c r="K397" s="377"/>
      <c r="L397" s="377"/>
      <c r="M397" s="377"/>
    </row>
    <row r="398" ht="15.75" customHeight="1">
      <c r="A398" s="377"/>
      <c r="B398" s="377"/>
      <c r="C398" s="377"/>
      <c r="D398" s="377"/>
      <c r="E398" s="377"/>
      <c r="F398" s="377"/>
      <c r="G398" s="377"/>
      <c r="H398" s="379"/>
      <c r="I398" s="377"/>
      <c r="J398" s="377"/>
      <c r="K398" s="377"/>
      <c r="L398" s="377"/>
      <c r="M398" s="377"/>
    </row>
    <row r="399" ht="15.75" customHeight="1">
      <c r="A399" s="377"/>
      <c r="B399" s="377"/>
      <c r="C399" s="377"/>
      <c r="D399" s="377"/>
      <c r="E399" s="377"/>
      <c r="F399" s="377"/>
      <c r="G399" s="377"/>
      <c r="H399" s="379"/>
      <c r="I399" s="377"/>
      <c r="J399" s="377"/>
      <c r="K399" s="377"/>
      <c r="L399" s="377"/>
      <c r="M399" s="377"/>
    </row>
    <row r="400" ht="15.75" customHeight="1">
      <c r="A400" s="377"/>
      <c r="B400" s="377"/>
      <c r="C400" s="377"/>
      <c r="D400" s="377"/>
      <c r="E400" s="377"/>
      <c r="F400" s="377"/>
      <c r="G400" s="377"/>
      <c r="H400" s="379"/>
      <c r="I400" s="377"/>
      <c r="J400" s="377"/>
      <c r="K400" s="377"/>
      <c r="L400" s="377"/>
      <c r="M400" s="377"/>
    </row>
    <row r="401" ht="15.75" customHeight="1">
      <c r="A401" s="377"/>
      <c r="B401" s="377"/>
      <c r="C401" s="377"/>
      <c r="D401" s="377"/>
      <c r="E401" s="377"/>
      <c r="F401" s="377"/>
      <c r="G401" s="377"/>
      <c r="H401" s="379"/>
      <c r="I401" s="377"/>
      <c r="J401" s="377"/>
      <c r="K401" s="377"/>
      <c r="L401" s="377"/>
      <c r="M401" s="377"/>
    </row>
    <row r="402" ht="15.75" customHeight="1">
      <c r="A402" s="377"/>
      <c r="B402" s="377"/>
      <c r="C402" s="377"/>
      <c r="D402" s="377"/>
      <c r="E402" s="377"/>
      <c r="F402" s="377"/>
      <c r="G402" s="377"/>
      <c r="H402" s="379"/>
      <c r="I402" s="377"/>
      <c r="J402" s="377"/>
      <c r="K402" s="377"/>
      <c r="L402" s="377"/>
      <c r="M402" s="377"/>
    </row>
    <row r="403" ht="15.75" customHeight="1">
      <c r="A403" s="377"/>
      <c r="B403" s="377"/>
      <c r="C403" s="377"/>
      <c r="D403" s="377"/>
      <c r="E403" s="377"/>
      <c r="F403" s="377"/>
      <c r="G403" s="377"/>
      <c r="H403" s="379"/>
      <c r="I403" s="377"/>
      <c r="J403" s="377"/>
      <c r="K403" s="377"/>
      <c r="L403" s="377"/>
      <c r="M403" s="377"/>
    </row>
    <row r="404" ht="15.75" customHeight="1">
      <c r="A404" s="377"/>
      <c r="B404" s="377"/>
      <c r="C404" s="377"/>
      <c r="D404" s="377"/>
      <c r="E404" s="377"/>
      <c r="F404" s="377"/>
      <c r="G404" s="377"/>
      <c r="H404" s="379"/>
      <c r="I404" s="377"/>
      <c r="J404" s="377"/>
      <c r="K404" s="377"/>
      <c r="L404" s="377"/>
      <c r="M404" s="377"/>
    </row>
    <row r="405" ht="15.75" customHeight="1">
      <c r="A405" s="377"/>
      <c r="B405" s="377"/>
      <c r="C405" s="377"/>
      <c r="D405" s="377"/>
      <c r="E405" s="377"/>
      <c r="F405" s="377"/>
      <c r="G405" s="377"/>
      <c r="H405" s="379"/>
      <c r="I405" s="377"/>
      <c r="J405" s="377"/>
      <c r="K405" s="377"/>
      <c r="L405" s="377"/>
      <c r="M405" s="377"/>
    </row>
    <row r="406" ht="15.75" customHeight="1">
      <c r="A406" s="377"/>
      <c r="B406" s="377"/>
      <c r="C406" s="377"/>
      <c r="D406" s="377"/>
      <c r="E406" s="377"/>
      <c r="F406" s="377"/>
      <c r="G406" s="377"/>
      <c r="H406" s="379"/>
      <c r="I406" s="377"/>
      <c r="J406" s="377"/>
      <c r="K406" s="377"/>
      <c r="L406" s="377"/>
      <c r="M406" s="377"/>
    </row>
    <row r="407" ht="15.75" customHeight="1">
      <c r="A407" s="377"/>
      <c r="B407" s="377"/>
      <c r="C407" s="377"/>
      <c r="D407" s="377"/>
      <c r="E407" s="377"/>
      <c r="F407" s="377"/>
      <c r="G407" s="377"/>
      <c r="H407" s="379"/>
      <c r="I407" s="377"/>
      <c r="J407" s="377"/>
      <c r="K407" s="377"/>
      <c r="L407" s="377"/>
      <c r="M407" s="377"/>
    </row>
    <row r="408" ht="15.75" customHeight="1">
      <c r="A408" s="377"/>
      <c r="B408" s="377"/>
      <c r="C408" s="377"/>
      <c r="D408" s="377"/>
      <c r="E408" s="377"/>
      <c r="F408" s="377"/>
      <c r="G408" s="377"/>
      <c r="H408" s="379"/>
      <c r="I408" s="377"/>
      <c r="J408" s="377"/>
      <c r="K408" s="377"/>
      <c r="L408" s="377"/>
      <c r="M408" s="377"/>
    </row>
    <row r="409" ht="15.75" customHeight="1">
      <c r="A409" s="377"/>
      <c r="B409" s="377"/>
      <c r="C409" s="377"/>
      <c r="D409" s="377"/>
      <c r="E409" s="377"/>
      <c r="F409" s="377"/>
      <c r="G409" s="377"/>
      <c r="H409" s="379"/>
      <c r="I409" s="377"/>
      <c r="J409" s="377"/>
      <c r="K409" s="377"/>
      <c r="L409" s="377"/>
      <c r="M409" s="377"/>
    </row>
    <row r="410" ht="15.75" customHeight="1">
      <c r="A410" s="377"/>
      <c r="B410" s="377"/>
      <c r="C410" s="377"/>
      <c r="D410" s="377"/>
      <c r="E410" s="377"/>
      <c r="F410" s="377"/>
      <c r="G410" s="377"/>
      <c r="H410" s="379"/>
      <c r="I410" s="377"/>
      <c r="J410" s="377"/>
      <c r="K410" s="377"/>
      <c r="L410" s="377"/>
      <c r="M410" s="377"/>
    </row>
    <row r="411" ht="15.75" customHeight="1">
      <c r="A411" s="377"/>
      <c r="B411" s="377"/>
      <c r="C411" s="377"/>
      <c r="D411" s="377"/>
      <c r="E411" s="377"/>
      <c r="F411" s="377"/>
      <c r="G411" s="377"/>
      <c r="H411" s="379"/>
      <c r="I411" s="377"/>
      <c r="J411" s="377"/>
      <c r="K411" s="377"/>
      <c r="L411" s="377"/>
      <c r="M411" s="377"/>
    </row>
    <row r="412" ht="15.75" customHeight="1">
      <c r="A412" s="377"/>
      <c r="B412" s="377"/>
      <c r="C412" s="377"/>
      <c r="D412" s="377"/>
      <c r="E412" s="377"/>
      <c r="F412" s="377"/>
      <c r="G412" s="377"/>
      <c r="H412" s="379"/>
      <c r="I412" s="377"/>
      <c r="J412" s="377"/>
      <c r="K412" s="377"/>
      <c r="L412" s="377"/>
      <c r="M412" s="377"/>
    </row>
    <row r="413" ht="15.75" customHeight="1">
      <c r="A413" s="377"/>
      <c r="B413" s="377"/>
      <c r="C413" s="377"/>
      <c r="D413" s="377"/>
      <c r="E413" s="377"/>
      <c r="F413" s="377"/>
      <c r="G413" s="377"/>
      <c r="H413" s="379"/>
      <c r="I413" s="377"/>
      <c r="J413" s="377"/>
      <c r="K413" s="377"/>
      <c r="L413" s="377"/>
      <c r="M413" s="377"/>
    </row>
    <row r="414" ht="15.75" customHeight="1">
      <c r="A414" s="377"/>
      <c r="B414" s="377"/>
      <c r="C414" s="377"/>
      <c r="D414" s="377"/>
      <c r="E414" s="377"/>
      <c r="F414" s="377"/>
      <c r="G414" s="377"/>
      <c r="H414" s="379"/>
      <c r="I414" s="377"/>
      <c r="J414" s="377"/>
      <c r="K414" s="377"/>
      <c r="L414" s="377"/>
      <c r="M414" s="377"/>
    </row>
    <row r="415" ht="15.75" customHeight="1">
      <c r="A415" s="377"/>
      <c r="B415" s="377"/>
      <c r="C415" s="377"/>
      <c r="D415" s="377"/>
      <c r="E415" s="377"/>
      <c r="F415" s="377"/>
      <c r="G415" s="377"/>
      <c r="H415" s="379"/>
      <c r="I415" s="377"/>
      <c r="J415" s="377"/>
      <c r="K415" s="377"/>
      <c r="L415" s="377"/>
      <c r="M415" s="377"/>
    </row>
    <row r="416" ht="15.75" customHeight="1">
      <c r="A416" s="377"/>
      <c r="B416" s="377"/>
      <c r="C416" s="377"/>
      <c r="D416" s="377"/>
      <c r="E416" s="377"/>
      <c r="F416" s="377"/>
      <c r="G416" s="377"/>
      <c r="H416" s="379"/>
      <c r="I416" s="377"/>
      <c r="J416" s="377"/>
      <c r="K416" s="377"/>
      <c r="L416" s="377"/>
      <c r="M416" s="377"/>
    </row>
    <row r="417" ht="15.75" customHeight="1">
      <c r="A417" s="377"/>
      <c r="B417" s="377"/>
      <c r="C417" s="377"/>
      <c r="D417" s="377"/>
      <c r="E417" s="377"/>
      <c r="F417" s="377"/>
      <c r="G417" s="377"/>
      <c r="H417" s="379"/>
      <c r="I417" s="377"/>
      <c r="J417" s="377"/>
      <c r="K417" s="377"/>
      <c r="L417" s="377"/>
      <c r="M417" s="377"/>
    </row>
    <row r="418" ht="15.75" customHeight="1">
      <c r="A418" s="377"/>
      <c r="B418" s="377"/>
      <c r="C418" s="377"/>
      <c r="D418" s="377"/>
      <c r="E418" s="377"/>
      <c r="F418" s="377"/>
      <c r="G418" s="377"/>
      <c r="H418" s="379"/>
      <c r="I418" s="377"/>
      <c r="J418" s="377"/>
      <c r="K418" s="377"/>
      <c r="L418" s="377"/>
      <c r="M418" s="377"/>
    </row>
    <row r="419" ht="15.75" customHeight="1">
      <c r="A419" s="377"/>
      <c r="B419" s="377"/>
      <c r="C419" s="377"/>
      <c r="D419" s="377"/>
      <c r="E419" s="377"/>
      <c r="F419" s="377"/>
      <c r="G419" s="377"/>
      <c r="H419" s="379"/>
      <c r="I419" s="377"/>
      <c r="J419" s="377"/>
      <c r="K419" s="377"/>
      <c r="L419" s="377"/>
      <c r="M419" s="377"/>
    </row>
    <row r="420" ht="15.75" customHeight="1">
      <c r="A420" s="377"/>
      <c r="B420" s="377"/>
      <c r="C420" s="377"/>
      <c r="D420" s="377"/>
      <c r="E420" s="377"/>
      <c r="F420" s="377"/>
      <c r="G420" s="377"/>
      <c r="H420" s="379"/>
      <c r="I420" s="377"/>
      <c r="J420" s="377"/>
      <c r="K420" s="377"/>
      <c r="L420" s="377"/>
      <c r="M420" s="377"/>
    </row>
    <row r="421" ht="15.75" customHeight="1">
      <c r="A421" s="377"/>
      <c r="B421" s="377"/>
      <c r="C421" s="377"/>
      <c r="D421" s="377"/>
      <c r="E421" s="377"/>
      <c r="F421" s="377"/>
      <c r="G421" s="377"/>
      <c r="H421" s="379"/>
      <c r="I421" s="377"/>
      <c r="J421" s="377"/>
      <c r="K421" s="377"/>
      <c r="L421" s="377"/>
      <c r="M421" s="377"/>
    </row>
    <row r="422" ht="15.75" customHeight="1">
      <c r="A422" s="377"/>
      <c r="B422" s="377"/>
      <c r="C422" s="377"/>
      <c r="D422" s="377"/>
      <c r="E422" s="377"/>
      <c r="F422" s="377"/>
      <c r="G422" s="377"/>
      <c r="H422" s="379"/>
      <c r="I422" s="377"/>
      <c r="J422" s="377"/>
      <c r="K422" s="377"/>
      <c r="L422" s="377"/>
      <c r="M422" s="377"/>
    </row>
    <row r="423" ht="15.75" customHeight="1">
      <c r="A423" s="377"/>
      <c r="B423" s="377"/>
      <c r="C423" s="377"/>
      <c r="D423" s="377"/>
      <c r="E423" s="377"/>
      <c r="F423" s="377"/>
      <c r="G423" s="377"/>
      <c r="H423" s="379"/>
      <c r="I423" s="377"/>
      <c r="J423" s="377"/>
      <c r="K423" s="377"/>
      <c r="L423" s="377"/>
      <c r="M423" s="377"/>
    </row>
    <row r="424" ht="15.75" customHeight="1">
      <c r="A424" s="377"/>
      <c r="B424" s="377"/>
      <c r="C424" s="377"/>
      <c r="D424" s="377"/>
      <c r="E424" s="377"/>
      <c r="F424" s="377"/>
      <c r="G424" s="377"/>
      <c r="H424" s="379"/>
      <c r="I424" s="377"/>
      <c r="J424" s="377"/>
      <c r="K424" s="377"/>
      <c r="L424" s="377"/>
      <c r="M424" s="377"/>
    </row>
    <row r="425" ht="15.75" customHeight="1">
      <c r="A425" s="377"/>
      <c r="B425" s="377"/>
      <c r="C425" s="377"/>
      <c r="D425" s="377"/>
      <c r="E425" s="377"/>
      <c r="F425" s="377"/>
      <c r="G425" s="377"/>
      <c r="H425" s="379"/>
      <c r="I425" s="377"/>
      <c r="J425" s="377"/>
      <c r="K425" s="377"/>
      <c r="L425" s="377"/>
      <c r="M425" s="377"/>
    </row>
    <row r="426" ht="15.75" customHeight="1">
      <c r="A426" s="377"/>
      <c r="B426" s="377"/>
      <c r="C426" s="377"/>
      <c r="D426" s="377"/>
      <c r="E426" s="377"/>
      <c r="F426" s="377"/>
      <c r="G426" s="377"/>
      <c r="H426" s="379"/>
      <c r="I426" s="377"/>
      <c r="J426" s="377"/>
      <c r="K426" s="377"/>
      <c r="L426" s="377"/>
      <c r="M426" s="377"/>
    </row>
    <row r="427" ht="15.75" customHeight="1">
      <c r="A427" s="377"/>
      <c r="B427" s="377"/>
      <c r="C427" s="377"/>
      <c r="D427" s="377"/>
      <c r="E427" s="377"/>
      <c r="F427" s="377"/>
      <c r="G427" s="377"/>
      <c r="H427" s="379"/>
      <c r="I427" s="377"/>
      <c r="J427" s="377"/>
      <c r="K427" s="377"/>
      <c r="L427" s="377"/>
      <c r="M427" s="377"/>
    </row>
    <row r="428" ht="15.75" customHeight="1">
      <c r="A428" s="377"/>
      <c r="B428" s="377"/>
      <c r="C428" s="377"/>
      <c r="D428" s="377"/>
      <c r="E428" s="377"/>
      <c r="F428" s="377"/>
      <c r="G428" s="377"/>
      <c r="H428" s="379"/>
      <c r="I428" s="377"/>
      <c r="J428" s="377"/>
      <c r="K428" s="377"/>
      <c r="L428" s="377"/>
      <c r="M428" s="377"/>
    </row>
    <row r="429" ht="15.75" customHeight="1">
      <c r="A429" s="377"/>
      <c r="B429" s="377"/>
      <c r="C429" s="377"/>
      <c r="D429" s="377"/>
      <c r="E429" s="377"/>
      <c r="F429" s="377"/>
      <c r="G429" s="377"/>
      <c r="H429" s="379"/>
      <c r="I429" s="377"/>
      <c r="J429" s="377"/>
      <c r="K429" s="377"/>
      <c r="L429" s="377"/>
      <c r="M429" s="377"/>
    </row>
    <row r="430" ht="15.75" customHeight="1">
      <c r="A430" s="377"/>
      <c r="B430" s="377"/>
      <c r="C430" s="377"/>
      <c r="D430" s="377"/>
      <c r="E430" s="377"/>
      <c r="F430" s="377"/>
      <c r="G430" s="377"/>
      <c r="H430" s="379"/>
      <c r="I430" s="377"/>
      <c r="J430" s="377"/>
      <c r="K430" s="377"/>
      <c r="L430" s="377"/>
      <c r="M430" s="377"/>
    </row>
    <row r="431" ht="15.75" customHeight="1">
      <c r="A431" s="377"/>
      <c r="B431" s="377"/>
      <c r="C431" s="377"/>
      <c r="D431" s="377"/>
      <c r="E431" s="377"/>
      <c r="F431" s="377"/>
      <c r="G431" s="377"/>
      <c r="H431" s="379"/>
      <c r="I431" s="377"/>
      <c r="J431" s="377"/>
      <c r="K431" s="377"/>
      <c r="L431" s="377"/>
      <c r="M431" s="377"/>
    </row>
    <row r="432" ht="15.75" customHeight="1">
      <c r="A432" s="377"/>
      <c r="B432" s="377"/>
      <c r="C432" s="377"/>
      <c r="D432" s="377"/>
      <c r="E432" s="377"/>
      <c r="F432" s="377"/>
      <c r="G432" s="377"/>
      <c r="H432" s="379"/>
      <c r="I432" s="377"/>
      <c r="J432" s="377"/>
      <c r="K432" s="377"/>
      <c r="L432" s="377"/>
      <c r="M432" s="377"/>
    </row>
    <row r="433" ht="15.75" customHeight="1">
      <c r="A433" s="377"/>
      <c r="B433" s="377"/>
      <c r="C433" s="377"/>
      <c r="D433" s="377"/>
      <c r="E433" s="377"/>
      <c r="F433" s="377"/>
      <c r="G433" s="377"/>
      <c r="H433" s="379"/>
      <c r="I433" s="377"/>
      <c r="J433" s="377"/>
      <c r="K433" s="377"/>
      <c r="L433" s="377"/>
      <c r="M433" s="377"/>
    </row>
    <row r="434" ht="15.75" customHeight="1">
      <c r="A434" s="377"/>
      <c r="B434" s="377"/>
      <c r="C434" s="377"/>
      <c r="D434" s="377"/>
      <c r="E434" s="377"/>
      <c r="F434" s="377"/>
      <c r="G434" s="377"/>
      <c r="H434" s="379"/>
      <c r="I434" s="377"/>
      <c r="J434" s="377"/>
      <c r="K434" s="377"/>
      <c r="L434" s="377"/>
      <c r="M434" s="377"/>
    </row>
    <row r="435" ht="15.75" customHeight="1">
      <c r="A435" s="377"/>
      <c r="B435" s="377"/>
      <c r="C435" s="377"/>
      <c r="D435" s="377"/>
      <c r="E435" s="377"/>
      <c r="F435" s="377"/>
      <c r="G435" s="377"/>
      <c r="H435" s="379"/>
      <c r="I435" s="377"/>
      <c r="J435" s="377"/>
      <c r="K435" s="377"/>
      <c r="L435" s="377"/>
      <c r="M435" s="377"/>
    </row>
    <row r="436" ht="15.75" customHeight="1">
      <c r="A436" s="377"/>
      <c r="B436" s="377"/>
      <c r="C436" s="377"/>
      <c r="D436" s="377"/>
      <c r="E436" s="377"/>
      <c r="F436" s="377"/>
      <c r="G436" s="377"/>
      <c r="H436" s="379"/>
      <c r="I436" s="377"/>
      <c r="J436" s="377"/>
      <c r="K436" s="377"/>
      <c r="L436" s="377"/>
      <c r="M436" s="377"/>
    </row>
    <row r="437" ht="15.75" customHeight="1">
      <c r="A437" s="377"/>
      <c r="B437" s="377"/>
      <c r="C437" s="377"/>
      <c r="D437" s="377"/>
      <c r="E437" s="377"/>
      <c r="F437" s="377"/>
      <c r="G437" s="377"/>
      <c r="H437" s="379"/>
      <c r="I437" s="377"/>
      <c r="J437" s="377"/>
      <c r="K437" s="377"/>
      <c r="L437" s="377"/>
      <c r="M437" s="377"/>
    </row>
    <row r="438" ht="15.75" customHeight="1">
      <c r="A438" s="377"/>
      <c r="B438" s="377"/>
      <c r="C438" s="377"/>
      <c r="D438" s="377"/>
      <c r="E438" s="377"/>
      <c r="F438" s="377"/>
      <c r="G438" s="377"/>
      <c r="H438" s="379"/>
      <c r="I438" s="377"/>
      <c r="J438" s="377"/>
      <c r="K438" s="377"/>
      <c r="L438" s="377"/>
      <c r="M438" s="377"/>
    </row>
    <row r="439" ht="15.75" customHeight="1">
      <c r="A439" s="377"/>
      <c r="B439" s="377"/>
      <c r="C439" s="377"/>
      <c r="D439" s="377"/>
      <c r="E439" s="377"/>
      <c r="F439" s="377"/>
      <c r="G439" s="377"/>
      <c r="H439" s="379"/>
      <c r="I439" s="377"/>
      <c r="J439" s="377"/>
      <c r="K439" s="377"/>
      <c r="L439" s="377"/>
      <c r="M439" s="377"/>
    </row>
    <row r="440" ht="15.75" customHeight="1">
      <c r="A440" s="377"/>
      <c r="B440" s="377"/>
      <c r="C440" s="377"/>
      <c r="D440" s="377"/>
      <c r="E440" s="377"/>
      <c r="F440" s="377"/>
      <c r="G440" s="377"/>
      <c r="H440" s="379"/>
      <c r="I440" s="377"/>
      <c r="J440" s="377"/>
      <c r="K440" s="377"/>
      <c r="L440" s="377"/>
      <c r="M440" s="377"/>
    </row>
    <row r="441" ht="15.75" customHeight="1">
      <c r="A441" s="377"/>
      <c r="B441" s="377"/>
      <c r="C441" s="377"/>
      <c r="D441" s="377"/>
      <c r="E441" s="377"/>
      <c r="F441" s="377"/>
      <c r="G441" s="377"/>
      <c r="H441" s="379"/>
      <c r="I441" s="377"/>
      <c r="J441" s="377"/>
      <c r="K441" s="377"/>
      <c r="L441" s="377"/>
      <c r="M441" s="377"/>
    </row>
    <row r="442" ht="15.75" customHeight="1">
      <c r="A442" s="377"/>
      <c r="B442" s="377"/>
      <c r="C442" s="377"/>
      <c r="D442" s="377"/>
      <c r="E442" s="377"/>
      <c r="F442" s="377"/>
      <c r="G442" s="377"/>
      <c r="H442" s="379"/>
      <c r="I442" s="377"/>
      <c r="J442" s="377"/>
      <c r="K442" s="377"/>
      <c r="L442" s="377"/>
      <c r="M442" s="377"/>
    </row>
    <row r="443" ht="15.75" customHeight="1">
      <c r="A443" s="377"/>
      <c r="B443" s="377"/>
      <c r="C443" s="377"/>
      <c r="D443" s="377"/>
      <c r="E443" s="377"/>
      <c r="F443" s="377"/>
      <c r="G443" s="377"/>
      <c r="H443" s="379"/>
      <c r="I443" s="377"/>
      <c r="J443" s="377"/>
      <c r="K443" s="377"/>
      <c r="L443" s="377"/>
      <c r="M443" s="377"/>
    </row>
    <row r="444" ht="15.75" customHeight="1">
      <c r="A444" s="377"/>
      <c r="B444" s="377"/>
      <c r="C444" s="377"/>
      <c r="D444" s="377"/>
      <c r="E444" s="377"/>
      <c r="F444" s="377"/>
      <c r="G444" s="377"/>
      <c r="H444" s="379"/>
      <c r="I444" s="377"/>
      <c r="J444" s="377"/>
      <c r="K444" s="377"/>
      <c r="L444" s="377"/>
      <c r="M444" s="377"/>
    </row>
    <row r="445" ht="15.75" customHeight="1">
      <c r="A445" s="377"/>
      <c r="B445" s="377"/>
      <c r="C445" s="377"/>
      <c r="D445" s="377"/>
      <c r="E445" s="377"/>
      <c r="F445" s="377"/>
      <c r="G445" s="377"/>
      <c r="H445" s="379"/>
      <c r="I445" s="377"/>
      <c r="J445" s="377"/>
      <c r="K445" s="377"/>
      <c r="L445" s="377"/>
      <c r="M445" s="377"/>
    </row>
    <row r="446" ht="15.75" customHeight="1">
      <c r="A446" s="377"/>
      <c r="B446" s="377"/>
      <c r="C446" s="377"/>
      <c r="D446" s="377"/>
      <c r="E446" s="377"/>
      <c r="F446" s="377"/>
      <c r="G446" s="377"/>
      <c r="H446" s="379"/>
      <c r="I446" s="377"/>
      <c r="J446" s="377"/>
      <c r="K446" s="377"/>
      <c r="L446" s="377"/>
      <c r="M446" s="377"/>
    </row>
    <row r="447" ht="15.75" customHeight="1">
      <c r="A447" s="377"/>
      <c r="B447" s="377"/>
      <c r="C447" s="377"/>
      <c r="D447" s="377"/>
      <c r="E447" s="377"/>
      <c r="F447" s="377"/>
      <c r="G447" s="377"/>
      <c r="H447" s="379"/>
      <c r="I447" s="377"/>
      <c r="J447" s="377"/>
      <c r="K447" s="377"/>
      <c r="L447" s="377"/>
      <c r="M447" s="377"/>
    </row>
    <row r="448" ht="15.75" customHeight="1">
      <c r="A448" s="377"/>
      <c r="B448" s="377"/>
      <c r="C448" s="377"/>
      <c r="D448" s="377"/>
      <c r="E448" s="377"/>
      <c r="F448" s="377"/>
      <c r="G448" s="377"/>
      <c r="H448" s="379"/>
      <c r="I448" s="377"/>
      <c r="J448" s="377"/>
      <c r="K448" s="377"/>
      <c r="L448" s="377"/>
      <c r="M448" s="377"/>
    </row>
    <row r="449" ht="15.75" customHeight="1">
      <c r="A449" s="377"/>
      <c r="B449" s="377"/>
      <c r="C449" s="377"/>
      <c r="D449" s="377"/>
      <c r="E449" s="377"/>
      <c r="F449" s="377"/>
      <c r="G449" s="377"/>
      <c r="H449" s="379"/>
      <c r="I449" s="377"/>
      <c r="J449" s="377"/>
      <c r="K449" s="377"/>
      <c r="L449" s="377"/>
      <c r="M449" s="377"/>
    </row>
    <row r="450" ht="15.75" customHeight="1">
      <c r="A450" s="377"/>
      <c r="B450" s="377"/>
      <c r="C450" s="377"/>
      <c r="D450" s="377"/>
      <c r="E450" s="377"/>
      <c r="F450" s="377"/>
      <c r="G450" s="377"/>
      <c r="H450" s="379"/>
      <c r="I450" s="377"/>
      <c r="J450" s="377"/>
      <c r="K450" s="377"/>
      <c r="L450" s="377"/>
      <c r="M450" s="377"/>
    </row>
    <row r="451" ht="15.75" customHeight="1">
      <c r="A451" s="377"/>
      <c r="B451" s="377"/>
      <c r="C451" s="377"/>
      <c r="D451" s="377"/>
      <c r="E451" s="377"/>
      <c r="F451" s="377"/>
      <c r="G451" s="377"/>
      <c r="H451" s="379"/>
      <c r="I451" s="377"/>
      <c r="J451" s="377"/>
      <c r="K451" s="377"/>
      <c r="L451" s="377"/>
      <c r="M451" s="377"/>
    </row>
    <row r="452" ht="15.75" customHeight="1">
      <c r="A452" s="377"/>
      <c r="B452" s="377"/>
      <c r="C452" s="377"/>
      <c r="D452" s="377"/>
      <c r="E452" s="377"/>
      <c r="F452" s="377"/>
      <c r="G452" s="377"/>
      <c r="H452" s="379"/>
      <c r="I452" s="377"/>
      <c r="J452" s="377"/>
      <c r="K452" s="377"/>
      <c r="L452" s="377"/>
      <c r="M452" s="377"/>
    </row>
    <row r="453" ht="15.75" customHeight="1">
      <c r="A453" s="377"/>
      <c r="B453" s="377"/>
      <c r="C453" s="377"/>
      <c r="D453" s="377"/>
      <c r="E453" s="377"/>
      <c r="F453" s="377"/>
      <c r="G453" s="377"/>
      <c r="H453" s="379"/>
      <c r="I453" s="377"/>
      <c r="J453" s="377"/>
      <c r="K453" s="377"/>
      <c r="L453" s="377"/>
      <c r="M453" s="377"/>
    </row>
    <row r="454" ht="15.75" customHeight="1">
      <c r="A454" s="377"/>
      <c r="B454" s="377"/>
      <c r="C454" s="377"/>
      <c r="D454" s="377"/>
      <c r="E454" s="377"/>
      <c r="F454" s="377"/>
      <c r="G454" s="377"/>
      <c r="H454" s="379"/>
      <c r="I454" s="377"/>
      <c r="J454" s="377"/>
      <c r="K454" s="377"/>
      <c r="L454" s="377"/>
      <c r="M454" s="377"/>
    </row>
    <row r="455" ht="15.75" customHeight="1">
      <c r="A455" s="377"/>
      <c r="B455" s="377"/>
      <c r="C455" s="377"/>
      <c r="D455" s="377"/>
      <c r="E455" s="377"/>
      <c r="F455" s="377"/>
      <c r="G455" s="377"/>
      <c r="H455" s="379"/>
      <c r="I455" s="377"/>
      <c r="J455" s="377"/>
      <c r="K455" s="377"/>
      <c r="L455" s="377"/>
      <c r="M455" s="377"/>
    </row>
    <row r="456" ht="15.75" customHeight="1">
      <c r="A456" s="377"/>
      <c r="B456" s="377"/>
      <c r="C456" s="377"/>
      <c r="D456" s="377"/>
      <c r="E456" s="377"/>
      <c r="F456" s="377"/>
      <c r="G456" s="377"/>
      <c r="H456" s="379"/>
      <c r="I456" s="377"/>
      <c r="J456" s="377"/>
      <c r="K456" s="377"/>
      <c r="L456" s="377"/>
      <c r="M456" s="377"/>
    </row>
    <row r="457" ht="15.75" customHeight="1">
      <c r="A457" s="377"/>
      <c r="B457" s="377"/>
      <c r="C457" s="377"/>
      <c r="D457" s="377"/>
      <c r="E457" s="377"/>
      <c r="F457" s="377"/>
      <c r="G457" s="377"/>
      <c r="H457" s="379"/>
      <c r="I457" s="377"/>
      <c r="J457" s="377"/>
      <c r="K457" s="377"/>
      <c r="L457" s="377"/>
      <c r="M457" s="377"/>
    </row>
    <row r="458" ht="15.75" customHeight="1">
      <c r="A458" s="377"/>
      <c r="B458" s="377"/>
      <c r="C458" s="377"/>
      <c r="D458" s="377"/>
      <c r="E458" s="377"/>
      <c r="F458" s="377"/>
      <c r="G458" s="377"/>
      <c r="H458" s="379"/>
      <c r="I458" s="377"/>
      <c r="J458" s="377"/>
      <c r="K458" s="377"/>
      <c r="L458" s="377"/>
      <c r="M458" s="377"/>
    </row>
    <row r="459" ht="15.75" customHeight="1">
      <c r="A459" s="377"/>
      <c r="B459" s="377"/>
      <c r="C459" s="377"/>
      <c r="D459" s="377"/>
      <c r="E459" s="377"/>
      <c r="F459" s="377"/>
      <c r="G459" s="377"/>
      <c r="H459" s="379"/>
      <c r="I459" s="377"/>
      <c r="J459" s="377"/>
      <c r="K459" s="377"/>
      <c r="L459" s="377"/>
      <c r="M459" s="377"/>
    </row>
    <row r="460" ht="15.75" customHeight="1">
      <c r="A460" s="377"/>
      <c r="B460" s="377"/>
      <c r="C460" s="377"/>
      <c r="D460" s="377"/>
      <c r="E460" s="377"/>
      <c r="F460" s="377"/>
      <c r="G460" s="377"/>
      <c r="H460" s="379"/>
      <c r="I460" s="377"/>
      <c r="J460" s="377"/>
      <c r="K460" s="377"/>
      <c r="L460" s="377"/>
      <c r="M460" s="377"/>
    </row>
    <row r="461" ht="15.75" customHeight="1">
      <c r="A461" s="377"/>
      <c r="B461" s="377"/>
      <c r="C461" s="377"/>
      <c r="D461" s="377"/>
      <c r="E461" s="377"/>
      <c r="F461" s="377"/>
      <c r="G461" s="377"/>
      <c r="H461" s="379"/>
      <c r="I461" s="377"/>
      <c r="J461" s="377"/>
      <c r="K461" s="377"/>
      <c r="L461" s="377"/>
      <c r="M461" s="377"/>
    </row>
    <row r="462" ht="15.75" customHeight="1">
      <c r="A462" s="377"/>
      <c r="B462" s="377"/>
      <c r="C462" s="377"/>
      <c r="D462" s="377"/>
      <c r="E462" s="377"/>
      <c r="F462" s="377"/>
      <c r="G462" s="377"/>
      <c r="H462" s="379"/>
      <c r="I462" s="377"/>
      <c r="J462" s="377"/>
      <c r="K462" s="377"/>
      <c r="L462" s="377"/>
      <c r="M462" s="377"/>
    </row>
    <row r="463" ht="15.75" customHeight="1">
      <c r="A463" s="377"/>
      <c r="B463" s="377"/>
      <c r="C463" s="377"/>
      <c r="D463" s="377"/>
      <c r="E463" s="377"/>
      <c r="F463" s="377"/>
      <c r="G463" s="377"/>
      <c r="H463" s="379"/>
      <c r="I463" s="377"/>
      <c r="J463" s="377"/>
      <c r="K463" s="377"/>
      <c r="L463" s="377"/>
      <c r="M463" s="377"/>
    </row>
    <row r="464" ht="15.75" customHeight="1">
      <c r="A464" s="377"/>
      <c r="B464" s="377"/>
      <c r="C464" s="377"/>
      <c r="D464" s="377"/>
      <c r="E464" s="377"/>
      <c r="F464" s="377"/>
      <c r="G464" s="377"/>
      <c r="H464" s="379"/>
      <c r="I464" s="377"/>
      <c r="J464" s="377"/>
      <c r="K464" s="377"/>
      <c r="L464" s="377"/>
      <c r="M464" s="377"/>
    </row>
    <row r="465" ht="15.75" customHeight="1">
      <c r="A465" s="377"/>
      <c r="B465" s="377"/>
      <c r="C465" s="377"/>
      <c r="D465" s="377"/>
      <c r="E465" s="377"/>
      <c r="F465" s="377"/>
      <c r="G465" s="377"/>
      <c r="H465" s="379"/>
      <c r="I465" s="377"/>
      <c r="J465" s="377"/>
      <c r="K465" s="377"/>
      <c r="L465" s="377"/>
      <c r="M465" s="377"/>
    </row>
    <row r="466" ht="15.75" customHeight="1">
      <c r="A466" s="377"/>
      <c r="B466" s="377"/>
      <c r="C466" s="377"/>
      <c r="D466" s="377"/>
      <c r="E466" s="377"/>
      <c r="F466" s="377"/>
      <c r="G466" s="377"/>
      <c r="H466" s="379"/>
      <c r="I466" s="377"/>
      <c r="J466" s="377"/>
      <c r="K466" s="377"/>
      <c r="L466" s="377"/>
      <c r="M466" s="377"/>
    </row>
    <row r="467" ht="15.75" customHeight="1">
      <c r="A467" s="377"/>
      <c r="B467" s="377"/>
      <c r="C467" s="377"/>
      <c r="D467" s="377"/>
      <c r="E467" s="377"/>
      <c r="F467" s="377"/>
      <c r="G467" s="377"/>
      <c r="H467" s="379"/>
      <c r="I467" s="377"/>
      <c r="J467" s="377"/>
      <c r="K467" s="377"/>
      <c r="L467" s="377"/>
      <c r="M467" s="377"/>
    </row>
    <row r="468" ht="15.75" customHeight="1">
      <c r="A468" s="377"/>
      <c r="B468" s="377"/>
      <c r="C468" s="377"/>
      <c r="D468" s="377"/>
      <c r="E468" s="377"/>
      <c r="F468" s="377"/>
      <c r="G468" s="377"/>
      <c r="H468" s="379"/>
      <c r="I468" s="377"/>
      <c r="J468" s="377"/>
      <c r="K468" s="377"/>
      <c r="L468" s="377"/>
      <c r="M468" s="377"/>
    </row>
    <row r="469" ht="15.75" customHeight="1">
      <c r="A469" s="377"/>
      <c r="B469" s="377"/>
      <c r="C469" s="377"/>
      <c r="D469" s="377"/>
      <c r="E469" s="377"/>
      <c r="F469" s="377"/>
      <c r="G469" s="377"/>
      <c r="H469" s="379"/>
      <c r="I469" s="377"/>
      <c r="J469" s="377"/>
      <c r="K469" s="377"/>
      <c r="L469" s="377"/>
      <c r="M469" s="377"/>
    </row>
    <row r="470" ht="15.75" customHeight="1">
      <c r="A470" s="377"/>
      <c r="B470" s="377"/>
      <c r="C470" s="377"/>
      <c r="D470" s="377"/>
      <c r="E470" s="377"/>
      <c r="F470" s="377"/>
      <c r="G470" s="377"/>
      <c r="H470" s="379"/>
      <c r="I470" s="377"/>
      <c r="J470" s="377"/>
      <c r="K470" s="377"/>
      <c r="L470" s="377"/>
      <c r="M470" s="377"/>
    </row>
    <row r="471" ht="15.75" customHeight="1">
      <c r="A471" s="377"/>
      <c r="B471" s="377"/>
      <c r="C471" s="377"/>
      <c r="D471" s="377"/>
      <c r="E471" s="377"/>
      <c r="F471" s="377"/>
      <c r="G471" s="377"/>
      <c r="H471" s="379"/>
      <c r="I471" s="377"/>
      <c r="J471" s="377"/>
      <c r="K471" s="377"/>
      <c r="L471" s="377"/>
      <c r="M471" s="377"/>
    </row>
    <row r="472" ht="15.75" customHeight="1">
      <c r="A472" s="377"/>
      <c r="B472" s="377"/>
      <c r="C472" s="377"/>
      <c r="D472" s="377"/>
      <c r="E472" s="377"/>
      <c r="F472" s="377"/>
      <c r="G472" s="377"/>
      <c r="H472" s="379"/>
      <c r="I472" s="377"/>
      <c r="J472" s="377"/>
      <c r="K472" s="377"/>
      <c r="L472" s="377"/>
      <c r="M472" s="377"/>
    </row>
    <row r="473" ht="15.75" customHeight="1">
      <c r="A473" s="377"/>
      <c r="B473" s="377"/>
      <c r="C473" s="377"/>
      <c r="D473" s="377"/>
      <c r="E473" s="377"/>
      <c r="F473" s="377"/>
      <c r="G473" s="377"/>
      <c r="H473" s="379"/>
      <c r="I473" s="377"/>
      <c r="J473" s="377"/>
      <c r="K473" s="377"/>
      <c r="L473" s="377"/>
      <c r="M473" s="377"/>
    </row>
    <row r="474" ht="15.75" customHeight="1">
      <c r="A474" s="377"/>
      <c r="B474" s="377"/>
      <c r="C474" s="377"/>
      <c r="D474" s="377"/>
      <c r="E474" s="377"/>
      <c r="F474" s="377"/>
      <c r="G474" s="377"/>
      <c r="H474" s="379"/>
      <c r="I474" s="377"/>
      <c r="J474" s="377"/>
      <c r="K474" s="377"/>
      <c r="L474" s="377"/>
      <c r="M474" s="377"/>
    </row>
    <row r="475" ht="15.75" customHeight="1">
      <c r="A475" s="377"/>
      <c r="B475" s="377"/>
      <c r="C475" s="377"/>
      <c r="D475" s="377"/>
      <c r="E475" s="377"/>
      <c r="F475" s="377"/>
      <c r="G475" s="377"/>
      <c r="H475" s="379"/>
      <c r="I475" s="377"/>
      <c r="J475" s="377"/>
      <c r="K475" s="377"/>
      <c r="L475" s="377"/>
      <c r="M475" s="377"/>
    </row>
    <row r="476" ht="15.75" customHeight="1">
      <c r="A476" s="377"/>
      <c r="B476" s="377"/>
      <c r="C476" s="377"/>
      <c r="D476" s="377"/>
      <c r="E476" s="377"/>
      <c r="F476" s="377"/>
      <c r="G476" s="377"/>
      <c r="H476" s="379"/>
      <c r="I476" s="377"/>
      <c r="J476" s="377"/>
      <c r="K476" s="377"/>
      <c r="L476" s="377"/>
      <c r="M476" s="377"/>
    </row>
    <row r="477" ht="15.75" customHeight="1">
      <c r="A477" s="377"/>
      <c r="B477" s="377"/>
      <c r="C477" s="377"/>
      <c r="D477" s="377"/>
      <c r="E477" s="377"/>
      <c r="F477" s="377"/>
      <c r="G477" s="377"/>
      <c r="H477" s="379"/>
      <c r="I477" s="377"/>
      <c r="J477" s="377"/>
      <c r="K477" s="377"/>
      <c r="L477" s="377"/>
      <c r="M477" s="377"/>
    </row>
    <row r="478" ht="15.75" customHeight="1">
      <c r="A478" s="377"/>
      <c r="B478" s="377"/>
      <c r="C478" s="377"/>
      <c r="D478" s="377"/>
      <c r="E478" s="377"/>
      <c r="F478" s="377"/>
      <c r="G478" s="377"/>
      <c r="H478" s="379"/>
      <c r="I478" s="377"/>
      <c r="J478" s="377"/>
      <c r="K478" s="377"/>
      <c r="L478" s="377"/>
      <c r="M478" s="377"/>
    </row>
    <row r="479" ht="15.75" customHeight="1">
      <c r="A479" s="377"/>
      <c r="B479" s="377"/>
      <c r="C479" s="377"/>
      <c r="D479" s="377"/>
      <c r="E479" s="377"/>
      <c r="F479" s="377"/>
      <c r="G479" s="377"/>
      <c r="H479" s="379"/>
      <c r="I479" s="377"/>
      <c r="J479" s="377"/>
      <c r="K479" s="377"/>
      <c r="L479" s="377"/>
      <c r="M479" s="377"/>
    </row>
    <row r="480" ht="15.75" customHeight="1">
      <c r="A480" s="377"/>
      <c r="B480" s="377"/>
      <c r="C480" s="377"/>
      <c r="D480" s="377"/>
      <c r="E480" s="377"/>
      <c r="F480" s="377"/>
      <c r="G480" s="377"/>
      <c r="H480" s="379"/>
      <c r="I480" s="377"/>
      <c r="J480" s="377"/>
      <c r="K480" s="377"/>
      <c r="L480" s="377"/>
      <c r="M480" s="377"/>
    </row>
    <row r="481" ht="15.75" customHeight="1">
      <c r="A481" s="377"/>
      <c r="B481" s="377"/>
      <c r="C481" s="377"/>
      <c r="D481" s="377"/>
      <c r="E481" s="377"/>
      <c r="F481" s="377"/>
      <c r="G481" s="377"/>
      <c r="H481" s="379"/>
      <c r="I481" s="377"/>
      <c r="J481" s="377"/>
      <c r="K481" s="377"/>
      <c r="L481" s="377"/>
      <c r="M481" s="377"/>
    </row>
    <row r="482" ht="15.75" customHeight="1">
      <c r="A482" s="377"/>
      <c r="B482" s="377"/>
      <c r="C482" s="377"/>
      <c r="D482" s="377"/>
      <c r="E482" s="377"/>
      <c r="F482" s="377"/>
      <c r="G482" s="377"/>
      <c r="H482" s="379"/>
      <c r="I482" s="377"/>
      <c r="J482" s="377"/>
      <c r="K482" s="377"/>
      <c r="L482" s="377"/>
      <c r="M482" s="377"/>
    </row>
    <row r="483" ht="15.75" customHeight="1">
      <c r="A483" s="377"/>
      <c r="B483" s="377"/>
      <c r="C483" s="377"/>
      <c r="D483" s="377"/>
      <c r="E483" s="377"/>
      <c r="F483" s="377"/>
      <c r="G483" s="377"/>
      <c r="H483" s="379"/>
      <c r="I483" s="377"/>
      <c r="J483" s="377"/>
      <c r="K483" s="377"/>
      <c r="L483" s="377"/>
      <c r="M483" s="377"/>
    </row>
    <row r="484" ht="15.75" customHeight="1">
      <c r="A484" s="377"/>
      <c r="B484" s="377"/>
      <c r="C484" s="377"/>
      <c r="D484" s="377"/>
      <c r="E484" s="377"/>
      <c r="F484" s="377"/>
      <c r="G484" s="377"/>
      <c r="H484" s="379"/>
      <c r="I484" s="377"/>
      <c r="J484" s="377"/>
      <c r="K484" s="377"/>
      <c r="L484" s="377"/>
      <c r="M484" s="377"/>
    </row>
    <row r="485" ht="15.75" customHeight="1">
      <c r="A485" s="377"/>
      <c r="B485" s="377"/>
      <c r="C485" s="377"/>
      <c r="D485" s="377"/>
      <c r="E485" s="377"/>
      <c r="F485" s="377"/>
      <c r="G485" s="377"/>
      <c r="H485" s="379"/>
      <c r="I485" s="377"/>
      <c r="J485" s="377"/>
      <c r="K485" s="377"/>
      <c r="L485" s="377"/>
      <c r="M485" s="377"/>
    </row>
    <row r="486" ht="15.75" customHeight="1">
      <c r="A486" s="377"/>
      <c r="B486" s="377"/>
      <c r="C486" s="377"/>
      <c r="D486" s="377"/>
      <c r="E486" s="377"/>
      <c r="F486" s="377"/>
      <c r="G486" s="377"/>
      <c r="H486" s="379"/>
      <c r="I486" s="377"/>
      <c r="J486" s="377"/>
      <c r="K486" s="377"/>
      <c r="L486" s="377"/>
      <c r="M486" s="377"/>
    </row>
    <row r="487" ht="15.75" customHeight="1">
      <c r="A487" s="377"/>
      <c r="B487" s="377"/>
      <c r="C487" s="377"/>
      <c r="D487" s="377"/>
      <c r="E487" s="377"/>
      <c r="F487" s="377"/>
      <c r="G487" s="377"/>
      <c r="H487" s="379"/>
      <c r="I487" s="377"/>
      <c r="J487" s="377"/>
      <c r="K487" s="377"/>
      <c r="L487" s="377"/>
      <c r="M487" s="377"/>
    </row>
    <row r="488" ht="15.75" customHeight="1">
      <c r="A488" s="377"/>
      <c r="B488" s="377"/>
      <c r="C488" s="377"/>
      <c r="D488" s="377"/>
      <c r="E488" s="377"/>
      <c r="F488" s="377"/>
      <c r="G488" s="377"/>
      <c r="H488" s="379"/>
      <c r="I488" s="377"/>
      <c r="J488" s="377"/>
      <c r="K488" s="377"/>
      <c r="L488" s="377"/>
      <c r="M488" s="377"/>
    </row>
    <row r="489" ht="15.75" customHeight="1">
      <c r="A489" s="377"/>
      <c r="B489" s="377"/>
      <c r="C489" s="377"/>
      <c r="D489" s="377"/>
      <c r="E489" s="377"/>
      <c r="F489" s="377"/>
      <c r="G489" s="377"/>
      <c r="H489" s="379"/>
      <c r="I489" s="377"/>
      <c r="J489" s="377"/>
      <c r="K489" s="377"/>
      <c r="L489" s="377"/>
      <c r="M489" s="377"/>
    </row>
    <row r="490" ht="15.75" customHeight="1">
      <c r="A490" s="377"/>
      <c r="B490" s="377"/>
      <c r="C490" s="377"/>
      <c r="D490" s="377"/>
      <c r="E490" s="377"/>
      <c r="F490" s="377"/>
      <c r="G490" s="377"/>
      <c r="H490" s="379"/>
      <c r="I490" s="377"/>
      <c r="J490" s="377"/>
      <c r="K490" s="377"/>
      <c r="L490" s="377"/>
      <c r="M490" s="377"/>
    </row>
    <row r="491" ht="15.75" customHeight="1">
      <c r="A491" s="377"/>
      <c r="B491" s="377"/>
      <c r="C491" s="377"/>
      <c r="D491" s="377"/>
      <c r="E491" s="377"/>
      <c r="F491" s="377"/>
      <c r="G491" s="377"/>
      <c r="H491" s="379"/>
      <c r="I491" s="377"/>
      <c r="J491" s="377"/>
      <c r="K491" s="377"/>
      <c r="L491" s="377"/>
      <c r="M491" s="377"/>
    </row>
    <row r="492" ht="15.75" customHeight="1">
      <c r="A492" s="377"/>
      <c r="B492" s="377"/>
      <c r="C492" s="377"/>
      <c r="D492" s="377"/>
      <c r="E492" s="377"/>
      <c r="F492" s="377"/>
      <c r="G492" s="377"/>
      <c r="H492" s="379"/>
      <c r="I492" s="377"/>
      <c r="J492" s="377"/>
      <c r="K492" s="377"/>
      <c r="L492" s="377"/>
      <c r="M492" s="377"/>
    </row>
    <row r="493" ht="15.75" customHeight="1">
      <c r="A493" s="377"/>
      <c r="B493" s="377"/>
      <c r="C493" s="377"/>
      <c r="D493" s="377"/>
      <c r="E493" s="377"/>
      <c r="F493" s="377"/>
      <c r="G493" s="377"/>
      <c r="H493" s="379"/>
      <c r="I493" s="377"/>
      <c r="J493" s="377"/>
      <c r="K493" s="377"/>
      <c r="L493" s="377"/>
      <c r="M493" s="377"/>
    </row>
    <row r="494" ht="15.75" customHeight="1">
      <c r="A494" s="377"/>
      <c r="B494" s="377"/>
      <c r="C494" s="377"/>
      <c r="D494" s="377"/>
      <c r="E494" s="377"/>
      <c r="F494" s="377"/>
      <c r="G494" s="377"/>
      <c r="H494" s="379"/>
      <c r="I494" s="377"/>
      <c r="J494" s="377"/>
      <c r="K494" s="377"/>
      <c r="L494" s="377"/>
      <c r="M494" s="377"/>
    </row>
    <row r="495" ht="15.75" customHeight="1">
      <c r="A495" s="377"/>
      <c r="B495" s="377"/>
      <c r="C495" s="377"/>
      <c r="D495" s="377"/>
      <c r="E495" s="377"/>
      <c r="F495" s="377"/>
      <c r="G495" s="377"/>
      <c r="H495" s="379"/>
      <c r="I495" s="377"/>
      <c r="J495" s="377"/>
      <c r="K495" s="377"/>
      <c r="L495" s="377"/>
      <c r="M495" s="377"/>
    </row>
    <row r="496" ht="15.75" customHeight="1">
      <c r="A496" s="377"/>
      <c r="B496" s="377"/>
      <c r="C496" s="377"/>
      <c r="D496" s="377"/>
      <c r="E496" s="377"/>
      <c r="F496" s="377"/>
      <c r="G496" s="377"/>
      <c r="H496" s="379"/>
      <c r="I496" s="377"/>
      <c r="J496" s="377"/>
      <c r="K496" s="377"/>
      <c r="L496" s="377"/>
      <c r="M496" s="377"/>
    </row>
    <row r="497" ht="15.75" customHeight="1">
      <c r="A497" s="377"/>
      <c r="B497" s="377"/>
      <c r="C497" s="377"/>
      <c r="D497" s="377"/>
      <c r="E497" s="377"/>
      <c r="F497" s="377"/>
      <c r="G497" s="377"/>
      <c r="H497" s="379"/>
      <c r="I497" s="377"/>
      <c r="J497" s="377"/>
      <c r="K497" s="377"/>
      <c r="L497" s="377"/>
      <c r="M497" s="377"/>
    </row>
    <row r="498" ht="15.75" customHeight="1">
      <c r="A498" s="377"/>
      <c r="B498" s="377"/>
      <c r="C498" s="377"/>
      <c r="D498" s="377"/>
      <c r="E498" s="377"/>
      <c r="F498" s="377"/>
      <c r="G498" s="377"/>
      <c r="H498" s="379"/>
      <c r="I498" s="377"/>
      <c r="J498" s="377"/>
      <c r="K498" s="377"/>
      <c r="L498" s="377"/>
      <c r="M498" s="377"/>
    </row>
    <row r="499" ht="15.75" customHeight="1">
      <c r="A499" s="377"/>
      <c r="B499" s="377"/>
      <c r="C499" s="377"/>
      <c r="D499" s="377"/>
      <c r="E499" s="377"/>
      <c r="F499" s="377"/>
      <c r="G499" s="377"/>
      <c r="H499" s="379"/>
      <c r="I499" s="377"/>
      <c r="J499" s="377"/>
      <c r="K499" s="377"/>
      <c r="L499" s="377"/>
      <c r="M499" s="377"/>
    </row>
    <row r="500" ht="15.75" customHeight="1">
      <c r="A500" s="377"/>
      <c r="B500" s="377"/>
      <c r="C500" s="377"/>
      <c r="D500" s="377"/>
      <c r="E500" s="377"/>
      <c r="F500" s="377"/>
      <c r="G500" s="377"/>
      <c r="H500" s="379"/>
      <c r="I500" s="377"/>
      <c r="J500" s="377"/>
      <c r="K500" s="377"/>
      <c r="L500" s="377"/>
      <c r="M500" s="377"/>
    </row>
    <row r="501" ht="15.75" customHeight="1">
      <c r="A501" s="377"/>
      <c r="B501" s="377"/>
      <c r="C501" s="377"/>
      <c r="D501" s="377"/>
      <c r="E501" s="377"/>
      <c r="F501" s="377"/>
      <c r="G501" s="377"/>
      <c r="H501" s="379"/>
      <c r="I501" s="377"/>
      <c r="J501" s="377"/>
      <c r="K501" s="377"/>
      <c r="L501" s="377"/>
      <c r="M501" s="377"/>
    </row>
    <row r="502" ht="15.75" customHeight="1">
      <c r="A502" s="377"/>
      <c r="B502" s="377"/>
      <c r="C502" s="377"/>
      <c r="D502" s="377"/>
      <c r="E502" s="377"/>
      <c r="F502" s="377"/>
      <c r="G502" s="377"/>
      <c r="H502" s="379"/>
      <c r="I502" s="377"/>
      <c r="J502" s="377"/>
      <c r="K502" s="377"/>
      <c r="L502" s="377"/>
      <c r="M502" s="377"/>
    </row>
    <row r="503" ht="15.75" customHeight="1">
      <c r="A503" s="377"/>
      <c r="B503" s="377"/>
      <c r="C503" s="377"/>
      <c r="D503" s="377"/>
      <c r="E503" s="377"/>
      <c r="F503" s="377"/>
      <c r="G503" s="377"/>
      <c r="H503" s="379"/>
      <c r="I503" s="377"/>
      <c r="J503" s="377"/>
      <c r="K503" s="377"/>
      <c r="L503" s="377"/>
      <c r="M503" s="377"/>
    </row>
    <row r="504" ht="15.75" customHeight="1">
      <c r="A504" s="377"/>
      <c r="B504" s="377"/>
      <c r="C504" s="377"/>
      <c r="D504" s="377"/>
      <c r="E504" s="377"/>
      <c r="F504" s="377"/>
      <c r="G504" s="377"/>
      <c r="H504" s="379"/>
      <c r="I504" s="377"/>
      <c r="J504" s="377"/>
      <c r="K504" s="377"/>
      <c r="L504" s="377"/>
      <c r="M504" s="377"/>
    </row>
    <row r="505" ht="15.75" customHeight="1">
      <c r="A505" s="377"/>
      <c r="B505" s="377"/>
      <c r="C505" s="377"/>
      <c r="D505" s="377"/>
      <c r="E505" s="377"/>
      <c r="F505" s="377"/>
      <c r="G505" s="377"/>
      <c r="H505" s="379"/>
      <c r="I505" s="377"/>
      <c r="J505" s="377"/>
      <c r="K505" s="377"/>
      <c r="L505" s="377"/>
      <c r="M505" s="377"/>
    </row>
    <row r="506" ht="15.75" customHeight="1">
      <c r="A506" s="377"/>
      <c r="B506" s="377"/>
      <c r="C506" s="377"/>
      <c r="D506" s="377"/>
      <c r="E506" s="377"/>
      <c r="F506" s="377"/>
      <c r="G506" s="377"/>
      <c r="H506" s="379"/>
      <c r="I506" s="377"/>
      <c r="J506" s="377"/>
      <c r="K506" s="377"/>
      <c r="L506" s="377"/>
      <c r="M506" s="377"/>
    </row>
    <row r="507" ht="15.75" customHeight="1">
      <c r="A507" s="377"/>
      <c r="B507" s="377"/>
      <c r="C507" s="377"/>
      <c r="D507" s="377"/>
      <c r="E507" s="377"/>
      <c r="F507" s="377"/>
      <c r="G507" s="377"/>
      <c r="H507" s="379"/>
      <c r="I507" s="377"/>
      <c r="J507" s="377"/>
      <c r="K507" s="377"/>
      <c r="L507" s="377"/>
      <c r="M507" s="377"/>
    </row>
    <row r="508" ht="15.75" customHeight="1">
      <c r="A508" s="377"/>
      <c r="B508" s="377"/>
      <c r="C508" s="377"/>
      <c r="D508" s="377"/>
      <c r="E508" s="377"/>
      <c r="F508" s="377"/>
      <c r="G508" s="377"/>
      <c r="H508" s="379"/>
      <c r="I508" s="377"/>
      <c r="J508" s="377"/>
      <c r="K508" s="377"/>
      <c r="L508" s="377"/>
      <c r="M508" s="377"/>
    </row>
    <row r="509" ht="15.75" customHeight="1">
      <c r="A509" s="377"/>
      <c r="B509" s="377"/>
      <c r="C509" s="377"/>
      <c r="D509" s="377"/>
      <c r="E509" s="377"/>
      <c r="F509" s="377"/>
      <c r="G509" s="377"/>
      <c r="H509" s="379"/>
      <c r="I509" s="377"/>
      <c r="J509" s="377"/>
      <c r="K509" s="377"/>
      <c r="L509" s="377"/>
      <c r="M509" s="377"/>
    </row>
    <row r="510" ht="15.75" customHeight="1">
      <c r="A510" s="377"/>
      <c r="B510" s="377"/>
      <c r="C510" s="377"/>
      <c r="D510" s="377"/>
      <c r="E510" s="377"/>
      <c r="F510" s="377"/>
      <c r="G510" s="377"/>
      <c r="H510" s="379"/>
      <c r="I510" s="377"/>
      <c r="J510" s="377"/>
      <c r="K510" s="377"/>
      <c r="L510" s="377"/>
      <c r="M510" s="377"/>
    </row>
    <row r="511" ht="15.75" customHeight="1">
      <c r="A511" s="377"/>
      <c r="B511" s="377"/>
      <c r="C511" s="377"/>
      <c r="D511" s="377"/>
      <c r="E511" s="377"/>
      <c r="F511" s="377"/>
      <c r="G511" s="377"/>
      <c r="H511" s="379"/>
      <c r="I511" s="377"/>
      <c r="J511" s="377"/>
      <c r="K511" s="377"/>
      <c r="L511" s="377"/>
      <c r="M511" s="377"/>
    </row>
    <row r="512" ht="15.75" customHeight="1">
      <c r="A512" s="377"/>
      <c r="B512" s="377"/>
      <c r="C512" s="377"/>
      <c r="D512" s="377"/>
      <c r="E512" s="377"/>
      <c r="F512" s="377"/>
      <c r="G512" s="377"/>
      <c r="H512" s="379"/>
      <c r="I512" s="377"/>
      <c r="J512" s="377"/>
      <c r="K512" s="377"/>
      <c r="L512" s="377"/>
      <c r="M512" s="377"/>
    </row>
    <row r="513" ht="15.75" customHeight="1">
      <c r="A513" s="377"/>
      <c r="B513" s="377"/>
      <c r="C513" s="377"/>
      <c r="D513" s="377"/>
      <c r="E513" s="377"/>
      <c r="F513" s="377"/>
      <c r="G513" s="377"/>
      <c r="H513" s="379"/>
      <c r="I513" s="377"/>
      <c r="J513" s="377"/>
      <c r="K513" s="377"/>
      <c r="L513" s="377"/>
      <c r="M513" s="377"/>
    </row>
    <row r="514" ht="15.75" customHeight="1">
      <c r="A514" s="377"/>
      <c r="B514" s="377"/>
      <c r="C514" s="377"/>
      <c r="D514" s="377"/>
      <c r="E514" s="377"/>
      <c r="F514" s="377"/>
      <c r="G514" s="377"/>
      <c r="H514" s="379"/>
      <c r="I514" s="377"/>
      <c r="J514" s="377"/>
      <c r="K514" s="377"/>
      <c r="L514" s="377"/>
      <c r="M514" s="377"/>
    </row>
    <row r="515" ht="15.75" customHeight="1">
      <c r="A515" s="377"/>
      <c r="B515" s="377"/>
      <c r="C515" s="377"/>
      <c r="D515" s="377"/>
      <c r="E515" s="377"/>
      <c r="F515" s="377"/>
      <c r="G515" s="377"/>
      <c r="H515" s="379"/>
      <c r="I515" s="377"/>
      <c r="J515" s="377"/>
      <c r="K515" s="377"/>
      <c r="L515" s="377"/>
      <c r="M515" s="377"/>
    </row>
    <row r="516" ht="15.75" customHeight="1">
      <c r="A516" s="377"/>
      <c r="B516" s="377"/>
      <c r="C516" s="377"/>
      <c r="D516" s="377"/>
      <c r="E516" s="377"/>
      <c r="F516" s="377"/>
      <c r="G516" s="377"/>
      <c r="H516" s="379"/>
      <c r="I516" s="377"/>
      <c r="J516" s="377"/>
      <c r="K516" s="377"/>
      <c r="L516" s="377"/>
      <c r="M516" s="377"/>
    </row>
    <row r="517" ht="15.75" customHeight="1">
      <c r="A517" s="377"/>
      <c r="B517" s="377"/>
      <c r="C517" s="377"/>
      <c r="D517" s="377"/>
      <c r="E517" s="377"/>
      <c r="F517" s="377"/>
      <c r="G517" s="377"/>
      <c r="H517" s="379"/>
      <c r="I517" s="377"/>
      <c r="J517" s="377"/>
      <c r="K517" s="377"/>
      <c r="L517" s="377"/>
      <c r="M517" s="377"/>
    </row>
    <row r="518" ht="15.75" customHeight="1">
      <c r="A518" s="377"/>
      <c r="B518" s="377"/>
      <c r="C518" s="377"/>
      <c r="D518" s="377"/>
      <c r="E518" s="377"/>
      <c r="F518" s="377"/>
      <c r="G518" s="377"/>
      <c r="H518" s="379"/>
      <c r="I518" s="377"/>
      <c r="J518" s="377"/>
      <c r="K518" s="377"/>
      <c r="L518" s="377"/>
      <c r="M518" s="377"/>
    </row>
    <row r="519" ht="15.75" customHeight="1">
      <c r="A519" s="377"/>
      <c r="B519" s="377"/>
      <c r="C519" s="377"/>
      <c r="D519" s="377"/>
      <c r="E519" s="377"/>
      <c r="F519" s="377"/>
      <c r="G519" s="377"/>
      <c r="H519" s="379"/>
      <c r="I519" s="377"/>
      <c r="J519" s="377"/>
      <c r="K519" s="377"/>
      <c r="L519" s="377"/>
      <c r="M519" s="377"/>
    </row>
    <row r="520" ht="15.75" customHeight="1">
      <c r="A520" s="377"/>
      <c r="B520" s="377"/>
      <c r="C520" s="377"/>
      <c r="D520" s="377"/>
      <c r="E520" s="377"/>
      <c r="F520" s="377"/>
      <c r="G520" s="377"/>
      <c r="H520" s="379"/>
      <c r="I520" s="377"/>
      <c r="J520" s="377"/>
      <c r="K520" s="377"/>
      <c r="L520" s="377"/>
      <c r="M520" s="377"/>
    </row>
    <row r="521" ht="15.75" customHeight="1">
      <c r="A521" s="377"/>
      <c r="B521" s="377"/>
      <c r="C521" s="377"/>
      <c r="D521" s="377"/>
      <c r="E521" s="377"/>
      <c r="F521" s="377"/>
      <c r="G521" s="377"/>
      <c r="H521" s="379"/>
      <c r="I521" s="377"/>
      <c r="J521" s="377"/>
      <c r="K521" s="377"/>
      <c r="L521" s="377"/>
      <c r="M521" s="377"/>
    </row>
    <row r="522" ht="15.75" customHeight="1">
      <c r="A522" s="377"/>
      <c r="B522" s="377"/>
      <c r="C522" s="377"/>
      <c r="D522" s="377"/>
      <c r="E522" s="377"/>
      <c r="F522" s="377"/>
      <c r="G522" s="377"/>
      <c r="H522" s="379"/>
      <c r="I522" s="377"/>
      <c r="J522" s="377"/>
      <c r="K522" s="377"/>
      <c r="L522" s="377"/>
      <c r="M522" s="377"/>
    </row>
    <row r="523" ht="15.75" customHeight="1">
      <c r="A523" s="377"/>
      <c r="B523" s="377"/>
      <c r="C523" s="377"/>
      <c r="D523" s="377"/>
      <c r="E523" s="377"/>
      <c r="F523" s="377"/>
      <c r="G523" s="377"/>
      <c r="H523" s="379"/>
      <c r="I523" s="377"/>
      <c r="J523" s="377"/>
      <c r="K523" s="377"/>
      <c r="L523" s="377"/>
      <c r="M523" s="377"/>
    </row>
    <row r="524" ht="15.75" customHeight="1">
      <c r="A524" s="377"/>
      <c r="B524" s="377"/>
      <c r="C524" s="377"/>
      <c r="D524" s="377"/>
      <c r="E524" s="377"/>
      <c r="F524" s="377"/>
      <c r="G524" s="377"/>
      <c r="H524" s="379"/>
      <c r="I524" s="377"/>
      <c r="J524" s="377"/>
      <c r="K524" s="377"/>
      <c r="L524" s="377"/>
      <c r="M524" s="377"/>
    </row>
    <row r="525" ht="15.75" customHeight="1">
      <c r="A525" s="377"/>
      <c r="B525" s="377"/>
      <c r="C525" s="377"/>
      <c r="D525" s="377"/>
      <c r="E525" s="377"/>
      <c r="F525" s="377"/>
      <c r="G525" s="377"/>
      <c r="H525" s="379"/>
      <c r="I525" s="377"/>
      <c r="J525" s="377"/>
      <c r="K525" s="377"/>
      <c r="L525" s="377"/>
      <c r="M525" s="377"/>
    </row>
    <row r="526" ht="15.75" customHeight="1">
      <c r="A526" s="377"/>
      <c r="B526" s="377"/>
      <c r="C526" s="377"/>
      <c r="D526" s="377"/>
      <c r="E526" s="377"/>
      <c r="F526" s="377"/>
      <c r="G526" s="377"/>
      <c r="H526" s="379"/>
      <c r="I526" s="377"/>
      <c r="J526" s="377"/>
      <c r="K526" s="377"/>
      <c r="L526" s="377"/>
      <c r="M526" s="377"/>
    </row>
    <row r="527" ht="15.75" customHeight="1">
      <c r="A527" s="377"/>
      <c r="B527" s="377"/>
      <c r="C527" s="377"/>
      <c r="D527" s="377"/>
      <c r="E527" s="377"/>
      <c r="F527" s="377"/>
      <c r="G527" s="377"/>
      <c r="H527" s="379"/>
      <c r="I527" s="377"/>
      <c r="J527" s="377"/>
      <c r="K527" s="377"/>
      <c r="L527" s="377"/>
      <c r="M527" s="377"/>
    </row>
    <row r="528" ht="15.75" customHeight="1">
      <c r="A528" s="377"/>
      <c r="B528" s="377"/>
      <c r="C528" s="377"/>
      <c r="D528" s="377"/>
      <c r="E528" s="377"/>
      <c r="F528" s="377"/>
      <c r="G528" s="377"/>
      <c r="H528" s="379"/>
      <c r="I528" s="377"/>
      <c r="J528" s="377"/>
      <c r="K528" s="377"/>
      <c r="L528" s="377"/>
      <c r="M528" s="377"/>
    </row>
    <row r="529" ht="15.75" customHeight="1">
      <c r="A529" s="377"/>
      <c r="B529" s="377"/>
      <c r="C529" s="377"/>
      <c r="D529" s="377"/>
      <c r="E529" s="377"/>
      <c r="F529" s="377"/>
      <c r="G529" s="377"/>
      <c r="H529" s="379"/>
      <c r="I529" s="377"/>
      <c r="J529" s="377"/>
      <c r="K529" s="377"/>
      <c r="L529" s="377"/>
      <c r="M529" s="377"/>
    </row>
    <row r="530" ht="15.75" customHeight="1">
      <c r="A530" s="377"/>
      <c r="B530" s="377"/>
      <c r="C530" s="377"/>
      <c r="D530" s="377"/>
      <c r="E530" s="377"/>
      <c r="F530" s="377"/>
      <c r="G530" s="377"/>
      <c r="H530" s="379"/>
      <c r="I530" s="377"/>
      <c r="J530" s="377"/>
      <c r="K530" s="377"/>
      <c r="L530" s="377"/>
      <c r="M530" s="377"/>
    </row>
    <row r="531" ht="15.75" customHeight="1">
      <c r="A531" s="377"/>
      <c r="B531" s="377"/>
      <c r="C531" s="377"/>
      <c r="D531" s="377"/>
      <c r="E531" s="377"/>
      <c r="F531" s="377"/>
      <c r="G531" s="377"/>
      <c r="H531" s="379"/>
      <c r="I531" s="377"/>
      <c r="J531" s="377"/>
      <c r="K531" s="377"/>
      <c r="L531" s="377"/>
      <c r="M531" s="377"/>
    </row>
    <row r="532" ht="15.75" customHeight="1">
      <c r="A532" s="377"/>
      <c r="B532" s="377"/>
      <c r="C532" s="377"/>
      <c r="D532" s="377"/>
      <c r="E532" s="377"/>
      <c r="F532" s="377"/>
      <c r="G532" s="377"/>
      <c r="H532" s="379"/>
      <c r="I532" s="377"/>
      <c r="J532" s="377"/>
      <c r="K532" s="377"/>
      <c r="L532" s="377"/>
      <c r="M532" s="377"/>
    </row>
    <row r="533" ht="15.75" customHeight="1">
      <c r="A533" s="377"/>
      <c r="B533" s="377"/>
      <c r="C533" s="377"/>
      <c r="D533" s="377"/>
      <c r="E533" s="377"/>
      <c r="F533" s="377"/>
      <c r="G533" s="377"/>
      <c r="H533" s="379"/>
      <c r="I533" s="377"/>
      <c r="J533" s="377"/>
      <c r="K533" s="377"/>
      <c r="L533" s="377"/>
      <c r="M533" s="377"/>
    </row>
    <row r="534" ht="15.75" customHeight="1">
      <c r="A534" s="377"/>
      <c r="B534" s="377"/>
      <c r="C534" s="377"/>
      <c r="D534" s="377"/>
      <c r="E534" s="377"/>
      <c r="F534" s="377"/>
      <c r="G534" s="377"/>
      <c r="H534" s="379"/>
      <c r="I534" s="377"/>
      <c r="J534" s="377"/>
      <c r="K534" s="377"/>
      <c r="L534" s="377"/>
      <c r="M534" s="377"/>
    </row>
    <row r="535" ht="15.75" customHeight="1">
      <c r="A535" s="377"/>
      <c r="B535" s="377"/>
      <c r="C535" s="377"/>
      <c r="D535" s="377"/>
      <c r="E535" s="377"/>
      <c r="F535" s="377"/>
      <c r="G535" s="377"/>
      <c r="H535" s="379"/>
      <c r="I535" s="377"/>
      <c r="J535" s="377"/>
      <c r="K535" s="377"/>
      <c r="L535" s="377"/>
      <c r="M535" s="377"/>
    </row>
    <row r="536" ht="15.75" customHeight="1">
      <c r="A536" s="377"/>
      <c r="B536" s="377"/>
      <c r="C536" s="377"/>
      <c r="D536" s="377"/>
      <c r="E536" s="377"/>
      <c r="F536" s="377"/>
      <c r="G536" s="377"/>
      <c r="H536" s="379"/>
      <c r="I536" s="377"/>
      <c r="J536" s="377"/>
      <c r="K536" s="377"/>
      <c r="L536" s="377"/>
      <c r="M536" s="377"/>
    </row>
    <row r="537" ht="15.75" customHeight="1">
      <c r="A537" s="377"/>
      <c r="B537" s="377"/>
      <c r="C537" s="377"/>
      <c r="D537" s="377"/>
      <c r="E537" s="377"/>
      <c r="F537" s="377"/>
      <c r="G537" s="377"/>
      <c r="H537" s="379"/>
      <c r="I537" s="377"/>
      <c r="J537" s="377"/>
      <c r="K537" s="377"/>
      <c r="L537" s="377"/>
      <c r="M537" s="377"/>
    </row>
    <row r="538" ht="15.75" customHeight="1">
      <c r="A538" s="377"/>
      <c r="B538" s="377"/>
      <c r="C538" s="377"/>
      <c r="D538" s="377"/>
      <c r="E538" s="377"/>
      <c r="F538" s="377"/>
      <c r="G538" s="377"/>
      <c r="H538" s="379"/>
      <c r="I538" s="377"/>
      <c r="J538" s="377"/>
      <c r="K538" s="377"/>
      <c r="L538" s="377"/>
      <c r="M538" s="377"/>
    </row>
    <row r="539" ht="15.75" customHeight="1">
      <c r="A539" s="377"/>
      <c r="B539" s="377"/>
      <c r="C539" s="377"/>
      <c r="D539" s="377"/>
      <c r="E539" s="377"/>
      <c r="F539" s="377"/>
      <c r="G539" s="377"/>
      <c r="H539" s="379"/>
      <c r="I539" s="377"/>
      <c r="J539" s="377"/>
      <c r="K539" s="377"/>
      <c r="L539" s="377"/>
      <c r="M539" s="377"/>
    </row>
    <row r="540" ht="15.75" customHeight="1">
      <c r="A540" s="377"/>
      <c r="B540" s="377"/>
      <c r="C540" s="377"/>
      <c r="D540" s="377"/>
      <c r="E540" s="377"/>
      <c r="F540" s="377"/>
      <c r="G540" s="377"/>
      <c r="H540" s="379"/>
      <c r="I540" s="377"/>
      <c r="J540" s="377"/>
      <c r="K540" s="377"/>
      <c r="L540" s="377"/>
      <c r="M540" s="377"/>
    </row>
    <row r="541" ht="15.75" customHeight="1">
      <c r="A541" s="377"/>
      <c r="B541" s="377"/>
      <c r="C541" s="377"/>
      <c r="D541" s="377"/>
      <c r="E541" s="377"/>
      <c r="F541" s="377"/>
      <c r="G541" s="377"/>
      <c r="H541" s="379"/>
      <c r="I541" s="377"/>
      <c r="J541" s="377"/>
      <c r="K541" s="377"/>
      <c r="L541" s="377"/>
      <c r="M541" s="377"/>
    </row>
    <row r="542" ht="15.75" customHeight="1">
      <c r="A542" s="377"/>
      <c r="B542" s="377"/>
      <c r="C542" s="377"/>
      <c r="D542" s="377"/>
      <c r="E542" s="377"/>
      <c r="F542" s="377"/>
      <c r="G542" s="377"/>
      <c r="H542" s="379"/>
      <c r="I542" s="377"/>
      <c r="J542" s="377"/>
      <c r="K542" s="377"/>
      <c r="L542" s="377"/>
      <c r="M542" s="377"/>
    </row>
    <row r="543" ht="15.75" customHeight="1">
      <c r="A543" s="377"/>
      <c r="B543" s="377"/>
      <c r="C543" s="377"/>
      <c r="D543" s="377"/>
      <c r="E543" s="377"/>
      <c r="F543" s="377"/>
      <c r="G543" s="377"/>
      <c r="H543" s="379"/>
      <c r="I543" s="377"/>
      <c r="J543" s="377"/>
      <c r="K543" s="377"/>
      <c r="L543" s="377"/>
      <c r="M543" s="377"/>
    </row>
    <row r="544" ht="15.75" customHeight="1">
      <c r="A544" s="377"/>
      <c r="B544" s="377"/>
      <c r="C544" s="377"/>
      <c r="D544" s="377"/>
      <c r="E544" s="377"/>
      <c r="F544" s="377"/>
      <c r="G544" s="377"/>
      <c r="H544" s="379"/>
      <c r="I544" s="377"/>
      <c r="J544" s="377"/>
      <c r="K544" s="377"/>
      <c r="L544" s="377"/>
      <c r="M544" s="377"/>
    </row>
    <row r="545" ht="15.75" customHeight="1">
      <c r="A545" s="377"/>
      <c r="B545" s="377"/>
      <c r="C545" s="377"/>
      <c r="D545" s="377"/>
      <c r="E545" s="377"/>
      <c r="F545" s="377"/>
      <c r="G545" s="377"/>
      <c r="H545" s="379"/>
      <c r="I545" s="377"/>
      <c r="J545" s="377"/>
      <c r="K545" s="377"/>
      <c r="L545" s="377"/>
      <c r="M545" s="377"/>
    </row>
    <row r="546" ht="15.75" customHeight="1">
      <c r="A546" s="377"/>
      <c r="B546" s="377"/>
      <c r="C546" s="377"/>
      <c r="D546" s="377"/>
      <c r="E546" s="377"/>
      <c r="F546" s="377"/>
      <c r="G546" s="377"/>
      <c r="H546" s="379"/>
      <c r="I546" s="377"/>
      <c r="J546" s="377"/>
      <c r="K546" s="377"/>
      <c r="L546" s="377"/>
      <c r="M546" s="377"/>
    </row>
    <row r="547" ht="15.75" customHeight="1">
      <c r="A547" s="377"/>
      <c r="B547" s="377"/>
      <c r="C547" s="377"/>
      <c r="D547" s="377"/>
      <c r="E547" s="377"/>
      <c r="F547" s="377"/>
      <c r="G547" s="377"/>
      <c r="H547" s="379"/>
      <c r="I547" s="377"/>
      <c r="J547" s="377"/>
      <c r="K547" s="377"/>
      <c r="L547" s="377"/>
      <c r="M547" s="377"/>
    </row>
    <row r="548" ht="15.75" customHeight="1">
      <c r="A548" s="377"/>
      <c r="B548" s="377"/>
      <c r="C548" s="377"/>
      <c r="D548" s="377"/>
      <c r="E548" s="377"/>
      <c r="F548" s="377"/>
      <c r="G548" s="377"/>
      <c r="H548" s="379"/>
      <c r="I548" s="377"/>
      <c r="J548" s="377"/>
      <c r="K548" s="377"/>
      <c r="L548" s="377"/>
      <c r="M548" s="377"/>
    </row>
    <row r="549" ht="15.75" customHeight="1">
      <c r="A549" s="377"/>
      <c r="B549" s="377"/>
      <c r="C549" s="377"/>
      <c r="D549" s="377"/>
      <c r="E549" s="377"/>
      <c r="F549" s="377"/>
      <c r="G549" s="377"/>
      <c r="H549" s="379"/>
      <c r="I549" s="377"/>
      <c r="J549" s="377"/>
      <c r="K549" s="377"/>
      <c r="L549" s="377"/>
      <c r="M549" s="377"/>
    </row>
    <row r="550" ht="15.75" customHeight="1">
      <c r="A550" s="377"/>
      <c r="B550" s="377"/>
      <c r="C550" s="377"/>
      <c r="D550" s="377"/>
      <c r="E550" s="377"/>
      <c r="F550" s="377"/>
      <c r="G550" s="377"/>
      <c r="H550" s="379"/>
      <c r="I550" s="377"/>
      <c r="J550" s="377"/>
      <c r="K550" s="377"/>
      <c r="L550" s="377"/>
      <c r="M550" s="377"/>
    </row>
    <row r="551" ht="15.75" customHeight="1">
      <c r="A551" s="377"/>
      <c r="B551" s="377"/>
      <c r="C551" s="377"/>
      <c r="D551" s="377"/>
      <c r="E551" s="377"/>
      <c r="F551" s="377"/>
      <c r="G551" s="377"/>
      <c r="H551" s="379"/>
      <c r="I551" s="377"/>
      <c r="J551" s="377"/>
      <c r="K551" s="377"/>
      <c r="L551" s="377"/>
      <c r="M551" s="377"/>
    </row>
    <row r="552" ht="15.75" customHeight="1">
      <c r="A552" s="377"/>
      <c r="B552" s="377"/>
      <c r="C552" s="377"/>
      <c r="D552" s="377"/>
      <c r="E552" s="377"/>
      <c r="F552" s="377"/>
      <c r="G552" s="377"/>
      <c r="H552" s="379"/>
      <c r="I552" s="377"/>
      <c r="J552" s="377"/>
      <c r="K552" s="377"/>
      <c r="L552" s="377"/>
      <c r="M552" s="377"/>
    </row>
    <row r="553" ht="15.75" customHeight="1">
      <c r="A553" s="377"/>
      <c r="B553" s="377"/>
      <c r="C553" s="377"/>
      <c r="D553" s="377"/>
      <c r="E553" s="377"/>
      <c r="F553" s="377"/>
      <c r="G553" s="377"/>
      <c r="H553" s="379"/>
      <c r="I553" s="377"/>
      <c r="J553" s="377"/>
      <c r="K553" s="377"/>
      <c r="L553" s="377"/>
      <c r="M553" s="377"/>
    </row>
    <row r="554" ht="15.75" customHeight="1">
      <c r="A554" s="377"/>
      <c r="B554" s="377"/>
      <c r="C554" s="377"/>
      <c r="D554" s="377"/>
      <c r="E554" s="377"/>
      <c r="F554" s="377"/>
      <c r="G554" s="377"/>
      <c r="H554" s="379"/>
      <c r="I554" s="377"/>
      <c r="J554" s="377"/>
      <c r="K554" s="377"/>
      <c r="L554" s="377"/>
      <c r="M554" s="377"/>
    </row>
    <row r="555" ht="15.75" customHeight="1">
      <c r="A555" s="377"/>
      <c r="B555" s="377"/>
      <c r="C555" s="377"/>
      <c r="D555" s="377"/>
      <c r="E555" s="377"/>
      <c r="F555" s="377"/>
      <c r="G555" s="377"/>
      <c r="H555" s="379"/>
      <c r="I555" s="377"/>
      <c r="J555" s="377"/>
      <c r="K555" s="377"/>
      <c r="L555" s="377"/>
      <c r="M555" s="377"/>
    </row>
    <row r="556" ht="15.75" customHeight="1">
      <c r="A556" s="377"/>
      <c r="B556" s="377"/>
      <c r="C556" s="377"/>
      <c r="D556" s="377"/>
      <c r="E556" s="377"/>
      <c r="F556" s="377"/>
      <c r="G556" s="377"/>
      <c r="H556" s="379"/>
      <c r="I556" s="377"/>
      <c r="J556" s="377"/>
      <c r="K556" s="377"/>
      <c r="L556" s="377"/>
      <c r="M556" s="377"/>
    </row>
    <row r="557" ht="15.75" customHeight="1">
      <c r="A557" s="377"/>
      <c r="B557" s="377"/>
      <c r="C557" s="377"/>
      <c r="D557" s="377"/>
      <c r="E557" s="377"/>
      <c r="F557" s="377"/>
      <c r="G557" s="377"/>
      <c r="H557" s="379"/>
      <c r="I557" s="377"/>
      <c r="J557" s="377"/>
      <c r="K557" s="377"/>
      <c r="L557" s="377"/>
      <c r="M557" s="377"/>
    </row>
    <row r="558" ht="15.75" customHeight="1">
      <c r="A558" s="377"/>
      <c r="B558" s="377"/>
      <c r="C558" s="377"/>
      <c r="D558" s="377"/>
      <c r="E558" s="377"/>
      <c r="F558" s="377"/>
      <c r="G558" s="377"/>
      <c r="H558" s="379"/>
      <c r="I558" s="377"/>
      <c r="J558" s="377"/>
      <c r="K558" s="377"/>
      <c r="L558" s="377"/>
      <c r="M558" s="377"/>
    </row>
    <row r="559" ht="15.75" customHeight="1">
      <c r="A559" s="377"/>
      <c r="B559" s="377"/>
      <c r="C559" s="377"/>
      <c r="D559" s="377"/>
      <c r="E559" s="377"/>
      <c r="F559" s="377"/>
      <c r="G559" s="377"/>
      <c r="H559" s="379"/>
      <c r="I559" s="377"/>
      <c r="J559" s="377"/>
      <c r="K559" s="377"/>
      <c r="L559" s="377"/>
      <c r="M559" s="377"/>
    </row>
    <row r="560" ht="15.75" customHeight="1">
      <c r="A560" s="377"/>
      <c r="B560" s="377"/>
      <c r="C560" s="377"/>
      <c r="D560" s="377"/>
      <c r="E560" s="377"/>
      <c r="F560" s="377"/>
      <c r="G560" s="377"/>
      <c r="H560" s="379"/>
      <c r="I560" s="377"/>
      <c r="J560" s="377"/>
      <c r="K560" s="377"/>
      <c r="L560" s="377"/>
      <c r="M560" s="377"/>
    </row>
    <row r="561" ht="15.75" customHeight="1">
      <c r="A561" s="377"/>
      <c r="B561" s="377"/>
      <c r="C561" s="377"/>
      <c r="D561" s="377"/>
      <c r="E561" s="377"/>
      <c r="F561" s="377"/>
      <c r="G561" s="377"/>
      <c r="H561" s="379"/>
      <c r="I561" s="377"/>
      <c r="J561" s="377"/>
      <c r="K561" s="377"/>
      <c r="L561" s="377"/>
      <c r="M561" s="377"/>
    </row>
    <row r="562" ht="15.75" customHeight="1">
      <c r="A562" s="377"/>
      <c r="B562" s="377"/>
      <c r="C562" s="377"/>
      <c r="D562" s="377"/>
      <c r="E562" s="377"/>
      <c r="F562" s="377"/>
      <c r="G562" s="377"/>
      <c r="H562" s="379"/>
      <c r="I562" s="377"/>
      <c r="J562" s="377"/>
      <c r="K562" s="377"/>
      <c r="L562" s="377"/>
      <c r="M562" s="377"/>
    </row>
    <row r="563" ht="15.75" customHeight="1">
      <c r="A563" s="377"/>
      <c r="B563" s="377"/>
      <c r="C563" s="377"/>
      <c r="D563" s="377"/>
      <c r="E563" s="377"/>
      <c r="F563" s="377"/>
      <c r="G563" s="377"/>
      <c r="H563" s="379"/>
      <c r="I563" s="377"/>
      <c r="J563" s="377"/>
      <c r="K563" s="377"/>
      <c r="L563" s="377"/>
      <c r="M563" s="377"/>
    </row>
    <row r="564" ht="15.75" customHeight="1">
      <c r="A564" s="377"/>
      <c r="B564" s="377"/>
      <c r="C564" s="377"/>
      <c r="D564" s="377"/>
      <c r="E564" s="377"/>
      <c r="F564" s="377"/>
      <c r="G564" s="377"/>
      <c r="H564" s="379"/>
      <c r="I564" s="377"/>
      <c r="J564" s="377"/>
      <c r="K564" s="377"/>
      <c r="L564" s="377"/>
      <c r="M564" s="377"/>
    </row>
    <row r="565" ht="15.75" customHeight="1">
      <c r="A565" s="377"/>
      <c r="B565" s="377"/>
      <c r="C565" s="377"/>
      <c r="D565" s="377"/>
      <c r="E565" s="377"/>
      <c r="F565" s="377"/>
      <c r="G565" s="377"/>
      <c r="H565" s="379"/>
      <c r="I565" s="377"/>
      <c r="J565" s="377"/>
      <c r="K565" s="377"/>
      <c r="L565" s="377"/>
      <c r="M565" s="377"/>
    </row>
    <row r="566" ht="15.75" customHeight="1">
      <c r="A566" s="377"/>
      <c r="B566" s="377"/>
      <c r="C566" s="377"/>
      <c r="D566" s="377"/>
      <c r="E566" s="377"/>
      <c r="F566" s="377"/>
      <c r="G566" s="377"/>
      <c r="H566" s="379"/>
      <c r="I566" s="377"/>
      <c r="J566" s="377"/>
      <c r="K566" s="377"/>
      <c r="L566" s="377"/>
      <c r="M566" s="377"/>
    </row>
    <row r="567" ht="15.75" customHeight="1">
      <c r="A567" s="377"/>
      <c r="B567" s="377"/>
      <c r="C567" s="377"/>
      <c r="D567" s="377"/>
      <c r="E567" s="377"/>
      <c r="F567" s="377"/>
      <c r="G567" s="377"/>
      <c r="H567" s="379"/>
      <c r="I567" s="377"/>
      <c r="J567" s="377"/>
      <c r="K567" s="377"/>
      <c r="L567" s="377"/>
      <c r="M567" s="377"/>
    </row>
    <row r="568" ht="15.75" customHeight="1">
      <c r="A568" s="377"/>
      <c r="B568" s="377"/>
      <c r="C568" s="377"/>
      <c r="D568" s="377"/>
      <c r="E568" s="377"/>
      <c r="F568" s="377"/>
      <c r="G568" s="377"/>
      <c r="H568" s="379"/>
      <c r="I568" s="377"/>
      <c r="J568" s="377"/>
      <c r="K568" s="377"/>
      <c r="L568" s="377"/>
      <c r="M568" s="377"/>
    </row>
    <row r="569" ht="15.75" customHeight="1">
      <c r="A569" s="377"/>
      <c r="B569" s="377"/>
      <c r="C569" s="377"/>
      <c r="D569" s="377"/>
      <c r="E569" s="377"/>
      <c r="F569" s="377"/>
      <c r="G569" s="377"/>
      <c r="H569" s="379"/>
      <c r="I569" s="377"/>
      <c r="J569" s="377"/>
      <c r="K569" s="377"/>
      <c r="L569" s="377"/>
      <c r="M569" s="377"/>
    </row>
    <row r="570" ht="15.75" customHeight="1">
      <c r="A570" s="377"/>
      <c r="B570" s="377"/>
      <c r="C570" s="377"/>
      <c r="D570" s="377"/>
      <c r="E570" s="377"/>
      <c r="F570" s="377"/>
      <c r="G570" s="377"/>
      <c r="H570" s="379"/>
      <c r="I570" s="377"/>
      <c r="J570" s="377"/>
      <c r="K570" s="377"/>
      <c r="L570" s="377"/>
      <c r="M570" s="377"/>
    </row>
    <row r="571" ht="15.75" customHeight="1">
      <c r="A571" s="377"/>
      <c r="B571" s="377"/>
      <c r="C571" s="377"/>
      <c r="D571" s="377"/>
      <c r="E571" s="377"/>
      <c r="F571" s="377"/>
      <c r="G571" s="377"/>
      <c r="H571" s="379"/>
      <c r="I571" s="377"/>
      <c r="J571" s="377"/>
      <c r="K571" s="377"/>
      <c r="L571" s="377"/>
      <c r="M571" s="377"/>
    </row>
    <row r="572" ht="15.75" customHeight="1">
      <c r="A572" s="377"/>
      <c r="B572" s="377"/>
      <c r="C572" s="377"/>
      <c r="D572" s="377"/>
      <c r="E572" s="377"/>
      <c r="F572" s="377"/>
      <c r="G572" s="377"/>
      <c r="H572" s="379"/>
      <c r="I572" s="377"/>
      <c r="J572" s="377"/>
      <c r="K572" s="377"/>
      <c r="L572" s="377"/>
      <c r="M572" s="377"/>
    </row>
    <row r="573" ht="15.75" customHeight="1">
      <c r="A573" s="377"/>
      <c r="B573" s="377"/>
      <c r="C573" s="377"/>
      <c r="D573" s="377"/>
      <c r="E573" s="377"/>
      <c r="F573" s="377"/>
      <c r="G573" s="377"/>
      <c r="H573" s="379"/>
      <c r="I573" s="377"/>
      <c r="J573" s="377"/>
      <c r="K573" s="377"/>
      <c r="L573" s="377"/>
      <c r="M573" s="377"/>
    </row>
    <row r="574" ht="15.75" customHeight="1">
      <c r="A574" s="377"/>
      <c r="B574" s="377"/>
      <c r="C574" s="377"/>
      <c r="D574" s="377"/>
      <c r="E574" s="377"/>
      <c r="F574" s="377"/>
      <c r="G574" s="377"/>
      <c r="H574" s="379"/>
      <c r="I574" s="377"/>
      <c r="J574" s="377"/>
      <c r="K574" s="377"/>
      <c r="L574" s="377"/>
      <c r="M574" s="377"/>
    </row>
    <row r="575" ht="15.75" customHeight="1">
      <c r="A575" s="377"/>
      <c r="B575" s="377"/>
      <c r="C575" s="377"/>
      <c r="D575" s="377"/>
      <c r="E575" s="377"/>
      <c r="F575" s="377"/>
      <c r="G575" s="377"/>
      <c r="H575" s="379"/>
      <c r="I575" s="377"/>
      <c r="J575" s="377"/>
      <c r="K575" s="377"/>
      <c r="L575" s="377"/>
      <c r="M575" s="377"/>
    </row>
    <row r="576" ht="15.75" customHeight="1">
      <c r="A576" s="377"/>
      <c r="B576" s="377"/>
      <c r="C576" s="377"/>
      <c r="D576" s="377"/>
      <c r="E576" s="377"/>
      <c r="F576" s="377"/>
      <c r="G576" s="377"/>
      <c r="H576" s="379"/>
      <c r="I576" s="377"/>
      <c r="J576" s="377"/>
      <c r="K576" s="377"/>
      <c r="L576" s="377"/>
      <c r="M576" s="377"/>
    </row>
    <row r="577" ht="15.75" customHeight="1">
      <c r="A577" s="377"/>
      <c r="B577" s="377"/>
      <c r="C577" s="377"/>
      <c r="D577" s="377"/>
      <c r="E577" s="377"/>
      <c r="F577" s="377"/>
      <c r="G577" s="377"/>
      <c r="H577" s="379"/>
      <c r="I577" s="377"/>
      <c r="J577" s="377"/>
      <c r="K577" s="377"/>
      <c r="L577" s="377"/>
      <c r="M577" s="377"/>
    </row>
    <row r="578" ht="15.75" customHeight="1">
      <c r="A578" s="377"/>
      <c r="B578" s="377"/>
      <c r="C578" s="377"/>
      <c r="D578" s="377"/>
      <c r="E578" s="377"/>
      <c r="F578" s="377"/>
      <c r="G578" s="377"/>
      <c r="H578" s="379"/>
      <c r="I578" s="377"/>
      <c r="J578" s="377"/>
      <c r="K578" s="377"/>
      <c r="L578" s="377"/>
      <c r="M578" s="377"/>
    </row>
    <row r="579" ht="15.75" customHeight="1">
      <c r="A579" s="377"/>
      <c r="B579" s="377"/>
      <c r="C579" s="377"/>
      <c r="D579" s="377"/>
      <c r="E579" s="377"/>
      <c r="F579" s="377"/>
      <c r="G579" s="377"/>
      <c r="H579" s="379"/>
      <c r="I579" s="377"/>
      <c r="J579" s="377"/>
      <c r="K579" s="377"/>
      <c r="L579" s="377"/>
      <c r="M579" s="377"/>
    </row>
    <row r="580" ht="15.75" customHeight="1">
      <c r="A580" s="377"/>
      <c r="B580" s="377"/>
      <c r="C580" s="377"/>
      <c r="D580" s="377"/>
      <c r="E580" s="377"/>
      <c r="F580" s="377"/>
      <c r="G580" s="377"/>
      <c r="H580" s="379"/>
      <c r="I580" s="377"/>
      <c r="J580" s="377"/>
      <c r="K580" s="377"/>
      <c r="L580" s="377"/>
      <c r="M580" s="377"/>
    </row>
    <row r="581" ht="15.75" customHeight="1">
      <c r="A581" s="377"/>
      <c r="B581" s="377"/>
      <c r="C581" s="377"/>
      <c r="D581" s="377"/>
      <c r="E581" s="377"/>
      <c r="F581" s="377"/>
      <c r="G581" s="377"/>
      <c r="H581" s="379"/>
      <c r="I581" s="377"/>
      <c r="J581" s="377"/>
      <c r="K581" s="377"/>
      <c r="L581" s="377"/>
      <c r="M581" s="377"/>
    </row>
    <row r="582" ht="15.75" customHeight="1">
      <c r="A582" s="377"/>
      <c r="B582" s="377"/>
      <c r="C582" s="377"/>
      <c r="D582" s="377"/>
      <c r="E582" s="377"/>
      <c r="F582" s="377"/>
      <c r="G582" s="377"/>
      <c r="H582" s="379"/>
      <c r="I582" s="377"/>
      <c r="J582" s="377"/>
      <c r="K582" s="377"/>
      <c r="L582" s="377"/>
      <c r="M582" s="377"/>
    </row>
    <row r="583" ht="15.75" customHeight="1">
      <c r="A583" s="377"/>
      <c r="B583" s="377"/>
      <c r="C583" s="377"/>
      <c r="D583" s="377"/>
      <c r="E583" s="377"/>
      <c r="F583" s="377"/>
      <c r="G583" s="377"/>
      <c r="H583" s="379"/>
      <c r="I583" s="377"/>
      <c r="J583" s="377"/>
      <c r="K583" s="377"/>
      <c r="L583" s="377"/>
      <c r="M583" s="377"/>
    </row>
    <row r="584" ht="15.75" customHeight="1">
      <c r="A584" s="377"/>
      <c r="B584" s="377"/>
      <c r="C584" s="377"/>
      <c r="D584" s="377"/>
      <c r="E584" s="377"/>
      <c r="F584" s="377"/>
      <c r="G584" s="377"/>
      <c r="H584" s="379"/>
      <c r="I584" s="377"/>
      <c r="J584" s="377"/>
      <c r="K584" s="377"/>
      <c r="L584" s="377"/>
      <c r="M584" s="377"/>
    </row>
    <row r="585" ht="15.75" customHeight="1">
      <c r="A585" s="377"/>
      <c r="B585" s="377"/>
      <c r="C585" s="377"/>
      <c r="D585" s="377"/>
      <c r="E585" s="377"/>
      <c r="F585" s="377"/>
      <c r="G585" s="377"/>
      <c r="H585" s="379"/>
      <c r="I585" s="377"/>
      <c r="J585" s="377"/>
      <c r="K585" s="377"/>
      <c r="L585" s="377"/>
      <c r="M585" s="377"/>
    </row>
    <row r="586" ht="15.75" customHeight="1">
      <c r="A586" s="377"/>
      <c r="B586" s="377"/>
      <c r="C586" s="377"/>
      <c r="D586" s="377"/>
      <c r="E586" s="377"/>
      <c r="F586" s="377"/>
      <c r="G586" s="377"/>
      <c r="H586" s="379"/>
      <c r="I586" s="377"/>
      <c r="J586" s="377"/>
      <c r="K586" s="377"/>
      <c r="L586" s="377"/>
      <c r="M586" s="377"/>
    </row>
    <row r="587" ht="15.75" customHeight="1">
      <c r="A587" s="377"/>
      <c r="B587" s="377"/>
      <c r="C587" s="377"/>
      <c r="D587" s="377"/>
      <c r="E587" s="377"/>
      <c r="F587" s="377"/>
      <c r="G587" s="377"/>
      <c r="H587" s="379"/>
      <c r="I587" s="377"/>
      <c r="J587" s="377"/>
      <c r="K587" s="377"/>
      <c r="L587" s="377"/>
      <c r="M587" s="377"/>
    </row>
    <row r="588" ht="15.75" customHeight="1">
      <c r="A588" s="377"/>
      <c r="B588" s="377"/>
      <c r="C588" s="377"/>
      <c r="D588" s="377"/>
      <c r="E588" s="377"/>
      <c r="F588" s="377"/>
      <c r="G588" s="377"/>
      <c r="H588" s="379"/>
      <c r="I588" s="377"/>
      <c r="J588" s="377"/>
      <c r="K588" s="377"/>
      <c r="L588" s="377"/>
      <c r="M588" s="377"/>
    </row>
    <row r="589" ht="15.75" customHeight="1">
      <c r="A589" s="377"/>
      <c r="B589" s="377"/>
      <c r="C589" s="377"/>
      <c r="D589" s="377"/>
      <c r="E589" s="377"/>
      <c r="F589" s="377"/>
      <c r="G589" s="377"/>
      <c r="H589" s="379"/>
      <c r="I589" s="377"/>
      <c r="J589" s="377"/>
      <c r="K589" s="377"/>
      <c r="L589" s="377"/>
      <c r="M589" s="377"/>
    </row>
    <row r="590" ht="15.75" customHeight="1">
      <c r="A590" s="377"/>
      <c r="B590" s="377"/>
      <c r="C590" s="377"/>
      <c r="D590" s="377"/>
      <c r="E590" s="377"/>
      <c r="F590" s="377"/>
      <c r="G590" s="377"/>
      <c r="H590" s="379"/>
      <c r="I590" s="377"/>
      <c r="J590" s="377"/>
      <c r="K590" s="377"/>
      <c r="L590" s="377"/>
      <c r="M590" s="377"/>
    </row>
    <row r="591" ht="15.75" customHeight="1">
      <c r="A591" s="377"/>
      <c r="B591" s="377"/>
      <c r="C591" s="377"/>
      <c r="D591" s="377"/>
      <c r="E591" s="377"/>
      <c r="F591" s="377"/>
      <c r="G591" s="377"/>
      <c r="H591" s="379"/>
      <c r="I591" s="377"/>
      <c r="J591" s="377"/>
      <c r="K591" s="377"/>
      <c r="L591" s="377"/>
      <c r="M591" s="377"/>
    </row>
    <row r="592" ht="15.75" customHeight="1">
      <c r="A592" s="377"/>
      <c r="B592" s="377"/>
      <c r="C592" s="377"/>
      <c r="D592" s="377"/>
      <c r="E592" s="377"/>
      <c r="F592" s="377"/>
      <c r="G592" s="377"/>
      <c r="H592" s="379"/>
      <c r="I592" s="377"/>
      <c r="J592" s="377"/>
      <c r="K592" s="377"/>
      <c r="L592" s="377"/>
      <c r="M592" s="377"/>
    </row>
    <row r="593" ht="15.75" customHeight="1">
      <c r="A593" s="377"/>
      <c r="B593" s="377"/>
      <c r="C593" s="377"/>
      <c r="D593" s="377"/>
      <c r="E593" s="377"/>
      <c r="F593" s="377"/>
      <c r="G593" s="377"/>
      <c r="H593" s="379"/>
      <c r="I593" s="377"/>
      <c r="J593" s="377"/>
      <c r="K593" s="377"/>
      <c r="L593" s="377"/>
      <c r="M593" s="377"/>
    </row>
    <row r="594" ht="15.75" customHeight="1">
      <c r="A594" s="377"/>
      <c r="B594" s="377"/>
      <c r="C594" s="377"/>
      <c r="D594" s="377"/>
      <c r="E594" s="377"/>
      <c r="F594" s="377"/>
      <c r="G594" s="377"/>
      <c r="H594" s="379"/>
      <c r="I594" s="377"/>
      <c r="J594" s="377"/>
      <c r="K594" s="377"/>
      <c r="L594" s="377"/>
      <c r="M594" s="377"/>
    </row>
    <row r="595" ht="15.75" customHeight="1">
      <c r="A595" s="377"/>
      <c r="B595" s="377"/>
      <c r="C595" s="377"/>
      <c r="D595" s="377"/>
      <c r="E595" s="377"/>
      <c r="F595" s="377"/>
      <c r="G595" s="377"/>
      <c r="H595" s="379"/>
      <c r="I595" s="377"/>
      <c r="J595" s="377"/>
      <c r="K595" s="377"/>
      <c r="L595" s="377"/>
      <c r="M595" s="377"/>
    </row>
    <row r="596" ht="15.75" customHeight="1">
      <c r="A596" s="377"/>
      <c r="B596" s="377"/>
      <c r="C596" s="377"/>
      <c r="D596" s="377"/>
      <c r="E596" s="377"/>
      <c r="F596" s="377"/>
      <c r="G596" s="377"/>
      <c r="H596" s="379"/>
      <c r="I596" s="377"/>
      <c r="J596" s="377"/>
      <c r="K596" s="377"/>
      <c r="L596" s="377"/>
      <c r="M596" s="377"/>
    </row>
    <row r="597" ht="15.75" customHeight="1">
      <c r="A597" s="377"/>
      <c r="B597" s="377"/>
      <c r="C597" s="377"/>
      <c r="D597" s="377"/>
      <c r="E597" s="377"/>
      <c r="F597" s="377"/>
      <c r="G597" s="377"/>
      <c r="H597" s="379"/>
      <c r="I597" s="377"/>
      <c r="J597" s="377"/>
      <c r="K597" s="377"/>
      <c r="L597" s="377"/>
      <c r="M597" s="377"/>
    </row>
    <row r="598" ht="15.75" customHeight="1">
      <c r="A598" s="377"/>
      <c r="B598" s="377"/>
      <c r="C598" s="377"/>
      <c r="D598" s="377"/>
      <c r="E598" s="377"/>
      <c r="F598" s="377"/>
      <c r="G598" s="377"/>
      <c r="H598" s="379"/>
      <c r="I598" s="377"/>
      <c r="J598" s="377"/>
      <c r="K598" s="377"/>
      <c r="L598" s="377"/>
      <c r="M598" s="377"/>
    </row>
    <row r="599" ht="15.75" customHeight="1">
      <c r="A599" s="377"/>
      <c r="B599" s="377"/>
      <c r="C599" s="377"/>
      <c r="D599" s="377"/>
      <c r="E599" s="377"/>
      <c r="F599" s="377"/>
      <c r="G599" s="377"/>
      <c r="H599" s="379"/>
      <c r="I599" s="377"/>
      <c r="J599" s="377"/>
      <c r="K599" s="377"/>
      <c r="L599" s="377"/>
      <c r="M599" s="377"/>
    </row>
    <row r="600" ht="15.75" customHeight="1">
      <c r="A600" s="377"/>
      <c r="B600" s="377"/>
      <c r="C600" s="377"/>
      <c r="D600" s="377"/>
      <c r="E600" s="377"/>
      <c r="F600" s="377"/>
      <c r="G600" s="377"/>
      <c r="H600" s="379"/>
      <c r="I600" s="377"/>
      <c r="J600" s="377"/>
      <c r="K600" s="377"/>
      <c r="L600" s="377"/>
      <c r="M600" s="377"/>
    </row>
    <row r="601" ht="15.75" customHeight="1">
      <c r="A601" s="377"/>
      <c r="B601" s="377"/>
      <c r="C601" s="377"/>
      <c r="D601" s="377"/>
      <c r="E601" s="377"/>
      <c r="F601" s="377"/>
      <c r="G601" s="377"/>
      <c r="H601" s="379"/>
      <c r="I601" s="377"/>
      <c r="J601" s="377"/>
      <c r="K601" s="377"/>
      <c r="L601" s="377"/>
      <c r="M601" s="377"/>
    </row>
    <row r="602" ht="15.75" customHeight="1">
      <c r="A602" s="377"/>
      <c r="B602" s="377"/>
      <c r="C602" s="377"/>
      <c r="D602" s="377"/>
      <c r="E602" s="377"/>
      <c r="F602" s="377"/>
      <c r="G602" s="377"/>
      <c r="H602" s="379"/>
      <c r="I602" s="377"/>
      <c r="J602" s="377"/>
      <c r="K602" s="377"/>
      <c r="L602" s="377"/>
      <c r="M602" s="377"/>
    </row>
    <row r="603" ht="15.75" customHeight="1">
      <c r="A603" s="377"/>
      <c r="B603" s="377"/>
      <c r="C603" s="377"/>
      <c r="D603" s="377"/>
      <c r="E603" s="377"/>
      <c r="F603" s="377"/>
      <c r="G603" s="377"/>
      <c r="H603" s="379"/>
      <c r="I603" s="377"/>
      <c r="J603" s="377"/>
      <c r="K603" s="377"/>
      <c r="L603" s="377"/>
      <c r="M603" s="377"/>
    </row>
    <row r="604" ht="15.75" customHeight="1">
      <c r="A604" s="377"/>
      <c r="B604" s="377"/>
      <c r="C604" s="377"/>
      <c r="D604" s="377"/>
      <c r="E604" s="377"/>
      <c r="F604" s="377"/>
      <c r="G604" s="377"/>
      <c r="H604" s="379"/>
      <c r="I604" s="377"/>
      <c r="J604" s="377"/>
      <c r="K604" s="377"/>
      <c r="L604" s="377"/>
      <c r="M604" s="377"/>
    </row>
    <row r="605" ht="15.75" customHeight="1">
      <c r="A605" s="377"/>
      <c r="B605" s="377"/>
      <c r="C605" s="377"/>
      <c r="D605" s="377"/>
      <c r="E605" s="377"/>
      <c r="F605" s="377"/>
      <c r="G605" s="377"/>
      <c r="H605" s="379"/>
      <c r="I605" s="377"/>
      <c r="J605" s="377"/>
      <c r="K605" s="377"/>
      <c r="L605" s="377"/>
      <c r="M605" s="377"/>
    </row>
    <row r="606" ht="15.75" customHeight="1">
      <c r="A606" s="377"/>
      <c r="B606" s="377"/>
      <c r="C606" s="377"/>
      <c r="D606" s="377"/>
      <c r="E606" s="377"/>
      <c r="F606" s="377"/>
      <c r="G606" s="377"/>
      <c r="H606" s="379"/>
      <c r="I606" s="377"/>
      <c r="J606" s="377"/>
      <c r="K606" s="377"/>
      <c r="L606" s="377"/>
      <c r="M606" s="377"/>
    </row>
    <row r="607" ht="15.75" customHeight="1">
      <c r="A607" s="377"/>
      <c r="B607" s="377"/>
      <c r="C607" s="377"/>
      <c r="D607" s="377"/>
      <c r="E607" s="377"/>
      <c r="F607" s="377"/>
      <c r="G607" s="377"/>
      <c r="H607" s="379"/>
      <c r="I607" s="377"/>
      <c r="J607" s="377"/>
      <c r="K607" s="377"/>
      <c r="L607" s="377"/>
      <c r="M607" s="377"/>
    </row>
    <row r="608" ht="15.75" customHeight="1">
      <c r="A608" s="377"/>
      <c r="B608" s="377"/>
      <c r="C608" s="377"/>
      <c r="D608" s="377"/>
      <c r="E608" s="377"/>
      <c r="F608" s="377"/>
      <c r="G608" s="377"/>
      <c r="H608" s="379"/>
      <c r="I608" s="377"/>
      <c r="J608" s="377"/>
      <c r="K608" s="377"/>
      <c r="L608" s="377"/>
      <c r="M608" s="377"/>
    </row>
    <row r="609" ht="15.75" customHeight="1">
      <c r="A609" s="377"/>
      <c r="B609" s="377"/>
      <c r="C609" s="377"/>
      <c r="D609" s="377"/>
      <c r="E609" s="377"/>
      <c r="F609" s="377"/>
      <c r="G609" s="377"/>
      <c r="H609" s="379"/>
      <c r="I609" s="377"/>
      <c r="J609" s="377"/>
      <c r="K609" s="377"/>
      <c r="L609" s="377"/>
      <c r="M609" s="377"/>
    </row>
    <row r="610" ht="15.75" customHeight="1">
      <c r="A610" s="377"/>
      <c r="B610" s="377"/>
      <c r="C610" s="377"/>
      <c r="D610" s="377"/>
      <c r="E610" s="377"/>
      <c r="F610" s="377"/>
      <c r="G610" s="377"/>
      <c r="H610" s="379"/>
      <c r="I610" s="377"/>
      <c r="J610" s="377"/>
      <c r="K610" s="377"/>
      <c r="L610" s="377"/>
      <c r="M610" s="377"/>
    </row>
    <row r="611" ht="15.75" customHeight="1">
      <c r="A611" s="377"/>
      <c r="B611" s="377"/>
      <c r="C611" s="377"/>
      <c r="D611" s="377"/>
      <c r="E611" s="377"/>
      <c r="F611" s="377"/>
      <c r="G611" s="377"/>
      <c r="H611" s="379"/>
      <c r="I611" s="377"/>
      <c r="J611" s="377"/>
      <c r="K611" s="377"/>
      <c r="L611" s="377"/>
      <c r="M611" s="377"/>
    </row>
    <row r="612" ht="15.75" customHeight="1">
      <c r="A612" s="377"/>
      <c r="B612" s="377"/>
      <c r="C612" s="377"/>
      <c r="D612" s="377"/>
      <c r="E612" s="377"/>
      <c r="F612" s="377"/>
      <c r="G612" s="377"/>
      <c r="H612" s="379"/>
      <c r="I612" s="377"/>
      <c r="J612" s="377"/>
      <c r="K612" s="377"/>
      <c r="L612" s="377"/>
      <c r="M612" s="377"/>
    </row>
    <row r="613" ht="15.75" customHeight="1">
      <c r="A613" s="377"/>
      <c r="B613" s="377"/>
      <c r="C613" s="377"/>
      <c r="D613" s="377"/>
      <c r="E613" s="377"/>
      <c r="F613" s="377"/>
      <c r="G613" s="377"/>
      <c r="H613" s="379"/>
      <c r="I613" s="377"/>
      <c r="J613" s="377"/>
      <c r="K613" s="377"/>
      <c r="L613" s="377"/>
      <c r="M613" s="377"/>
    </row>
    <row r="614" ht="15.75" customHeight="1">
      <c r="A614" s="377"/>
      <c r="B614" s="377"/>
      <c r="C614" s="377"/>
      <c r="D614" s="377"/>
      <c r="E614" s="377"/>
      <c r="F614" s="377"/>
      <c r="G614" s="377"/>
      <c r="H614" s="379"/>
      <c r="I614" s="377"/>
      <c r="J614" s="377"/>
      <c r="K614" s="377"/>
      <c r="L614" s="377"/>
      <c r="M614" s="377"/>
    </row>
    <row r="615" ht="15.75" customHeight="1">
      <c r="A615" s="377"/>
      <c r="B615" s="377"/>
      <c r="C615" s="377"/>
      <c r="D615" s="377"/>
      <c r="E615" s="377"/>
      <c r="F615" s="377"/>
      <c r="G615" s="377"/>
      <c r="H615" s="379"/>
      <c r="I615" s="377"/>
      <c r="J615" s="377"/>
      <c r="K615" s="377"/>
      <c r="L615" s="377"/>
      <c r="M615" s="377"/>
    </row>
    <row r="616" ht="15.75" customHeight="1">
      <c r="A616" s="377"/>
      <c r="B616" s="377"/>
      <c r="C616" s="377"/>
      <c r="D616" s="377"/>
      <c r="E616" s="377"/>
      <c r="F616" s="377"/>
      <c r="G616" s="377"/>
      <c r="H616" s="379"/>
      <c r="I616" s="377"/>
      <c r="J616" s="377"/>
      <c r="K616" s="377"/>
      <c r="L616" s="377"/>
      <c r="M616" s="377"/>
    </row>
    <row r="617" ht="15.75" customHeight="1">
      <c r="A617" s="377"/>
      <c r="B617" s="377"/>
      <c r="C617" s="377"/>
      <c r="D617" s="377"/>
      <c r="E617" s="377"/>
      <c r="F617" s="377"/>
      <c r="G617" s="377"/>
      <c r="H617" s="379"/>
      <c r="I617" s="377"/>
      <c r="J617" s="377"/>
      <c r="K617" s="377"/>
      <c r="L617" s="377"/>
      <c r="M617" s="377"/>
    </row>
    <row r="618" ht="15.75" customHeight="1">
      <c r="A618" s="377"/>
      <c r="B618" s="377"/>
      <c r="C618" s="377"/>
      <c r="D618" s="377"/>
      <c r="E618" s="377"/>
      <c r="F618" s="377"/>
      <c r="G618" s="377"/>
      <c r="H618" s="379"/>
      <c r="I618" s="377"/>
      <c r="J618" s="377"/>
      <c r="K618" s="377"/>
      <c r="L618" s="377"/>
      <c r="M618" s="377"/>
    </row>
    <row r="619" ht="15.75" customHeight="1">
      <c r="A619" s="377"/>
      <c r="B619" s="377"/>
      <c r="C619" s="377"/>
      <c r="D619" s="377"/>
      <c r="E619" s="377"/>
      <c r="F619" s="377"/>
      <c r="G619" s="377"/>
      <c r="H619" s="379"/>
      <c r="I619" s="377"/>
      <c r="J619" s="377"/>
      <c r="K619" s="377"/>
      <c r="L619" s="377"/>
      <c r="M619" s="377"/>
    </row>
    <row r="620" ht="15.75" customHeight="1">
      <c r="A620" s="377"/>
      <c r="B620" s="377"/>
      <c r="C620" s="377"/>
      <c r="D620" s="377"/>
      <c r="E620" s="377"/>
      <c r="F620" s="377"/>
      <c r="G620" s="377"/>
      <c r="H620" s="379"/>
      <c r="I620" s="377"/>
      <c r="J620" s="377"/>
      <c r="K620" s="377"/>
      <c r="L620" s="377"/>
      <c r="M620" s="377"/>
    </row>
    <row r="621" ht="15.75" customHeight="1">
      <c r="A621" s="377"/>
      <c r="B621" s="377"/>
      <c r="C621" s="377"/>
      <c r="D621" s="377"/>
      <c r="E621" s="377"/>
      <c r="F621" s="377"/>
      <c r="G621" s="377"/>
      <c r="H621" s="379"/>
      <c r="I621" s="377"/>
      <c r="J621" s="377"/>
      <c r="K621" s="377"/>
      <c r="L621" s="377"/>
      <c r="M621" s="377"/>
    </row>
    <row r="622" ht="15.75" customHeight="1">
      <c r="A622" s="377"/>
      <c r="B622" s="377"/>
      <c r="C622" s="377"/>
      <c r="D622" s="377"/>
      <c r="E622" s="377"/>
      <c r="F622" s="377"/>
      <c r="G622" s="377"/>
      <c r="H622" s="379"/>
      <c r="I622" s="377"/>
      <c r="J622" s="377"/>
      <c r="K622" s="377"/>
      <c r="L622" s="377"/>
      <c r="M622" s="377"/>
    </row>
    <row r="623" ht="15.75" customHeight="1">
      <c r="A623" s="377"/>
      <c r="B623" s="377"/>
      <c r="C623" s="377"/>
      <c r="D623" s="377"/>
      <c r="E623" s="377"/>
      <c r="F623" s="377"/>
      <c r="G623" s="377"/>
      <c r="H623" s="379"/>
      <c r="I623" s="377"/>
      <c r="J623" s="377"/>
      <c r="K623" s="377"/>
      <c r="L623" s="377"/>
      <c r="M623" s="377"/>
    </row>
    <row r="624" ht="15.75" customHeight="1">
      <c r="A624" s="377"/>
      <c r="B624" s="377"/>
      <c r="C624" s="377"/>
      <c r="D624" s="377"/>
      <c r="E624" s="377"/>
      <c r="F624" s="377"/>
      <c r="G624" s="377"/>
      <c r="H624" s="379"/>
      <c r="I624" s="377"/>
      <c r="J624" s="377"/>
      <c r="K624" s="377"/>
      <c r="L624" s="377"/>
      <c r="M624" s="377"/>
    </row>
    <row r="625" ht="15.75" customHeight="1">
      <c r="A625" s="377"/>
      <c r="B625" s="377"/>
      <c r="C625" s="377"/>
      <c r="D625" s="377"/>
      <c r="E625" s="377"/>
      <c r="F625" s="377"/>
      <c r="G625" s="377"/>
      <c r="H625" s="379"/>
      <c r="I625" s="377"/>
      <c r="J625" s="377"/>
      <c r="K625" s="377"/>
      <c r="L625" s="377"/>
      <c r="M625" s="377"/>
    </row>
    <row r="626" ht="15.75" customHeight="1">
      <c r="A626" s="377"/>
      <c r="B626" s="377"/>
      <c r="C626" s="377"/>
      <c r="D626" s="377"/>
      <c r="E626" s="377"/>
      <c r="F626" s="377"/>
      <c r="G626" s="377"/>
      <c r="H626" s="379"/>
      <c r="I626" s="377"/>
      <c r="J626" s="377"/>
      <c r="K626" s="377"/>
      <c r="L626" s="377"/>
      <c r="M626" s="377"/>
    </row>
    <row r="627" ht="15.75" customHeight="1">
      <c r="A627" s="377"/>
      <c r="B627" s="377"/>
      <c r="C627" s="377"/>
      <c r="D627" s="377"/>
      <c r="E627" s="377"/>
      <c r="F627" s="377"/>
      <c r="G627" s="377"/>
      <c r="H627" s="379"/>
      <c r="I627" s="377"/>
      <c r="J627" s="377"/>
      <c r="K627" s="377"/>
      <c r="L627" s="377"/>
      <c r="M627" s="377"/>
    </row>
    <row r="628" ht="15.75" customHeight="1">
      <c r="A628" s="377"/>
      <c r="B628" s="377"/>
      <c r="C628" s="377"/>
      <c r="D628" s="377"/>
      <c r="E628" s="377"/>
      <c r="F628" s="377"/>
      <c r="G628" s="377"/>
      <c r="H628" s="379"/>
      <c r="I628" s="377"/>
      <c r="J628" s="377"/>
      <c r="K628" s="377"/>
      <c r="L628" s="377"/>
      <c r="M628" s="377"/>
    </row>
    <row r="629" ht="15.75" customHeight="1">
      <c r="A629" s="377"/>
      <c r="B629" s="377"/>
      <c r="C629" s="377"/>
      <c r="D629" s="377"/>
      <c r="E629" s="377"/>
      <c r="F629" s="377"/>
      <c r="G629" s="377"/>
      <c r="H629" s="379"/>
      <c r="I629" s="377"/>
      <c r="J629" s="377"/>
      <c r="K629" s="377"/>
      <c r="L629" s="377"/>
      <c r="M629" s="377"/>
    </row>
    <row r="630" ht="15.75" customHeight="1">
      <c r="A630" s="377"/>
      <c r="B630" s="377"/>
      <c r="C630" s="377"/>
      <c r="D630" s="377"/>
      <c r="E630" s="377"/>
      <c r="F630" s="377"/>
      <c r="G630" s="377"/>
      <c r="H630" s="379"/>
      <c r="I630" s="377"/>
      <c r="J630" s="377"/>
      <c r="K630" s="377"/>
      <c r="L630" s="377"/>
      <c r="M630" s="377"/>
    </row>
    <row r="631" ht="15.75" customHeight="1">
      <c r="A631" s="377"/>
      <c r="B631" s="377"/>
      <c r="C631" s="377"/>
      <c r="D631" s="377"/>
      <c r="E631" s="377"/>
      <c r="F631" s="377"/>
      <c r="G631" s="377"/>
      <c r="H631" s="379"/>
      <c r="I631" s="377"/>
      <c r="J631" s="377"/>
      <c r="K631" s="377"/>
      <c r="L631" s="377"/>
      <c r="M631" s="377"/>
    </row>
    <row r="632" ht="15.75" customHeight="1">
      <c r="A632" s="377"/>
      <c r="B632" s="377"/>
      <c r="C632" s="377"/>
      <c r="D632" s="377"/>
      <c r="E632" s="377"/>
      <c r="F632" s="377"/>
      <c r="G632" s="377"/>
      <c r="H632" s="379"/>
      <c r="I632" s="377"/>
      <c r="J632" s="377"/>
      <c r="K632" s="377"/>
      <c r="L632" s="377"/>
      <c r="M632" s="377"/>
    </row>
    <row r="633" ht="15.75" customHeight="1">
      <c r="A633" s="377"/>
      <c r="B633" s="377"/>
      <c r="C633" s="377"/>
      <c r="D633" s="377"/>
      <c r="E633" s="377"/>
      <c r="F633" s="377"/>
      <c r="G633" s="377"/>
      <c r="H633" s="379"/>
      <c r="I633" s="377"/>
      <c r="J633" s="377"/>
      <c r="K633" s="377"/>
      <c r="L633" s="377"/>
      <c r="M633" s="377"/>
    </row>
    <row r="634" ht="15.75" customHeight="1">
      <c r="A634" s="377"/>
      <c r="B634" s="377"/>
      <c r="C634" s="377"/>
      <c r="D634" s="377"/>
      <c r="E634" s="377"/>
      <c r="F634" s="377"/>
      <c r="G634" s="377"/>
      <c r="H634" s="379"/>
      <c r="I634" s="377"/>
      <c r="J634" s="377"/>
      <c r="K634" s="377"/>
      <c r="L634" s="377"/>
      <c r="M634" s="377"/>
    </row>
    <row r="635" ht="15.75" customHeight="1">
      <c r="A635" s="377"/>
      <c r="B635" s="377"/>
      <c r="C635" s="377"/>
      <c r="D635" s="377"/>
      <c r="E635" s="377"/>
      <c r="F635" s="377"/>
      <c r="G635" s="377"/>
      <c r="H635" s="379"/>
      <c r="I635" s="377"/>
      <c r="J635" s="377"/>
      <c r="K635" s="377"/>
      <c r="L635" s="377"/>
      <c r="M635" s="377"/>
    </row>
    <row r="636" ht="15.75" customHeight="1">
      <c r="A636" s="377"/>
      <c r="B636" s="377"/>
      <c r="C636" s="377"/>
      <c r="D636" s="377"/>
      <c r="E636" s="377"/>
      <c r="F636" s="377"/>
      <c r="G636" s="377"/>
      <c r="H636" s="379"/>
      <c r="I636" s="377"/>
      <c r="J636" s="377"/>
      <c r="K636" s="377"/>
      <c r="L636" s="377"/>
      <c r="M636" s="377"/>
    </row>
    <row r="637" ht="15.75" customHeight="1">
      <c r="A637" s="377"/>
      <c r="B637" s="377"/>
      <c r="C637" s="377"/>
      <c r="D637" s="377"/>
      <c r="E637" s="377"/>
      <c r="F637" s="377"/>
      <c r="G637" s="377"/>
      <c r="H637" s="379"/>
      <c r="I637" s="377"/>
      <c r="J637" s="377"/>
      <c r="K637" s="377"/>
      <c r="L637" s="377"/>
      <c r="M637" s="377"/>
    </row>
    <row r="638" ht="15.75" customHeight="1">
      <c r="A638" s="377"/>
      <c r="B638" s="377"/>
      <c r="C638" s="377"/>
      <c r="D638" s="377"/>
      <c r="E638" s="377"/>
      <c r="F638" s="377"/>
      <c r="G638" s="377"/>
      <c r="H638" s="379"/>
      <c r="I638" s="377"/>
      <c r="J638" s="377"/>
      <c r="K638" s="377"/>
      <c r="L638" s="377"/>
      <c r="M638" s="377"/>
    </row>
    <row r="639" ht="15.75" customHeight="1">
      <c r="A639" s="377"/>
      <c r="B639" s="377"/>
      <c r="C639" s="377"/>
      <c r="D639" s="377"/>
      <c r="E639" s="377"/>
      <c r="F639" s="377"/>
      <c r="G639" s="377"/>
      <c r="H639" s="379"/>
      <c r="I639" s="377"/>
      <c r="J639" s="377"/>
      <c r="K639" s="377"/>
      <c r="L639" s="377"/>
      <c r="M639" s="377"/>
    </row>
    <row r="640" ht="15.75" customHeight="1">
      <c r="A640" s="377"/>
      <c r="B640" s="377"/>
      <c r="C640" s="377"/>
      <c r="D640" s="377"/>
      <c r="E640" s="377"/>
      <c r="F640" s="377"/>
      <c r="G640" s="377"/>
      <c r="H640" s="379"/>
      <c r="I640" s="377"/>
      <c r="J640" s="377"/>
      <c r="K640" s="377"/>
      <c r="L640" s="377"/>
      <c r="M640" s="377"/>
    </row>
    <row r="641" ht="15.75" customHeight="1">
      <c r="A641" s="377"/>
      <c r="B641" s="377"/>
      <c r="C641" s="377"/>
      <c r="D641" s="377"/>
      <c r="E641" s="377"/>
      <c r="F641" s="377"/>
      <c r="G641" s="377"/>
      <c r="H641" s="379"/>
      <c r="I641" s="377"/>
      <c r="J641" s="377"/>
      <c r="K641" s="377"/>
      <c r="L641" s="377"/>
      <c r="M641" s="377"/>
    </row>
    <row r="642" ht="15.75" customHeight="1">
      <c r="A642" s="377"/>
      <c r="B642" s="377"/>
      <c r="C642" s="377"/>
      <c r="D642" s="377"/>
      <c r="E642" s="377"/>
      <c r="F642" s="377"/>
      <c r="G642" s="377"/>
      <c r="H642" s="379"/>
      <c r="I642" s="377"/>
      <c r="J642" s="377"/>
      <c r="K642" s="377"/>
      <c r="L642" s="377"/>
      <c r="M642" s="377"/>
    </row>
    <row r="643" ht="15.75" customHeight="1">
      <c r="A643" s="377"/>
      <c r="B643" s="377"/>
      <c r="C643" s="377"/>
      <c r="D643" s="377"/>
      <c r="E643" s="377"/>
      <c r="F643" s="377"/>
      <c r="G643" s="377"/>
      <c r="H643" s="379"/>
      <c r="I643" s="377"/>
      <c r="J643" s="377"/>
      <c r="K643" s="377"/>
      <c r="L643" s="377"/>
      <c r="M643" s="377"/>
    </row>
    <row r="644" ht="15.75" customHeight="1">
      <c r="A644" s="377"/>
      <c r="B644" s="377"/>
      <c r="C644" s="377"/>
      <c r="D644" s="377"/>
      <c r="E644" s="377"/>
      <c r="F644" s="377"/>
      <c r="G644" s="377"/>
      <c r="H644" s="379"/>
      <c r="I644" s="377"/>
      <c r="J644" s="377"/>
      <c r="K644" s="377"/>
      <c r="L644" s="377"/>
      <c r="M644" s="377"/>
    </row>
    <row r="645" ht="15.75" customHeight="1">
      <c r="A645" s="377"/>
      <c r="B645" s="377"/>
      <c r="C645" s="377"/>
      <c r="D645" s="377"/>
      <c r="E645" s="377"/>
      <c r="F645" s="377"/>
      <c r="G645" s="377"/>
      <c r="H645" s="379"/>
      <c r="I645" s="377"/>
      <c r="J645" s="377"/>
      <c r="K645" s="377"/>
      <c r="L645" s="377"/>
      <c r="M645" s="377"/>
    </row>
    <row r="646" ht="15.75" customHeight="1">
      <c r="A646" s="377"/>
      <c r="B646" s="377"/>
      <c r="C646" s="377"/>
      <c r="D646" s="377"/>
      <c r="E646" s="377"/>
      <c r="F646" s="377"/>
      <c r="G646" s="377"/>
      <c r="H646" s="379"/>
      <c r="I646" s="377"/>
      <c r="J646" s="377"/>
      <c r="K646" s="377"/>
      <c r="L646" s="377"/>
      <c r="M646" s="377"/>
    </row>
    <row r="647" ht="15.75" customHeight="1">
      <c r="A647" s="377"/>
      <c r="B647" s="377"/>
      <c r="C647" s="377"/>
      <c r="D647" s="377"/>
      <c r="E647" s="377"/>
      <c r="F647" s="377"/>
      <c r="G647" s="377"/>
      <c r="H647" s="379"/>
      <c r="I647" s="377"/>
      <c r="J647" s="377"/>
      <c r="K647" s="377"/>
      <c r="L647" s="377"/>
      <c r="M647" s="377"/>
    </row>
    <row r="648" ht="15.75" customHeight="1">
      <c r="A648" s="377"/>
      <c r="B648" s="377"/>
      <c r="C648" s="377"/>
      <c r="D648" s="377"/>
      <c r="E648" s="377"/>
      <c r="F648" s="377"/>
      <c r="G648" s="377"/>
      <c r="H648" s="379"/>
      <c r="I648" s="377"/>
      <c r="J648" s="377"/>
      <c r="K648" s="377"/>
      <c r="L648" s="377"/>
      <c r="M648" s="377"/>
    </row>
    <row r="649" ht="15.75" customHeight="1">
      <c r="A649" s="377"/>
      <c r="B649" s="377"/>
      <c r="C649" s="377"/>
      <c r="D649" s="377"/>
      <c r="E649" s="377"/>
      <c r="F649" s="377"/>
      <c r="G649" s="377"/>
      <c r="H649" s="379"/>
      <c r="I649" s="377"/>
      <c r="J649" s="377"/>
      <c r="K649" s="377"/>
      <c r="L649" s="377"/>
      <c r="M649" s="377"/>
    </row>
    <row r="650" ht="15.75" customHeight="1">
      <c r="A650" s="377"/>
      <c r="B650" s="377"/>
      <c r="C650" s="377"/>
      <c r="D650" s="377"/>
      <c r="E650" s="377"/>
      <c r="F650" s="377"/>
      <c r="G650" s="377"/>
      <c r="H650" s="379"/>
      <c r="I650" s="377"/>
      <c r="J650" s="377"/>
      <c r="K650" s="377"/>
      <c r="L650" s="377"/>
      <c r="M650" s="377"/>
    </row>
    <row r="651" ht="15.75" customHeight="1">
      <c r="A651" s="377"/>
      <c r="B651" s="377"/>
      <c r="C651" s="377"/>
      <c r="D651" s="377"/>
      <c r="E651" s="377"/>
      <c r="F651" s="377"/>
      <c r="G651" s="377"/>
      <c r="H651" s="379"/>
      <c r="I651" s="377"/>
      <c r="J651" s="377"/>
      <c r="K651" s="377"/>
      <c r="L651" s="377"/>
      <c r="M651" s="377"/>
    </row>
    <row r="652" ht="15.75" customHeight="1">
      <c r="A652" s="377"/>
      <c r="B652" s="377"/>
      <c r="C652" s="377"/>
      <c r="D652" s="377"/>
      <c r="E652" s="377"/>
      <c r="F652" s="377"/>
      <c r="G652" s="377"/>
      <c r="H652" s="379"/>
      <c r="I652" s="377"/>
      <c r="J652" s="377"/>
      <c r="K652" s="377"/>
      <c r="L652" s="377"/>
      <c r="M652" s="377"/>
    </row>
    <row r="653" ht="15.75" customHeight="1">
      <c r="A653" s="377"/>
      <c r="B653" s="377"/>
      <c r="C653" s="377"/>
      <c r="D653" s="377"/>
      <c r="E653" s="377"/>
      <c r="F653" s="377"/>
      <c r="G653" s="377"/>
      <c r="H653" s="379"/>
      <c r="I653" s="377"/>
      <c r="J653" s="377"/>
      <c r="K653" s="377"/>
      <c r="L653" s="377"/>
      <c r="M653" s="377"/>
    </row>
    <row r="654" ht="15.75" customHeight="1">
      <c r="A654" s="377"/>
      <c r="B654" s="377"/>
      <c r="C654" s="377"/>
      <c r="D654" s="377"/>
      <c r="E654" s="377"/>
      <c r="F654" s="377"/>
      <c r="G654" s="377"/>
      <c r="H654" s="379"/>
      <c r="I654" s="377"/>
      <c r="J654" s="377"/>
      <c r="K654" s="377"/>
      <c r="L654" s="377"/>
      <c r="M654" s="377"/>
    </row>
    <row r="655" ht="15.75" customHeight="1">
      <c r="A655" s="377"/>
      <c r="B655" s="377"/>
      <c r="C655" s="377"/>
      <c r="D655" s="377"/>
      <c r="E655" s="377"/>
      <c r="F655" s="377"/>
      <c r="G655" s="377"/>
      <c r="H655" s="379"/>
      <c r="I655" s="377"/>
      <c r="J655" s="377"/>
      <c r="K655" s="377"/>
      <c r="L655" s="377"/>
      <c r="M655" s="377"/>
    </row>
    <row r="656" ht="15.75" customHeight="1">
      <c r="A656" s="377"/>
      <c r="B656" s="377"/>
      <c r="C656" s="377"/>
      <c r="D656" s="377"/>
      <c r="E656" s="377"/>
      <c r="F656" s="377"/>
      <c r="G656" s="377"/>
      <c r="H656" s="379"/>
      <c r="I656" s="377"/>
      <c r="J656" s="377"/>
      <c r="K656" s="377"/>
      <c r="L656" s="377"/>
      <c r="M656" s="377"/>
    </row>
    <row r="657" ht="15.75" customHeight="1">
      <c r="A657" s="377"/>
      <c r="B657" s="377"/>
      <c r="C657" s="377"/>
      <c r="D657" s="377"/>
      <c r="E657" s="377"/>
      <c r="F657" s="377"/>
      <c r="G657" s="377"/>
      <c r="H657" s="379"/>
      <c r="I657" s="377"/>
      <c r="J657" s="377"/>
      <c r="K657" s="377"/>
      <c r="L657" s="377"/>
      <c r="M657" s="377"/>
    </row>
    <row r="658" ht="15.75" customHeight="1">
      <c r="A658" s="377"/>
      <c r="B658" s="377"/>
      <c r="C658" s="377"/>
      <c r="D658" s="377"/>
      <c r="E658" s="377"/>
      <c r="F658" s="377"/>
      <c r="G658" s="377"/>
      <c r="H658" s="379"/>
      <c r="I658" s="377"/>
      <c r="J658" s="377"/>
      <c r="K658" s="377"/>
      <c r="L658" s="377"/>
      <c r="M658" s="377"/>
    </row>
    <row r="659" ht="15.75" customHeight="1">
      <c r="A659" s="377"/>
      <c r="B659" s="377"/>
      <c r="C659" s="377"/>
      <c r="D659" s="377"/>
      <c r="E659" s="377"/>
      <c r="F659" s="377"/>
      <c r="G659" s="377"/>
      <c r="H659" s="379"/>
      <c r="I659" s="377"/>
      <c r="J659" s="377"/>
      <c r="K659" s="377"/>
      <c r="L659" s="377"/>
      <c r="M659" s="377"/>
    </row>
    <row r="660" ht="15.75" customHeight="1">
      <c r="A660" s="377"/>
      <c r="B660" s="377"/>
      <c r="C660" s="377"/>
      <c r="D660" s="377"/>
      <c r="E660" s="377"/>
      <c r="F660" s="377"/>
      <c r="G660" s="377"/>
      <c r="H660" s="379"/>
      <c r="I660" s="377"/>
      <c r="J660" s="377"/>
      <c r="K660" s="377"/>
      <c r="L660" s="377"/>
      <c r="M660" s="377"/>
    </row>
    <row r="661" ht="15.75" customHeight="1">
      <c r="A661" s="377"/>
      <c r="B661" s="377"/>
      <c r="C661" s="377"/>
      <c r="D661" s="377"/>
      <c r="E661" s="377"/>
      <c r="F661" s="377"/>
      <c r="G661" s="377"/>
      <c r="H661" s="379"/>
      <c r="I661" s="377"/>
      <c r="J661" s="377"/>
      <c r="K661" s="377"/>
      <c r="L661" s="377"/>
      <c r="M661" s="377"/>
    </row>
    <row r="662" ht="15.75" customHeight="1">
      <c r="A662" s="377"/>
      <c r="B662" s="377"/>
      <c r="C662" s="377"/>
      <c r="D662" s="377"/>
      <c r="E662" s="377"/>
      <c r="F662" s="377"/>
      <c r="G662" s="377"/>
      <c r="H662" s="379"/>
      <c r="I662" s="377"/>
      <c r="J662" s="377"/>
      <c r="K662" s="377"/>
      <c r="L662" s="377"/>
      <c r="M662" s="377"/>
    </row>
    <row r="663" ht="15.75" customHeight="1">
      <c r="A663" s="377"/>
      <c r="B663" s="377"/>
      <c r="C663" s="377"/>
      <c r="D663" s="377"/>
      <c r="E663" s="377"/>
      <c r="F663" s="377"/>
      <c r="G663" s="377"/>
      <c r="H663" s="379"/>
      <c r="I663" s="377"/>
      <c r="J663" s="377"/>
      <c r="K663" s="377"/>
      <c r="L663" s="377"/>
      <c r="M663" s="377"/>
    </row>
    <row r="664" ht="15.75" customHeight="1">
      <c r="A664" s="377"/>
      <c r="B664" s="377"/>
      <c r="C664" s="377"/>
      <c r="D664" s="377"/>
      <c r="E664" s="377"/>
      <c r="F664" s="377"/>
      <c r="G664" s="377"/>
      <c r="H664" s="379"/>
      <c r="I664" s="377"/>
      <c r="J664" s="377"/>
      <c r="K664" s="377"/>
      <c r="L664" s="377"/>
      <c r="M664" s="377"/>
    </row>
    <row r="665" ht="15.75" customHeight="1">
      <c r="A665" s="377"/>
      <c r="B665" s="377"/>
      <c r="C665" s="377"/>
      <c r="D665" s="377"/>
      <c r="E665" s="377"/>
      <c r="F665" s="377"/>
      <c r="G665" s="377"/>
      <c r="H665" s="379"/>
      <c r="I665" s="377"/>
      <c r="J665" s="377"/>
      <c r="K665" s="377"/>
      <c r="L665" s="377"/>
      <c r="M665" s="377"/>
    </row>
    <row r="666" ht="15.75" customHeight="1">
      <c r="A666" s="377"/>
      <c r="B666" s="377"/>
      <c r="C666" s="377"/>
      <c r="D666" s="377"/>
      <c r="E666" s="377"/>
      <c r="F666" s="377"/>
      <c r="G666" s="377"/>
      <c r="H666" s="379"/>
      <c r="I666" s="377"/>
      <c r="J666" s="377"/>
      <c r="K666" s="377"/>
      <c r="L666" s="377"/>
      <c r="M666" s="377"/>
    </row>
    <row r="667" ht="15.75" customHeight="1">
      <c r="A667" s="377"/>
      <c r="B667" s="377"/>
      <c r="C667" s="377"/>
      <c r="D667" s="377"/>
      <c r="E667" s="377"/>
      <c r="F667" s="377"/>
      <c r="G667" s="377"/>
      <c r="H667" s="379"/>
      <c r="I667" s="377"/>
      <c r="J667" s="377"/>
      <c r="K667" s="377"/>
      <c r="L667" s="377"/>
      <c r="M667" s="377"/>
    </row>
    <row r="668" ht="15.75" customHeight="1">
      <c r="A668" s="377"/>
      <c r="B668" s="377"/>
      <c r="C668" s="377"/>
      <c r="D668" s="377"/>
      <c r="E668" s="377"/>
      <c r="F668" s="377"/>
      <c r="G668" s="377"/>
      <c r="H668" s="379"/>
      <c r="I668" s="377"/>
      <c r="J668" s="377"/>
      <c r="K668" s="377"/>
      <c r="L668" s="377"/>
      <c r="M668" s="377"/>
    </row>
    <row r="669" ht="15.75" customHeight="1">
      <c r="A669" s="377"/>
      <c r="B669" s="377"/>
      <c r="C669" s="377"/>
      <c r="D669" s="377"/>
      <c r="E669" s="377"/>
      <c r="F669" s="377"/>
      <c r="G669" s="377"/>
      <c r="H669" s="379"/>
      <c r="I669" s="377"/>
      <c r="J669" s="377"/>
      <c r="K669" s="377"/>
      <c r="L669" s="377"/>
      <c r="M669" s="377"/>
    </row>
    <row r="670" ht="15.75" customHeight="1">
      <c r="A670" s="377"/>
      <c r="B670" s="377"/>
      <c r="C670" s="377"/>
      <c r="D670" s="377"/>
      <c r="E670" s="377"/>
      <c r="F670" s="377"/>
      <c r="G670" s="377"/>
      <c r="H670" s="379"/>
      <c r="I670" s="377"/>
      <c r="J670" s="377"/>
      <c r="K670" s="377"/>
      <c r="L670" s="377"/>
      <c r="M670" s="377"/>
    </row>
    <row r="671" ht="15.75" customHeight="1">
      <c r="A671" s="377"/>
      <c r="B671" s="377"/>
      <c r="C671" s="377"/>
      <c r="D671" s="377"/>
      <c r="E671" s="377"/>
      <c r="F671" s="377"/>
      <c r="G671" s="377"/>
      <c r="H671" s="379"/>
      <c r="I671" s="377"/>
      <c r="J671" s="377"/>
      <c r="K671" s="377"/>
      <c r="L671" s="377"/>
      <c r="M671" s="377"/>
    </row>
    <row r="672" ht="15.75" customHeight="1">
      <c r="A672" s="377"/>
      <c r="B672" s="377"/>
      <c r="C672" s="377"/>
      <c r="D672" s="377"/>
      <c r="E672" s="377"/>
      <c r="F672" s="377"/>
      <c r="G672" s="377"/>
      <c r="H672" s="379"/>
      <c r="I672" s="377"/>
      <c r="J672" s="377"/>
      <c r="K672" s="377"/>
      <c r="L672" s="377"/>
      <c r="M672" s="377"/>
    </row>
    <row r="673" ht="15.75" customHeight="1">
      <c r="A673" s="377"/>
      <c r="B673" s="377"/>
      <c r="C673" s="377"/>
      <c r="D673" s="377"/>
      <c r="E673" s="377"/>
      <c r="F673" s="377"/>
      <c r="G673" s="377"/>
      <c r="H673" s="379"/>
      <c r="I673" s="377"/>
      <c r="J673" s="377"/>
      <c r="K673" s="377"/>
      <c r="L673" s="377"/>
      <c r="M673" s="377"/>
    </row>
    <row r="674" ht="15.75" customHeight="1">
      <c r="A674" s="377"/>
      <c r="B674" s="377"/>
      <c r="C674" s="377"/>
      <c r="D674" s="377"/>
      <c r="E674" s="377"/>
      <c r="F674" s="377"/>
      <c r="G674" s="377"/>
      <c r="H674" s="379"/>
      <c r="I674" s="377"/>
      <c r="J674" s="377"/>
      <c r="K674" s="377"/>
      <c r="L674" s="377"/>
      <c r="M674" s="377"/>
    </row>
    <row r="675" ht="15.75" customHeight="1">
      <c r="A675" s="377"/>
      <c r="B675" s="377"/>
      <c r="C675" s="377"/>
      <c r="D675" s="377"/>
      <c r="E675" s="377"/>
      <c r="F675" s="377"/>
      <c r="G675" s="377"/>
      <c r="H675" s="379"/>
      <c r="I675" s="377"/>
      <c r="J675" s="377"/>
      <c r="K675" s="377"/>
      <c r="L675" s="377"/>
      <c r="M675" s="377"/>
    </row>
    <row r="676" ht="15.75" customHeight="1">
      <c r="A676" s="377"/>
      <c r="B676" s="377"/>
      <c r="C676" s="377"/>
      <c r="D676" s="377"/>
      <c r="E676" s="377"/>
      <c r="F676" s="377"/>
      <c r="G676" s="377"/>
      <c r="H676" s="379"/>
      <c r="I676" s="377"/>
      <c r="J676" s="377"/>
      <c r="K676" s="377"/>
      <c r="L676" s="377"/>
      <c r="M676" s="377"/>
    </row>
    <row r="677" ht="15.75" customHeight="1">
      <c r="A677" s="377"/>
      <c r="B677" s="377"/>
      <c r="C677" s="377"/>
      <c r="D677" s="377"/>
      <c r="E677" s="377"/>
      <c r="F677" s="377"/>
      <c r="G677" s="377"/>
      <c r="H677" s="379"/>
      <c r="I677" s="377"/>
      <c r="J677" s="377"/>
      <c r="K677" s="377"/>
      <c r="L677" s="377"/>
      <c r="M677" s="377"/>
    </row>
    <row r="678" ht="15.75" customHeight="1">
      <c r="A678" s="377"/>
      <c r="B678" s="377"/>
      <c r="C678" s="377"/>
      <c r="D678" s="377"/>
      <c r="E678" s="377"/>
      <c r="F678" s="377"/>
      <c r="G678" s="377"/>
      <c r="H678" s="379"/>
      <c r="I678" s="377"/>
      <c r="J678" s="377"/>
      <c r="K678" s="377"/>
      <c r="L678" s="377"/>
      <c r="M678" s="377"/>
    </row>
    <row r="679" ht="15.75" customHeight="1">
      <c r="A679" s="377"/>
      <c r="B679" s="377"/>
      <c r="C679" s="377"/>
      <c r="D679" s="377"/>
      <c r="E679" s="377"/>
      <c r="F679" s="377"/>
      <c r="G679" s="377"/>
      <c r="H679" s="379"/>
      <c r="I679" s="377"/>
      <c r="J679" s="377"/>
      <c r="K679" s="377"/>
      <c r="L679" s="377"/>
      <c r="M679" s="377"/>
    </row>
    <row r="680" ht="15.75" customHeight="1">
      <c r="A680" s="377"/>
      <c r="B680" s="377"/>
      <c r="C680" s="377"/>
      <c r="D680" s="377"/>
      <c r="E680" s="377"/>
      <c r="F680" s="377"/>
      <c r="G680" s="377"/>
      <c r="H680" s="379"/>
      <c r="I680" s="377"/>
      <c r="J680" s="377"/>
      <c r="K680" s="377"/>
      <c r="L680" s="377"/>
      <c r="M680" s="377"/>
    </row>
    <row r="681" ht="15.75" customHeight="1">
      <c r="A681" s="377"/>
      <c r="B681" s="377"/>
      <c r="C681" s="377"/>
      <c r="D681" s="377"/>
      <c r="E681" s="377"/>
      <c r="F681" s="377"/>
      <c r="G681" s="377"/>
      <c r="H681" s="379"/>
      <c r="I681" s="377"/>
      <c r="J681" s="377"/>
      <c r="K681" s="377"/>
      <c r="L681" s="377"/>
      <c r="M681" s="377"/>
    </row>
    <row r="682" ht="15.75" customHeight="1">
      <c r="A682" s="377"/>
      <c r="B682" s="377"/>
      <c r="C682" s="377"/>
      <c r="D682" s="377"/>
      <c r="E682" s="377"/>
      <c r="F682" s="377"/>
      <c r="G682" s="377"/>
      <c r="H682" s="379"/>
      <c r="I682" s="377"/>
      <c r="J682" s="377"/>
      <c r="K682" s="377"/>
      <c r="L682" s="377"/>
      <c r="M682" s="377"/>
    </row>
    <row r="683" ht="15.75" customHeight="1">
      <c r="A683" s="377"/>
      <c r="B683" s="377"/>
      <c r="C683" s="377"/>
      <c r="D683" s="377"/>
      <c r="E683" s="377"/>
      <c r="F683" s="377"/>
      <c r="G683" s="377"/>
      <c r="H683" s="379"/>
      <c r="I683" s="377"/>
      <c r="J683" s="377"/>
      <c r="K683" s="377"/>
      <c r="L683" s="377"/>
      <c r="M683" s="377"/>
    </row>
    <row r="684" ht="15.75" customHeight="1">
      <c r="A684" s="377"/>
      <c r="B684" s="377"/>
      <c r="C684" s="377"/>
      <c r="D684" s="377"/>
      <c r="E684" s="377"/>
      <c r="F684" s="377"/>
      <c r="G684" s="377"/>
      <c r="H684" s="379"/>
      <c r="I684" s="377"/>
      <c r="J684" s="377"/>
      <c r="K684" s="377"/>
      <c r="L684" s="377"/>
      <c r="M684" s="377"/>
    </row>
    <row r="685" ht="15.75" customHeight="1">
      <c r="A685" s="377"/>
      <c r="B685" s="377"/>
      <c r="C685" s="377"/>
      <c r="D685" s="377"/>
      <c r="E685" s="377"/>
      <c r="F685" s="377"/>
      <c r="G685" s="377"/>
      <c r="H685" s="379"/>
      <c r="I685" s="377"/>
      <c r="J685" s="377"/>
      <c r="K685" s="377"/>
      <c r="L685" s="377"/>
      <c r="M685" s="377"/>
    </row>
    <row r="686" ht="15.75" customHeight="1">
      <c r="A686" s="377"/>
      <c r="B686" s="377"/>
      <c r="C686" s="377"/>
      <c r="D686" s="377"/>
      <c r="E686" s="377"/>
      <c r="F686" s="377"/>
      <c r="G686" s="377"/>
      <c r="H686" s="379"/>
      <c r="I686" s="377"/>
      <c r="J686" s="377"/>
      <c r="K686" s="377"/>
      <c r="L686" s="377"/>
      <c r="M686" s="377"/>
    </row>
    <row r="687" ht="15.75" customHeight="1">
      <c r="A687" s="377"/>
      <c r="B687" s="377"/>
      <c r="C687" s="377"/>
      <c r="D687" s="377"/>
      <c r="E687" s="377"/>
      <c r="F687" s="377"/>
      <c r="G687" s="377"/>
      <c r="H687" s="379"/>
      <c r="I687" s="377"/>
      <c r="J687" s="377"/>
      <c r="K687" s="377"/>
      <c r="L687" s="377"/>
      <c r="M687" s="377"/>
    </row>
    <row r="688" ht="15.75" customHeight="1">
      <c r="A688" s="377"/>
      <c r="B688" s="377"/>
      <c r="C688" s="377"/>
      <c r="D688" s="377"/>
      <c r="E688" s="377"/>
      <c r="F688" s="377"/>
      <c r="G688" s="377"/>
      <c r="H688" s="379"/>
      <c r="I688" s="377"/>
      <c r="J688" s="377"/>
      <c r="K688" s="377"/>
      <c r="L688" s="377"/>
      <c r="M688" s="377"/>
    </row>
    <row r="689" ht="15.75" customHeight="1">
      <c r="A689" s="377"/>
      <c r="B689" s="377"/>
      <c r="C689" s="377"/>
      <c r="D689" s="377"/>
      <c r="E689" s="377"/>
      <c r="F689" s="377"/>
      <c r="G689" s="377"/>
      <c r="H689" s="379"/>
      <c r="I689" s="377"/>
      <c r="J689" s="377"/>
      <c r="K689" s="377"/>
      <c r="L689" s="377"/>
      <c r="M689" s="377"/>
    </row>
    <row r="690" ht="15.75" customHeight="1">
      <c r="A690" s="377"/>
      <c r="B690" s="377"/>
      <c r="C690" s="377"/>
      <c r="D690" s="377"/>
      <c r="E690" s="377"/>
      <c r="F690" s="377"/>
      <c r="G690" s="377"/>
      <c r="H690" s="379"/>
      <c r="I690" s="377"/>
      <c r="J690" s="377"/>
      <c r="K690" s="377"/>
      <c r="L690" s="377"/>
      <c r="M690" s="377"/>
    </row>
    <row r="691" ht="15.75" customHeight="1">
      <c r="A691" s="377"/>
      <c r="B691" s="377"/>
      <c r="C691" s="377"/>
      <c r="D691" s="377"/>
      <c r="E691" s="377"/>
      <c r="F691" s="377"/>
      <c r="G691" s="377"/>
      <c r="H691" s="379"/>
      <c r="I691" s="377"/>
      <c r="J691" s="377"/>
      <c r="K691" s="377"/>
      <c r="L691" s="377"/>
      <c r="M691" s="377"/>
    </row>
    <row r="692" ht="15.75" customHeight="1">
      <c r="A692" s="377"/>
      <c r="B692" s="377"/>
      <c r="C692" s="377"/>
      <c r="D692" s="377"/>
      <c r="E692" s="377"/>
      <c r="F692" s="377"/>
      <c r="G692" s="377"/>
      <c r="H692" s="379"/>
      <c r="I692" s="377"/>
      <c r="J692" s="377"/>
      <c r="K692" s="377"/>
      <c r="L692" s="377"/>
      <c r="M692" s="377"/>
    </row>
    <row r="693" ht="15.75" customHeight="1">
      <c r="A693" s="377"/>
      <c r="B693" s="377"/>
      <c r="C693" s="377"/>
      <c r="D693" s="377"/>
      <c r="E693" s="377"/>
      <c r="F693" s="377"/>
      <c r="G693" s="377"/>
      <c r="H693" s="379"/>
      <c r="I693" s="377"/>
      <c r="J693" s="377"/>
      <c r="K693" s="377"/>
      <c r="L693" s="377"/>
      <c r="M693" s="377"/>
    </row>
    <row r="694" ht="15.75" customHeight="1">
      <c r="A694" s="377"/>
      <c r="B694" s="377"/>
      <c r="C694" s="377"/>
      <c r="D694" s="377"/>
      <c r="E694" s="377"/>
      <c r="F694" s="377"/>
      <c r="G694" s="377"/>
      <c r="H694" s="379"/>
      <c r="I694" s="377"/>
      <c r="J694" s="377"/>
      <c r="K694" s="377"/>
      <c r="L694" s="377"/>
      <c r="M694" s="377"/>
    </row>
    <row r="695" ht="15.75" customHeight="1">
      <c r="A695" s="377"/>
      <c r="B695" s="377"/>
      <c r="C695" s="377"/>
      <c r="D695" s="377"/>
      <c r="E695" s="377"/>
      <c r="F695" s="377"/>
      <c r="G695" s="377"/>
      <c r="H695" s="379"/>
      <c r="I695" s="377"/>
      <c r="J695" s="377"/>
      <c r="K695" s="377"/>
      <c r="L695" s="377"/>
      <c r="M695" s="377"/>
    </row>
    <row r="696" ht="15.75" customHeight="1">
      <c r="A696" s="377"/>
      <c r="B696" s="377"/>
      <c r="C696" s="377"/>
      <c r="D696" s="377"/>
      <c r="E696" s="377"/>
      <c r="F696" s="377"/>
      <c r="G696" s="377"/>
      <c r="H696" s="379"/>
      <c r="I696" s="377"/>
      <c r="J696" s="377"/>
      <c r="K696" s="377"/>
      <c r="L696" s="377"/>
      <c r="M696" s="377"/>
    </row>
    <row r="697" ht="15.75" customHeight="1">
      <c r="A697" s="377"/>
      <c r="B697" s="377"/>
      <c r="C697" s="377"/>
      <c r="D697" s="377"/>
      <c r="E697" s="377"/>
      <c r="F697" s="377"/>
      <c r="G697" s="377"/>
      <c r="H697" s="379"/>
      <c r="I697" s="377"/>
      <c r="J697" s="377"/>
      <c r="K697" s="377"/>
      <c r="L697" s="377"/>
      <c r="M697" s="377"/>
    </row>
    <row r="698" ht="15.75" customHeight="1">
      <c r="A698" s="377"/>
      <c r="B698" s="377"/>
      <c r="C698" s="377"/>
      <c r="D698" s="377"/>
      <c r="E698" s="377"/>
      <c r="F698" s="377"/>
      <c r="G698" s="377"/>
      <c r="H698" s="379"/>
      <c r="I698" s="377"/>
      <c r="J698" s="377"/>
      <c r="K698" s="377"/>
      <c r="L698" s="377"/>
      <c r="M698" s="377"/>
    </row>
    <row r="699" ht="15.75" customHeight="1">
      <c r="A699" s="377"/>
      <c r="B699" s="377"/>
      <c r="C699" s="377"/>
      <c r="D699" s="377"/>
      <c r="E699" s="377"/>
      <c r="F699" s="377"/>
      <c r="G699" s="377"/>
      <c r="H699" s="379"/>
      <c r="I699" s="377"/>
      <c r="J699" s="377"/>
      <c r="K699" s="377"/>
      <c r="L699" s="377"/>
      <c r="M699" s="377"/>
    </row>
    <row r="700" ht="15.75" customHeight="1">
      <c r="A700" s="377"/>
      <c r="B700" s="377"/>
      <c r="C700" s="377"/>
      <c r="D700" s="377"/>
      <c r="E700" s="377"/>
      <c r="F700" s="377"/>
      <c r="G700" s="377"/>
      <c r="H700" s="379"/>
      <c r="I700" s="377"/>
      <c r="J700" s="377"/>
      <c r="K700" s="377"/>
      <c r="L700" s="377"/>
      <c r="M700" s="377"/>
    </row>
    <row r="701" ht="15.75" customHeight="1">
      <c r="A701" s="377"/>
      <c r="B701" s="377"/>
      <c r="C701" s="377"/>
      <c r="D701" s="377"/>
      <c r="E701" s="377"/>
      <c r="F701" s="377"/>
      <c r="G701" s="377"/>
      <c r="H701" s="379"/>
      <c r="I701" s="377"/>
      <c r="J701" s="377"/>
      <c r="K701" s="377"/>
      <c r="L701" s="377"/>
      <c r="M701" s="377"/>
    </row>
    <row r="702" ht="15.75" customHeight="1">
      <c r="A702" s="377"/>
      <c r="B702" s="377"/>
      <c r="C702" s="377"/>
      <c r="D702" s="377"/>
      <c r="E702" s="377"/>
      <c r="F702" s="377"/>
      <c r="G702" s="377"/>
      <c r="H702" s="379"/>
      <c r="I702" s="377"/>
      <c r="J702" s="377"/>
      <c r="K702" s="377"/>
      <c r="L702" s="377"/>
      <c r="M702" s="377"/>
    </row>
    <row r="703" ht="15.75" customHeight="1">
      <c r="A703" s="377"/>
      <c r="B703" s="377"/>
      <c r="C703" s="377"/>
      <c r="D703" s="377"/>
      <c r="E703" s="377"/>
      <c r="F703" s="377"/>
      <c r="G703" s="377"/>
      <c r="H703" s="379"/>
      <c r="I703" s="377"/>
      <c r="J703" s="377"/>
      <c r="K703" s="377"/>
      <c r="L703" s="377"/>
      <c r="M703" s="377"/>
    </row>
    <row r="704" ht="15.75" customHeight="1">
      <c r="A704" s="377"/>
      <c r="B704" s="377"/>
      <c r="C704" s="377"/>
      <c r="D704" s="377"/>
      <c r="E704" s="377"/>
      <c r="F704" s="377"/>
      <c r="G704" s="377"/>
      <c r="H704" s="379"/>
      <c r="I704" s="377"/>
      <c r="J704" s="377"/>
      <c r="K704" s="377"/>
      <c r="L704" s="377"/>
      <c r="M704" s="377"/>
    </row>
    <row r="705" ht="15.75" customHeight="1">
      <c r="A705" s="377"/>
      <c r="B705" s="377"/>
      <c r="C705" s="377"/>
      <c r="D705" s="377"/>
      <c r="E705" s="377"/>
      <c r="F705" s="377"/>
      <c r="G705" s="377"/>
      <c r="H705" s="379"/>
      <c r="I705" s="377"/>
      <c r="J705" s="377"/>
      <c r="K705" s="377"/>
      <c r="L705" s="377"/>
      <c r="M705" s="377"/>
    </row>
    <row r="706" ht="15.75" customHeight="1">
      <c r="A706" s="377"/>
      <c r="B706" s="377"/>
      <c r="C706" s="377"/>
      <c r="D706" s="377"/>
      <c r="E706" s="377"/>
      <c r="F706" s="377"/>
      <c r="G706" s="377"/>
      <c r="H706" s="379"/>
      <c r="I706" s="377"/>
      <c r="J706" s="377"/>
      <c r="K706" s="377"/>
      <c r="L706" s="377"/>
      <c r="M706" s="377"/>
    </row>
    <row r="707" ht="15.75" customHeight="1">
      <c r="A707" s="377"/>
      <c r="B707" s="377"/>
      <c r="C707" s="377"/>
      <c r="D707" s="377"/>
      <c r="E707" s="377"/>
      <c r="F707" s="377"/>
      <c r="G707" s="377"/>
      <c r="H707" s="379"/>
      <c r="I707" s="377"/>
      <c r="J707" s="377"/>
      <c r="K707" s="377"/>
      <c r="L707" s="377"/>
      <c r="M707" s="377"/>
    </row>
    <row r="708" ht="15.75" customHeight="1">
      <c r="A708" s="377"/>
      <c r="B708" s="377"/>
      <c r="C708" s="377"/>
      <c r="D708" s="377"/>
      <c r="E708" s="377"/>
      <c r="F708" s="377"/>
      <c r="G708" s="377"/>
      <c r="H708" s="379"/>
      <c r="I708" s="377"/>
      <c r="J708" s="377"/>
      <c r="K708" s="377"/>
      <c r="L708" s="377"/>
      <c r="M708" s="377"/>
    </row>
    <row r="709" ht="15.75" customHeight="1">
      <c r="A709" s="377"/>
      <c r="B709" s="377"/>
      <c r="C709" s="377"/>
      <c r="D709" s="377"/>
      <c r="E709" s="377"/>
      <c r="F709" s="377"/>
      <c r="G709" s="377"/>
      <c r="H709" s="379"/>
      <c r="I709" s="377"/>
      <c r="J709" s="377"/>
      <c r="K709" s="377"/>
      <c r="L709" s="377"/>
      <c r="M709" s="377"/>
    </row>
    <row r="710" ht="15.75" customHeight="1">
      <c r="A710" s="377"/>
      <c r="B710" s="377"/>
      <c r="C710" s="377"/>
      <c r="D710" s="377"/>
      <c r="E710" s="377"/>
      <c r="F710" s="377"/>
      <c r="G710" s="377"/>
      <c r="H710" s="379"/>
      <c r="I710" s="377"/>
      <c r="J710" s="377"/>
      <c r="K710" s="377"/>
      <c r="L710" s="377"/>
      <c r="M710" s="377"/>
    </row>
    <row r="711" ht="15.75" customHeight="1">
      <c r="A711" s="377"/>
      <c r="B711" s="377"/>
      <c r="C711" s="377"/>
      <c r="D711" s="377"/>
      <c r="E711" s="377"/>
      <c r="F711" s="377"/>
      <c r="G711" s="377"/>
      <c r="H711" s="379"/>
      <c r="I711" s="377"/>
      <c r="J711" s="377"/>
      <c r="K711" s="377"/>
      <c r="L711" s="377"/>
      <c r="M711" s="377"/>
    </row>
    <row r="712" ht="15.75" customHeight="1">
      <c r="A712" s="377"/>
      <c r="B712" s="377"/>
      <c r="C712" s="377"/>
      <c r="D712" s="377"/>
      <c r="E712" s="377"/>
      <c r="F712" s="377"/>
      <c r="G712" s="377"/>
      <c r="H712" s="379"/>
      <c r="I712" s="377"/>
      <c r="J712" s="377"/>
      <c r="K712" s="377"/>
      <c r="L712" s="377"/>
      <c r="M712" s="377"/>
    </row>
    <row r="713" ht="15.75" customHeight="1">
      <c r="A713" s="377"/>
      <c r="B713" s="377"/>
      <c r="C713" s="377"/>
      <c r="D713" s="377"/>
      <c r="E713" s="377"/>
      <c r="F713" s="377"/>
      <c r="G713" s="377"/>
      <c r="H713" s="379"/>
      <c r="I713" s="377"/>
      <c r="J713" s="377"/>
      <c r="K713" s="377"/>
      <c r="L713" s="377"/>
      <c r="M713" s="377"/>
    </row>
    <row r="714" ht="15.75" customHeight="1">
      <c r="A714" s="377"/>
      <c r="B714" s="377"/>
      <c r="C714" s="377"/>
      <c r="D714" s="377"/>
      <c r="E714" s="377"/>
      <c r="F714" s="377"/>
      <c r="G714" s="377"/>
      <c r="H714" s="379"/>
      <c r="I714" s="377"/>
      <c r="J714" s="377"/>
      <c r="K714" s="377"/>
      <c r="L714" s="377"/>
      <c r="M714" s="377"/>
    </row>
    <row r="715" ht="15.75" customHeight="1">
      <c r="A715" s="377"/>
      <c r="B715" s="377"/>
      <c r="C715" s="377"/>
      <c r="D715" s="377"/>
      <c r="E715" s="377"/>
      <c r="F715" s="377"/>
      <c r="G715" s="377"/>
      <c r="H715" s="379"/>
      <c r="I715" s="377"/>
      <c r="J715" s="377"/>
      <c r="K715" s="377"/>
      <c r="L715" s="377"/>
      <c r="M715" s="377"/>
    </row>
    <row r="716" ht="15.75" customHeight="1">
      <c r="A716" s="377"/>
      <c r="B716" s="377"/>
      <c r="C716" s="377"/>
      <c r="D716" s="377"/>
      <c r="E716" s="377"/>
      <c r="F716" s="377"/>
      <c r="G716" s="377"/>
      <c r="H716" s="379"/>
      <c r="I716" s="377"/>
      <c r="J716" s="377"/>
      <c r="K716" s="377"/>
      <c r="L716" s="377"/>
      <c r="M716" s="377"/>
    </row>
    <row r="717" ht="15.75" customHeight="1">
      <c r="A717" s="377"/>
      <c r="B717" s="377"/>
      <c r="C717" s="377"/>
      <c r="D717" s="377"/>
      <c r="E717" s="377"/>
      <c r="F717" s="377"/>
      <c r="G717" s="377"/>
      <c r="H717" s="379"/>
      <c r="I717" s="377"/>
      <c r="J717" s="377"/>
      <c r="K717" s="377"/>
      <c r="L717" s="377"/>
      <c r="M717" s="377"/>
    </row>
    <row r="718" ht="15.75" customHeight="1">
      <c r="A718" s="377"/>
      <c r="B718" s="377"/>
      <c r="C718" s="377"/>
      <c r="D718" s="377"/>
      <c r="E718" s="377"/>
      <c r="F718" s="377"/>
      <c r="G718" s="377"/>
      <c r="H718" s="379"/>
      <c r="I718" s="377"/>
      <c r="J718" s="377"/>
      <c r="K718" s="377"/>
      <c r="L718" s="377"/>
      <c r="M718" s="377"/>
    </row>
    <row r="719" ht="15.75" customHeight="1">
      <c r="A719" s="377"/>
      <c r="B719" s="377"/>
      <c r="C719" s="377"/>
      <c r="D719" s="377"/>
      <c r="E719" s="377"/>
      <c r="F719" s="377"/>
      <c r="G719" s="377"/>
      <c r="H719" s="379"/>
      <c r="I719" s="377"/>
      <c r="J719" s="377"/>
      <c r="K719" s="377"/>
      <c r="L719" s="377"/>
      <c r="M719" s="377"/>
    </row>
    <row r="720" ht="15.75" customHeight="1">
      <c r="A720" s="377"/>
      <c r="B720" s="377"/>
      <c r="C720" s="377"/>
      <c r="D720" s="377"/>
      <c r="E720" s="377"/>
      <c r="F720" s="377"/>
      <c r="G720" s="377"/>
      <c r="H720" s="379"/>
      <c r="I720" s="377"/>
      <c r="J720" s="377"/>
      <c r="K720" s="377"/>
      <c r="L720" s="377"/>
      <c r="M720" s="377"/>
    </row>
    <row r="721" ht="15.75" customHeight="1">
      <c r="A721" s="377"/>
      <c r="B721" s="377"/>
      <c r="C721" s="377"/>
      <c r="D721" s="377"/>
      <c r="E721" s="377"/>
      <c r="F721" s="377"/>
      <c r="G721" s="377"/>
      <c r="H721" s="379"/>
      <c r="I721" s="377"/>
      <c r="J721" s="377"/>
      <c r="K721" s="377"/>
      <c r="L721" s="377"/>
      <c r="M721" s="377"/>
    </row>
    <row r="722" ht="15.75" customHeight="1">
      <c r="A722" s="377"/>
      <c r="B722" s="377"/>
      <c r="C722" s="377"/>
      <c r="D722" s="377"/>
      <c r="E722" s="377"/>
      <c r="F722" s="377"/>
      <c r="G722" s="377"/>
      <c r="H722" s="379"/>
      <c r="I722" s="377"/>
      <c r="J722" s="377"/>
      <c r="K722" s="377"/>
      <c r="L722" s="377"/>
      <c r="M722" s="377"/>
    </row>
    <row r="723" ht="15.75" customHeight="1">
      <c r="A723" s="377"/>
      <c r="B723" s="377"/>
      <c r="C723" s="377"/>
      <c r="D723" s="377"/>
      <c r="E723" s="377"/>
      <c r="F723" s="377"/>
      <c r="G723" s="377"/>
      <c r="H723" s="379"/>
      <c r="I723" s="377"/>
      <c r="J723" s="377"/>
      <c r="K723" s="377"/>
      <c r="L723" s="377"/>
      <c r="M723" s="377"/>
    </row>
    <row r="724" ht="15.75" customHeight="1">
      <c r="A724" s="377"/>
      <c r="B724" s="377"/>
      <c r="C724" s="377"/>
      <c r="D724" s="377"/>
      <c r="E724" s="377"/>
      <c r="F724" s="377"/>
      <c r="G724" s="377"/>
      <c r="H724" s="379"/>
      <c r="I724" s="377"/>
      <c r="J724" s="377"/>
      <c r="K724" s="377"/>
      <c r="L724" s="377"/>
      <c r="M724" s="377"/>
    </row>
    <row r="725" ht="15.75" customHeight="1">
      <c r="A725" s="377"/>
      <c r="B725" s="377"/>
      <c r="C725" s="377"/>
      <c r="D725" s="377"/>
      <c r="E725" s="377"/>
      <c r="F725" s="377"/>
      <c r="G725" s="377"/>
      <c r="H725" s="379"/>
      <c r="I725" s="377"/>
      <c r="J725" s="377"/>
      <c r="K725" s="377"/>
      <c r="L725" s="377"/>
      <c r="M725" s="377"/>
    </row>
    <row r="726" ht="15.75" customHeight="1">
      <c r="A726" s="377"/>
      <c r="B726" s="377"/>
      <c r="C726" s="377"/>
      <c r="D726" s="377"/>
      <c r="E726" s="377"/>
      <c r="F726" s="377"/>
      <c r="G726" s="377"/>
      <c r="H726" s="379"/>
      <c r="I726" s="377"/>
      <c r="J726" s="377"/>
      <c r="K726" s="377"/>
      <c r="L726" s="377"/>
      <c r="M726" s="377"/>
    </row>
    <row r="727" ht="15.75" customHeight="1">
      <c r="A727" s="377"/>
      <c r="B727" s="377"/>
      <c r="C727" s="377"/>
      <c r="D727" s="377"/>
      <c r="E727" s="377"/>
      <c r="F727" s="377"/>
      <c r="G727" s="377"/>
      <c r="H727" s="379"/>
      <c r="I727" s="377"/>
      <c r="J727" s="377"/>
      <c r="K727" s="377"/>
      <c r="L727" s="377"/>
      <c r="M727" s="377"/>
    </row>
    <row r="728" ht="15.75" customHeight="1">
      <c r="A728" s="377"/>
      <c r="B728" s="377"/>
      <c r="C728" s="377"/>
      <c r="D728" s="377"/>
      <c r="E728" s="377"/>
      <c r="F728" s="377"/>
      <c r="G728" s="377"/>
      <c r="H728" s="379"/>
      <c r="I728" s="377"/>
      <c r="J728" s="377"/>
      <c r="K728" s="377"/>
      <c r="L728" s="377"/>
      <c r="M728" s="377"/>
    </row>
    <row r="729" ht="15.75" customHeight="1">
      <c r="A729" s="377"/>
      <c r="B729" s="377"/>
      <c r="C729" s="377"/>
      <c r="D729" s="377"/>
      <c r="E729" s="377"/>
      <c r="F729" s="377"/>
      <c r="G729" s="377"/>
      <c r="H729" s="379"/>
      <c r="I729" s="377"/>
      <c r="J729" s="377"/>
      <c r="K729" s="377"/>
      <c r="L729" s="377"/>
      <c r="M729" s="377"/>
    </row>
    <row r="730" ht="15.75" customHeight="1">
      <c r="A730" s="377"/>
      <c r="B730" s="377"/>
      <c r="C730" s="377"/>
      <c r="D730" s="377"/>
      <c r="E730" s="377"/>
      <c r="F730" s="377"/>
      <c r="G730" s="377"/>
      <c r="H730" s="379"/>
      <c r="I730" s="377"/>
      <c r="J730" s="377"/>
      <c r="K730" s="377"/>
      <c r="L730" s="377"/>
      <c r="M730" s="377"/>
    </row>
    <row r="731" ht="15.75" customHeight="1">
      <c r="A731" s="377"/>
      <c r="B731" s="377"/>
      <c r="C731" s="377"/>
      <c r="D731" s="377"/>
      <c r="E731" s="377"/>
      <c r="F731" s="377"/>
      <c r="G731" s="377"/>
      <c r="H731" s="379"/>
      <c r="I731" s="377"/>
      <c r="J731" s="377"/>
      <c r="K731" s="377"/>
      <c r="L731" s="377"/>
      <c r="M731" s="377"/>
    </row>
    <row r="732" ht="15.75" customHeight="1">
      <c r="A732" s="377"/>
      <c r="B732" s="377"/>
      <c r="C732" s="377"/>
      <c r="D732" s="377"/>
      <c r="E732" s="377"/>
      <c r="F732" s="377"/>
      <c r="G732" s="377"/>
      <c r="H732" s="379"/>
      <c r="I732" s="377"/>
      <c r="J732" s="377"/>
      <c r="K732" s="377"/>
      <c r="L732" s="377"/>
      <c r="M732" s="377"/>
    </row>
    <row r="733" ht="15.75" customHeight="1">
      <c r="A733" s="377"/>
      <c r="B733" s="377"/>
      <c r="C733" s="377"/>
      <c r="D733" s="377"/>
      <c r="E733" s="377"/>
      <c r="F733" s="377"/>
      <c r="G733" s="377"/>
      <c r="H733" s="379"/>
      <c r="I733" s="377"/>
      <c r="J733" s="377"/>
      <c r="K733" s="377"/>
      <c r="L733" s="377"/>
      <c r="M733" s="377"/>
    </row>
    <row r="734" ht="15.75" customHeight="1">
      <c r="A734" s="377"/>
      <c r="B734" s="377"/>
      <c r="C734" s="377"/>
      <c r="D734" s="377"/>
      <c r="E734" s="377"/>
      <c r="F734" s="377"/>
      <c r="G734" s="377"/>
      <c r="H734" s="379"/>
      <c r="I734" s="377"/>
      <c r="J734" s="377"/>
      <c r="K734" s="377"/>
      <c r="L734" s="377"/>
      <c r="M734" s="377"/>
    </row>
    <row r="735" ht="15.75" customHeight="1">
      <c r="A735" s="377"/>
      <c r="B735" s="377"/>
      <c r="C735" s="377"/>
      <c r="D735" s="377"/>
      <c r="E735" s="377"/>
      <c r="F735" s="377"/>
      <c r="G735" s="377"/>
      <c r="H735" s="379"/>
      <c r="I735" s="377"/>
      <c r="J735" s="377"/>
      <c r="K735" s="377"/>
      <c r="L735" s="377"/>
      <c r="M735" s="377"/>
    </row>
    <row r="736" ht="15.75" customHeight="1">
      <c r="A736" s="377"/>
      <c r="B736" s="377"/>
      <c r="C736" s="377"/>
      <c r="D736" s="377"/>
      <c r="E736" s="377"/>
      <c r="F736" s="377"/>
      <c r="G736" s="377"/>
      <c r="H736" s="379"/>
      <c r="I736" s="377"/>
      <c r="J736" s="377"/>
      <c r="K736" s="377"/>
      <c r="L736" s="377"/>
      <c r="M736" s="377"/>
    </row>
    <row r="737" ht="15.75" customHeight="1">
      <c r="A737" s="377"/>
      <c r="B737" s="377"/>
      <c r="C737" s="377"/>
      <c r="D737" s="377"/>
      <c r="E737" s="377"/>
      <c r="F737" s="377"/>
      <c r="G737" s="377"/>
      <c r="H737" s="379"/>
      <c r="I737" s="377"/>
      <c r="J737" s="377"/>
      <c r="K737" s="377"/>
      <c r="L737" s="377"/>
      <c r="M737" s="377"/>
    </row>
    <row r="738" ht="15.75" customHeight="1">
      <c r="A738" s="377"/>
      <c r="B738" s="377"/>
      <c r="C738" s="377"/>
      <c r="D738" s="377"/>
      <c r="E738" s="377"/>
      <c r="F738" s="377"/>
      <c r="G738" s="377"/>
      <c r="H738" s="379"/>
      <c r="I738" s="377"/>
      <c r="J738" s="377"/>
      <c r="K738" s="377"/>
      <c r="L738" s="377"/>
      <c r="M738" s="377"/>
    </row>
    <row r="739" ht="15.75" customHeight="1">
      <c r="A739" s="377"/>
      <c r="B739" s="377"/>
      <c r="C739" s="377"/>
      <c r="D739" s="377"/>
      <c r="E739" s="377"/>
      <c r="F739" s="377"/>
      <c r="G739" s="377"/>
      <c r="H739" s="379"/>
      <c r="I739" s="377"/>
      <c r="J739" s="377"/>
      <c r="K739" s="377"/>
      <c r="L739" s="377"/>
      <c r="M739" s="377"/>
    </row>
    <row r="740" ht="15.75" customHeight="1">
      <c r="A740" s="377"/>
      <c r="B740" s="377"/>
      <c r="C740" s="377"/>
      <c r="D740" s="377"/>
      <c r="E740" s="377"/>
      <c r="F740" s="377"/>
      <c r="G740" s="377"/>
      <c r="H740" s="379"/>
      <c r="I740" s="377"/>
      <c r="J740" s="377"/>
      <c r="K740" s="377"/>
      <c r="L740" s="377"/>
      <c r="M740" s="377"/>
    </row>
    <row r="741" ht="15.75" customHeight="1">
      <c r="A741" s="377"/>
      <c r="B741" s="377"/>
      <c r="C741" s="377"/>
      <c r="D741" s="377"/>
      <c r="E741" s="377"/>
      <c r="F741" s="377"/>
      <c r="G741" s="377"/>
      <c r="H741" s="379"/>
      <c r="I741" s="377"/>
      <c r="J741" s="377"/>
      <c r="K741" s="377"/>
      <c r="L741" s="377"/>
      <c r="M741" s="377"/>
    </row>
    <row r="742" ht="15.75" customHeight="1">
      <c r="A742" s="377"/>
      <c r="B742" s="377"/>
      <c r="C742" s="377"/>
      <c r="D742" s="377"/>
      <c r="E742" s="377"/>
      <c r="F742" s="377"/>
      <c r="G742" s="377"/>
      <c r="H742" s="379"/>
      <c r="I742" s="377"/>
      <c r="J742" s="377"/>
      <c r="K742" s="377"/>
      <c r="L742" s="377"/>
      <c r="M742" s="377"/>
    </row>
    <row r="743" ht="15.75" customHeight="1">
      <c r="A743" s="377"/>
      <c r="B743" s="377"/>
      <c r="C743" s="377"/>
      <c r="D743" s="377"/>
      <c r="E743" s="377"/>
      <c r="F743" s="377"/>
      <c r="G743" s="377"/>
      <c r="H743" s="379"/>
      <c r="I743" s="377"/>
      <c r="J743" s="377"/>
      <c r="K743" s="377"/>
      <c r="L743" s="377"/>
      <c r="M743" s="377"/>
    </row>
    <row r="744" ht="15.75" customHeight="1">
      <c r="A744" s="377"/>
      <c r="B744" s="377"/>
      <c r="C744" s="377"/>
      <c r="D744" s="377"/>
      <c r="E744" s="377"/>
      <c r="F744" s="377"/>
      <c r="G744" s="377"/>
      <c r="H744" s="379"/>
      <c r="I744" s="377"/>
      <c r="J744" s="377"/>
      <c r="K744" s="377"/>
      <c r="L744" s="377"/>
      <c r="M744" s="377"/>
    </row>
    <row r="745" ht="15.75" customHeight="1">
      <c r="A745" s="377"/>
      <c r="B745" s="377"/>
      <c r="C745" s="377"/>
      <c r="D745" s="377"/>
      <c r="E745" s="377"/>
      <c r="F745" s="377"/>
      <c r="G745" s="377"/>
      <c r="H745" s="379"/>
      <c r="I745" s="377"/>
      <c r="J745" s="377"/>
      <c r="K745" s="377"/>
      <c r="L745" s="377"/>
      <c r="M745" s="377"/>
    </row>
    <row r="746" ht="15.75" customHeight="1">
      <c r="A746" s="377"/>
      <c r="B746" s="377"/>
      <c r="C746" s="377"/>
      <c r="D746" s="377"/>
      <c r="E746" s="377"/>
      <c r="F746" s="377"/>
      <c r="G746" s="377"/>
      <c r="H746" s="379"/>
      <c r="I746" s="377"/>
      <c r="J746" s="377"/>
      <c r="K746" s="377"/>
      <c r="L746" s="377"/>
      <c r="M746" s="377"/>
    </row>
    <row r="747" ht="15.75" customHeight="1">
      <c r="A747" s="377"/>
      <c r="B747" s="377"/>
      <c r="C747" s="377"/>
      <c r="D747" s="377"/>
      <c r="E747" s="377"/>
      <c r="F747" s="377"/>
      <c r="G747" s="377"/>
      <c r="H747" s="379"/>
      <c r="I747" s="377"/>
      <c r="J747" s="377"/>
      <c r="K747" s="377"/>
      <c r="L747" s="377"/>
      <c r="M747" s="377"/>
    </row>
    <row r="748" ht="15.75" customHeight="1">
      <c r="A748" s="377"/>
      <c r="B748" s="377"/>
      <c r="C748" s="377"/>
      <c r="D748" s="377"/>
      <c r="E748" s="377"/>
      <c r="F748" s="377"/>
      <c r="G748" s="377"/>
      <c r="H748" s="379"/>
      <c r="I748" s="377"/>
      <c r="J748" s="377"/>
      <c r="K748" s="377"/>
      <c r="L748" s="377"/>
      <c r="M748" s="377"/>
    </row>
    <row r="749" ht="15.75" customHeight="1">
      <c r="A749" s="377"/>
      <c r="B749" s="377"/>
      <c r="C749" s="377"/>
      <c r="D749" s="377"/>
      <c r="E749" s="377"/>
      <c r="F749" s="377"/>
      <c r="G749" s="377"/>
      <c r="H749" s="379"/>
      <c r="I749" s="377"/>
      <c r="J749" s="377"/>
      <c r="K749" s="377"/>
      <c r="L749" s="377"/>
      <c r="M749" s="377"/>
    </row>
    <row r="750" ht="15.75" customHeight="1">
      <c r="A750" s="377"/>
      <c r="B750" s="377"/>
      <c r="C750" s="377"/>
      <c r="D750" s="377"/>
      <c r="E750" s="377"/>
      <c r="F750" s="377"/>
      <c r="G750" s="377"/>
      <c r="H750" s="379"/>
      <c r="I750" s="377"/>
      <c r="J750" s="377"/>
      <c r="K750" s="377"/>
      <c r="L750" s="377"/>
      <c r="M750" s="377"/>
    </row>
    <row r="751" ht="15.75" customHeight="1">
      <c r="A751" s="377"/>
      <c r="B751" s="377"/>
      <c r="C751" s="377"/>
      <c r="D751" s="377"/>
      <c r="E751" s="377"/>
      <c r="F751" s="377"/>
      <c r="G751" s="377"/>
      <c r="H751" s="379"/>
      <c r="I751" s="377"/>
      <c r="J751" s="377"/>
      <c r="K751" s="377"/>
      <c r="L751" s="377"/>
      <c r="M751" s="377"/>
    </row>
    <row r="752" ht="15.75" customHeight="1">
      <c r="A752" s="377"/>
      <c r="B752" s="377"/>
      <c r="C752" s="377"/>
      <c r="D752" s="377"/>
      <c r="E752" s="377"/>
      <c r="F752" s="377"/>
      <c r="G752" s="377"/>
      <c r="H752" s="379"/>
      <c r="I752" s="377"/>
      <c r="J752" s="377"/>
      <c r="K752" s="377"/>
      <c r="L752" s="377"/>
      <c r="M752" s="377"/>
    </row>
    <row r="753" ht="15.75" customHeight="1">
      <c r="A753" s="377"/>
      <c r="B753" s="377"/>
      <c r="C753" s="377"/>
      <c r="D753" s="377"/>
      <c r="E753" s="377"/>
      <c r="F753" s="377"/>
      <c r="G753" s="377"/>
      <c r="H753" s="379"/>
      <c r="I753" s="377"/>
      <c r="J753" s="377"/>
      <c r="K753" s="377"/>
      <c r="L753" s="377"/>
      <c r="M753" s="377"/>
    </row>
    <row r="754" ht="15.75" customHeight="1">
      <c r="A754" s="377"/>
      <c r="B754" s="377"/>
      <c r="C754" s="377"/>
      <c r="D754" s="377"/>
      <c r="E754" s="377"/>
      <c r="F754" s="377"/>
      <c r="G754" s="377"/>
      <c r="H754" s="379"/>
      <c r="I754" s="377"/>
      <c r="J754" s="377"/>
      <c r="K754" s="377"/>
      <c r="L754" s="377"/>
      <c r="M754" s="377"/>
    </row>
    <row r="755" ht="15.75" customHeight="1">
      <c r="A755" s="377"/>
      <c r="B755" s="377"/>
      <c r="C755" s="377"/>
      <c r="D755" s="377"/>
      <c r="E755" s="377"/>
      <c r="F755" s="377"/>
      <c r="G755" s="377"/>
      <c r="H755" s="379"/>
      <c r="I755" s="377"/>
      <c r="J755" s="377"/>
      <c r="K755" s="377"/>
      <c r="L755" s="377"/>
      <c r="M755" s="377"/>
    </row>
    <row r="756" ht="15.75" customHeight="1">
      <c r="A756" s="377"/>
      <c r="B756" s="377"/>
      <c r="C756" s="377"/>
      <c r="D756" s="377"/>
      <c r="E756" s="377"/>
      <c r="F756" s="377"/>
      <c r="G756" s="377"/>
      <c r="H756" s="379"/>
      <c r="I756" s="377"/>
      <c r="J756" s="377"/>
      <c r="K756" s="377"/>
      <c r="L756" s="377"/>
      <c r="M756" s="377"/>
    </row>
    <row r="757" ht="15.75" customHeight="1">
      <c r="A757" s="377"/>
      <c r="B757" s="377"/>
      <c r="C757" s="377"/>
      <c r="D757" s="377"/>
      <c r="E757" s="377"/>
      <c r="F757" s="377"/>
      <c r="G757" s="377"/>
      <c r="H757" s="379"/>
      <c r="I757" s="377"/>
      <c r="J757" s="377"/>
      <c r="K757" s="377"/>
      <c r="L757" s="377"/>
      <c r="M757" s="377"/>
    </row>
    <row r="758" ht="15.75" customHeight="1">
      <c r="A758" s="377"/>
      <c r="B758" s="377"/>
      <c r="C758" s="377"/>
      <c r="D758" s="377"/>
      <c r="E758" s="377"/>
      <c r="F758" s="377"/>
      <c r="G758" s="377"/>
      <c r="H758" s="379"/>
      <c r="I758" s="377"/>
      <c r="J758" s="377"/>
      <c r="K758" s="377"/>
      <c r="L758" s="377"/>
      <c r="M758" s="377"/>
    </row>
    <row r="759" ht="15.75" customHeight="1">
      <c r="A759" s="377"/>
      <c r="B759" s="377"/>
      <c r="C759" s="377"/>
      <c r="D759" s="377"/>
      <c r="E759" s="377"/>
      <c r="F759" s="377"/>
      <c r="G759" s="377"/>
      <c r="H759" s="379"/>
      <c r="I759" s="377"/>
      <c r="J759" s="377"/>
      <c r="K759" s="377"/>
      <c r="L759" s="377"/>
      <c r="M759" s="377"/>
    </row>
    <row r="760" ht="15.75" customHeight="1">
      <c r="A760" s="377"/>
      <c r="B760" s="377"/>
      <c r="C760" s="377"/>
      <c r="D760" s="377"/>
      <c r="E760" s="377"/>
      <c r="F760" s="377"/>
      <c r="G760" s="377"/>
      <c r="H760" s="379"/>
      <c r="I760" s="377"/>
      <c r="J760" s="377"/>
      <c r="K760" s="377"/>
      <c r="L760" s="377"/>
      <c r="M760" s="377"/>
    </row>
    <row r="761" ht="15.75" customHeight="1">
      <c r="A761" s="377"/>
      <c r="B761" s="377"/>
      <c r="C761" s="377"/>
      <c r="D761" s="377"/>
      <c r="E761" s="377"/>
      <c r="F761" s="377"/>
      <c r="G761" s="377"/>
      <c r="H761" s="379"/>
      <c r="I761" s="377"/>
      <c r="J761" s="377"/>
      <c r="K761" s="377"/>
      <c r="L761" s="377"/>
      <c r="M761" s="377"/>
    </row>
    <row r="762" ht="15.75" customHeight="1">
      <c r="A762" s="377"/>
      <c r="B762" s="377"/>
      <c r="C762" s="377"/>
      <c r="D762" s="377"/>
      <c r="E762" s="377"/>
      <c r="F762" s="377"/>
      <c r="G762" s="377"/>
      <c r="H762" s="379"/>
      <c r="I762" s="377"/>
      <c r="J762" s="377"/>
      <c r="K762" s="377"/>
      <c r="L762" s="377"/>
      <c r="M762" s="377"/>
    </row>
    <row r="763" ht="15.75" customHeight="1">
      <c r="A763" s="377"/>
      <c r="B763" s="377"/>
      <c r="C763" s="377"/>
      <c r="D763" s="377"/>
      <c r="E763" s="377"/>
      <c r="F763" s="377"/>
      <c r="G763" s="377"/>
      <c r="H763" s="379"/>
      <c r="I763" s="377"/>
      <c r="J763" s="377"/>
      <c r="K763" s="377"/>
      <c r="L763" s="377"/>
      <c r="M763" s="377"/>
    </row>
    <row r="764" ht="15.75" customHeight="1">
      <c r="A764" s="377"/>
      <c r="B764" s="377"/>
      <c r="C764" s="377"/>
      <c r="D764" s="377"/>
      <c r="E764" s="377"/>
      <c r="F764" s="377"/>
      <c r="G764" s="377"/>
      <c r="H764" s="379"/>
      <c r="I764" s="377"/>
      <c r="J764" s="377"/>
      <c r="K764" s="377"/>
      <c r="L764" s="377"/>
      <c r="M764" s="377"/>
    </row>
    <row r="765" ht="15.75" customHeight="1">
      <c r="A765" s="377"/>
      <c r="B765" s="377"/>
      <c r="C765" s="377"/>
      <c r="D765" s="377"/>
      <c r="E765" s="377"/>
      <c r="F765" s="377"/>
      <c r="G765" s="377"/>
      <c r="H765" s="379"/>
      <c r="I765" s="377"/>
      <c r="J765" s="377"/>
      <c r="K765" s="377"/>
      <c r="L765" s="377"/>
      <c r="M765" s="377"/>
    </row>
    <row r="766" ht="15.75" customHeight="1">
      <c r="A766" s="377"/>
      <c r="B766" s="377"/>
      <c r="C766" s="377"/>
      <c r="D766" s="377"/>
      <c r="E766" s="377"/>
      <c r="F766" s="377"/>
      <c r="G766" s="377"/>
      <c r="H766" s="379"/>
      <c r="I766" s="377"/>
      <c r="J766" s="377"/>
      <c r="K766" s="377"/>
      <c r="L766" s="377"/>
      <c r="M766" s="377"/>
    </row>
    <row r="767" ht="15.75" customHeight="1">
      <c r="A767" s="377"/>
      <c r="B767" s="377"/>
      <c r="C767" s="377"/>
      <c r="D767" s="377"/>
      <c r="E767" s="377"/>
      <c r="F767" s="377"/>
      <c r="G767" s="377"/>
      <c r="H767" s="379"/>
      <c r="I767" s="377"/>
      <c r="J767" s="377"/>
      <c r="K767" s="377"/>
      <c r="L767" s="377"/>
      <c r="M767" s="377"/>
    </row>
    <row r="768" ht="15.75" customHeight="1">
      <c r="A768" s="377"/>
      <c r="B768" s="377"/>
      <c r="C768" s="377"/>
      <c r="D768" s="377"/>
      <c r="E768" s="377"/>
      <c r="F768" s="377"/>
      <c r="G768" s="377"/>
      <c r="H768" s="379"/>
      <c r="I768" s="377"/>
      <c r="J768" s="377"/>
      <c r="K768" s="377"/>
      <c r="L768" s="377"/>
      <c r="M768" s="377"/>
    </row>
    <row r="769" ht="15.75" customHeight="1">
      <c r="A769" s="377"/>
      <c r="B769" s="377"/>
      <c r="C769" s="377"/>
      <c r="D769" s="377"/>
      <c r="E769" s="377"/>
      <c r="F769" s="377"/>
      <c r="G769" s="377"/>
      <c r="H769" s="379"/>
      <c r="I769" s="377"/>
      <c r="J769" s="377"/>
      <c r="K769" s="377"/>
      <c r="L769" s="377"/>
      <c r="M769" s="377"/>
    </row>
    <row r="770" ht="15.75" customHeight="1">
      <c r="A770" s="377"/>
      <c r="B770" s="377"/>
      <c r="C770" s="377"/>
      <c r="D770" s="377"/>
      <c r="E770" s="377"/>
      <c r="F770" s="377"/>
      <c r="G770" s="377"/>
      <c r="H770" s="379"/>
      <c r="I770" s="377"/>
      <c r="J770" s="377"/>
      <c r="K770" s="377"/>
      <c r="L770" s="377"/>
      <c r="M770" s="377"/>
    </row>
    <row r="771" ht="15.75" customHeight="1">
      <c r="A771" s="377"/>
      <c r="B771" s="377"/>
      <c r="C771" s="377"/>
      <c r="D771" s="377"/>
      <c r="E771" s="377"/>
      <c r="F771" s="377"/>
      <c r="G771" s="377"/>
      <c r="H771" s="379"/>
      <c r="I771" s="377"/>
      <c r="J771" s="377"/>
      <c r="K771" s="377"/>
      <c r="L771" s="377"/>
      <c r="M771" s="377"/>
    </row>
    <row r="772" ht="15.75" customHeight="1">
      <c r="A772" s="377"/>
      <c r="B772" s="377"/>
      <c r="C772" s="377"/>
      <c r="D772" s="377"/>
      <c r="E772" s="377"/>
      <c r="F772" s="377"/>
      <c r="G772" s="377"/>
      <c r="H772" s="379"/>
      <c r="I772" s="377"/>
      <c r="J772" s="377"/>
      <c r="K772" s="377"/>
      <c r="L772" s="377"/>
      <c r="M772" s="377"/>
    </row>
    <row r="773" ht="15.75" customHeight="1">
      <c r="A773" s="377"/>
      <c r="B773" s="377"/>
      <c r="C773" s="377"/>
      <c r="D773" s="377"/>
      <c r="E773" s="377"/>
      <c r="F773" s="377"/>
      <c r="G773" s="377"/>
      <c r="H773" s="379"/>
      <c r="I773" s="377"/>
      <c r="J773" s="377"/>
      <c r="K773" s="377"/>
      <c r="L773" s="377"/>
      <c r="M773" s="377"/>
    </row>
    <row r="774" ht="15.75" customHeight="1">
      <c r="A774" s="377"/>
      <c r="B774" s="377"/>
      <c r="C774" s="377"/>
      <c r="D774" s="377"/>
      <c r="E774" s="377"/>
      <c r="F774" s="377"/>
      <c r="G774" s="377"/>
      <c r="H774" s="379"/>
      <c r="I774" s="377"/>
      <c r="J774" s="377"/>
      <c r="K774" s="377"/>
      <c r="L774" s="377"/>
      <c r="M774" s="377"/>
    </row>
    <row r="775" ht="15.75" customHeight="1">
      <c r="A775" s="377"/>
      <c r="B775" s="377"/>
      <c r="C775" s="377"/>
      <c r="D775" s="377"/>
      <c r="E775" s="377"/>
      <c r="F775" s="377"/>
      <c r="G775" s="377"/>
      <c r="H775" s="379"/>
      <c r="I775" s="377"/>
      <c r="J775" s="377"/>
      <c r="K775" s="377"/>
      <c r="L775" s="377"/>
      <c r="M775" s="377"/>
    </row>
    <row r="776" ht="15.75" customHeight="1">
      <c r="A776" s="377"/>
      <c r="B776" s="377"/>
      <c r="C776" s="377"/>
      <c r="D776" s="377"/>
      <c r="E776" s="377"/>
      <c r="F776" s="377"/>
      <c r="G776" s="377"/>
      <c r="H776" s="379"/>
      <c r="I776" s="377"/>
      <c r="J776" s="377"/>
      <c r="K776" s="377"/>
      <c r="L776" s="377"/>
      <c r="M776" s="377"/>
    </row>
    <row r="777" ht="15.75" customHeight="1">
      <c r="A777" s="377"/>
      <c r="B777" s="377"/>
      <c r="C777" s="377"/>
      <c r="D777" s="377"/>
      <c r="E777" s="377"/>
      <c r="F777" s="377"/>
      <c r="G777" s="377"/>
      <c r="H777" s="379"/>
      <c r="I777" s="377"/>
      <c r="J777" s="377"/>
      <c r="K777" s="377"/>
      <c r="L777" s="377"/>
      <c r="M777" s="377"/>
    </row>
    <row r="778" ht="15.75" customHeight="1">
      <c r="A778" s="377"/>
      <c r="B778" s="377"/>
      <c r="C778" s="377"/>
      <c r="D778" s="377"/>
      <c r="E778" s="377"/>
      <c r="F778" s="377"/>
      <c r="G778" s="377"/>
      <c r="H778" s="379"/>
      <c r="I778" s="377"/>
      <c r="J778" s="377"/>
      <c r="K778" s="377"/>
      <c r="L778" s="377"/>
      <c r="M778" s="377"/>
    </row>
    <row r="779" ht="15.75" customHeight="1">
      <c r="A779" s="377"/>
      <c r="B779" s="377"/>
      <c r="C779" s="377"/>
      <c r="D779" s="377"/>
      <c r="E779" s="377"/>
      <c r="F779" s="377"/>
      <c r="G779" s="377"/>
      <c r="H779" s="379"/>
      <c r="I779" s="377"/>
      <c r="J779" s="377"/>
      <c r="K779" s="377"/>
      <c r="L779" s="377"/>
      <c r="M779" s="377"/>
    </row>
    <row r="780" ht="15.75" customHeight="1">
      <c r="A780" s="377"/>
      <c r="B780" s="377"/>
      <c r="C780" s="377"/>
      <c r="D780" s="377"/>
      <c r="E780" s="377"/>
      <c r="F780" s="377"/>
      <c r="G780" s="377"/>
      <c r="H780" s="379"/>
      <c r="I780" s="377"/>
      <c r="J780" s="377"/>
      <c r="K780" s="377"/>
      <c r="L780" s="377"/>
      <c r="M780" s="377"/>
    </row>
    <row r="781" ht="15.75" customHeight="1">
      <c r="A781" s="377"/>
      <c r="B781" s="377"/>
      <c r="C781" s="377"/>
      <c r="D781" s="377"/>
      <c r="E781" s="377"/>
      <c r="F781" s="377"/>
      <c r="G781" s="377"/>
      <c r="H781" s="379"/>
      <c r="I781" s="377"/>
      <c r="J781" s="377"/>
      <c r="K781" s="377"/>
      <c r="L781" s="377"/>
      <c r="M781" s="377"/>
    </row>
    <row r="782" ht="15.75" customHeight="1">
      <c r="A782" s="377"/>
      <c r="B782" s="377"/>
      <c r="C782" s="377"/>
      <c r="D782" s="377"/>
      <c r="E782" s="377"/>
      <c r="F782" s="377"/>
      <c r="G782" s="377"/>
      <c r="H782" s="379"/>
      <c r="I782" s="377"/>
      <c r="J782" s="377"/>
      <c r="K782" s="377"/>
      <c r="L782" s="377"/>
      <c r="M782" s="377"/>
    </row>
    <row r="783" ht="15.75" customHeight="1">
      <c r="A783" s="377"/>
      <c r="B783" s="377"/>
      <c r="C783" s="377"/>
      <c r="D783" s="377"/>
      <c r="E783" s="377"/>
      <c r="F783" s="377"/>
      <c r="G783" s="377"/>
      <c r="H783" s="379"/>
      <c r="I783" s="377"/>
      <c r="J783" s="377"/>
      <c r="K783" s="377"/>
      <c r="L783" s="377"/>
      <c r="M783" s="377"/>
    </row>
    <row r="784" ht="15.75" customHeight="1">
      <c r="A784" s="377"/>
      <c r="B784" s="377"/>
      <c r="C784" s="377"/>
      <c r="D784" s="377"/>
      <c r="E784" s="377"/>
      <c r="F784" s="377"/>
      <c r="G784" s="377"/>
      <c r="H784" s="379"/>
      <c r="I784" s="377"/>
      <c r="J784" s="377"/>
      <c r="K784" s="377"/>
      <c r="L784" s="377"/>
      <c r="M784" s="377"/>
    </row>
    <row r="785" ht="15.75" customHeight="1">
      <c r="A785" s="377"/>
      <c r="B785" s="377"/>
      <c r="C785" s="377"/>
      <c r="D785" s="377"/>
      <c r="E785" s="377"/>
      <c r="F785" s="377"/>
      <c r="G785" s="377"/>
      <c r="H785" s="379"/>
      <c r="I785" s="377"/>
      <c r="J785" s="377"/>
      <c r="K785" s="377"/>
      <c r="L785" s="377"/>
      <c r="M785" s="377"/>
    </row>
    <row r="786" ht="15.75" customHeight="1">
      <c r="A786" s="377"/>
      <c r="B786" s="377"/>
      <c r="C786" s="377"/>
      <c r="D786" s="377"/>
      <c r="E786" s="377"/>
      <c r="F786" s="377"/>
      <c r="G786" s="377"/>
      <c r="H786" s="379"/>
      <c r="I786" s="377"/>
      <c r="J786" s="377"/>
      <c r="K786" s="377"/>
      <c r="L786" s="377"/>
      <c r="M786" s="377"/>
    </row>
    <row r="787" ht="15.75" customHeight="1">
      <c r="A787" s="377"/>
      <c r="B787" s="377"/>
      <c r="C787" s="377"/>
      <c r="D787" s="377"/>
      <c r="E787" s="377"/>
      <c r="F787" s="377"/>
      <c r="G787" s="377"/>
      <c r="H787" s="379"/>
      <c r="I787" s="377"/>
      <c r="J787" s="377"/>
      <c r="K787" s="377"/>
      <c r="L787" s="377"/>
      <c r="M787" s="377"/>
    </row>
    <row r="788" ht="15.75" customHeight="1">
      <c r="A788" s="377"/>
      <c r="B788" s="377"/>
      <c r="C788" s="377"/>
      <c r="D788" s="377"/>
      <c r="E788" s="377"/>
      <c r="F788" s="377"/>
      <c r="G788" s="377"/>
      <c r="H788" s="379"/>
      <c r="I788" s="377"/>
      <c r="J788" s="377"/>
      <c r="K788" s="377"/>
      <c r="L788" s="377"/>
      <c r="M788" s="377"/>
    </row>
    <row r="789" ht="15.75" customHeight="1">
      <c r="A789" s="377"/>
      <c r="B789" s="377"/>
      <c r="C789" s="377"/>
      <c r="D789" s="377"/>
      <c r="E789" s="377"/>
      <c r="F789" s="377"/>
      <c r="G789" s="377"/>
      <c r="H789" s="379"/>
      <c r="I789" s="377"/>
      <c r="J789" s="377"/>
      <c r="K789" s="377"/>
      <c r="L789" s="377"/>
      <c r="M789" s="377"/>
    </row>
    <row r="790" ht="15.75" customHeight="1">
      <c r="A790" s="377"/>
      <c r="B790" s="377"/>
      <c r="C790" s="377"/>
      <c r="D790" s="377"/>
      <c r="E790" s="377"/>
      <c r="F790" s="377"/>
      <c r="G790" s="377"/>
      <c r="H790" s="379"/>
      <c r="I790" s="377"/>
      <c r="J790" s="377"/>
      <c r="K790" s="377"/>
      <c r="L790" s="377"/>
      <c r="M790" s="377"/>
    </row>
    <row r="791" ht="15.75" customHeight="1">
      <c r="A791" s="377"/>
      <c r="B791" s="377"/>
      <c r="C791" s="377"/>
      <c r="D791" s="377"/>
      <c r="E791" s="377"/>
      <c r="F791" s="377"/>
      <c r="G791" s="377"/>
      <c r="H791" s="379"/>
      <c r="I791" s="377"/>
      <c r="J791" s="377"/>
      <c r="K791" s="377"/>
      <c r="L791" s="377"/>
      <c r="M791" s="377"/>
    </row>
    <row r="792" ht="15.75" customHeight="1">
      <c r="A792" s="377"/>
      <c r="B792" s="377"/>
      <c r="C792" s="377"/>
      <c r="D792" s="377"/>
      <c r="E792" s="377"/>
      <c r="F792" s="377"/>
      <c r="G792" s="377"/>
      <c r="H792" s="379"/>
      <c r="I792" s="377"/>
      <c r="J792" s="377"/>
      <c r="K792" s="377"/>
      <c r="L792" s="377"/>
      <c r="M792" s="377"/>
    </row>
    <row r="793" ht="15.75" customHeight="1">
      <c r="A793" s="377"/>
      <c r="B793" s="377"/>
      <c r="C793" s="377"/>
      <c r="D793" s="377"/>
      <c r="E793" s="377"/>
      <c r="F793" s="377"/>
      <c r="G793" s="377"/>
      <c r="H793" s="379"/>
      <c r="I793" s="377"/>
      <c r="J793" s="377"/>
      <c r="K793" s="377"/>
      <c r="L793" s="377"/>
      <c r="M793" s="377"/>
    </row>
    <row r="794" ht="15.75" customHeight="1">
      <c r="A794" s="377"/>
      <c r="B794" s="377"/>
      <c r="C794" s="377"/>
      <c r="D794" s="377"/>
      <c r="E794" s="377"/>
      <c r="F794" s="377"/>
      <c r="G794" s="377"/>
      <c r="H794" s="379"/>
      <c r="I794" s="377"/>
      <c r="J794" s="377"/>
      <c r="K794" s="377"/>
      <c r="L794" s="377"/>
      <c r="M794" s="377"/>
    </row>
    <row r="795" ht="15.75" customHeight="1">
      <c r="A795" s="377"/>
      <c r="B795" s="377"/>
      <c r="C795" s="377"/>
      <c r="D795" s="377"/>
      <c r="E795" s="377"/>
      <c r="F795" s="377"/>
      <c r="G795" s="377"/>
      <c r="H795" s="379"/>
      <c r="I795" s="377"/>
      <c r="J795" s="377"/>
      <c r="K795" s="377"/>
      <c r="L795" s="377"/>
      <c r="M795" s="377"/>
    </row>
    <row r="796" ht="15.75" customHeight="1">
      <c r="A796" s="377"/>
      <c r="B796" s="377"/>
      <c r="C796" s="377"/>
      <c r="D796" s="377"/>
      <c r="E796" s="377"/>
      <c r="F796" s="377"/>
      <c r="G796" s="377"/>
      <c r="H796" s="379"/>
      <c r="I796" s="377"/>
      <c r="J796" s="377"/>
      <c r="K796" s="377"/>
      <c r="L796" s="377"/>
      <c r="M796" s="377"/>
    </row>
    <row r="797" ht="15.75" customHeight="1">
      <c r="A797" s="377"/>
      <c r="B797" s="377"/>
      <c r="C797" s="377"/>
      <c r="D797" s="377"/>
      <c r="E797" s="377"/>
      <c r="F797" s="377"/>
      <c r="G797" s="377"/>
      <c r="H797" s="379"/>
      <c r="I797" s="377"/>
      <c r="J797" s="377"/>
      <c r="K797" s="377"/>
      <c r="L797" s="377"/>
      <c r="M797" s="377"/>
    </row>
    <row r="798" ht="15.75" customHeight="1">
      <c r="A798" s="377"/>
      <c r="B798" s="377"/>
      <c r="C798" s="377"/>
      <c r="D798" s="377"/>
      <c r="E798" s="377"/>
      <c r="F798" s="377"/>
      <c r="G798" s="377"/>
      <c r="H798" s="379"/>
      <c r="I798" s="377"/>
      <c r="J798" s="377"/>
      <c r="K798" s="377"/>
      <c r="L798" s="377"/>
      <c r="M798" s="377"/>
    </row>
    <row r="799" ht="15.75" customHeight="1">
      <c r="A799" s="377"/>
      <c r="B799" s="377"/>
      <c r="C799" s="377"/>
      <c r="D799" s="377"/>
      <c r="E799" s="377"/>
      <c r="F799" s="377"/>
      <c r="G799" s="377"/>
      <c r="H799" s="379"/>
      <c r="I799" s="377"/>
      <c r="J799" s="377"/>
      <c r="K799" s="377"/>
      <c r="L799" s="377"/>
      <c r="M799" s="377"/>
    </row>
    <row r="800" ht="15.75" customHeight="1">
      <c r="A800" s="377"/>
      <c r="B800" s="377"/>
      <c r="C800" s="377"/>
      <c r="D800" s="377"/>
      <c r="E800" s="377"/>
      <c r="F800" s="377"/>
      <c r="G800" s="377"/>
      <c r="H800" s="379"/>
      <c r="I800" s="377"/>
      <c r="J800" s="377"/>
      <c r="K800" s="377"/>
      <c r="L800" s="377"/>
      <c r="M800" s="377"/>
    </row>
    <row r="801" ht="15.75" customHeight="1">
      <c r="A801" s="377"/>
      <c r="B801" s="377"/>
      <c r="C801" s="377"/>
      <c r="D801" s="377"/>
      <c r="E801" s="377"/>
      <c r="F801" s="377"/>
      <c r="G801" s="377"/>
      <c r="H801" s="379"/>
      <c r="I801" s="377"/>
      <c r="J801" s="377"/>
      <c r="K801" s="377"/>
      <c r="L801" s="377"/>
      <c r="M801" s="377"/>
    </row>
    <row r="802" ht="15.75" customHeight="1">
      <c r="A802" s="377"/>
      <c r="B802" s="377"/>
      <c r="C802" s="377"/>
      <c r="D802" s="377"/>
      <c r="E802" s="377"/>
      <c r="F802" s="377"/>
      <c r="G802" s="377"/>
      <c r="H802" s="379"/>
      <c r="I802" s="377"/>
      <c r="J802" s="377"/>
      <c r="K802" s="377"/>
      <c r="L802" s="377"/>
      <c r="M802" s="377"/>
    </row>
    <row r="803" ht="15.75" customHeight="1">
      <c r="A803" s="377"/>
      <c r="B803" s="377"/>
      <c r="C803" s="377"/>
      <c r="D803" s="377"/>
      <c r="E803" s="377"/>
      <c r="F803" s="377"/>
      <c r="G803" s="377"/>
      <c r="H803" s="379"/>
      <c r="I803" s="377"/>
      <c r="J803" s="377"/>
      <c r="K803" s="377"/>
      <c r="L803" s="377"/>
      <c r="M803" s="377"/>
    </row>
    <row r="804" ht="15.75" customHeight="1">
      <c r="A804" s="377"/>
      <c r="B804" s="377"/>
      <c r="C804" s="377"/>
      <c r="D804" s="377"/>
      <c r="E804" s="377"/>
      <c r="F804" s="377"/>
      <c r="G804" s="377"/>
      <c r="H804" s="379"/>
      <c r="I804" s="377"/>
      <c r="J804" s="377"/>
      <c r="K804" s="377"/>
      <c r="L804" s="377"/>
      <c r="M804" s="377"/>
    </row>
    <row r="805" ht="15.75" customHeight="1">
      <c r="A805" s="377"/>
      <c r="B805" s="377"/>
      <c r="C805" s="377"/>
      <c r="D805" s="377"/>
      <c r="E805" s="377"/>
      <c r="F805" s="377"/>
      <c r="G805" s="377"/>
      <c r="H805" s="379"/>
      <c r="I805" s="377"/>
      <c r="J805" s="377"/>
      <c r="K805" s="377"/>
      <c r="L805" s="377"/>
      <c r="M805" s="377"/>
    </row>
    <row r="806" ht="15.75" customHeight="1">
      <c r="A806" s="377"/>
      <c r="B806" s="377"/>
      <c r="C806" s="377"/>
      <c r="D806" s="377"/>
      <c r="E806" s="377"/>
      <c r="F806" s="377"/>
      <c r="G806" s="377"/>
      <c r="H806" s="379"/>
      <c r="I806" s="377"/>
      <c r="J806" s="377"/>
      <c r="K806" s="377"/>
      <c r="L806" s="377"/>
      <c r="M806" s="377"/>
    </row>
    <row r="807" ht="15.75" customHeight="1">
      <c r="A807" s="377"/>
      <c r="B807" s="377"/>
      <c r="C807" s="377"/>
      <c r="D807" s="377"/>
      <c r="E807" s="377"/>
      <c r="F807" s="377"/>
      <c r="G807" s="377"/>
      <c r="H807" s="379"/>
      <c r="I807" s="377"/>
      <c r="J807" s="377"/>
      <c r="K807" s="377"/>
      <c r="L807" s="377"/>
      <c r="M807" s="377"/>
    </row>
    <row r="808" ht="15.75" customHeight="1">
      <c r="A808" s="377"/>
      <c r="B808" s="377"/>
      <c r="C808" s="377"/>
      <c r="D808" s="377"/>
      <c r="E808" s="377"/>
      <c r="F808" s="377"/>
      <c r="G808" s="377"/>
      <c r="H808" s="379"/>
      <c r="I808" s="377"/>
      <c r="J808" s="377"/>
      <c r="K808" s="377"/>
      <c r="L808" s="377"/>
      <c r="M808" s="377"/>
    </row>
    <row r="809" ht="15.75" customHeight="1">
      <c r="A809" s="377"/>
      <c r="B809" s="377"/>
      <c r="C809" s="377"/>
      <c r="D809" s="377"/>
      <c r="E809" s="377"/>
      <c r="F809" s="377"/>
      <c r="G809" s="377"/>
      <c r="H809" s="379"/>
      <c r="I809" s="377"/>
      <c r="J809" s="377"/>
      <c r="K809" s="377"/>
      <c r="L809" s="377"/>
      <c r="M809" s="377"/>
    </row>
    <row r="810" ht="15.75" customHeight="1">
      <c r="A810" s="377"/>
      <c r="B810" s="377"/>
      <c r="C810" s="377"/>
      <c r="D810" s="377"/>
      <c r="E810" s="377"/>
      <c r="F810" s="377"/>
      <c r="G810" s="377"/>
      <c r="H810" s="379"/>
      <c r="I810" s="377"/>
      <c r="J810" s="377"/>
      <c r="K810" s="377"/>
      <c r="L810" s="377"/>
      <c r="M810" s="377"/>
    </row>
    <row r="811" ht="15.75" customHeight="1">
      <c r="A811" s="377"/>
      <c r="B811" s="377"/>
      <c r="C811" s="377"/>
      <c r="D811" s="377"/>
      <c r="E811" s="377"/>
      <c r="F811" s="377"/>
      <c r="G811" s="377"/>
      <c r="H811" s="379"/>
      <c r="I811" s="377"/>
      <c r="J811" s="377"/>
      <c r="K811" s="377"/>
      <c r="L811" s="377"/>
      <c r="M811" s="377"/>
    </row>
    <row r="812" ht="15.75" customHeight="1">
      <c r="A812" s="377"/>
      <c r="B812" s="377"/>
      <c r="C812" s="377"/>
      <c r="D812" s="377"/>
      <c r="E812" s="377"/>
      <c r="F812" s="377"/>
      <c r="G812" s="377"/>
      <c r="H812" s="379"/>
      <c r="I812" s="377"/>
      <c r="J812" s="377"/>
      <c r="K812" s="377"/>
      <c r="L812" s="377"/>
      <c r="M812" s="377"/>
    </row>
    <row r="813" ht="15.75" customHeight="1">
      <c r="A813" s="377"/>
      <c r="B813" s="377"/>
      <c r="C813" s="377"/>
      <c r="D813" s="377"/>
      <c r="E813" s="377"/>
      <c r="F813" s="377"/>
      <c r="G813" s="377"/>
      <c r="H813" s="379"/>
      <c r="I813" s="377"/>
      <c r="J813" s="377"/>
      <c r="K813" s="377"/>
      <c r="L813" s="377"/>
      <c r="M813" s="377"/>
    </row>
    <row r="814" ht="15.75" customHeight="1">
      <c r="A814" s="377"/>
      <c r="B814" s="377"/>
      <c r="C814" s="377"/>
      <c r="D814" s="377"/>
      <c r="E814" s="377"/>
      <c r="F814" s="377"/>
      <c r="G814" s="377"/>
      <c r="H814" s="379"/>
      <c r="I814" s="377"/>
      <c r="J814" s="377"/>
      <c r="K814" s="377"/>
      <c r="L814" s="377"/>
      <c r="M814" s="377"/>
    </row>
    <row r="815" ht="15.75" customHeight="1">
      <c r="A815" s="377"/>
      <c r="B815" s="377"/>
      <c r="C815" s="377"/>
      <c r="D815" s="377"/>
      <c r="E815" s="377"/>
      <c r="F815" s="377"/>
      <c r="G815" s="377"/>
      <c r="H815" s="379"/>
      <c r="I815" s="377"/>
      <c r="J815" s="377"/>
      <c r="K815" s="377"/>
      <c r="L815" s="377"/>
      <c r="M815" s="377"/>
    </row>
    <row r="816" ht="15.75" customHeight="1">
      <c r="A816" s="377"/>
      <c r="B816" s="377"/>
      <c r="C816" s="377"/>
      <c r="D816" s="377"/>
      <c r="E816" s="377"/>
      <c r="F816" s="377"/>
      <c r="G816" s="377"/>
      <c r="H816" s="379"/>
      <c r="I816" s="377"/>
      <c r="J816" s="377"/>
      <c r="K816" s="377"/>
      <c r="L816" s="377"/>
      <c r="M816" s="377"/>
    </row>
    <row r="817" ht="15.75" customHeight="1">
      <c r="A817" s="377"/>
      <c r="B817" s="377"/>
      <c r="C817" s="377"/>
      <c r="D817" s="377"/>
      <c r="E817" s="377"/>
      <c r="F817" s="377"/>
      <c r="G817" s="377"/>
      <c r="H817" s="379"/>
      <c r="I817" s="377"/>
      <c r="J817" s="377"/>
      <c r="K817" s="377"/>
      <c r="L817" s="377"/>
      <c r="M817" s="377"/>
    </row>
    <row r="818" ht="15.75" customHeight="1">
      <c r="A818" s="377"/>
      <c r="B818" s="377"/>
      <c r="C818" s="377"/>
      <c r="D818" s="377"/>
      <c r="E818" s="377"/>
      <c r="F818" s="377"/>
      <c r="G818" s="377"/>
      <c r="H818" s="379"/>
      <c r="I818" s="377"/>
      <c r="J818" s="377"/>
      <c r="K818" s="377"/>
      <c r="L818" s="377"/>
      <c r="M818" s="377"/>
    </row>
    <row r="819" ht="15.75" customHeight="1">
      <c r="A819" s="377"/>
      <c r="B819" s="377"/>
      <c r="C819" s="377"/>
      <c r="D819" s="377"/>
      <c r="E819" s="377"/>
      <c r="F819" s="377"/>
      <c r="G819" s="377"/>
      <c r="H819" s="379"/>
      <c r="I819" s="377"/>
      <c r="J819" s="377"/>
      <c r="K819" s="377"/>
      <c r="L819" s="377"/>
      <c r="M819" s="377"/>
    </row>
    <row r="820" ht="15.75" customHeight="1">
      <c r="A820" s="377"/>
      <c r="B820" s="377"/>
      <c r="C820" s="377"/>
      <c r="D820" s="377"/>
      <c r="E820" s="377"/>
      <c r="F820" s="377"/>
      <c r="G820" s="377"/>
      <c r="H820" s="379"/>
      <c r="I820" s="377"/>
      <c r="J820" s="377"/>
      <c r="K820" s="377"/>
      <c r="L820" s="377"/>
      <c r="M820" s="377"/>
    </row>
    <row r="821" ht="15.75" customHeight="1">
      <c r="A821" s="377"/>
      <c r="B821" s="377"/>
      <c r="C821" s="377"/>
      <c r="D821" s="377"/>
      <c r="E821" s="377"/>
      <c r="F821" s="377"/>
      <c r="G821" s="377"/>
      <c r="H821" s="379"/>
      <c r="I821" s="377"/>
      <c r="J821" s="377"/>
      <c r="K821" s="377"/>
      <c r="L821" s="377"/>
      <c r="M821" s="377"/>
    </row>
    <row r="822" ht="15.75" customHeight="1">
      <c r="A822" s="377"/>
      <c r="B822" s="377"/>
      <c r="C822" s="377"/>
      <c r="D822" s="377"/>
      <c r="E822" s="377"/>
      <c r="F822" s="377"/>
      <c r="G822" s="377"/>
      <c r="H822" s="379"/>
      <c r="I822" s="377"/>
      <c r="J822" s="377"/>
      <c r="K822" s="377"/>
      <c r="L822" s="377"/>
      <c r="M822" s="377"/>
    </row>
    <row r="823" ht="15.75" customHeight="1">
      <c r="A823" s="377"/>
      <c r="B823" s="377"/>
      <c r="C823" s="377"/>
      <c r="D823" s="377"/>
      <c r="E823" s="377"/>
      <c r="F823" s="377"/>
      <c r="G823" s="377"/>
      <c r="H823" s="379"/>
      <c r="I823" s="377"/>
      <c r="J823" s="377"/>
      <c r="K823" s="377"/>
      <c r="L823" s="377"/>
      <c r="M823" s="377"/>
    </row>
    <row r="824" ht="15.75" customHeight="1">
      <c r="A824" s="377"/>
      <c r="B824" s="377"/>
      <c r="C824" s="377"/>
      <c r="D824" s="377"/>
      <c r="E824" s="377"/>
      <c r="F824" s="377"/>
      <c r="G824" s="377"/>
      <c r="H824" s="379"/>
      <c r="I824" s="377"/>
      <c r="J824" s="377"/>
      <c r="K824" s="377"/>
      <c r="L824" s="377"/>
      <c r="M824" s="377"/>
    </row>
    <row r="825" ht="15.75" customHeight="1">
      <c r="A825" s="377"/>
      <c r="B825" s="377"/>
      <c r="C825" s="377"/>
      <c r="D825" s="377"/>
      <c r="E825" s="377"/>
      <c r="F825" s="377"/>
      <c r="G825" s="377"/>
      <c r="H825" s="379"/>
      <c r="I825" s="377"/>
      <c r="J825" s="377"/>
      <c r="K825" s="377"/>
      <c r="L825" s="377"/>
      <c r="M825" s="377"/>
    </row>
    <row r="826" ht="15.75" customHeight="1">
      <c r="A826" s="377"/>
      <c r="B826" s="377"/>
      <c r="C826" s="377"/>
      <c r="D826" s="377"/>
      <c r="E826" s="377"/>
      <c r="F826" s="377"/>
      <c r="G826" s="377"/>
      <c r="H826" s="379"/>
      <c r="I826" s="377"/>
      <c r="J826" s="377"/>
      <c r="K826" s="377"/>
      <c r="L826" s="377"/>
      <c r="M826" s="377"/>
    </row>
    <row r="827" ht="15.75" customHeight="1">
      <c r="A827" s="377"/>
      <c r="B827" s="377"/>
      <c r="C827" s="377"/>
      <c r="D827" s="377"/>
      <c r="E827" s="377"/>
      <c r="F827" s="377"/>
      <c r="G827" s="377"/>
      <c r="H827" s="379"/>
      <c r="I827" s="377"/>
      <c r="J827" s="377"/>
      <c r="K827" s="377"/>
      <c r="L827" s="377"/>
      <c r="M827" s="377"/>
    </row>
    <row r="828" ht="15.75" customHeight="1">
      <c r="A828" s="377"/>
      <c r="B828" s="377"/>
      <c r="C828" s="377"/>
      <c r="D828" s="377"/>
      <c r="E828" s="377"/>
      <c r="F828" s="377"/>
      <c r="G828" s="377"/>
      <c r="H828" s="379"/>
      <c r="I828" s="377"/>
      <c r="J828" s="377"/>
      <c r="K828" s="377"/>
      <c r="L828" s="377"/>
      <c r="M828" s="377"/>
    </row>
    <row r="829" ht="15.75" customHeight="1">
      <c r="A829" s="377"/>
      <c r="B829" s="377"/>
      <c r="C829" s="377"/>
      <c r="D829" s="377"/>
      <c r="E829" s="377"/>
      <c r="F829" s="377"/>
      <c r="G829" s="377"/>
      <c r="H829" s="379"/>
      <c r="I829" s="377"/>
      <c r="J829" s="377"/>
      <c r="K829" s="377"/>
      <c r="L829" s="377"/>
      <c r="M829" s="377"/>
    </row>
    <row r="830" ht="15.75" customHeight="1">
      <c r="A830" s="377"/>
      <c r="B830" s="377"/>
      <c r="C830" s="377"/>
      <c r="D830" s="377"/>
      <c r="E830" s="377"/>
      <c r="F830" s="377"/>
      <c r="G830" s="377"/>
      <c r="H830" s="379"/>
      <c r="I830" s="377"/>
      <c r="J830" s="377"/>
      <c r="K830" s="377"/>
      <c r="L830" s="377"/>
      <c r="M830" s="377"/>
    </row>
    <row r="831" ht="15.75" customHeight="1">
      <c r="A831" s="377"/>
      <c r="B831" s="377"/>
      <c r="C831" s="377"/>
      <c r="D831" s="377"/>
      <c r="E831" s="377"/>
      <c r="F831" s="377"/>
      <c r="G831" s="377"/>
      <c r="H831" s="379"/>
      <c r="I831" s="377"/>
      <c r="J831" s="377"/>
      <c r="K831" s="377"/>
      <c r="L831" s="377"/>
      <c r="M831" s="377"/>
    </row>
    <row r="832" ht="15.75" customHeight="1">
      <c r="A832" s="377"/>
      <c r="B832" s="377"/>
      <c r="C832" s="377"/>
      <c r="D832" s="377"/>
      <c r="E832" s="377"/>
      <c r="F832" s="377"/>
      <c r="G832" s="377"/>
      <c r="H832" s="379"/>
      <c r="I832" s="377"/>
      <c r="J832" s="377"/>
      <c r="K832" s="377"/>
      <c r="L832" s="377"/>
      <c r="M832" s="377"/>
    </row>
    <row r="833" ht="15.75" customHeight="1">
      <c r="A833" s="377"/>
      <c r="B833" s="377"/>
      <c r="C833" s="377"/>
      <c r="D833" s="377"/>
      <c r="E833" s="377"/>
      <c r="F833" s="377"/>
      <c r="G833" s="377"/>
      <c r="H833" s="379"/>
      <c r="I833" s="377"/>
      <c r="J833" s="377"/>
      <c r="K833" s="377"/>
      <c r="L833" s="377"/>
      <c r="M833" s="377"/>
    </row>
    <row r="834" ht="15.75" customHeight="1">
      <c r="A834" s="377"/>
      <c r="B834" s="377"/>
      <c r="C834" s="377"/>
      <c r="D834" s="377"/>
      <c r="E834" s="377"/>
      <c r="F834" s="377"/>
      <c r="G834" s="377"/>
      <c r="H834" s="379"/>
      <c r="I834" s="377"/>
      <c r="J834" s="377"/>
      <c r="K834" s="377"/>
      <c r="L834" s="377"/>
      <c r="M834" s="377"/>
    </row>
    <row r="835" ht="15.75" customHeight="1">
      <c r="A835" s="377"/>
      <c r="B835" s="377"/>
      <c r="C835" s="377"/>
      <c r="D835" s="377"/>
      <c r="E835" s="377"/>
      <c r="F835" s="377"/>
      <c r="G835" s="377"/>
      <c r="H835" s="379"/>
      <c r="I835" s="377"/>
      <c r="J835" s="377"/>
      <c r="K835" s="377"/>
      <c r="L835" s="377"/>
      <c r="M835" s="377"/>
    </row>
    <row r="836" ht="15.75" customHeight="1">
      <c r="A836" s="377"/>
      <c r="B836" s="377"/>
      <c r="C836" s="377"/>
      <c r="D836" s="377"/>
      <c r="E836" s="377"/>
      <c r="F836" s="377"/>
      <c r="G836" s="377"/>
      <c r="H836" s="379"/>
      <c r="I836" s="377"/>
      <c r="J836" s="377"/>
      <c r="K836" s="377"/>
      <c r="L836" s="377"/>
      <c r="M836" s="377"/>
    </row>
    <row r="837" ht="15.75" customHeight="1">
      <c r="A837" s="377"/>
      <c r="B837" s="377"/>
      <c r="C837" s="377"/>
      <c r="D837" s="377"/>
      <c r="E837" s="377"/>
      <c r="F837" s="377"/>
      <c r="G837" s="377"/>
      <c r="H837" s="379"/>
      <c r="I837" s="377"/>
      <c r="J837" s="377"/>
      <c r="K837" s="377"/>
      <c r="L837" s="377"/>
      <c r="M837" s="377"/>
    </row>
    <row r="838" ht="15.75" customHeight="1">
      <c r="A838" s="377"/>
      <c r="B838" s="377"/>
      <c r="C838" s="377"/>
      <c r="D838" s="377"/>
      <c r="E838" s="377"/>
      <c r="F838" s="377"/>
      <c r="G838" s="377"/>
      <c r="H838" s="379"/>
      <c r="I838" s="377"/>
      <c r="J838" s="377"/>
      <c r="K838" s="377"/>
      <c r="L838" s="377"/>
      <c r="M838" s="377"/>
    </row>
    <row r="839" ht="15.75" customHeight="1">
      <c r="A839" s="377"/>
      <c r="B839" s="377"/>
      <c r="C839" s="377"/>
      <c r="D839" s="377"/>
      <c r="E839" s="377"/>
      <c r="F839" s="377"/>
      <c r="G839" s="377"/>
      <c r="H839" s="379"/>
      <c r="I839" s="377"/>
      <c r="J839" s="377"/>
      <c r="K839" s="377"/>
      <c r="L839" s="377"/>
      <c r="M839" s="377"/>
    </row>
    <row r="840" ht="15.75" customHeight="1">
      <c r="A840" s="377"/>
      <c r="B840" s="377"/>
      <c r="C840" s="377"/>
      <c r="D840" s="377"/>
      <c r="E840" s="377"/>
      <c r="F840" s="377"/>
      <c r="G840" s="377"/>
      <c r="H840" s="379"/>
      <c r="I840" s="377"/>
      <c r="J840" s="377"/>
      <c r="K840" s="377"/>
      <c r="L840" s="377"/>
      <c r="M840" s="377"/>
    </row>
    <row r="841" ht="15.75" customHeight="1">
      <c r="A841" s="377"/>
      <c r="B841" s="377"/>
      <c r="C841" s="377"/>
      <c r="D841" s="377"/>
      <c r="E841" s="377"/>
      <c r="F841" s="377"/>
      <c r="G841" s="377"/>
      <c r="H841" s="379"/>
      <c r="I841" s="377"/>
      <c r="J841" s="377"/>
      <c r="K841" s="377"/>
      <c r="L841" s="377"/>
      <c r="M841" s="377"/>
    </row>
    <row r="842" ht="15.75" customHeight="1">
      <c r="A842" s="377"/>
      <c r="B842" s="377"/>
      <c r="C842" s="377"/>
      <c r="D842" s="377"/>
      <c r="E842" s="377"/>
      <c r="F842" s="377"/>
      <c r="G842" s="377"/>
      <c r="H842" s="379"/>
      <c r="I842" s="377"/>
      <c r="J842" s="377"/>
      <c r="K842" s="377"/>
      <c r="L842" s="377"/>
      <c r="M842" s="377"/>
    </row>
    <row r="843" ht="15.75" customHeight="1">
      <c r="A843" s="377"/>
      <c r="B843" s="377"/>
      <c r="C843" s="377"/>
      <c r="D843" s="377"/>
      <c r="E843" s="377"/>
      <c r="F843" s="377"/>
      <c r="G843" s="377"/>
      <c r="H843" s="379"/>
      <c r="I843" s="377"/>
      <c r="J843" s="377"/>
      <c r="K843" s="377"/>
      <c r="L843" s="377"/>
      <c r="M843" s="377"/>
    </row>
    <row r="844" ht="15.75" customHeight="1">
      <c r="A844" s="377"/>
      <c r="B844" s="377"/>
      <c r="C844" s="377"/>
      <c r="D844" s="377"/>
      <c r="E844" s="377"/>
      <c r="F844" s="377"/>
      <c r="G844" s="377"/>
      <c r="H844" s="379"/>
      <c r="I844" s="377"/>
      <c r="J844" s="377"/>
      <c r="K844" s="377"/>
      <c r="L844" s="377"/>
      <c r="M844" s="377"/>
    </row>
    <row r="845" ht="15.75" customHeight="1">
      <c r="A845" s="377"/>
      <c r="B845" s="377"/>
      <c r="C845" s="377"/>
      <c r="D845" s="377"/>
      <c r="E845" s="377"/>
      <c r="F845" s="377"/>
      <c r="G845" s="377"/>
      <c r="H845" s="379"/>
      <c r="I845" s="377"/>
      <c r="J845" s="377"/>
      <c r="K845" s="377"/>
      <c r="L845" s="377"/>
      <c r="M845" s="377"/>
    </row>
    <row r="846" ht="15.75" customHeight="1">
      <c r="A846" s="377"/>
      <c r="B846" s="377"/>
      <c r="C846" s="377"/>
      <c r="D846" s="377"/>
      <c r="E846" s="377"/>
      <c r="F846" s="377"/>
      <c r="G846" s="377"/>
      <c r="H846" s="379"/>
      <c r="I846" s="377"/>
      <c r="J846" s="377"/>
      <c r="K846" s="377"/>
      <c r="L846" s="377"/>
      <c r="M846" s="377"/>
    </row>
    <row r="847" ht="15.75" customHeight="1">
      <c r="A847" s="377"/>
      <c r="B847" s="377"/>
      <c r="C847" s="377"/>
      <c r="D847" s="377"/>
      <c r="E847" s="377"/>
      <c r="F847" s="377"/>
      <c r="G847" s="377"/>
      <c r="H847" s="379"/>
      <c r="I847" s="377"/>
      <c r="J847" s="377"/>
      <c r="K847" s="377"/>
      <c r="L847" s="377"/>
      <c r="M847" s="377"/>
    </row>
    <row r="848" ht="15.75" customHeight="1">
      <c r="A848" s="377"/>
      <c r="B848" s="377"/>
      <c r="C848" s="377"/>
      <c r="D848" s="377"/>
      <c r="E848" s="377"/>
      <c r="F848" s="377"/>
      <c r="G848" s="377"/>
      <c r="H848" s="379"/>
      <c r="I848" s="377"/>
      <c r="J848" s="377"/>
      <c r="K848" s="377"/>
      <c r="L848" s="377"/>
      <c r="M848" s="377"/>
    </row>
    <row r="849" ht="15.75" customHeight="1">
      <c r="A849" s="377"/>
      <c r="B849" s="377"/>
      <c r="C849" s="377"/>
      <c r="D849" s="377"/>
      <c r="E849" s="377"/>
      <c r="F849" s="377"/>
      <c r="G849" s="377"/>
      <c r="H849" s="379"/>
      <c r="I849" s="377"/>
      <c r="J849" s="377"/>
      <c r="K849" s="377"/>
      <c r="L849" s="377"/>
      <c r="M849" s="377"/>
    </row>
    <row r="850" ht="15.75" customHeight="1">
      <c r="A850" s="377"/>
      <c r="B850" s="377"/>
      <c r="C850" s="377"/>
      <c r="D850" s="377"/>
      <c r="E850" s="377"/>
      <c r="F850" s="377"/>
      <c r="G850" s="377"/>
      <c r="H850" s="379"/>
      <c r="I850" s="377"/>
      <c r="J850" s="377"/>
      <c r="K850" s="377"/>
      <c r="L850" s="377"/>
      <c r="M850" s="377"/>
    </row>
    <row r="851" ht="15.75" customHeight="1">
      <c r="A851" s="377"/>
      <c r="B851" s="377"/>
      <c r="C851" s="377"/>
      <c r="D851" s="377"/>
      <c r="E851" s="377"/>
      <c r="F851" s="377"/>
      <c r="G851" s="377"/>
      <c r="H851" s="379"/>
      <c r="I851" s="377"/>
      <c r="J851" s="377"/>
      <c r="K851" s="377"/>
      <c r="L851" s="377"/>
      <c r="M851" s="377"/>
    </row>
    <row r="852" ht="15.75" customHeight="1">
      <c r="A852" s="377"/>
      <c r="B852" s="377"/>
      <c r="C852" s="377"/>
      <c r="D852" s="377"/>
      <c r="E852" s="377"/>
      <c r="F852" s="377"/>
      <c r="G852" s="377"/>
      <c r="H852" s="379"/>
      <c r="I852" s="377"/>
      <c r="J852" s="377"/>
      <c r="K852" s="377"/>
      <c r="L852" s="377"/>
      <c r="M852" s="377"/>
    </row>
    <row r="853" ht="15.75" customHeight="1">
      <c r="A853" s="377"/>
      <c r="B853" s="377"/>
      <c r="C853" s="377"/>
      <c r="D853" s="377"/>
      <c r="E853" s="377"/>
      <c r="F853" s="377"/>
      <c r="G853" s="377"/>
      <c r="H853" s="379"/>
      <c r="I853" s="377"/>
      <c r="J853" s="377"/>
      <c r="K853" s="377"/>
      <c r="L853" s="377"/>
      <c r="M853" s="377"/>
    </row>
    <row r="854" ht="15.75" customHeight="1">
      <c r="A854" s="377"/>
      <c r="B854" s="377"/>
      <c r="C854" s="377"/>
      <c r="D854" s="377"/>
      <c r="E854" s="377"/>
      <c r="F854" s="377"/>
      <c r="G854" s="377"/>
      <c r="H854" s="379"/>
      <c r="I854" s="377"/>
      <c r="J854" s="377"/>
      <c r="K854" s="377"/>
      <c r="L854" s="377"/>
      <c r="M854" s="377"/>
    </row>
    <row r="855" ht="15.75" customHeight="1">
      <c r="A855" s="377"/>
      <c r="B855" s="377"/>
      <c r="C855" s="377"/>
      <c r="D855" s="377"/>
      <c r="E855" s="377"/>
      <c r="F855" s="377"/>
      <c r="G855" s="377"/>
      <c r="H855" s="379"/>
      <c r="I855" s="377"/>
      <c r="J855" s="377"/>
      <c r="K855" s="377"/>
      <c r="L855" s="377"/>
      <c r="M855" s="377"/>
    </row>
    <row r="856" ht="15.75" customHeight="1">
      <c r="A856" s="377"/>
      <c r="B856" s="377"/>
      <c r="C856" s="377"/>
      <c r="D856" s="377"/>
      <c r="E856" s="377"/>
      <c r="F856" s="377"/>
      <c r="G856" s="377"/>
      <c r="H856" s="379"/>
      <c r="I856" s="377"/>
      <c r="J856" s="377"/>
      <c r="K856" s="377"/>
      <c r="L856" s="377"/>
      <c r="M856" s="377"/>
    </row>
    <row r="857" ht="15.75" customHeight="1">
      <c r="A857" s="377"/>
      <c r="B857" s="377"/>
      <c r="C857" s="377"/>
      <c r="D857" s="377"/>
      <c r="E857" s="377"/>
      <c r="F857" s="377"/>
      <c r="G857" s="377"/>
      <c r="H857" s="379"/>
      <c r="I857" s="377"/>
      <c r="J857" s="377"/>
      <c r="K857" s="377"/>
      <c r="L857" s="377"/>
      <c r="M857" s="377"/>
    </row>
    <row r="858" ht="15.75" customHeight="1">
      <c r="A858" s="377"/>
      <c r="B858" s="377"/>
      <c r="C858" s="377"/>
      <c r="D858" s="377"/>
      <c r="E858" s="377"/>
      <c r="F858" s="377"/>
      <c r="G858" s="377"/>
      <c r="H858" s="379"/>
      <c r="I858" s="377"/>
      <c r="J858" s="377"/>
      <c r="K858" s="377"/>
      <c r="L858" s="377"/>
      <c r="M858" s="377"/>
    </row>
    <row r="859" ht="15.75" customHeight="1">
      <c r="A859" s="377"/>
      <c r="B859" s="377"/>
      <c r="C859" s="377"/>
      <c r="D859" s="377"/>
      <c r="E859" s="377"/>
      <c r="F859" s="377"/>
      <c r="G859" s="377"/>
      <c r="H859" s="379"/>
      <c r="I859" s="377"/>
      <c r="J859" s="377"/>
      <c r="K859" s="377"/>
      <c r="L859" s="377"/>
      <c r="M859" s="377"/>
    </row>
    <row r="860" ht="15.75" customHeight="1">
      <c r="A860" s="377"/>
      <c r="B860" s="377"/>
      <c r="C860" s="377"/>
      <c r="D860" s="377"/>
      <c r="E860" s="377"/>
      <c r="F860" s="377"/>
      <c r="G860" s="377"/>
      <c r="H860" s="379"/>
      <c r="I860" s="377"/>
      <c r="J860" s="377"/>
      <c r="K860" s="377"/>
      <c r="L860" s="377"/>
      <c r="M860" s="377"/>
    </row>
    <row r="861" ht="15.75" customHeight="1">
      <c r="A861" s="377"/>
      <c r="B861" s="377"/>
      <c r="C861" s="377"/>
      <c r="D861" s="377"/>
      <c r="E861" s="377"/>
      <c r="F861" s="377"/>
      <c r="G861" s="377"/>
      <c r="H861" s="379"/>
      <c r="I861" s="377"/>
      <c r="J861" s="377"/>
      <c r="K861" s="377"/>
      <c r="L861" s="377"/>
      <c r="M861" s="377"/>
    </row>
    <row r="862" ht="15.75" customHeight="1">
      <c r="A862" s="377"/>
      <c r="B862" s="377"/>
      <c r="C862" s="377"/>
      <c r="D862" s="377"/>
      <c r="E862" s="377"/>
      <c r="F862" s="377"/>
      <c r="G862" s="377"/>
      <c r="H862" s="379"/>
      <c r="I862" s="377"/>
      <c r="J862" s="377"/>
      <c r="K862" s="377"/>
      <c r="L862" s="377"/>
      <c r="M862" s="377"/>
    </row>
    <row r="863" ht="15.75" customHeight="1">
      <c r="A863" s="377"/>
      <c r="B863" s="377"/>
      <c r="C863" s="377"/>
      <c r="D863" s="377"/>
      <c r="E863" s="377"/>
      <c r="F863" s="377"/>
      <c r="G863" s="377"/>
      <c r="H863" s="379"/>
      <c r="I863" s="377"/>
      <c r="J863" s="377"/>
      <c r="K863" s="377"/>
      <c r="L863" s="377"/>
      <c r="M863" s="377"/>
    </row>
    <row r="864" ht="15.75" customHeight="1">
      <c r="A864" s="377"/>
      <c r="B864" s="377"/>
      <c r="C864" s="377"/>
      <c r="D864" s="377"/>
      <c r="E864" s="377"/>
      <c r="F864" s="377"/>
      <c r="G864" s="377"/>
      <c r="H864" s="379"/>
      <c r="I864" s="377"/>
      <c r="J864" s="377"/>
      <c r="K864" s="377"/>
      <c r="L864" s="377"/>
      <c r="M864" s="377"/>
    </row>
    <row r="865" ht="15.75" customHeight="1">
      <c r="A865" s="377"/>
      <c r="B865" s="377"/>
      <c r="C865" s="377"/>
      <c r="D865" s="377"/>
      <c r="E865" s="377"/>
      <c r="F865" s="377"/>
      <c r="G865" s="377"/>
      <c r="H865" s="379"/>
      <c r="I865" s="377"/>
      <c r="J865" s="377"/>
      <c r="K865" s="377"/>
      <c r="L865" s="377"/>
      <c r="M865" s="377"/>
    </row>
    <row r="866" ht="15.75" customHeight="1">
      <c r="A866" s="377"/>
      <c r="B866" s="377"/>
      <c r="C866" s="377"/>
      <c r="D866" s="377"/>
      <c r="E866" s="377"/>
      <c r="F866" s="377"/>
      <c r="G866" s="377"/>
      <c r="H866" s="379"/>
      <c r="I866" s="377"/>
      <c r="J866" s="377"/>
      <c r="K866" s="377"/>
      <c r="L866" s="377"/>
      <c r="M866" s="377"/>
    </row>
    <row r="867" ht="15.75" customHeight="1">
      <c r="A867" s="377"/>
      <c r="B867" s="377"/>
      <c r="C867" s="377"/>
      <c r="D867" s="377"/>
      <c r="E867" s="377"/>
      <c r="F867" s="377"/>
      <c r="G867" s="377"/>
      <c r="H867" s="379"/>
      <c r="I867" s="377"/>
      <c r="J867" s="377"/>
      <c r="K867" s="377"/>
      <c r="L867" s="377"/>
      <c r="M867" s="377"/>
    </row>
    <row r="868" ht="15.75" customHeight="1">
      <c r="A868" s="377"/>
      <c r="B868" s="377"/>
      <c r="C868" s="377"/>
      <c r="D868" s="377"/>
      <c r="E868" s="377"/>
      <c r="F868" s="377"/>
      <c r="G868" s="377"/>
      <c r="H868" s="379"/>
      <c r="I868" s="377"/>
      <c r="J868" s="377"/>
      <c r="K868" s="377"/>
      <c r="L868" s="377"/>
      <c r="M868" s="377"/>
    </row>
    <row r="869" ht="15.75" customHeight="1">
      <c r="A869" s="377"/>
      <c r="B869" s="377"/>
      <c r="C869" s="377"/>
      <c r="D869" s="377"/>
      <c r="E869" s="377"/>
      <c r="F869" s="377"/>
      <c r="G869" s="377"/>
      <c r="H869" s="379"/>
      <c r="I869" s="377"/>
      <c r="J869" s="377"/>
      <c r="K869" s="377"/>
      <c r="L869" s="377"/>
      <c r="M869" s="377"/>
    </row>
    <row r="870" ht="15.75" customHeight="1">
      <c r="A870" s="377"/>
      <c r="B870" s="377"/>
      <c r="C870" s="377"/>
      <c r="D870" s="377"/>
      <c r="E870" s="377"/>
      <c r="F870" s="377"/>
      <c r="G870" s="377"/>
      <c r="H870" s="379"/>
      <c r="I870" s="377"/>
      <c r="J870" s="377"/>
      <c r="K870" s="377"/>
      <c r="L870" s="377"/>
      <c r="M870" s="377"/>
    </row>
    <row r="871" ht="15.75" customHeight="1">
      <c r="A871" s="377"/>
      <c r="B871" s="377"/>
      <c r="C871" s="377"/>
      <c r="D871" s="377"/>
      <c r="E871" s="377"/>
      <c r="F871" s="377"/>
      <c r="G871" s="377"/>
      <c r="H871" s="379"/>
      <c r="I871" s="377"/>
      <c r="J871" s="377"/>
      <c r="K871" s="377"/>
      <c r="L871" s="377"/>
      <c r="M871" s="377"/>
    </row>
    <row r="872" ht="15.75" customHeight="1">
      <c r="A872" s="377"/>
      <c r="B872" s="377"/>
      <c r="C872" s="377"/>
      <c r="D872" s="377"/>
      <c r="E872" s="377"/>
      <c r="F872" s="377"/>
      <c r="G872" s="377"/>
      <c r="H872" s="379"/>
      <c r="I872" s="377"/>
      <c r="J872" s="377"/>
      <c r="K872" s="377"/>
      <c r="L872" s="377"/>
      <c r="M872" s="377"/>
    </row>
    <row r="873" ht="15.75" customHeight="1">
      <c r="A873" s="377"/>
      <c r="B873" s="377"/>
      <c r="C873" s="377"/>
      <c r="D873" s="377"/>
      <c r="E873" s="377"/>
      <c r="F873" s="377"/>
      <c r="G873" s="377"/>
      <c r="H873" s="379"/>
      <c r="I873" s="377"/>
      <c r="J873" s="377"/>
      <c r="K873" s="377"/>
      <c r="L873" s="377"/>
      <c r="M873" s="377"/>
    </row>
    <row r="874" ht="15.75" customHeight="1">
      <c r="A874" s="377"/>
      <c r="B874" s="377"/>
      <c r="C874" s="377"/>
      <c r="D874" s="377"/>
      <c r="E874" s="377"/>
      <c r="F874" s="377"/>
      <c r="G874" s="377"/>
      <c r="H874" s="379"/>
      <c r="I874" s="377"/>
      <c r="J874" s="377"/>
      <c r="K874" s="377"/>
      <c r="L874" s="377"/>
      <c r="M874" s="377"/>
    </row>
    <row r="875" ht="15.75" customHeight="1">
      <c r="A875" s="377"/>
      <c r="B875" s="377"/>
      <c r="C875" s="377"/>
      <c r="D875" s="377"/>
      <c r="E875" s="377"/>
      <c r="F875" s="377"/>
      <c r="G875" s="377"/>
      <c r="H875" s="379"/>
      <c r="I875" s="377"/>
      <c r="J875" s="377"/>
      <c r="K875" s="377"/>
      <c r="L875" s="377"/>
      <c r="M875" s="377"/>
    </row>
    <row r="876" ht="15.75" customHeight="1">
      <c r="A876" s="377"/>
      <c r="B876" s="377"/>
      <c r="C876" s="377"/>
      <c r="D876" s="377"/>
      <c r="E876" s="377"/>
      <c r="F876" s="377"/>
      <c r="G876" s="377"/>
      <c r="H876" s="379"/>
      <c r="I876" s="377"/>
      <c r="J876" s="377"/>
      <c r="K876" s="377"/>
      <c r="L876" s="377"/>
      <c r="M876" s="377"/>
    </row>
    <row r="877" ht="15.75" customHeight="1">
      <c r="A877" s="377"/>
      <c r="B877" s="377"/>
      <c r="C877" s="377"/>
      <c r="D877" s="377"/>
      <c r="E877" s="377"/>
      <c r="F877" s="377"/>
      <c r="G877" s="377"/>
      <c r="H877" s="379"/>
      <c r="I877" s="377"/>
      <c r="J877" s="377"/>
      <c r="K877" s="377"/>
      <c r="L877" s="377"/>
      <c r="M877" s="377"/>
    </row>
    <row r="878" ht="15.75" customHeight="1">
      <c r="A878" s="377"/>
      <c r="B878" s="377"/>
      <c r="C878" s="377"/>
      <c r="D878" s="377"/>
      <c r="E878" s="377"/>
      <c r="F878" s="377"/>
      <c r="G878" s="377"/>
      <c r="H878" s="379"/>
      <c r="I878" s="377"/>
      <c r="J878" s="377"/>
      <c r="K878" s="377"/>
      <c r="L878" s="377"/>
      <c r="M878" s="377"/>
    </row>
    <row r="879" ht="15.75" customHeight="1">
      <c r="A879" s="377"/>
      <c r="B879" s="377"/>
      <c r="C879" s="377"/>
      <c r="D879" s="377"/>
      <c r="E879" s="377"/>
      <c r="F879" s="377"/>
      <c r="G879" s="377"/>
      <c r="H879" s="379"/>
      <c r="I879" s="377"/>
      <c r="J879" s="377"/>
      <c r="K879" s="377"/>
      <c r="L879" s="377"/>
      <c r="M879" s="377"/>
    </row>
    <row r="880" ht="15.75" customHeight="1">
      <c r="A880" s="377"/>
      <c r="B880" s="377"/>
      <c r="C880" s="377"/>
      <c r="D880" s="377"/>
      <c r="E880" s="377"/>
      <c r="F880" s="377"/>
      <c r="G880" s="377"/>
      <c r="H880" s="379"/>
      <c r="I880" s="377"/>
      <c r="J880" s="377"/>
      <c r="K880" s="377"/>
      <c r="L880" s="377"/>
      <c r="M880" s="377"/>
    </row>
    <row r="881" ht="15.75" customHeight="1">
      <c r="A881" s="377"/>
      <c r="B881" s="377"/>
      <c r="C881" s="377"/>
      <c r="D881" s="377"/>
      <c r="E881" s="377"/>
      <c r="F881" s="377"/>
      <c r="G881" s="377"/>
      <c r="H881" s="379"/>
      <c r="I881" s="377"/>
      <c r="J881" s="377"/>
      <c r="K881" s="377"/>
      <c r="L881" s="377"/>
      <c r="M881" s="377"/>
    </row>
    <row r="882" ht="15.75" customHeight="1">
      <c r="A882" s="377"/>
      <c r="B882" s="377"/>
      <c r="C882" s="377"/>
      <c r="D882" s="377"/>
      <c r="E882" s="377"/>
      <c r="F882" s="377"/>
      <c r="G882" s="377"/>
      <c r="H882" s="379"/>
      <c r="I882" s="377"/>
      <c r="J882" s="377"/>
      <c r="K882" s="377"/>
      <c r="L882" s="377"/>
      <c r="M882" s="377"/>
    </row>
    <row r="883" ht="15.75" customHeight="1">
      <c r="A883" s="377"/>
      <c r="B883" s="377"/>
      <c r="C883" s="377"/>
      <c r="D883" s="377"/>
      <c r="E883" s="377"/>
      <c r="F883" s="377"/>
      <c r="G883" s="377"/>
      <c r="H883" s="379"/>
      <c r="I883" s="377"/>
      <c r="J883" s="377"/>
      <c r="K883" s="377"/>
      <c r="L883" s="377"/>
      <c r="M883" s="377"/>
    </row>
    <row r="884" ht="15.75" customHeight="1">
      <c r="A884" s="377"/>
      <c r="B884" s="377"/>
      <c r="C884" s="377"/>
      <c r="D884" s="377"/>
      <c r="E884" s="377"/>
      <c r="F884" s="377"/>
      <c r="G884" s="377"/>
      <c r="H884" s="379"/>
      <c r="I884" s="377"/>
      <c r="J884" s="377"/>
      <c r="K884" s="377"/>
      <c r="L884" s="377"/>
      <c r="M884" s="377"/>
    </row>
    <row r="885" ht="15.75" customHeight="1">
      <c r="A885" s="377"/>
      <c r="B885" s="377"/>
      <c r="C885" s="377"/>
      <c r="D885" s="377"/>
      <c r="E885" s="377"/>
      <c r="F885" s="377"/>
      <c r="G885" s="377"/>
      <c r="H885" s="379"/>
      <c r="I885" s="377"/>
      <c r="J885" s="377"/>
      <c r="K885" s="377"/>
      <c r="L885" s="377"/>
      <c r="M885" s="377"/>
    </row>
    <row r="886" ht="15.75" customHeight="1">
      <c r="A886" s="377"/>
      <c r="B886" s="377"/>
      <c r="C886" s="377"/>
      <c r="D886" s="377"/>
      <c r="E886" s="377"/>
      <c r="F886" s="377"/>
      <c r="G886" s="377"/>
      <c r="H886" s="379"/>
      <c r="I886" s="377"/>
      <c r="J886" s="377"/>
      <c r="K886" s="377"/>
      <c r="L886" s="377"/>
      <c r="M886" s="377"/>
    </row>
    <row r="887" ht="15.75" customHeight="1">
      <c r="A887" s="377"/>
      <c r="B887" s="377"/>
      <c r="C887" s="377"/>
      <c r="D887" s="377"/>
      <c r="E887" s="377"/>
      <c r="F887" s="377"/>
      <c r="G887" s="377"/>
      <c r="H887" s="379"/>
      <c r="I887" s="377"/>
      <c r="J887" s="377"/>
      <c r="K887" s="377"/>
      <c r="L887" s="377"/>
      <c r="M887" s="377"/>
    </row>
    <row r="888" ht="15.75" customHeight="1">
      <c r="A888" s="377"/>
      <c r="B888" s="377"/>
      <c r="C888" s="377"/>
      <c r="D888" s="377"/>
      <c r="E888" s="377"/>
      <c r="F888" s="377"/>
      <c r="G888" s="377"/>
      <c r="H888" s="379"/>
      <c r="I888" s="377"/>
      <c r="J888" s="377"/>
      <c r="K888" s="377"/>
      <c r="L888" s="377"/>
      <c r="M888" s="377"/>
    </row>
    <row r="889" ht="15.75" customHeight="1">
      <c r="A889" s="377"/>
      <c r="B889" s="377"/>
      <c r="C889" s="377"/>
      <c r="D889" s="377"/>
      <c r="E889" s="377"/>
      <c r="F889" s="377"/>
      <c r="G889" s="377"/>
      <c r="H889" s="379"/>
      <c r="I889" s="377"/>
      <c r="J889" s="377"/>
      <c r="K889" s="377"/>
      <c r="L889" s="377"/>
      <c r="M889" s="377"/>
    </row>
    <row r="890" ht="15.75" customHeight="1">
      <c r="A890" s="377"/>
      <c r="B890" s="377"/>
      <c r="C890" s="377"/>
      <c r="D890" s="377"/>
      <c r="E890" s="377"/>
      <c r="F890" s="377"/>
      <c r="G890" s="377"/>
      <c r="H890" s="379"/>
      <c r="I890" s="377"/>
      <c r="J890" s="377"/>
      <c r="K890" s="377"/>
      <c r="L890" s="377"/>
      <c r="M890" s="377"/>
    </row>
    <row r="891" ht="15.75" customHeight="1">
      <c r="A891" s="377"/>
      <c r="B891" s="377"/>
      <c r="C891" s="377"/>
      <c r="D891" s="377"/>
      <c r="E891" s="377"/>
      <c r="F891" s="377"/>
      <c r="G891" s="377"/>
      <c r="H891" s="379"/>
      <c r="I891" s="377"/>
      <c r="J891" s="377"/>
      <c r="K891" s="377"/>
      <c r="L891" s="377"/>
      <c r="M891" s="377"/>
    </row>
    <row r="892" ht="15.75" customHeight="1">
      <c r="A892" s="377"/>
      <c r="B892" s="377"/>
      <c r="C892" s="377"/>
      <c r="D892" s="377"/>
      <c r="E892" s="377"/>
      <c r="F892" s="377"/>
      <c r="G892" s="377"/>
      <c r="H892" s="379"/>
      <c r="I892" s="377"/>
      <c r="J892" s="377"/>
      <c r="K892" s="377"/>
      <c r="L892" s="377"/>
      <c r="M892" s="377"/>
    </row>
    <row r="893" ht="15.75" customHeight="1">
      <c r="A893" s="377"/>
      <c r="B893" s="377"/>
      <c r="C893" s="377"/>
      <c r="D893" s="377"/>
      <c r="E893" s="377"/>
      <c r="F893" s="377"/>
      <c r="G893" s="377"/>
      <c r="H893" s="379"/>
      <c r="I893" s="377"/>
      <c r="J893" s="377"/>
      <c r="K893" s="377"/>
      <c r="L893" s="377"/>
      <c r="M893" s="377"/>
    </row>
    <row r="894" ht="15.75" customHeight="1">
      <c r="A894" s="377"/>
      <c r="B894" s="377"/>
      <c r="C894" s="377"/>
      <c r="D894" s="377"/>
      <c r="E894" s="377"/>
      <c r="F894" s="377"/>
      <c r="G894" s="377"/>
      <c r="H894" s="379"/>
      <c r="I894" s="377"/>
      <c r="J894" s="377"/>
      <c r="K894" s="377"/>
      <c r="L894" s="377"/>
      <c r="M894" s="377"/>
    </row>
    <row r="895" ht="15.75" customHeight="1">
      <c r="A895" s="377"/>
      <c r="B895" s="377"/>
      <c r="C895" s="377"/>
      <c r="D895" s="377"/>
      <c r="E895" s="377"/>
      <c r="F895" s="377"/>
      <c r="G895" s="377"/>
      <c r="H895" s="379"/>
      <c r="I895" s="377"/>
      <c r="J895" s="377"/>
      <c r="K895" s="377"/>
      <c r="L895" s="377"/>
      <c r="M895" s="377"/>
    </row>
    <row r="896" ht="15.75" customHeight="1">
      <c r="A896" s="377"/>
      <c r="B896" s="377"/>
      <c r="C896" s="377"/>
      <c r="D896" s="377"/>
      <c r="E896" s="377"/>
      <c r="F896" s="377"/>
      <c r="G896" s="377"/>
      <c r="H896" s="379"/>
      <c r="I896" s="377"/>
      <c r="J896" s="377"/>
      <c r="K896" s="377"/>
      <c r="L896" s="377"/>
      <c r="M896" s="377"/>
    </row>
    <row r="897" ht="15.75" customHeight="1">
      <c r="A897" s="377"/>
      <c r="B897" s="377"/>
      <c r="C897" s="377"/>
      <c r="D897" s="377"/>
      <c r="E897" s="377"/>
      <c r="F897" s="377"/>
      <c r="G897" s="377"/>
      <c r="H897" s="379"/>
      <c r="I897" s="377"/>
      <c r="J897" s="377"/>
      <c r="K897" s="377"/>
      <c r="L897" s="377"/>
      <c r="M897" s="377"/>
    </row>
    <row r="898" ht="15.75" customHeight="1">
      <c r="A898" s="377"/>
      <c r="B898" s="377"/>
      <c r="C898" s="377"/>
      <c r="D898" s="377"/>
      <c r="E898" s="377"/>
      <c r="F898" s="377"/>
      <c r="G898" s="377"/>
      <c r="H898" s="379"/>
      <c r="I898" s="377"/>
      <c r="J898" s="377"/>
      <c r="K898" s="377"/>
      <c r="L898" s="377"/>
      <c r="M898" s="377"/>
    </row>
    <row r="899" ht="15.75" customHeight="1">
      <c r="A899" s="377"/>
      <c r="B899" s="377"/>
      <c r="C899" s="377"/>
      <c r="D899" s="377"/>
      <c r="E899" s="377"/>
      <c r="F899" s="377"/>
      <c r="G899" s="377"/>
      <c r="H899" s="379"/>
      <c r="I899" s="377"/>
      <c r="J899" s="377"/>
      <c r="K899" s="377"/>
      <c r="L899" s="377"/>
      <c r="M899" s="377"/>
    </row>
    <row r="900" ht="15.75" customHeight="1">
      <c r="A900" s="377"/>
      <c r="B900" s="377"/>
      <c r="C900" s="377"/>
      <c r="D900" s="377"/>
      <c r="E900" s="377"/>
      <c r="F900" s="377"/>
      <c r="G900" s="377"/>
      <c r="H900" s="379"/>
      <c r="I900" s="377"/>
      <c r="J900" s="377"/>
      <c r="K900" s="377"/>
      <c r="L900" s="377"/>
      <c r="M900" s="377"/>
    </row>
    <row r="901" ht="15.75" customHeight="1">
      <c r="A901" s="377"/>
      <c r="B901" s="377"/>
      <c r="C901" s="377"/>
      <c r="D901" s="377"/>
      <c r="E901" s="377"/>
      <c r="F901" s="377"/>
      <c r="G901" s="377"/>
      <c r="H901" s="379"/>
      <c r="I901" s="377"/>
      <c r="J901" s="377"/>
      <c r="K901" s="377"/>
      <c r="L901" s="377"/>
      <c r="M901" s="377"/>
    </row>
    <row r="902" ht="15.75" customHeight="1">
      <c r="A902" s="377"/>
      <c r="B902" s="377"/>
      <c r="C902" s="377"/>
      <c r="D902" s="377"/>
      <c r="E902" s="377"/>
      <c r="F902" s="377"/>
      <c r="G902" s="377"/>
      <c r="H902" s="379"/>
      <c r="I902" s="377"/>
      <c r="J902" s="377"/>
      <c r="K902" s="377"/>
      <c r="L902" s="377"/>
      <c r="M902" s="377"/>
    </row>
    <row r="903" ht="15.75" customHeight="1">
      <c r="A903" s="377"/>
      <c r="B903" s="377"/>
      <c r="C903" s="377"/>
      <c r="D903" s="377"/>
      <c r="E903" s="377"/>
      <c r="F903" s="377"/>
      <c r="G903" s="377"/>
      <c r="H903" s="379"/>
      <c r="I903" s="377"/>
      <c r="J903" s="377"/>
      <c r="K903" s="377"/>
      <c r="L903" s="377"/>
      <c r="M903" s="377"/>
    </row>
    <row r="904" ht="15.75" customHeight="1">
      <c r="A904" s="377"/>
      <c r="B904" s="377"/>
      <c r="C904" s="377"/>
      <c r="D904" s="377"/>
      <c r="E904" s="377"/>
      <c r="F904" s="377"/>
      <c r="G904" s="377"/>
      <c r="H904" s="379"/>
      <c r="I904" s="377"/>
      <c r="J904" s="377"/>
      <c r="K904" s="377"/>
      <c r="L904" s="377"/>
      <c r="M904" s="377"/>
    </row>
    <row r="905" ht="15.75" customHeight="1">
      <c r="A905" s="377"/>
      <c r="B905" s="377"/>
      <c r="C905" s="377"/>
      <c r="D905" s="377"/>
      <c r="E905" s="377"/>
      <c r="F905" s="377"/>
      <c r="G905" s="377"/>
      <c r="H905" s="379"/>
      <c r="I905" s="377"/>
      <c r="J905" s="377"/>
      <c r="K905" s="377"/>
      <c r="L905" s="377"/>
      <c r="M905" s="377"/>
    </row>
    <row r="906" ht="15.75" customHeight="1">
      <c r="A906" s="377"/>
      <c r="B906" s="377"/>
      <c r="C906" s="377"/>
      <c r="D906" s="377"/>
      <c r="E906" s="377"/>
      <c r="F906" s="377"/>
      <c r="G906" s="377"/>
      <c r="H906" s="379"/>
      <c r="I906" s="377"/>
      <c r="J906" s="377"/>
      <c r="K906" s="377"/>
      <c r="L906" s="377"/>
      <c r="M906" s="377"/>
    </row>
    <row r="907" ht="15.75" customHeight="1">
      <c r="A907" s="377"/>
      <c r="B907" s="377"/>
      <c r="C907" s="377"/>
      <c r="D907" s="377"/>
      <c r="E907" s="377"/>
      <c r="F907" s="377"/>
      <c r="G907" s="377"/>
      <c r="H907" s="379"/>
      <c r="I907" s="377"/>
      <c r="J907" s="377"/>
      <c r="K907" s="377"/>
      <c r="L907" s="377"/>
      <c r="M907" s="377"/>
    </row>
    <row r="908" ht="15.75" customHeight="1">
      <c r="A908" s="377"/>
      <c r="B908" s="377"/>
      <c r="C908" s="377"/>
      <c r="D908" s="377"/>
      <c r="E908" s="377"/>
      <c r="F908" s="377"/>
      <c r="G908" s="377"/>
      <c r="H908" s="379"/>
      <c r="I908" s="377"/>
      <c r="J908" s="377"/>
      <c r="K908" s="377"/>
      <c r="L908" s="377"/>
      <c r="M908" s="377"/>
    </row>
    <row r="909" ht="15.75" customHeight="1">
      <c r="A909" s="377"/>
      <c r="B909" s="377"/>
      <c r="C909" s="377"/>
      <c r="D909" s="377"/>
      <c r="E909" s="377"/>
      <c r="F909" s="377"/>
      <c r="G909" s="377"/>
      <c r="H909" s="379"/>
      <c r="I909" s="377"/>
      <c r="J909" s="377"/>
      <c r="K909" s="377"/>
      <c r="L909" s="377"/>
      <c r="M909" s="377"/>
    </row>
    <row r="910" ht="15.75" customHeight="1">
      <c r="A910" s="377"/>
      <c r="B910" s="377"/>
      <c r="C910" s="377"/>
      <c r="D910" s="377"/>
      <c r="E910" s="377"/>
      <c r="F910" s="377"/>
      <c r="G910" s="377"/>
      <c r="H910" s="379"/>
      <c r="I910" s="377"/>
      <c r="J910" s="377"/>
      <c r="K910" s="377"/>
      <c r="L910" s="377"/>
      <c r="M910" s="377"/>
    </row>
    <row r="911" ht="15.75" customHeight="1">
      <c r="A911" s="377"/>
      <c r="B911" s="377"/>
      <c r="C911" s="377"/>
      <c r="D911" s="377"/>
      <c r="E911" s="377"/>
      <c r="F911" s="377"/>
      <c r="G911" s="377"/>
      <c r="H911" s="379"/>
      <c r="I911" s="377"/>
      <c r="J911" s="377"/>
      <c r="K911" s="377"/>
      <c r="L911" s="377"/>
      <c r="M911" s="377"/>
    </row>
    <row r="912" ht="15.75" customHeight="1">
      <c r="A912" s="377"/>
      <c r="B912" s="377"/>
      <c r="C912" s="377"/>
      <c r="D912" s="377"/>
      <c r="E912" s="377"/>
      <c r="F912" s="377"/>
      <c r="G912" s="377"/>
      <c r="H912" s="379"/>
      <c r="I912" s="377"/>
      <c r="J912" s="377"/>
      <c r="K912" s="377"/>
      <c r="L912" s="377"/>
      <c r="M912" s="377"/>
    </row>
    <row r="913" ht="15.75" customHeight="1">
      <c r="A913" s="377"/>
      <c r="B913" s="377"/>
      <c r="C913" s="377"/>
      <c r="D913" s="377"/>
      <c r="E913" s="377"/>
      <c r="F913" s="377"/>
      <c r="G913" s="377"/>
      <c r="H913" s="379"/>
      <c r="I913" s="377"/>
      <c r="J913" s="377"/>
      <c r="K913" s="377"/>
      <c r="L913" s="377"/>
      <c r="M913" s="377"/>
    </row>
    <row r="914" ht="15.75" customHeight="1">
      <c r="A914" s="377"/>
      <c r="B914" s="377"/>
      <c r="C914" s="377"/>
      <c r="D914" s="377"/>
      <c r="E914" s="377"/>
      <c r="F914" s="377"/>
      <c r="G914" s="377"/>
      <c r="H914" s="379"/>
      <c r="I914" s="377"/>
      <c r="J914" s="377"/>
      <c r="K914" s="377"/>
      <c r="L914" s="377"/>
      <c r="M914" s="377"/>
    </row>
    <row r="915" ht="15.75" customHeight="1">
      <c r="A915" s="377"/>
      <c r="B915" s="377"/>
      <c r="C915" s="377"/>
      <c r="D915" s="377"/>
      <c r="E915" s="377"/>
      <c r="F915" s="377"/>
      <c r="G915" s="377"/>
      <c r="H915" s="379"/>
      <c r="I915" s="377"/>
      <c r="J915" s="377"/>
      <c r="K915" s="377"/>
      <c r="L915" s="377"/>
      <c r="M915" s="377"/>
    </row>
    <row r="916" ht="15.75" customHeight="1">
      <c r="A916" s="377"/>
      <c r="B916" s="377"/>
      <c r="C916" s="377"/>
      <c r="D916" s="377"/>
      <c r="E916" s="377"/>
      <c r="F916" s="377"/>
      <c r="G916" s="377"/>
      <c r="H916" s="379"/>
      <c r="I916" s="377"/>
      <c r="J916" s="377"/>
      <c r="K916" s="377"/>
      <c r="L916" s="377"/>
      <c r="M916" s="377"/>
    </row>
    <row r="917" ht="15.75" customHeight="1">
      <c r="A917" s="377"/>
      <c r="B917" s="377"/>
      <c r="C917" s="377"/>
      <c r="D917" s="377"/>
      <c r="E917" s="377"/>
      <c r="F917" s="377"/>
      <c r="G917" s="377"/>
      <c r="H917" s="379"/>
      <c r="I917" s="377"/>
      <c r="J917" s="377"/>
      <c r="K917" s="377"/>
      <c r="L917" s="377"/>
      <c r="M917" s="377"/>
    </row>
    <row r="918" ht="15.75" customHeight="1">
      <c r="A918" s="377"/>
      <c r="B918" s="377"/>
      <c r="C918" s="377"/>
      <c r="D918" s="377"/>
      <c r="E918" s="377"/>
      <c r="F918" s="377"/>
      <c r="G918" s="377"/>
      <c r="H918" s="379"/>
      <c r="I918" s="377"/>
      <c r="J918" s="377"/>
      <c r="K918" s="377"/>
      <c r="L918" s="377"/>
      <c r="M918" s="377"/>
    </row>
    <row r="919" ht="15.75" customHeight="1">
      <c r="A919" s="377"/>
      <c r="B919" s="377"/>
      <c r="C919" s="377"/>
      <c r="D919" s="377"/>
      <c r="E919" s="377"/>
      <c r="F919" s="377"/>
      <c r="G919" s="377"/>
      <c r="H919" s="379"/>
      <c r="I919" s="377"/>
      <c r="J919" s="377"/>
      <c r="K919" s="377"/>
      <c r="L919" s="377"/>
      <c r="M919" s="377"/>
    </row>
    <row r="920" ht="15.75" customHeight="1">
      <c r="A920" s="377"/>
      <c r="B920" s="377"/>
      <c r="C920" s="377"/>
      <c r="D920" s="377"/>
      <c r="E920" s="377"/>
      <c r="F920" s="377"/>
      <c r="G920" s="377"/>
      <c r="H920" s="379"/>
      <c r="I920" s="377"/>
      <c r="J920" s="377"/>
      <c r="K920" s="377"/>
      <c r="L920" s="377"/>
      <c r="M920" s="377"/>
    </row>
    <row r="921" ht="15.75" customHeight="1">
      <c r="A921" s="377"/>
      <c r="B921" s="377"/>
      <c r="C921" s="377"/>
      <c r="D921" s="377"/>
      <c r="E921" s="377"/>
      <c r="F921" s="377"/>
      <c r="G921" s="377"/>
      <c r="H921" s="379"/>
      <c r="I921" s="377"/>
      <c r="J921" s="377"/>
      <c r="K921" s="377"/>
      <c r="L921" s="377"/>
      <c r="M921" s="377"/>
    </row>
    <row r="922" ht="15.75" customHeight="1">
      <c r="A922" s="377"/>
      <c r="B922" s="377"/>
      <c r="C922" s="377"/>
      <c r="D922" s="377"/>
      <c r="E922" s="377"/>
      <c r="F922" s="377"/>
      <c r="G922" s="377"/>
      <c r="H922" s="379"/>
      <c r="I922" s="377"/>
      <c r="J922" s="377"/>
      <c r="K922" s="377"/>
      <c r="L922" s="377"/>
      <c r="M922" s="377"/>
    </row>
    <row r="923" ht="15.75" customHeight="1">
      <c r="A923" s="377"/>
      <c r="B923" s="377"/>
      <c r="C923" s="377"/>
      <c r="D923" s="377"/>
      <c r="E923" s="377"/>
      <c r="F923" s="377"/>
      <c r="G923" s="377"/>
      <c r="H923" s="379"/>
      <c r="I923" s="377"/>
      <c r="J923" s="377"/>
      <c r="K923" s="377"/>
      <c r="L923" s="377"/>
      <c r="M923" s="377"/>
    </row>
    <row r="924" ht="15.75" customHeight="1">
      <c r="A924" s="377"/>
      <c r="B924" s="377"/>
      <c r="C924" s="377"/>
      <c r="D924" s="377"/>
      <c r="E924" s="377"/>
      <c r="F924" s="377"/>
      <c r="G924" s="377"/>
      <c r="H924" s="379"/>
      <c r="I924" s="377"/>
      <c r="J924" s="377"/>
      <c r="K924" s="377"/>
      <c r="L924" s="377"/>
      <c r="M924" s="377"/>
    </row>
    <row r="925" ht="15.75" customHeight="1">
      <c r="A925" s="377"/>
      <c r="B925" s="377"/>
      <c r="C925" s="377"/>
      <c r="D925" s="377"/>
      <c r="E925" s="377"/>
      <c r="F925" s="377"/>
      <c r="G925" s="377"/>
      <c r="H925" s="379"/>
      <c r="I925" s="377"/>
      <c r="J925" s="377"/>
      <c r="K925" s="377"/>
      <c r="L925" s="377"/>
      <c r="M925" s="377"/>
    </row>
    <row r="926" ht="15.75" customHeight="1">
      <c r="A926" s="377"/>
      <c r="B926" s="377"/>
      <c r="C926" s="377"/>
      <c r="D926" s="377"/>
      <c r="E926" s="377"/>
      <c r="F926" s="377"/>
      <c r="G926" s="377"/>
      <c r="H926" s="379"/>
      <c r="I926" s="377"/>
      <c r="J926" s="377"/>
      <c r="K926" s="377"/>
      <c r="L926" s="377"/>
      <c r="M926" s="377"/>
    </row>
    <row r="927" ht="15.75" customHeight="1">
      <c r="A927" s="377"/>
      <c r="B927" s="377"/>
      <c r="C927" s="377"/>
      <c r="D927" s="377"/>
      <c r="E927" s="377"/>
      <c r="F927" s="377"/>
      <c r="G927" s="377"/>
      <c r="H927" s="379"/>
      <c r="I927" s="377"/>
      <c r="J927" s="377"/>
      <c r="K927" s="377"/>
      <c r="L927" s="377"/>
      <c r="M927" s="377"/>
    </row>
    <row r="928" ht="15.75" customHeight="1">
      <c r="A928" s="377"/>
      <c r="B928" s="377"/>
      <c r="C928" s="377"/>
      <c r="D928" s="377"/>
      <c r="E928" s="377"/>
      <c r="F928" s="377"/>
      <c r="G928" s="377"/>
      <c r="H928" s="379"/>
      <c r="I928" s="377"/>
      <c r="J928" s="377"/>
      <c r="K928" s="377"/>
      <c r="L928" s="377"/>
      <c r="M928" s="377"/>
    </row>
    <row r="929" ht="15.75" customHeight="1">
      <c r="A929" s="377"/>
      <c r="B929" s="377"/>
      <c r="C929" s="377"/>
      <c r="D929" s="377"/>
      <c r="E929" s="377"/>
      <c r="F929" s="377"/>
      <c r="G929" s="377"/>
      <c r="H929" s="379"/>
      <c r="I929" s="377"/>
      <c r="J929" s="377"/>
      <c r="K929" s="377"/>
      <c r="L929" s="377"/>
      <c r="M929" s="377"/>
    </row>
    <row r="930" ht="15.75" customHeight="1">
      <c r="A930" s="377"/>
      <c r="B930" s="377"/>
      <c r="C930" s="377"/>
      <c r="D930" s="377"/>
      <c r="E930" s="377"/>
      <c r="F930" s="377"/>
      <c r="G930" s="377"/>
      <c r="H930" s="379"/>
      <c r="I930" s="377"/>
      <c r="J930" s="377"/>
      <c r="K930" s="377"/>
      <c r="L930" s="377"/>
      <c r="M930" s="377"/>
    </row>
    <row r="931" ht="15.75" customHeight="1">
      <c r="A931" s="377"/>
      <c r="B931" s="377"/>
      <c r="C931" s="377"/>
      <c r="D931" s="377"/>
      <c r="E931" s="377"/>
      <c r="F931" s="377"/>
      <c r="G931" s="377"/>
      <c r="H931" s="379"/>
      <c r="I931" s="377"/>
      <c r="J931" s="377"/>
      <c r="K931" s="377"/>
      <c r="L931" s="377"/>
      <c r="M931" s="377"/>
    </row>
    <row r="932" ht="15.75" customHeight="1">
      <c r="A932" s="377"/>
      <c r="B932" s="377"/>
      <c r="C932" s="377"/>
      <c r="D932" s="377"/>
      <c r="E932" s="377"/>
      <c r="F932" s="377"/>
      <c r="G932" s="377"/>
      <c r="H932" s="379"/>
      <c r="I932" s="377"/>
      <c r="J932" s="377"/>
      <c r="K932" s="377"/>
      <c r="L932" s="377"/>
      <c r="M932" s="377"/>
    </row>
    <row r="933" ht="15.75" customHeight="1">
      <c r="A933" s="377"/>
      <c r="B933" s="377"/>
      <c r="C933" s="377"/>
      <c r="D933" s="377"/>
      <c r="E933" s="377"/>
      <c r="F933" s="377"/>
      <c r="G933" s="377"/>
      <c r="H933" s="379"/>
      <c r="I933" s="377"/>
      <c r="J933" s="377"/>
      <c r="K933" s="377"/>
      <c r="L933" s="377"/>
      <c r="M933" s="377"/>
    </row>
    <row r="934" ht="15.75" customHeight="1">
      <c r="A934" s="377"/>
      <c r="B934" s="377"/>
      <c r="C934" s="377"/>
      <c r="D934" s="377"/>
      <c r="E934" s="377"/>
      <c r="F934" s="377"/>
      <c r="G934" s="377"/>
      <c r="H934" s="379"/>
      <c r="I934" s="377"/>
      <c r="J934" s="377"/>
      <c r="K934" s="377"/>
      <c r="L934" s="377"/>
      <c r="M934" s="377"/>
    </row>
    <row r="935" ht="15.75" customHeight="1">
      <c r="A935" s="377"/>
      <c r="B935" s="377"/>
      <c r="C935" s="377"/>
      <c r="D935" s="377"/>
      <c r="E935" s="377"/>
      <c r="F935" s="377"/>
      <c r="G935" s="377"/>
      <c r="H935" s="379"/>
      <c r="I935" s="377"/>
      <c r="J935" s="377"/>
      <c r="K935" s="377"/>
      <c r="L935" s="377"/>
      <c r="M935" s="377"/>
    </row>
    <row r="936" ht="15.75" customHeight="1">
      <c r="A936" s="377"/>
      <c r="B936" s="377"/>
      <c r="C936" s="377"/>
      <c r="D936" s="377"/>
      <c r="E936" s="377"/>
      <c r="F936" s="377"/>
      <c r="G936" s="377"/>
      <c r="H936" s="379"/>
      <c r="I936" s="377"/>
      <c r="J936" s="377"/>
      <c r="K936" s="377"/>
      <c r="L936" s="377"/>
      <c r="M936" s="377"/>
    </row>
    <row r="937" ht="15.75" customHeight="1">
      <c r="A937" s="377"/>
      <c r="B937" s="377"/>
      <c r="C937" s="377"/>
      <c r="D937" s="377"/>
      <c r="E937" s="377"/>
      <c r="F937" s="377"/>
      <c r="G937" s="377"/>
      <c r="H937" s="379"/>
      <c r="I937" s="377"/>
      <c r="J937" s="377"/>
      <c r="K937" s="377"/>
      <c r="L937" s="377"/>
      <c r="M937" s="377"/>
    </row>
    <row r="938" ht="15.75" customHeight="1">
      <c r="A938" s="377"/>
      <c r="B938" s="377"/>
      <c r="C938" s="377"/>
      <c r="D938" s="377"/>
      <c r="E938" s="377"/>
      <c r="F938" s="377"/>
      <c r="G938" s="377"/>
      <c r="H938" s="379"/>
      <c r="I938" s="377"/>
      <c r="J938" s="377"/>
      <c r="K938" s="377"/>
      <c r="L938" s="377"/>
      <c r="M938" s="377"/>
    </row>
    <row r="939" ht="15.75" customHeight="1">
      <c r="A939" s="377"/>
      <c r="B939" s="377"/>
      <c r="C939" s="377"/>
      <c r="D939" s="377"/>
      <c r="E939" s="377"/>
      <c r="F939" s="377"/>
      <c r="G939" s="377"/>
      <c r="H939" s="379"/>
      <c r="I939" s="377"/>
      <c r="J939" s="377"/>
      <c r="K939" s="377"/>
      <c r="L939" s="377"/>
      <c r="M939" s="377"/>
    </row>
    <row r="940" ht="15.75" customHeight="1">
      <c r="A940" s="377"/>
      <c r="B940" s="377"/>
      <c r="C940" s="377"/>
      <c r="D940" s="377"/>
      <c r="E940" s="377"/>
      <c r="F940" s="377"/>
      <c r="G940" s="377"/>
      <c r="H940" s="379"/>
      <c r="I940" s="377"/>
      <c r="J940" s="377"/>
      <c r="K940" s="377"/>
      <c r="L940" s="377"/>
      <c r="M940" s="377"/>
    </row>
    <row r="941" ht="15.75" customHeight="1">
      <c r="A941" s="377"/>
      <c r="B941" s="377"/>
      <c r="C941" s="377"/>
      <c r="D941" s="377"/>
      <c r="E941" s="377"/>
      <c r="F941" s="377"/>
      <c r="G941" s="377"/>
      <c r="H941" s="379"/>
      <c r="I941" s="377"/>
      <c r="J941" s="377"/>
      <c r="K941" s="377"/>
      <c r="L941" s="377"/>
      <c r="M941" s="377"/>
    </row>
    <row r="942" ht="15.75" customHeight="1">
      <c r="A942" s="377"/>
      <c r="B942" s="377"/>
      <c r="C942" s="377"/>
      <c r="D942" s="377"/>
      <c r="E942" s="377"/>
      <c r="F942" s="377"/>
      <c r="G942" s="377"/>
      <c r="H942" s="379"/>
      <c r="I942" s="377"/>
      <c r="J942" s="377"/>
      <c r="K942" s="377"/>
      <c r="L942" s="377"/>
      <c r="M942" s="377"/>
    </row>
    <row r="943" ht="15.75" customHeight="1">
      <c r="A943" s="377"/>
      <c r="B943" s="377"/>
      <c r="C943" s="377"/>
      <c r="D943" s="377"/>
      <c r="E943" s="377"/>
      <c r="F943" s="377"/>
      <c r="G943" s="377"/>
      <c r="H943" s="379"/>
      <c r="I943" s="377"/>
      <c r="J943" s="377"/>
      <c r="K943" s="377"/>
      <c r="L943" s="377"/>
      <c r="M943" s="377"/>
    </row>
    <row r="944" ht="15.75" customHeight="1">
      <c r="A944" s="377"/>
      <c r="B944" s="377"/>
      <c r="C944" s="377"/>
      <c r="D944" s="377"/>
      <c r="E944" s="377"/>
      <c r="F944" s="377"/>
      <c r="G944" s="377"/>
      <c r="H944" s="379"/>
      <c r="I944" s="377"/>
      <c r="J944" s="377"/>
      <c r="K944" s="377"/>
      <c r="L944" s="377"/>
      <c r="M944" s="377"/>
    </row>
    <row r="945" ht="15.75" customHeight="1">
      <c r="A945" s="377"/>
      <c r="B945" s="377"/>
      <c r="C945" s="377"/>
      <c r="D945" s="377"/>
      <c r="E945" s="377"/>
      <c r="F945" s="377"/>
      <c r="G945" s="377"/>
      <c r="H945" s="379"/>
      <c r="I945" s="377"/>
      <c r="J945" s="377"/>
      <c r="K945" s="377"/>
      <c r="L945" s="377"/>
      <c r="M945" s="377"/>
    </row>
    <row r="946" ht="15.75" customHeight="1">
      <c r="A946" s="377"/>
      <c r="B946" s="377"/>
      <c r="C946" s="377"/>
      <c r="D946" s="377"/>
      <c r="E946" s="377"/>
      <c r="F946" s="377"/>
      <c r="G946" s="377"/>
      <c r="H946" s="379"/>
      <c r="I946" s="377"/>
      <c r="J946" s="377"/>
      <c r="K946" s="377"/>
      <c r="L946" s="377"/>
      <c r="M946" s="377"/>
    </row>
    <row r="947" ht="15.75" customHeight="1">
      <c r="A947" s="377"/>
      <c r="B947" s="377"/>
      <c r="C947" s="377"/>
      <c r="D947" s="377"/>
      <c r="E947" s="377"/>
      <c r="F947" s="377"/>
      <c r="G947" s="377"/>
      <c r="H947" s="379"/>
      <c r="I947" s="377"/>
      <c r="J947" s="377"/>
      <c r="K947" s="377"/>
      <c r="L947" s="377"/>
      <c r="M947" s="377"/>
    </row>
    <row r="948" ht="15.75" customHeight="1">
      <c r="A948" s="377"/>
      <c r="B948" s="377"/>
      <c r="C948" s="377"/>
      <c r="D948" s="377"/>
      <c r="E948" s="377"/>
      <c r="F948" s="377"/>
      <c r="G948" s="377"/>
      <c r="H948" s="379"/>
      <c r="I948" s="377"/>
      <c r="J948" s="377"/>
      <c r="K948" s="377"/>
      <c r="L948" s="377"/>
      <c r="M948" s="377"/>
    </row>
    <row r="949" ht="15.75" customHeight="1">
      <c r="A949" s="377"/>
      <c r="B949" s="377"/>
      <c r="C949" s="377"/>
      <c r="D949" s="377"/>
      <c r="E949" s="377"/>
      <c r="F949" s="377"/>
      <c r="G949" s="377"/>
      <c r="H949" s="379"/>
      <c r="I949" s="377"/>
      <c r="J949" s="377"/>
      <c r="K949" s="377"/>
      <c r="L949" s="377"/>
      <c r="M949" s="377"/>
    </row>
    <row r="950" ht="15.75" customHeight="1">
      <c r="A950" s="377"/>
      <c r="B950" s="377"/>
      <c r="C950" s="377"/>
      <c r="D950" s="377"/>
      <c r="E950" s="377"/>
      <c r="F950" s="377"/>
      <c r="G950" s="377"/>
      <c r="H950" s="379"/>
      <c r="I950" s="377"/>
      <c r="J950" s="377"/>
      <c r="K950" s="377"/>
      <c r="L950" s="377"/>
      <c r="M950" s="377"/>
    </row>
    <row r="951" ht="15.75" customHeight="1">
      <c r="A951" s="377"/>
      <c r="B951" s="377"/>
      <c r="C951" s="377"/>
      <c r="D951" s="377"/>
      <c r="E951" s="377"/>
      <c r="F951" s="377"/>
      <c r="G951" s="377"/>
      <c r="H951" s="379"/>
      <c r="I951" s="377"/>
      <c r="J951" s="377"/>
      <c r="K951" s="377"/>
      <c r="L951" s="377"/>
      <c r="M951" s="377"/>
    </row>
    <row r="952" ht="15.75" customHeight="1">
      <c r="A952" s="377"/>
      <c r="B952" s="377"/>
      <c r="C952" s="377"/>
      <c r="D952" s="377"/>
      <c r="E952" s="377"/>
      <c r="F952" s="377"/>
      <c r="G952" s="377"/>
      <c r="H952" s="379"/>
      <c r="I952" s="377"/>
      <c r="J952" s="377"/>
      <c r="K952" s="377"/>
      <c r="L952" s="377"/>
      <c r="M952" s="377"/>
    </row>
    <row r="953" ht="15.75" customHeight="1">
      <c r="A953" s="377"/>
      <c r="B953" s="377"/>
      <c r="C953" s="377"/>
      <c r="D953" s="377"/>
      <c r="E953" s="377"/>
      <c r="F953" s="377"/>
      <c r="G953" s="377"/>
      <c r="H953" s="379"/>
      <c r="I953" s="377"/>
      <c r="J953" s="377"/>
      <c r="K953" s="377"/>
      <c r="L953" s="377"/>
      <c r="M953" s="377"/>
    </row>
    <row r="954" ht="15.75" customHeight="1">
      <c r="A954" s="377"/>
      <c r="B954" s="377"/>
      <c r="C954" s="377"/>
      <c r="D954" s="377"/>
      <c r="E954" s="377"/>
      <c r="F954" s="377"/>
      <c r="G954" s="377"/>
      <c r="H954" s="379"/>
      <c r="I954" s="377"/>
      <c r="J954" s="377"/>
      <c r="K954" s="377"/>
      <c r="L954" s="377"/>
      <c r="M954" s="377"/>
    </row>
    <row r="955" ht="15.75" customHeight="1">
      <c r="A955" s="377"/>
      <c r="B955" s="377"/>
      <c r="C955" s="377"/>
      <c r="D955" s="377"/>
      <c r="E955" s="377"/>
      <c r="F955" s="377"/>
      <c r="G955" s="377"/>
      <c r="H955" s="379"/>
      <c r="I955" s="377"/>
      <c r="J955" s="377"/>
      <c r="K955" s="377"/>
      <c r="L955" s="377"/>
      <c r="M955" s="377"/>
    </row>
    <row r="956" ht="15.75" customHeight="1">
      <c r="A956" s="377"/>
      <c r="B956" s="377"/>
      <c r="C956" s="377"/>
      <c r="D956" s="377"/>
      <c r="E956" s="377"/>
      <c r="F956" s="377"/>
      <c r="G956" s="377"/>
      <c r="H956" s="379"/>
      <c r="I956" s="377"/>
      <c r="J956" s="377"/>
      <c r="K956" s="377"/>
      <c r="L956" s="377"/>
      <c r="M956" s="377"/>
    </row>
    <row r="957" ht="15.75" customHeight="1">
      <c r="A957" s="377"/>
      <c r="B957" s="377"/>
      <c r="C957" s="377"/>
      <c r="D957" s="377"/>
      <c r="E957" s="377"/>
      <c r="F957" s="377"/>
      <c r="G957" s="377"/>
      <c r="H957" s="379"/>
      <c r="I957" s="377"/>
      <c r="J957" s="377"/>
      <c r="K957" s="377"/>
      <c r="L957" s="377"/>
      <c r="M957" s="377"/>
    </row>
    <row r="958" ht="15.75" customHeight="1">
      <c r="A958" s="377"/>
      <c r="B958" s="377"/>
      <c r="C958" s="377"/>
      <c r="D958" s="377"/>
      <c r="E958" s="377"/>
      <c r="F958" s="377"/>
      <c r="G958" s="377"/>
      <c r="H958" s="379"/>
      <c r="I958" s="377"/>
      <c r="J958" s="377"/>
      <c r="K958" s="377"/>
      <c r="L958" s="377"/>
      <c r="M958" s="377"/>
    </row>
    <row r="959" ht="15.75" customHeight="1">
      <c r="A959" s="377"/>
      <c r="B959" s="377"/>
      <c r="C959" s="377"/>
      <c r="D959" s="377"/>
      <c r="E959" s="377"/>
      <c r="F959" s="377"/>
      <c r="G959" s="377"/>
      <c r="H959" s="379"/>
      <c r="I959" s="377"/>
      <c r="J959" s="377"/>
      <c r="K959" s="377"/>
      <c r="L959" s="377"/>
      <c r="M959" s="377"/>
    </row>
    <row r="960" ht="15.75" customHeight="1">
      <c r="A960" s="377"/>
      <c r="B960" s="377"/>
      <c r="C960" s="377"/>
      <c r="D960" s="377"/>
      <c r="E960" s="377"/>
      <c r="F960" s="377"/>
      <c r="G960" s="377"/>
      <c r="H960" s="379"/>
      <c r="I960" s="377"/>
      <c r="J960" s="377"/>
      <c r="K960" s="377"/>
      <c r="L960" s="377"/>
      <c r="M960" s="377"/>
    </row>
    <row r="961" ht="15.75" customHeight="1">
      <c r="A961" s="377"/>
      <c r="B961" s="377"/>
      <c r="C961" s="377"/>
      <c r="D961" s="377"/>
      <c r="E961" s="377"/>
      <c r="F961" s="377"/>
      <c r="G961" s="377"/>
      <c r="H961" s="379"/>
      <c r="I961" s="377"/>
      <c r="J961" s="377"/>
      <c r="K961" s="377"/>
      <c r="L961" s="377"/>
      <c r="M961" s="377"/>
    </row>
    <row r="962" ht="15.75" customHeight="1">
      <c r="A962" s="377"/>
      <c r="B962" s="377"/>
      <c r="C962" s="377"/>
      <c r="D962" s="377"/>
      <c r="E962" s="377"/>
      <c r="F962" s="377"/>
      <c r="G962" s="377"/>
      <c r="H962" s="379"/>
      <c r="I962" s="377"/>
      <c r="J962" s="377"/>
      <c r="K962" s="377"/>
      <c r="L962" s="377"/>
      <c r="M962" s="377"/>
    </row>
    <row r="963" ht="15.75" customHeight="1">
      <c r="A963" s="377"/>
      <c r="B963" s="377"/>
      <c r="C963" s="377"/>
      <c r="D963" s="377"/>
      <c r="E963" s="377"/>
      <c r="F963" s="377"/>
      <c r="G963" s="377"/>
      <c r="H963" s="379"/>
      <c r="I963" s="377"/>
      <c r="J963" s="377"/>
      <c r="K963" s="377"/>
      <c r="L963" s="377"/>
      <c r="M963" s="377"/>
    </row>
    <row r="964" ht="15.75" customHeight="1">
      <c r="A964" s="377"/>
      <c r="B964" s="377"/>
      <c r="C964" s="377"/>
      <c r="D964" s="377"/>
      <c r="E964" s="377"/>
      <c r="F964" s="377"/>
      <c r="G964" s="377"/>
      <c r="H964" s="379"/>
      <c r="I964" s="377"/>
      <c r="J964" s="377"/>
      <c r="K964" s="377"/>
      <c r="L964" s="377"/>
      <c r="M964" s="377"/>
    </row>
    <row r="965" ht="15.75" customHeight="1">
      <c r="A965" s="377"/>
      <c r="B965" s="377"/>
      <c r="C965" s="377"/>
      <c r="D965" s="377"/>
      <c r="E965" s="377"/>
      <c r="F965" s="377"/>
      <c r="G965" s="377"/>
      <c r="H965" s="379"/>
      <c r="I965" s="377"/>
      <c r="J965" s="377"/>
      <c r="K965" s="377"/>
      <c r="L965" s="377"/>
      <c r="M965" s="377"/>
    </row>
    <row r="966" ht="15.75" customHeight="1">
      <c r="A966" s="377"/>
      <c r="B966" s="377"/>
      <c r="C966" s="377"/>
      <c r="D966" s="377"/>
      <c r="E966" s="377"/>
      <c r="F966" s="377"/>
      <c r="G966" s="377"/>
      <c r="H966" s="379"/>
      <c r="I966" s="377"/>
      <c r="J966" s="377"/>
      <c r="K966" s="377"/>
      <c r="L966" s="377"/>
      <c r="M966" s="377"/>
    </row>
    <row r="967" ht="15.75" customHeight="1">
      <c r="A967" s="377"/>
      <c r="B967" s="377"/>
      <c r="C967" s="377"/>
      <c r="D967" s="377"/>
      <c r="E967" s="377"/>
      <c r="F967" s="377"/>
      <c r="G967" s="377"/>
      <c r="H967" s="379"/>
      <c r="I967" s="377"/>
      <c r="J967" s="377"/>
      <c r="K967" s="377"/>
      <c r="L967" s="377"/>
      <c r="M967" s="377"/>
    </row>
    <row r="968" ht="15.75" customHeight="1">
      <c r="A968" s="377"/>
      <c r="B968" s="377"/>
      <c r="C968" s="377"/>
      <c r="D968" s="377"/>
      <c r="E968" s="377"/>
      <c r="F968" s="377"/>
      <c r="G968" s="377"/>
      <c r="H968" s="379"/>
      <c r="I968" s="377"/>
      <c r="J968" s="377"/>
      <c r="K968" s="377"/>
      <c r="L968" s="377"/>
      <c r="M968" s="377"/>
    </row>
    <row r="969" ht="15.75" customHeight="1">
      <c r="A969" s="377"/>
      <c r="B969" s="377"/>
      <c r="C969" s="377"/>
      <c r="D969" s="377"/>
      <c r="E969" s="377"/>
      <c r="F969" s="377"/>
      <c r="G969" s="377"/>
      <c r="H969" s="379"/>
      <c r="I969" s="377"/>
      <c r="J969" s="377"/>
      <c r="K969" s="377"/>
      <c r="L969" s="377"/>
      <c r="M969" s="377"/>
    </row>
    <row r="970" ht="15.75" customHeight="1">
      <c r="A970" s="377"/>
      <c r="B970" s="377"/>
      <c r="C970" s="377"/>
      <c r="D970" s="377"/>
      <c r="E970" s="377"/>
      <c r="F970" s="377"/>
      <c r="G970" s="377"/>
      <c r="H970" s="379"/>
      <c r="I970" s="377"/>
      <c r="J970" s="377"/>
      <c r="K970" s="377"/>
      <c r="L970" s="377"/>
      <c r="M970" s="377"/>
    </row>
    <row r="971" ht="15.75" customHeight="1">
      <c r="A971" s="377"/>
      <c r="B971" s="377"/>
      <c r="C971" s="377"/>
      <c r="D971" s="377"/>
      <c r="E971" s="377"/>
      <c r="F971" s="377"/>
      <c r="G971" s="377"/>
      <c r="H971" s="379"/>
      <c r="I971" s="377"/>
      <c r="J971" s="377"/>
      <c r="K971" s="377"/>
      <c r="L971" s="377"/>
      <c r="M971" s="377"/>
    </row>
    <row r="972" ht="15.75" customHeight="1">
      <c r="A972" s="377"/>
      <c r="B972" s="377"/>
      <c r="C972" s="377"/>
      <c r="D972" s="377"/>
      <c r="E972" s="377"/>
      <c r="F972" s="377"/>
      <c r="G972" s="377"/>
      <c r="H972" s="379"/>
      <c r="I972" s="377"/>
      <c r="J972" s="377"/>
      <c r="K972" s="377"/>
      <c r="L972" s="377"/>
      <c r="M972" s="377"/>
    </row>
    <row r="973" ht="15.75" customHeight="1">
      <c r="A973" s="377"/>
      <c r="B973" s="377"/>
      <c r="C973" s="377"/>
      <c r="D973" s="377"/>
      <c r="E973" s="377"/>
      <c r="F973" s="377"/>
      <c r="G973" s="377"/>
      <c r="H973" s="379"/>
      <c r="I973" s="377"/>
      <c r="J973" s="377"/>
      <c r="K973" s="377"/>
      <c r="L973" s="377"/>
      <c r="M973" s="377"/>
    </row>
    <row r="974" ht="15.75" customHeight="1">
      <c r="A974" s="377"/>
      <c r="B974" s="377"/>
      <c r="C974" s="377"/>
      <c r="D974" s="377"/>
      <c r="E974" s="377"/>
      <c r="F974" s="377"/>
      <c r="G974" s="377"/>
      <c r="H974" s="379"/>
      <c r="I974" s="377"/>
      <c r="J974" s="377"/>
      <c r="K974" s="377"/>
      <c r="L974" s="377"/>
      <c r="M974" s="377"/>
    </row>
    <row r="975" ht="15.75" customHeight="1">
      <c r="A975" s="377"/>
      <c r="B975" s="377"/>
      <c r="C975" s="377"/>
      <c r="D975" s="377"/>
      <c r="E975" s="377"/>
      <c r="F975" s="377"/>
      <c r="G975" s="377"/>
      <c r="H975" s="379"/>
      <c r="I975" s="377"/>
      <c r="J975" s="377"/>
      <c r="K975" s="377"/>
      <c r="L975" s="377"/>
      <c r="M975" s="377"/>
    </row>
    <row r="976" ht="15.75" customHeight="1">
      <c r="A976" s="377"/>
      <c r="B976" s="377"/>
      <c r="C976" s="377"/>
      <c r="D976" s="377"/>
      <c r="E976" s="377"/>
      <c r="F976" s="377"/>
      <c r="G976" s="377"/>
      <c r="H976" s="379"/>
      <c r="I976" s="377"/>
      <c r="J976" s="377"/>
      <c r="K976" s="377"/>
      <c r="L976" s="377"/>
      <c r="M976" s="377"/>
    </row>
    <row r="977" ht="15.75" customHeight="1">
      <c r="A977" s="377"/>
      <c r="B977" s="377"/>
      <c r="C977" s="377"/>
      <c r="D977" s="377"/>
      <c r="E977" s="377"/>
      <c r="F977" s="377"/>
      <c r="G977" s="377"/>
      <c r="H977" s="379"/>
      <c r="I977" s="377"/>
      <c r="J977" s="377"/>
      <c r="K977" s="377"/>
      <c r="L977" s="377"/>
      <c r="M977" s="377"/>
    </row>
    <row r="978" ht="15.75" customHeight="1">
      <c r="A978" s="377"/>
      <c r="B978" s="377"/>
      <c r="C978" s="377"/>
      <c r="D978" s="377"/>
      <c r="E978" s="377"/>
      <c r="F978" s="377"/>
      <c r="G978" s="377"/>
      <c r="H978" s="379"/>
      <c r="I978" s="377"/>
      <c r="J978" s="377"/>
      <c r="K978" s="377"/>
      <c r="L978" s="377"/>
      <c r="M978" s="377"/>
    </row>
    <row r="979" ht="15.75" customHeight="1">
      <c r="A979" s="377"/>
      <c r="B979" s="377"/>
      <c r="C979" s="377"/>
      <c r="D979" s="377"/>
      <c r="E979" s="377"/>
      <c r="F979" s="377"/>
      <c r="G979" s="377"/>
      <c r="H979" s="379"/>
      <c r="I979" s="377"/>
      <c r="J979" s="377"/>
      <c r="K979" s="377"/>
      <c r="L979" s="377"/>
      <c r="M979" s="377"/>
    </row>
    <row r="980" ht="15.75" customHeight="1">
      <c r="A980" s="377"/>
      <c r="B980" s="377"/>
      <c r="C980" s="377"/>
      <c r="D980" s="377"/>
      <c r="E980" s="377"/>
      <c r="F980" s="377"/>
      <c r="G980" s="377"/>
      <c r="H980" s="379"/>
      <c r="I980" s="377"/>
      <c r="J980" s="377"/>
      <c r="K980" s="377"/>
      <c r="L980" s="377"/>
      <c r="M980" s="377"/>
    </row>
    <row r="981" ht="15.75" customHeight="1">
      <c r="A981" s="377"/>
      <c r="B981" s="377"/>
      <c r="C981" s="377"/>
      <c r="D981" s="377"/>
      <c r="E981" s="377"/>
      <c r="F981" s="377"/>
      <c r="G981" s="377"/>
      <c r="H981" s="379"/>
      <c r="I981" s="377"/>
      <c r="J981" s="377"/>
      <c r="K981" s="377"/>
      <c r="L981" s="377"/>
      <c r="M981" s="377"/>
    </row>
    <row r="982" ht="15.75" customHeight="1">
      <c r="A982" s="377"/>
      <c r="B982" s="377"/>
      <c r="C982" s="377"/>
      <c r="D982" s="377"/>
      <c r="E982" s="377"/>
      <c r="F982" s="377"/>
      <c r="G982" s="377"/>
      <c r="H982" s="379"/>
      <c r="I982" s="377"/>
      <c r="J982" s="377"/>
      <c r="K982" s="377"/>
      <c r="L982" s="377"/>
      <c r="M982" s="377"/>
    </row>
    <row r="983" ht="15.75" customHeight="1">
      <c r="A983" s="377"/>
      <c r="B983" s="377"/>
      <c r="C983" s="377"/>
      <c r="D983" s="377"/>
      <c r="E983" s="377"/>
      <c r="F983" s="377"/>
      <c r="G983" s="377"/>
      <c r="H983" s="379"/>
      <c r="I983" s="377"/>
      <c r="J983" s="377"/>
      <c r="K983" s="377"/>
      <c r="L983" s="377"/>
      <c r="M983" s="377"/>
    </row>
    <row r="984" ht="15.75" customHeight="1">
      <c r="A984" s="377"/>
      <c r="B984" s="377"/>
      <c r="C984" s="377"/>
      <c r="D984" s="377"/>
      <c r="E984" s="377"/>
      <c r="F984" s="377"/>
      <c r="G984" s="377"/>
      <c r="H984" s="379"/>
      <c r="I984" s="377"/>
      <c r="J984" s="377"/>
      <c r="K984" s="377"/>
      <c r="L984" s="377"/>
      <c r="M984" s="377"/>
    </row>
    <row r="985" ht="15.75" customHeight="1">
      <c r="A985" s="377"/>
      <c r="B985" s="377"/>
      <c r="C985" s="377"/>
      <c r="D985" s="377"/>
      <c r="E985" s="377"/>
      <c r="F985" s="377"/>
      <c r="G985" s="377"/>
      <c r="H985" s="379"/>
      <c r="I985" s="377"/>
      <c r="J985" s="377"/>
      <c r="K985" s="377"/>
      <c r="L985" s="377"/>
      <c r="M985" s="377"/>
    </row>
    <row r="986" ht="15.75" customHeight="1">
      <c r="A986" s="377"/>
      <c r="B986" s="377"/>
      <c r="C986" s="377"/>
      <c r="D986" s="377"/>
      <c r="E986" s="377"/>
      <c r="F986" s="377"/>
      <c r="G986" s="377"/>
      <c r="H986" s="379"/>
      <c r="I986" s="377"/>
      <c r="J986" s="377"/>
      <c r="K986" s="377"/>
      <c r="L986" s="377"/>
      <c r="M986" s="377"/>
    </row>
    <row r="987" ht="15.75" customHeight="1">
      <c r="A987" s="377"/>
      <c r="B987" s="377"/>
      <c r="C987" s="377"/>
      <c r="D987" s="377"/>
      <c r="E987" s="377"/>
      <c r="F987" s="377"/>
      <c r="G987" s="377"/>
      <c r="H987" s="379"/>
      <c r="I987" s="377"/>
      <c r="J987" s="377"/>
      <c r="K987" s="377"/>
      <c r="L987" s="377"/>
      <c r="M987" s="377"/>
    </row>
    <row r="988" ht="15.75" customHeight="1">
      <c r="A988" s="377"/>
      <c r="B988" s="377"/>
      <c r="C988" s="377"/>
      <c r="D988" s="377"/>
      <c r="E988" s="377"/>
      <c r="F988" s="377"/>
      <c r="G988" s="377"/>
      <c r="H988" s="379"/>
      <c r="I988" s="377"/>
      <c r="J988" s="377"/>
      <c r="K988" s="377"/>
      <c r="L988" s="377"/>
      <c r="M988" s="377"/>
    </row>
    <row r="989" ht="15.75" customHeight="1">
      <c r="A989" s="377"/>
      <c r="B989" s="377"/>
      <c r="C989" s="377"/>
      <c r="D989" s="377"/>
      <c r="E989" s="377"/>
      <c r="F989" s="377"/>
      <c r="G989" s="377"/>
      <c r="H989" s="379"/>
      <c r="I989" s="377"/>
      <c r="J989" s="377"/>
      <c r="K989" s="377"/>
      <c r="L989" s="377"/>
      <c r="M989" s="377"/>
    </row>
    <row r="990" ht="15.75" customHeight="1">
      <c r="A990" s="377"/>
      <c r="B990" s="377"/>
      <c r="C990" s="377"/>
      <c r="D990" s="377"/>
      <c r="E990" s="377"/>
      <c r="F990" s="377"/>
      <c r="G990" s="377"/>
      <c r="H990" s="379"/>
      <c r="I990" s="377"/>
      <c r="J990" s="377"/>
      <c r="K990" s="377"/>
      <c r="L990" s="377"/>
      <c r="M990" s="377"/>
    </row>
    <row r="991" ht="15.75" customHeight="1">
      <c r="A991" s="377"/>
      <c r="B991" s="377"/>
      <c r="C991" s="377"/>
      <c r="D991" s="377"/>
      <c r="E991" s="377"/>
      <c r="F991" s="377"/>
      <c r="G991" s="377"/>
      <c r="H991" s="379"/>
      <c r="I991" s="377"/>
      <c r="J991" s="377"/>
      <c r="K991" s="377"/>
      <c r="L991" s="377"/>
      <c r="M991" s="377"/>
    </row>
    <row r="992" ht="15.75" customHeight="1">
      <c r="A992" s="377"/>
      <c r="B992" s="377"/>
      <c r="C992" s="377"/>
      <c r="D992" s="377"/>
      <c r="E992" s="377"/>
      <c r="F992" s="377"/>
      <c r="G992" s="377"/>
      <c r="H992" s="379"/>
      <c r="I992" s="377"/>
      <c r="J992" s="377"/>
      <c r="K992" s="377"/>
      <c r="L992" s="377"/>
      <c r="M992" s="377"/>
    </row>
    <row r="993" ht="15.75" customHeight="1">
      <c r="A993" s="377"/>
      <c r="B993" s="377"/>
      <c r="C993" s="377"/>
      <c r="D993" s="377"/>
      <c r="E993" s="377"/>
      <c r="F993" s="377"/>
      <c r="G993" s="377"/>
      <c r="H993" s="379"/>
      <c r="I993" s="377"/>
      <c r="J993" s="377"/>
      <c r="K993" s="377"/>
      <c r="L993" s="377"/>
      <c r="M993" s="377"/>
    </row>
    <row r="994" ht="15.75" customHeight="1">
      <c r="A994" s="377"/>
      <c r="B994" s="377"/>
      <c r="C994" s="377"/>
      <c r="D994" s="377"/>
      <c r="E994" s="377"/>
      <c r="F994" s="377"/>
      <c r="G994" s="377"/>
      <c r="H994" s="379"/>
      <c r="I994" s="377"/>
      <c r="J994" s="377"/>
      <c r="K994" s="377"/>
      <c r="L994" s="377"/>
      <c r="M994" s="377"/>
    </row>
    <row r="995" ht="15.75" customHeight="1">
      <c r="A995" s="377"/>
      <c r="B995" s="377"/>
      <c r="C995" s="377"/>
      <c r="D995" s="377"/>
      <c r="E995" s="377"/>
      <c r="F995" s="377"/>
      <c r="G995" s="377"/>
      <c r="H995" s="379"/>
      <c r="I995" s="377"/>
      <c r="J995" s="377"/>
      <c r="K995" s="377"/>
      <c r="L995" s="377"/>
      <c r="M995" s="377"/>
    </row>
    <row r="996" ht="15.75" customHeight="1">
      <c r="A996" s="377"/>
      <c r="B996" s="377"/>
      <c r="C996" s="377"/>
      <c r="D996" s="377"/>
      <c r="E996" s="377"/>
      <c r="F996" s="377"/>
      <c r="G996" s="377"/>
      <c r="H996" s="379"/>
      <c r="I996" s="377"/>
      <c r="J996" s="377"/>
      <c r="K996" s="377"/>
      <c r="L996" s="377"/>
      <c r="M996" s="377"/>
    </row>
    <row r="997" ht="15.75" customHeight="1">
      <c r="A997" s="377"/>
      <c r="B997" s="377"/>
      <c r="C997" s="377"/>
      <c r="D997" s="377"/>
      <c r="E997" s="377"/>
      <c r="F997" s="377"/>
      <c r="G997" s="377"/>
      <c r="H997" s="379"/>
      <c r="I997" s="377"/>
      <c r="J997" s="377"/>
      <c r="K997" s="377"/>
      <c r="L997" s="377"/>
      <c r="M997" s="377"/>
    </row>
    <row r="998" ht="15.75" customHeight="1">
      <c r="A998" s="377"/>
      <c r="B998" s="377"/>
      <c r="C998" s="377"/>
      <c r="D998" s="377"/>
      <c r="E998" s="377"/>
      <c r="F998" s="377"/>
      <c r="G998" s="377"/>
      <c r="H998" s="379"/>
      <c r="I998" s="377"/>
      <c r="J998" s="377"/>
      <c r="K998" s="377"/>
      <c r="L998" s="377"/>
      <c r="M998" s="377"/>
    </row>
    <row r="999" ht="15.75" customHeight="1">
      <c r="A999" s="377"/>
      <c r="B999" s="377"/>
      <c r="C999" s="377"/>
      <c r="D999" s="377"/>
      <c r="E999" s="377"/>
      <c r="F999" s="377"/>
      <c r="G999" s="377"/>
      <c r="H999" s="379"/>
      <c r="I999" s="377"/>
      <c r="J999" s="377"/>
      <c r="K999" s="377"/>
      <c r="L999" s="377"/>
      <c r="M999" s="377"/>
    </row>
    <row r="1000" ht="15.75" customHeight="1">
      <c r="A1000" s="377"/>
      <c r="B1000" s="377"/>
      <c r="C1000" s="377"/>
      <c r="D1000" s="377"/>
      <c r="E1000" s="377"/>
      <c r="F1000" s="377"/>
      <c r="G1000" s="377"/>
      <c r="H1000" s="379"/>
      <c r="I1000" s="377"/>
      <c r="J1000" s="377"/>
      <c r="K1000" s="377"/>
      <c r="L1000" s="377"/>
      <c r="M1000" s="377"/>
    </row>
    <row r="1001" ht="15.75" customHeight="1">
      <c r="A1001" s="377"/>
      <c r="B1001" s="377"/>
      <c r="C1001" s="377"/>
      <c r="D1001" s="377"/>
      <c r="E1001" s="377"/>
      <c r="F1001" s="377"/>
      <c r="G1001" s="377"/>
      <c r="H1001" s="379"/>
      <c r="I1001" s="377"/>
      <c r="J1001" s="377"/>
      <c r="K1001" s="377"/>
      <c r="L1001" s="377"/>
      <c r="M1001" s="377"/>
    </row>
    <row r="1002" ht="15.75" customHeight="1">
      <c r="A1002" s="377"/>
      <c r="B1002" s="377"/>
      <c r="C1002" s="377"/>
      <c r="D1002" s="377"/>
      <c r="E1002" s="377"/>
      <c r="F1002" s="377"/>
      <c r="G1002" s="377"/>
      <c r="H1002" s="379"/>
      <c r="I1002" s="377"/>
      <c r="J1002" s="377"/>
      <c r="K1002" s="377"/>
      <c r="L1002" s="377"/>
      <c r="M1002" s="377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7:A10"/>
    <mergeCell ref="B7:B10"/>
    <mergeCell ref="E7:F8"/>
    <mergeCell ref="G7:L7"/>
    <mergeCell ref="M7:M10"/>
    <mergeCell ref="K8:L8"/>
    <mergeCell ref="L9:L10"/>
  </mergeCells>
  <printOptions/>
  <pageMargins bottom="0.54" footer="0.0" header="0.0" left="0.25" right="0.25" top="0.67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63.43"/>
    <col customWidth="1" min="2" max="2" width="18.0"/>
    <col customWidth="1" min="3" max="3" width="21.86"/>
    <col customWidth="1" min="4" max="4" width="23.29"/>
    <col customWidth="1" min="5" max="5" width="20.71"/>
    <col customWidth="1" min="6" max="6" width="21.43"/>
    <col customWidth="1" min="7" max="7" width="21.71"/>
    <col customWidth="1" min="8" max="8" width="20.14"/>
    <col customWidth="1" min="9" max="9" width="19.71"/>
    <col customWidth="1" min="10" max="10" width="19.43"/>
    <col customWidth="1" min="11" max="11" width="19.71"/>
    <col customWidth="1" min="12" max="12" width="20.0"/>
    <col customWidth="1" min="13" max="13" width="25.86"/>
  </cols>
  <sheetData>
    <row r="1" ht="30.75" customHeight="1">
      <c r="A1" s="381" t="s">
        <v>0</v>
      </c>
      <c r="B1" s="382"/>
      <c r="C1" s="383"/>
      <c r="D1" s="383"/>
      <c r="E1" s="349"/>
      <c r="F1" s="349"/>
      <c r="G1" s="349"/>
      <c r="H1" s="349"/>
      <c r="I1" s="349"/>
      <c r="J1" s="349"/>
      <c r="K1" s="349"/>
      <c r="L1" s="349"/>
      <c r="M1" s="349"/>
    </row>
    <row r="2" ht="27.0" customHeight="1">
      <c r="A2" s="5" t="s">
        <v>1</v>
      </c>
      <c r="B2" s="1"/>
      <c r="C2" s="383"/>
      <c r="D2" s="383"/>
      <c r="E2" s="349"/>
      <c r="F2" s="349"/>
      <c r="G2" s="349"/>
      <c r="H2" s="349"/>
      <c r="I2" s="344"/>
      <c r="L2" s="349"/>
      <c r="M2" s="349"/>
    </row>
    <row r="3">
      <c r="A3" s="384" t="s">
        <v>663</v>
      </c>
      <c r="E3" s="349"/>
      <c r="F3" s="349"/>
      <c r="G3" s="349"/>
      <c r="H3" s="349"/>
      <c r="L3" s="349"/>
      <c r="M3" s="349"/>
    </row>
    <row r="4">
      <c r="A4" s="385" t="s">
        <v>3</v>
      </c>
      <c r="B4" s="10"/>
      <c r="C4" s="383"/>
      <c r="D4" s="383"/>
      <c r="E4" s="349"/>
      <c r="F4" s="349"/>
      <c r="G4" s="349"/>
      <c r="H4" s="349"/>
      <c r="L4" s="349"/>
      <c r="M4" s="349"/>
    </row>
    <row r="5">
      <c r="A5" s="385" t="s">
        <v>4</v>
      </c>
      <c r="B5" s="10"/>
      <c r="C5" s="383"/>
      <c r="D5" s="383"/>
      <c r="E5" s="349"/>
      <c r="F5" s="349"/>
      <c r="G5" s="349"/>
      <c r="H5" s="349"/>
      <c r="I5" s="349"/>
      <c r="J5" s="349"/>
      <c r="K5" s="349"/>
      <c r="L5" s="349"/>
      <c r="M5" s="349"/>
    </row>
    <row r="6" ht="20.25" customHeight="1">
      <c r="A6" s="10"/>
      <c r="B6" s="10"/>
      <c r="C6" s="383"/>
      <c r="D6" s="383"/>
      <c r="E6" s="349"/>
      <c r="F6" s="349"/>
      <c r="G6" s="349"/>
      <c r="H6" s="349"/>
      <c r="I6" s="349"/>
      <c r="J6" s="349"/>
      <c r="K6" s="349"/>
      <c r="L6" s="349"/>
      <c r="M6" s="349"/>
    </row>
    <row r="7" ht="21.75" customHeight="1">
      <c r="A7" s="13" t="s">
        <v>5</v>
      </c>
      <c r="B7" s="13" t="s">
        <v>6</v>
      </c>
      <c r="C7" s="14" t="s">
        <v>7</v>
      </c>
      <c r="D7" s="15"/>
      <c r="E7" s="16" t="s">
        <v>8</v>
      </c>
      <c r="F7" s="15"/>
      <c r="G7" s="17" t="s">
        <v>9</v>
      </c>
      <c r="H7" s="18"/>
      <c r="I7" s="18"/>
      <c r="J7" s="18"/>
      <c r="K7" s="18"/>
      <c r="L7" s="19"/>
      <c r="M7" s="20" t="s">
        <v>664</v>
      </c>
    </row>
    <row r="8" ht="23.25" customHeight="1">
      <c r="A8" s="21"/>
      <c r="B8" s="21"/>
      <c r="C8" s="22"/>
      <c r="D8" s="23"/>
      <c r="E8" s="22"/>
      <c r="F8" s="23"/>
      <c r="G8" s="24" t="s">
        <v>11</v>
      </c>
      <c r="H8" s="19"/>
      <c r="I8" s="24" t="s">
        <v>12</v>
      </c>
      <c r="J8" s="19"/>
      <c r="K8" s="24" t="s">
        <v>13</v>
      </c>
      <c r="L8" s="19"/>
      <c r="M8" s="21"/>
    </row>
    <row r="9" ht="20.25" customHeight="1">
      <c r="A9" s="21"/>
      <c r="B9" s="21"/>
      <c r="C9" s="25" t="s">
        <v>14</v>
      </c>
      <c r="D9" s="26" t="s">
        <v>15</v>
      </c>
      <c r="E9" s="27" t="s">
        <v>16</v>
      </c>
      <c r="F9" s="15"/>
      <c r="G9" s="28" t="s">
        <v>17</v>
      </c>
      <c r="H9" s="29" t="s">
        <v>18</v>
      </c>
      <c r="I9" s="28" t="s">
        <v>17</v>
      </c>
      <c r="J9" s="29" t="s">
        <v>18</v>
      </c>
      <c r="K9" s="28" t="s">
        <v>17</v>
      </c>
      <c r="L9" s="29" t="s">
        <v>18</v>
      </c>
      <c r="M9" s="21"/>
    </row>
    <row r="10" ht="64.5" customHeight="1">
      <c r="A10" s="30"/>
      <c r="B10" s="30"/>
      <c r="C10" s="30"/>
      <c r="D10" s="30"/>
      <c r="E10" s="31" t="s">
        <v>17</v>
      </c>
      <c r="F10" s="29" t="s">
        <v>18</v>
      </c>
      <c r="G10" s="30"/>
      <c r="H10" s="30"/>
      <c r="I10" s="30"/>
      <c r="J10" s="30"/>
      <c r="K10" s="30"/>
      <c r="L10" s="30"/>
      <c r="M10" s="30"/>
    </row>
    <row r="11" ht="20.25" customHeight="1">
      <c r="A11" s="83" t="s">
        <v>625</v>
      </c>
      <c r="B11" s="39"/>
      <c r="C11" s="327"/>
      <c r="D11" s="327"/>
      <c r="E11" s="229"/>
      <c r="F11" s="293"/>
      <c r="G11" s="293"/>
      <c r="H11" s="293"/>
      <c r="I11" s="293"/>
      <c r="J11" s="293"/>
      <c r="K11" s="293"/>
      <c r="L11" s="293"/>
      <c r="M11" s="293"/>
    </row>
    <row r="12" ht="20.25" customHeight="1">
      <c r="A12" s="83" t="s">
        <v>665</v>
      </c>
      <c r="B12" s="39"/>
      <c r="C12" s="327"/>
      <c r="D12" s="327"/>
      <c r="E12" s="229"/>
      <c r="F12" s="293"/>
      <c r="G12" s="293"/>
      <c r="H12" s="293"/>
      <c r="I12" s="293"/>
      <c r="J12" s="293"/>
      <c r="K12" s="293"/>
      <c r="L12" s="293"/>
      <c r="M12" s="293"/>
    </row>
    <row r="13" ht="20.25" customHeight="1">
      <c r="A13" s="39" t="s">
        <v>666</v>
      </c>
      <c r="B13" s="39"/>
      <c r="C13" s="386"/>
      <c r="D13" s="386"/>
      <c r="E13" s="229">
        <v>1.0</v>
      </c>
      <c r="F13" s="293">
        <v>75.0</v>
      </c>
      <c r="G13" s="293"/>
      <c r="H13" s="293"/>
      <c r="I13" s="293"/>
      <c r="J13" s="293"/>
      <c r="K13" s="293"/>
      <c r="L13" s="293"/>
      <c r="M13" s="293"/>
    </row>
    <row r="14" ht="20.25" customHeight="1">
      <c r="A14" s="360" t="s">
        <v>667</v>
      </c>
      <c r="B14" s="81" t="s">
        <v>33</v>
      </c>
      <c r="C14" s="387"/>
      <c r="D14" s="387"/>
      <c r="E14" s="229">
        <v>1.0</v>
      </c>
      <c r="F14" s="293"/>
      <c r="G14" s="293"/>
      <c r="H14" s="293"/>
      <c r="I14" s="293"/>
      <c r="J14" s="293"/>
      <c r="K14" s="293"/>
      <c r="L14" s="293"/>
      <c r="M14" s="293"/>
    </row>
    <row r="15" ht="20.25" customHeight="1">
      <c r="A15" s="360" t="s">
        <v>668</v>
      </c>
      <c r="B15" s="81" t="s">
        <v>33</v>
      </c>
      <c r="C15" s="387"/>
      <c r="D15" s="387"/>
      <c r="E15" s="229">
        <v>25.0</v>
      </c>
      <c r="F15" s="293"/>
      <c r="G15" s="293"/>
      <c r="H15" s="293"/>
      <c r="I15" s="293"/>
      <c r="J15" s="293"/>
      <c r="K15" s="293"/>
      <c r="L15" s="293"/>
      <c r="M15" s="293"/>
    </row>
    <row r="16" ht="43.5" customHeight="1">
      <c r="A16" s="39" t="s">
        <v>669</v>
      </c>
      <c r="B16" s="39"/>
      <c r="C16" s="386"/>
      <c r="D16" s="386"/>
      <c r="E16" s="229">
        <v>4.0</v>
      </c>
      <c r="F16" s="293">
        <v>175.0</v>
      </c>
      <c r="G16" s="293"/>
      <c r="H16" s="293"/>
      <c r="I16" s="388">
        <v>1.0</v>
      </c>
      <c r="J16" s="315">
        <v>500.0</v>
      </c>
      <c r="K16" s="388">
        <v>1.0</v>
      </c>
      <c r="L16" s="315">
        <v>500.0</v>
      </c>
      <c r="M16" s="315" t="s">
        <v>670</v>
      </c>
    </row>
    <row r="17" ht="20.25" customHeight="1">
      <c r="A17" s="360" t="s">
        <v>671</v>
      </c>
      <c r="B17" s="81" t="s">
        <v>33</v>
      </c>
      <c r="C17" s="387"/>
      <c r="D17" s="387"/>
      <c r="E17" s="229"/>
      <c r="F17" s="293"/>
      <c r="G17" s="293"/>
      <c r="H17" s="293"/>
      <c r="I17" s="389"/>
      <c r="J17" s="293"/>
      <c r="K17" s="389"/>
      <c r="L17" s="293"/>
      <c r="M17" s="293"/>
    </row>
    <row r="18" ht="20.25" customHeight="1">
      <c r="A18" s="39" t="s">
        <v>672</v>
      </c>
      <c r="B18" s="39"/>
      <c r="C18" s="386"/>
      <c r="D18" s="386"/>
      <c r="E18" s="229"/>
      <c r="F18" s="293"/>
      <c r="G18" s="293"/>
      <c r="H18" s="293"/>
      <c r="I18" s="389"/>
      <c r="J18" s="293"/>
      <c r="K18" s="389"/>
      <c r="L18" s="293"/>
      <c r="M18" s="293"/>
    </row>
    <row r="19" ht="20.25" customHeight="1">
      <c r="A19" s="360" t="s">
        <v>673</v>
      </c>
      <c r="B19" s="81" t="s">
        <v>33</v>
      </c>
      <c r="C19" s="387"/>
      <c r="D19" s="387"/>
      <c r="E19" s="229"/>
      <c r="F19" s="293"/>
      <c r="G19" s="293"/>
      <c r="H19" s="293"/>
      <c r="I19" s="389"/>
      <c r="J19" s="293"/>
      <c r="K19" s="389"/>
      <c r="L19" s="293"/>
      <c r="M19" s="293"/>
    </row>
    <row r="20" ht="20.25" customHeight="1">
      <c r="A20" s="390" t="s">
        <v>674</v>
      </c>
      <c r="B20" s="391" t="s">
        <v>33</v>
      </c>
      <c r="C20" s="392"/>
      <c r="D20" s="392"/>
      <c r="E20" s="84"/>
      <c r="F20" s="66"/>
      <c r="G20" s="66"/>
      <c r="H20" s="66"/>
      <c r="I20" s="393">
        <v>1.0</v>
      </c>
      <c r="J20" s="394">
        <v>50.0</v>
      </c>
      <c r="K20" s="393">
        <v>1.0</v>
      </c>
      <c r="L20" s="394">
        <v>50.0</v>
      </c>
      <c r="M20" s="395" t="s">
        <v>670</v>
      </c>
    </row>
    <row r="21" ht="20.25" customHeight="1">
      <c r="A21" s="396" t="s">
        <v>675</v>
      </c>
      <c r="B21" s="391" t="s">
        <v>33</v>
      </c>
      <c r="C21" s="392"/>
      <c r="D21" s="392"/>
      <c r="E21" s="84"/>
      <c r="F21" s="66"/>
      <c r="G21" s="66"/>
      <c r="H21" s="66"/>
      <c r="I21" s="393">
        <v>1.0</v>
      </c>
      <c r="J21" s="394">
        <v>50.0</v>
      </c>
      <c r="K21" s="393">
        <v>1.0</v>
      </c>
      <c r="L21" s="394">
        <v>50.0</v>
      </c>
      <c r="M21" s="395" t="s">
        <v>670</v>
      </c>
    </row>
    <row r="22" ht="20.25" customHeight="1">
      <c r="A22" s="397" t="s">
        <v>676</v>
      </c>
      <c r="B22" s="84"/>
      <c r="C22" s="392"/>
      <c r="D22" s="392"/>
      <c r="E22" s="84"/>
      <c r="F22" s="66"/>
      <c r="G22" s="66"/>
      <c r="H22" s="66"/>
      <c r="I22" s="169"/>
      <c r="J22" s="66"/>
      <c r="K22" s="169"/>
      <c r="L22" s="66"/>
      <c r="M22" s="66"/>
    </row>
    <row r="23" ht="20.25" customHeight="1">
      <c r="A23" s="398" t="s">
        <v>677</v>
      </c>
      <c r="B23" s="399" t="s">
        <v>33</v>
      </c>
      <c r="C23" s="387"/>
      <c r="D23" s="387"/>
      <c r="E23" s="229"/>
      <c r="F23" s="293"/>
      <c r="G23" s="293"/>
      <c r="H23" s="293"/>
      <c r="I23" s="388">
        <v>5.0</v>
      </c>
      <c r="J23" s="315">
        <v>5500.0</v>
      </c>
      <c r="K23" s="388">
        <v>5.0</v>
      </c>
      <c r="L23" s="315">
        <v>5500.0</v>
      </c>
      <c r="M23" s="315" t="s">
        <v>678</v>
      </c>
    </row>
    <row r="24" ht="20.25" hidden="1" customHeight="1">
      <c r="A24" s="83" t="s">
        <v>679</v>
      </c>
      <c r="B24" s="39"/>
      <c r="C24" s="387"/>
      <c r="D24" s="387"/>
      <c r="E24" s="229"/>
      <c r="F24" s="293"/>
      <c r="G24" s="293"/>
      <c r="H24" s="293"/>
      <c r="I24" s="293"/>
      <c r="J24" s="293"/>
      <c r="K24" s="293"/>
      <c r="L24" s="293"/>
      <c r="M24" s="293"/>
    </row>
    <row r="25" ht="20.25" hidden="1" customHeight="1">
      <c r="A25" s="39" t="s">
        <v>680</v>
      </c>
      <c r="B25" s="39"/>
      <c r="C25" s="387"/>
      <c r="D25" s="387"/>
      <c r="E25" s="229"/>
      <c r="F25" s="293"/>
      <c r="G25" s="293"/>
      <c r="H25" s="293"/>
      <c r="I25" s="293"/>
      <c r="J25" s="293"/>
      <c r="K25" s="293"/>
      <c r="L25" s="293"/>
      <c r="M25" s="293"/>
    </row>
    <row r="26" ht="20.25" hidden="1" customHeight="1">
      <c r="A26" s="354" t="s">
        <v>681</v>
      </c>
      <c r="B26" s="81" t="s">
        <v>33</v>
      </c>
      <c r="C26" s="387"/>
      <c r="D26" s="387"/>
      <c r="E26" s="229"/>
      <c r="F26" s="293"/>
      <c r="G26" s="293"/>
      <c r="H26" s="293"/>
      <c r="I26" s="293"/>
      <c r="J26" s="293"/>
      <c r="K26" s="293"/>
      <c r="L26" s="293"/>
      <c r="M26" s="293"/>
    </row>
    <row r="27" ht="20.25" hidden="1" customHeight="1">
      <c r="A27" s="39"/>
      <c r="B27" s="39"/>
      <c r="C27" s="387"/>
      <c r="D27" s="387"/>
      <c r="E27" s="229"/>
      <c r="F27" s="293"/>
      <c r="G27" s="293"/>
      <c r="H27" s="293"/>
      <c r="I27" s="293"/>
      <c r="J27" s="293"/>
      <c r="K27" s="293"/>
      <c r="L27" s="293"/>
      <c r="M27" s="293"/>
    </row>
    <row r="28" ht="20.25" customHeight="1">
      <c r="A28" s="91" t="s">
        <v>69</v>
      </c>
      <c r="B28" s="39"/>
      <c r="C28" s="327"/>
      <c r="D28" s="327"/>
      <c r="E28" s="261"/>
      <c r="F28" s="261">
        <f>F13+F16</f>
        <v>250</v>
      </c>
      <c r="G28" s="261"/>
      <c r="H28" s="302">
        <v>0.0</v>
      </c>
      <c r="I28" s="261"/>
      <c r="J28" s="261">
        <f>sum(J16:J23)</f>
        <v>6100</v>
      </c>
      <c r="K28" s="261"/>
      <c r="L28" s="261">
        <f>sum(L16:L23)</f>
        <v>6100</v>
      </c>
      <c r="M28" s="261"/>
    </row>
    <row r="29" ht="20.25" customHeight="1">
      <c r="A29" s="10"/>
      <c r="B29" s="400"/>
      <c r="C29" s="401"/>
      <c r="D29" s="401"/>
      <c r="E29" s="349"/>
      <c r="F29" s="349"/>
      <c r="G29" s="349"/>
      <c r="H29" s="349"/>
      <c r="I29" s="349"/>
      <c r="J29" s="349"/>
      <c r="K29" s="349"/>
      <c r="L29" s="349"/>
      <c r="M29" s="349"/>
    </row>
    <row r="30" ht="23.25" customHeight="1">
      <c r="A30" s="102" t="s">
        <v>70</v>
      </c>
      <c r="B30" s="12"/>
      <c r="C30" s="377"/>
      <c r="D30" s="377"/>
      <c r="E30" s="378" t="s">
        <v>83</v>
      </c>
      <c r="F30" s="377"/>
      <c r="G30" s="377"/>
      <c r="H30" s="377"/>
      <c r="I30" s="377"/>
      <c r="J30" s="374"/>
      <c r="K30" s="374"/>
      <c r="L30" s="108" t="s">
        <v>73</v>
      </c>
      <c r="M30" s="374"/>
    </row>
    <row r="31" ht="16.5" customHeight="1">
      <c r="A31" s="104"/>
      <c r="B31" s="12"/>
      <c r="C31" s="377"/>
      <c r="D31" s="377"/>
      <c r="E31" s="371"/>
      <c r="F31" s="377"/>
      <c r="G31" s="377"/>
      <c r="H31" s="377"/>
      <c r="I31" s="377"/>
      <c r="J31" s="374"/>
      <c r="K31" s="374"/>
      <c r="L31" s="373"/>
      <c r="M31" s="374"/>
    </row>
    <row r="32" ht="16.5" customHeight="1">
      <c r="A32" s="104"/>
      <c r="B32" s="12"/>
      <c r="C32" s="377"/>
      <c r="D32" s="377"/>
      <c r="E32" s="371"/>
      <c r="F32" s="377"/>
      <c r="G32" s="377"/>
      <c r="H32" s="377"/>
      <c r="I32" s="377"/>
      <c r="J32" s="374"/>
      <c r="K32" s="374"/>
      <c r="L32" s="373"/>
      <c r="M32" s="374"/>
    </row>
    <row r="33" ht="16.5" customHeight="1">
      <c r="A33" s="377"/>
      <c r="B33" s="12"/>
      <c r="C33" s="377"/>
      <c r="D33" s="377"/>
      <c r="E33" s="371"/>
      <c r="F33" s="12"/>
      <c r="G33" s="12"/>
      <c r="H33" s="12"/>
      <c r="I33" s="377"/>
      <c r="J33" s="12"/>
      <c r="K33" s="12"/>
      <c r="L33" s="373"/>
      <c r="M33" s="12"/>
    </row>
    <row r="34" ht="16.5" customHeight="1">
      <c r="A34" s="104"/>
      <c r="B34" s="12"/>
      <c r="C34" s="377"/>
      <c r="D34" s="377"/>
      <c r="E34" s="371"/>
      <c r="F34" s="12"/>
      <c r="G34" s="12"/>
      <c r="H34" s="12"/>
      <c r="I34" s="377"/>
      <c r="J34" s="12"/>
      <c r="K34" s="12"/>
      <c r="L34" s="373"/>
      <c r="M34" s="12"/>
    </row>
    <row r="35" ht="20.25" customHeight="1">
      <c r="A35" s="106" t="s">
        <v>75</v>
      </c>
      <c r="B35" s="12"/>
      <c r="C35" s="377"/>
      <c r="D35" s="377"/>
      <c r="E35" s="380" t="s">
        <v>76</v>
      </c>
      <c r="F35" s="12"/>
      <c r="G35" s="12"/>
      <c r="H35" s="12"/>
      <c r="I35" s="377"/>
      <c r="J35" s="12"/>
      <c r="K35" s="12"/>
      <c r="L35" s="106" t="s">
        <v>77</v>
      </c>
      <c r="M35" s="12"/>
    </row>
    <row r="36" ht="16.5" customHeight="1">
      <c r="A36" s="108" t="s">
        <v>79</v>
      </c>
      <c r="B36" s="12"/>
      <c r="C36" s="377"/>
      <c r="D36" s="377"/>
      <c r="E36" s="378" t="s">
        <v>80</v>
      </c>
      <c r="F36" s="12"/>
      <c r="G36" s="12"/>
      <c r="H36" s="12"/>
      <c r="I36" s="377"/>
      <c r="J36" s="12"/>
      <c r="K36" s="12"/>
      <c r="L36" s="108" t="s">
        <v>81</v>
      </c>
      <c r="M36" s="12"/>
    </row>
    <row r="37" ht="20.25" customHeight="1">
      <c r="A37" s="402"/>
      <c r="B37" s="403"/>
      <c r="C37" s="404"/>
      <c r="D37" s="404"/>
      <c r="E37" s="349"/>
      <c r="F37" s="349"/>
      <c r="G37" s="349"/>
      <c r="H37" s="349"/>
      <c r="I37" s="349"/>
      <c r="J37" s="349"/>
      <c r="K37" s="349"/>
      <c r="L37" s="349"/>
      <c r="M37" s="349"/>
    </row>
    <row r="38" ht="20.25" customHeight="1">
      <c r="A38" s="10"/>
      <c r="B38" s="400"/>
      <c r="C38" s="401"/>
      <c r="D38" s="401"/>
      <c r="E38" s="349"/>
      <c r="F38" s="349"/>
      <c r="G38" s="349"/>
      <c r="H38" s="349"/>
      <c r="I38" s="349"/>
      <c r="J38" s="349"/>
      <c r="K38" s="349"/>
      <c r="L38" s="349"/>
      <c r="M38" s="349"/>
    </row>
    <row r="39" ht="20.25" customHeight="1">
      <c r="A39" s="12"/>
      <c r="B39" s="400"/>
      <c r="C39" s="304"/>
      <c r="D39" s="304"/>
      <c r="E39" s="349"/>
      <c r="F39" s="349"/>
      <c r="G39" s="349"/>
      <c r="H39" s="349"/>
      <c r="I39" s="349"/>
      <c r="J39" s="349"/>
      <c r="K39" s="349"/>
      <c r="L39" s="349"/>
      <c r="M39" s="349"/>
    </row>
    <row r="40" ht="20.25" customHeight="1">
      <c r="B40" s="405"/>
      <c r="C40" s="304"/>
      <c r="D40" s="304"/>
      <c r="E40" s="349"/>
      <c r="F40" s="349"/>
      <c r="G40" s="349"/>
      <c r="H40" s="349"/>
      <c r="I40" s="349"/>
      <c r="J40" s="349"/>
      <c r="K40" s="349"/>
      <c r="L40" s="349"/>
      <c r="M40" s="349"/>
    </row>
    <row r="41" ht="20.25" customHeight="1">
      <c r="A41" s="12"/>
      <c r="B41" s="405"/>
      <c r="C41" s="304"/>
      <c r="D41" s="304"/>
      <c r="E41" s="349"/>
      <c r="F41" s="349"/>
      <c r="G41" s="349"/>
      <c r="H41" s="349"/>
      <c r="I41" s="349"/>
      <c r="J41" s="349"/>
      <c r="K41" s="349"/>
      <c r="L41" s="349"/>
      <c r="M41" s="349"/>
    </row>
    <row r="42" ht="20.25" customHeight="1">
      <c r="A42" s="12"/>
      <c r="B42" s="405"/>
      <c r="C42" s="304"/>
      <c r="D42" s="304"/>
      <c r="E42" s="349"/>
      <c r="F42" s="349"/>
      <c r="G42" s="349"/>
      <c r="H42" s="349"/>
      <c r="I42" s="349"/>
      <c r="J42" s="349"/>
      <c r="K42" s="349"/>
      <c r="L42" s="349"/>
      <c r="M42" s="349"/>
    </row>
    <row r="43" ht="20.25" customHeight="1">
      <c r="A43" s="12"/>
      <c r="B43" s="405"/>
      <c r="C43" s="304"/>
      <c r="D43" s="304"/>
      <c r="E43" s="349"/>
      <c r="F43" s="349"/>
      <c r="G43" s="349"/>
      <c r="H43" s="349"/>
      <c r="I43" s="349"/>
      <c r="J43" s="349"/>
      <c r="K43" s="349"/>
      <c r="L43" s="349"/>
      <c r="M43" s="349"/>
    </row>
    <row r="44" ht="20.25" customHeight="1">
      <c r="A44" s="12"/>
      <c r="B44" s="406"/>
      <c r="C44" s="304"/>
      <c r="D44" s="304"/>
      <c r="E44" s="349"/>
      <c r="F44" s="349"/>
      <c r="G44" s="349"/>
      <c r="H44" s="349"/>
      <c r="I44" s="349"/>
      <c r="J44" s="349"/>
      <c r="K44" s="349"/>
      <c r="L44" s="349"/>
      <c r="M44" s="349"/>
    </row>
    <row r="45" ht="20.25" customHeight="1">
      <c r="A45" s="12"/>
      <c r="B45" s="400"/>
      <c r="C45" s="304"/>
      <c r="D45" s="304"/>
      <c r="E45" s="349"/>
      <c r="F45" s="349"/>
      <c r="G45" s="349"/>
      <c r="H45" s="349"/>
      <c r="I45" s="349"/>
      <c r="J45" s="349"/>
      <c r="K45" s="349"/>
      <c r="L45" s="349"/>
      <c r="M45" s="349"/>
    </row>
    <row r="46" ht="20.25" customHeight="1">
      <c r="A46" s="12"/>
      <c r="B46" s="12"/>
      <c r="C46" s="304"/>
      <c r="D46" s="304"/>
      <c r="E46" s="349"/>
      <c r="F46" s="349"/>
      <c r="G46" s="349"/>
      <c r="H46" s="349"/>
      <c r="I46" s="349"/>
      <c r="J46" s="349"/>
      <c r="K46" s="349"/>
      <c r="L46" s="349"/>
      <c r="M46" s="349"/>
    </row>
    <row r="47" ht="20.25" customHeight="1">
      <c r="A47" s="12"/>
      <c r="B47" s="12"/>
      <c r="C47" s="304"/>
      <c r="D47" s="304"/>
      <c r="E47" s="349"/>
      <c r="F47" s="349"/>
      <c r="G47" s="349"/>
      <c r="H47" s="349"/>
      <c r="I47" s="349"/>
      <c r="J47" s="349"/>
      <c r="K47" s="349"/>
      <c r="L47" s="349"/>
      <c r="M47" s="349"/>
    </row>
    <row r="48" ht="20.25" customHeight="1">
      <c r="A48" s="12"/>
      <c r="B48" s="12"/>
      <c r="C48" s="304"/>
      <c r="D48" s="304"/>
      <c r="E48" s="349"/>
      <c r="F48" s="349"/>
      <c r="G48" s="349"/>
      <c r="H48" s="349"/>
      <c r="I48" s="349"/>
      <c r="J48" s="349"/>
      <c r="K48" s="349"/>
      <c r="L48" s="349"/>
      <c r="M48" s="349"/>
    </row>
    <row r="49" ht="20.25" customHeight="1">
      <c r="A49" s="12"/>
      <c r="B49" s="12"/>
      <c r="C49" s="304"/>
      <c r="D49" s="304"/>
      <c r="E49" s="349"/>
      <c r="F49" s="349"/>
      <c r="G49" s="349"/>
      <c r="H49" s="349"/>
      <c r="I49" s="349"/>
      <c r="J49" s="349"/>
      <c r="K49" s="349"/>
      <c r="L49" s="349"/>
      <c r="M49" s="349"/>
    </row>
    <row r="50" ht="20.25" customHeight="1">
      <c r="A50" s="12"/>
      <c r="B50" s="12"/>
      <c r="C50" s="304"/>
      <c r="D50" s="304"/>
      <c r="E50" s="349"/>
      <c r="F50" s="349"/>
      <c r="G50" s="349"/>
      <c r="H50" s="349"/>
      <c r="I50" s="349"/>
      <c r="J50" s="349"/>
      <c r="K50" s="349"/>
      <c r="L50" s="349"/>
      <c r="M50" s="349"/>
    </row>
    <row r="51" ht="20.25" customHeight="1">
      <c r="A51" s="12"/>
      <c r="B51" s="12"/>
      <c r="C51" s="304"/>
      <c r="D51" s="304"/>
      <c r="E51" s="349"/>
      <c r="F51" s="349"/>
      <c r="G51" s="349"/>
      <c r="H51" s="349"/>
      <c r="I51" s="349"/>
      <c r="J51" s="349"/>
      <c r="K51" s="349"/>
      <c r="L51" s="349"/>
      <c r="M51" s="349"/>
    </row>
    <row r="52" ht="20.25" customHeight="1">
      <c r="A52" s="12"/>
      <c r="B52" s="12"/>
      <c r="C52" s="304"/>
      <c r="D52" s="304"/>
      <c r="E52" s="349"/>
      <c r="F52" s="349"/>
      <c r="G52" s="349"/>
      <c r="H52" s="349"/>
      <c r="I52" s="349"/>
      <c r="J52" s="349"/>
      <c r="K52" s="349"/>
      <c r="L52" s="349"/>
      <c r="M52" s="349"/>
    </row>
    <row r="53" ht="20.25" customHeight="1">
      <c r="A53" s="12"/>
      <c r="B53" s="12"/>
      <c r="C53" s="304"/>
      <c r="D53" s="304"/>
      <c r="E53" s="349"/>
      <c r="F53" s="349"/>
      <c r="G53" s="349"/>
      <c r="H53" s="349"/>
      <c r="I53" s="349"/>
      <c r="J53" s="349"/>
      <c r="K53" s="349"/>
      <c r="L53" s="349"/>
      <c r="M53" s="349"/>
    </row>
    <row r="54" ht="20.25" customHeight="1">
      <c r="A54" s="12"/>
      <c r="B54" s="12"/>
      <c r="C54" s="304"/>
      <c r="D54" s="304"/>
      <c r="E54" s="349"/>
      <c r="F54" s="349"/>
      <c r="G54" s="349"/>
      <c r="H54" s="349"/>
      <c r="I54" s="349"/>
      <c r="J54" s="349"/>
      <c r="K54" s="349"/>
      <c r="L54" s="349"/>
      <c r="M54" s="349"/>
    </row>
    <row r="55" ht="20.25" customHeight="1">
      <c r="A55" s="12"/>
      <c r="B55" s="12"/>
      <c r="C55" s="304"/>
      <c r="D55" s="304"/>
      <c r="E55" s="349"/>
      <c r="F55" s="349"/>
      <c r="G55" s="349"/>
      <c r="H55" s="349"/>
      <c r="I55" s="349"/>
      <c r="J55" s="349"/>
      <c r="K55" s="349"/>
      <c r="L55" s="349"/>
      <c r="M55" s="349"/>
    </row>
    <row r="56" ht="20.25" customHeight="1">
      <c r="A56" s="12"/>
      <c r="B56" s="12"/>
      <c r="C56" s="304"/>
      <c r="D56" s="304"/>
      <c r="E56" s="349"/>
      <c r="F56" s="349"/>
      <c r="G56" s="349"/>
      <c r="H56" s="349"/>
      <c r="I56" s="349"/>
      <c r="J56" s="349"/>
      <c r="K56" s="349"/>
      <c r="L56" s="349"/>
      <c r="M56" s="349"/>
    </row>
    <row r="57" ht="20.25" customHeight="1">
      <c r="A57" s="12"/>
      <c r="B57" s="12"/>
      <c r="C57" s="304"/>
      <c r="D57" s="304"/>
      <c r="E57" s="349"/>
      <c r="F57" s="349"/>
      <c r="G57" s="349"/>
      <c r="H57" s="349"/>
      <c r="I57" s="349"/>
      <c r="J57" s="349"/>
      <c r="K57" s="349"/>
      <c r="L57" s="349"/>
      <c r="M57" s="349"/>
    </row>
    <row r="58" ht="20.25" customHeight="1">
      <c r="A58" s="12"/>
      <c r="B58" s="12"/>
      <c r="C58" s="304"/>
      <c r="D58" s="304"/>
      <c r="E58" s="349"/>
      <c r="F58" s="349"/>
      <c r="G58" s="349"/>
      <c r="H58" s="349"/>
      <c r="I58" s="349"/>
      <c r="J58" s="349"/>
      <c r="K58" s="349"/>
      <c r="L58" s="349"/>
      <c r="M58" s="349"/>
    </row>
    <row r="59" ht="20.25" customHeight="1">
      <c r="A59" s="12"/>
      <c r="B59" s="12"/>
      <c r="C59" s="304"/>
      <c r="D59" s="304"/>
      <c r="E59" s="349"/>
      <c r="F59" s="349"/>
      <c r="G59" s="349"/>
      <c r="H59" s="349"/>
      <c r="I59" s="349"/>
      <c r="J59" s="349"/>
      <c r="K59" s="349"/>
      <c r="L59" s="349"/>
      <c r="M59" s="349"/>
    </row>
    <row r="60" ht="20.25" customHeight="1">
      <c r="A60" s="12"/>
      <c r="B60" s="12"/>
      <c r="C60" s="304"/>
      <c r="D60" s="304"/>
      <c r="E60" s="349"/>
      <c r="F60" s="349"/>
      <c r="G60" s="349"/>
      <c r="H60" s="349"/>
      <c r="I60" s="349"/>
      <c r="J60" s="349"/>
      <c r="K60" s="349"/>
      <c r="L60" s="349"/>
      <c r="M60" s="349"/>
    </row>
    <row r="61" ht="20.25" customHeight="1">
      <c r="A61" s="12"/>
      <c r="B61" s="12"/>
      <c r="C61" s="304"/>
      <c r="D61" s="304"/>
      <c r="E61" s="349"/>
      <c r="F61" s="349"/>
      <c r="G61" s="349"/>
      <c r="H61" s="349"/>
      <c r="I61" s="349"/>
      <c r="J61" s="349"/>
      <c r="K61" s="349"/>
      <c r="L61" s="349"/>
      <c r="M61" s="349"/>
    </row>
    <row r="62" ht="20.25" customHeight="1">
      <c r="A62" s="12"/>
      <c r="B62" s="12"/>
      <c r="C62" s="304"/>
      <c r="D62" s="304"/>
      <c r="E62" s="349"/>
      <c r="F62" s="349"/>
      <c r="G62" s="349"/>
      <c r="H62" s="349"/>
      <c r="I62" s="349"/>
      <c r="J62" s="349"/>
      <c r="K62" s="349"/>
      <c r="L62" s="349"/>
      <c r="M62" s="349"/>
    </row>
    <row r="63" ht="20.25" customHeight="1">
      <c r="A63" s="12"/>
      <c r="B63" s="12"/>
      <c r="C63" s="304"/>
      <c r="D63" s="304"/>
      <c r="E63" s="349"/>
      <c r="F63" s="349"/>
      <c r="G63" s="349"/>
      <c r="H63" s="349"/>
      <c r="I63" s="349"/>
      <c r="J63" s="349"/>
      <c r="K63" s="349"/>
      <c r="L63" s="349"/>
      <c r="M63" s="349"/>
    </row>
    <row r="64" ht="20.25" customHeight="1">
      <c r="A64" s="12"/>
      <c r="B64" s="12"/>
      <c r="C64" s="304"/>
      <c r="D64" s="304"/>
      <c r="E64" s="349"/>
      <c r="F64" s="349"/>
      <c r="G64" s="349"/>
      <c r="H64" s="349"/>
      <c r="I64" s="349"/>
      <c r="J64" s="349"/>
      <c r="K64" s="349"/>
      <c r="L64" s="349"/>
      <c r="M64" s="349"/>
    </row>
    <row r="65" ht="20.25" customHeight="1">
      <c r="A65" s="12"/>
      <c r="B65" s="12"/>
      <c r="C65" s="304"/>
      <c r="D65" s="304"/>
      <c r="E65" s="349"/>
      <c r="F65" s="349"/>
      <c r="G65" s="349"/>
      <c r="H65" s="349"/>
      <c r="I65" s="349"/>
      <c r="J65" s="349"/>
      <c r="K65" s="349"/>
      <c r="L65" s="349"/>
      <c r="M65" s="349"/>
    </row>
    <row r="66" ht="20.25" customHeight="1">
      <c r="A66" s="12"/>
      <c r="B66" s="12"/>
      <c r="C66" s="304"/>
      <c r="D66" s="304"/>
      <c r="E66" s="349"/>
      <c r="F66" s="349"/>
      <c r="G66" s="349"/>
      <c r="H66" s="349"/>
      <c r="I66" s="349"/>
      <c r="J66" s="349"/>
      <c r="K66" s="349"/>
      <c r="L66" s="349"/>
      <c r="M66" s="349"/>
    </row>
    <row r="67" ht="20.25" customHeight="1">
      <c r="A67" s="12"/>
      <c r="B67" s="12"/>
      <c r="C67" s="304"/>
      <c r="D67" s="304"/>
      <c r="E67" s="349"/>
      <c r="F67" s="349"/>
      <c r="G67" s="349"/>
      <c r="H67" s="349"/>
      <c r="I67" s="349"/>
      <c r="J67" s="349"/>
      <c r="K67" s="349"/>
      <c r="L67" s="349"/>
      <c r="M67" s="349"/>
    </row>
    <row r="68" ht="20.25" customHeight="1">
      <c r="A68" s="12"/>
      <c r="B68" s="12"/>
      <c r="C68" s="304"/>
      <c r="D68" s="304"/>
      <c r="E68" s="349"/>
      <c r="F68" s="349"/>
      <c r="G68" s="349"/>
      <c r="H68" s="349"/>
      <c r="I68" s="349"/>
      <c r="J68" s="349"/>
      <c r="K68" s="349"/>
      <c r="L68" s="349"/>
      <c r="M68" s="349"/>
    </row>
    <row r="69" ht="20.25" customHeight="1">
      <c r="A69" s="12"/>
      <c r="B69" s="12"/>
      <c r="C69" s="304"/>
      <c r="D69" s="304"/>
      <c r="E69" s="349"/>
      <c r="F69" s="349"/>
      <c r="G69" s="349"/>
      <c r="H69" s="349"/>
      <c r="I69" s="349"/>
      <c r="J69" s="349"/>
      <c r="K69" s="349"/>
      <c r="L69" s="349"/>
      <c r="M69" s="349"/>
    </row>
    <row r="70" ht="20.25" customHeight="1">
      <c r="A70" s="12"/>
      <c r="B70" s="12"/>
      <c r="C70" s="304"/>
      <c r="D70" s="304"/>
      <c r="E70" s="349"/>
      <c r="F70" s="349"/>
      <c r="G70" s="349"/>
      <c r="H70" s="349"/>
      <c r="I70" s="349"/>
      <c r="J70" s="349"/>
      <c r="K70" s="349"/>
      <c r="L70" s="349"/>
      <c r="M70" s="349"/>
    </row>
    <row r="71" ht="20.25" customHeight="1">
      <c r="A71" s="12"/>
      <c r="B71" s="12"/>
      <c r="C71" s="304"/>
      <c r="D71" s="304"/>
      <c r="E71" s="349"/>
      <c r="F71" s="349"/>
      <c r="G71" s="349"/>
      <c r="H71" s="349"/>
      <c r="I71" s="349"/>
      <c r="J71" s="349"/>
      <c r="K71" s="349"/>
      <c r="L71" s="349"/>
      <c r="M71" s="349"/>
    </row>
    <row r="72" ht="20.25" customHeight="1">
      <c r="A72" s="12"/>
      <c r="B72" s="12"/>
      <c r="C72" s="304"/>
      <c r="D72" s="304"/>
      <c r="E72" s="349"/>
      <c r="F72" s="349"/>
      <c r="G72" s="349"/>
      <c r="H72" s="349"/>
      <c r="I72" s="349"/>
      <c r="J72" s="349"/>
      <c r="K72" s="349"/>
      <c r="L72" s="349"/>
      <c r="M72" s="349"/>
    </row>
    <row r="73" ht="20.25" customHeight="1">
      <c r="A73" s="12"/>
      <c r="B73" s="12"/>
      <c r="C73" s="304"/>
      <c r="D73" s="304"/>
      <c r="E73" s="349"/>
      <c r="F73" s="349"/>
      <c r="G73" s="349"/>
      <c r="H73" s="349"/>
      <c r="I73" s="349"/>
      <c r="J73" s="349"/>
      <c r="K73" s="349"/>
      <c r="L73" s="349"/>
      <c r="M73" s="349"/>
    </row>
    <row r="74" ht="20.25" customHeight="1">
      <c r="A74" s="12"/>
      <c r="B74" s="12"/>
      <c r="C74" s="304"/>
      <c r="D74" s="304"/>
      <c r="E74" s="349"/>
      <c r="F74" s="349"/>
      <c r="G74" s="349"/>
      <c r="H74" s="349"/>
      <c r="I74" s="349"/>
      <c r="J74" s="349"/>
      <c r="K74" s="349"/>
      <c r="L74" s="349"/>
      <c r="M74" s="349"/>
    </row>
    <row r="75" ht="20.25" customHeight="1">
      <c r="A75" s="12"/>
      <c r="B75" s="12"/>
      <c r="C75" s="304"/>
      <c r="D75" s="304"/>
      <c r="E75" s="349"/>
      <c r="F75" s="349"/>
      <c r="G75" s="349"/>
      <c r="H75" s="349"/>
      <c r="I75" s="349"/>
      <c r="J75" s="349"/>
      <c r="K75" s="349"/>
      <c r="L75" s="349"/>
      <c r="M75" s="349"/>
    </row>
    <row r="76" ht="20.25" customHeight="1">
      <c r="A76" s="12"/>
      <c r="B76" s="12"/>
      <c r="C76" s="304"/>
      <c r="D76" s="304"/>
      <c r="E76" s="349"/>
      <c r="F76" s="349"/>
      <c r="G76" s="349"/>
      <c r="H76" s="349"/>
      <c r="I76" s="349"/>
      <c r="J76" s="349"/>
      <c r="K76" s="349"/>
      <c r="L76" s="349"/>
      <c r="M76" s="349"/>
    </row>
    <row r="77" ht="20.25" customHeight="1">
      <c r="A77" s="12"/>
      <c r="B77" s="12"/>
      <c r="C77" s="304"/>
      <c r="D77" s="304"/>
      <c r="E77" s="349"/>
      <c r="F77" s="349"/>
      <c r="G77" s="349"/>
      <c r="H77" s="349"/>
      <c r="I77" s="349"/>
      <c r="J77" s="349"/>
      <c r="K77" s="349"/>
      <c r="L77" s="349"/>
      <c r="M77" s="349"/>
    </row>
    <row r="78" ht="20.25" customHeight="1">
      <c r="A78" s="12"/>
      <c r="B78" s="12"/>
      <c r="C78" s="304"/>
      <c r="D78" s="304"/>
      <c r="E78" s="349"/>
      <c r="F78" s="349"/>
      <c r="G78" s="349"/>
      <c r="H78" s="349"/>
      <c r="I78" s="349"/>
      <c r="J78" s="349"/>
      <c r="K78" s="349"/>
      <c r="L78" s="349"/>
      <c r="M78" s="349"/>
    </row>
    <row r="79" ht="20.25" customHeight="1">
      <c r="A79" s="12"/>
      <c r="B79" s="12"/>
      <c r="C79" s="304"/>
      <c r="D79" s="304"/>
      <c r="E79" s="349"/>
      <c r="F79" s="349"/>
      <c r="G79" s="349"/>
      <c r="H79" s="349"/>
      <c r="I79" s="349"/>
      <c r="J79" s="349"/>
      <c r="K79" s="349"/>
      <c r="L79" s="349"/>
      <c r="M79" s="349"/>
    </row>
    <row r="80" ht="20.25" customHeight="1">
      <c r="A80" s="12"/>
      <c r="B80" s="12"/>
      <c r="C80" s="304"/>
      <c r="D80" s="304"/>
      <c r="E80" s="349"/>
      <c r="F80" s="349"/>
      <c r="G80" s="349"/>
      <c r="H80" s="349"/>
      <c r="I80" s="349"/>
      <c r="J80" s="349"/>
      <c r="K80" s="349"/>
      <c r="L80" s="349"/>
      <c r="M80" s="349"/>
    </row>
    <row r="81" ht="20.25" customHeight="1">
      <c r="A81" s="12"/>
      <c r="B81" s="12"/>
      <c r="C81" s="304"/>
      <c r="D81" s="304"/>
      <c r="E81" s="349"/>
      <c r="F81" s="349"/>
      <c r="G81" s="349"/>
      <c r="H81" s="349"/>
      <c r="I81" s="349"/>
      <c r="J81" s="349"/>
      <c r="K81" s="349"/>
      <c r="L81" s="349"/>
      <c r="M81" s="349"/>
    </row>
    <row r="82" ht="20.25" customHeight="1">
      <c r="A82" s="12"/>
      <c r="B82" s="12"/>
      <c r="C82" s="304"/>
      <c r="D82" s="304"/>
      <c r="E82" s="349"/>
      <c r="F82" s="349"/>
      <c r="G82" s="349"/>
      <c r="H82" s="349"/>
      <c r="I82" s="349"/>
      <c r="J82" s="349"/>
      <c r="K82" s="349"/>
      <c r="L82" s="349"/>
      <c r="M82" s="349"/>
    </row>
    <row r="83" ht="20.25" customHeight="1">
      <c r="A83" s="12"/>
      <c r="B83" s="12"/>
      <c r="C83" s="304"/>
      <c r="D83" s="304"/>
      <c r="E83" s="349"/>
      <c r="F83" s="349"/>
      <c r="G83" s="349"/>
      <c r="H83" s="349"/>
      <c r="I83" s="349"/>
      <c r="J83" s="349"/>
      <c r="K83" s="349"/>
      <c r="L83" s="349"/>
      <c r="M83" s="349"/>
    </row>
    <row r="84" ht="20.25" customHeight="1">
      <c r="A84" s="12"/>
      <c r="B84" s="12"/>
      <c r="C84" s="304"/>
      <c r="D84" s="304"/>
      <c r="E84" s="349"/>
      <c r="F84" s="349"/>
      <c r="G84" s="349"/>
      <c r="H84" s="349"/>
      <c r="I84" s="349"/>
      <c r="J84" s="349"/>
      <c r="K84" s="349"/>
      <c r="L84" s="349"/>
      <c r="M84" s="349"/>
    </row>
    <row r="85" ht="20.25" customHeight="1">
      <c r="A85" s="12"/>
      <c r="B85" s="12"/>
      <c r="C85" s="304"/>
      <c r="D85" s="304"/>
      <c r="E85" s="349"/>
      <c r="F85" s="349"/>
      <c r="G85" s="349"/>
      <c r="H85" s="349"/>
      <c r="I85" s="349"/>
      <c r="J85" s="349"/>
      <c r="K85" s="349"/>
      <c r="L85" s="349"/>
      <c r="M85" s="349"/>
    </row>
    <row r="86" ht="20.25" customHeight="1">
      <c r="A86" s="12"/>
      <c r="B86" s="12"/>
      <c r="C86" s="304"/>
      <c r="D86" s="304"/>
      <c r="E86" s="349"/>
      <c r="F86" s="349"/>
      <c r="G86" s="349"/>
      <c r="H86" s="349"/>
      <c r="I86" s="349"/>
      <c r="J86" s="349"/>
      <c r="K86" s="349"/>
      <c r="L86" s="349"/>
      <c r="M86" s="349"/>
    </row>
    <row r="87" ht="20.25" customHeight="1">
      <c r="A87" s="12"/>
      <c r="B87" s="12"/>
      <c r="C87" s="304"/>
      <c r="D87" s="304"/>
      <c r="E87" s="349"/>
      <c r="F87" s="349"/>
      <c r="G87" s="349"/>
      <c r="H87" s="349"/>
      <c r="I87" s="349"/>
      <c r="J87" s="349"/>
      <c r="K87" s="349"/>
      <c r="L87" s="349"/>
      <c r="M87" s="349"/>
    </row>
    <row r="88" ht="20.25" customHeight="1">
      <c r="A88" s="12"/>
      <c r="B88" s="12"/>
      <c r="C88" s="304"/>
      <c r="D88" s="304"/>
      <c r="E88" s="349"/>
      <c r="F88" s="349"/>
      <c r="G88" s="349"/>
      <c r="H88" s="349"/>
      <c r="I88" s="349"/>
      <c r="J88" s="349"/>
      <c r="K88" s="349"/>
      <c r="L88" s="349"/>
      <c r="M88" s="349"/>
    </row>
    <row r="89" ht="20.25" customHeight="1">
      <c r="A89" s="12"/>
      <c r="B89" s="12"/>
      <c r="C89" s="304"/>
      <c r="D89" s="304"/>
      <c r="E89" s="349"/>
      <c r="F89" s="349"/>
      <c r="G89" s="349"/>
      <c r="H89" s="349"/>
      <c r="I89" s="349"/>
      <c r="J89" s="349"/>
      <c r="K89" s="349"/>
      <c r="L89" s="349"/>
      <c r="M89" s="349"/>
    </row>
    <row r="90" ht="20.25" customHeight="1">
      <c r="A90" s="12"/>
      <c r="B90" s="12"/>
      <c r="C90" s="304"/>
      <c r="D90" s="304"/>
      <c r="E90" s="349"/>
      <c r="F90" s="349"/>
      <c r="G90" s="349"/>
      <c r="H90" s="349"/>
      <c r="I90" s="349"/>
      <c r="J90" s="349"/>
      <c r="K90" s="349"/>
      <c r="L90" s="349"/>
      <c r="M90" s="349"/>
    </row>
    <row r="91" ht="20.25" customHeight="1">
      <c r="A91" s="12"/>
      <c r="B91" s="12"/>
      <c r="C91" s="304"/>
      <c r="D91" s="304"/>
      <c r="E91" s="349"/>
      <c r="F91" s="349"/>
      <c r="G91" s="349"/>
      <c r="H91" s="349"/>
      <c r="I91" s="349"/>
      <c r="J91" s="349"/>
      <c r="K91" s="349"/>
      <c r="L91" s="349"/>
      <c r="M91" s="349"/>
    </row>
    <row r="92" ht="20.25" customHeight="1">
      <c r="A92" s="12"/>
      <c r="B92" s="12"/>
      <c r="C92" s="304"/>
      <c r="D92" s="304"/>
      <c r="E92" s="349"/>
      <c r="F92" s="349"/>
      <c r="G92" s="349"/>
      <c r="H92" s="349"/>
      <c r="I92" s="349"/>
      <c r="J92" s="349"/>
      <c r="K92" s="349"/>
      <c r="L92" s="349"/>
      <c r="M92" s="349"/>
    </row>
    <row r="93" ht="20.25" customHeight="1">
      <c r="A93" s="12"/>
      <c r="B93" s="12"/>
      <c r="C93" s="304"/>
      <c r="D93" s="304"/>
      <c r="E93" s="349"/>
      <c r="F93" s="349"/>
      <c r="G93" s="349"/>
      <c r="H93" s="349"/>
      <c r="I93" s="349"/>
      <c r="J93" s="349"/>
      <c r="K93" s="349"/>
      <c r="L93" s="349"/>
      <c r="M93" s="349"/>
    </row>
    <row r="94" ht="20.25" customHeight="1">
      <c r="A94" s="12"/>
      <c r="B94" s="12"/>
      <c r="C94" s="304"/>
      <c r="D94" s="304"/>
      <c r="E94" s="349"/>
      <c r="F94" s="349"/>
      <c r="G94" s="349"/>
      <c r="H94" s="349"/>
      <c r="I94" s="349"/>
      <c r="J94" s="349"/>
      <c r="K94" s="349"/>
      <c r="L94" s="349"/>
      <c r="M94" s="349"/>
    </row>
    <row r="95" ht="20.25" customHeight="1">
      <c r="A95" s="12"/>
      <c r="B95" s="12"/>
      <c r="C95" s="304"/>
      <c r="D95" s="304"/>
      <c r="E95" s="349"/>
      <c r="F95" s="349"/>
      <c r="G95" s="349"/>
      <c r="H95" s="349"/>
      <c r="I95" s="349"/>
      <c r="J95" s="349"/>
      <c r="K95" s="349"/>
      <c r="L95" s="349"/>
      <c r="M95" s="349"/>
    </row>
    <row r="96" ht="20.25" customHeight="1">
      <c r="A96" s="12"/>
      <c r="B96" s="12"/>
      <c r="C96" s="304"/>
      <c r="D96" s="304"/>
      <c r="E96" s="349"/>
      <c r="F96" s="349"/>
      <c r="G96" s="349"/>
      <c r="H96" s="349"/>
      <c r="I96" s="349"/>
      <c r="J96" s="349"/>
      <c r="K96" s="349"/>
      <c r="L96" s="349"/>
      <c r="M96" s="349"/>
    </row>
    <row r="97" ht="20.25" customHeight="1">
      <c r="A97" s="12"/>
      <c r="B97" s="12"/>
      <c r="C97" s="304"/>
      <c r="D97" s="304"/>
      <c r="E97" s="349"/>
      <c r="F97" s="349"/>
      <c r="G97" s="349"/>
      <c r="H97" s="349"/>
      <c r="I97" s="349"/>
      <c r="J97" s="349"/>
      <c r="K97" s="349"/>
      <c r="L97" s="349"/>
      <c r="M97" s="349"/>
    </row>
    <row r="98" ht="20.25" customHeight="1">
      <c r="A98" s="12"/>
      <c r="B98" s="12"/>
      <c r="C98" s="304"/>
      <c r="D98" s="304"/>
      <c r="E98" s="349"/>
      <c r="F98" s="349"/>
      <c r="G98" s="349"/>
      <c r="H98" s="349"/>
      <c r="I98" s="349"/>
      <c r="J98" s="349"/>
      <c r="K98" s="349"/>
      <c r="L98" s="349"/>
      <c r="M98" s="349"/>
    </row>
    <row r="99" ht="20.25" customHeight="1">
      <c r="A99" s="12"/>
      <c r="B99" s="12"/>
      <c r="C99" s="304"/>
      <c r="D99" s="304"/>
      <c r="E99" s="349"/>
      <c r="F99" s="349"/>
      <c r="G99" s="349"/>
      <c r="H99" s="349"/>
      <c r="I99" s="349"/>
      <c r="J99" s="349"/>
      <c r="K99" s="349"/>
      <c r="L99" s="349"/>
      <c r="M99" s="349"/>
    </row>
    <row r="100" ht="20.25" customHeight="1">
      <c r="A100" s="12"/>
      <c r="B100" s="12"/>
      <c r="C100" s="304"/>
      <c r="D100" s="304"/>
      <c r="E100" s="349"/>
      <c r="F100" s="349"/>
      <c r="G100" s="349"/>
      <c r="H100" s="349"/>
      <c r="I100" s="349"/>
      <c r="J100" s="349"/>
      <c r="K100" s="349"/>
      <c r="L100" s="349"/>
      <c r="M100" s="349"/>
    </row>
    <row r="101" ht="20.25" customHeight="1">
      <c r="A101" s="12"/>
      <c r="B101" s="12"/>
      <c r="C101" s="304"/>
      <c r="D101" s="304"/>
      <c r="E101" s="349"/>
      <c r="F101" s="349"/>
      <c r="G101" s="349"/>
      <c r="H101" s="349"/>
      <c r="I101" s="349"/>
      <c r="J101" s="349"/>
      <c r="K101" s="349"/>
      <c r="L101" s="349"/>
      <c r="M101" s="349"/>
    </row>
    <row r="102" ht="20.25" customHeight="1">
      <c r="A102" s="12"/>
      <c r="B102" s="12"/>
      <c r="C102" s="304"/>
      <c r="D102" s="304"/>
      <c r="E102" s="349"/>
      <c r="F102" s="349"/>
      <c r="G102" s="349"/>
      <c r="H102" s="349"/>
      <c r="I102" s="349"/>
      <c r="J102" s="349"/>
      <c r="K102" s="349"/>
      <c r="L102" s="349"/>
      <c r="M102" s="349"/>
    </row>
    <row r="103" ht="20.25" customHeight="1">
      <c r="A103" s="12"/>
      <c r="B103" s="12"/>
      <c r="C103" s="304"/>
      <c r="D103" s="304"/>
      <c r="E103" s="349"/>
      <c r="F103" s="349"/>
      <c r="G103" s="349"/>
      <c r="H103" s="349"/>
      <c r="I103" s="349"/>
      <c r="J103" s="349"/>
      <c r="K103" s="349"/>
      <c r="L103" s="349"/>
      <c r="M103" s="349"/>
    </row>
    <row r="104" ht="20.25" customHeight="1">
      <c r="A104" s="12"/>
      <c r="B104" s="12"/>
      <c r="C104" s="304"/>
      <c r="D104" s="304"/>
      <c r="E104" s="349"/>
      <c r="F104" s="349"/>
      <c r="G104" s="349"/>
      <c r="H104" s="349"/>
      <c r="I104" s="349"/>
      <c r="J104" s="349"/>
      <c r="K104" s="349"/>
      <c r="L104" s="349"/>
      <c r="M104" s="349"/>
    </row>
    <row r="105" ht="20.25" customHeight="1">
      <c r="A105" s="12"/>
      <c r="B105" s="12"/>
      <c r="C105" s="304"/>
      <c r="D105" s="304"/>
      <c r="E105" s="349"/>
      <c r="F105" s="349"/>
      <c r="G105" s="349"/>
      <c r="H105" s="349"/>
      <c r="I105" s="349"/>
      <c r="J105" s="349"/>
      <c r="K105" s="349"/>
      <c r="L105" s="349"/>
      <c r="M105" s="349"/>
    </row>
    <row r="106" ht="20.25" customHeight="1">
      <c r="A106" s="12"/>
      <c r="B106" s="12"/>
      <c r="C106" s="304"/>
      <c r="D106" s="304"/>
      <c r="E106" s="349"/>
      <c r="F106" s="349"/>
      <c r="G106" s="349"/>
      <c r="H106" s="349"/>
      <c r="I106" s="349"/>
      <c r="J106" s="349"/>
      <c r="K106" s="349"/>
      <c r="L106" s="349"/>
      <c r="M106" s="349"/>
    </row>
    <row r="107" ht="20.25" customHeight="1">
      <c r="A107" s="12"/>
      <c r="B107" s="12"/>
      <c r="C107" s="304"/>
      <c r="D107" s="304"/>
      <c r="E107" s="349"/>
      <c r="F107" s="349"/>
      <c r="G107" s="349"/>
      <c r="H107" s="349"/>
      <c r="I107" s="349"/>
      <c r="J107" s="349"/>
      <c r="K107" s="349"/>
      <c r="L107" s="349"/>
      <c r="M107" s="349"/>
    </row>
    <row r="108" ht="20.25" customHeight="1">
      <c r="A108" s="12"/>
      <c r="B108" s="12"/>
      <c r="C108" s="304"/>
      <c r="D108" s="304"/>
      <c r="E108" s="349"/>
      <c r="F108" s="349"/>
      <c r="G108" s="349"/>
      <c r="H108" s="349"/>
      <c r="I108" s="349"/>
      <c r="J108" s="349"/>
      <c r="K108" s="349"/>
      <c r="L108" s="349"/>
      <c r="M108" s="349"/>
    </row>
    <row r="109" ht="20.25" customHeight="1">
      <c r="A109" s="12"/>
      <c r="B109" s="12"/>
      <c r="C109" s="304"/>
      <c r="D109" s="304"/>
      <c r="E109" s="349"/>
      <c r="F109" s="349"/>
      <c r="G109" s="349"/>
      <c r="H109" s="349"/>
      <c r="I109" s="349"/>
      <c r="J109" s="349"/>
      <c r="K109" s="349"/>
      <c r="L109" s="349"/>
      <c r="M109" s="349"/>
    </row>
    <row r="110" ht="20.25" customHeight="1">
      <c r="A110" s="12"/>
      <c r="B110" s="12"/>
      <c r="C110" s="304"/>
      <c r="D110" s="304"/>
      <c r="E110" s="349"/>
      <c r="F110" s="349"/>
      <c r="G110" s="349"/>
      <c r="H110" s="349"/>
      <c r="I110" s="349"/>
      <c r="J110" s="349"/>
      <c r="K110" s="349"/>
      <c r="L110" s="349"/>
      <c r="M110" s="349"/>
    </row>
    <row r="111" ht="20.25" customHeight="1">
      <c r="A111" s="12"/>
      <c r="B111" s="12"/>
      <c r="C111" s="304"/>
      <c r="D111" s="304"/>
      <c r="E111" s="349"/>
      <c r="F111" s="349"/>
      <c r="G111" s="349"/>
      <c r="H111" s="349"/>
      <c r="I111" s="349"/>
      <c r="J111" s="349"/>
      <c r="K111" s="349"/>
      <c r="L111" s="349"/>
      <c r="M111" s="349"/>
    </row>
    <row r="112" ht="20.25" customHeight="1">
      <c r="A112" s="12"/>
      <c r="B112" s="12"/>
      <c r="C112" s="304"/>
      <c r="D112" s="304"/>
      <c r="E112" s="349"/>
      <c r="F112" s="349"/>
      <c r="G112" s="349"/>
      <c r="H112" s="349"/>
      <c r="I112" s="349"/>
      <c r="J112" s="349"/>
      <c r="K112" s="349"/>
      <c r="L112" s="349"/>
      <c r="M112" s="349"/>
    </row>
    <row r="113" ht="20.25" customHeight="1">
      <c r="A113" s="12"/>
      <c r="B113" s="12"/>
      <c r="C113" s="304"/>
      <c r="D113" s="304"/>
      <c r="E113" s="349"/>
      <c r="F113" s="349"/>
      <c r="G113" s="349"/>
      <c r="H113" s="349"/>
      <c r="I113" s="349"/>
      <c r="J113" s="349"/>
      <c r="K113" s="349"/>
      <c r="L113" s="349"/>
      <c r="M113" s="349"/>
    </row>
    <row r="114" ht="20.25" customHeight="1">
      <c r="A114" s="12"/>
      <c r="B114" s="12"/>
      <c r="C114" s="304"/>
      <c r="D114" s="304"/>
      <c r="E114" s="349"/>
      <c r="F114" s="349"/>
      <c r="G114" s="349"/>
      <c r="H114" s="349"/>
      <c r="I114" s="349"/>
      <c r="J114" s="349"/>
      <c r="K114" s="349"/>
      <c r="L114" s="349"/>
      <c r="M114" s="349"/>
    </row>
    <row r="115" ht="20.25" customHeight="1">
      <c r="A115" s="12"/>
      <c r="B115" s="12"/>
      <c r="C115" s="304"/>
      <c r="D115" s="304"/>
      <c r="E115" s="349"/>
      <c r="F115" s="349"/>
      <c r="G115" s="349"/>
      <c r="H115" s="349"/>
      <c r="I115" s="349"/>
      <c r="J115" s="349"/>
      <c r="K115" s="349"/>
      <c r="L115" s="349"/>
      <c r="M115" s="349"/>
    </row>
    <row r="116" ht="20.25" customHeight="1">
      <c r="A116" s="12"/>
      <c r="B116" s="12"/>
      <c r="C116" s="304"/>
      <c r="D116" s="304"/>
      <c r="E116" s="349"/>
      <c r="F116" s="349"/>
      <c r="G116" s="349"/>
      <c r="H116" s="349"/>
      <c r="I116" s="349"/>
      <c r="J116" s="349"/>
      <c r="K116" s="349"/>
      <c r="L116" s="349"/>
      <c r="M116" s="349"/>
    </row>
    <row r="117" ht="20.25" customHeight="1">
      <c r="A117" s="12"/>
      <c r="B117" s="12"/>
      <c r="C117" s="304"/>
      <c r="D117" s="304"/>
      <c r="E117" s="349"/>
      <c r="F117" s="349"/>
      <c r="G117" s="349"/>
      <c r="H117" s="349"/>
      <c r="I117" s="349"/>
      <c r="J117" s="349"/>
      <c r="K117" s="349"/>
      <c r="L117" s="349"/>
      <c r="M117" s="349"/>
    </row>
    <row r="118" ht="20.25" customHeight="1">
      <c r="A118" s="12"/>
      <c r="B118" s="12"/>
      <c r="C118" s="304"/>
      <c r="D118" s="304"/>
      <c r="E118" s="349"/>
      <c r="F118" s="349"/>
      <c r="G118" s="349"/>
      <c r="H118" s="349"/>
      <c r="I118" s="349"/>
      <c r="J118" s="349"/>
      <c r="K118" s="349"/>
      <c r="L118" s="349"/>
      <c r="M118" s="349"/>
    </row>
    <row r="119" ht="20.25" customHeight="1">
      <c r="A119" s="12"/>
      <c r="B119" s="12"/>
      <c r="C119" s="304"/>
      <c r="D119" s="304"/>
      <c r="E119" s="349"/>
      <c r="F119" s="349"/>
      <c r="G119" s="349"/>
      <c r="H119" s="349"/>
      <c r="I119" s="349"/>
      <c r="J119" s="349"/>
      <c r="K119" s="349"/>
      <c r="L119" s="349"/>
      <c r="M119" s="349"/>
    </row>
    <row r="120" ht="20.25" customHeight="1">
      <c r="A120" s="12"/>
      <c r="B120" s="12"/>
      <c r="C120" s="304"/>
      <c r="D120" s="304"/>
      <c r="E120" s="349"/>
      <c r="F120" s="349"/>
      <c r="G120" s="349"/>
      <c r="H120" s="349"/>
      <c r="I120" s="349"/>
      <c r="J120" s="349"/>
      <c r="K120" s="349"/>
      <c r="L120" s="349"/>
      <c r="M120" s="349"/>
    </row>
    <row r="121" ht="20.25" customHeight="1">
      <c r="A121" s="12"/>
      <c r="B121" s="12"/>
      <c r="C121" s="304"/>
      <c r="D121" s="304"/>
      <c r="E121" s="349"/>
      <c r="F121" s="349"/>
      <c r="G121" s="349"/>
      <c r="H121" s="349"/>
      <c r="I121" s="349"/>
      <c r="J121" s="349"/>
      <c r="K121" s="349"/>
      <c r="L121" s="349"/>
      <c r="M121" s="349"/>
    </row>
    <row r="122" ht="20.25" customHeight="1">
      <c r="A122" s="12"/>
      <c r="B122" s="12"/>
      <c r="C122" s="304"/>
      <c r="D122" s="304"/>
      <c r="E122" s="349"/>
      <c r="F122" s="349"/>
      <c r="G122" s="349"/>
      <c r="H122" s="349"/>
      <c r="I122" s="349"/>
      <c r="J122" s="349"/>
      <c r="K122" s="349"/>
      <c r="L122" s="349"/>
      <c r="M122" s="349"/>
    </row>
    <row r="123" ht="20.25" customHeight="1">
      <c r="A123" s="12"/>
      <c r="B123" s="12"/>
      <c r="C123" s="304"/>
      <c r="D123" s="304"/>
      <c r="E123" s="349"/>
      <c r="F123" s="349"/>
      <c r="G123" s="349"/>
      <c r="H123" s="349"/>
      <c r="I123" s="349"/>
      <c r="J123" s="349"/>
      <c r="K123" s="349"/>
      <c r="L123" s="349"/>
      <c r="M123" s="349"/>
    </row>
    <row r="124" ht="20.25" customHeight="1">
      <c r="A124" s="12"/>
      <c r="B124" s="12"/>
      <c r="C124" s="304"/>
      <c r="D124" s="304"/>
      <c r="E124" s="349"/>
      <c r="F124" s="349"/>
      <c r="G124" s="349"/>
      <c r="H124" s="349"/>
      <c r="I124" s="349"/>
      <c r="J124" s="349"/>
      <c r="K124" s="349"/>
      <c r="L124" s="349"/>
      <c r="M124" s="349"/>
    </row>
    <row r="125" ht="20.25" customHeight="1">
      <c r="A125" s="12"/>
      <c r="B125" s="12"/>
      <c r="C125" s="304"/>
      <c r="D125" s="304"/>
      <c r="E125" s="349"/>
      <c r="F125" s="349"/>
      <c r="G125" s="349"/>
      <c r="H125" s="349"/>
      <c r="I125" s="349"/>
      <c r="J125" s="349"/>
      <c r="K125" s="349"/>
      <c r="L125" s="349"/>
      <c r="M125" s="349"/>
    </row>
    <row r="126" ht="20.25" customHeight="1">
      <c r="A126" s="12"/>
      <c r="B126" s="12"/>
      <c r="C126" s="304"/>
      <c r="D126" s="304"/>
      <c r="E126" s="349"/>
      <c r="F126" s="349"/>
      <c r="G126" s="349"/>
      <c r="H126" s="349"/>
      <c r="I126" s="349"/>
      <c r="J126" s="349"/>
      <c r="K126" s="349"/>
      <c r="L126" s="349"/>
      <c r="M126" s="349"/>
    </row>
    <row r="127" ht="20.25" customHeight="1">
      <c r="A127" s="12"/>
      <c r="B127" s="12"/>
      <c r="C127" s="304"/>
      <c r="D127" s="304"/>
      <c r="E127" s="349"/>
      <c r="F127" s="349"/>
      <c r="G127" s="349"/>
      <c r="H127" s="349"/>
      <c r="I127" s="349"/>
      <c r="J127" s="349"/>
      <c r="K127" s="349"/>
      <c r="L127" s="349"/>
      <c r="M127" s="349"/>
    </row>
    <row r="128" ht="20.25" customHeight="1">
      <c r="A128" s="12"/>
      <c r="B128" s="12"/>
      <c r="C128" s="304"/>
      <c r="D128" s="304"/>
      <c r="E128" s="349"/>
      <c r="F128" s="349"/>
      <c r="G128" s="349"/>
      <c r="H128" s="349"/>
      <c r="I128" s="349"/>
      <c r="J128" s="349"/>
      <c r="K128" s="349"/>
      <c r="L128" s="349"/>
      <c r="M128" s="349"/>
    </row>
    <row r="129" ht="20.25" customHeight="1">
      <c r="A129" s="12"/>
      <c r="B129" s="12"/>
      <c r="C129" s="304"/>
      <c r="D129" s="304"/>
      <c r="E129" s="349"/>
      <c r="F129" s="349"/>
      <c r="G129" s="349"/>
      <c r="H129" s="349"/>
      <c r="I129" s="349"/>
      <c r="J129" s="349"/>
      <c r="K129" s="349"/>
      <c r="L129" s="349"/>
      <c r="M129" s="349"/>
    </row>
    <row r="130" ht="20.25" customHeight="1">
      <c r="A130" s="12"/>
      <c r="B130" s="12"/>
      <c r="C130" s="304"/>
      <c r="D130" s="304"/>
      <c r="E130" s="349"/>
      <c r="F130" s="349"/>
      <c r="G130" s="349"/>
      <c r="H130" s="349"/>
      <c r="I130" s="349"/>
      <c r="J130" s="349"/>
      <c r="K130" s="349"/>
      <c r="L130" s="349"/>
      <c r="M130" s="349"/>
    </row>
    <row r="131" ht="20.25" customHeight="1">
      <c r="A131" s="12"/>
      <c r="B131" s="12"/>
      <c r="C131" s="304"/>
      <c r="D131" s="304"/>
      <c r="E131" s="349"/>
      <c r="F131" s="349"/>
      <c r="G131" s="349"/>
      <c r="H131" s="349"/>
      <c r="I131" s="349"/>
      <c r="J131" s="349"/>
      <c r="K131" s="349"/>
      <c r="L131" s="349"/>
      <c r="M131" s="349"/>
    </row>
    <row r="132" ht="20.25" customHeight="1">
      <c r="A132" s="12"/>
      <c r="B132" s="12"/>
      <c r="C132" s="304"/>
      <c r="D132" s="304"/>
      <c r="E132" s="349"/>
      <c r="F132" s="349"/>
      <c r="G132" s="349"/>
      <c r="H132" s="349"/>
      <c r="I132" s="349"/>
      <c r="J132" s="349"/>
      <c r="K132" s="349"/>
      <c r="L132" s="349"/>
      <c r="M132" s="349"/>
    </row>
    <row r="133" ht="20.25" customHeight="1">
      <c r="A133" s="12"/>
      <c r="B133" s="12"/>
      <c r="C133" s="304"/>
      <c r="D133" s="304"/>
      <c r="E133" s="349"/>
      <c r="F133" s="349"/>
      <c r="G133" s="349"/>
      <c r="H133" s="349"/>
      <c r="I133" s="349"/>
      <c r="J133" s="349"/>
      <c r="K133" s="349"/>
      <c r="L133" s="349"/>
      <c r="M133" s="349"/>
    </row>
    <row r="134" ht="20.25" customHeight="1">
      <c r="A134" s="12"/>
      <c r="B134" s="12"/>
      <c r="C134" s="304"/>
      <c r="D134" s="304"/>
      <c r="E134" s="349"/>
      <c r="F134" s="349"/>
      <c r="G134" s="349"/>
      <c r="H134" s="349"/>
      <c r="I134" s="349"/>
      <c r="J134" s="349"/>
      <c r="K134" s="349"/>
      <c r="L134" s="349"/>
      <c r="M134" s="349"/>
    </row>
    <row r="135" ht="20.25" customHeight="1">
      <c r="A135" s="12"/>
      <c r="B135" s="12"/>
      <c r="C135" s="304"/>
      <c r="D135" s="304"/>
      <c r="E135" s="349"/>
      <c r="F135" s="349"/>
      <c r="G135" s="349"/>
      <c r="H135" s="349"/>
      <c r="I135" s="349"/>
      <c r="J135" s="349"/>
      <c r="K135" s="349"/>
      <c r="L135" s="349"/>
      <c r="M135" s="349"/>
    </row>
    <row r="136" ht="20.25" customHeight="1">
      <c r="A136" s="12"/>
      <c r="B136" s="12"/>
      <c r="C136" s="304"/>
      <c r="D136" s="304"/>
      <c r="E136" s="349"/>
      <c r="F136" s="349"/>
      <c r="G136" s="349"/>
      <c r="H136" s="349"/>
      <c r="I136" s="349"/>
      <c r="J136" s="349"/>
      <c r="K136" s="349"/>
      <c r="L136" s="349"/>
      <c r="M136" s="349"/>
    </row>
    <row r="137" ht="20.25" customHeight="1">
      <c r="A137" s="12"/>
      <c r="B137" s="12"/>
      <c r="C137" s="304"/>
      <c r="D137" s="304"/>
      <c r="E137" s="349"/>
      <c r="F137" s="349"/>
      <c r="G137" s="349"/>
      <c r="H137" s="349"/>
      <c r="I137" s="349"/>
      <c r="J137" s="349"/>
      <c r="K137" s="349"/>
      <c r="L137" s="349"/>
      <c r="M137" s="349"/>
    </row>
    <row r="138" ht="20.25" customHeight="1">
      <c r="A138" s="12"/>
      <c r="B138" s="12"/>
      <c r="C138" s="304"/>
      <c r="D138" s="304"/>
      <c r="E138" s="349"/>
      <c r="F138" s="349"/>
      <c r="G138" s="349"/>
      <c r="H138" s="349"/>
      <c r="I138" s="349"/>
      <c r="J138" s="349"/>
      <c r="K138" s="349"/>
      <c r="L138" s="349"/>
      <c r="M138" s="349"/>
    </row>
    <row r="139" ht="20.25" customHeight="1">
      <c r="A139" s="12"/>
      <c r="B139" s="12"/>
      <c r="C139" s="304"/>
      <c r="D139" s="304"/>
      <c r="E139" s="349"/>
      <c r="F139" s="349"/>
      <c r="G139" s="349"/>
      <c r="H139" s="349"/>
      <c r="I139" s="349"/>
      <c r="J139" s="349"/>
      <c r="K139" s="349"/>
      <c r="L139" s="349"/>
      <c r="M139" s="349"/>
    </row>
    <row r="140" ht="20.25" customHeight="1">
      <c r="A140" s="12"/>
      <c r="B140" s="12"/>
      <c r="C140" s="304"/>
      <c r="D140" s="304"/>
      <c r="E140" s="349"/>
      <c r="F140" s="349"/>
      <c r="G140" s="349"/>
      <c r="H140" s="349"/>
      <c r="I140" s="349"/>
      <c r="J140" s="349"/>
      <c r="K140" s="349"/>
      <c r="L140" s="349"/>
      <c r="M140" s="349"/>
    </row>
    <row r="141" ht="20.25" customHeight="1">
      <c r="A141" s="12"/>
      <c r="B141" s="12"/>
      <c r="C141" s="304"/>
      <c r="D141" s="304"/>
      <c r="E141" s="349"/>
      <c r="F141" s="349"/>
      <c r="G141" s="349"/>
      <c r="H141" s="349"/>
      <c r="I141" s="349"/>
      <c r="J141" s="349"/>
      <c r="K141" s="349"/>
      <c r="L141" s="349"/>
      <c r="M141" s="349"/>
    </row>
    <row r="142" ht="20.25" customHeight="1">
      <c r="A142" s="12"/>
      <c r="B142" s="12"/>
      <c r="C142" s="304"/>
      <c r="D142" s="304"/>
      <c r="E142" s="349"/>
      <c r="F142" s="349"/>
      <c r="G142" s="349"/>
      <c r="H142" s="349"/>
      <c r="I142" s="349"/>
      <c r="J142" s="349"/>
      <c r="K142" s="349"/>
      <c r="L142" s="349"/>
      <c r="M142" s="349"/>
    </row>
    <row r="143" ht="20.25" customHeight="1">
      <c r="A143" s="12"/>
      <c r="B143" s="12"/>
      <c r="C143" s="304"/>
      <c r="D143" s="304"/>
      <c r="E143" s="349"/>
      <c r="F143" s="349"/>
      <c r="G143" s="349"/>
      <c r="H143" s="349"/>
      <c r="I143" s="349"/>
      <c r="J143" s="349"/>
      <c r="K143" s="349"/>
      <c r="L143" s="349"/>
      <c r="M143" s="349"/>
    </row>
    <row r="144" ht="20.25" customHeight="1">
      <c r="A144" s="12"/>
      <c r="B144" s="12"/>
      <c r="C144" s="304"/>
      <c r="D144" s="304"/>
      <c r="E144" s="349"/>
      <c r="F144" s="349"/>
      <c r="G144" s="349"/>
      <c r="H144" s="349"/>
      <c r="I144" s="349"/>
      <c r="J144" s="349"/>
      <c r="K144" s="349"/>
      <c r="L144" s="349"/>
      <c r="M144" s="349"/>
    </row>
    <row r="145" ht="20.25" customHeight="1">
      <c r="A145" s="12"/>
      <c r="B145" s="12"/>
      <c r="C145" s="304"/>
      <c r="D145" s="304"/>
      <c r="E145" s="349"/>
      <c r="F145" s="349"/>
      <c r="G145" s="349"/>
      <c r="H145" s="349"/>
      <c r="I145" s="349"/>
      <c r="J145" s="349"/>
      <c r="K145" s="349"/>
      <c r="L145" s="349"/>
      <c r="M145" s="349"/>
    </row>
    <row r="146" ht="20.25" customHeight="1">
      <c r="A146" s="12"/>
      <c r="B146" s="12"/>
      <c r="C146" s="304"/>
      <c r="D146" s="304"/>
      <c r="E146" s="349"/>
      <c r="F146" s="349"/>
      <c r="G146" s="349"/>
      <c r="H146" s="349"/>
      <c r="I146" s="349"/>
      <c r="J146" s="349"/>
      <c r="K146" s="349"/>
      <c r="L146" s="349"/>
      <c r="M146" s="349"/>
    </row>
    <row r="147" ht="20.25" customHeight="1">
      <c r="A147" s="12"/>
      <c r="B147" s="12"/>
      <c r="C147" s="304"/>
      <c r="D147" s="304"/>
      <c r="E147" s="349"/>
      <c r="F147" s="349"/>
      <c r="G147" s="349"/>
      <c r="H147" s="349"/>
      <c r="I147" s="349"/>
      <c r="J147" s="349"/>
      <c r="K147" s="349"/>
      <c r="L147" s="349"/>
      <c r="M147" s="349"/>
    </row>
    <row r="148" ht="20.25" customHeight="1">
      <c r="A148" s="12"/>
      <c r="B148" s="12"/>
      <c r="C148" s="304"/>
      <c r="D148" s="304"/>
      <c r="E148" s="349"/>
      <c r="F148" s="349"/>
      <c r="G148" s="349"/>
      <c r="H148" s="349"/>
      <c r="I148" s="349"/>
      <c r="J148" s="349"/>
      <c r="K148" s="349"/>
      <c r="L148" s="349"/>
      <c r="M148" s="349"/>
    </row>
    <row r="149" ht="20.25" customHeight="1">
      <c r="A149" s="12"/>
      <c r="B149" s="12"/>
      <c r="C149" s="304"/>
      <c r="D149" s="304"/>
      <c r="E149" s="349"/>
      <c r="F149" s="349"/>
      <c r="G149" s="349"/>
      <c r="H149" s="349"/>
      <c r="I149" s="349"/>
      <c r="J149" s="349"/>
      <c r="K149" s="349"/>
      <c r="L149" s="349"/>
      <c r="M149" s="349"/>
    </row>
    <row r="150" ht="20.25" customHeight="1">
      <c r="A150" s="12"/>
      <c r="B150" s="12"/>
      <c r="C150" s="304"/>
      <c r="D150" s="304"/>
      <c r="E150" s="349"/>
      <c r="F150" s="349"/>
      <c r="G150" s="349"/>
      <c r="H150" s="349"/>
      <c r="I150" s="349"/>
      <c r="J150" s="349"/>
      <c r="K150" s="349"/>
      <c r="L150" s="349"/>
      <c r="M150" s="349"/>
    </row>
    <row r="151" ht="20.25" customHeight="1">
      <c r="A151" s="12"/>
      <c r="B151" s="12"/>
      <c r="C151" s="304"/>
      <c r="D151" s="304"/>
      <c r="E151" s="349"/>
      <c r="F151" s="349"/>
      <c r="G151" s="349"/>
      <c r="H151" s="349"/>
      <c r="I151" s="349"/>
      <c r="J151" s="349"/>
      <c r="K151" s="349"/>
      <c r="L151" s="349"/>
      <c r="M151" s="349"/>
    </row>
    <row r="152" ht="20.25" customHeight="1">
      <c r="A152" s="12"/>
      <c r="B152" s="12"/>
      <c r="C152" s="304"/>
      <c r="D152" s="304"/>
      <c r="E152" s="349"/>
      <c r="F152" s="349"/>
      <c r="G152" s="349"/>
      <c r="H152" s="349"/>
      <c r="I152" s="349"/>
      <c r="J152" s="349"/>
      <c r="K152" s="349"/>
      <c r="L152" s="349"/>
      <c r="M152" s="349"/>
    </row>
    <row r="153" ht="20.25" customHeight="1">
      <c r="A153" s="12"/>
      <c r="B153" s="12"/>
      <c r="C153" s="304"/>
      <c r="D153" s="304"/>
      <c r="E153" s="349"/>
      <c r="F153" s="349"/>
      <c r="G153" s="349"/>
      <c r="H153" s="349"/>
      <c r="I153" s="349"/>
      <c r="J153" s="349"/>
      <c r="K153" s="349"/>
      <c r="L153" s="349"/>
      <c r="M153" s="349"/>
    </row>
    <row r="154" ht="20.25" customHeight="1">
      <c r="A154" s="12"/>
      <c r="B154" s="12"/>
      <c r="C154" s="304"/>
      <c r="D154" s="304"/>
      <c r="E154" s="349"/>
      <c r="F154" s="349"/>
      <c r="G154" s="349"/>
      <c r="H154" s="349"/>
      <c r="I154" s="349"/>
      <c r="J154" s="349"/>
      <c r="K154" s="349"/>
      <c r="L154" s="349"/>
      <c r="M154" s="349"/>
    </row>
    <row r="155" ht="20.25" customHeight="1">
      <c r="A155" s="12"/>
      <c r="B155" s="12"/>
      <c r="C155" s="304"/>
      <c r="D155" s="304"/>
      <c r="E155" s="349"/>
      <c r="F155" s="349"/>
      <c r="G155" s="349"/>
      <c r="H155" s="349"/>
      <c r="I155" s="349"/>
      <c r="J155" s="349"/>
      <c r="K155" s="349"/>
      <c r="L155" s="349"/>
      <c r="M155" s="349"/>
    </row>
    <row r="156" ht="20.25" customHeight="1">
      <c r="A156" s="12"/>
      <c r="B156" s="12"/>
      <c r="C156" s="304"/>
      <c r="D156" s="304"/>
      <c r="E156" s="349"/>
      <c r="F156" s="349"/>
      <c r="G156" s="349"/>
      <c r="H156" s="349"/>
      <c r="I156" s="349"/>
      <c r="J156" s="349"/>
      <c r="K156" s="349"/>
      <c r="L156" s="349"/>
      <c r="M156" s="349"/>
    </row>
    <row r="157" ht="20.25" customHeight="1">
      <c r="A157" s="12"/>
      <c r="B157" s="12"/>
      <c r="C157" s="304"/>
      <c r="D157" s="304"/>
      <c r="E157" s="349"/>
      <c r="F157" s="349"/>
      <c r="G157" s="349"/>
      <c r="H157" s="349"/>
      <c r="I157" s="349"/>
      <c r="J157" s="349"/>
      <c r="K157" s="349"/>
      <c r="L157" s="349"/>
      <c r="M157" s="349"/>
    </row>
    <row r="158" ht="20.25" customHeight="1">
      <c r="A158" s="12"/>
      <c r="B158" s="12"/>
      <c r="C158" s="304"/>
      <c r="D158" s="304"/>
      <c r="E158" s="349"/>
      <c r="F158" s="349"/>
      <c r="G158" s="349"/>
      <c r="H158" s="349"/>
      <c r="I158" s="349"/>
      <c r="J158" s="349"/>
      <c r="K158" s="349"/>
      <c r="L158" s="349"/>
      <c r="M158" s="349"/>
    </row>
    <row r="159" ht="20.25" customHeight="1">
      <c r="A159" s="12"/>
      <c r="B159" s="12"/>
      <c r="C159" s="304"/>
      <c r="D159" s="304"/>
      <c r="E159" s="349"/>
      <c r="F159" s="349"/>
      <c r="G159" s="349"/>
      <c r="H159" s="349"/>
      <c r="I159" s="349"/>
      <c r="J159" s="349"/>
      <c r="K159" s="349"/>
      <c r="L159" s="349"/>
      <c r="M159" s="349"/>
    </row>
    <row r="160" ht="20.25" customHeight="1">
      <c r="A160" s="12"/>
      <c r="B160" s="12"/>
      <c r="C160" s="304"/>
      <c r="D160" s="304"/>
      <c r="E160" s="349"/>
      <c r="F160" s="349"/>
      <c r="G160" s="349"/>
      <c r="H160" s="349"/>
      <c r="I160" s="349"/>
      <c r="J160" s="349"/>
      <c r="K160" s="349"/>
      <c r="L160" s="349"/>
      <c r="M160" s="349"/>
    </row>
    <row r="161" ht="20.25" customHeight="1">
      <c r="A161" s="12"/>
      <c r="B161" s="12"/>
      <c r="C161" s="304"/>
      <c r="D161" s="304"/>
      <c r="E161" s="349"/>
      <c r="F161" s="349"/>
      <c r="G161" s="349"/>
      <c r="H161" s="349"/>
      <c r="I161" s="349"/>
      <c r="J161" s="349"/>
      <c r="K161" s="349"/>
      <c r="L161" s="349"/>
      <c r="M161" s="349"/>
    </row>
    <row r="162" ht="20.25" customHeight="1">
      <c r="A162" s="12"/>
      <c r="B162" s="12"/>
      <c r="C162" s="304"/>
      <c r="D162" s="304"/>
      <c r="E162" s="349"/>
      <c r="F162" s="349"/>
      <c r="G162" s="349"/>
      <c r="H162" s="349"/>
      <c r="I162" s="349"/>
      <c r="J162" s="349"/>
      <c r="K162" s="349"/>
      <c r="L162" s="349"/>
      <c r="M162" s="349"/>
    </row>
    <row r="163" ht="20.25" customHeight="1">
      <c r="A163" s="12"/>
      <c r="B163" s="12"/>
      <c r="C163" s="304"/>
      <c r="D163" s="304"/>
      <c r="E163" s="349"/>
      <c r="F163" s="349"/>
      <c r="G163" s="349"/>
      <c r="H163" s="349"/>
      <c r="I163" s="349"/>
      <c r="J163" s="349"/>
      <c r="K163" s="349"/>
      <c r="L163" s="349"/>
      <c r="M163" s="349"/>
    </row>
    <row r="164" ht="20.25" customHeight="1">
      <c r="A164" s="12"/>
      <c r="B164" s="12"/>
      <c r="C164" s="304"/>
      <c r="D164" s="304"/>
      <c r="E164" s="349"/>
      <c r="F164" s="349"/>
      <c r="G164" s="349"/>
      <c r="H164" s="349"/>
      <c r="I164" s="349"/>
      <c r="J164" s="349"/>
      <c r="K164" s="349"/>
      <c r="L164" s="349"/>
      <c r="M164" s="349"/>
    </row>
    <row r="165" ht="20.25" customHeight="1">
      <c r="A165" s="12"/>
      <c r="B165" s="12"/>
      <c r="C165" s="304"/>
      <c r="D165" s="304"/>
      <c r="E165" s="349"/>
      <c r="F165" s="349"/>
      <c r="G165" s="349"/>
      <c r="H165" s="349"/>
      <c r="I165" s="349"/>
      <c r="J165" s="349"/>
      <c r="K165" s="349"/>
      <c r="L165" s="349"/>
      <c r="M165" s="349"/>
    </row>
    <row r="166" ht="20.25" customHeight="1">
      <c r="A166" s="12"/>
      <c r="B166" s="12"/>
      <c r="C166" s="304"/>
      <c r="D166" s="304"/>
      <c r="E166" s="349"/>
      <c r="F166" s="349"/>
      <c r="G166" s="349"/>
      <c r="H166" s="349"/>
      <c r="I166" s="349"/>
      <c r="J166" s="349"/>
      <c r="K166" s="349"/>
      <c r="L166" s="349"/>
      <c r="M166" s="349"/>
    </row>
    <row r="167" ht="20.25" customHeight="1">
      <c r="A167" s="12"/>
      <c r="B167" s="12"/>
      <c r="C167" s="304"/>
      <c r="D167" s="304"/>
      <c r="E167" s="349"/>
      <c r="F167" s="349"/>
      <c r="G167" s="349"/>
      <c r="H167" s="349"/>
      <c r="I167" s="349"/>
      <c r="J167" s="349"/>
      <c r="K167" s="349"/>
      <c r="L167" s="349"/>
      <c r="M167" s="349"/>
    </row>
    <row r="168" ht="20.25" customHeight="1">
      <c r="A168" s="12"/>
      <c r="B168" s="12"/>
      <c r="C168" s="304"/>
      <c r="D168" s="304"/>
      <c r="E168" s="349"/>
      <c r="F168" s="349"/>
      <c r="G168" s="349"/>
      <c r="H168" s="349"/>
      <c r="I168" s="349"/>
      <c r="J168" s="349"/>
      <c r="K168" s="349"/>
      <c r="L168" s="349"/>
      <c r="M168" s="349"/>
    </row>
    <row r="169" ht="20.25" customHeight="1">
      <c r="A169" s="12"/>
      <c r="B169" s="12"/>
      <c r="C169" s="304"/>
      <c r="D169" s="304"/>
      <c r="E169" s="349"/>
      <c r="F169" s="349"/>
      <c r="G169" s="349"/>
      <c r="H169" s="349"/>
      <c r="I169" s="349"/>
      <c r="J169" s="349"/>
      <c r="K169" s="349"/>
      <c r="L169" s="349"/>
      <c r="M169" s="349"/>
    </row>
    <row r="170" ht="20.25" customHeight="1">
      <c r="A170" s="12"/>
      <c r="B170" s="12"/>
      <c r="C170" s="304"/>
      <c r="D170" s="304"/>
      <c r="E170" s="349"/>
      <c r="F170" s="349"/>
      <c r="G170" s="349"/>
      <c r="H170" s="349"/>
      <c r="I170" s="349"/>
      <c r="J170" s="349"/>
      <c r="K170" s="349"/>
      <c r="L170" s="349"/>
      <c r="M170" s="349"/>
    </row>
    <row r="171" ht="20.25" customHeight="1">
      <c r="A171" s="12"/>
      <c r="B171" s="12"/>
      <c r="C171" s="304"/>
      <c r="D171" s="304"/>
      <c r="E171" s="349"/>
      <c r="F171" s="349"/>
      <c r="G171" s="349"/>
      <c r="H171" s="349"/>
      <c r="I171" s="349"/>
      <c r="J171" s="349"/>
      <c r="K171" s="349"/>
      <c r="L171" s="349"/>
      <c r="M171" s="349"/>
    </row>
    <row r="172" ht="20.25" customHeight="1">
      <c r="A172" s="12"/>
      <c r="B172" s="12"/>
      <c r="C172" s="304"/>
      <c r="D172" s="304"/>
      <c r="E172" s="349"/>
      <c r="F172" s="349"/>
      <c r="G172" s="349"/>
      <c r="H172" s="349"/>
      <c r="I172" s="349"/>
      <c r="J172" s="349"/>
      <c r="K172" s="349"/>
      <c r="L172" s="349"/>
      <c r="M172" s="349"/>
    </row>
    <row r="173" ht="20.25" customHeight="1">
      <c r="A173" s="12"/>
      <c r="B173" s="12"/>
      <c r="C173" s="304"/>
      <c r="D173" s="304"/>
      <c r="E173" s="349"/>
      <c r="F173" s="349"/>
      <c r="G173" s="349"/>
      <c r="H173" s="349"/>
      <c r="I173" s="349"/>
      <c r="J173" s="349"/>
      <c r="K173" s="349"/>
      <c r="L173" s="349"/>
      <c r="M173" s="349"/>
    </row>
    <row r="174" ht="20.25" customHeight="1">
      <c r="A174" s="12"/>
      <c r="B174" s="12"/>
      <c r="C174" s="304"/>
      <c r="D174" s="304"/>
      <c r="E174" s="349"/>
      <c r="F174" s="349"/>
      <c r="G174" s="349"/>
      <c r="H174" s="349"/>
      <c r="I174" s="349"/>
      <c r="J174" s="349"/>
      <c r="K174" s="349"/>
      <c r="L174" s="349"/>
      <c r="M174" s="349"/>
    </row>
    <row r="175" ht="20.25" customHeight="1">
      <c r="A175" s="12"/>
      <c r="B175" s="12"/>
      <c r="C175" s="304"/>
      <c r="D175" s="304"/>
      <c r="E175" s="349"/>
      <c r="F175" s="349"/>
      <c r="G175" s="349"/>
      <c r="H175" s="349"/>
      <c r="I175" s="349"/>
      <c r="J175" s="349"/>
      <c r="K175" s="349"/>
      <c r="L175" s="349"/>
      <c r="M175" s="349"/>
    </row>
    <row r="176" ht="20.25" customHeight="1">
      <c r="A176" s="12"/>
      <c r="B176" s="12"/>
      <c r="C176" s="304"/>
      <c r="D176" s="304"/>
      <c r="E176" s="349"/>
      <c r="F176" s="349"/>
      <c r="G176" s="349"/>
      <c r="H176" s="349"/>
      <c r="I176" s="349"/>
      <c r="J176" s="349"/>
      <c r="K176" s="349"/>
      <c r="L176" s="349"/>
      <c r="M176" s="349"/>
    </row>
    <row r="177" ht="20.25" customHeight="1">
      <c r="A177" s="12"/>
      <c r="B177" s="12"/>
      <c r="C177" s="304"/>
      <c r="D177" s="304"/>
      <c r="E177" s="349"/>
      <c r="F177" s="349"/>
      <c r="G177" s="349"/>
      <c r="H177" s="349"/>
      <c r="I177" s="349"/>
      <c r="J177" s="349"/>
      <c r="K177" s="349"/>
      <c r="L177" s="349"/>
      <c r="M177" s="349"/>
    </row>
    <row r="178" ht="20.25" customHeight="1">
      <c r="A178" s="12"/>
      <c r="B178" s="12"/>
      <c r="C178" s="304"/>
      <c r="D178" s="304"/>
      <c r="E178" s="349"/>
      <c r="F178" s="349"/>
      <c r="G178" s="349"/>
      <c r="H178" s="349"/>
      <c r="I178" s="349"/>
      <c r="J178" s="349"/>
      <c r="K178" s="349"/>
      <c r="L178" s="349"/>
      <c r="M178" s="349"/>
    </row>
    <row r="179" ht="20.25" customHeight="1">
      <c r="A179" s="12"/>
      <c r="B179" s="12"/>
      <c r="C179" s="304"/>
      <c r="D179" s="304"/>
      <c r="E179" s="349"/>
      <c r="F179" s="349"/>
      <c r="G179" s="349"/>
      <c r="H179" s="349"/>
      <c r="I179" s="349"/>
      <c r="J179" s="349"/>
      <c r="K179" s="349"/>
      <c r="L179" s="349"/>
      <c r="M179" s="349"/>
    </row>
    <row r="180" ht="20.25" customHeight="1">
      <c r="A180" s="12"/>
      <c r="B180" s="12"/>
      <c r="C180" s="304"/>
      <c r="D180" s="304"/>
      <c r="E180" s="349"/>
      <c r="F180" s="349"/>
      <c r="G180" s="349"/>
      <c r="H180" s="349"/>
      <c r="I180" s="349"/>
      <c r="J180" s="349"/>
      <c r="K180" s="349"/>
      <c r="L180" s="349"/>
      <c r="M180" s="349"/>
    </row>
    <row r="181" ht="20.25" customHeight="1">
      <c r="A181" s="12"/>
      <c r="B181" s="12"/>
      <c r="C181" s="304"/>
      <c r="D181" s="304"/>
      <c r="E181" s="349"/>
      <c r="F181" s="349"/>
      <c r="G181" s="349"/>
      <c r="H181" s="349"/>
      <c r="I181" s="349"/>
      <c r="J181" s="349"/>
      <c r="K181" s="349"/>
      <c r="L181" s="349"/>
      <c r="M181" s="349"/>
    </row>
    <row r="182" ht="20.25" customHeight="1">
      <c r="A182" s="12"/>
      <c r="B182" s="12"/>
      <c r="C182" s="304"/>
      <c r="D182" s="304"/>
      <c r="E182" s="349"/>
      <c r="F182" s="349"/>
      <c r="G182" s="349"/>
      <c r="H182" s="349"/>
      <c r="I182" s="349"/>
      <c r="J182" s="349"/>
      <c r="K182" s="349"/>
      <c r="L182" s="349"/>
      <c r="M182" s="349"/>
    </row>
    <row r="183" ht="20.25" customHeight="1">
      <c r="A183" s="12"/>
      <c r="B183" s="12"/>
      <c r="C183" s="304"/>
      <c r="D183" s="304"/>
      <c r="E183" s="349"/>
      <c r="F183" s="349"/>
      <c r="G183" s="349"/>
      <c r="H183" s="349"/>
      <c r="I183" s="349"/>
      <c r="J183" s="349"/>
      <c r="K183" s="349"/>
      <c r="L183" s="349"/>
      <c r="M183" s="349"/>
    </row>
    <row r="184" ht="20.25" customHeight="1">
      <c r="A184" s="12"/>
      <c r="B184" s="12"/>
      <c r="C184" s="304"/>
      <c r="D184" s="304"/>
      <c r="E184" s="349"/>
      <c r="F184" s="349"/>
      <c r="G184" s="349"/>
      <c r="H184" s="349"/>
      <c r="I184" s="349"/>
      <c r="J184" s="349"/>
      <c r="K184" s="349"/>
      <c r="L184" s="349"/>
      <c r="M184" s="349"/>
    </row>
    <row r="185" ht="20.25" customHeight="1">
      <c r="A185" s="12"/>
      <c r="B185" s="12"/>
      <c r="C185" s="304"/>
      <c r="D185" s="304"/>
      <c r="E185" s="349"/>
      <c r="F185" s="349"/>
      <c r="G185" s="349"/>
      <c r="H185" s="349"/>
      <c r="I185" s="349"/>
      <c r="J185" s="349"/>
      <c r="K185" s="349"/>
      <c r="L185" s="349"/>
      <c r="M185" s="349"/>
    </row>
    <row r="186" ht="20.25" customHeight="1">
      <c r="A186" s="12"/>
      <c r="B186" s="12"/>
      <c r="C186" s="304"/>
      <c r="D186" s="304"/>
      <c r="E186" s="349"/>
      <c r="F186" s="349"/>
      <c r="G186" s="349"/>
      <c r="H186" s="349"/>
      <c r="I186" s="349"/>
      <c r="J186" s="349"/>
      <c r="K186" s="349"/>
      <c r="L186" s="349"/>
      <c r="M186" s="349"/>
    </row>
    <row r="187" ht="20.25" customHeight="1">
      <c r="A187" s="12"/>
      <c r="B187" s="12"/>
      <c r="C187" s="304"/>
      <c r="D187" s="304"/>
      <c r="E187" s="349"/>
      <c r="F187" s="349"/>
      <c r="G187" s="349"/>
      <c r="H187" s="349"/>
      <c r="I187" s="349"/>
      <c r="J187" s="349"/>
      <c r="K187" s="349"/>
      <c r="L187" s="349"/>
      <c r="M187" s="349"/>
    </row>
    <row r="188" ht="20.25" customHeight="1">
      <c r="A188" s="12"/>
      <c r="B188" s="12"/>
      <c r="C188" s="304"/>
      <c r="D188" s="304"/>
      <c r="E188" s="349"/>
      <c r="F188" s="349"/>
      <c r="G188" s="349"/>
      <c r="H188" s="349"/>
      <c r="I188" s="349"/>
      <c r="J188" s="349"/>
      <c r="K188" s="349"/>
      <c r="L188" s="349"/>
      <c r="M188" s="349"/>
    </row>
    <row r="189" ht="20.25" customHeight="1">
      <c r="A189" s="12"/>
      <c r="B189" s="12"/>
      <c r="C189" s="304"/>
      <c r="D189" s="304"/>
      <c r="E189" s="349"/>
      <c r="F189" s="349"/>
      <c r="G189" s="349"/>
      <c r="H189" s="349"/>
      <c r="I189" s="349"/>
      <c r="J189" s="349"/>
      <c r="K189" s="349"/>
      <c r="L189" s="349"/>
      <c r="M189" s="349"/>
    </row>
    <row r="190" ht="20.25" customHeight="1">
      <c r="A190" s="12"/>
      <c r="B190" s="12"/>
      <c r="C190" s="304"/>
      <c r="D190" s="304"/>
      <c r="E190" s="349"/>
      <c r="F190" s="349"/>
      <c r="G190" s="349"/>
      <c r="H190" s="349"/>
      <c r="I190" s="349"/>
      <c r="J190" s="349"/>
      <c r="K190" s="349"/>
      <c r="L190" s="349"/>
      <c r="M190" s="349"/>
    </row>
    <row r="191" ht="20.25" customHeight="1">
      <c r="A191" s="12"/>
      <c r="B191" s="12"/>
      <c r="C191" s="304"/>
      <c r="D191" s="304"/>
      <c r="E191" s="349"/>
      <c r="F191" s="349"/>
      <c r="G191" s="349"/>
      <c r="H191" s="349"/>
      <c r="I191" s="349"/>
      <c r="J191" s="349"/>
      <c r="K191" s="349"/>
      <c r="L191" s="349"/>
      <c r="M191" s="349"/>
    </row>
    <row r="192" ht="20.25" customHeight="1">
      <c r="A192" s="12"/>
      <c r="B192" s="12"/>
      <c r="C192" s="304"/>
      <c r="D192" s="304"/>
      <c r="E192" s="349"/>
      <c r="F192" s="349"/>
      <c r="G192" s="349"/>
      <c r="H192" s="349"/>
      <c r="I192" s="349"/>
      <c r="J192" s="349"/>
      <c r="K192" s="349"/>
      <c r="L192" s="349"/>
      <c r="M192" s="349"/>
    </row>
    <row r="193" ht="20.25" customHeight="1">
      <c r="A193" s="12"/>
      <c r="B193" s="12"/>
      <c r="C193" s="304"/>
      <c r="D193" s="304"/>
      <c r="E193" s="349"/>
      <c r="F193" s="349"/>
      <c r="G193" s="349"/>
      <c r="H193" s="349"/>
      <c r="I193" s="349"/>
      <c r="J193" s="349"/>
      <c r="K193" s="349"/>
      <c r="L193" s="349"/>
      <c r="M193" s="349"/>
    </row>
    <row r="194" ht="20.25" customHeight="1">
      <c r="A194" s="12"/>
      <c r="B194" s="12"/>
      <c r="C194" s="304"/>
      <c r="D194" s="304"/>
      <c r="E194" s="349"/>
      <c r="F194" s="349"/>
      <c r="G194" s="349"/>
      <c r="H194" s="349"/>
      <c r="I194" s="349"/>
      <c r="J194" s="349"/>
      <c r="K194" s="349"/>
      <c r="L194" s="349"/>
      <c r="M194" s="349"/>
    </row>
    <row r="195" ht="20.25" customHeight="1">
      <c r="A195" s="12"/>
      <c r="B195" s="12"/>
      <c r="C195" s="304"/>
      <c r="D195" s="304"/>
      <c r="E195" s="349"/>
      <c r="F195" s="349"/>
      <c r="G195" s="349"/>
      <c r="H195" s="349"/>
      <c r="I195" s="349"/>
      <c r="J195" s="349"/>
      <c r="K195" s="349"/>
      <c r="L195" s="349"/>
      <c r="M195" s="349"/>
    </row>
    <row r="196" ht="20.25" customHeight="1">
      <c r="A196" s="12"/>
      <c r="B196" s="12"/>
      <c r="C196" s="304"/>
      <c r="D196" s="304"/>
      <c r="E196" s="349"/>
      <c r="F196" s="349"/>
      <c r="G196" s="349"/>
      <c r="H196" s="349"/>
      <c r="I196" s="349"/>
      <c r="J196" s="349"/>
      <c r="K196" s="349"/>
      <c r="L196" s="349"/>
      <c r="M196" s="349"/>
    </row>
    <row r="197" ht="20.25" customHeight="1">
      <c r="A197" s="12"/>
      <c r="B197" s="12"/>
      <c r="C197" s="304"/>
      <c r="D197" s="304"/>
      <c r="E197" s="349"/>
      <c r="F197" s="349"/>
      <c r="G197" s="349"/>
      <c r="H197" s="349"/>
      <c r="I197" s="349"/>
      <c r="J197" s="349"/>
      <c r="K197" s="349"/>
      <c r="L197" s="349"/>
      <c r="M197" s="349"/>
    </row>
    <row r="198" ht="20.25" customHeight="1">
      <c r="A198" s="12"/>
      <c r="B198" s="12"/>
      <c r="C198" s="304"/>
      <c r="D198" s="304"/>
      <c r="E198" s="349"/>
      <c r="F198" s="349"/>
      <c r="G198" s="349"/>
      <c r="H198" s="349"/>
      <c r="I198" s="349"/>
      <c r="J198" s="349"/>
      <c r="K198" s="349"/>
      <c r="L198" s="349"/>
      <c r="M198" s="349"/>
    </row>
    <row r="199" ht="20.25" customHeight="1">
      <c r="A199" s="12"/>
      <c r="B199" s="12"/>
      <c r="C199" s="304"/>
      <c r="D199" s="304"/>
      <c r="E199" s="349"/>
      <c r="F199" s="349"/>
      <c r="G199" s="349"/>
      <c r="H199" s="349"/>
      <c r="I199" s="349"/>
      <c r="J199" s="349"/>
      <c r="K199" s="349"/>
      <c r="L199" s="349"/>
      <c r="M199" s="349"/>
    </row>
    <row r="200" ht="20.25" customHeight="1">
      <c r="A200" s="12"/>
      <c r="B200" s="12"/>
      <c r="C200" s="304"/>
      <c r="D200" s="304"/>
      <c r="E200" s="349"/>
      <c r="F200" s="349"/>
      <c r="G200" s="349"/>
      <c r="H200" s="349"/>
      <c r="I200" s="349"/>
      <c r="J200" s="349"/>
      <c r="K200" s="349"/>
      <c r="L200" s="349"/>
      <c r="M200" s="349"/>
    </row>
    <row r="201" ht="20.25" customHeight="1">
      <c r="A201" s="12"/>
      <c r="B201" s="12"/>
      <c r="C201" s="304"/>
      <c r="D201" s="304"/>
      <c r="E201" s="349"/>
      <c r="F201" s="349"/>
      <c r="G201" s="349"/>
      <c r="H201" s="349"/>
      <c r="I201" s="349"/>
      <c r="J201" s="349"/>
      <c r="K201" s="349"/>
      <c r="L201" s="349"/>
      <c r="M201" s="349"/>
    </row>
    <row r="202" ht="20.25" customHeight="1">
      <c r="A202" s="12"/>
      <c r="B202" s="12"/>
      <c r="C202" s="304"/>
      <c r="D202" s="304"/>
      <c r="E202" s="349"/>
      <c r="F202" s="349"/>
      <c r="G202" s="349"/>
      <c r="H202" s="349"/>
      <c r="I202" s="349"/>
      <c r="J202" s="349"/>
      <c r="K202" s="349"/>
      <c r="L202" s="349"/>
      <c r="M202" s="349"/>
    </row>
    <row r="203" ht="20.25" customHeight="1">
      <c r="A203" s="12"/>
      <c r="B203" s="12"/>
      <c r="C203" s="304"/>
      <c r="D203" s="304"/>
      <c r="E203" s="349"/>
      <c r="F203" s="349"/>
      <c r="G203" s="349"/>
      <c r="H203" s="349"/>
      <c r="I203" s="349"/>
      <c r="J203" s="349"/>
      <c r="K203" s="349"/>
      <c r="L203" s="349"/>
      <c r="M203" s="349"/>
    </row>
    <row r="204" ht="20.25" customHeight="1">
      <c r="A204" s="12"/>
      <c r="B204" s="12"/>
      <c r="C204" s="304"/>
      <c r="D204" s="304"/>
      <c r="E204" s="349"/>
      <c r="F204" s="349"/>
      <c r="G204" s="349"/>
      <c r="H204" s="349"/>
      <c r="I204" s="349"/>
      <c r="J204" s="349"/>
      <c r="K204" s="349"/>
      <c r="L204" s="349"/>
      <c r="M204" s="349"/>
    </row>
    <row r="205" ht="20.25" customHeight="1">
      <c r="A205" s="12"/>
      <c r="B205" s="12"/>
      <c r="C205" s="304"/>
      <c r="D205" s="304"/>
      <c r="E205" s="349"/>
      <c r="F205" s="349"/>
      <c r="G205" s="349"/>
      <c r="H205" s="349"/>
      <c r="I205" s="349"/>
      <c r="J205" s="349"/>
      <c r="K205" s="349"/>
      <c r="L205" s="349"/>
      <c r="M205" s="349"/>
    </row>
    <row r="206" ht="20.25" customHeight="1">
      <c r="A206" s="12"/>
      <c r="B206" s="12"/>
      <c r="C206" s="304"/>
      <c r="D206" s="304"/>
      <c r="E206" s="349"/>
      <c r="F206" s="349"/>
      <c r="G206" s="349"/>
      <c r="H206" s="349"/>
      <c r="I206" s="349"/>
      <c r="J206" s="349"/>
      <c r="K206" s="349"/>
      <c r="L206" s="349"/>
      <c r="M206" s="349"/>
    </row>
    <row r="207" ht="20.25" customHeight="1">
      <c r="A207" s="12"/>
      <c r="B207" s="12"/>
      <c r="C207" s="304"/>
      <c r="D207" s="304"/>
      <c r="E207" s="349"/>
      <c r="F207" s="349"/>
      <c r="G207" s="349"/>
      <c r="H207" s="349"/>
      <c r="I207" s="349"/>
      <c r="J207" s="349"/>
      <c r="K207" s="349"/>
      <c r="L207" s="349"/>
      <c r="M207" s="349"/>
    </row>
    <row r="208" ht="20.25" customHeight="1">
      <c r="A208" s="12"/>
      <c r="B208" s="12"/>
      <c r="C208" s="304"/>
      <c r="D208" s="304"/>
      <c r="E208" s="349"/>
      <c r="F208" s="349"/>
      <c r="G208" s="349"/>
      <c r="H208" s="349"/>
      <c r="I208" s="349"/>
      <c r="J208" s="349"/>
      <c r="K208" s="349"/>
      <c r="L208" s="349"/>
      <c r="M208" s="349"/>
    </row>
    <row r="209" ht="20.25" customHeight="1">
      <c r="A209" s="12"/>
      <c r="B209" s="12"/>
      <c r="C209" s="304"/>
      <c r="D209" s="304"/>
      <c r="E209" s="349"/>
      <c r="F209" s="349"/>
      <c r="G209" s="349"/>
      <c r="H209" s="349"/>
      <c r="I209" s="349"/>
      <c r="J209" s="349"/>
      <c r="K209" s="349"/>
      <c r="L209" s="349"/>
      <c r="M209" s="349"/>
    </row>
    <row r="210" ht="20.25" customHeight="1">
      <c r="A210" s="12"/>
      <c r="B210" s="12"/>
      <c r="C210" s="304"/>
      <c r="D210" s="304"/>
      <c r="E210" s="349"/>
      <c r="F210" s="349"/>
      <c r="G210" s="349"/>
      <c r="H210" s="349"/>
      <c r="I210" s="349"/>
      <c r="J210" s="349"/>
      <c r="K210" s="349"/>
      <c r="L210" s="349"/>
      <c r="M210" s="349"/>
    </row>
    <row r="211" ht="20.25" customHeight="1">
      <c r="A211" s="12"/>
      <c r="B211" s="12"/>
      <c r="C211" s="304"/>
      <c r="D211" s="304"/>
      <c r="E211" s="349"/>
      <c r="F211" s="349"/>
      <c r="G211" s="349"/>
      <c r="H211" s="349"/>
      <c r="I211" s="349"/>
      <c r="J211" s="349"/>
      <c r="K211" s="349"/>
      <c r="L211" s="349"/>
      <c r="M211" s="349"/>
    </row>
    <row r="212" ht="20.25" customHeight="1">
      <c r="A212" s="12"/>
      <c r="B212" s="12"/>
      <c r="C212" s="304"/>
      <c r="D212" s="304"/>
      <c r="E212" s="349"/>
      <c r="F212" s="349"/>
      <c r="G212" s="349"/>
      <c r="H212" s="349"/>
      <c r="I212" s="349"/>
      <c r="J212" s="349"/>
      <c r="K212" s="349"/>
      <c r="L212" s="349"/>
      <c r="M212" s="349"/>
    </row>
    <row r="213" ht="20.25" customHeight="1">
      <c r="A213" s="12"/>
      <c r="B213" s="12"/>
      <c r="C213" s="304"/>
      <c r="D213" s="304"/>
      <c r="E213" s="349"/>
      <c r="F213" s="349"/>
      <c r="G213" s="349"/>
      <c r="H213" s="349"/>
      <c r="I213" s="349"/>
      <c r="J213" s="349"/>
      <c r="K213" s="349"/>
      <c r="L213" s="349"/>
      <c r="M213" s="349"/>
    </row>
    <row r="214" ht="20.25" customHeight="1">
      <c r="A214" s="12"/>
      <c r="B214" s="12"/>
      <c r="C214" s="304"/>
      <c r="D214" s="304"/>
      <c r="E214" s="349"/>
      <c r="F214" s="349"/>
      <c r="G214" s="349"/>
      <c r="H214" s="349"/>
      <c r="I214" s="349"/>
      <c r="J214" s="349"/>
      <c r="K214" s="349"/>
      <c r="L214" s="349"/>
      <c r="M214" s="349"/>
    </row>
    <row r="215" ht="20.25" customHeight="1">
      <c r="A215" s="12"/>
      <c r="B215" s="12"/>
      <c r="C215" s="304"/>
      <c r="D215" s="304"/>
      <c r="E215" s="349"/>
      <c r="F215" s="349"/>
      <c r="G215" s="349"/>
      <c r="H215" s="349"/>
      <c r="I215" s="349"/>
      <c r="J215" s="349"/>
      <c r="K215" s="349"/>
      <c r="L215" s="349"/>
      <c r="M215" s="349"/>
    </row>
    <row r="216" ht="20.25" customHeight="1">
      <c r="A216" s="12"/>
      <c r="B216" s="12"/>
      <c r="C216" s="304"/>
      <c r="D216" s="304"/>
      <c r="E216" s="349"/>
      <c r="F216" s="349"/>
      <c r="G216" s="349"/>
      <c r="H216" s="349"/>
      <c r="I216" s="349"/>
      <c r="J216" s="349"/>
      <c r="K216" s="349"/>
      <c r="L216" s="349"/>
      <c r="M216" s="349"/>
    </row>
    <row r="217" ht="20.25" customHeight="1">
      <c r="A217" s="12"/>
      <c r="B217" s="12"/>
      <c r="C217" s="304"/>
      <c r="D217" s="304"/>
      <c r="E217" s="349"/>
      <c r="F217" s="349"/>
      <c r="G217" s="349"/>
      <c r="H217" s="349"/>
      <c r="I217" s="349"/>
      <c r="J217" s="349"/>
      <c r="K217" s="349"/>
      <c r="L217" s="349"/>
      <c r="M217" s="349"/>
    </row>
    <row r="218" ht="20.25" customHeight="1">
      <c r="A218" s="12"/>
      <c r="B218" s="12"/>
      <c r="C218" s="304"/>
      <c r="D218" s="304"/>
      <c r="E218" s="349"/>
      <c r="F218" s="349"/>
      <c r="G218" s="349"/>
      <c r="H218" s="349"/>
      <c r="I218" s="349"/>
      <c r="J218" s="349"/>
      <c r="K218" s="349"/>
      <c r="L218" s="349"/>
      <c r="M218" s="349"/>
    </row>
    <row r="219" ht="20.25" customHeight="1">
      <c r="A219" s="12"/>
      <c r="B219" s="12"/>
      <c r="C219" s="304"/>
      <c r="D219" s="304"/>
      <c r="E219" s="349"/>
      <c r="F219" s="349"/>
      <c r="G219" s="349"/>
      <c r="H219" s="349"/>
      <c r="I219" s="349"/>
      <c r="J219" s="349"/>
      <c r="K219" s="349"/>
      <c r="L219" s="349"/>
      <c r="M219" s="349"/>
    </row>
    <row r="220" ht="20.25" customHeight="1">
      <c r="A220" s="12"/>
      <c r="B220" s="12"/>
      <c r="C220" s="304"/>
      <c r="D220" s="304"/>
      <c r="E220" s="349"/>
      <c r="F220" s="349"/>
      <c r="G220" s="349"/>
      <c r="H220" s="349"/>
      <c r="I220" s="349"/>
      <c r="J220" s="349"/>
      <c r="K220" s="349"/>
      <c r="L220" s="349"/>
      <c r="M220" s="349"/>
    </row>
    <row r="221" ht="20.25" customHeight="1">
      <c r="A221" s="12"/>
      <c r="B221" s="12"/>
      <c r="C221" s="304"/>
      <c r="D221" s="304"/>
      <c r="E221" s="349"/>
      <c r="F221" s="349"/>
      <c r="G221" s="349"/>
      <c r="H221" s="349"/>
      <c r="I221" s="349"/>
      <c r="J221" s="349"/>
      <c r="K221" s="349"/>
      <c r="L221" s="349"/>
      <c r="M221" s="349"/>
    </row>
    <row r="222" ht="20.25" customHeight="1">
      <c r="A222" s="12"/>
      <c r="B222" s="12"/>
      <c r="C222" s="304"/>
      <c r="D222" s="304"/>
      <c r="E222" s="349"/>
      <c r="F222" s="349"/>
      <c r="G222" s="349"/>
      <c r="H222" s="349"/>
      <c r="I222" s="349"/>
      <c r="J222" s="349"/>
      <c r="K222" s="349"/>
      <c r="L222" s="349"/>
      <c r="M222" s="349"/>
    </row>
    <row r="223" ht="20.25" customHeight="1">
      <c r="A223" s="12"/>
      <c r="B223" s="12"/>
      <c r="C223" s="304"/>
      <c r="D223" s="304"/>
      <c r="E223" s="349"/>
      <c r="F223" s="349"/>
      <c r="G223" s="349"/>
      <c r="H223" s="349"/>
      <c r="I223" s="349"/>
      <c r="J223" s="349"/>
      <c r="K223" s="349"/>
      <c r="L223" s="349"/>
      <c r="M223" s="349"/>
    </row>
    <row r="224" ht="20.25" customHeight="1">
      <c r="A224" s="12"/>
      <c r="B224" s="12"/>
      <c r="C224" s="304"/>
      <c r="D224" s="304"/>
      <c r="E224" s="349"/>
      <c r="F224" s="349"/>
      <c r="G224" s="349"/>
      <c r="H224" s="349"/>
      <c r="I224" s="349"/>
      <c r="J224" s="349"/>
      <c r="K224" s="349"/>
      <c r="L224" s="349"/>
      <c r="M224" s="349"/>
    </row>
    <row r="225" ht="20.25" customHeight="1">
      <c r="A225" s="12"/>
      <c r="B225" s="12"/>
      <c r="C225" s="304"/>
      <c r="D225" s="304"/>
      <c r="E225" s="349"/>
      <c r="F225" s="349"/>
      <c r="G225" s="349"/>
      <c r="H225" s="349"/>
      <c r="I225" s="349"/>
      <c r="J225" s="349"/>
      <c r="K225" s="349"/>
      <c r="L225" s="349"/>
      <c r="M225" s="349"/>
    </row>
    <row r="226" ht="20.25" customHeight="1">
      <c r="A226" s="12"/>
      <c r="B226" s="12"/>
      <c r="C226" s="304"/>
      <c r="D226" s="304"/>
      <c r="E226" s="349"/>
      <c r="F226" s="349"/>
      <c r="G226" s="349"/>
      <c r="H226" s="349"/>
      <c r="I226" s="349"/>
      <c r="J226" s="349"/>
      <c r="K226" s="349"/>
      <c r="L226" s="349"/>
      <c r="M226" s="349"/>
    </row>
    <row r="227" ht="20.25" customHeight="1">
      <c r="A227" s="12"/>
      <c r="B227" s="12"/>
      <c r="C227" s="304"/>
      <c r="D227" s="304"/>
      <c r="E227" s="349"/>
      <c r="F227" s="349"/>
      <c r="G227" s="349"/>
      <c r="H227" s="349"/>
      <c r="I227" s="349"/>
      <c r="J227" s="349"/>
      <c r="K227" s="349"/>
      <c r="L227" s="349"/>
      <c r="M227" s="349"/>
    </row>
    <row r="228" ht="20.25" customHeight="1">
      <c r="A228" s="12"/>
      <c r="B228" s="12"/>
      <c r="C228" s="304"/>
      <c r="D228" s="304"/>
      <c r="E228" s="349"/>
      <c r="F228" s="349"/>
      <c r="G228" s="349"/>
      <c r="H228" s="349"/>
      <c r="I228" s="349"/>
      <c r="J228" s="349"/>
      <c r="K228" s="349"/>
      <c r="L228" s="349"/>
      <c r="M228" s="349"/>
    </row>
    <row r="229" ht="20.25" customHeight="1">
      <c r="A229" s="12"/>
      <c r="B229" s="12"/>
      <c r="C229" s="304"/>
      <c r="D229" s="304"/>
      <c r="E229" s="349"/>
      <c r="F229" s="349"/>
      <c r="G229" s="349"/>
      <c r="H229" s="349"/>
      <c r="I229" s="349"/>
      <c r="J229" s="349"/>
      <c r="K229" s="349"/>
      <c r="L229" s="349"/>
      <c r="M229" s="349"/>
    </row>
    <row r="230" ht="20.25" customHeight="1">
      <c r="A230" s="12"/>
      <c r="B230" s="12"/>
      <c r="C230" s="304"/>
      <c r="D230" s="304"/>
      <c r="E230" s="349"/>
      <c r="F230" s="349"/>
      <c r="G230" s="349"/>
      <c r="H230" s="349"/>
      <c r="I230" s="349"/>
      <c r="J230" s="349"/>
      <c r="K230" s="349"/>
      <c r="L230" s="349"/>
      <c r="M230" s="349"/>
    </row>
    <row r="231" ht="20.25" customHeight="1">
      <c r="A231" s="12"/>
      <c r="B231" s="12"/>
      <c r="C231" s="304"/>
      <c r="D231" s="304"/>
      <c r="E231" s="349"/>
      <c r="F231" s="349"/>
      <c r="G231" s="349"/>
      <c r="H231" s="349"/>
      <c r="I231" s="349"/>
      <c r="J231" s="349"/>
      <c r="K231" s="349"/>
      <c r="L231" s="349"/>
      <c r="M231" s="349"/>
    </row>
    <row r="232" ht="20.25" customHeight="1">
      <c r="A232" s="12"/>
      <c r="B232" s="12"/>
      <c r="C232" s="304"/>
      <c r="D232" s="304"/>
      <c r="E232" s="349"/>
      <c r="F232" s="349"/>
      <c r="G232" s="349"/>
      <c r="H232" s="349"/>
      <c r="I232" s="349"/>
      <c r="J232" s="349"/>
      <c r="K232" s="349"/>
      <c r="L232" s="349"/>
      <c r="M232" s="349"/>
    </row>
    <row r="233" ht="20.25" customHeight="1">
      <c r="A233" s="12"/>
      <c r="B233" s="12"/>
      <c r="C233" s="304"/>
      <c r="D233" s="304"/>
      <c r="E233" s="349"/>
      <c r="F233" s="349"/>
      <c r="G233" s="349"/>
      <c r="H233" s="349"/>
      <c r="I233" s="349"/>
      <c r="J233" s="349"/>
      <c r="K233" s="349"/>
      <c r="L233" s="349"/>
      <c r="M233" s="349"/>
    </row>
    <row r="234" ht="20.25" customHeight="1">
      <c r="A234" s="12"/>
      <c r="B234" s="12"/>
      <c r="C234" s="304"/>
      <c r="D234" s="304"/>
      <c r="E234" s="349"/>
      <c r="F234" s="349"/>
      <c r="G234" s="349"/>
      <c r="H234" s="349"/>
      <c r="I234" s="349"/>
      <c r="J234" s="349"/>
      <c r="K234" s="349"/>
      <c r="L234" s="349"/>
      <c r="M234" s="349"/>
    </row>
    <row r="235" ht="20.25" customHeight="1">
      <c r="A235" s="12"/>
      <c r="B235" s="12"/>
      <c r="C235" s="304"/>
      <c r="D235" s="304"/>
      <c r="E235" s="349"/>
      <c r="F235" s="349"/>
      <c r="G235" s="349"/>
      <c r="H235" s="349"/>
      <c r="I235" s="349"/>
      <c r="J235" s="349"/>
      <c r="K235" s="349"/>
      <c r="L235" s="349"/>
      <c r="M235" s="349"/>
    </row>
    <row r="236" ht="20.25" customHeight="1">
      <c r="A236" s="12"/>
      <c r="B236" s="12"/>
      <c r="C236" s="304"/>
      <c r="D236" s="304"/>
      <c r="E236" s="349"/>
      <c r="F236" s="349"/>
      <c r="G236" s="349"/>
      <c r="H236" s="349"/>
      <c r="I236" s="349"/>
      <c r="J236" s="349"/>
      <c r="K236" s="349"/>
      <c r="L236" s="349"/>
      <c r="M236" s="349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0">
    <mergeCell ref="E7:F8"/>
    <mergeCell ref="G8:H8"/>
    <mergeCell ref="I8:J8"/>
    <mergeCell ref="K8:L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3:D3"/>
    <mergeCell ref="A7:A10"/>
    <mergeCell ref="B7:B10"/>
    <mergeCell ref="C7:D8"/>
    <mergeCell ref="G7:L7"/>
    <mergeCell ref="M7:M10"/>
    <mergeCell ref="L9:L10"/>
  </mergeCells>
  <printOptions/>
  <pageMargins bottom="0.75" footer="0.0" header="0.0" left="0.7" right="0.7" top="0.7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4.43"/>
    <col customWidth="1" min="2" max="2" width="54.0"/>
    <col customWidth="1" min="3" max="3" width="71.14"/>
    <col customWidth="1" min="4" max="4" width="32.43"/>
    <col customWidth="1" min="5" max="5" width="37.71"/>
  </cols>
  <sheetData>
    <row r="1">
      <c r="A1" s="407" t="s">
        <v>0</v>
      </c>
      <c r="B1" s="407"/>
      <c r="C1" s="407"/>
      <c r="D1" s="407"/>
      <c r="E1" s="407"/>
      <c r="F1" s="408"/>
      <c r="G1" s="407"/>
      <c r="H1" s="407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409" t="s">
        <v>1</v>
      </c>
      <c r="B2" s="407"/>
      <c r="C2" s="407"/>
      <c r="D2" s="6"/>
      <c r="G2" s="407"/>
      <c r="H2" s="407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410" t="s">
        <v>682</v>
      </c>
      <c r="B3" s="12"/>
      <c r="C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410" t="s">
        <v>3</v>
      </c>
      <c r="B4" s="12"/>
      <c r="C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410" t="s">
        <v>4</v>
      </c>
      <c r="B5" s="12"/>
      <c r="C5" s="12"/>
      <c r="D5" s="411"/>
      <c r="E5" s="349"/>
      <c r="F5" s="4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12"/>
      <c r="B6" s="12"/>
      <c r="C6" s="12"/>
      <c r="D6" s="411"/>
      <c r="E6" s="349"/>
      <c r="F6" s="4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>
      <c r="A7" s="413" t="s">
        <v>683</v>
      </c>
      <c r="B7" s="413" t="s">
        <v>684</v>
      </c>
      <c r="C7" s="413" t="s">
        <v>685</v>
      </c>
      <c r="D7" s="414" t="s">
        <v>686</v>
      </c>
      <c r="E7" s="415" t="s">
        <v>687</v>
      </c>
      <c r="F7" s="416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ht="20.25" customHeight="1">
      <c r="A8" s="417" t="s">
        <v>688</v>
      </c>
      <c r="B8" s="18"/>
      <c r="C8" s="18"/>
      <c r="D8" s="18"/>
      <c r="E8" s="19"/>
      <c r="F8" s="418"/>
      <c r="G8" s="419"/>
      <c r="H8" s="420"/>
      <c r="I8" s="420"/>
      <c r="J8" s="421"/>
      <c r="K8" s="421"/>
      <c r="L8" s="420"/>
      <c r="M8" s="421"/>
      <c r="N8" s="421"/>
      <c r="O8" s="420"/>
      <c r="P8" s="420"/>
      <c r="Q8" s="420"/>
      <c r="R8" s="420"/>
      <c r="S8" s="420"/>
      <c r="T8" s="420"/>
      <c r="U8" s="420"/>
      <c r="V8" s="420"/>
      <c r="W8" s="420"/>
      <c r="X8" s="420"/>
      <c r="Y8" s="420"/>
      <c r="Z8" s="420"/>
      <c r="AA8" s="420"/>
      <c r="AB8" s="422"/>
      <c r="AC8" s="422"/>
      <c r="AD8" s="422"/>
    </row>
    <row r="9">
      <c r="A9" s="423" t="s">
        <v>689</v>
      </c>
      <c r="B9" s="39" t="s">
        <v>690</v>
      </c>
      <c r="C9" s="39" t="s">
        <v>691</v>
      </c>
      <c r="D9" s="424">
        <v>1.0</v>
      </c>
      <c r="E9" s="89">
        <v>15000.0</v>
      </c>
      <c r="F9" s="425"/>
      <c r="G9" s="426"/>
      <c r="H9" s="12"/>
      <c r="I9" s="12"/>
      <c r="J9" s="104"/>
      <c r="K9" s="271"/>
      <c r="L9" s="12"/>
      <c r="M9" s="339"/>
      <c r="N9" s="104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>
      <c r="A10" s="423" t="s">
        <v>689</v>
      </c>
      <c r="B10" s="39" t="s">
        <v>692</v>
      </c>
      <c r="C10" s="39" t="s">
        <v>693</v>
      </c>
      <c r="D10" s="424">
        <v>1.333</v>
      </c>
      <c r="E10" s="89">
        <v>20000.0</v>
      </c>
      <c r="F10" s="425"/>
      <c r="G10" s="426"/>
      <c r="H10" s="12"/>
      <c r="I10" s="12"/>
      <c r="J10" s="104"/>
      <c r="K10" s="271"/>
      <c r="L10" s="12"/>
      <c r="M10" s="339"/>
      <c r="N10" s="104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423" t="s">
        <v>689</v>
      </c>
      <c r="B11" s="39" t="s">
        <v>694</v>
      </c>
      <c r="C11" s="39" t="s">
        <v>695</v>
      </c>
      <c r="D11" s="424">
        <v>2.0</v>
      </c>
      <c r="E11" s="89">
        <v>30000.0</v>
      </c>
      <c r="F11" s="425"/>
      <c r="G11" s="426"/>
      <c r="H11" s="12"/>
      <c r="I11" s="12"/>
      <c r="J11" s="104"/>
      <c r="K11" s="271"/>
      <c r="L11" s="12"/>
      <c r="M11" s="339"/>
      <c r="N11" s="104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>
      <c r="A12" s="423" t="s">
        <v>689</v>
      </c>
      <c r="B12" s="39" t="s">
        <v>696</v>
      </c>
      <c r="C12" s="39" t="s">
        <v>697</v>
      </c>
      <c r="D12" s="424">
        <v>1.333</v>
      </c>
      <c r="E12" s="89">
        <v>20000.0</v>
      </c>
      <c r="F12" s="425"/>
      <c r="G12" s="426"/>
      <c r="H12" s="12"/>
      <c r="I12" s="12"/>
      <c r="J12" s="104"/>
      <c r="K12" s="271"/>
      <c r="L12" s="12"/>
      <c r="M12" s="339"/>
      <c r="N12" s="104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A13" s="423" t="s">
        <v>689</v>
      </c>
      <c r="B13" s="39" t="s">
        <v>696</v>
      </c>
      <c r="C13" s="39" t="s">
        <v>698</v>
      </c>
      <c r="D13" s="424">
        <v>2.0</v>
      </c>
      <c r="E13" s="89">
        <v>30000.0</v>
      </c>
      <c r="F13" s="427"/>
      <c r="G13" s="426"/>
      <c r="H13" s="12"/>
      <c r="I13" s="12"/>
      <c r="J13" s="104"/>
      <c r="K13" s="104"/>
      <c r="L13" s="12"/>
      <c r="M13" s="104"/>
      <c r="N13" s="104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>
      <c r="A14" s="423" t="s">
        <v>699</v>
      </c>
      <c r="B14" s="39" t="s">
        <v>700</v>
      </c>
      <c r="C14" s="39" t="s">
        <v>701</v>
      </c>
      <c r="D14" s="424">
        <v>0.667</v>
      </c>
      <c r="E14" s="89">
        <v>10000.0</v>
      </c>
      <c r="F14" s="425"/>
      <c r="G14" s="426"/>
      <c r="H14" s="12"/>
      <c r="I14" s="12"/>
      <c r="J14" s="104"/>
      <c r="K14" s="104"/>
      <c r="L14" s="12"/>
      <c r="M14" s="104"/>
      <c r="N14" s="104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>
      <c r="A15" s="423" t="s">
        <v>702</v>
      </c>
      <c r="B15" s="39" t="s">
        <v>703</v>
      </c>
      <c r="C15" s="39" t="s">
        <v>704</v>
      </c>
      <c r="D15" s="424">
        <v>0.667</v>
      </c>
      <c r="E15" s="89">
        <v>10000.0</v>
      </c>
      <c r="F15" s="425"/>
      <c r="G15" s="338"/>
      <c r="H15" s="338"/>
      <c r="I15" s="338"/>
      <c r="J15" s="428"/>
      <c r="K15" s="428"/>
      <c r="L15" s="428"/>
      <c r="M15" s="428"/>
      <c r="N15" s="428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>
      <c r="A16" s="423" t="s">
        <v>705</v>
      </c>
      <c r="B16" s="39" t="s">
        <v>706</v>
      </c>
      <c r="C16" s="39" t="s">
        <v>707</v>
      </c>
      <c r="D16" s="424">
        <v>1.0</v>
      </c>
      <c r="E16" s="89">
        <v>15000.0</v>
      </c>
      <c r="F16" s="425"/>
      <c r="G16" s="338"/>
      <c r="H16" s="338"/>
      <c r="I16" s="338"/>
      <c r="J16" s="428"/>
      <c r="K16" s="428"/>
      <c r="L16" s="428"/>
      <c r="M16" s="428"/>
      <c r="N16" s="428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>
      <c r="A17" s="423" t="s">
        <v>670</v>
      </c>
      <c r="B17" s="39" t="s">
        <v>708</v>
      </c>
      <c r="C17" s="39" t="s">
        <v>709</v>
      </c>
      <c r="D17" s="424">
        <v>0.667</v>
      </c>
      <c r="E17" s="89">
        <v>10000.0</v>
      </c>
      <c r="F17" s="425"/>
      <c r="G17" s="338"/>
      <c r="H17" s="338"/>
      <c r="I17" s="338"/>
      <c r="J17" s="428"/>
      <c r="K17" s="428"/>
      <c r="L17" s="428"/>
      <c r="M17" s="428"/>
      <c r="N17" s="428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ht="15.75" customHeight="1">
      <c r="A18" s="429" t="s">
        <v>13</v>
      </c>
      <c r="B18" s="18"/>
      <c r="C18" s="19"/>
      <c r="D18" s="430">
        <f>SUM(D9:D15)</f>
        <v>9</v>
      </c>
      <c r="E18" s="430">
        <f>SUM(E9:E17)</f>
        <v>160000</v>
      </c>
      <c r="F18" s="412"/>
      <c r="G18" s="431"/>
      <c r="H18" s="213"/>
      <c r="I18" s="432"/>
      <c r="J18" s="213"/>
      <c r="K18" s="431"/>
      <c r="L18" s="34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>
      <c r="A19" s="433" t="s">
        <v>8</v>
      </c>
      <c r="B19" s="434"/>
      <c r="C19" s="434"/>
      <c r="D19" s="434"/>
      <c r="E19" s="435"/>
      <c r="F19" s="418"/>
      <c r="G19" s="420"/>
      <c r="H19" s="420"/>
      <c r="I19" s="420"/>
      <c r="J19" s="420"/>
      <c r="K19" s="420"/>
      <c r="L19" s="420"/>
      <c r="M19" s="420"/>
      <c r="N19" s="420"/>
      <c r="O19" s="420"/>
      <c r="P19" s="420"/>
      <c r="Q19" s="420"/>
      <c r="R19" s="420"/>
      <c r="S19" s="420"/>
      <c r="T19" s="420"/>
      <c r="U19" s="420"/>
      <c r="V19" s="420"/>
      <c r="W19" s="420"/>
      <c r="X19" s="420"/>
      <c r="Y19" s="420"/>
      <c r="Z19" s="420"/>
      <c r="AA19" s="420"/>
      <c r="AB19" s="422"/>
      <c r="AC19" s="422"/>
      <c r="AD19" s="422"/>
    </row>
    <row r="20" ht="43.5" customHeight="1">
      <c r="A20" s="423" t="s">
        <v>702</v>
      </c>
      <c r="B20" s="39" t="s">
        <v>710</v>
      </c>
      <c r="C20" s="39" t="s">
        <v>711</v>
      </c>
      <c r="D20" s="424">
        <v>2.0</v>
      </c>
      <c r="E20" s="436">
        <v>30000.0</v>
      </c>
      <c r="F20" s="4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ht="43.5" customHeight="1">
      <c r="A21" s="423" t="s">
        <v>702</v>
      </c>
      <c r="B21" s="39" t="s">
        <v>712</v>
      </c>
      <c r="C21" s="39" t="s">
        <v>713</v>
      </c>
      <c r="D21" s="424">
        <v>1.0</v>
      </c>
      <c r="E21" s="436">
        <v>15000.0</v>
      </c>
      <c r="F21" s="4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ht="43.5" customHeight="1">
      <c r="A22" s="423" t="s">
        <v>714</v>
      </c>
      <c r="B22" s="39" t="s">
        <v>715</v>
      </c>
      <c r="C22" s="39" t="s">
        <v>716</v>
      </c>
      <c r="D22" s="424">
        <v>1.0</v>
      </c>
      <c r="E22" s="436">
        <v>15000.0</v>
      </c>
      <c r="F22" s="4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ht="43.5" customHeight="1">
      <c r="A23" s="423" t="s">
        <v>717</v>
      </c>
      <c r="B23" s="39" t="s">
        <v>718</v>
      </c>
      <c r="C23" s="39" t="s">
        <v>719</v>
      </c>
      <c r="D23" s="424">
        <v>1.0</v>
      </c>
      <c r="E23" s="436">
        <v>15000.0</v>
      </c>
      <c r="F23" s="4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ht="43.5" customHeight="1">
      <c r="A24" s="423" t="s">
        <v>720</v>
      </c>
      <c r="B24" s="39" t="s">
        <v>721</v>
      </c>
      <c r="C24" s="39" t="s">
        <v>722</v>
      </c>
      <c r="D24" s="424">
        <v>1.0</v>
      </c>
      <c r="E24" s="436">
        <v>15000.0</v>
      </c>
      <c r="F24" s="4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ht="43.5" customHeight="1">
      <c r="A25" s="423" t="s">
        <v>720</v>
      </c>
      <c r="B25" s="39" t="s">
        <v>723</v>
      </c>
      <c r="C25" s="39" t="s">
        <v>724</v>
      </c>
      <c r="D25" s="424">
        <v>1.0</v>
      </c>
      <c r="E25" s="436">
        <v>15000.0</v>
      </c>
      <c r="F25" s="4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ht="43.5" customHeight="1">
      <c r="A26" s="423" t="s">
        <v>725</v>
      </c>
      <c r="B26" s="39" t="s">
        <v>726</v>
      </c>
      <c r="C26" s="39" t="s">
        <v>727</v>
      </c>
      <c r="D26" s="424">
        <v>1.0</v>
      </c>
      <c r="E26" s="436">
        <v>15000.0</v>
      </c>
      <c r="F26" s="4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ht="43.5" customHeight="1">
      <c r="A27" s="423" t="s">
        <v>725</v>
      </c>
      <c r="B27" s="39" t="s">
        <v>728</v>
      </c>
      <c r="C27" s="39" t="s">
        <v>729</v>
      </c>
      <c r="D27" s="424">
        <v>1.0</v>
      </c>
      <c r="E27" s="436">
        <v>15000.0</v>
      </c>
      <c r="F27" s="4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ht="43.5" customHeight="1">
      <c r="A28" s="423" t="s">
        <v>730</v>
      </c>
      <c r="B28" s="39" t="s">
        <v>731</v>
      </c>
      <c r="C28" s="39" t="s">
        <v>732</v>
      </c>
      <c r="D28" s="424">
        <v>1.667</v>
      </c>
      <c r="E28" s="436">
        <v>25000.0</v>
      </c>
      <c r="F28" s="4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ht="43.5" customHeight="1">
      <c r="A29" s="423" t="s">
        <v>730</v>
      </c>
      <c r="B29" s="39" t="s">
        <v>733</v>
      </c>
      <c r="C29" s="39" t="s">
        <v>734</v>
      </c>
      <c r="D29" s="424">
        <v>1.333</v>
      </c>
      <c r="E29" s="436">
        <v>20000.0</v>
      </c>
      <c r="F29" s="4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ht="43.5" customHeight="1">
      <c r="A30" s="423" t="s">
        <v>730</v>
      </c>
      <c r="B30" s="39" t="s">
        <v>735</v>
      </c>
      <c r="C30" s="39" t="s">
        <v>736</v>
      </c>
      <c r="D30" s="424">
        <v>1.33</v>
      </c>
      <c r="E30" s="436">
        <v>20000.0</v>
      </c>
      <c r="F30" s="4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ht="43.5" customHeight="1">
      <c r="A31" s="423" t="s">
        <v>737</v>
      </c>
      <c r="B31" s="39" t="s">
        <v>738</v>
      </c>
      <c r="C31" s="39" t="s">
        <v>739</v>
      </c>
      <c r="D31" s="424">
        <v>1.0</v>
      </c>
      <c r="E31" s="436">
        <v>15000.0</v>
      </c>
      <c r="F31" s="4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ht="43.5" customHeight="1">
      <c r="A32" s="423" t="s">
        <v>670</v>
      </c>
      <c r="B32" s="39" t="s">
        <v>740</v>
      </c>
      <c r="C32" s="39" t="s">
        <v>741</v>
      </c>
      <c r="D32" s="424">
        <v>1.0</v>
      </c>
      <c r="E32" s="436">
        <v>10000.0</v>
      </c>
      <c r="F32" s="4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ht="43.5" customHeight="1">
      <c r="A33" s="423" t="s">
        <v>742</v>
      </c>
      <c r="B33" s="39" t="s">
        <v>743</v>
      </c>
      <c r="C33" s="39" t="s">
        <v>744</v>
      </c>
      <c r="D33" s="424">
        <v>1.0</v>
      </c>
      <c r="E33" s="436">
        <v>15000.0</v>
      </c>
      <c r="F33" s="4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ht="43.5" customHeight="1">
      <c r="A34" s="423" t="s">
        <v>705</v>
      </c>
      <c r="B34" s="39" t="s">
        <v>745</v>
      </c>
      <c r="C34" s="39" t="s">
        <v>746</v>
      </c>
      <c r="D34" s="424">
        <v>1.0</v>
      </c>
      <c r="E34" s="436">
        <v>15000.0</v>
      </c>
      <c r="F34" s="4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ht="15.75" customHeight="1">
      <c r="A35" s="437" t="s">
        <v>13</v>
      </c>
      <c r="B35" s="18"/>
      <c r="C35" s="19"/>
      <c r="D35" s="438">
        <f t="shared" ref="D35:E35" si="1">SUM(D25:D34)</f>
        <v>11.33</v>
      </c>
      <c r="E35" s="439">
        <f t="shared" si="1"/>
        <v>165000</v>
      </c>
      <c r="F35" s="4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ht="15.75" customHeight="1">
      <c r="A36" s="12"/>
      <c r="B36" s="12"/>
      <c r="C36" s="12"/>
      <c r="D36" s="12"/>
      <c r="E36" s="12"/>
      <c r="F36" s="4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ht="26.25" customHeight="1">
      <c r="A37" s="440" t="s">
        <v>747</v>
      </c>
      <c r="B37" s="18"/>
      <c r="C37" s="18"/>
      <c r="D37" s="18"/>
      <c r="E37" s="19"/>
      <c r="F37" s="416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ht="44.25" customHeight="1">
      <c r="A38" s="423" t="s">
        <v>748</v>
      </c>
      <c r="B38" s="39" t="s">
        <v>749</v>
      </c>
      <c r="C38" s="39" t="s">
        <v>750</v>
      </c>
      <c r="D38" s="424">
        <v>1.4</v>
      </c>
      <c r="E38" s="436">
        <v>21700.0</v>
      </c>
      <c r="F38" s="416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ht="44.25" customHeight="1">
      <c r="A39" s="423" t="s">
        <v>705</v>
      </c>
      <c r="B39" s="39" t="s">
        <v>751</v>
      </c>
      <c r="C39" s="39" t="s">
        <v>752</v>
      </c>
      <c r="D39" s="424">
        <v>1.7</v>
      </c>
      <c r="E39" s="436">
        <v>26350.0</v>
      </c>
      <c r="F39" s="416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ht="44.25" customHeight="1">
      <c r="A40" s="423" t="s">
        <v>670</v>
      </c>
      <c r="B40" s="39" t="s">
        <v>753</v>
      </c>
      <c r="C40" s="39" t="s">
        <v>754</v>
      </c>
      <c r="D40" s="424">
        <v>1.0</v>
      </c>
      <c r="E40" s="436">
        <v>15500.0</v>
      </c>
      <c r="F40" s="416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ht="44.25" customHeight="1">
      <c r="A41" s="423" t="s">
        <v>755</v>
      </c>
      <c r="B41" s="39" t="s">
        <v>718</v>
      </c>
      <c r="C41" s="39" t="s">
        <v>756</v>
      </c>
      <c r="D41" s="424">
        <v>1.8</v>
      </c>
      <c r="E41" s="436">
        <v>27900.0</v>
      </c>
      <c r="F41" s="416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ht="44.25" customHeight="1">
      <c r="A42" s="423" t="s">
        <v>737</v>
      </c>
      <c r="B42" s="39" t="s">
        <v>757</v>
      </c>
      <c r="C42" s="39" t="s">
        <v>758</v>
      </c>
      <c r="D42" s="424">
        <v>3.1</v>
      </c>
      <c r="E42" s="436">
        <v>48050.0</v>
      </c>
      <c r="F42" s="416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ht="44.25" customHeight="1">
      <c r="A43" s="423" t="s">
        <v>714</v>
      </c>
      <c r="B43" s="39" t="s">
        <v>759</v>
      </c>
      <c r="C43" s="39" t="s">
        <v>760</v>
      </c>
      <c r="D43" s="424">
        <v>1.0</v>
      </c>
      <c r="E43" s="436">
        <v>15500.0</v>
      </c>
      <c r="F43" s="416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>
      <c r="A44" s="441" t="s">
        <v>761</v>
      </c>
      <c r="B44" s="18"/>
      <c r="C44" s="19"/>
      <c r="D44" s="442">
        <f t="shared" ref="D44:E44" si="2">SUM(D38:D43)</f>
        <v>10</v>
      </c>
      <c r="E44" s="36">
        <f t="shared" si="2"/>
        <v>155000</v>
      </c>
      <c r="F44" s="416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ht="15.75" customHeight="1">
      <c r="A45" s="39"/>
      <c r="B45" s="39"/>
      <c r="C45" s="39"/>
      <c r="D45" s="443"/>
      <c r="E45" s="47"/>
      <c r="F45" s="416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ht="24.0" customHeight="1">
      <c r="A46" s="444" t="s">
        <v>762</v>
      </c>
      <c r="B46" s="18"/>
      <c r="C46" s="18"/>
      <c r="D46" s="18"/>
      <c r="E46" s="19"/>
      <c r="F46" s="416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ht="46.5" customHeight="1">
      <c r="A47" s="423" t="s">
        <v>720</v>
      </c>
      <c r="B47" s="39" t="s">
        <v>763</v>
      </c>
      <c r="C47" s="331" t="s">
        <v>764</v>
      </c>
      <c r="D47" s="445">
        <v>2.8</v>
      </c>
      <c r="E47" s="436">
        <v>43400.0</v>
      </c>
      <c r="F47" s="446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ht="46.5" customHeight="1">
      <c r="A48" s="423" t="s">
        <v>670</v>
      </c>
      <c r="B48" s="39" t="s">
        <v>765</v>
      </c>
      <c r="C48" s="331" t="s">
        <v>766</v>
      </c>
      <c r="D48" s="447">
        <v>1.19</v>
      </c>
      <c r="E48" s="436">
        <v>18445.0</v>
      </c>
      <c r="F48" s="446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ht="46.5" customHeight="1">
      <c r="A49" s="423" t="s">
        <v>705</v>
      </c>
      <c r="B49" s="39" t="s">
        <v>767</v>
      </c>
      <c r="C49" s="331" t="s">
        <v>768</v>
      </c>
      <c r="D49" s="447">
        <v>5.93</v>
      </c>
      <c r="E49" s="436">
        <v>91915.0</v>
      </c>
      <c r="F49" s="446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ht="46.5" customHeight="1">
      <c r="A50" s="423" t="s">
        <v>748</v>
      </c>
      <c r="B50" s="39" t="s">
        <v>769</v>
      </c>
      <c r="C50" s="331" t="s">
        <v>770</v>
      </c>
      <c r="D50" s="445">
        <v>2.45</v>
      </c>
      <c r="E50" s="436">
        <v>37975.0</v>
      </c>
      <c r="F50" s="446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ht="46.5" customHeight="1">
      <c r="A51" s="423" t="s">
        <v>771</v>
      </c>
      <c r="B51" s="39" t="s">
        <v>772</v>
      </c>
      <c r="C51" s="331" t="s">
        <v>773</v>
      </c>
      <c r="D51" s="447">
        <v>1.0</v>
      </c>
      <c r="E51" s="436">
        <v>15500.0</v>
      </c>
      <c r="F51" s="446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ht="46.5" customHeight="1">
      <c r="A52" s="423" t="s">
        <v>771</v>
      </c>
      <c r="B52" s="39" t="s">
        <v>774</v>
      </c>
      <c r="C52" s="331" t="s">
        <v>775</v>
      </c>
      <c r="D52" s="447">
        <v>1.88</v>
      </c>
      <c r="E52" s="436">
        <v>29140.0</v>
      </c>
      <c r="F52" s="446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ht="46.5" customHeight="1">
      <c r="A53" s="423" t="s">
        <v>689</v>
      </c>
      <c r="B53" s="39" t="s">
        <v>696</v>
      </c>
      <c r="C53" s="331" t="s">
        <v>776</v>
      </c>
      <c r="D53" s="447">
        <v>1.42</v>
      </c>
      <c r="E53" s="436">
        <v>22010.0</v>
      </c>
      <c r="F53" s="446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ht="46.5" customHeight="1">
      <c r="A54" s="423" t="s">
        <v>689</v>
      </c>
      <c r="B54" s="39" t="s">
        <v>777</v>
      </c>
      <c r="C54" s="331" t="s">
        <v>778</v>
      </c>
      <c r="D54" s="447">
        <v>1.6</v>
      </c>
      <c r="E54" s="436">
        <v>24800.0</v>
      </c>
      <c r="F54" s="446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ht="46.5" customHeight="1">
      <c r="A55" s="423" t="s">
        <v>742</v>
      </c>
      <c r="B55" s="39" t="s">
        <v>779</v>
      </c>
      <c r="C55" s="331" t="s">
        <v>780</v>
      </c>
      <c r="D55" s="447">
        <v>1.5</v>
      </c>
      <c r="E55" s="436">
        <v>23250.0</v>
      </c>
      <c r="F55" s="446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ht="46.5" customHeight="1">
      <c r="A56" s="423" t="s">
        <v>730</v>
      </c>
      <c r="B56" s="39" t="s">
        <v>781</v>
      </c>
      <c r="C56" s="331" t="s">
        <v>782</v>
      </c>
      <c r="D56" s="447">
        <v>1.0</v>
      </c>
      <c r="E56" s="436">
        <v>15500.0</v>
      </c>
      <c r="F56" s="446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ht="46.5" customHeight="1">
      <c r="A57" s="423" t="s">
        <v>730</v>
      </c>
      <c r="B57" s="39" t="s">
        <v>783</v>
      </c>
      <c r="C57" s="331" t="s">
        <v>784</v>
      </c>
      <c r="D57" s="447">
        <v>1.0</v>
      </c>
      <c r="E57" s="436">
        <v>15500.0</v>
      </c>
      <c r="F57" s="446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ht="46.5" customHeight="1">
      <c r="A58" s="423" t="s">
        <v>127</v>
      </c>
      <c r="B58" s="39" t="s">
        <v>785</v>
      </c>
      <c r="C58" s="331" t="s">
        <v>786</v>
      </c>
      <c r="D58" s="447">
        <v>1.1</v>
      </c>
      <c r="E58" s="436">
        <v>17050.0</v>
      </c>
      <c r="F58" s="446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ht="46.5" customHeight="1">
      <c r="A59" s="423" t="s">
        <v>127</v>
      </c>
      <c r="B59" s="39" t="s">
        <v>787</v>
      </c>
      <c r="C59" s="331" t="s">
        <v>788</v>
      </c>
      <c r="D59" s="447">
        <v>1.3</v>
      </c>
      <c r="E59" s="436">
        <v>20150.0</v>
      </c>
      <c r="F59" s="446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ht="46.5" customHeight="1">
      <c r="A60" s="423" t="s">
        <v>789</v>
      </c>
      <c r="B60" s="39" t="s">
        <v>790</v>
      </c>
      <c r="C60" s="331" t="s">
        <v>791</v>
      </c>
      <c r="D60" s="447">
        <v>1.0</v>
      </c>
      <c r="E60" s="436">
        <v>15500.0</v>
      </c>
      <c r="F60" s="446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ht="46.5" customHeight="1">
      <c r="A61" s="423" t="s">
        <v>789</v>
      </c>
      <c r="B61" s="39" t="s">
        <v>792</v>
      </c>
      <c r="C61" s="331" t="s">
        <v>793</v>
      </c>
      <c r="D61" s="447">
        <v>1.0</v>
      </c>
      <c r="E61" s="436">
        <v>15500.0</v>
      </c>
      <c r="F61" s="446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ht="46.5" customHeight="1">
      <c r="A62" s="423" t="s">
        <v>702</v>
      </c>
      <c r="B62" s="39" t="s">
        <v>794</v>
      </c>
      <c r="C62" s="331" t="s">
        <v>795</v>
      </c>
      <c r="D62" s="447">
        <v>1.18</v>
      </c>
      <c r="E62" s="436">
        <v>18290.0</v>
      </c>
      <c r="F62" s="446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ht="46.5" customHeight="1">
      <c r="A63" s="423" t="s">
        <v>702</v>
      </c>
      <c r="B63" s="39" t="s">
        <v>796</v>
      </c>
      <c r="C63" s="331" t="s">
        <v>797</v>
      </c>
      <c r="D63" s="447">
        <v>1.5</v>
      </c>
      <c r="E63" s="436">
        <v>23250.0</v>
      </c>
      <c r="F63" s="446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ht="46.5" customHeight="1">
      <c r="A64" s="423" t="s">
        <v>725</v>
      </c>
      <c r="B64" s="39" t="s">
        <v>798</v>
      </c>
      <c r="C64" s="331" t="s">
        <v>799</v>
      </c>
      <c r="D64" s="447">
        <v>1.5</v>
      </c>
      <c r="E64" s="436">
        <v>23250.0</v>
      </c>
      <c r="F64" s="446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ht="46.5" customHeight="1">
      <c r="A65" s="423" t="s">
        <v>725</v>
      </c>
      <c r="B65" s="39" t="s">
        <v>800</v>
      </c>
      <c r="C65" s="331" t="s">
        <v>801</v>
      </c>
      <c r="D65" s="448">
        <v>1.8</v>
      </c>
      <c r="E65" s="436">
        <v>27900.0</v>
      </c>
      <c r="F65" s="446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ht="46.5" customHeight="1">
      <c r="A66" s="423" t="s">
        <v>123</v>
      </c>
      <c r="B66" s="39" t="s">
        <v>802</v>
      </c>
      <c r="C66" s="331" t="s">
        <v>803</v>
      </c>
      <c r="D66" s="449">
        <v>1.0</v>
      </c>
      <c r="E66" s="436">
        <v>15500.0</v>
      </c>
      <c r="F66" s="446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ht="46.5" customHeight="1">
      <c r="A67" s="423" t="s">
        <v>123</v>
      </c>
      <c r="B67" s="39" t="s">
        <v>804</v>
      </c>
      <c r="C67" s="331" t="s">
        <v>805</v>
      </c>
      <c r="D67" s="450">
        <v>1.13</v>
      </c>
      <c r="E67" s="436">
        <v>17515.0</v>
      </c>
      <c r="F67" s="446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ht="46.5" customHeight="1">
      <c r="A68" s="423" t="s">
        <v>737</v>
      </c>
      <c r="B68" s="39" t="s">
        <v>806</v>
      </c>
      <c r="C68" s="331" t="s">
        <v>807</v>
      </c>
      <c r="D68" s="450">
        <v>1.1</v>
      </c>
      <c r="E68" s="436">
        <v>17050.0</v>
      </c>
      <c r="F68" s="446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ht="46.5" customHeight="1">
      <c r="A69" s="423" t="s">
        <v>808</v>
      </c>
      <c r="B69" s="39" t="s">
        <v>809</v>
      </c>
      <c r="C69" s="331" t="s">
        <v>810</v>
      </c>
      <c r="D69" s="450">
        <v>1.0</v>
      </c>
      <c r="E69" s="436">
        <v>15500.0</v>
      </c>
      <c r="F69" s="446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>
      <c r="A70" s="441" t="s">
        <v>761</v>
      </c>
      <c r="B70" s="18"/>
      <c r="C70" s="19"/>
      <c r="D70" s="442">
        <f>SUM(D47:D69)</f>
        <v>36.38</v>
      </c>
      <c r="E70" s="36">
        <f>SUM(E46:E69)</f>
        <v>563890</v>
      </c>
      <c r="F70" s="4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>
      <c r="A71" s="441" t="s">
        <v>13</v>
      </c>
      <c r="B71" s="18"/>
      <c r="C71" s="19"/>
      <c r="D71" s="442">
        <f t="shared" ref="D71:E71" si="3">D70+D44</f>
        <v>46.38</v>
      </c>
      <c r="E71" s="36">
        <f t="shared" si="3"/>
        <v>718890</v>
      </c>
      <c r="F71" s="416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ht="20.25" customHeight="1">
      <c r="A72" s="98"/>
      <c r="B72" s="98"/>
      <c r="C72" s="98"/>
      <c r="D72" s="98"/>
      <c r="E72" s="96"/>
      <c r="F72" s="452"/>
      <c r="G72" s="2"/>
      <c r="I72" s="2"/>
      <c r="J72" s="2"/>
      <c r="K72" s="96"/>
      <c r="L72" s="98"/>
      <c r="M72" s="2"/>
      <c r="N72" s="98"/>
      <c r="O72" s="96"/>
      <c r="V72" s="2"/>
      <c r="W72" s="2"/>
      <c r="X72" s="12"/>
      <c r="Y72" s="349"/>
      <c r="Z72" s="12"/>
      <c r="AA72" s="349"/>
      <c r="AB72" s="105"/>
      <c r="AC72" s="349"/>
      <c r="AD72" s="12"/>
    </row>
    <row r="73" ht="16.5" customHeight="1">
      <c r="A73" s="102" t="s">
        <v>70</v>
      </c>
      <c r="B73" s="12"/>
      <c r="C73" s="103" t="s">
        <v>83</v>
      </c>
      <c r="E73" s="97" t="s">
        <v>73</v>
      </c>
      <c r="F73" s="453"/>
      <c r="J73" s="2"/>
      <c r="K73" s="2"/>
      <c r="M73" s="2"/>
      <c r="N73" s="102" t="s">
        <v>70</v>
      </c>
      <c r="O73" s="12"/>
      <c r="R73" s="103" t="s">
        <v>83</v>
      </c>
      <c r="W73" s="2"/>
      <c r="X73" s="2"/>
      <c r="Y73" s="97" t="s">
        <v>73</v>
      </c>
      <c r="Z73" s="2"/>
      <c r="AA73" s="349"/>
      <c r="AB73" s="105"/>
      <c r="AC73" s="349"/>
      <c r="AD73" s="12"/>
    </row>
    <row r="74" ht="16.5" customHeight="1">
      <c r="A74" s="104"/>
      <c r="B74" s="12"/>
      <c r="C74" s="105"/>
      <c r="E74" s="98"/>
      <c r="F74" s="453"/>
      <c r="J74" s="2"/>
      <c r="K74" s="2"/>
      <c r="M74" s="2"/>
      <c r="N74" s="104"/>
      <c r="O74" s="12"/>
      <c r="R74" s="105"/>
      <c r="W74" s="2"/>
      <c r="X74" s="2"/>
      <c r="Y74" s="98"/>
      <c r="Z74" s="2"/>
      <c r="AA74" s="349"/>
      <c r="AB74" s="107" t="s">
        <v>77</v>
      </c>
      <c r="AC74" s="349"/>
      <c r="AD74" s="12"/>
    </row>
    <row r="75" ht="16.5" customHeight="1">
      <c r="A75" s="104"/>
      <c r="B75" s="12"/>
      <c r="C75" s="105"/>
      <c r="E75" s="98"/>
      <c r="F75" s="453"/>
      <c r="J75" s="2"/>
      <c r="K75" s="2"/>
      <c r="M75" s="2"/>
      <c r="N75" s="104"/>
      <c r="O75" s="12"/>
      <c r="R75" s="105"/>
      <c r="W75" s="2"/>
      <c r="X75" s="2"/>
      <c r="Y75" s="98"/>
      <c r="Z75" s="2"/>
      <c r="AA75" s="349"/>
      <c r="AB75" s="103" t="s">
        <v>81</v>
      </c>
      <c r="AC75" s="349"/>
      <c r="AD75" s="12"/>
    </row>
    <row r="76" ht="16.5" customHeight="1">
      <c r="B76" s="12"/>
      <c r="C76" s="105"/>
      <c r="E76" s="98"/>
      <c r="F76" s="412"/>
      <c r="G76" s="12"/>
      <c r="H76" s="12"/>
      <c r="J76" s="12"/>
      <c r="K76" s="12"/>
      <c r="M76" s="12"/>
      <c r="O76" s="12"/>
      <c r="R76" s="105"/>
      <c r="S76" s="12"/>
      <c r="T76" s="12"/>
      <c r="U76" s="12"/>
      <c r="W76" s="12"/>
      <c r="X76" s="12"/>
      <c r="Y76" s="98"/>
      <c r="Z76" s="12"/>
      <c r="AA76" s="12"/>
      <c r="AB76" s="12"/>
      <c r="AC76" s="12"/>
      <c r="AD76" s="12"/>
    </row>
    <row r="77" ht="16.5" customHeight="1">
      <c r="A77" s="104"/>
      <c r="B77" s="12"/>
      <c r="C77" s="105"/>
      <c r="E77" s="98"/>
      <c r="F77" s="412"/>
      <c r="G77" s="12"/>
      <c r="H77" s="12"/>
      <c r="J77" s="12"/>
      <c r="K77" s="12"/>
      <c r="M77" s="12"/>
      <c r="N77" s="104"/>
      <c r="O77" s="12"/>
      <c r="R77" s="105"/>
      <c r="S77" s="12"/>
      <c r="T77" s="12"/>
      <c r="U77" s="12"/>
      <c r="W77" s="12"/>
      <c r="X77" s="12"/>
      <c r="Y77" s="98"/>
      <c r="Z77" s="12"/>
      <c r="AA77" s="12"/>
      <c r="AB77" s="12"/>
      <c r="AC77" s="12"/>
      <c r="AD77" s="12"/>
    </row>
    <row r="78" ht="20.25" customHeight="1">
      <c r="A78" s="106" t="s">
        <v>75</v>
      </c>
      <c r="B78" s="12"/>
      <c r="C78" s="107" t="s">
        <v>76</v>
      </c>
      <c r="E78" s="100" t="s">
        <v>77</v>
      </c>
      <c r="F78" s="412"/>
      <c r="G78" s="12"/>
      <c r="H78" s="12"/>
      <c r="J78" s="12"/>
      <c r="K78" s="12"/>
      <c r="M78" s="12"/>
      <c r="N78" s="106" t="s">
        <v>75</v>
      </c>
      <c r="O78" s="12"/>
      <c r="R78" s="107" t="s">
        <v>76</v>
      </c>
      <c r="S78" s="12"/>
      <c r="T78" s="12"/>
      <c r="U78" s="12"/>
      <c r="W78" s="12"/>
      <c r="X78" s="12"/>
      <c r="Y78" s="100" t="s">
        <v>77</v>
      </c>
      <c r="Z78" s="12"/>
      <c r="AA78" s="12"/>
      <c r="AB78" s="12"/>
      <c r="AC78" s="12"/>
      <c r="AD78" s="12"/>
    </row>
    <row r="79">
      <c r="A79" s="108" t="s">
        <v>79</v>
      </c>
      <c r="B79" s="12"/>
      <c r="C79" s="103" t="s">
        <v>80</v>
      </c>
      <c r="E79" s="95" t="s">
        <v>81</v>
      </c>
      <c r="F79" s="412"/>
      <c r="G79" s="12"/>
      <c r="H79" s="12"/>
      <c r="J79" s="12"/>
      <c r="K79" s="12"/>
      <c r="M79" s="12"/>
      <c r="N79" s="108" t="s">
        <v>79</v>
      </c>
      <c r="O79" s="12"/>
      <c r="R79" s="103" t="s">
        <v>80</v>
      </c>
      <c r="S79" s="12"/>
      <c r="T79" s="12"/>
      <c r="U79" s="12"/>
      <c r="W79" s="12"/>
      <c r="X79" s="12"/>
      <c r="Y79" s="95" t="s">
        <v>81</v>
      </c>
      <c r="Z79" s="12"/>
      <c r="AA79" s="12"/>
      <c r="AB79" s="12"/>
      <c r="AC79" s="12"/>
      <c r="AD79" s="12"/>
    </row>
    <row r="80" ht="15.75" customHeight="1">
      <c r="A80" s="12"/>
      <c r="B80" s="12"/>
      <c r="C80" s="12"/>
      <c r="D80" s="12"/>
      <c r="E80" s="12"/>
      <c r="F80" s="4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ht="15.75" customHeight="1">
      <c r="A81" s="12"/>
      <c r="B81" s="12"/>
      <c r="C81" s="12"/>
      <c r="D81" s="12"/>
      <c r="E81" s="12"/>
      <c r="F81" s="4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ht="15.75" customHeight="1">
      <c r="A82" s="12"/>
      <c r="B82" s="12"/>
      <c r="C82" s="12"/>
      <c r="D82" s="12"/>
      <c r="E82" s="12"/>
      <c r="F82" s="4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ht="15.75" customHeight="1">
      <c r="A83" s="12"/>
      <c r="B83" s="12"/>
      <c r="C83" s="12"/>
      <c r="D83" s="12"/>
      <c r="E83" s="12"/>
      <c r="F83" s="4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ht="15.75" customHeight="1">
      <c r="A84" s="12"/>
      <c r="B84" s="12"/>
      <c r="C84" s="12"/>
      <c r="D84" s="12"/>
      <c r="E84" s="12"/>
      <c r="F84" s="4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ht="15.75" customHeight="1">
      <c r="A85" s="12"/>
      <c r="B85" s="12"/>
      <c r="C85" s="12"/>
      <c r="D85" s="12"/>
      <c r="E85" s="12"/>
      <c r="F85" s="4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ht="15.75" customHeight="1">
      <c r="A86" s="12"/>
      <c r="B86" s="12"/>
      <c r="C86" s="12"/>
      <c r="D86" s="12"/>
      <c r="E86" s="12"/>
      <c r="F86" s="4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ht="15.75" customHeight="1">
      <c r="A87" s="12"/>
      <c r="B87" s="12"/>
      <c r="C87" s="12"/>
      <c r="D87" s="12"/>
      <c r="E87" s="12"/>
      <c r="F87" s="4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ht="15.75" customHeight="1">
      <c r="A88" s="12"/>
      <c r="B88" s="12"/>
      <c r="C88" s="12"/>
      <c r="D88" s="12"/>
      <c r="E88" s="12"/>
      <c r="F88" s="4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ht="15.75" customHeight="1">
      <c r="A89" s="12"/>
      <c r="B89" s="12"/>
      <c r="C89" s="12"/>
      <c r="D89" s="12"/>
      <c r="E89" s="12"/>
      <c r="F89" s="4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ht="15.75" customHeight="1">
      <c r="A90" s="12"/>
      <c r="B90" s="12"/>
      <c r="C90" s="12"/>
      <c r="D90" s="12"/>
      <c r="E90" s="12"/>
      <c r="F90" s="4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ht="15.75" customHeight="1">
      <c r="A91" s="12"/>
      <c r="B91" s="12"/>
      <c r="C91" s="12"/>
      <c r="D91" s="12"/>
      <c r="E91" s="12"/>
      <c r="F91" s="4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ht="15.75" customHeight="1">
      <c r="A92" s="12"/>
      <c r="B92" s="12"/>
      <c r="C92" s="12"/>
      <c r="D92" s="12"/>
      <c r="E92" s="12"/>
      <c r="F92" s="4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ht="15.75" customHeight="1">
      <c r="A93" s="12"/>
      <c r="B93" s="12"/>
      <c r="C93" s="12"/>
      <c r="D93" s="12"/>
      <c r="E93" s="12"/>
      <c r="F93" s="4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ht="15.75" customHeight="1">
      <c r="A94" s="12"/>
      <c r="B94" s="12"/>
      <c r="C94" s="12"/>
      <c r="D94" s="12"/>
      <c r="E94" s="12"/>
      <c r="F94" s="4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ht="15.75" customHeight="1">
      <c r="A95" s="12"/>
      <c r="B95" s="12"/>
      <c r="C95" s="12"/>
      <c r="D95" s="12"/>
      <c r="E95" s="12"/>
      <c r="F95" s="4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ht="15.75" customHeight="1">
      <c r="A96" s="12"/>
      <c r="B96" s="12"/>
      <c r="C96" s="12"/>
      <c r="D96" s="12"/>
      <c r="E96" s="12"/>
      <c r="F96" s="4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ht="15.75" customHeight="1">
      <c r="A97" s="12"/>
      <c r="B97" s="12"/>
      <c r="C97" s="12"/>
      <c r="D97" s="12"/>
      <c r="E97" s="12"/>
      <c r="F97" s="4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ht="15.75" customHeight="1">
      <c r="A98" s="12"/>
      <c r="B98" s="12"/>
      <c r="C98" s="12"/>
      <c r="D98" s="12"/>
      <c r="E98" s="12"/>
      <c r="F98" s="4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ht="15.75" customHeight="1">
      <c r="A99" s="12"/>
      <c r="B99" s="12"/>
      <c r="C99" s="12"/>
      <c r="D99" s="12"/>
      <c r="E99" s="12"/>
      <c r="F99" s="4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ht="15.75" customHeight="1">
      <c r="A100" s="12"/>
      <c r="B100" s="12"/>
      <c r="C100" s="12"/>
      <c r="D100" s="12"/>
      <c r="E100" s="12"/>
      <c r="F100" s="4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ht="15.75" customHeight="1">
      <c r="A101" s="12"/>
      <c r="B101" s="12"/>
      <c r="C101" s="12"/>
      <c r="D101" s="12"/>
      <c r="E101" s="12"/>
      <c r="F101" s="4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ht="15.75" customHeight="1">
      <c r="A102" s="12"/>
      <c r="B102" s="12"/>
      <c r="C102" s="12"/>
      <c r="D102" s="12"/>
      <c r="E102" s="12"/>
      <c r="F102" s="4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ht="15.75" customHeight="1">
      <c r="A103" s="12"/>
      <c r="B103" s="12"/>
      <c r="C103" s="12"/>
      <c r="D103" s="12"/>
      <c r="E103" s="12"/>
      <c r="F103" s="4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ht="15.75" customHeight="1">
      <c r="A104" s="12"/>
      <c r="B104" s="12"/>
      <c r="C104" s="12"/>
      <c r="D104" s="12"/>
      <c r="E104" s="12"/>
      <c r="F104" s="4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ht="15.75" customHeight="1">
      <c r="A105" s="12"/>
      <c r="B105" s="12"/>
      <c r="C105" s="12"/>
      <c r="D105" s="12"/>
      <c r="E105" s="12"/>
      <c r="F105" s="4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ht="15.75" customHeight="1">
      <c r="A106" s="12"/>
      <c r="B106" s="12"/>
      <c r="C106" s="12"/>
      <c r="D106" s="12"/>
      <c r="E106" s="12"/>
      <c r="F106" s="4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ht="15.75" customHeight="1">
      <c r="A107" s="12"/>
      <c r="B107" s="12"/>
      <c r="C107" s="12"/>
      <c r="D107" s="12"/>
      <c r="E107" s="12"/>
      <c r="F107" s="4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ht="15.75" customHeight="1">
      <c r="A108" s="12"/>
      <c r="B108" s="12"/>
      <c r="C108" s="12"/>
      <c r="D108" s="12"/>
      <c r="E108" s="12"/>
      <c r="F108" s="4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ht="15.75" customHeight="1">
      <c r="A109" s="12"/>
      <c r="B109" s="12"/>
      <c r="C109" s="12"/>
      <c r="D109" s="12"/>
      <c r="E109" s="12"/>
      <c r="F109" s="4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ht="15.75" customHeight="1">
      <c r="A110" s="12"/>
      <c r="B110" s="12"/>
      <c r="C110" s="12"/>
      <c r="D110" s="12"/>
      <c r="E110" s="12"/>
      <c r="F110" s="4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ht="15.75" customHeight="1">
      <c r="A111" s="12"/>
      <c r="B111" s="12"/>
      <c r="C111" s="12"/>
      <c r="D111" s="12"/>
      <c r="E111" s="12"/>
      <c r="F111" s="4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ht="15.75" customHeight="1">
      <c r="A112" s="12"/>
      <c r="B112" s="12"/>
      <c r="C112" s="12"/>
      <c r="D112" s="12"/>
      <c r="E112" s="12"/>
      <c r="F112" s="4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ht="15.75" customHeight="1">
      <c r="A113" s="12"/>
      <c r="B113" s="12"/>
      <c r="C113" s="12"/>
      <c r="D113" s="12"/>
      <c r="E113" s="12"/>
      <c r="F113" s="4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ht="15.75" customHeight="1">
      <c r="A114" s="12"/>
      <c r="B114" s="12"/>
      <c r="C114" s="12"/>
      <c r="D114" s="12"/>
      <c r="E114" s="12"/>
      <c r="F114" s="4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ht="15.75" customHeight="1">
      <c r="A115" s="12"/>
      <c r="B115" s="12"/>
      <c r="C115" s="12"/>
      <c r="D115" s="12"/>
      <c r="E115" s="12"/>
      <c r="F115" s="4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ht="15.75" customHeight="1">
      <c r="A116" s="12"/>
      <c r="B116" s="12"/>
      <c r="C116" s="12"/>
      <c r="D116" s="12"/>
      <c r="E116" s="12"/>
      <c r="F116" s="4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ht="15.75" customHeight="1">
      <c r="A117" s="12"/>
      <c r="B117" s="12"/>
      <c r="C117" s="12"/>
      <c r="D117" s="12"/>
      <c r="E117" s="12"/>
      <c r="F117" s="4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ht="15.75" customHeight="1">
      <c r="A118" s="12"/>
      <c r="B118" s="12"/>
      <c r="C118" s="12"/>
      <c r="D118" s="12"/>
      <c r="E118" s="12"/>
      <c r="F118" s="4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ht="15.75" customHeight="1">
      <c r="A119" s="12"/>
      <c r="B119" s="12"/>
      <c r="C119" s="12"/>
      <c r="D119" s="12"/>
      <c r="E119" s="12"/>
      <c r="F119" s="4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ht="15.75" customHeight="1">
      <c r="A120" s="12"/>
      <c r="B120" s="12"/>
      <c r="C120" s="12"/>
      <c r="D120" s="12"/>
      <c r="E120" s="12"/>
      <c r="F120" s="4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ht="15.75" customHeight="1">
      <c r="A121" s="12"/>
      <c r="B121" s="12"/>
      <c r="C121" s="12"/>
      <c r="D121" s="12"/>
      <c r="E121" s="12"/>
      <c r="F121" s="4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ht="15.75" customHeight="1">
      <c r="A122" s="12"/>
      <c r="B122" s="12"/>
      <c r="C122" s="12"/>
      <c r="D122" s="12"/>
      <c r="E122" s="12"/>
      <c r="F122" s="4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ht="15.75" customHeight="1">
      <c r="A123" s="12"/>
      <c r="B123" s="12"/>
      <c r="C123" s="12"/>
      <c r="D123" s="12"/>
      <c r="E123" s="12"/>
      <c r="F123" s="4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ht="15.75" customHeight="1">
      <c r="A124" s="12"/>
      <c r="B124" s="12"/>
      <c r="C124" s="12"/>
      <c r="D124" s="12"/>
      <c r="E124" s="12"/>
      <c r="F124" s="4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ht="15.75" customHeight="1">
      <c r="A125" s="12"/>
      <c r="B125" s="12"/>
      <c r="C125" s="12"/>
      <c r="D125" s="12"/>
      <c r="E125" s="12"/>
      <c r="F125" s="4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ht="15.75" customHeight="1">
      <c r="A126" s="12"/>
      <c r="B126" s="12"/>
      <c r="C126" s="12"/>
      <c r="D126" s="12"/>
      <c r="E126" s="12"/>
      <c r="F126" s="4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ht="15.75" customHeight="1">
      <c r="A127" s="12"/>
      <c r="B127" s="12"/>
      <c r="C127" s="12"/>
      <c r="D127" s="12"/>
      <c r="E127" s="12"/>
      <c r="F127" s="4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ht="15.75" customHeight="1">
      <c r="A128" s="12"/>
      <c r="B128" s="12"/>
      <c r="C128" s="12"/>
      <c r="D128" s="12"/>
      <c r="E128" s="12"/>
      <c r="F128" s="4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ht="15.75" customHeight="1">
      <c r="A129" s="12"/>
      <c r="B129" s="12"/>
      <c r="C129" s="12"/>
      <c r="D129" s="12"/>
      <c r="E129" s="12"/>
      <c r="F129" s="4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ht="15.75" customHeight="1">
      <c r="A130" s="12"/>
      <c r="B130" s="12"/>
      <c r="C130" s="12"/>
      <c r="D130" s="12"/>
      <c r="E130" s="12"/>
      <c r="F130" s="4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ht="15.75" customHeight="1">
      <c r="A131" s="12"/>
      <c r="B131" s="12"/>
      <c r="C131" s="12"/>
      <c r="D131" s="12"/>
      <c r="E131" s="12"/>
      <c r="F131" s="4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ht="15.75" customHeight="1">
      <c r="A132" s="12"/>
      <c r="B132" s="12"/>
      <c r="C132" s="12"/>
      <c r="D132" s="12"/>
      <c r="E132" s="12"/>
      <c r="F132" s="4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ht="15.75" customHeight="1">
      <c r="A133" s="12"/>
      <c r="B133" s="12"/>
      <c r="C133" s="12"/>
      <c r="D133" s="12"/>
      <c r="E133" s="12"/>
      <c r="F133" s="4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ht="15.75" customHeight="1">
      <c r="A134" s="12"/>
      <c r="B134" s="12"/>
      <c r="C134" s="12"/>
      <c r="D134" s="12"/>
      <c r="E134" s="12"/>
      <c r="F134" s="4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ht="15.75" customHeight="1">
      <c r="A135" s="12"/>
      <c r="B135" s="12"/>
      <c r="C135" s="12"/>
      <c r="D135" s="12"/>
      <c r="E135" s="12"/>
      <c r="F135" s="4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ht="15.75" customHeight="1">
      <c r="A136" s="12"/>
      <c r="B136" s="12"/>
      <c r="C136" s="12"/>
      <c r="D136" s="12"/>
      <c r="E136" s="12"/>
      <c r="F136" s="4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ht="15.75" customHeight="1">
      <c r="A137" s="12"/>
      <c r="B137" s="12"/>
      <c r="C137" s="12"/>
      <c r="D137" s="12"/>
      <c r="E137" s="12"/>
      <c r="F137" s="4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ht="15.75" customHeight="1">
      <c r="A138" s="12"/>
      <c r="B138" s="12"/>
      <c r="C138" s="12"/>
      <c r="D138" s="12"/>
      <c r="E138" s="12"/>
      <c r="F138" s="4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ht="15.75" customHeight="1">
      <c r="A139" s="12"/>
      <c r="B139" s="12"/>
      <c r="C139" s="12"/>
      <c r="D139" s="12"/>
      <c r="E139" s="12"/>
      <c r="F139" s="4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ht="15.75" customHeight="1">
      <c r="A140" s="12"/>
      <c r="B140" s="12"/>
      <c r="C140" s="12"/>
      <c r="D140" s="12"/>
      <c r="E140" s="12"/>
      <c r="F140" s="4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ht="15.75" customHeight="1">
      <c r="A141" s="12"/>
      <c r="B141" s="12"/>
      <c r="C141" s="12"/>
      <c r="D141" s="12"/>
      <c r="E141" s="12"/>
      <c r="F141" s="4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ht="15.75" customHeight="1">
      <c r="A142" s="12"/>
      <c r="B142" s="12"/>
      <c r="C142" s="12"/>
      <c r="D142" s="12"/>
      <c r="E142" s="12"/>
      <c r="F142" s="4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ht="15.75" customHeight="1">
      <c r="A143" s="12"/>
      <c r="B143" s="12"/>
      <c r="C143" s="12"/>
      <c r="D143" s="12"/>
      <c r="E143" s="12"/>
      <c r="F143" s="4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ht="15.75" customHeight="1">
      <c r="A144" s="12"/>
      <c r="B144" s="12"/>
      <c r="C144" s="12"/>
      <c r="D144" s="12"/>
      <c r="E144" s="12"/>
      <c r="F144" s="4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ht="15.75" customHeight="1">
      <c r="A145" s="12"/>
      <c r="B145" s="12"/>
      <c r="C145" s="12"/>
      <c r="D145" s="12"/>
      <c r="E145" s="12"/>
      <c r="F145" s="4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ht="15.75" customHeight="1">
      <c r="A146" s="12"/>
      <c r="B146" s="12"/>
      <c r="C146" s="12"/>
      <c r="D146" s="12"/>
      <c r="E146" s="12"/>
      <c r="F146" s="4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ht="15.75" customHeight="1">
      <c r="A147" s="12"/>
      <c r="B147" s="12"/>
      <c r="C147" s="12"/>
      <c r="D147" s="12"/>
      <c r="E147" s="12"/>
      <c r="F147" s="4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ht="15.75" customHeight="1">
      <c r="A148" s="12"/>
      <c r="B148" s="12"/>
      <c r="C148" s="12"/>
      <c r="D148" s="12"/>
      <c r="E148" s="12"/>
      <c r="F148" s="4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ht="15.75" customHeight="1">
      <c r="A149" s="12"/>
      <c r="B149" s="12"/>
      <c r="C149" s="12"/>
      <c r="D149" s="12"/>
      <c r="E149" s="12"/>
      <c r="F149" s="4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ht="15.75" customHeight="1">
      <c r="A150" s="12"/>
      <c r="B150" s="12"/>
      <c r="C150" s="12"/>
      <c r="D150" s="12"/>
      <c r="E150" s="12"/>
      <c r="F150" s="4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ht="15.75" customHeight="1">
      <c r="A151" s="12"/>
      <c r="B151" s="12"/>
      <c r="C151" s="12"/>
      <c r="D151" s="12"/>
      <c r="E151" s="12"/>
      <c r="F151" s="4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ht="15.75" customHeight="1">
      <c r="A152" s="12"/>
      <c r="B152" s="12"/>
      <c r="C152" s="12"/>
      <c r="D152" s="12"/>
      <c r="E152" s="12"/>
      <c r="F152" s="4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ht="15.75" customHeight="1">
      <c r="A153" s="12"/>
      <c r="B153" s="12"/>
      <c r="C153" s="12"/>
      <c r="D153" s="12"/>
      <c r="E153" s="12"/>
      <c r="F153" s="4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ht="15.75" customHeight="1">
      <c r="A154" s="12"/>
      <c r="B154" s="12"/>
      <c r="C154" s="12"/>
      <c r="D154" s="12"/>
      <c r="E154" s="12"/>
      <c r="F154" s="4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ht="15.75" customHeight="1">
      <c r="A155" s="12"/>
      <c r="B155" s="12"/>
      <c r="C155" s="12"/>
      <c r="D155" s="12"/>
      <c r="E155" s="12"/>
      <c r="F155" s="4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ht="15.75" customHeight="1">
      <c r="A156" s="12"/>
      <c r="B156" s="12"/>
      <c r="C156" s="12"/>
      <c r="D156" s="12"/>
      <c r="E156" s="12"/>
      <c r="F156" s="4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ht="15.75" customHeight="1">
      <c r="A157" s="12"/>
      <c r="B157" s="12"/>
      <c r="C157" s="12"/>
      <c r="D157" s="12"/>
      <c r="E157" s="12"/>
      <c r="F157" s="4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ht="15.75" customHeight="1">
      <c r="A158" s="12"/>
      <c r="B158" s="12"/>
      <c r="C158" s="12"/>
      <c r="D158" s="12"/>
      <c r="E158" s="12"/>
      <c r="F158" s="4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ht="15.75" customHeight="1">
      <c r="A159" s="12"/>
      <c r="B159" s="12"/>
      <c r="C159" s="12"/>
      <c r="D159" s="12"/>
      <c r="E159" s="12"/>
      <c r="F159" s="4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ht="15.75" customHeight="1">
      <c r="A160" s="12"/>
      <c r="B160" s="12"/>
      <c r="C160" s="12"/>
      <c r="D160" s="12"/>
      <c r="E160" s="12"/>
      <c r="F160" s="4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ht="15.75" customHeight="1">
      <c r="A161" s="12"/>
      <c r="B161" s="12"/>
      <c r="C161" s="12"/>
      <c r="D161" s="12"/>
      <c r="E161" s="12"/>
      <c r="F161" s="4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ht="15.75" customHeight="1">
      <c r="A162" s="12"/>
      <c r="B162" s="12"/>
      <c r="C162" s="12"/>
      <c r="D162" s="12"/>
      <c r="E162" s="12"/>
      <c r="F162" s="4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ht="15.75" customHeight="1">
      <c r="A163" s="12"/>
      <c r="B163" s="12"/>
      <c r="C163" s="12"/>
      <c r="D163" s="12"/>
      <c r="E163" s="12"/>
      <c r="F163" s="4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ht="15.75" customHeight="1">
      <c r="A164" s="12"/>
      <c r="B164" s="12"/>
      <c r="C164" s="12"/>
      <c r="D164" s="12"/>
      <c r="E164" s="12"/>
      <c r="F164" s="4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ht="15.75" customHeight="1">
      <c r="A165" s="12"/>
      <c r="B165" s="12"/>
      <c r="C165" s="12"/>
      <c r="D165" s="12"/>
      <c r="E165" s="12"/>
      <c r="F165" s="4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ht="15.75" customHeight="1">
      <c r="A166" s="12"/>
      <c r="B166" s="12"/>
      <c r="C166" s="12"/>
      <c r="D166" s="12"/>
      <c r="E166" s="12"/>
      <c r="F166" s="4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ht="15.75" customHeight="1">
      <c r="A167" s="12"/>
      <c r="B167" s="12"/>
      <c r="C167" s="12"/>
      <c r="D167" s="12"/>
      <c r="E167" s="12"/>
      <c r="F167" s="4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ht="15.75" customHeight="1">
      <c r="A168" s="12"/>
      <c r="B168" s="12"/>
      <c r="C168" s="12"/>
      <c r="D168" s="12"/>
      <c r="E168" s="12"/>
      <c r="F168" s="4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ht="15.75" customHeight="1">
      <c r="A169" s="12"/>
      <c r="B169" s="12"/>
      <c r="C169" s="12"/>
      <c r="D169" s="12"/>
      <c r="E169" s="12"/>
      <c r="F169" s="4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ht="15.75" customHeight="1">
      <c r="A170" s="12"/>
      <c r="B170" s="12"/>
      <c r="C170" s="12"/>
      <c r="D170" s="12"/>
      <c r="E170" s="12"/>
      <c r="F170" s="4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ht="15.75" customHeight="1">
      <c r="A171" s="12"/>
      <c r="B171" s="12"/>
      <c r="C171" s="12"/>
      <c r="D171" s="12"/>
      <c r="E171" s="12"/>
      <c r="F171" s="4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ht="15.75" customHeight="1">
      <c r="A172" s="12"/>
      <c r="B172" s="12"/>
      <c r="C172" s="12"/>
      <c r="D172" s="12"/>
      <c r="E172" s="12"/>
      <c r="F172" s="4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ht="15.75" customHeight="1">
      <c r="A173" s="12"/>
      <c r="B173" s="12"/>
      <c r="C173" s="12"/>
      <c r="D173" s="12"/>
      <c r="E173" s="12"/>
      <c r="F173" s="4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ht="15.75" customHeight="1">
      <c r="A174" s="12"/>
      <c r="B174" s="12"/>
      <c r="C174" s="12"/>
      <c r="D174" s="12"/>
      <c r="E174" s="12"/>
      <c r="F174" s="4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ht="15.75" customHeight="1">
      <c r="A175" s="12"/>
      <c r="B175" s="12"/>
      <c r="C175" s="12"/>
      <c r="D175" s="12"/>
      <c r="E175" s="12"/>
      <c r="F175" s="4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ht="15.75" customHeight="1">
      <c r="A176" s="12"/>
      <c r="B176" s="12"/>
      <c r="C176" s="12"/>
      <c r="D176" s="12"/>
      <c r="E176" s="12"/>
      <c r="F176" s="4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ht="15.75" customHeight="1">
      <c r="A177" s="12"/>
      <c r="B177" s="12"/>
      <c r="C177" s="12"/>
      <c r="D177" s="12"/>
      <c r="E177" s="12"/>
      <c r="F177" s="4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ht="15.75" customHeight="1">
      <c r="A178" s="12"/>
      <c r="B178" s="12"/>
      <c r="C178" s="12"/>
      <c r="D178" s="12"/>
      <c r="E178" s="12"/>
      <c r="F178" s="4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ht="15.75" customHeight="1">
      <c r="A179" s="12"/>
      <c r="B179" s="12"/>
      <c r="C179" s="12"/>
      <c r="D179" s="12"/>
      <c r="E179" s="12"/>
      <c r="F179" s="4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ht="15.75" customHeight="1">
      <c r="A180" s="12"/>
      <c r="B180" s="12"/>
      <c r="C180" s="12"/>
      <c r="D180" s="12"/>
      <c r="E180" s="12"/>
      <c r="F180" s="4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ht="15.75" customHeight="1">
      <c r="A181" s="12"/>
      <c r="B181" s="12"/>
      <c r="C181" s="12"/>
      <c r="D181" s="12"/>
      <c r="E181" s="12"/>
      <c r="F181" s="4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ht="15.75" customHeight="1">
      <c r="A182" s="12"/>
      <c r="B182" s="12"/>
      <c r="C182" s="12"/>
      <c r="D182" s="12"/>
      <c r="E182" s="12"/>
      <c r="F182" s="4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ht="15.75" customHeight="1">
      <c r="A183" s="12"/>
      <c r="B183" s="12"/>
      <c r="C183" s="12"/>
      <c r="D183" s="12"/>
      <c r="E183" s="12"/>
      <c r="F183" s="4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ht="15.75" customHeight="1">
      <c r="A184" s="12"/>
      <c r="B184" s="12"/>
      <c r="C184" s="12"/>
      <c r="D184" s="12"/>
      <c r="E184" s="12"/>
      <c r="F184" s="4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ht="15.75" customHeight="1">
      <c r="A185" s="12"/>
      <c r="B185" s="12"/>
      <c r="C185" s="12"/>
      <c r="D185" s="12"/>
      <c r="E185" s="12"/>
      <c r="F185" s="4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ht="15.75" customHeight="1">
      <c r="A186" s="12"/>
      <c r="B186" s="12"/>
      <c r="C186" s="12"/>
      <c r="D186" s="12"/>
      <c r="E186" s="12"/>
      <c r="F186" s="4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ht="15.75" customHeight="1">
      <c r="A187" s="12"/>
      <c r="B187" s="12"/>
      <c r="C187" s="12"/>
      <c r="D187" s="12"/>
      <c r="E187" s="12"/>
      <c r="F187" s="4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ht="15.75" customHeight="1">
      <c r="A188" s="12"/>
      <c r="B188" s="12"/>
      <c r="C188" s="12"/>
      <c r="D188" s="12"/>
      <c r="E188" s="12"/>
      <c r="F188" s="4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ht="15.75" customHeight="1">
      <c r="A189" s="12"/>
      <c r="B189" s="12"/>
      <c r="C189" s="12"/>
      <c r="D189" s="12"/>
      <c r="E189" s="12"/>
      <c r="F189" s="4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ht="15.75" customHeight="1">
      <c r="A190" s="12"/>
      <c r="B190" s="12"/>
      <c r="C190" s="12"/>
      <c r="D190" s="12"/>
      <c r="E190" s="12"/>
      <c r="F190" s="4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ht="15.75" customHeight="1">
      <c r="A191" s="12"/>
      <c r="B191" s="12"/>
      <c r="C191" s="12"/>
      <c r="D191" s="12"/>
      <c r="E191" s="12"/>
      <c r="F191" s="4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ht="15.75" customHeight="1">
      <c r="A192" s="12"/>
      <c r="B192" s="12"/>
      <c r="C192" s="12"/>
      <c r="D192" s="12"/>
      <c r="E192" s="12"/>
      <c r="F192" s="4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ht="15.75" customHeight="1">
      <c r="A193" s="12"/>
      <c r="B193" s="12"/>
      <c r="C193" s="12"/>
      <c r="D193" s="12"/>
      <c r="E193" s="12"/>
      <c r="F193" s="4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ht="15.75" customHeight="1">
      <c r="A194" s="12"/>
      <c r="B194" s="12"/>
      <c r="C194" s="12"/>
      <c r="D194" s="12"/>
      <c r="E194" s="12"/>
      <c r="F194" s="4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ht="15.75" customHeight="1">
      <c r="A195" s="12"/>
      <c r="B195" s="12"/>
      <c r="C195" s="12"/>
      <c r="D195" s="12"/>
      <c r="E195" s="12"/>
      <c r="F195" s="4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ht="15.75" customHeight="1">
      <c r="A196" s="12"/>
      <c r="B196" s="12"/>
      <c r="C196" s="12"/>
      <c r="D196" s="12"/>
      <c r="E196" s="12"/>
      <c r="F196" s="4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ht="15.75" customHeight="1">
      <c r="A197" s="12"/>
      <c r="B197" s="12"/>
      <c r="C197" s="12"/>
      <c r="D197" s="12"/>
      <c r="E197" s="12"/>
      <c r="F197" s="4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ht="15.75" customHeight="1">
      <c r="A198" s="12"/>
      <c r="B198" s="12"/>
      <c r="C198" s="12"/>
      <c r="D198" s="12"/>
      <c r="E198" s="12"/>
      <c r="F198" s="4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ht="15.75" customHeight="1">
      <c r="A199" s="12"/>
      <c r="B199" s="12"/>
      <c r="C199" s="12"/>
      <c r="D199" s="12"/>
      <c r="E199" s="12"/>
      <c r="F199" s="4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ht="15.75" customHeight="1">
      <c r="A200" s="12"/>
      <c r="B200" s="12"/>
      <c r="C200" s="12"/>
      <c r="D200" s="12"/>
      <c r="E200" s="12"/>
      <c r="F200" s="4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ht="15.75" customHeight="1">
      <c r="A201" s="12"/>
      <c r="B201" s="12"/>
      <c r="C201" s="12"/>
      <c r="D201" s="12"/>
      <c r="E201" s="12"/>
      <c r="F201" s="4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ht="15.75" customHeight="1">
      <c r="A202" s="12"/>
      <c r="B202" s="12"/>
      <c r="C202" s="12"/>
      <c r="D202" s="12"/>
      <c r="E202" s="12"/>
      <c r="F202" s="4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ht="15.75" customHeight="1">
      <c r="A203" s="12"/>
      <c r="B203" s="12"/>
      <c r="C203" s="12"/>
      <c r="D203" s="12"/>
      <c r="E203" s="12"/>
      <c r="F203" s="4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ht="15.75" customHeight="1">
      <c r="A204" s="12"/>
      <c r="B204" s="12"/>
      <c r="C204" s="12"/>
      <c r="D204" s="12"/>
      <c r="E204" s="12"/>
      <c r="F204" s="4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ht="15.75" customHeight="1">
      <c r="A205" s="12"/>
      <c r="B205" s="12"/>
      <c r="C205" s="12"/>
      <c r="D205" s="12"/>
      <c r="E205" s="12"/>
      <c r="F205" s="4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ht="15.75" customHeight="1">
      <c r="A206" s="12"/>
      <c r="B206" s="12"/>
      <c r="C206" s="12"/>
      <c r="D206" s="12"/>
      <c r="E206" s="12"/>
      <c r="F206" s="4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ht="15.75" customHeight="1">
      <c r="A207" s="12"/>
      <c r="B207" s="12"/>
      <c r="C207" s="12"/>
      <c r="D207" s="12"/>
      <c r="E207" s="12"/>
      <c r="F207" s="4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ht="15.75" customHeight="1">
      <c r="A208" s="12"/>
      <c r="B208" s="12"/>
      <c r="C208" s="12"/>
      <c r="D208" s="12"/>
      <c r="E208" s="12"/>
      <c r="F208" s="4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ht="15.75" customHeight="1">
      <c r="A209" s="12"/>
      <c r="B209" s="12"/>
      <c r="C209" s="12"/>
      <c r="D209" s="12"/>
      <c r="E209" s="12"/>
      <c r="F209" s="4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ht="15.75" customHeight="1">
      <c r="A210" s="12"/>
      <c r="B210" s="12"/>
      <c r="C210" s="12"/>
      <c r="D210" s="12"/>
      <c r="E210" s="12"/>
      <c r="F210" s="4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ht="15.75" customHeight="1">
      <c r="A211" s="12"/>
      <c r="B211" s="12"/>
      <c r="C211" s="12"/>
      <c r="D211" s="12"/>
      <c r="E211" s="12"/>
      <c r="F211" s="4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ht="15.75" customHeight="1">
      <c r="A212" s="12"/>
      <c r="B212" s="12"/>
      <c r="C212" s="12"/>
      <c r="D212" s="12"/>
      <c r="E212" s="12"/>
      <c r="F212" s="4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ht="15.75" customHeight="1">
      <c r="A213" s="12"/>
      <c r="B213" s="12"/>
      <c r="C213" s="12"/>
      <c r="D213" s="12"/>
      <c r="E213" s="12"/>
      <c r="F213" s="4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ht="15.75" customHeight="1">
      <c r="A214" s="12"/>
      <c r="B214" s="12"/>
      <c r="C214" s="12"/>
      <c r="D214" s="12"/>
      <c r="E214" s="12"/>
      <c r="F214" s="4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ht="15.75" customHeight="1">
      <c r="A215" s="12"/>
      <c r="B215" s="12"/>
      <c r="C215" s="12"/>
      <c r="D215" s="12"/>
      <c r="E215" s="12"/>
      <c r="F215" s="4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ht="15.75" customHeight="1">
      <c r="A216" s="12"/>
      <c r="B216" s="12"/>
      <c r="C216" s="12"/>
      <c r="D216" s="12"/>
      <c r="E216" s="12"/>
      <c r="F216" s="4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ht="15.75" customHeight="1">
      <c r="A217" s="12"/>
      <c r="B217" s="12"/>
      <c r="C217" s="12"/>
      <c r="D217" s="12"/>
      <c r="E217" s="12"/>
      <c r="F217" s="4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ht="15.75" customHeight="1">
      <c r="A218" s="12"/>
      <c r="B218" s="12"/>
      <c r="C218" s="12"/>
      <c r="D218" s="12"/>
      <c r="E218" s="12"/>
      <c r="F218" s="4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ht="15.75" customHeight="1">
      <c r="A219" s="12"/>
      <c r="B219" s="12"/>
      <c r="C219" s="12"/>
      <c r="D219" s="12"/>
      <c r="E219" s="12"/>
      <c r="F219" s="4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ht="15.75" customHeight="1">
      <c r="A220" s="12"/>
      <c r="B220" s="12"/>
      <c r="C220" s="12"/>
      <c r="D220" s="12"/>
      <c r="E220" s="12"/>
      <c r="F220" s="4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ht="15.75" customHeight="1">
      <c r="A221" s="12"/>
      <c r="B221" s="12"/>
      <c r="C221" s="12"/>
      <c r="D221" s="12"/>
      <c r="E221" s="12"/>
      <c r="F221" s="4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 ht="15.75" customHeight="1">
      <c r="A222" s="12"/>
      <c r="B222" s="12"/>
      <c r="C222" s="12"/>
      <c r="D222" s="12"/>
      <c r="E222" s="12"/>
      <c r="F222" s="4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 ht="15.75" customHeight="1">
      <c r="A223" s="12"/>
      <c r="B223" s="12"/>
      <c r="C223" s="12"/>
      <c r="D223" s="12"/>
      <c r="E223" s="12"/>
      <c r="F223" s="4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 ht="15.75" customHeight="1">
      <c r="A224" s="12"/>
      <c r="B224" s="12"/>
      <c r="C224" s="12"/>
      <c r="D224" s="12"/>
      <c r="E224" s="12"/>
      <c r="F224" s="4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 ht="15.75" customHeight="1">
      <c r="A225" s="12"/>
      <c r="B225" s="12"/>
      <c r="C225" s="12"/>
      <c r="D225" s="12"/>
      <c r="E225" s="12"/>
      <c r="F225" s="4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 ht="15.75" customHeight="1">
      <c r="A226" s="12"/>
      <c r="B226" s="12"/>
      <c r="C226" s="12"/>
      <c r="D226" s="12"/>
      <c r="E226" s="12"/>
      <c r="F226" s="4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ht="15.75" customHeight="1">
      <c r="A227" s="12"/>
      <c r="B227" s="12"/>
      <c r="C227" s="12"/>
      <c r="D227" s="12"/>
      <c r="E227" s="12"/>
      <c r="F227" s="4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 ht="15.75" customHeight="1">
      <c r="A228" s="12"/>
      <c r="B228" s="12"/>
      <c r="C228" s="12"/>
      <c r="D228" s="12"/>
      <c r="E228" s="12"/>
      <c r="F228" s="4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 ht="15.75" customHeight="1">
      <c r="A229" s="12"/>
      <c r="B229" s="12"/>
      <c r="C229" s="12"/>
      <c r="D229" s="12"/>
      <c r="E229" s="12"/>
      <c r="F229" s="4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 ht="15.75" customHeight="1">
      <c r="A230" s="12"/>
      <c r="B230" s="12"/>
      <c r="C230" s="12"/>
      <c r="D230" s="12"/>
      <c r="E230" s="12"/>
      <c r="F230" s="4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 ht="15.75" customHeight="1">
      <c r="A231" s="12"/>
      <c r="B231" s="12"/>
      <c r="C231" s="12"/>
      <c r="D231" s="12"/>
      <c r="E231" s="12"/>
      <c r="F231" s="4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 ht="15.75" customHeight="1">
      <c r="A232" s="12"/>
      <c r="B232" s="12"/>
      <c r="C232" s="12"/>
      <c r="D232" s="12"/>
      <c r="E232" s="12"/>
      <c r="F232" s="4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 ht="15.75" customHeight="1">
      <c r="A233" s="12"/>
      <c r="B233" s="12"/>
      <c r="C233" s="12"/>
      <c r="D233" s="12"/>
      <c r="E233" s="12"/>
      <c r="F233" s="4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 ht="15.75" customHeight="1">
      <c r="A234" s="12"/>
      <c r="B234" s="12"/>
      <c r="C234" s="12"/>
      <c r="D234" s="12"/>
      <c r="E234" s="12"/>
      <c r="F234" s="4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 ht="15.75" customHeight="1">
      <c r="A235" s="12"/>
      <c r="B235" s="12"/>
      <c r="C235" s="12"/>
      <c r="D235" s="12"/>
      <c r="E235" s="12"/>
      <c r="F235" s="4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 ht="15.75" customHeight="1">
      <c r="A236" s="12"/>
      <c r="B236" s="12"/>
      <c r="C236" s="12"/>
      <c r="D236" s="12"/>
      <c r="E236" s="12"/>
      <c r="F236" s="4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 ht="15.75" customHeight="1">
      <c r="A237" s="12"/>
      <c r="B237" s="12"/>
      <c r="C237" s="12"/>
      <c r="D237" s="12"/>
      <c r="E237" s="12"/>
      <c r="F237" s="4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 ht="15.75" customHeight="1">
      <c r="A238" s="12"/>
      <c r="B238" s="12"/>
      <c r="C238" s="12"/>
      <c r="D238" s="12"/>
      <c r="E238" s="12"/>
      <c r="F238" s="4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 ht="15.75" customHeight="1">
      <c r="A239" s="12"/>
      <c r="B239" s="12"/>
      <c r="C239" s="12"/>
      <c r="D239" s="12"/>
      <c r="E239" s="12"/>
      <c r="F239" s="4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 ht="15.75" customHeight="1">
      <c r="A240" s="12"/>
      <c r="B240" s="12"/>
      <c r="C240" s="12"/>
      <c r="D240" s="12"/>
      <c r="E240" s="12"/>
      <c r="F240" s="4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 ht="15.75" customHeight="1">
      <c r="A241" s="12"/>
      <c r="B241" s="12"/>
      <c r="C241" s="12"/>
      <c r="D241" s="12"/>
      <c r="E241" s="12"/>
      <c r="F241" s="4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 ht="15.75" customHeight="1">
      <c r="A242" s="12"/>
      <c r="B242" s="12"/>
      <c r="C242" s="12"/>
      <c r="D242" s="12"/>
      <c r="E242" s="12"/>
      <c r="F242" s="4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 ht="15.75" customHeight="1">
      <c r="A243" s="12"/>
      <c r="B243" s="12"/>
      <c r="C243" s="12"/>
      <c r="D243" s="12"/>
      <c r="E243" s="12"/>
      <c r="F243" s="4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 ht="15.75" customHeight="1">
      <c r="A244" s="12"/>
      <c r="B244" s="12"/>
      <c r="C244" s="12"/>
      <c r="D244" s="12"/>
      <c r="E244" s="12"/>
      <c r="F244" s="4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 ht="15.75" customHeight="1">
      <c r="A245" s="12"/>
      <c r="B245" s="12"/>
      <c r="C245" s="12"/>
      <c r="D245" s="12"/>
      <c r="E245" s="12"/>
      <c r="F245" s="4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 ht="15.75" customHeight="1">
      <c r="A246" s="12"/>
      <c r="B246" s="12"/>
      <c r="C246" s="12"/>
      <c r="D246" s="12"/>
      <c r="E246" s="12"/>
      <c r="F246" s="4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 ht="15.75" customHeight="1">
      <c r="A247" s="12"/>
      <c r="B247" s="12"/>
      <c r="C247" s="12"/>
      <c r="D247" s="12"/>
      <c r="E247" s="12"/>
      <c r="F247" s="4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 ht="15.75" customHeight="1">
      <c r="A248" s="12"/>
      <c r="B248" s="12"/>
      <c r="C248" s="12"/>
      <c r="D248" s="12"/>
      <c r="E248" s="12"/>
      <c r="F248" s="4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 ht="15.75" customHeight="1">
      <c r="A249" s="12"/>
      <c r="B249" s="12"/>
      <c r="C249" s="12"/>
      <c r="D249" s="12"/>
      <c r="E249" s="12"/>
      <c r="F249" s="4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 ht="15.75" customHeight="1">
      <c r="A250" s="12"/>
      <c r="B250" s="12"/>
      <c r="C250" s="12"/>
      <c r="D250" s="12"/>
      <c r="E250" s="12"/>
      <c r="F250" s="4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 ht="15.75" customHeight="1">
      <c r="A251" s="12"/>
      <c r="B251" s="12"/>
      <c r="C251" s="12"/>
      <c r="D251" s="12"/>
      <c r="E251" s="12"/>
      <c r="F251" s="4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 ht="15.75" customHeight="1">
      <c r="A252" s="12"/>
      <c r="B252" s="12"/>
      <c r="C252" s="12"/>
      <c r="D252" s="12"/>
      <c r="E252" s="12"/>
      <c r="F252" s="4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 ht="15.75" customHeight="1">
      <c r="A253" s="12"/>
      <c r="B253" s="12"/>
      <c r="C253" s="12"/>
      <c r="D253" s="12"/>
      <c r="E253" s="12"/>
      <c r="F253" s="4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 ht="15.75" customHeight="1">
      <c r="A254" s="12"/>
      <c r="B254" s="12"/>
      <c r="C254" s="12"/>
      <c r="D254" s="12"/>
      <c r="E254" s="12"/>
      <c r="F254" s="4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 ht="15.75" customHeight="1">
      <c r="A255" s="12"/>
      <c r="B255" s="12"/>
      <c r="C255" s="12"/>
      <c r="D255" s="12"/>
      <c r="E255" s="12"/>
      <c r="F255" s="4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 ht="15.75" customHeight="1">
      <c r="A256" s="12"/>
      <c r="B256" s="12"/>
      <c r="C256" s="12"/>
      <c r="D256" s="12"/>
      <c r="E256" s="12"/>
      <c r="F256" s="4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 ht="15.75" customHeight="1">
      <c r="A257" s="12"/>
      <c r="B257" s="12"/>
      <c r="C257" s="12"/>
      <c r="D257" s="12"/>
      <c r="E257" s="12"/>
      <c r="F257" s="4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 ht="15.75" customHeight="1">
      <c r="A258" s="12"/>
      <c r="B258" s="12"/>
      <c r="C258" s="12"/>
      <c r="D258" s="12"/>
      <c r="E258" s="12"/>
      <c r="F258" s="4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 ht="15.75" customHeight="1">
      <c r="A259" s="12"/>
      <c r="B259" s="12"/>
      <c r="C259" s="12"/>
      <c r="D259" s="12"/>
      <c r="E259" s="12"/>
      <c r="F259" s="4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 ht="15.75" customHeight="1">
      <c r="A260" s="12"/>
      <c r="B260" s="12"/>
      <c r="C260" s="12"/>
      <c r="D260" s="12"/>
      <c r="E260" s="12"/>
      <c r="F260" s="4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ht="15.75" customHeight="1">
      <c r="F261" s="453"/>
    </row>
    <row r="262" ht="15.75" customHeight="1">
      <c r="F262" s="453"/>
    </row>
    <row r="263" ht="15.75" customHeight="1">
      <c r="F263" s="453"/>
    </row>
    <row r="264" ht="15.75" customHeight="1">
      <c r="F264" s="453"/>
    </row>
    <row r="265" ht="15.75" customHeight="1">
      <c r="F265" s="453"/>
    </row>
    <row r="266" ht="15.75" customHeight="1">
      <c r="F266" s="453"/>
    </row>
    <row r="267" ht="15.75" customHeight="1">
      <c r="F267" s="453"/>
    </row>
    <row r="268" ht="15.75" customHeight="1">
      <c r="F268" s="453"/>
    </row>
    <row r="269" ht="15.75" customHeight="1">
      <c r="F269" s="453"/>
    </row>
    <row r="270" ht="15.75" customHeight="1">
      <c r="F270" s="453"/>
    </row>
    <row r="271" ht="15.75" customHeight="1">
      <c r="F271" s="453"/>
    </row>
    <row r="272" ht="15.75" customHeight="1">
      <c r="F272" s="453"/>
    </row>
    <row r="273" ht="15.75" customHeight="1">
      <c r="F273" s="453"/>
    </row>
    <row r="274" ht="15.75" customHeight="1">
      <c r="F274" s="453"/>
    </row>
    <row r="275" ht="15.75" customHeight="1">
      <c r="F275" s="453"/>
    </row>
    <row r="276" ht="15.75" customHeight="1">
      <c r="F276" s="453"/>
    </row>
    <row r="277" ht="15.75" customHeight="1">
      <c r="F277" s="453"/>
    </row>
    <row r="278" ht="15.75" customHeight="1">
      <c r="F278" s="453"/>
    </row>
    <row r="279" ht="15.75" customHeight="1">
      <c r="F279" s="453"/>
    </row>
    <row r="280" ht="15.75" customHeight="1">
      <c r="F280" s="453"/>
    </row>
    <row r="281" ht="15.75" customHeight="1">
      <c r="F281" s="453"/>
    </row>
    <row r="282" ht="15.75" customHeight="1">
      <c r="F282" s="453"/>
    </row>
    <row r="283" ht="15.75" customHeight="1">
      <c r="F283" s="453"/>
    </row>
    <row r="284" ht="15.75" customHeight="1">
      <c r="F284" s="453"/>
    </row>
    <row r="285" ht="15.75" customHeight="1">
      <c r="F285" s="453"/>
    </row>
    <row r="286" ht="15.75" customHeight="1">
      <c r="F286" s="453"/>
    </row>
    <row r="287" ht="15.75" customHeight="1">
      <c r="F287" s="453"/>
    </row>
    <row r="288" ht="15.75" customHeight="1">
      <c r="F288" s="453"/>
    </row>
    <row r="289" ht="15.75" customHeight="1">
      <c r="F289" s="453"/>
    </row>
    <row r="290" ht="15.75" customHeight="1">
      <c r="F290" s="453"/>
    </row>
    <row r="291" ht="15.75" customHeight="1">
      <c r="F291" s="453"/>
    </row>
    <row r="292" ht="15.75" customHeight="1">
      <c r="F292" s="453"/>
    </row>
    <row r="293" ht="15.75" customHeight="1">
      <c r="F293" s="453"/>
    </row>
    <row r="294" ht="15.75" customHeight="1">
      <c r="F294" s="453"/>
    </row>
    <row r="295" ht="15.75" customHeight="1">
      <c r="F295" s="453"/>
    </row>
    <row r="296" ht="15.75" customHeight="1">
      <c r="F296" s="453"/>
    </row>
    <row r="297" ht="15.75" customHeight="1">
      <c r="F297" s="453"/>
    </row>
    <row r="298" ht="15.75" customHeight="1">
      <c r="F298" s="453"/>
    </row>
    <row r="299" ht="15.75" customHeight="1">
      <c r="F299" s="453"/>
    </row>
    <row r="300" ht="15.75" customHeight="1">
      <c r="F300" s="453"/>
    </row>
    <row r="301" ht="15.75" customHeight="1">
      <c r="F301" s="453"/>
    </row>
    <row r="302" ht="15.75" customHeight="1">
      <c r="F302" s="453"/>
    </row>
    <row r="303" ht="15.75" customHeight="1">
      <c r="F303" s="453"/>
    </row>
    <row r="304" ht="15.75" customHeight="1">
      <c r="F304" s="453"/>
    </row>
    <row r="305" ht="15.75" customHeight="1">
      <c r="F305" s="453"/>
    </row>
    <row r="306" ht="15.75" customHeight="1">
      <c r="F306" s="453"/>
    </row>
    <row r="307" ht="15.75" customHeight="1">
      <c r="F307" s="453"/>
    </row>
    <row r="308" ht="15.75" customHeight="1">
      <c r="F308" s="453"/>
    </row>
    <row r="309" ht="15.75" customHeight="1">
      <c r="F309" s="453"/>
    </row>
    <row r="310" ht="15.75" customHeight="1">
      <c r="F310" s="453"/>
    </row>
    <row r="311" ht="15.75" customHeight="1">
      <c r="F311" s="453"/>
    </row>
    <row r="312" ht="15.75" customHeight="1">
      <c r="F312" s="453"/>
    </row>
    <row r="313" ht="15.75" customHeight="1">
      <c r="F313" s="453"/>
    </row>
    <row r="314" ht="15.75" customHeight="1">
      <c r="F314" s="453"/>
    </row>
    <row r="315" ht="15.75" customHeight="1">
      <c r="F315" s="453"/>
    </row>
    <row r="316" ht="15.75" customHeight="1">
      <c r="F316" s="453"/>
    </row>
    <row r="317" ht="15.75" customHeight="1">
      <c r="F317" s="453"/>
    </row>
    <row r="318" ht="15.75" customHeight="1">
      <c r="F318" s="453"/>
    </row>
    <row r="319" ht="15.75" customHeight="1">
      <c r="F319" s="453"/>
    </row>
    <row r="320" ht="15.75" customHeight="1">
      <c r="F320" s="453"/>
    </row>
    <row r="321" ht="15.75" customHeight="1">
      <c r="F321" s="453"/>
    </row>
    <row r="322" ht="15.75" customHeight="1">
      <c r="F322" s="453"/>
    </row>
    <row r="323" ht="15.75" customHeight="1">
      <c r="F323" s="453"/>
    </row>
    <row r="324" ht="15.75" customHeight="1">
      <c r="F324" s="453"/>
    </row>
    <row r="325" ht="15.75" customHeight="1">
      <c r="F325" s="453"/>
    </row>
    <row r="326" ht="15.75" customHeight="1">
      <c r="F326" s="453"/>
    </row>
    <row r="327" ht="15.75" customHeight="1">
      <c r="F327" s="453"/>
    </row>
    <row r="328" ht="15.75" customHeight="1">
      <c r="F328" s="453"/>
    </row>
    <row r="329" ht="15.75" customHeight="1">
      <c r="F329" s="453"/>
    </row>
    <row r="330" ht="15.75" customHeight="1">
      <c r="F330" s="453"/>
    </row>
    <row r="331" ht="15.75" customHeight="1">
      <c r="F331" s="453"/>
    </row>
    <row r="332" ht="15.75" customHeight="1">
      <c r="F332" s="453"/>
    </row>
    <row r="333" ht="15.75" customHeight="1">
      <c r="F333" s="453"/>
    </row>
    <row r="334" ht="15.75" customHeight="1">
      <c r="F334" s="453"/>
    </row>
    <row r="335" ht="15.75" customHeight="1">
      <c r="F335" s="453"/>
    </row>
    <row r="336" ht="15.75" customHeight="1">
      <c r="F336" s="453"/>
    </row>
    <row r="337" ht="15.75" customHeight="1">
      <c r="F337" s="453"/>
    </row>
    <row r="338" ht="15.75" customHeight="1">
      <c r="F338" s="453"/>
    </row>
    <row r="339" ht="15.75" customHeight="1">
      <c r="F339" s="453"/>
    </row>
    <row r="340" ht="15.75" customHeight="1">
      <c r="F340" s="453"/>
    </row>
    <row r="341" ht="15.75" customHeight="1">
      <c r="F341" s="453"/>
    </row>
    <row r="342" ht="15.75" customHeight="1">
      <c r="F342" s="453"/>
    </row>
    <row r="343" ht="15.75" customHeight="1">
      <c r="F343" s="453"/>
    </row>
    <row r="344" ht="15.75" customHeight="1">
      <c r="F344" s="453"/>
    </row>
    <row r="345" ht="15.75" customHeight="1">
      <c r="F345" s="453"/>
    </row>
    <row r="346" ht="15.75" customHeight="1">
      <c r="F346" s="453"/>
    </row>
    <row r="347" ht="15.75" customHeight="1">
      <c r="F347" s="453"/>
    </row>
    <row r="348" ht="15.75" customHeight="1">
      <c r="F348" s="453"/>
    </row>
    <row r="349" ht="15.75" customHeight="1">
      <c r="F349" s="453"/>
    </row>
    <row r="350" ht="15.75" customHeight="1">
      <c r="F350" s="453"/>
    </row>
    <row r="351" ht="15.75" customHeight="1">
      <c r="F351" s="453"/>
    </row>
    <row r="352" ht="15.75" customHeight="1">
      <c r="F352" s="453"/>
    </row>
    <row r="353" ht="15.75" customHeight="1">
      <c r="F353" s="453"/>
    </row>
    <row r="354" ht="15.75" customHeight="1">
      <c r="F354" s="453"/>
    </row>
    <row r="355" ht="15.75" customHeight="1">
      <c r="F355" s="453"/>
    </row>
    <row r="356" ht="15.75" customHeight="1">
      <c r="F356" s="453"/>
    </row>
    <row r="357" ht="15.75" customHeight="1">
      <c r="F357" s="453"/>
    </row>
    <row r="358" ht="15.75" customHeight="1">
      <c r="F358" s="453"/>
    </row>
    <row r="359" ht="15.75" customHeight="1">
      <c r="F359" s="453"/>
    </row>
    <row r="360" ht="15.75" customHeight="1">
      <c r="F360" s="453"/>
    </row>
    <row r="361" ht="15.75" customHeight="1">
      <c r="F361" s="453"/>
    </row>
    <row r="362" ht="15.75" customHeight="1">
      <c r="F362" s="453"/>
    </row>
    <row r="363" ht="15.75" customHeight="1">
      <c r="F363" s="453"/>
    </row>
    <row r="364" ht="15.75" customHeight="1">
      <c r="F364" s="453"/>
    </row>
    <row r="365" ht="15.75" customHeight="1">
      <c r="F365" s="453"/>
    </row>
    <row r="366" ht="15.75" customHeight="1">
      <c r="F366" s="453"/>
    </row>
    <row r="367" ht="15.75" customHeight="1">
      <c r="F367" s="453"/>
    </row>
    <row r="368" ht="15.75" customHeight="1">
      <c r="F368" s="453"/>
    </row>
    <row r="369" ht="15.75" customHeight="1">
      <c r="F369" s="453"/>
    </row>
    <row r="370" ht="15.75" customHeight="1">
      <c r="F370" s="453"/>
    </row>
    <row r="371" ht="15.75" customHeight="1">
      <c r="F371" s="453"/>
    </row>
    <row r="372" ht="15.75" customHeight="1">
      <c r="F372" s="453"/>
    </row>
    <row r="373" ht="15.75" customHeight="1">
      <c r="F373" s="453"/>
    </row>
    <row r="374" ht="15.75" customHeight="1">
      <c r="F374" s="453"/>
    </row>
    <row r="375" ht="15.75" customHeight="1">
      <c r="F375" s="453"/>
    </row>
    <row r="376" ht="15.75" customHeight="1">
      <c r="F376" s="453"/>
    </row>
    <row r="377" ht="15.75" customHeight="1">
      <c r="F377" s="453"/>
    </row>
    <row r="378" ht="15.75" customHeight="1">
      <c r="F378" s="453"/>
    </row>
    <row r="379" ht="15.75" customHeight="1">
      <c r="F379" s="453"/>
    </row>
    <row r="380" ht="15.75" customHeight="1">
      <c r="F380" s="453"/>
    </row>
    <row r="381" ht="15.75" customHeight="1">
      <c r="F381" s="453"/>
    </row>
    <row r="382" ht="15.75" customHeight="1">
      <c r="F382" s="453"/>
    </row>
    <row r="383" ht="15.75" customHeight="1">
      <c r="F383" s="453"/>
    </row>
    <row r="384" ht="15.75" customHeight="1">
      <c r="F384" s="453"/>
    </row>
    <row r="385" ht="15.75" customHeight="1">
      <c r="F385" s="453"/>
    </row>
    <row r="386" ht="15.75" customHeight="1">
      <c r="F386" s="453"/>
    </row>
    <row r="387" ht="15.75" customHeight="1">
      <c r="F387" s="453"/>
    </row>
    <row r="388" ht="15.75" customHeight="1">
      <c r="F388" s="453"/>
    </row>
    <row r="389" ht="15.75" customHeight="1">
      <c r="F389" s="453"/>
    </row>
    <row r="390" ht="15.75" customHeight="1">
      <c r="F390" s="453"/>
    </row>
    <row r="391" ht="15.75" customHeight="1">
      <c r="F391" s="453"/>
    </row>
    <row r="392" ht="15.75" customHeight="1">
      <c r="F392" s="453"/>
    </row>
    <row r="393" ht="15.75" customHeight="1">
      <c r="F393" s="453"/>
    </row>
    <row r="394" ht="15.75" customHeight="1">
      <c r="F394" s="453"/>
    </row>
    <row r="395" ht="15.75" customHeight="1">
      <c r="F395" s="453"/>
    </row>
    <row r="396" ht="15.75" customHeight="1">
      <c r="F396" s="453"/>
    </row>
    <row r="397" ht="15.75" customHeight="1">
      <c r="F397" s="453"/>
    </row>
    <row r="398" ht="15.75" customHeight="1">
      <c r="F398" s="453"/>
    </row>
    <row r="399" ht="15.75" customHeight="1">
      <c r="F399" s="453"/>
    </row>
    <row r="400" ht="15.75" customHeight="1">
      <c r="F400" s="453"/>
    </row>
    <row r="401" ht="15.75" customHeight="1">
      <c r="F401" s="453"/>
    </row>
    <row r="402" ht="15.75" customHeight="1">
      <c r="F402" s="453"/>
    </row>
    <row r="403" ht="15.75" customHeight="1">
      <c r="F403" s="453"/>
    </row>
    <row r="404" ht="15.75" customHeight="1">
      <c r="F404" s="453"/>
    </row>
    <row r="405" ht="15.75" customHeight="1">
      <c r="F405" s="453"/>
    </row>
    <row r="406" ht="15.75" customHeight="1">
      <c r="F406" s="453"/>
    </row>
    <row r="407" ht="15.75" customHeight="1">
      <c r="F407" s="453"/>
    </row>
    <row r="408" ht="15.75" customHeight="1">
      <c r="F408" s="453"/>
    </row>
    <row r="409" ht="15.75" customHeight="1">
      <c r="F409" s="453"/>
    </row>
    <row r="410" ht="15.75" customHeight="1">
      <c r="F410" s="453"/>
    </row>
    <row r="411" ht="15.75" customHeight="1">
      <c r="F411" s="453"/>
    </row>
    <row r="412" ht="15.75" customHeight="1">
      <c r="F412" s="453"/>
    </row>
    <row r="413" ht="15.75" customHeight="1">
      <c r="F413" s="453"/>
    </row>
    <row r="414" ht="15.75" customHeight="1">
      <c r="F414" s="453"/>
    </row>
    <row r="415" ht="15.75" customHeight="1">
      <c r="F415" s="453"/>
    </row>
    <row r="416" ht="15.75" customHeight="1">
      <c r="F416" s="453"/>
    </row>
    <row r="417" ht="15.75" customHeight="1">
      <c r="F417" s="453"/>
    </row>
    <row r="418" ht="15.75" customHeight="1">
      <c r="F418" s="453"/>
    </row>
    <row r="419" ht="15.75" customHeight="1">
      <c r="F419" s="453"/>
    </row>
    <row r="420" ht="15.75" customHeight="1">
      <c r="F420" s="453"/>
    </row>
    <row r="421" ht="15.75" customHeight="1">
      <c r="F421" s="453"/>
    </row>
    <row r="422" ht="15.75" customHeight="1">
      <c r="F422" s="453"/>
    </row>
    <row r="423" ht="15.75" customHeight="1">
      <c r="F423" s="453"/>
    </row>
    <row r="424" ht="15.75" customHeight="1">
      <c r="F424" s="453"/>
    </row>
    <row r="425" ht="15.75" customHeight="1">
      <c r="F425" s="453"/>
    </row>
    <row r="426" ht="15.75" customHeight="1">
      <c r="F426" s="453"/>
    </row>
    <row r="427" ht="15.75" customHeight="1">
      <c r="F427" s="453"/>
    </row>
    <row r="428" ht="15.75" customHeight="1">
      <c r="F428" s="453"/>
    </row>
    <row r="429" ht="15.75" customHeight="1">
      <c r="F429" s="453"/>
    </row>
    <row r="430" ht="15.75" customHeight="1">
      <c r="F430" s="453"/>
    </row>
    <row r="431" ht="15.75" customHeight="1">
      <c r="F431" s="453"/>
    </row>
    <row r="432" ht="15.75" customHeight="1">
      <c r="F432" s="453"/>
    </row>
    <row r="433" ht="15.75" customHeight="1">
      <c r="F433" s="453"/>
    </row>
    <row r="434" ht="15.75" customHeight="1">
      <c r="F434" s="453"/>
    </row>
    <row r="435" ht="15.75" customHeight="1">
      <c r="F435" s="453"/>
    </row>
    <row r="436" ht="15.75" customHeight="1">
      <c r="F436" s="453"/>
    </row>
    <row r="437" ht="15.75" customHeight="1">
      <c r="F437" s="453"/>
    </row>
    <row r="438" ht="15.75" customHeight="1">
      <c r="F438" s="453"/>
    </row>
    <row r="439" ht="15.75" customHeight="1">
      <c r="F439" s="453"/>
    </row>
    <row r="440" ht="15.75" customHeight="1">
      <c r="F440" s="453"/>
    </row>
    <row r="441" ht="15.75" customHeight="1">
      <c r="F441" s="453"/>
    </row>
    <row r="442" ht="15.75" customHeight="1">
      <c r="F442" s="453"/>
    </row>
    <row r="443" ht="15.75" customHeight="1">
      <c r="F443" s="453"/>
    </row>
    <row r="444" ht="15.75" customHeight="1">
      <c r="F444" s="453"/>
    </row>
    <row r="445" ht="15.75" customHeight="1">
      <c r="F445" s="453"/>
    </row>
    <row r="446" ht="15.75" customHeight="1">
      <c r="F446" s="453"/>
    </row>
    <row r="447" ht="15.75" customHeight="1">
      <c r="F447" s="453"/>
    </row>
    <row r="448" ht="15.75" customHeight="1">
      <c r="F448" s="453"/>
    </row>
    <row r="449" ht="15.75" customHeight="1">
      <c r="F449" s="453"/>
    </row>
    <row r="450" ht="15.75" customHeight="1">
      <c r="F450" s="453"/>
    </row>
    <row r="451" ht="15.75" customHeight="1">
      <c r="F451" s="453"/>
    </row>
    <row r="452" ht="15.75" customHeight="1">
      <c r="F452" s="453"/>
    </row>
    <row r="453" ht="15.75" customHeight="1">
      <c r="F453" s="453"/>
    </row>
    <row r="454" ht="15.75" customHeight="1">
      <c r="F454" s="453"/>
    </row>
    <row r="455" ht="15.75" customHeight="1">
      <c r="F455" s="453"/>
    </row>
    <row r="456" ht="15.75" customHeight="1">
      <c r="F456" s="453"/>
    </row>
    <row r="457" ht="15.75" customHeight="1">
      <c r="F457" s="453"/>
    </row>
    <row r="458" ht="15.75" customHeight="1">
      <c r="F458" s="453"/>
    </row>
    <row r="459" ht="15.75" customHeight="1">
      <c r="F459" s="453"/>
    </row>
    <row r="460" ht="15.75" customHeight="1">
      <c r="F460" s="453"/>
    </row>
    <row r="461" ht="15.75" customHeight="1">
      <c r="F461" s="453"/>
    </row>
    <row r="462" ht="15.75" customHeight="1">
      <c r="F462" s="453"/>
    </row>
    <row r="463" ht="15.75" customHeight="1">
      <c r="F463" s="453"/>
    </row>
    <row r="464" ht="15.75" customHeight="1">
      <c r="F464" s="453"/>
    </row>
    <row r="465" ht="15.75" customHeight="1">
      <c r="F465" s="453"/>
    </row>
    <row r="466" ht="15.75" customHeight="1">
      <c r="F466" s="453"/>
    </row>
    <row r="467" ht="15.75" customHeight="1">
      <c r="F467" s="453"/>
    </row>
    <row r="468" ht="15.75" customHeight="1">
      <c r="F468" s="453"/>
    </row>
    <row r="469" ht="15.75" customHeight="1">
      <c r="F469" s="453"/>
    </row>
    <row r="470" ht="15.75" customHeight="1">
      <c r="F470" s="453"/>
    </row>
    <row r="471" ht="15.75" customHeight="1">
      <c r="F471" s="453"/>
    </row>
    <row r="472" ht="15.75" customHeight="1">
      <c r="F472" s="453"/>
    </row>
    <row r="473" ht="15.75" customHeight="1">
      <c r="F473" s="453"/>
    </row>
    <row r="474" ht="15.75" customHeight="1">
      <c r="F474" s="453"/>
    </row>
    <row r="475" ht="15.75" customHeight="1">
      <c r="F475" s="453"/>
    </row>
    <row r="476" ht="15.75" customHeight="1">
      <c r="F476" s="453"/>
    </row>
    <row r="477" ht="15.75" customHeight="1">
      <c r="F477" s="453"/>
    </row>
    <row r="478" ht="15.75" customHeight="1">
      <c r="F478" s="453"/>
    </row>
    <row r="479" ht="15.75" customHeight="1">
      <c r="F479" s="453"/>
    </row>
    <row r="480" ht="15.75" customHeight="1">
      <c r="F480" s="453"/>
    </row>
    <row r="481" ht="15.75" customHeight="1">
      <c r="F481" s="453"/>
    </row>
    <row r="482" ht="15.75" customHeight="1">
      <c r="F482" s="453"/>
    </row>
    <row r="483" ht="15.75" customHeight="1">
      <c r="F483" s="453"/>
    </row>
    <row r="484" ht="15.75" customHeight="1">
      <c r="F484" s="453"/>
    </row>
    <row r="485" ht="15.75" customHeight="1">
      <c r="F485" s="453"/>
    </row>
    <row r="486" ht="15.75" customHeight="1">
      <c r="F486" s="453"/>
    </row>
    <row r="487" ht="15.75" customHeight="1">
      <c r="F487" s="453"/>
    </row>
    <row r="488" ht="15.75" customHeight="1">
      <c r="F488" s="453"/>
    </row>
    <row r="489" ht="15.75" customHeight="1">
      <c r="F489" s="453"/>
    </row>
    <row r="490" ht="15.75" customHeight="1">
      <c r="F490" s="453"/>
    </row>
    <row r="491" ht="15.75" customHeight="1">
      <c r="F491" s="453"/>
    </row>
    <row r="492" ht="15.75" customHeight="1">
      <c r="F492" s="453"/>
    </row>
    <row r="493" ht="15.75" customHeight="1">
      <c r="F493" s="453"/>
    </row>
    <row r="494" ht="15.75" customHeight="1">
      <c r="F494" s="453"/>
    </row>
    <row r="495" ht="15.75" customHeight="1">
      <c r="F495" s="453"/>
    </row>
    <row r="496" ht="15.75" customHeight="1">
      <c r="F496" s="453"/>
    </row>
    <row r="497" ht="15.75" customHeight="1">
      <c r="F497" s="453"/>
    </row>
    <row r="498" ht="15.75" customHeight="1">
      <c r="F498" s="453"/>
    </row>
    <row r="499" ht="15.75" customHeight="1">
      <c r="F499" s="453"/>
    </row>
    <row r="500" ht="15.75" customHeight="1">
      <c r="F500" s="453"/>
    </row>
    <row r="501" ht="15.75" customHeight="1">
      <c r="F501" s="453"/>
    </row>
    <row r="502" ht="15.75" customHeight="1">
      <c r="F502" s="453"/>
    </row>
    <row r="503" ht="15.75" customHeight="1">
      <c r="F503" s="453"/>
    </row>
    <row r="504" ht="15.75" customHeight="1">
      <c r="F504" s="453"/>
    </row>
    <row r="505" ht="15.75" customHeight="1">
      <c r="F505" s="453"/>
    </row>
    <row r="506" ht="15.75" customHeight="1">
      <c r="F506" s="453"/>
    </row>
    <row r="507" ht="15.75" customHeight="1">
      <c r="F507" s="453"/>
    </row>
    <row r="508" ht="15.75" customHeight="1">
      <c r="F508" s="453"/>
    </row>
    <row r="509" ht="15.75" customHeight="1">
      <c r="F509" s="453"/>
    </row>
    <row r="510" ht="15.75" customHeight="1">
      <c r="F510" s="453"/>
    </row>
    <row r="511" ht="15.75" customHeight="1">
      <c r="F511" s="453"/>
    </row>
    <row r="512" ht="15.75" customHeight="1">
      <c r="F512" s="453"/>
    </row>
    <row r="513" ht="15.75" customHeight="1">
      <c r="F513" s="453"/>
    </row>
    <row r="514" ht="15.75" customHeight="1">
      <c r="F514" s="453"/>
    </row>
    <row r="515" ht="15.75" customHeight="1">
      <c r="F515" s="453"/>
    </row>
    <row r="516" ht="15.75" customHeight="1">
      <c r="F516" s="453"/>
    </row>
    <row r="517" ht="15.75" customHeight="1">
      <c r="F517" s="453"/>
    </row>
    <row r="518" ht="15.75" customHeight="1">
      <c r="F518" s="453"/>
    </row>
    <row r="519" ht="15.75" customHeight="1">
      <c r="F519" s="453"/>
    </row>
    <row r="520" ht="15.75" customHeight="1">
      <c r="F520" s="453"/>
    </row>
    <row r="521" ht="15.75" customHeight="1">
      <c r="F521" s="453"/>
    </row>
    <row r="522" ht="15.75" customHeight="1">
      <c r="F522" s="453"/>
    </row>
    <row r="523" ht="15.75" customHeight="1">
      <c r="F523" s="453"/>
    </row>
    <row r="524" ht="15.75" customHeight="1">
      <c r="F524" s="453"/>
    </row>
    <row r="525" ht="15.75" customHeight="1">
      <c r="F525" s="453"/>
    </row>
    <row r="526" ht="15.75" customHeight="1">
      <c r="F526" s="453"/>
    </row>
    <row r="527" ht="15.75" customHeight="1">
      <c r="F527" s="453"/>
    </row>
    <row r="528" ht="15.75" customHeight="1">
      <c r="F528" s="453"/>
    </row>
    <row r="529" ht="15.75" customHeight="1">
      <c r="F529" s="453"/>
    </row>
    <row r="530" ht="15.75" customHeight="1">
      <c r="F530" s="453"/>
    </row>
    <row r="531" ht="15.75" customHeight="1">
      <c r="F531" s="453"/>
    </row>
    <row r="532" ht="15.75" customHeight="1">
      <c r="F532" s="453"/>
    </row>
    <row r="533" ht="15.75" customHeight="1">
      <c r="F533" s="453"/>
    </row>
    <row r="534" ht="15.75" customHeight="1">
      <c r="F534" s="453"/>
    </row>
    <row r="535" ht="15.75" customHeight="1">
      <c r="F535" s="453"/>
    </row>
    <row r="536" ht="15.75" customHeight="1">
      <c r="F536" s="453"/>
    </row>
    <row r="537" ht="15.75" customHeight="1">
      <c r="F537" s="453"/>
    </row>
    <row r="538" ht="15.75" customHeight="1">
      <c r="F538" s="453"/>
    </row>
    <row r="539" ht="15.75" customHeight="1">
      <c r="F539" s="453"/>
    </row>
    <row r="540" ht="15.75" customHeight="1">
      <c r="F540" s="453"/>
    </row>
    <row r="541" ht="15.75" customHeight="1">
      <c r="F541" s="453"/>
    </row>
    <row r="542" ht="15.75" customHeight="1">
      <c r="F542" s="453"/>
    </row>
    <row r="543" ht="15.75" customHeight="1">
      <c r="F543" s="453"/>
    </row>
    <row r="544" ht="15.75" customHeight="1">
      <c r="F544" s="453"/>
    </row>
    <row r="545" ht="15.75" customHeight="1">
      <c r="F545" s="453"/>
    </row>
    <row r="546" ht="15.75" customHeight="1">
      <c r="F546" s="453"/>
    </row>
    <row r="547" ht="15.75" customHeight="1">
      <c r="F547" s="453"/>
    </row>
    <row r="548" ht="15.75" customHeight="1">
      <c r="F548" s="453"/>
    </row>
    <row r="549" ht="15.75" customHeight="1">
      <c r="F549" s="453"/>
    </row>
    <row r="550" ht="15.75" customHeight="1">
      <c r="F550" s="453"/>
    </row>
    <row r="551" ht="15.75" customHeight="1">
      <c r="F551" s="453"/>
    </row>
    <row r="552" ht="15.75" customHeight="1">
      <c r="F552" s="453"/>
    </row>
    <row r="553" ht="15.75" customHeight="1">
      <c r="F553" s="453"/>
    </row>
    <row r="554" ht="15.75" customHeight="1">
      <c r="F554" s="453"/>
    </row>
    <row r="555" ht="15.75" customHeight="1">
      <c r="F555" s="453"/>
    </row>
    <row r="556" ht="15.75" customHeight="1">
      <c r="F556" s="453"/>
    </row>
    <row r="557" ht="15.75" customHeight="1">
      <c r="F557" s="453"/>
    </row>
    <row r="558" ht="15.75" customHeight="1">
      <c r="F558" s="453"/>
    </row>
    <row r="559" ht="15.75" customHeight="1">
      <c r="F559" s="453"/>
    </row>
    <row r="560" ht="15.75" customHeight="1">
      <c r="F560" s="453"/>
    </row>
    <row r="561" ht="15.75" customHeight="1">
      <c r="F561" s="453"/>
    </row>
    <row r="562" ht="15.75" customHeight="1">
      <c r="F562" s="453"/>
    </row>
    <row r="563" ht="15.75" customHeight="1">
      <c r="F563" s="453"/>
    </row>
    <row r="564" ht="15.75" customHeight="1">
      <c r="F564" s="453"/>
    </row>
    <row r="565" ht="15.75" customHeight="1">
      <c r="F565" s="453"/>
    </row>
    <row r="566" ht="15.75" customHeight="1">
      <c r="F566" s="453"/>
    </row>
    <row r="567" ht="15.75" customHeight="1">
      <c r="F567" s="453"/>
    </row>
    <row r="568" ht="15.75" customHeight="1">
      <c r="F568" s="453"/>
    </row>
    <row r="569" ht="15.75" customHeight="1">
      <c r="F569" s="453"/>
    </row>
    <row r="570" ht="15.75" customHeight="1">
      <c r="F570" s="453"/>
    </row>
    <row r="571" ht="15.75" customHeight="1">
      <c r="F571" s="453"/>
    </row>
    <row r="572" ht="15.75" customHeight="1">
      <c r="F572" s="453"/>
    </row>
    <row r="573" ht="15.75" customHeight="1">
      <c r="F573" s="453"/>
    </row>
    <row r="574" ht="15.75" customHeight="1">
      <c r="F574" s="453"/>
    </row>
    <row r="575" ht="15.75" customHeight="1">
      <c r="F575" s="453"/>
    </row>
    <row r="576" ht="15.75" customHeight="1">
      <c r="F576" s="453"/>
    </row>
    <row r="577" ht="15.75" customHeight="1">
      <c r="F577" s="453"/>
    </row>
    <row r="578" ht="15.75" customHeight="1">
      <c r="F578" s="453"/>
    </row>
    <row r="579" ht="15.75" customHeight="1">
      <c r="F579" s="453"/>
    </row>
    <row r="580" ht="15.75" customHeight="1">
      <c r="F580" s="453"/>
    </row>
    <row r="581" ht="15.75" customHeight="1">
      <c r="F581" s="453"/>
    </row>
    <row r="582" ht="15.75" customHeight="1">
      <c r="F582" s="453"/>
    </row>
    <row r="583" ht="15.75" customHeight="1">
      <c r="F583" s="453"/>
    </row>
    <row r="584" ht="15.75" customHeight="1">
      <c r="F584" s="453"/>
    </row>
    <row r="585" ht="15.75" customHeight="1">
      <c r="F585" s="453"/>
    </row>
    <row r="586" ht="15.75" customHeight="1">
      <c r="F586" s="453"/>
    </row>
    <row r="587" ht="15.75" customHeight="1">
      <c r="F587" s="453"/>
    </row>
    <row r="588" ht="15.75" customHeight="1">
      <c r="F588" s="453"/>
    </row>
    <row r="589" ht="15.75" customHeight="1">
      <c r="F589" s="453"/>
    </row>
    <row r="590" ht="15.75" customHeight="1">
      <c r="F590" s="453"/>
    </row>
    <row r="591" ht="15.75" customHeight="1">
      <c r="F591" s="453"/>
    </row>
    <row r="592" ht="15.75" customHeight="1">
      <c r="F592" s="453"/>
    </row>
    <row r="593" ht="15.75" customHeight="1">
      <c r="F593" s="453"/>
    </row>
    <row r="594" ht="15.75" customHeight="1">
      <c r="F594" s="453"/>
    </row>
    <row r="595" ht="15.75" customHeight="1">
      <c r="F595" s="453"/>
    </row>
    <row r="596" ht="15.75" customHeight="1">
      <c r="F596" s="453"/>
    </row>
    <row r="597" ht="15.75" customHeight="1">
      <c r="F597" s="453"/>
    </row>
    <row r="598" ht="15.75" customHeight="1">
      <c r="F598" s="453"/>
    </row>
    <row r="599" ht="15.75" customHeight="1">
      <c r="F599" s="453"/>
    </row>
    <row r="600" ht="15.75" customHeight="1">
      <c r="F600" s="453"/>
    </row>
    <row r="601" ht="15.75" customHeight="1">
      <c r="F601" s="453"/>
    </row>
    <row r="602" ht="15.75" customHeight="1">
      <c r="F602" s="453"/>
    </row>
    <row r="603" ht="15.75" customHeight="1">
      <c r="F603" s="453"/>
    </row>
    <row r="604" ht="15.75" customHeight="1">
      <c r="F604" s="453"/>
    </row>
    <row r="605" ht="15.75" customHeight="1">
      <c r="F605" s="453"/>
    </row>
    <row r="606" ht="15.75" customHeight="1">
      <c r="F606" s="453"/>
    </row>
    <row r="607" ht="15.75" customHeight="1">
      <c r="F607" s="453"/>
    </row>
    <row r="608" ht="15.75" customHeight="1">
      <c r="F608" s="453"/>
    </row>
    <row r="609" ht="15.75" customHeight="1">
      <c r="F609" s="453"/>
    </row>
    <row r="610" ht="15.75" customHeight="1">
      <c r="F610" s="453"/>
    </row>
    <row r="611" ht="15.75" customHeight="1">
      <c r="F611" s="453"/>
    </row>
    <row r="612" ht="15.75" customHeight="1">
      <c r="F612" s="453"/>
    </row>
    <row r="613" ht="15.75" customHeight="1">
      <c r="F613" s="453"/>
    </row>
    <row r="614" ht="15.75" customHeight="1">
      <c r="F614" s="453"/>
    </row>
    <row r="615" ht="15.75" customHeight="1">
      <c r="F615" s="453"/>
    </row>
    <row r="616" ht="15.75" customHeight="1">
      <c r="F616" s="453"/>
    </row>
    <row r="617" ht="15.75" customHeight="1">
      <c r="F617" s="453"/>
    </row>
    <row r="618" ht="15.75" customHeight="1">
      <c r="F618" s="453"/>
    </row>
    <row r="619" ht="15.75" customHeight="1">
      <c r="F619" s="453"/>
    </row>
    <row r="620" ht="15.75" customHeight="1">
      <c r="F620" s="453"/>
    </row>
    <row r="621" ht="15.75" customHeight="1">
      <c r="F621" s="453"/>
    </row>
    <row r="622" ht="15.75" customHeight="1">
      <c r="F622" s="453"/>
    </row>
    <row r="623" ht="15.75" customHeight="1">
      <c r="F623" s="453"/>
    </row>
    <row r="624" ht="15.75" customHeight="1">
      <c r="F624" s="453"/>
    </row>
    <row r="625" ht="15.75" customHeight="1">
      <c r="F625" s="453"/>
    </row>
    <row r="626" ht="15.75" customHeight="1">
      <c r="F626" s="453"/>
    </row>
    <row r="627" ht="15.75" customHeight="1">
      <c r="F627" s="453"/>
    </row>
    <row r="628" ht="15.75" customHeight="1">
      <c r="F628" s="453"/>
    </row>
    <row r="629" ht="15.75" customHeight="1">
      <c r="F629" s="453"/>
    </row>
    <row r="630" ht="15.75" customHeight="1">
      <c r="F630" s="453"/>
    </row>
    <row r="631" ht="15.75" customHeight="1">
      <c r="F631" s="453"/>
    </row>
    <row r="632" ht="15.75" customHeight="1">
      <c r="F632" s="453"/>
    </row>
    <row r="633" ht="15.75" customHeight="1">
      <c r="F633" s="453"/>
    </row>
    <row r="634" ht="15.75" customHeight="1">
      <c r="F634" s="453"/>
    </row>
    <row r="635" ht="15.75" customHeight="1">
      <c r="F635" s="453"/>
    </row>
    <row r="636" ht="15.75" customHeight="1">
      <c r="F636" s="453"/>
    </row>
    <row r="637" ht="15.75" customHeight="1">
      <c r="F637" s="453"/>
    </row>
    <row r="638" ht="15.75" customHeight="1">
      <c r="F638" s="453"/>
    </row>
    <row r="639" ht="15.75" customHeight="1">
      <c r="F639" s="453"/>
    </row>
    <row r="640" ht="15.75" customHeight="1">
      <c r="F640" s="453"/>
    </row>
    <row r="641" ht="15.75" customHeight="1">
      <c r="F641" s="453"/>
    </row>
    <row r="642" ht="15.75" customHeight="1">
      <c r="F642" s="453"/>
    </row>
    <row r="643" ht="15.75" customHeight="1">
      <c r="F643" s="453"/>
    </row>
    <row r="644" ht="15.75" customHeight="1">
      <c r="F644" s="453"/>
    </row>
    <row r="645" ht="15.75" customHeight="1">
      <c r="F645" s="453"/>
    </row>
    <row r="646" ht="15.75" customHeight="1">
      <c r="F646" s="453"/>
    </row>
    <row r="647" ht="15.75" customHeight="1">
      <c r="F647" s="453"/>
    </row>
    <row r="648" ht="15.75" customHeight="1">
      <c r="F648" s="453"/>
    </row>
    <row r="649" ht="15.75" customHeight="1">
      <c r="F649" s="453"/>
    </row>
    <row r="650" ht="15.75" customHeight="1">
      <c r="F650" s="453"/>
    </row>
    <row r="651" ht="15.75" customHeight="1">
      <c r="F651" s="453"/>
    </row>
    <row r="652" ht="15.75" customHeight="1">
      <c r="F652" s="453"/>
    </row>
    <row r="653" ht="15.75" customHeight="1">
      <c r="F653" s="453"/>
    </row>
    <row r="654" ht="15.75" customHeight="1">
      <c r="F654" s="453"/>
    </row>
    <row r="655" ht="15.75" customHeight="1">
      <c r="F655" s="453"/>
    </row>
    <row r="656" ht="15.75" customHeight="1">
      <c r="F656" s="453"/>
    </row>
    <row r="657" ht="15.75" customHeight="1">
      <c r="F657" s="453"/>
    </row>
    <row r="658" ht="15.75" customHeight="1">
      <c r="F658" s="453"/>
    </row>
    <row r="659" ht="15.75" customHeight="1">
      <c r="F659" s="453"/>
    </row>
    <row r="660" ht="15.75" customHeight="1">
      <c r="F660" s="453"/>
    </row>
    <row r="661" ht="15.75" customHeight="1">
      <c r="F661" s="453"/>
    </row>
    <row r="662" ht="15.75" customHeight="1">
      <c r="F662" s="453"/>
    </row>
    <row r="663" ht="15.75" customHeight="1">
      <c r="F663" s="453"/>
    </row>
    <row r="664" ht="15.75" customHeight="1">
      <c r="F664" s="453"/>
    </row>
    <row r="665" ht="15.75" customHeight="1">
      <c r="F665" s="453"/>
    </row>
    <row r="666" ht="15.75" customHeight="1">
      <c r="F666" s="453"/>
    </row>
    <row r="667" ht="15.75" customHeight="1">
      <c r="F667" s="453"/>
    </row>
    <row r="668" ht="15.75" customHeight="1">
      <c r="F668" s="453"/>
    </row>
    <row r="669" ht="15.75" customHeight="1">
      <c r="F669" s="453"/>
    </row>
    <row r="670" ht="15.75" customHeight="1">
      <c r="F670" s="453"/>
    </row>
    <row r="671" ht="15.75" customHeight="1">
      <c r="F671" s="453"/>
    </row>
    <row r="672" ht="15.75" customHeight="1">
      <c r="F672" s="453"/>
    </row>
    <row r="673" ht="15.75" customHeight="1">
      <c r="F673" s="453"/>
    </row>
    <row r="674" ht="15.75" customHeight="1">
      <c r="F674" s="453"/>
    </row>
    <row r="675" ht="15.75" customHeight="1">
      <c r="F675" s="453"/>
    </row>
    <row r="676" ht="15.75" customHeight="1">
      <c r="F676" s="453"/>
    </row>
    <row r="677" ht="15.75" customHeight="1">
      <c r="F677" s="453"/>
    </row>
    <row r="678" ht="15.75" customHeight="1">
      <c r="F678" s="453"/>
    </row>
    <row r="679" ht="15.75" customHeight="1">
      <c r="F679" s="453"/>
    </row>
    <row r="680" ht="15.75" customHeight="1">
      <c r="F680" s="453"/>
    </row>
    <row r="681" ht="15.75" customHeight="1">
      <c r="F681" s="453"/>
    </row>
    <row r="682" ht="15.75" customHeight="1">
      <c r="F682" s="453"/>
    </row>
    <row r="683" ht="15.75" customHeight="1">
      <c r="F683" s="453"/>
    </row>
    <row r="684" ht="15.75" customHeight="1">
      <c r="F684" s="453"/>
    </row>
    <row r="685" ht="15.75" customHeight="1">
      <c r="F685" s="453"/>
    </row>
    <row r="686" ht="15.75" customHeight="1">
      <c r="F686" s="453"/>
    </row>
    <row r="687" ht="15.75" customHeight="1">
      <c r="F687" s="453"/>
    </row>
    <row r="688" ht="15.75" customHeight="1">
      <c r="F688" s="453"/>
    </row>
    <row r="689" ht="15.75" customHeight="1">
      <c r="F689" s="453"/>
    </row>
    <row r="690" ht="15.75" customHeight="1">
      <c r="F690" s="453"/>
    </row>
    <row r="691" ht="15.75" customHeight="1">
      <c r="F691" s="453"/>
    </row>
    <row r="692" ht="15.75" customHeight="1">
      <c r="F692" s="453"/>
    </row>
    <row r="693" ht="15.75" customHeight="1">
      <c r="F693" s="453"/>
    </row>
    <row r="694" ht="15.75" customHeight="1">
      <c r="F694" s="453"/>
    </row>
    <row r="695" ht="15.75" customHeight="1">
      <c r="F695" s="453"/>
    </row>
    <row r="696" ht="15.75" customHeight="1">
      <c r="F696" s="453"/>
    </row>
    <row r="697" ht="15.75" customHeight="1">
      <c r="F697" s="453"/>
    </row>
    <row r="698" ht="15.75" customHeight="1">
      <c r="F698" s="453"/>
    </row>
    <row r="699" ht="15.75" customHeight="1">
      <c r="F699" s="453"/>
    </row>
    <row r="700" ht="15.75" customHeight="1">
      <c r="F700" s="453"/>
    </row>
    <row r="701" ht="15.75" customHeight="1">
      <c r="F701" s="453"/>
    </row>
    <row r="702" ht="15.75" customHeight="1">
      <c r="F702" s="453"/>
    </row>
    <row r="703" ht="15.75" customHeight="1">
      <c r="F703" s="453"/>
    </row>
    <row r="704" ht="15.75" customHeight="1">
      <c r="F704" s="453"/>
    </row>
    <row r="705" ht="15.75" customHeight="1">
      <c r="F705" s="453"/>
    </row>
    <row r="706" ht="15.75" customHeight="1">
      <c r="F706" s="453"/>
    </row>
    <row r="707" ht="15.75" customHeight="1">
      <c r="F707" s="453"/>
    </row>
    <row r="708" ht="15.75" customHeight="1">
      <c r="F708" s="453"/>
    </row>
    <row r="709" ht="15.75" customHeight="1">
      <c r="F709" s="453"/>
    </row>
    <row r="710" ht="15.75" customHeight="1">
      <c r="F710" s="453"/>
    </row>
    <row r="711" ht="15.75" customHeight="1">
      <c r="F711" s="453"/>
    </row>
    <row r="712" ht="15.75" customHeight="1">
      <c r="F712" s="453"/>
    </row>
    <row r="713" ht="15.75" customHeight="1">
      <c r="F713" s="453"/>
    </row>
    <row r="714" ht="15.75" customHeight="1">
      <c r="F714" s="453"/>
    </row>
    <row r="715" ht="15.75" customHeight="1">
      <c r="F715" s="453"/>
    </row>
    <row r="716" ht="15.75" customHeight="1">
      <c r="F716" s="453"/>
    </row>
    <row r="717" ht="15.75" customHeight="1">
      <c r="F717" s="453"/>
    </row>
    <row r="718" ht="15.75" customHeight="1">
      <c r="F718" s="453"/>
    </row>
    <row r="719" ht="15.75" customHeight="1">
      <c r="F719" s="453"/>
    </row>
    <row r="720" ht="15.75" customHeight="1">
      <c r="F720" s="453"/>
    </row>
    <row r="721" ht="15.75" customHeight="1">
      <c r="F721" s="453"/>
    </row>
    <row r="722" ht="15.75" customHeight="1">
      <c r="F722" s="453"/>
    </row>
    <row r="723" ht="15.75" customHeight="1">
      <c r="F723" s="453"/>
    </row>
    <row r="724" ht="15.75" customHeight="1">
      <c r="F724" s="453"/>
    </row>
    <row r="725" ht="15.75" customHeight="1">
      <c r="F725" s="453"/>
    </row>
    <row r="726" ht="15.75" customHeight="1">
      <c r="F726" s="453"/>
    </row>
    <row r="727" ht="15.75" customHeight="1">
      <c r="F727" s="453"/>
    </row>
    <row r="728" ht="15.75" customHeight="1">
      <c r="F728" s="453"/>
    </row>
    <row r="729" ht="15.75" customHeight="1">
      <c r="F729" s="453"/>
    </row>
    <row r="730" ht="15.75" customHeight="1">
      <c r="F730" s="453"/>
    </row>
    <row r="731" ht="15.75" customHeight="1">
      <c r="F731" s="453"/>
    </row>
    <row r="732" ht="15.75" customHeight="1">
      <c r="F732" s="453"/>
    </row>
    <row r="733" ht="15.75" customHeight="1">
      <c r="F733" s="453"/>
    </row>
    <row r="734" ht="15.75" customHeight="1">
      <c r="F734" s="453"/>
    </row>
    <row r="735" ht="15.75" customHeight="1">
      <c r="F735" s="453"/>
    </row>
    <row r="736" ht="15.75" customHeight="1">
      <c r="F736" s="453"/>
    </row>
    <row r="737" ht="15.75" customHeight="1">
      <c r="F737" s="453"/>
    </row>
    <row r="738" ht="15.75" customHeight="1">
      <c r="F738" s="453"/>
    </row>
    <row r="739" ht="15.75" customHeight="1">
      <c r="F739" s="453"/>
    </row>
    <row r="740" ht="15.75" customHeight="1">
      <c r="F740" s="453"/>
    </row>
    <row r="741" ht="15.75" customHeight="1">
      <c r="F741" s="453"/>
    </row>
    <row r="742" ht="15.75" customHeight="1">
      <c r="F742" s="453"/>
    </row>
    <row r="743" ht="15.75" customHeight="1">
      <c r="F743" s="453"/>
    </row>
    <row r="744" ht="15.75" customHeight="1">
      <c r="F744" s="453"/>
    </row>
    <row r="745" ht="15.75" customHeight="1">
      <c r="F745" s="453"/>
    </row>
    <row r="746" ht="15.75" customHeight="1">
      <c r="F746" s="453"/>
    </row>
    <row r="747" ht="15.75" customHeight="1">
      <c r="F747" s="453"/>
    </row>
    <row r="748" ht="15.75" customHeight="1">
      <c r="F748" s="453"/>
    </row>
    <row r="749" ht="15.75" customHeight="1">
      <c r="F749" s="453"/>
    </row>
    <row r="750" ht="15.75" customHeight="1">
      <c r="F750" s="453"/>
    </row>
    <row r="751" ht="15.75" customHeight="1">
      <c r="F751" s="453"/>
    </row>
    <row r="752" ht="15.75" customHeight="1">
      <c r="F752" s="453"/>
    </row>
    <row r="753" ht="15.75" customHeight="1">
      <c r="F753" s="453"/>
    </row>
    <row r="754" ht="15.75" customHeight="1">
      <c r="F754" s="453"/>
    </row>
    <row r="755" ht="15.75" customHeight="1">
      <c r="F755" s="453"/>
    </row>
    <row r="756" ht="15.75" customHeight="1">
      <c r="F756" s="453"/>
    </row>
    <row r="757" ht="15.75" customHeight="1">
      <c r="F757" s="453"/>
    </row>
    <row r="758" ht="15.75" customHeight="1">
      <c r="F758" s="453"/>
    </row>
    <row r="759" ht="15.75" customHeight="1">
      <c r="F759" s="453"/>
    </row>
    <row r="760" ht="15.75" customHeight="1">
      <c r="F760" s="453"/>
    </row>
    <row r="761" ht="15.75" customHeight="1">
      <c r="F761" s="453"/>
    </row>
    <row r="762" ht="15.75" customHeight="1">
      <c r="F762" s="453"/>
    </row>
    <row r="763" ht="15.75" customHeight="1">
      <c r="F763" s="453"/>
    </row>
    <row r="764" ht="15.75" customHeight="1">
      <c r="F764" s="453"/>
    </row>
    <row r="765" ht="15.75" customHeight="1">
      <c r="F765" s="453"/>
    </row>
    <row r="766" ht="15.75" customHeight="1">
      <c r="F766" s="453"/>
    </row>
    <row r="767" ht="15.75" customHeight="1">
      <c r="F767" s="453"/>
    </row>
    <row r="768" ht="15.75" customHeight="1">
      <c r="F768" s="453"/>
    </row>
    <row r="769" ht="15.75" customHeight="1">
      <c r="F769" s="453"/>
    </row>
    <row r="770" ht="15.75" customHeight="1">
      <c r="F770" s="453"/>
    </row>
    <row r="771" ht="15.75" customHeight="1">
      <c r="F771" s="453"/>
    </row>
    <row r="772" ht="15.75" customHeight="1">
      <c r="F772" s="453"/>
    </row>
    <row r="773" ht="15.75" customHeight="1">
      <c r="F773" s="453"/>
    </row>
    <row r="774" ht="15.75" customHeight="1">
      <c r="F774" s="453"/>
    </row>
    <row r="775" ht="15.75" customHeight="1">
      <c r="F775" s="453"/>
    </row>
    <row r="776" ht="15.75" customHeight="1">
      <c r="F776" s="453"/>
    </row>
    <row r="777" ht="15.75" customHeight="1">
      <c r="F777" s="453"/>
    </row>
    <row r="778" ht="15.75" customHeight="1">
      <c r="F778" s="453"/>
    </row>
    <row r="779" ht="15.75" customHeight="1">
      <c r="F779" s="453"/>
    </row>
    <row r="780" ht="15.75" customHeight="1">
      <c r="F780" s="453"/>
    </row>
    <row r="781" ht="15.75" customHeight="1">
      <c r="F781" s="453"/>
    </row>
    <row r="782" ht="15.75" customHeight="1">
      <c r="F782" s="453"/>
    </row>
    <row r="783" ht="15.75" customHeight="1">
      <c r="F783" s="453"/>
    </row>
    <row r="784" ht="15.75" customHeight="1">
      <c r="F784" s="453"/>
    </row>
    <row r="785" ht="15.75" customHeight="1">
      <c r="F785" s="453"/>
    </row>
    <row r="786" ht="15.75" customHeight="1">
      <c r="F786" s="453"/>
    </row>
    <row r="787" ht="15.75" customHeight="1">
      <c r="F787" s="453"/>
    </row>
    <row r="788" ht="15.75" customHeight="1">
      <c r="F788" s="453"/>
    </row>
    <row r="789" ht="15.75" customHeight="1">
      <c r="F789" s="453"/>
    </row>
    <row r="790" ht="15.75" customHeight="1">
      <c r="F790" s="453"/>
    </row>
    <row r="791" ht="15.75" customHeight="1">
      <c r="F791" s="453"/>
    </row>
    <row r="792" ht="15.75" customHeight="1">
      <c r="F792" s="453"/>
    </row>
    <row r="793" ht="15.75" customHeight="1">
      <c r="F793" s="453"/>
    </row>
    <row r="794" ht="15.75" customHeight="1">
      <c r="F794" s="453"/>
    </row>
    <row r="795" ht="15.75" customHeight="1">
      <c r="F795" s="453"/>
    </row>
    <row r="796" ht="15.75" customHeight="1">
      <c r="F796" s="453"/>
    </row>
    <row r="797" ht="15.75" customHeight="1">
      <c r="F797" s="453"/>
    </row>
    <row r="798" ht="15.75" customHeight="1">
      <c r="F798" s="453"/>
    </row>
    <row r="799" ht="15.75" customHeight="1">
      <c r="F799" s="453"/>
    </row>
    <row r="800" ht="15.75" customHeight="1">
      <c r="F800" s="453"/>
    </row>
    <row r="801" ht="15.75" customHeight="1">
      <c r="F801" s="453"/>
    </row>
    <row r="802" ht="15.75" customHeight="1">
      <c r="F802" s="453"/>
    </row>
    <row r="803" ht="15.75" customHeight="1">
      <c r="F803" s="453"/>
    </row>
    <row r="804" ht="15.75" customHeight="1">
      <c r="F804" s="453"/>
    </row>
    <row r="805" ht="15.75" customHeight="1">
      <c r="F805" s="453"/>
    </row>
    <row r="806" ht="15.75" customHeight="1">
      <c r="F806" s="453"/>
    </row>
    <row r="807" ht="15.75" customHeight="1">
      <c r="F807" s="453"/>
    </row>
    <row r="808" ht="15.75" customHeight="1">
      <c r="F808" s="453"/>
    </row>
    <row r="809" ht="15.75" customHeight="1">
      <c r="F809" s="453"/>
    </row>
    <row r="810" ht="15.75" customHeight="1">
      <c r="F810" s="453"/>
    </row>
    <row r="811" ht="15.75" customHeight="1">
      <c r="F811" s="453"/>
    </row>
    <row r="812" ht="15.75" customHeight="1">
      <c r="F812" s="453"/>
    </row>
    <row r="813" ht="15.75" customHeight="1">
      <c r="F813" s="453"/>
    </row>
    <row r="814" ht="15.75" customHeight="1">
      <c r="F814" s="453"/>
    </row>
    <row r="815" ht="15.75" customHeight="1">
      <c r="F815" s="453"/>
    </row>
    <row r="816" ht="15.75" customHeight="1">
      <c r="F816" s="453"/>
    </row>
    <row r="817" ht="15.75" customHeight="1">
      <c r="F817" s="453"/>
    </row>
    <row r="818" ht="15.75" customHeight="1">
      <c r="F818" s="453"/>
    </row>
    <row r="819" ht="15.75" customHeight="1">
      <c r="F819" s="453"/>
    </row>
    <row r="820" ht="15.75" customHeight="1">
      <c r="F820" s="453"/>
    </row>
    <row r="821" ht="15.75" customHeight="1">
      <c r="F821" s="453"/>
    </row>
    <row r="822" ht="15.75" customHeight="1">
      <c r="F822" s="453"/>
    </row>
    <row r="823" ht="15.75" customHeight="1">
      <c r="F823" s="453"/>
    </row>
    <row r="824" ht="15.75" customHeight="1">
      <c r="F824" s="453"/>
    </row>
    <row r="825" ht="15.75" customHeight="1">
      <c r="F825" s="453"/>
    </row>
    <row r="826" ht="15.75" customHeight="1">
      <c r="F826" s="453"/>
    </row>
    <row r="827" ht="15.75" customHeight="1">
      <c r="F827" s="453"/>
    </row>
    <row r="828" ht="15.75" customHeight="1">
      <c r="F828" s="453"/>
    </row>
    <row r="829" ht="15.75" customHeight="1">
      <c r="F829" s="453"/>
    </row>
    <row r="830" ht="15.75" customHeight="1">
      <c r="F830" s="453"/>
    </row>
    <row r="831" ht="15.75" customHeight="1">
      <c r="F831" s="453"/>
    </row>
    <row r="832" ht="15.75" customHeight="1">
      <c r="F832" s="453"/>
    </row>
    <row r="833" ht="15.75" customHeight="1">
      <c r="F833" s="453"/>
    </row>
    <row r="834" ht="15.75" customHeight="1">
      <c r="F834" s="453"/>
    </row>
    <row r="835" ht="15.75" customHeight="1">
      <c r="F835" s="453"/>
    </row>
    <row r="836" ht="15.75" customHeight="1">
      <c r="F836" s="453"/>
    </row>
    <row r="837" ht="15.75" customHeight="1">
      <c r="F837" s="453"/>
    </row>
    <row r="838" ht="15.75" customHeight="1">
      <c r="F838" s="453"/>
    </row>
    <row r="839" ht="15.75" customHeight="1">
      <c r="F839" s="453"/>
    </row>
    <row r="840" ht="15.75" customHeight="1">
      <c r="F840" s="453"/>
    </row>
    <row r="841" ht="15.75" customHeight="1">
      <c r="F841" s="453"/>
    </row>
    <row r="842" ht="15.75" customHeight="1">
      <c r="F842" s="453"/>
    </row>
    <row r="843" ht="15.75" customHeight="1">
      <c r="F843" s="453"/>
    </row>
    <row r="844" ht="15.75" customHeight="1">
      <c r="F844" s="453"/>
    </row>
    <row r="845" ht="15.75" customHeight="1">
      <c r="F845" s="453"/>
    </row>
    <row r="846" ht="15.75" customHeight="1">
      <c r="F846" s="453"/>
    </row>
    <row r="847" ht="15.75" customHeight="1">
      <c r="F847" s="453"/>
    </row>
    <row r="848" ht="15.75" customHeight="1">
      <c r="F848" s="453"/>
    </row>
    <row r="849" ht="15.75" customHeight="1">
      <c r="F849" s="453"/>
    </row>
    <row r="850" ht="15.75" customHeight="1">
      <c r="F850" s="453"/>
    </row>
    <row r="851" ht="15.75" customHeight="1">
      <c r="F851" s="453"/>
    </row>
    <row r="852" ht="15.75" customHeight="1">
      <c r="F852" s="453"/>
    </row>
    <row r="853" ht="15.75" customHeight="1">
      <c r="F853" s="453"/>
    </row>
    <row r="854" ht="15.75" customHeight="1">
      <c r="F854" s="453"/>
    </row>
    <row r="855" ht="15.75" customHeight="1">
      <c r="F855" s="453"/>
    </row>
    <row r="856" ht="15.75" customHeight="1">
      <c r="F856" s="453"/>
    </row>
    <row r="857" ht="15.75" customHeight="1">
      <c r="F857" s="453"/>
    </row>
    <row r="858" ht="15.75" customHeight="1">
      <c r="F858" s="453"/>
    </row>
    <row r="859" ht="15.75" customHeight="1">
      <c r="F859" s="453"/>
    </row>
    <row r="860" ht="15.75" customHeight="1">
      <c r="F860" s="453"/>
    </row>
    <row r="861" ht="15.75" customHeight="1">
      <c r="F861" s="453"/>
    </row>
    <row r="862" ht="15.75" customHeight="1">
      <c r="F862" s="453"/>
    </row>
    <row r="863" ht="15.75" customHeight="1">
      <c r="F863" s="453"/>
    </row>
    <row r="864" ht="15.75" customHeight="1">
      <c r="F864" s="453"/>
    </row>
    <row r="865" ht="15.75" customHeight="1">
      <c r="F865" s="453"/>
    </row>
    <row r="866" ht="15.75" customHeight="1">
      <c r="F866" s="453"/>
    </row>
    <row r="867" ht="15.75" customHeight="1">
      <c r="F867" s="453"/>
    </row>
    <row r="868" ht="15.75" customHeight="1">
      <c r="F868" s="453"/>
    </row>
    <row r="869" ht="15.75" customHeight="1">
      <c r="F869" s="453"/>
    </row>
    <row r="870" ht="15.75" customHeight="1">
      <c r="F870" s="453"/>
    </row>
    <row r="871" ht="15.75" customHeight="1">
      <c r="F871" s="453"/>
    </row>
    <row r="872" ht="15.75" customHeight="1">
      <c r="F872" s="453"/>
    </row>
    <row r="873" ht="15.75" customHeight="1">
      <c r="F873" s="453"/>
    </row>
    <row r="874" ht="15.75" customHeight="1">
      <c r="F874" s="453"/>
    </row>
    <row r="875" ht="15.75" customHeight="1">
      <c r="F875" s="453"/>
    </row>
    <row r="876" ht="15.75" customHeight="1">
      <c r="F876" s="453"/>
    </row>
    <row r="877" ht="15.75" customHeight="1">
      <c r="F877" s="453"/>
    </row>
    <row r="878" ht="15.75" customHeight="1">
      <c r="F878" s="453"/>
    </row>
    <row r="879" ht="15.75" customHeight="1">
      <c r="F879" s="453"/>
    </row>
    <row r="880" ht="15.75" customHeight="1">
      <c r="F880" s="453"/>
    </row>
    <row r="881" ht="15.75" customHeight="1">
      <c r="F881" s="453"/>
    </row>
    <row r="882" ht="15.75" customHeight="1">
      <c r="F882" s="453"/>
    </row>
    <row r="883" ht="15.75" customHeight="1">
      <c r="F883" s="453"/>
    </row>
    <row r="884" ht="15.75" customHeight="1">
      <c r="F884" s="453"/>
    </row>
    <row r="885" ht="15.75" customHeight="1">
      <c r="F885" s="453"/>
    </row>
    <row r="886" ht="15.75" customHeight="1">
      <c r="F886" s="453"/>
    </row>
    <row r="887" ht="15.75" customHeight="1">
      <c r="F887" s="453"/>
    </row>
    <row r="888" ht="15.75" customHeight="1">
      <c r="F888" s="453"/>
    </row>
    <row r="889" ht="15.75" customHeight="1">
      <c r="F889" s="453"/>
    </row>
    <row r="890" ht="15.75" customHeight="1">
      <c r="F890" s="453"/>
    </row>
    <row r="891" ht="15.75" customHeight="1">
      <c r="F891" s="453"/>
    </row>
    <row r="892" ht="15.75" customHeight="1">
      <c r="F892" s="453"/>
    </row>
    <row r="893" ht="15.75" customHeight="1">
      <c r="F893" s="453"/>
    </row>
    <row r="894" ht="15.75" customHeight="1">
      <c r="F894" s="453"/>
    </row>
    <row r="895" ht="15.75" customHeight="1">
      <c r="F895" s="453"/>
    </row>
    <row r="896" ht="15.75" customHeight="1">
      <c r="F896" s="453"/>
    </row>
    <row r="897" ht="15.75" customHeight="1">
      <c r="F897" s="453"/>
    </row>
    <row r="898" ht="15.75" customHeight="1">
      <c r="F898" s="453"/>
    </row>
    <row r="899" ht="15.75" customHeight="1">
      <c r="F899" s="453"/>
    </row>
    <row r="900" ht="15.75" customHeight="1">
      <c r="F900" s="453"/>
    </row>
    <row r="901" ht="15.75" customHeight="1">
      <c r="F901" s="453"/>
    </row>
    <row r="902" ht="15.75" customHeight="1">
      <c r="F902" s="453"/>
    </row>
    <row r="903" ht="15.75" customHeight="1">
      <c r="F903" s="453"/>
    </row>
    <row r="904" ht="15.75" customHeight="1">
      <c r="F904" s="453"/>
    </row>
    <row r="905" ht="15.75" customHeight="1">
      <c r="F905" s="453"/>
    </row>
    <row r="906" ht="15.75" customHeight="1">
      <c r="F906" s="453"/>
    </row>
    <row r="907" ht="15.75" customHeight="1">
      <c r="F907" s="453"/>
    </row>
    <row r="908" ht="15.75" customHeight="1">
      <c r="F908" s="453"/>
    </row>
    <row r="909" ht="15.75" customHeight="1">
      <c r="F909" s="453"/>
    </row>
    <row r="910" ht="15.75" customHeight="1">
      <c r="F910" s="453"/>
    </row>
    <row r="911" ht="15.75" customHeight="1">
      <c r="F911" s="453"/>
    </row>
    <row r="912" ht="15.75" customHeight="1">
      <c r="F912" s="453"/>
    </row>
    <row r="913" ht="15.75" customHeight="1">
      <c r="F913" s="453"/>
    </row>
    <row r="914" ht="15.75" customHeight="1">
      <c r="F914" s="453"/>
    </row>
    <row r="915" ht="15.75" customHeight="1">
      <c r="F915" s="453"/>
    </row>
    <row r="916" ht="15.75" customHeight="1">
      <c r="F916" s="453"/>
    </row>
    <row r="917" ht="15.75" customHeight="1">
      <c r="F917" s="453"/>
    </row>
    <row r="918" ht="15.75" customHeight="1">
      <c r="F918" s="453"/>
    </row>
    <row r="919" ht="15.75" customHeight="1">
      <c r="F919" s="453"/>
    </row>
    <row r="920" ht="15.75" customHeight="1">
      <c r="F920" s="453"/>
    </row>
    <row r="921" ht="15.75" customHeight="1">
      <c r="F921" s="453"/>
    </row>
    <row r="922" ht="15.75" customHeight="1">
      <c r="F922" s="453"/>
    </row>
    <row r="923" ht="15.75" customHeight="1">
      <c r="F923" s="453"/>
    </row>
    <row r="924" ht="15.75" customHeight="1">
      <c r="F924" s="453"/>
    </row>
    <row r="925" ht="15.75" customHeight="1">
      <c r="F925" s="453"/>
    </row>
    <row r="926" ht="15.75" customHeight="1">
      <c r="F926" s="453"/>
    </row>
    <row r="927" ht="15.75" customHeight="1">
      <c r="F927" s="453"/>
    </row>
    <row r="928" ht="15.75" customHeight="1">
      <c r="F928" s="453"/>
    </row>
    <row r="929" ht="15.75" customHeight="1">
      <c r="F929" s="453"/>
    </row>
    <row r="930" ht="15.75" customHeight="1">
      <c r="F930" s="453"/>
    </row>
  </sheetData>
  <mergeCells count="10">
    <mergeCell ref="A44:C44"/>
    <mergeCell ref="A70:C70"/>
    <mergeCell ref="A71:C71"/>
    <mergeCell ref="D2:F4"/>
    <mergeCell ref="A8:E8"/>
    <mergeCell ref="A18:C18"/>
    <mergeCell ref="A19:E19"/>
    <mergeCell ref="A35:C35"/>
    <mergeCell ref="A37:E37"/>
    <mergeCell ref="A46:E46"/>
  </mergeCells>
  <printOptions/>
  <pageMargins bottom="0.748031496062992" footer="0.0" header="0.0" left="0.236220472440945" right="0.236220472440945" top="0.748031496062992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74.71"/>
    <col customWidth="1" min="2" max="2" width="22.14"/>
    <col customWidth="1" min="3" max="4" width="21.0"/>
    <col customWidth="1" min="5" max="5" width="22.86"/>
    <col customWidth="1" min="6" max="6" width="23.43"/>
    <col customWidth="1" min="7" max="7" width="26.14"/>
    <col customWidth="1" min="8" max="8" width="20.43"/>
    <col customWidth="1" min="9" max="10" width="20.57"/>
    <col customWidth="1" min="11" max="11" width="19.57"/>
    <col customWidth="1" min="12" max="12" width="20.57"/>
    <col customWidth="1" min="13" max="13" width="26.0"/>
  </cols>
  <sheetData>
    <row r="1">
      <c r="A1" s="454" t="s">
        <v>811</v>
      </c>
      <c r="B1" s="455"/>
      <c r="C1" s="456"/>
      <c r="D1" s="456"/>
      <c r="E1" s="457"/>
      <c r="F1" s="457"/>
      <c r="G1" s="456"/>
      <c r="H1" s="456"/>
      <c r="I1" s="457"/>
      <c r="J1" s="457"/>
      <c r="K1" s="457"/>
      <c r="L1" s="457"/>
      <c r="M1" s="457"/>
    </row>
    <row r="2">
      <c r="A2" s="5" t="s">
        <v>1</v>
      </c>
      <c r="B2" s="458"/>
      <c r="C2" s="456"/>
      <c r="D2" s="456"/>
      <c r="E2" s="457"/>
      <c r="F2" s="457"/>
      <c r="G2" s="456"/>
      <c r="H2" s="456"/>
      <c r="I2" s="457"/>
      <c r="J2" s="457"/>
      <c r="K2" s="457"/>
      <c r="L2" s="457"/>
      <c r="M2" s="457"/>
    </row>
    <row r="3">
      <c r="A3" s="454" t="s">
        <v>812</v>
      </c>
      <c r="B3" s="455"/>
      <c r="C3" s="456"/>
      <c r="D3" s="456"/>
      <c r="E3" s="457"/>
      <c r="F3" s="457"/>
      <c r="G3" s="456"/>
      <c r="H3" s="456"/>
      <c r="I3" s="344"/>
      <c r="L3" s="457"/>
      <c r="M3" s="457"/>
    </row>
    <row r="4">
      <c r="A4" s="454" t="s">
        <v>3</v>
      </c>
      <c r="B4" s="455"/>
      <c r="C4" s="456"/>
      <c r="D4" s="456"/>
      <c r="E4" s="457"/>
      <c r="F4" s="457"/>
      <c r="G4" s="456"/>
      <c r="H4" s="456"/>
      <c r="L4" s="457"/>
      <c r="M4" s="457"/>
    </row>
    <row r="5">
      <c r="A5" s="454" t="s">
        <v>4</v>
      </c>
      <c r="B5" s="455"/>
      <c r="C5" s="456"/>
      <c r="D5" s="456"/>
      <c r="E5" s="457"/>
      <c r="F5" s="457"/>
      <c r="G5" s="456"/>
      <c r="H5" s="456"/>
      <c r="L5" s="457"/>
      <c r="M5" s="457"/>
    </row>
    <row r="6" ht="19.5" customHeight="1">
      <c r="A6" s="428"/>
      <c r="B6" s="428"/>
      <c r="C6" s="271"/>
      <c r="D6" s="271"/>
      <c r="E6" s="459"/>
      <c r="F6" s="459"/>
      <c r="G6" s="271"/>
      <c r="H6" s="271"/>
      <c r="I6" s="459"/>
      <c r="J6" s="459"/>
      <c r="K6" s="459"/>
      <c r="L6" s="459"/>
      <c r="M6" s="459"/>
    </row>
    <row r="7" ht="19.5" customHeight="1">
      <c r="A7" s="273"/>
      <c r="B7" s="273"/>
      <c r="C7" s="460"/>
      <c r="D7" s="460"/>
      <c r="E7" s="459"/>
      <c r="F7" s="459"/>
      <c r="G7" s="271"/>
      <c r="H7" s="271"/>
      <c r="I7" s="459"/>
      <c r="J7" s="459"/>
      <c r="K7" s="459"/>
      <c r="L7" s="459"/>
      <c r="M7" s="459"/>
    </row>
    <row r="8" ht="21.75" customHeight="1">
      <c r="A8" s="13" t="s">
        <v>5</v>
      </c>
      <c r="B8" s="13" t="s">
        <v>6</v>
      </c>
      <c r="C8" s="14" t="s">
        <v>7</v>
      </c>
      <c r="D8" s="15"/>
      <c r="E8" s="16" t="s">
        <v>8</v>
      </c>
      <c r="F8" s="15"/>
      <c r="G8" s="17" t="s">
        <v>9</v>
      </c>
      <c r="H8" s="18"/>
      <c r="I8" s="18"/>
      <c r="J8" s="18"/>
      <c r="K8" s="18"/>
      <c r="L8" s="19"/>
      <c r="M8" s="20" t="s">
        <v>813</v>
      </c>
    </row>
    <row r="9" ht="23.25" customHeight="1">
      <c r="A9" s="21"/>
      <c r="B9" s="21"/>
      <c r="C9" s="22"/>
      <c r="D9" s="23"/>
      <c r="E9" s="22"/>
      <c r="F9" s="23"/>
      <c r="G9" s="24" t="s">
        <v>11</v>
      </c>
      <c r="H9" s="19"/>
      <c r="I9" s="24" t="s">
        <v>12</v>
      </c>
      <c r="J9" s="19"/>
      <c r="K9" s="24" t="s">
        <v>13</v>
      </c>
      <c r="L9" s="19"/>
      <c r="M9" s="21"/>
    </row>
    <row r="10" ht="20.25" customHeight="1">
      <c r="A10" s="21"/>
      <c r="B10" s="21"/>
      <c r="C10" s="25" t="s">
        <v>14</v>
      </c>
      <c r="D10" s="26" t="s">
        <v>15</v>
      </c>
      <c r="E10" s="27" t="s">
        <v>16</v>
      </c>
      <c r="F10" s="15"/>
      <c r="G10" s="28" t="s">
        <v>17</v>
      </c>
      <c r="H10" s="29" t="s">
        <v>18</v>
      </c>
      <c r="I10" s="28" t="s">
        <v>17</v>
      </c>
      <c r="J10" s="29" t="s">
        <v>18</v>
      </c>
      <c r="K10" s="28" t="s">
        <v>17</v>
      </c>
      <c r="L10" s="29" t="s">
        <v>18</v>
      </c>
      <c r="M10" s="21"/>
    </row>
    <row r="11" ht="64.5" customHeight="1">
      <c r="A11" s="30"/>
      <c r="B11" s="30"/>
      <c r="C11" s="30"/>
      <c r="D11" s="30"/>
      <c r="E11" s="31" t="s">
        <v>17</v>
      </c>
      <c r="F11" s="29" t="s">
        <v>18</v>
      </c>
      <c r="G11" s="30"/>
      <c r="H11" s="30"/>
      <c r="I11" s="30"/>
      <c r="J11" s="30"/>
      <c r="K11" s="30"/>
      <c r="L11" s="30"/>
      <c r="M11" s="30"/>
    </row>
    <row r="12">
      <c r="A12" s="461" t="s">
        <v>814</v>
      </c>
      <c r="B12" s="462"/>
      <c r="C12" s="462"/>
      <c r="D12" s="463">
        <v>450.0</v>
      </c>
      <c r="E12" s="462"/>
      <c r="F12" s="463">
        <v>475.0</v>
      </c>
      <c r="G12" s="297"/>
      <c r="H12" s="464">
        <v>619.0</v>
      </c>
      <c r="I12" s="297"/>
      <c r="J12" s="297"/>
      <c r="K12" s="297"/>
      <c r="L12" s="464">
        <v>619.0</v>
      </c>
      <c r="M12" s="297"/>
    </row>
    <row r="13">
      <c r="A13" s="461" t="s">
        <v>815</v>
      </c>
      <c r="B13" s="465"/>
      <c r="C13" s="462"/>
      <c r="D13" s="465"/>
      <c r="E13" s="462"/>
      <c r="F13" s="463"/>
      <c r="G13" s="332">
        <v>1.0</v>
      </c>
      <c r="H13" s="466"/>
      <c r="I13" s="297"/>
      <c r="J13" s="297"/>
      <c r="K13" s="332">
        <v>1.0</v>
      </c>
      <c r="L13" s="466"/>
      <c r="M13" s="332" t="s">
        <v>816</v>
      </c>
    </row>
    <row r="14">
      <c r="A14" s="462" t="s">
        <v>817</v>
      </c>
      <c r="B14" s="284" t="s">
        <v>33</v>
      </c>
      <c r="C14" s="467"/>
      <c r="D14" s="465"/>
      <c r="E14" s="462">
        <v>2.0</v>
      </c>
      <c r="F14" s="463"/>
      <c r="G14" s="297"/>
      <c r="H14" s="466"/>
      <c r="I14" s="297"/>
      <c r="J14" s="297"/>
      <c r="K14" s="297"/>
      <c r="L14" s="466"/>
      <c r="M14" s="297"/>
    </row>
    <row r="15">
      <c r="A15" s="297" t="s">
        <v>818</v>
      </c>
      <c r="B15" s="284" t="s">
        <v>819</v>
      </c>
      <c r="C15" s="467">
        <v>2.0</v>
      </c>
      <c r="D15" s="465"/>
      <c r="E15" s="462">
        <v>2.0</v>
      </c>
      <c r="F15" s="463"/>
      <c r="G15" s="297"/>
      <c r="H15" s="466"/>
      <c r="I15" s="297"/>
      <c r="J15" s="297"/>
      <c r="K15" s="297"/>
      <c r="L15" s="466"/>
      <c r="M15" s="297"/>
    </row>
    <row r="16">
      <c r="A16" s="461" t="s">
        <v>820</v>
      </c>
      <c r="B16" s="297"/>
      <c r="C16" s="462"/>
      <c r="D16" s="465"/>
      <c r="E16" s="462"/>
      <c r="F16" s="463"/>
      <c r="G16" s="297"/>
      <c r="H16" s="466"/>
      <c r="I16" s="297"/>
      <c r="J16" s="297"/>
      <c r="K16" s="297"/>
      <c r="L16" s="466"/>
      <c r="M16" s="297"/>
    </row>
    <row r="17">
      <c r="A17" s="297" t="s">
        <v>821</v>
      </c>
      <c r="B17" s="284" t="s">
        <v>819</v>
      </c>
      <c r="C17" s="467">
        <v>5.0</v>
      </c>
      <c r="D17" s="465"/>
      <c r="E17" s="462">
        <v>7.0</v>
      </c>
      <c r="F17" s="463"/>
      <c r="G17" s="332">
        <v>6.0</v>
      </c>
      <c r="H17" s="466"/>
      <c r="I17" s="297"/>
      <c r="J17" s="297"/>
      <c r="K17" s="332">
        <v>6.0</v>
      </c>
      <c r="L17" s="466"/>
      <c r="M17" s="332" t="s">
        <v>816</v>
      </c>
    </row>
    <row r="18">
      <c r="A18" s="461" t="s">
        <v>822</v>
      </c>
      <c r="B18" s="297"/>
      <c r="C18" s="462"/>
      <c r="D18" s="465"/>
      <c r="E18" s="462"/>
      <c r="F18" s="463"/>
      <c r="G18" s="297"/>
      <c r="H18" s="466"/>
      <c r="I18" s="297"/>
      <c r="J18" s="297"/>
      <c r="K18" s="297"/>
      <c r="L18" s="466"/>
      <c r="M18" s="297"/>
    </row>
    <row r="19">
      <c r="A19" s="297" t="s">
        <v>823</v>
      </c>
      <c r="B19" s="284" t="s">
        <v>819</v>
      </c>
      <c r="C19" s="467">
        <v>5.0</v>
      </c>
      <c r="D19" s="466"/>
      <c r="E19" s="462">
        <v>7.0</v>
      </c>
      <c r="F19" s="463"/>
      <c r="G19" s="332">
        <v>6.0</v>
      </c>
      <c r="H19" s="466"/>
      <c r="I19" s="297"/>
      <c r="J19" s="297"/>
      <c r="K19" s="332">
        <v>6.0</v>
      </c>
      <c r="L19" s="466"/>
      <c r="M19" s="332" t="s">
        <v>816</v>
      </c>
    </row>
    <row r="20">
      <c r="A20" s="297" t="s">
        <v>824</v>
      </c>
      <c r="B20" s="284" t="s">
        <v>819</v>
      </c>
      <c r="C20" s="467">
        <v>5.0</v>
      </c>
      <c r="D20" s="466"/>
      <c r="E20" s="462">
        <v>7.0</v>
      </c>
      <c r="F20" s="463"/>
      <c r="G20" s="332">
        <v>6.0</v>
      </c>
      <c r="H20" s="466"/>
      <c r="I20" s="297"/>
      <c r="J20" s="297"/>
      <c r="K20" s="332">
        <v>6.0</v>
      </c>
      <c r="L20" s="466"/>
      <c r="M20" s="332" t="s">
        <v>816</v>
      </c>
    </row>
    <row r="21" ht="15.75" customHeight="1">
      <c r="A21" s="297"/>
      <c r="B21" s="297"/>
      <c r="C21" s="468"/>
      <c r="D21" s="466"/>
      <c r="E21" s="462"/>
      <c r="F21" s="463"/>
      <c r="G21" s="297"/>
      <c r="H21" s="466"/>
      <c r="I21" s="297"/>
      <c r="J21" s="297"/>
      <c r="K21" s="297"/>
      <c r="L21" s="466"/>
      <c r="M21" s="297"/>
    </row>
    <row r="22">
      <c r="A22" s="292" t="s">
        <v>825</v>
      </c>
      <c r="B22" s="297"/>
      <c r="C22" s="468"/>
      <c r="D22" s="469">
        <f>D23+D24</f>
        <v>6439</v>
      </c>
      <c r="E22" s="462"/>
      <c r="F22" s="463">
        <v>4973.0</v>
      </c>
      <c r="G22" s="297"/>
      <c r="H22" s="470">
        <f>H23+H24</f>
        <v>6268</v>
      </c>
      <c r="I22" s="297"/>
      <c r="J22" s="297"/>
      <c r="K22" s="297"/>
      <c r="L22" s="470">
        <f>L23+L24</f>
        <v>6268</v>
      </c>
      <c r="M22" s="297"/>
    </row>
    <row r="23">
      <c r="A23" s="462" t="s">
        <v>826</v>
      </c>
      <c r="B23" s="284" t="s">
        <v>819</v>
      </c>
      <c r="C23" s="471">
        <v>5.0</v>
      </c>
      <c r="D23" s="472">
        <v>6264.0</v>
      </c>
      <c r="E23" s="462">
        <v>5.0</v>
      </c>
      <c r="F23" s="473">
        <v>4573.0</v>
      </c>
      <c r="G23" s="474">
        <v>6.0</v>
      </c>
      <c r="H23" s="475">
        <v>6108.0</v>
      </c>
      <c r="I23" s="462"/>
      <c r="J23" s="462"/>
      <c r="K23" s="474">
        <v>6.0</v>
      </c>
      <c r="L23" s="475">
        <v>6108.0</v>
      </c>
      <c r="M23" s="332" t="s">
        <v>816</v>
      </c>
    </row>
    <row r="24">
      <c r="A24" s="462" t="s">
        <v>827</v>
      </c>
      <c r="B24" s="284" t="s">
        <v>33</v>
      </c>
      <c r="C24" s="467">
        <v>5.0</v>
      </c>
      <c r="D24" s="472">
        <v>175.0</v>
      </c>
      <c r="E24" s="462">
        <v>10.0</v>
      </c>
      <c r="F24" s="473">
        <v>400.0</v>
      </c>
      <c r="G24" s="474">
        <v>2.0</v>
      </c>
      <c r="H24" s="475">
        <v>160.0</v>
      </c>
      <c r="I24" s="462"/>
      <c r="J24" s="462"/>
      <c r="K24" s="474">
        <v>2.0</v>
      </c>
      <c r="L24" s="475">
        <v>160.0</v>
      </c>
      <c r="M24" s="332" t="s">
        <v>816</v>
      </c>
    </row>
    <row r="25" ht="15.75" customHeight="1">
      <c r="A25" s="462"/>
      <c r="B25" s="297"/>
      <c r="C25" s="476"/>
      <c r="D25" s="466"/>
      <c r="E25" s="462"/>
      <c r="F25" s="463"/>
      <c r="G25" s="462"/>
      <c r="H25" s="466"/>
      <c r="I25" s="462"/>
      <c r="J25" s="462"/>
      <c r="K25" s="462"/>
      <c r="L25" s="466"/>
      <c r="M25" s="462"/>
    </row>
    <row r="26">
      <c r="A26" s="461" t="s">
        <v>828</v>
      </c>
      <c r="B26" s="297"/>
      <c r="C26" s="476"/>
      <c r="D26" s="469">
        <f>D27+D28</f>
        <v>450</v>
      </c>
      <c r="E26" s="462"/>
      <c r="F26" s="463">
        <v>475.0</v>
      </c>
      <c r="G26" s="462"/>
      <c r="H26" s="464">
        <v>543.0</v>
      </c>
      <c r="I26" s="462"/>
      <c r="J26" s="462"/>
      <c r="K26" s="462"/>
      <c r="L26" s="464">
        <v>543.0</v>
      </c>
      <c r="M26" s="462"/>
    </row>
    <row r="27">
      <c r="A27" s="462" t="s">
        <v>829</v>
      </c>
      <c r="B27" s="284" t="s">
        <v>33</v>
      </c>
      <c r="C27" s="467">
        <v>4.0</v>
      </c>
      <c r="D27" s="472">
        <v>350.0</v>
      </c>
      <c r="E27" s="462">
        <v>10.0</v>
      </c>
      <c r="F27" s="473">
        <v>475.0</v>
      </c>
      <c r="G27" s="474">
        <v>5.0</v>
      </c>
      <c r="H27" s="466"/>
      <c r="I27" s="462"/>
      <c r="J27" s="462"/>
      <c r="K27" s="474">
        <v>5.0</v>
      </c>
      <c r="L27" s="466"/>
      <c r="M27" s="332" t="s">
        <v>816</v>
      </c>
    </row>
    <row r="28">
      <c r="A28" s="462" t="s">
        <v>830</v>
      </c>
      <c r="B28" s="284" t="s">
        <v>819</v>
      </c>
      <c r="C28" s="467"/>
      <c r="D28" s="472">
        <v>100.0</v>
      </c>
      <c r="E28" s="462"/>
      <c r="F28" s="463"/>
      <c r="G28" s="474">
        <v>3.0</v>
      </c>
      <c r="H28" s="466"/>
      <c r="I28" s="462"/>
      <c r="J28" s="462"/>
      <c r="K28" s="474">
        <v>3.0</v>
      </c>
      <c r="L28" s="466"/>
      <c r="M28" s="332" t="s">
        <v>816</v>
      </c>
    </row>
    <row r="29" ht="15.75" hidden="1" customHeight="1">
      <c r="A29" s="462"/>
      <c r="B29" s="297"/>
      <c r="C29" s="466"/>
      <c r="D29" s="466"/>
      <c r="E29" s="462"/>
      <c r="F29" s="463"/>
      <c r="G29" s="462"/>
      <c r="H29" s="466"/>
      <c r="I29" s="462"/>
      <c r="J29" s="462"/>
      <c r="K29" s="462"/>
      <c r="L29" s="466"/>
      <c r="M29" s="462"/>
    </row>
    <row r="30" ht="15.75" hidden="1" customHeight="1">
      <c r="A30" s="292" t="s">
        <v>831</v>
      </c>
      <c r="B30" s="297"/>
      <c r="C30" s="476"/>
      <c r="D30" s="469">
        <v>0.0</v>
      </c>
      <c r="E30" s="462"/>
      <c r="F30" s="463"/>
      <c r="G30" s="465"/>
      <c r="H30" s="466"/>
      <c r="I30" s="465"/>
      <c r="J30" s="465"/>
      <c r="K30" s="465"/>
      <c r="L30" s="466"/>
      <c r="M30" s="465"/>
    </row>
    <row r="31" ht="15.75" hidden="1" customHeight="1">
      <c r="A31" s="292" t="s">
        <v>832</v>
      </c>
      <c r="B31" s="297"/>
      <c r="C31" s="476"/>
      <c r="D31" s="466"/>
      <c r="E31" s="462"/>
      <c r="F31" s="463"/>
      <c r="G31" s="297"/>
      <c r="H31" s="466"/>
      <c r="I31" s="297"/>
      <c r="J31" s="297"/>
      <c r="K31" s="297"/>
      <c r="L31" s="466"/>
      <c r="M31" s="297"/>
    </row>
    <row r="32" ht="15.75" hidden="1" customHeight="1">
      <c r="A32" s="297" t="s">
        <v>833</v>
      </c>
      <c r="B32" s="297"/>
      <c r="C32" s="297"/>
      <c r="D32" s="466"/>
      <c r="E32" s="462"/>
      <c r="F32" s="463"/>
      <c r="G32" s="297"/>
      <c r="H32" s="466"/>
      <c r="I32" s="297"/>
      <c r="J32" s="297"/>
      <c r="K32" s="297"/>
      <c r="L32" s="466"/>
      <c r="M32" s="297"/>
    </row>
    <row r="33" ht="15.75" hidden="1" customHeight="1">
      <c r="A33" s="297" t="s">
        <v>834</v>
      </c>
      <c r="B33" s="297"/>
      <c r="C33" s="297"/>
      <c r="D33" s="466"/>
      <c r="E33" s="462"/>
      <c r="F33" s="463"/>
      <c r="G33" s="297"/>
      <c r="H33" s="466"/>
      <c r="I33" s="297"/>
      <c r="J33" s="297"/>
      <c r="K33" s="297"/>
      <c r="L33" s="466"/>
      <c r="M33" s="297"/>
    </row>
    <row r="34" ht="15.75" hidden="1" customHeight="1">
      <c r="A34" s="297" t="s">
        <v>835</v>
      </c>
      <c r="B34" s="297"/>
      <c r="C34" s="297"/>
      <c r="D34" s="466"/>
      <c r="E34" s="462"/>
      <c r="F34" s="463"/>
      <c r="G34" s="297"/>
      <c r="H34" s="466"/>
      <c r="I34" s="297"/>
      <c r="J34" s="297"/>
      <c r="K34" s="297"/>
      <c r="L34" s="466"/>
      <c r="M34" s="297"/>
    </row>
    <row r="35" ht="15.75" hidden="1" customHeight="1">
      <c r="A35" s="297" t="s">
        <v>836</v>
      </c>
      <c r="B35" s="297"/>
      <c r="C35" s="297"/>
      <c r="D35" s="466"/>
      <c r="E35" s="462"/>
      <c r="F35" s="463"/>
      <c r="G35" s="297"/>
      <c r="H35" s="466"/>
      <c r="I35" s="297"/>
      <c r="J35" s="297"/>
      <c r="K35" s="297"/>
      <c r="L35" s="466"/>
      <c r="M35" s="297"/>
    </row>
    <row r="36" ht="15.75" hidden="1" customHeight="1">
      <c r="A36" s="292" t="s">
        <v>837</v>
      </c>
      <c r="B36" s="297"/>
      <c r="C36" s="297"/>
      <c r="D36" s="466"/>
      <c r="E36" s="462"/>
      <c r="F36" s="463"/>
      <c r="G36" s="297"/>
      <c r="H36" s="466"/>
      <c r="I36" s="297"/>
      <c r="J36" s="297"/>
      <c r="K36" s="297"/>
      <c r="L36" s="466"/>
      <c r="M36" s="297"/>
    </row>
    <row r="37" ht="15.75" hidden="1" customHeight="1">
      <c r="A37" s="297" t="s">
        <v>838</v>
      </c>
      <c r="B37" s="297"/>
      <c r="C37" s="297"/>
      <c r="D37" s="466"/>
      <c r="E37" s="462"/>
      <c r="F37" s="463"/>
      <c r="G37" s="297"/>
      <c r="H37" s="466"/>
      <c r="I37" s="297"/>
      <c r="J37" s="297"/>
      <c r="K37" s="297"/>
      <c r="L37" s="466"/>
      <c r="M37" s="297"/>
    </row>
    <row r="38" ht="15.75" hidden="1" customHeight="1">
      <c r="A38" s="297" t="s">
        <v>839</v>
      </c>
      <c r="B38" s="297"/>
      <c r="C38" s="297"/>
      <c r="D38" s="466"/>
      <c r="E38" s="462"/>
      <c r="F38" s="463"/>
      <c r="G38" s="297"/>
      <c r="H38" s="466"/>
      <c r="I38" s="297"/>
      <c r="J38" s="297"/>
      <c r="K38" s="297"/>
      <c r="L38" s="466"/>
      <c r="M38" s="297"/>
    </row>
    <row r="39" ht="15.75" hidden="1" customHeight="1">
      <c r="A39" s="292" t="s">
        <v>840</v>
      </c>
      <c r="B39" s="297"/>
      <c r="C39" s="297"/>
      <c r="D39" s="466"/>
      <c r="E39" s="462"/>
      <c r="F39" s="463"/>
      <c r="G39" s="297"/>
      <c r="H39" s="466"/>
      <c r="I39" s="297"/>
      <c r="J39" s="297"/>
      <c r="K39" s="297"/>
      <c r="L39" s="466"/>
      <c r="M39" s="297"/>
    </row>
    <row r="40" ht="15.75" hidden="1" customHeight="1">
      <c r="A40" s="297" t="s">
        <v>841</v>
      </c>
      <c r="B40" s="297"/>
      <c r="C40" s="297"/>
      <c r="D40" s="466"/>
      <c r="E40" s="462"/>
      <c r="F40" s="463"/>
      <c r="G40" s="297"/>
      <c r="H40" s="466"/>
      <c r="I40" s="297"/>
      <c r="J40" s="297"/>
      <c r="K40" s="297"/>
      <c r="L40" s="466"/>
      <c r="M40" s="297"/>
    </row>
    <row r="41" ht="15.75" hidden="1" customHeight="1">
      <c r="A41" s="297" t="s">
        <v>842</v>
      </c>
      <c r="B41" s="297"/>
      <c r="C41" s="297"/>
      <c r="D41" s="466"/>
      <c r="E41" s="462"/>
      <c r="F41" s="463"/>
      <c r="G41" s="297"/>
      <c r="H41" s="466"/>
      <c r="I41" s="297"/>
      <c r="J41" s="297"/>
      <c r="K41" s="297"/>
      <c r="L41" s="466"/>
      <c r="M41" s="297"/>
    </row>
    <row r="42" ht="15.75" hidden="1" customHeight="1">
      <c r="A42" s="297" t="s">
        <v>843</v>
      </c>
      <c r="B42" s="297"/>
      <c r="C42" s="297"/>
      <c r="D42" s="466"/>
      <c r="E42" s="462"/>
      <c r="F42" s="463"/>
      <c r="G42" s="297"/>
      <c r="H42" s="466"/>
      <c r="I42" s="297"/>
      <c r="J42" s="297"/>
      <c r="K42" s="297"/>
      <c r="L42" s="466"/>
      <c r="M42" s="297"/>
    </row>
    <row r="43" ht="15.75" hidden="1" customHeight="1">
      <c r="A43" s="292" t="s">
        <v>844</v>
      </c>
      <c r="B43" s="297"/>
      <c r="C43" s="466"/>
      <c r="D43" s="466"/>
      <c r="E43" s="462"/>
      <c r="F43" s="463"/>
      <c r="G43" s="297"/>
      <c r="H43" s="466"/>
      <c r="I43" s="297"/>
      <c r="J43" s="297"/>
      <c r="K43" s="297"/>
      <c r="L43" s="466"/>
      <c r="M43" s="297"/>
    </row>
    <row r="44" ht="15.75" hidden="1" customHeight="1">
      <c r="A44" s="292" t="s">
        <v>845</v>
      </c>
      <c r="B44" s="297"/>
      <c r="C44" s="466"/>
      <c r="D44" s="466"/>
      <c r="E44" s="462"/>
      <c r="F44" s="463"/>
      <c r="G44" s="297"/>
      <c r="H44" s="466"/>
      <c r="I44" s="297"/>
      <c r="J44" s="297"/>
      <c r="K44" s="297"/>
      <c r="L44" s="466"/>
      <c r="M44" s="297"/>
    </row>
    <row r="45" ht="15.75" hidden="1" customHeight="1">
      <c r="A45" s="297" t="s">
        <v>846</v>
      </c>
      <c r="B45" s="297"/>
      <c r="C45" s="466"/>
      <c r="D45" s="466"/>
      <c r="E45" s="462"/>
      <c r="F45" s="463"/>
      <c r="G45" s="297"/>
      <c r="H45" s="466"/>
      <c r="I45" s="297"/>
      <c r="J45" s="297"/>
      <c r="K45" s="297"/>
      <c r="L45" s="466"/>
      <c r="M45" s="297"/>
    </row>
    <row r="46" ht="15.75" hidden="1" customHeight="1">
      <c r="A46" s="297" t="s">
        <v>847</v>
      </c>
      <c r="B46" s="297"/>
      <c r="C46" s="466"/>
      <c r="D46" s="466"/>
      <c r="E46" s="462"/>
      <c r="F46" s="463"/>
      <c r="G46" s="297"/>
      <c r="H46" s="466"/>
      <c r="I46" s="297"/>
      <c r="J46" s="297"/>
      <c r="K46" s="297"/>
      <c r="L46" s="466"/>
      <c r="M46" s="297"/>
    </row>
    <row r="47" ht="15.75" customHeight="1">
      <c r="A47" s="297"/>
      <c r="B47" s="297"/>
      <c r="C47" s="466"/>
      <c r="D47" s="466"/>
      <c r="E47" s="462"/>
      <c r="F47" s="463"/>
      <c r="G47" s="297"/>
      <c r="H47" s="466"/>
      <c r="I47" s="297"/>
      <c r="J47" s="297"/>
      <c r="K47" s="297"/>
      <c r="L47" s="466"/>
      <c r="M47" s="297"/>
    </row>
    <row r="48" ht="21.75" customHeight="1">
      <c r="A48" s="477" t="s">
        <v>69</v>
      </c>
      <c r="B48" s="297"/>
      <c r="C48" s="469"/>
      <c r="D48" s="469">
        <f>D30+D26+D22+D12</f>
        <v>7339</v>
      </c>
      <c r="E48" s="469"/>
      <c r="F48" s="469">
        <f>F30+F26+F22+F12</f>
        <v>5923</v>
      </c>
      <c r="G48" s="297"/>
      <c r="H48" s="469">
        <f>H30+H26+H22+H12</f>
        <v>7430</v>
      </c>
      <c r="I48" s="297"/>
      <c r="J48" s="297"/>
      <c r="K48" s="297"/>
      <c r="L48" s="469">
        <f>L30+L26+L22+L12</f>
        <v>7430</v>
      </c>
      <c r="M48" s="297"/>
    </row>
    <row r="49" ht="15.75" customHeight="1">
      <c r="A49" s="478" t="s">
        <v>848</v>
      </c>
      <c r="B49" s="94"/>
      <c r="C49" s="95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24.0" hidden="1" customHeight="1">
      <c r="A50" s="93" t="s">
        <v>70</v>
      </c>
      <c r="D50" s="95" t="s">
        <v>72</v>
      </c>
      <c r="E50" s="4"/>
      <c r="F50" s="4"/>
      <c r="G50" s="2"/>
      <c r="H50" s="2"/>
      <c r="I50" s="2"/>
      <c r="J50" s="2"/>
      <c r="K50" s="2"/>
      <c r="L50" s="2"/>
      <c r="M50" s="2"/>
    </row>
    <row r="51" ht="15.75" hidden="1" customHeight="1">
      <c r="A51" s="98"/>
      <c r="D51" s="98"/>
      <c r="E51" s="2"/>
      <c r="F51" s="2"/>
      <c r="G51" s="2"/>
      <c r="H51" s="2"/>
      <c r="I51" s="2"/>
      <c r="J51" s="2"/>
      <c r="K51" s="2"/>
      <c r="L51" s="2"/>
      <c r="M51" s="2"/>
    </row>
    <row r="52" ht="15.75" hidden="1" customHeight="1">
      <c r="A52" s="98"/>
      <c r="D52" s="98"/>
      <c r="E52" s="4"/>
      <c r="F52" s="4"/>
      <c r="G52" s="2"/>
      <c r="H52" s="2"/>
      <c r="I52" s="2"/>
      <c r="J52" s="2"/>
      <c r="K52" s="2"/>
      <c r="L52" s="2"/>
      <c r="M52" s="2"/>
    </row>
    <row r="53" ht="15.75" hidden="1" customHeight="1">
      <c r="A53" s="98"/>
      <c r="D53" s="98"/>
      <c r="E53" s="4"/>
      <c r="F53" s="4"/>
      <c r="G53" s="2"/>
      <c r="H53" s="2"/>
      <c r="I53" s="2"/>
      <c r="J53" s="2"/>
      <c r="K53" s="2"/>
      <c r="L53" s="2"/>
      <c r="M53" s="2"/>
    </row>
    <row r="54" ht="20.25" hidden="1" customHeight="1">
      <c r="A54" s="98"/>
      <c r="D54" s="98"/>
      <c r="E54" s="4"/>
      <c r="F54" s="4"/>
      <c r="G54" s="2"/>
      <c r="H54" s="2"/>
      <c r="I54" s="2"/>
      <c r="J54" s="2"/>
      <c r="K54" s="2"/>
      <c r="L54" s="2"/>
      <c r="M54" s="2"/>
    </row>
    <row r="55" ht="26.25" hidden="1" customHeight="1">
      <c r="A55" s="100" t="s">
        <v>74</v>
      </c>
      <c r="D55" s="100" t="s">
        <v>76</v>
      </c>
      <c r="E55" s="4"/>
      <c r="F55" s="4"/>
      <c r="G55" s="2"/>
      <c r="H55" s="2"/>
      <c r="I55" s="2"/>
      <c r="J55" s="2"/>
      <c r="K55" s="2"/>
      <c r="L55" s="2"/>
      <c r="M55" s="2"/>
    </row>
    <row r="56" ht="15.75" hidden="1" customHeight="1">
      <c r="A56" s="93" t="s">
        <v>78</v>
      </c>
      <c r="D56" s="95" t="s">
        <v>80</v>
      </c>
      <c r="E56" s="4"/>
      <c r="F56" s="4"/>
      <c r="G56" s="2"/>
      <c r="H56" s="2"/>
      <c r="I56" s="2"/>
      <c r="J56" s="2"/>
      <c r="K56" s="2"/>
      <c r="L56" s="2"/>
      <c r="M56" s="2"/>
    </row>
    <row r="57" ht="19.5" hidden="1" customHeight="1">
      <c r="A57" s="101" t="s">
        <v>82</v>
      </c>
      <c r="B57" s="96"/>
      <c r="C57" s="2"/>
      <c r="D57" s="2"/>
      <c r="E57" s="2"/>
      <c r="F57" s="2"/>
      <c r="G57" s="376"/>
      <c r="H57" s="376"/>
      <c r="I57" s="479"/>
      <c r="J57" s="479"/>
      <c r="K57" s="479"/>
      <c r="L57" s="479"/>
      <c r="M57" s="479"/>
    </row>
    <row r="58" ht="19.5" customHeight="1">
      <c r="A58" s="271"/>
      <c r="B58" s="271"/>
      <c r="C58" s="271"/>
      <c r="D58" s="271"/>
      <c r="E58" s="459"/>
      <c r="F58" s="459"/>
      <c r="G58" s="271"/>
      <c r="H58" s="271"/>
      <c r="I58" s="459"/>
      <c r="J58" s="459"/>
      <c r="K58" s="459"/>
      <c r="L58" s="459"/>
      <c r="M58" s="459"/>
    </row>
    <row r="59" ht="19.5" customHeight="1">
      <c r="B59" s="2"/>
      <c r="C59" s="271"/>
      <c r="D59" s="271"/>
      <c r="E59" s="459"/>
      <c r="F59" s="459"/>
      <c r="G59" s="271"/>
      <c r="H59" s="271"/>
      <c r="I59" s="459"/>
      <c r="J59" s="459"/>
      <c r="K59" s="459"/>
      <c r="L59" s="459"/>
      <c r="M59" s="459"/>
    </row>
    <row r="60" ht="23.25" customHeight="1">
      <c r="A60" s="102" t="s">
        <v>70</v>
      </c>
      <c r="B60" s="12"/>
      <c r="C60" s="377"/>
      <c r="D60" s="377"/>
      <c r="E60" s="378" t="s">
        <v>83</v>
      </c>
      <c r="F60" s="377"/>
      <c r="G60" s="377"/>
      <c r="H60" s="377"/>
      <c r="I60" s="377"/>
      <c r="J60" s="374"/>
      <c r="K60" s="374"/>
      <c r="L60" s="108" t="s">
        <v>73</v>
      </c>
      <c r="M60" s="374"/>
    </row>
    <row r="61" ht="16.5" customHeight="1">
      <c r="A61" s="104"/>
      <c r="B61" s="12"/>
      <c r="C61" s="377"/>
      <c r="D61" s="377"/>
      <c r="E61" s="371"/>
      <c r="F61" s="377"/>
      <c r="G61" s="377"/>
      <c r="H61" s="377"/>
      <c r="I61" s="377"/>
      <c r="J61" s="374"/>
      <c r="K61" s="374"/>
      <c r="L61" s="373"/>
      <c r="M61" s="374"/>
    </row>
    <row r="62" ht="16.5" customHeight="1">
      <c r="A62" s="104"/>
      <c r="B62" s="12"/>
      <c r="C62" s="377"/>
      <c r="D62" s="377"/>
      <c r="E62" s="371"/>
      <c r="F62" s="377"/>
      <c r="G62" s="377"/>
      <c r="H62" s="377"/>
      <c r="I62" s="377"/>
      <c r="J62" s="374"/>
      <c r="K62" s="374"/>
      <c r="L62" s="373"/>
      <c r="M62" s="374"/>
    </row>
    <row r="63" ht="16.5" customHeight="1">
      <c r="A63" s="377"/>
      <c r="B63" s="12"/>
      <c r="C63" s="377"/>
      <c r="D63" s="377"/>
      <c r="E63" s="371"/>
      <c r="F63" s="12"/>
      <c r="G63" s="12"/>
      <c r="H63" s="12"/>
      <c r="I63" s="377"/>
      <c r="J63" s="12"/>
      <c r="K63" s="12"/>
      <c r="L63" s="373"/>
      <c r="M63" s="12"/>
    </row>
    <row r="64" ht="16.5" customHeight="1">
      <c r="A64" s="104"/>
      <c r="B64" s="12"/>
      <c r="C64" s="377"/>
      <c r="D64" s="377"/>
      <c r="E64" s="371"/>
      <c r="F64" s="12"/>
      <c r="G64" s="12"/>
      <c r="H64" s="12"/>
      <c r="I64" s="377"/>
      <c r="J64" s="12"/>
      <c r="K64" s="12"/>
      <c r="L64" s="373"/>
      <c r="M64" s="12"/>
    </row>
    <row r="65" ht="20.25" customHeight="1">
      <c r="A65" s="106" t="s">
        <v>75</v>
      </c>
      <c r="B65" s="12"/>
      <c r="C65" s="377"/>
      <c r="D65" s="377"/>
      <c r="E65" s="380" t="s">
        <v>76</v>
      </c>
      <c r="F65" s="12"/>
      <c r="G65" s="12"/>
      <c r="H65" s="12"/>
      <c r="I65" s="377"/>
      <c r="J65" s="12"/>
      <c r="K65" s="12"/>
      <c r="L65" s="106" t="s">
        <v>77</v>
      </c>
      <c r="M65" s="12"/>
    </row>
    <row r="66" ht="16.5" customHeight="1">
      <c r="A66" s="108" t="s">
        <v>79</v>
      </c>
      <c r="B66" s="12"/>
      <c r="C66" s="377"/>
      <c r="D66" s="377"/>
      <c r="E66" s="378" t="s">
        <v>80</v>
      </c>
      <c r="F66" s="12"/>
      <c r="G66" s="12"/>
      <c r="H66" s="12"/>
      <c r="I66" s="377"/>
      <c r="J66" s="12"/>
      <c r="K66" s="12"/>
      <c r="L66" s="108" t="s">
        <v>81</v>
      </c>
      <c r="M66" s="12"/>
    </row>
    <row r="67" ht="19.5" customHeight="1">
      <c r="A67" s="271"/>
      <c r="B67" s="271"/>
      <c r="C67" s="271"/>
      <c r="D67" s="271"/>
      <c r="E67" s="459"/>
      <c r="F67" s="459"/>
      <c r="G67" s="271"/>
      <c r="H67" s="271"/>
      <c r="I67" s="459"/>
      <c r="J67" s="459"/>
      <c r="K67" s="459"/>
      <c r="L67" s="459"/>
      <c r="M67" s="459"/>
    </row>
    <row r="68" ht="19.5" customHeight="1">
      <c r="A68" s="271"/>
      <c r="B68" s="271"/>
      <c r="C68" s="271"/>
      <c r="D68" s="271"/>
      <c r="E68" s="459"/>
      <c r="F68" s="459"/>
      <c r="G68" s="271"/>
      <c r="H68" s="271"/>
      <c r="I68" s="459"/>
      <c r="J68" s="459"/>
      <c r="K68" s="459"/>
      <c r="L68" s="459"/>
      <c r="M68" s="459"/>
    </row>
    <row r="69" ht="19.5" customHeight="1">
      <c r="A69" s="271"/>
      <c r="B69" s="271"/>
      <c r="C69" s="271"/>
      <c r="D69" s="271"/>
      <c r="E69" s="459"/>
      <c r="F69" s="459"/>
      <c r="G69" s="271"/>
      <c r="H69" s="271"/>
      <c r="I69" s="459"/>
      <c r="J69" s="459"/>
      <c r="K69" s="459"/>
      <c r="L69" s="459"/>
      <c r="M69" s="459"/>
    </row>
    <row r="70" ht="19.5" customHeight="1">
      <c r="A70" s="271"/>
      <c r="B70" s="271"/>
      <c r="C70" s="271"/>
      <c r="D70" s="271"/>
      <c r="E70" s="459"/>
      <c r="F70" s="459"/>
      <c r="G70" s="271"/>
      <c r="H70" s="271"/>
      <c r="I70" s="459"/>
      <c r="J70" s="459"/>
      <c r="K70" s="459"/>
      <c r="L70" s="459"/>
      <c r="M70" s="459"/>
    </row>
    <row r="71" ht="19.5" customHeight="1">
      <c r="A71" s="271"/>
      <c r="B71" s="271"/>
      <c r="C71" s="271"/>
      <c r="D71" s="271"/>
      <c r="E71" s="459"/>
      <c r="F71" s="459"/>
      <c r="G71" s="271"/>
      <c r="H71" s="271"/>
      <c r="I71" s="459"/>
      <c r="J71" s="459"/>
      <c r="K71" s="459"/>
      <c r="L71" s="459"/>
      <c r="M71" s="459"/>
    </row>
    <row r="72" ht="19.5" customHeight="1">
      <c r="A72" s="271"/>
      <c r="B72" s="271"/>
      <c r="C72" s="271"/>
      <c r="D72" s="271"/>
      <c r="E72" s="459"/>
      <c r="F72" s="459"/>
      <c r="G72" s="271"/>
      <c r="H72" s="271"/>
      <c r="I72" s="459"/>
      <c r="J72" s="459"/>
      <c r="K72" s="459"/>
      <c r="L72" s="459"/>
      <c r="M72" s="459"/>
    </row>
    <row r="73" ht="19.5" customHeight="1">
      <c r="A73" s="271"/>
      <c r="B73" s="271"/>
      <c r="C73" s="271"/>
      <c r="D73" s="271"/>
      <c r="E73" s="459"/>
      <c r="F73" s="459"/>
      <c r="G73" s="271"/>
      <c r="H73" s="271"/>
      <c r="I73" s="459"/>
      <c r="J73" s="459"/>
      <c r="K73" s="459"/>
      <c r="L73" s="459"/>
      <c r="M73" s="459"/>
    </row>
    <row r="74" ht="19.5" customHeight="1">
      <c r="A74" s="271"/>
      <c r="B74" s="271"/>
      <c r="C74" s="271"/>
      <c r="D74" s="271"/>
      <c r="E74" s="459"/>
      <c r="F74" s="459"/>
      <c r="G74" s="271"/>
      <c r="H74" s="271"/>
      <c r="I74" s="459"/>
      <c r="J74" s="459"/>
      <c r="K74" s="459"/>
      <c r="L74" s="459"/>
      <c r="M74" s="459"/>
    </row>
    <row r="75" ht="19.5" customHeight="1">
      <c r="A75" s="271"/>
      <c r="B75" s="271"/>
      <c r="C75" s="271"/>
      <c r="D75" s="271"/>
      <c r="E75" s="459"/>
      <c r="F75" s="459"/>
      <c r="G75" s="271"/>
      <c r="H75" s="271"/>
      <c r="I75" s="459"/>
      <c r="J75" s="459"/>
      <c r="K75" s="459"/>
      <c r="L75" s="459"/>
      <c r="M75" s="459"/>
    </row>
    <row r="76" ht="19.5" customHeight="1">
      <c r="A76" s="271"/>
      <c r="B76" s="271"/>
      <c r="C76" s="271"/>
      <c r="D76" s="271"/>
      <c r="E76" s="459"/>
      <c r="F76" s="459"/>
      <c r="G76" s="271"/>
      <c r="H76" s="271"/>
      <c r="I76" s="459"/>
      <c r="J76" s="459"/>
      <c r="K76" s="459"/>
      <c r="L76" s="459"/>
      <c r="M76" s="459"/>
    </row>
    <row r="77" ht="19.5" customHeight="1">
      <c r="A77" s="271"/>
      <c r="B77" s="271"/>
      <c r="C77" s="271"/>
      <c r="D77" s="271"/>
      <c r="E77" s="459"/>
      <c r="F77" s="459"/>
      <c r="G77" s="271"/>
      <c r="H77" s="271"/>
      <c r="I77" s="459"/>
      <c r="J77" s="459"/>
      <c r="K77" s="459"/>
      <c r="L77" s="459"/>
      <c r="M77" s="459"/>
    </row>
    <row r="78" ht="19.5" customHeight="1">
      <c r="A78" s="271"/>
      <c r="B78" s="271"/>
      <c r="C78" s="271"/>
      <c r="D78" s="271"/>
      <c r="E78" s="459"/>
      <c r="F78" s="459"/>
      <c r="G78" s="271"/>
      <c r="H78" s="271"/>
      <c r="I78" s="459"/>
      <c r="J78" s="459"/>
      <c r="K78" s="459"/>
      <c r="L78" s="459"/>
      <c r="M78" s="459"/>
    </row>
    <row r="79" ht="19.5" customHeight="1">
      <c r="A79" s="271"/>
      <c r="B79" s="271"/>
      <c r="C79" s="271"/>
      <c r="D79" s="271"/>
      <c r="E79" s="459"/>
      <c r="F79" s="459"/>
      <c r="G79" s="271"/>
      <c r="H79" s="271"/>
      <c r="I79" s="459"/>
      <c r="J79" s="459"/>
      <c r="K79" s="459"/>
      <c r="L79" s="459"/>
      <c r="M79" s="459"/>
    </row>
    <row r="80" ht="19.5" customHeight="1">
      <c r="A80" s="271"/>
      <c r="B80" s="271"/>
      <c r="C80" s="271"/>
      <c r="D80" s="271"/>
      <c r="E80" s="459"/>
      <c r="F80" s="459"/>
      <c r="G80" s="271"/>
      <c r="H80" s="271"/>
      <c r="I80" s="459"/>
      <c r="J80" s="459"/>
      <c r="K80" s="459"/>
      <c r="L80" s="459"/>
      <c r="M80" s="459"/>
    </row>
    <row r="81" ht="19.5" customHeight="1">
      <c r="A81" s="271"/>
      <c r="B81" s="271"/>
      <c r="C81" s="271"/>
      <c r="D81" s="271"/>
      <c r="E81" s="459"/>
      <c r="F81" s="459"/>
      <c r="G81" s="271"/>
      <c r="H81" s="271"/>
      <c r="I81" s="459"/>
      <c r="J81" s="459"/>
      <c r="K81" s="459"/>
      <c r="L81" s="459"/>
      <c r="M81" s="459"/>
    </row>
    <row r="82" ht="19.5" customHeight="1">
      <c r="A82" s="271"/>
      <c r="B82" s="271"/>
      <c r="C82" s="271"/>
      <c r="D82" s="271"/>
      <c r="E82" s="459"/>
      <c r="F82" s="459"/>
      <c r="G82" s="271"/>
      <c r="H82" s="271"/>
      <c r="I82" s="459"/>
      <c r="J82" s="459"/>
      <c r="K82" s="459"/>
      <c r="L82" s="459"/>
      <c r="M82" s="459"/>
    </row>
    <row r="83" ht="19.5" customHeight="1">
      <c r="A83" s="271"/>
      <c r="B83" s="271"/>
      <c r="C83" s="271"/>
      <c r="D83" s="271"/>
      <c r="E83" s="459"/>
      <c r="F83" s="459"/>
      <c r="G83" s="271"/>
      <c r="H83" s="271"/>
      <c r="I83" s="459"/>
      <c r="J83" s="459"/>
      <c r="K83" s="459"/>
      <c r="L83" s="459"/>
      <c r="M83" s="459"/>
    </row>
    <row r="84" ht="19.5" customHeight="1">
      <c r="A84" s="271"/>
      <c r="B84" s="271"/>
      <c r="C84" s="271"/>
      <c r="D84" s="271"/>
      <c r="E84" s="459"/>
      <c r="F84" s="459"/>
      <c r="G84" s="271"/>
      <c r="H84" s="271"/>
      <c r="I84" s="459"/>
      <c r="J84" s="459"/>
      <c r="K84" s="459"/>
      <c r="L84" s="459"/>
      <c r="M84" s="459"/>
    </row>
    <row r="85" ht="19.5" customHeight="1">
      <c r="A85" s="271"/>
      <c r="B85" s="271"/>
      <c r="C85" s="271"/>
      <c r="D85" s="271"/>
      <c r="E85" s="459"/>
      <c r="F85" s="459"/>
      <c r="G85" s="271"/>
      <c r="H85" s="271"/>
      <c r="I85" s="459"/>
      <c r="J85" s="459"/>
      <c r="K85" s="459"/>
      <c r="L85" s="459"/>
      <c r="M85" s="459"/>
    </row>
    <row r="86" ht="19.5" customHeight="1">
      <c r="A86" s="271"/>
      <c r="B86" s="271"/>
      <c r="C86" s="271"/>
      <c r="D86" s="271"/>
      <c r="E86" s="459"/>
      <c r="F86" s="459"/>
      <c r="G86" s="271"/>
      <c r="H86" s="271"/>
      <c r="I86" s="459"/>
      <c r="J86" s="459"/>
      <c r="K86" s="459"/>
      <c r="L86" s="459"/>
      <c r="M86" s="459"/>
    </row>
    <row r="87" ht="19.5" customHeight="1">
      <c r="A87" s="271"/>
      <c r="B87" s="271"/>
      <c r="C87" s="271"/>
      <c r="D87" s="271"/>
      <c r="E87" s="459"/>
      <c r="F87" s="459"/>
      <c r="G87" s="271"/>
      <c r="H87" s="271"/>
      <c r="I87" s="459"/>
      <c r="J87" s="459"/>
      <c r="K87" s="459"/>
      <c r="L87" s="459"/>
      <c r="M87" s="459"/>
    </row>
    <row r="88" ht="19.5" customHeight="1">
      <c r="A88" s="271"/>
      <c r="B88" s="271"/>
      <c r="C88" s="271"/>
      <c r="D88" s="271"/>
      <c r="E88" s="459"/>
      <c r="F88" s="459"/>
      <c r="G88" s="271"/>
      <c r="H88" s="271"/>
      <c r="I88" s="459"/>
      <c r="J88" s="459"/>
      <c r="K88" s="459"/>
      <c r="L88" s="459"/>
      <c r="M88" s="459"/>
    </row>
    <row r="89" ht="19.5" customHeight="1">
      <c r="A89" s="271"/>
      <c r="B89" s="271"/>
      <c r="C89" s="271"/>
      <c r="D89" s="271"/>
      <c r="E89" s="459"/>
      <c r="F89" s="459"/>
      <c r="G89" s="271"/>
      <c r="H89" s="271"/>
      <c r="I89" s="459"/>
      <c r="J89" s="459"/>
      <c r="K89" s="459"/>
      <c r="L89" s="459"/>
      <c r="M89" s="459"/>
    </row>
    <row r="90" ht="19.5" customHeight="1">
      <c r="A90" s="271"/>
      <c r="B90" s="271"/>
      <c r="C90" s="271"/>
      <c r="D90" s="271"/>
      <c r="E90" s="459"/>
      <c r="F90" s="459"/>
      <c r="G90" s="271"/>
      <c r="H90" s="271"/>
      <c r="I90" s="459"/>
      <c r="J90" s="459"/>
      <c r="K90" s="459"/>
      <c r="L90" s="459"/>
      <c r="M90" s="459"/>
    </row>
    <row r="91" ht="19.5" customHeight="1">
      <c r="A91" s="271"/>
      <c r="B91" s="271"/>
      <c r="C91" s="271"/>
      <c r="D91" s="271"/>
      <c r="E91" s="459"/>
      <c r="F91" s="459"/>
      <c r="G91" s="271"/>
      <c r="H91" s="271"/>
      <c r="I91" s="459"/>
      <c r="J91" s="459"/>
      <c r="K91" s="459"/>
      <c r="L91" s="459"/>
      <c r="M91" s="459"/>
    </row>
    <row r="92" ht="19.5" customHeight="1">
      <c r="A92" s="271"/>
      <c r="B92" s="271"/>
      <c r="C92" s="271"/>
      <c r="D92" s="271"/>
      <c r="E92" s="459"/>
      <c r="F92" s="459"/>
      <c r="G92" s="271"/>
      <c r="H92" s="271"/>
      <c r="I92" s="459"/>
      <c r="J92" s="459"/>
      <c r="K92" s="459"/>
      <c r="L92" s="459"/>
      <c r="M92" s="459"/>
    </row>
    <row r="93" ht="19.5" customHeight="1">
      <c r="A93" s="271"/>
      <c r="B93" s="271"/>
      <c r="C93" s="271"/>
      <c r="D93" s="271"/>
      <c r="E93" s="459"/>
      <c r="F93" s="459"/>
      <c r="G93" s="271"/>
      <c r="H93" s="271"/>
      <c r="I93" s="459"/>
      <c r="J93" s="459"/>
      <c r="K93" s="459"/>
      <c r="L93" s="459"/>
      <c r="M93" s="459"/>
    </row>
    <row r="94" ht="19.5" customHeight="1">
      <c r="A94" s="271"/>
      <c r="B94" s="271"/>
      <c r="C94" s="271"/>
      <c r="D94" s="271"/>
      <c r="E94" s="459"/>
      <c r="F94" s="459"/>
      <c r="G94" s="271"/>
      <c r="H94" s="271"/>
      <c r="I94" s="459"/>
      <c r="J94" s="459"/>
      <c r="K94" s="459"/>
      <c r="L94" s="459"/>
      <c r="M94" s="459"/>
    </row>
    <row r="95" ht="19.5" customHeight="1">
      <c r="A95" s="271"/>
      <c r="B95" s="271"/>
      <c r="C95" s="271"/>
      <c r="D95" s="271"/>
      <c r="E95" s="459"/>
      <c r="F95" s="459"/>
      <c r="G95" s="271"/>
      <c r="H95" s="271"/>
      <c r="I95" s="459"/>
      <c r="J95" s="459"/>
      <c r="K95" s="459"/>
      <c r="L95" s="459"/>
      <c r="M95" s="459"/>
    </row>
    <row r="96" ht="19.5" customHeight="1">
      <c r="A96" s="271"/>
      <c r="B96" s="271"/>
      <c r="C96" s="271"/>
      <c r="D96" s="271"/>
      <c r="E96" s="459"/>
      <c r="F96" s="459"/>
      <c r="G96" s="271"/>
      <c r="H96" s="271"/>
      <c r="I96" s="459"/>
      <c r="J96" s="459"/>
      <c r="K96" s="459"/>
      <c r="L96" s="459"/>
      <c r="M96" s="459"/>
    </row>
    <row r="97" ht="19.5" customHeight="1">
      <c r="A97" s="271"/>
      <c r="B97" s="271"/>
      <c r="C97" s="271"/>
      <c r="D97" s="271"/>
      <c r="E97" s="459"/>
      <c r="F97" s="459"/>
      <c r="G97" s="271"/>
      <c r="H97" s="271"/>
      <c r="I97" s="459"/>
      <c r="J97" s="459"/>
      <c r="K97" s="459"/>
      <c r="L97" s="459"/>
      <c r="M97" s="459"/>
    </row>
    <row r="98" ht="19.5" customHeight="1">
      <c r="A98" s="271"/>
      <c r="B98" s="271"/>
      <c r="C98" s="271"/>
      <c r="D98" s="271"/>
      <c r="E98" s="459"/>
      <c r="F98" s="459"/>
      <c r="G98" s="271"/>
      <c r="H98" s="271"/>
      <c r="I98" s="459"/>
      <c r="J98" s="459"/>
      <c r="K98" s="459"/>
      <c r="L98" s="459"/>
      <c r="M98" s="459"/>
    </row>
    <row r="99" ht="19.5" customHeight="1">
      <c r="A99" s="271"/>
      <c r="B99" s="271"/>
      <c r="C99" s="271"/>
      <c r="D99" s="271"/>
      <c r="E99" s="459"/>
      <c r="F99" s="459"/>
      <c r="G99" s="271"/>
      <c r="H99" s="271"/>
      <c r="I99" s="459"/>
      <c r="J99" s="459"/>
      <c r="K99" s="459"/>
      <c r="L99" s="459"/>
      <c r="M99" s="459"/>
    </row>
    <row r="100" ht="19.5" customHeight="1">
      <c r="A100" s="271"/>
      <c r="B100" s="271"/>
      <c r="C100" s="271"/>
      <c r="D100" s="271"/>
      <c r="E100" s="459"/>
      <c r="F100" s="459"/>
      <c r="G100" s="271"/>
      <c r="H100" s="271"/>
      <c r="I100" s="459"/>
      <c r="J100" s="459"/>
      <c r="K100" s="459"/>
      <c r="L100" s="459"/>
      <c r="M100" s="459"/>
    </row>
    <row r="101" ht="19.5" customHeight="1">
      <c r="A101" s="271"/>
      <c r="B101" s="271"/>
      <c r="C101" s="271"/>
      <c r="D101" s="271"/>
      <c r="E101" s="459"/>
      <c r="F101" s="459"/>
      <c r="G101" s="271"/>
      <c r="H101" s="271"/>
      <c r="I101" s="459"/>
      <c r="J101" s="459"/>
      <c r="K101" s="459"/>
      <c r="L101" s="459"/>
      <c r="M101" s="459"/>
    </row>
    <row r="102" ht="19.5" customHeight="1">
      <c r="A102" s="271"/>
      <c r="B102" s="271"/>
      <c r="C102" s="271"/>
      <c r="D102" s="271"/>
      <c r="E102" s="459"/>
      <c r="F102" s="459"/>
      <c r="G102" s="271"/>
      <c r="H102" s="271"/>
      <c r="I102" s="459"/>
      <c r="J102" s="459"/>
      <c r="K102" s="459"/>
      <c r="L102" s="459"/>
      <c r="M102" s="459"/>
    </row>
    <row r="103" ht="19.5" customHeight="1">
      <c r="A103" s="271"/>
      <c r="B103" s="271"/>
      <c r="C103" s="271"/>
      <c r="D103" s="271"/>
      <c r="E103" s="459"/>
      <c r="F103" s="459"/>
      <c r="G103" s="271"/>
      <c r="H103" s="271"/>
      <c r="I103" s="459"/>
      <c r="J103" s="459"/>
      <c r="K103" s="459"/>
      <c r="L103" s="459"/>
      <c r="M103" s="459"/>
    </row>
    <row r="104" ht="19.5" customHeight="1">
      <c r="A104" s="271"/>
      <c r="B104" s="271"/>
      <c r="C104" s="271"/>
      <c r="D104" s="271"/>
      <c r="E104" s="459"/>
      <c r="F104" s="459"/>
      <c r="G104" s="271"/>
      <c r="H104" s="271"/>
      <c r="I104" s="459"/>
      <c r="J104" s="459"/>
      <c r="K104" s="459"/>
      <c r="L104" s="459"/>
      <c r="M104" s="459"/>
    </row>
    <row r="105" ht="19.5" customHeight="1">
      <c r="A105" s="271"/>
      <c r="B105" s="271"/>
      <c r="C105" s="271"/>
      <c r="D105" s="271"/>
      <c r="E105" s="459"/>
      <c r="F105" s="459"/>
      <c r="G105" s="271"/>
      <c r="H105" s="271"/>
      <c r="I105" s="459"/>
      <c r="J105" s="459"/>
      <c r="K105" s="459"/>
      <c r="L105" s="459"/>
      <c r="M105" s="459"/>
    </row>
    <row r="106" ht="19.5" customHeight="1">
      <c r="A106" s="271"/>
      <c r="B106" s="271"/>
      <c r="C106" s="271"/>
      <c r="D106" s="271"/>
      <c r="E106" s="459"/>
      <c r="F106" s="459"/>
      <c r="G106" s="271"/>
      <c r="H106" s="271"/>
      <c r="I106" s="459"/>
      <c r="J106" s="459"/>
      <c r="K106" s="459"/>
      <c r="L106" s="459"/>
      <c r="M106" s="459"/>
    </row>
    <row r="107" ht="19.5" customHeight="1">
      <c r="A107" s="271"/>
      <c r="B107" s="271"/>
      <c r="C107" s="271"/>
      <c r="D107" s="271"/>
      <c r="E107" s="459"/>
      <c r="F107" s="459"/>
      <c r="G107" s="271"/>
      <c r="H107" s="271"/>
      <c r="I107" s="459"/>
      <c r="J107" s="459"/>
      <c r="K107" s="459"/>
      <c r="L107" s="459"/>
      <c r="M107" s="459"/>
    </row>
    <row r="108" ht="19.5" customHeight="1">
      <c r="A108" s="271"/>
      <c r="B108" s="271"/>
      <c r="C108" s="271"/>
      <c r="D108" s="271"/>
      <c r="E108" s="459"/>
      <c r="F108" s="459"/>
      <c r="G108" s="271"/>
      <c r="H108" s="271"/>
      <c r="I108" s="459"/>
      <c r="J108" s="459"/>
      <c r="K108" s="459"/>
      <c r="L108" s="459"/>
      <c r="M108" s="459"/>
    </row>
    <row r="109" ht="19.5" customHeight="1">
      <c r="A109" s="271"/>
      <c r="B109" s="271"/>
      <c r="C109" s="271"/>
      <c r="D109" s="271"/>
      <c r="E109" s="459"/>
      <c r="F109" s="459"/>
      <c r="G109" s="271"/>
      <c r="H109" s="271"/>
      <c r="I109" s="459"/>
      <c r="J109" s="459"/>
      <c r="K109" s="459"/>
      <c r="L109" s="459"/>
      <c r="M109" s="459"/>
    </row>
    <row r="110" ht="19.5" customHeight="1">
      <c r="A110" s="271"/>
      <c r="B110" s="271"/>
      <c r="C110" s="271"/>
      <c r="D110" s="271"/>
      <c r="E110" s="459"/>
      <c r="F110" s="459"/>
      <c r="G110" s="271"/>
      <c r="H110" s="271"/>
      <c r="I110" s="459"/>
      <c r="J110" s="459"/>
      <c r="K110" s="459"/>
      <c r="L110" s="459"/>
      <c r="M110" s="459"/>
    </row>
    <row r="111" ht="19.5" customHeight="1">
      <c r="A111" s="271"/>
      <c r="B111" s="271"/>
      <c r="C111" s="271"/>
      <c r="D111" s="271"/>
      <c r="E111" s="459"/>
      <c r="F111" s="459"/>
      <c r="G111" s="271"/>
      <c r="H111" s="271"/>
      <c r="I111" s="459"/>
      <c r="J111" s="459"/>
      <c r="K111" s="459"/>
      <c r="L111" s="459"/>
      <c r="M111" s="459"/>
    </row>
    <row r="112" ht="19.5" customHeight="1">
      <c r="A112" s="271"/>
      <c r="B112" s="271"/>
      <c r="C112" s="271"/>
      <c r="D112" s="271"/>
      <c r="E112" s="459"/>
      <c r="F112" s="459"/>
      <c r="G112" s="271"/>
      <c r="H112" s="271"/>
      <c r="I112" s="459"/>
      <c r="J112" s="459"/>
      <c r="K112" s="459"/>
      <c r="L112" s="459"/>
      <c r="M112" s="459"/>
    </row>
    <row r="113" ht="19.5" customHeight="1">
      <c r="A113" s="271"/>
      <c r="B113" s="271"/>
      <c r="C113" s="271"/>
      <c r="D113" s="271"/>
      <c r="E113" s="459"/>
      <c r="F113" s="459"/>
      <c r="G113" s="271"/>
      <c r="H113" s="271"/>
      <c r="I113" s="459"/>
      <c r="J113" s="459"/>
      <c r="K113" s="459"/>
      <c r="L113" s="459"/>
      <c r="M113" s="459"/>
    </row>
    <row r="114" ht="19.5" customHeight="1">
      <c r="A114" s="271"/>
      <c r="B114" s="271"/>
      <c r="C114" s="271"/>
      <c r="D114" s="271"/>
      <c r="E114" s="459"/>
      <c r="F114" s="459"/>
      <c r="G114" s="271"/>
      <c r="H114" s="271"/>
      <c r="I114" s="459"/>
      <c r="J114" s="459"/>
      <c r="K114" s="459"/>
      <c r="L114" s="459"/>
      <c r="M114" s="459"/>
    </row>
    <row r="115" ht="19.5" customHeight="1">
      <c r="A115" s="271"/>
      <c r="B115" s="271"/>
      <c r="C115" s="271"/>
      <c r="D115" s="271"/>
      <c r="E115" s="459"/>
      <c r="F115" s="459"/>
      <c r="G115" s="271"/>
      <c r="H115" s="271"/>
      <c r="I115" s="459"/>
      <c r="J115" s="459"/>
      <c r="K115" s="459"/>
      <c r="L115" s="459"/>
      <c r="M115" s="459"/>
    </row>
    <row r="116" ht="19.5" customHeight="1">
      <c r="A116" s="271"/>
      <c r="B116" s="271"/>
      <c r="C116" s="271"/>
      <c r="D116" s="271"/>
      <c r="E116" s="459"/>
      <c r="F116" s="459"/>
      <c r="G116" s="271"/>
      <c r="H116" s="271"/>
      <c r="I116" s="459"/>
      <c r="J116" s="459"/>
      <c r="K116" s="459"/>
      <c r="L116" s="459"/>
      <c r="M116" s="459"/>
    </row>
    <row r="117" ht="19.5" customHeight="1">
      <c r="A117" s="271"/>
      <c r="B117" s="271"/>
      <c r="C117" s="271"/>
      <c r="D117" s="271"/>
      <c r="E117" s="459"/>
      <c r="F117" s="459"/>
      <c r="G117" s="271"/>
      <c r="H117" s="271"/>
      <c r="I117" s="459"/>
      <c r="J117" s="459"/>
      <c r="K117" s="459"/>
      <c r="L117" s="459"/>
      <c r="M117" s="459"/>
    </row>
    <row r="118" ht="19.5" customHeight="1">
      <c r="A118" s="271"/>
      <c r="B118" s="271"/>
      <c r="C118" s="271"/>
      <c r="D118" s="271"/>
      <c r="E118" s="459"/>
      <c r="F118" s="459"/>
      <c r="G118" s="271"/>
      <c r="H118" s="271"/>
      <c r="I118" s="459"/>
      <c r="J118" s="459"/>
      <c r="K118" s="459"/>
      <c r="L118" s="459"/>
      <c r="M118" s="459"/>
    </row>
    <row r="119" ht="19.5" customHeight="1">
      <c r="A119" s="271"/>
      <c r="B119" s="271"/>
      <c r="C119" s="271"/>
      <c r="D119" s="271"/>
      <c r="E119" s="459"/>
      <c r="F119" s="459"/>
      <c r="G119" s="271"/>
      <c r="H119" s="271"/>
      <c r="I119" s="459"/>
      <c r="J119" s="459"/>
      <c r="K119" s="459"/>
      <c r="L119" s="459"/>
      <c r="M119" s="459"/>
    </row>
    <row r="120" ht="19.5" customHeight="1">
      <c r="A120" s="271"/>
      <c r="B120" s="271"/>
      <c r="C120" s="271"/>
      <c r="D120" s="271"/>
      <c r="E120" s="459"/>
      <c r="F120" s="459"/>
      <c r="G120" s="271"/>
      <c r="H120" s="271"/>
      <c r="I120" s="459"/>
      <c r="J120" s="459"/>
      <c r="K120" s="459"/>
      <c r="L120" s="459"/>
      <c r="M120" s="459"/>
    </row>
    <row r="121" ht="19.5" customHeight="1">
      <c r="A121" s="271"/>
      <c r="B121" s="271"/>
      <c r="C121" s="271"/>
      <c r="D121" s="271"/>
      <c r="E121" s="459"/>
      <c r="F121" s="459"/>
      <c r="G121" s="271"/>
      <c r="H121" s="271"/>
      <c r="I121" s="459"/>
      <c r="J121" s="459"/>
      <c r="K121" s="459"/>
      <c r="L121" s="459"/>
      <c r="M121" s="459"/>
    </row>
    <row r="122" ht="19.5" customHeight="1">
      <c r="A122" s="271"/>
      <c r="B122" s="271"/>
      <c r="C122" s="271"/>
      <c r="D122" s="271"/>
      <c r="E122" s="459"/>
      <c r="F122" s="459"/>
      <c r="G122" s="271"/>
      <c r="H122" s="271"/>
      <c r="I122" s="459"/>
      <c r="J122" s="459"/>
      <c r="K122" s="459"/>
      <c r="L122" s="459"/>
      <c r="M122" s="459"/>
    </row>
    <row r="123" ht="19.5" customHeight="1">
      <c r="A123" s="271"/>
      <c r="B123" s="271"/>
      <c r="C123" s="271"/>
      <c r="D123" s="271"/>
      <c r="E123" s="459"/>
      <c r="F123" s="459"/>
      <c r="G123" s="271"/>
      <c r="H123" s="271"/>
      <c r="I123" s="459"/>
      <c r="J123" s="459"/>
      <c r="K123" s="459"/>
      <c r="L123" s="459"/>
      <c r="M123" s="459"/>
    </row>
    <row r="124" ht="19.5" customHeight="1">
      <c r="A124" s="271"/>
      <c r="B124" s="271"/>
      <c r="C124" s="271"/>
      <c r="D124" s="271"/>
      <c r="E124" s="459"/>
      <c r="F124" s="459"/>
      <c r="G124" s="271"/>
      <c r="H124" s="271"/>
      <c r="I124" s="459"/>
      <c r="J124" s="459"/>
      <c r="K124" s="459"/>
      <c r="L124" s="459"/>
      <c r="M124" s="459"/>
    </row>
    <row r="125" ht="19.5" customHeight="1">
      <c r="A125" s="271"/>
      <c r="B125" s="271"/>
      <c r="C125" s="271"/>
      <c r="D125" s="271"/>
      <c r="E125" s="459"/>
      <c r="F125" s="459"/>
      <c r="G125" s="271"/>
      <c r="H125" s="271"/>
      <c r="I125" s="459"/>
      <c r="J125" s="459"/>
      <c r="K125" s="459"/>
      <c r="L125" s="459"/>
      <c r="M125" s="459"/>
    </row>
    <row r="126" ht="19.5" customHeight="1">
      <c r="A126" s="271"/>
      <c r="B126" s="271"/>
      <c r="C126" s="271"/>
      <c r="D126" s="271"/>
      <c r="E126" s="459"/>
      <c r="F126" s="459"/>
      <c r="G126" s="271"/>
      <c r="H126" s="271"/>
      <c r="I126" s="459"/>
      <c r="J126" s="459"/>
      <c r="K126" s="459"/>
      <c r="L126" s="459"/>
      <c r="M126" s="459"/>
    </row>
    <row r="127" ht="19.5" customHeight="1">
      <c r="A127" s="271"/>
      <c r="B127" s="271"/>
      <c r="C127" s="271"/>
      <c r="D127" s="271"/>
      <c r="E127" s="459"/>
      <c r="F127" s="459"/>
      <c r="G127" s="271"/>
      <c r="H127" s="271"/>
      <c r="I127" s="459"/>
      <c r="J127" s="459"/>
      <c r="K127" s="459"/>
      <c r="L127" s="459"/>
      <c r="M127" s="459"/>
    </row>
    <row r="128" ht="19.5" customHeight="1">
      <c r="A128" s="271"/>
      <c r="B128" s="271"/>
      <c r="C128" s="271"/>
      <c r="D128" s="271"/>
      <c r="E128" s="459"/>
      <c r="F128" s="459"/>
      <c r="G128" s="271"/>
      <c r="H128" s="271"/>
      <c r="I128" s="459"/>
      <c r="J128" s="459"/>
      <c r="K128" s="459"/>
      <c r="L128" s="459"/>
      <c r="M128" s="459"/>
    </row>
    <row r="129" ht="19.5" customHeight="1">
      <c r="A129" s="271"/>
      <c r="B129" s="271"/>
      <c r="C129" s="271"/>
      <c r="D129" s="271"/>
      <c r="E129" s="459"/>
      <c r="F129" s="459"/>
      <c r="G129" s="271"/>
      <c r="H129" s="271"/>
      <c r="I129" s="459"/>
      <c r="J129" s="459"/>
      <c r="K129" s="459"/>
      <c r="L129" s="459"/>
      <c r="M129" s="459"/>
    </row>
    <row r="130" ht="19.5" customHeight="1">
      <c r="A130" s="271"/>
      <c r="B130" s="271"/>
      <c r="C130" s="271"/>
      <c r="D130" s="271"/>
      <c r="E130" s="459"/>
      <c r="F130" s="459"/>
      <c r="G130" s="271"/>
      <c r="H130" s="271"/>
      <c r="I130" s="459"/>
      <c r="J130" s="459"/>
      <c r="K130" s="459"/>
      <c r="L130" s="459"/>
      <c r="M130" s="459"/>
    </row>
    <row r="131" ht="19.5" customHeight="1">
      <c r="A131" s="271"/>
      <c r="B131" s="271"/>
      <c r="C131" s="271"/>
      <c r="D131" s="271"/>
      <c r="E131" s="459"/>
      <c r="F131" s="459"/>
      <c r="G131" s="271"/>
      <c r="H131" s="271"/>
      <c r="I131" s="459"/>
      <c r="J131" s="459"/>
      <c r="K131" s="459"/>
      <c r="L131" s="459"/>
      <c r="M131" s="459"/>
    </row>
    <row r="132" ht="19.5" customHeight="1">
      <c r="A132" s="271"/>
      <c r="B132" s="271"/>
      <c r="C132" s="271"/>
      <c r="D132" s="271"/>
      <c r="E132" s="459"/>
      <c r="F132" s="459"/>
      <c r="G132" s="271"/>
      <c r="H132" s="271"/>
      <c r="I132" s="459"/>
      <c r="J132" s="459"/>
      <c r="K132" s="459"/>
      <c r="L132" s="459"/>
      <c r="M132" s="459"/>
    </row>
    <row r="133" ht="19.5" customHeight="1">
      <c r="A133" s="271"/>
      <c r="B133" s="271"/>
      <c r="C133" s="271"/>
      <c r="D133" s="271"/>
      <c r="E133" s="459"/>
      <c r="F133" s="459"/>
      <c r="G133" s="271"/>
      <c r="H133" s="271"/>
      <c r="I133" s="459"/>
      <c r="J133" s="459"/>
      <c r="K133" s="459"/>
      <c r="L133" s="459"/>
      <c r="M133" s="459"/>
    </row>
    <row r="134" ht="19.5" customHeight="1">
      <c r="A134" s="271"/>
      <c r="B134" s="271"/>
      <c r="C134" s="271"/>
      <c r="D134" s="271"/>
      <c r="E134" s="459"/>
      <c r="F134" s="459"/>
      <c r="G134" s="271"/>
      <c r="H134" s="271"/>
      <c r="I134" s="459"/>
      <c r="J134" s="459"/>
      <c r="K134" s="459"/>
      <c r="L134" s="459"/>
      <c r="M134" s="459"/>
    </row>
    <row r="135" ht="19.5" customHeight="1">
      <c r="A135" s="271"/>
      <c r="B135" s="271"/>
      <c r="C135" s="271"/>
      <c r="D135" s="271"/>
      <c r="E135" s="459"/>
      <c r="F135" s="459"/>
      <c r="G135" s="271"/>
      <c r="H135" s="271"/>
      <c r="I135" s="459"/>
      <c r="J135" s="459"/>
      <c r="K135" s="459"/>
      <c r="L135" s="459"/>
      <c r="M135" s="459"/>
    </row>
    <row r="136" ht="19.5" customHeight="1">
      <c r="A136" s="271"/>
      <c r="B136" s="271"/>
      <c r="C136" s="271"/>
      <c r="D136" s="271"/>
      <c r="E136" s="459"/>
      <c r="F136" s="459"/>
      <c r="G136" s="271"/>
      <c r="H136" s="271"/>
      <c r="I136" s="459"/>
      <c r="J136" s="459"/>
      <c r="K136" s="459"/>
      <c r="L136" s="459"/>
      <c r="M136" s="459"/>
    </row>
    <row r="137" ht="19.5" customHeight="1">
      <c r="A137" s="271"/>
      <c r="B137" s="271"/>
      <c r="C137" s="271"/>
      <c r="D137" s="271"/>
      <c r="E137" s="459"/>
      <c r="F137" s="459"/>
      <c r="G137" s="271"/>
      <c r="H137" s="271"/>
      <c r="I137" s="459"/>
      <c r="J137" s="459"/>
      <c r="K137" s="459"/>
      <c r="L137" s="459"/>
      <c r="M137" s="459"/>
    </row>
    <row r="138" ht="19.5" customHeight="1">
      <c r="A138" s="271"/>
      <c r="B138" s="271"/>
      <c r="C138" s="271"/>
      <c r="D138" s="271"/>
      <c r="E138" s="459"/>
      <c r="F138" s="459"/>
      <c r="G138" s="271"/>
      <c r="H138" s="271"/>
      <c r="I138" s="459"/>
      <c r="J138" s="459"/>
      <c r="K138" s="459"/>
      <c r="L138" s="459"/>
      <c r="M138" s="459"/>
    </row>
    <row r="139" ht="19.5" customHeight="1">
      <c r="A139" s="271"/>
      <c r="B139" s="271"/>
      <c r="C139" s="271"/>
      <c r="D139" s="271"/>
      <c r="E139" s="459"/>
      <c r="F139" s="459"/>
      <c r="G139" s="271"/>
      <c r="H139" s="271"/>
      <c r="I139" s="459"/>
      <c r="J139" s="459"/>
      <c r="K139" s="459"/>
      <c r="L139" s="459"/>
      <c r="M139" s="459"/>
    </row>
    <row r="140" ht="19.5" customHeight="1">
      <c r="A140" s="271"/>
      <c r="B140" s="271"/>
      <c r="C140" s="271"/>
      <c r="D140" s="271"/>
      <c r="E140" s="459"/>
      <c r="F140" s="459"/>
      <c r="G140" s="271"/>
      <c r="H140" s="271"/>
      <c r="I140" s="459"/>
      <c r="J140" s="459"/>
      <c r="K140" s="459"/>
      <c r="L140" s="459"/>
      <c r="M140" s="459"/>
    </row>
    <row r="141" ht="19.5" customHeight="1">
      <c r="A141" s="271"/>
      <c r="B141" s="271"/>
      <c r="C141" s="271"/>
      <c r="D141" s="271"/>
      <c r="E141" s="459"/>
      <c r="F141" s="459"/>
      <c r="G141" s="271"/>
      <c r="H141" s="271"/>
      <c r="I141" s="459"/>
      <c r="J141" s="459"/>
      <c r="K141" s="459"/>
      <c r="L141" s="459"/>
      <c r="M141" s="459"/>
    </row>
    <row r="142" ht="19.5" customHeight="1">
      <c r="A142" s="271"/>
      <c r="B142" s="271"/>
      <c r="C142" s="271"/>
      <c r="D142" s="271"/>
      <c r="E142" s="459"/>
      <c r="F142" s="459"/>
      <c r="G142" s="271"/>
      <c r="H142" s="271"/>
      <c r="I142" s="459"/>
      <c r="J142" s="459"/>
      <c r="K142" s="459"/>
      <c r="L142" s="459"/>
      <c r="M142" s="459"/>
    </row>
    <row r="143" ht="19.5" customHeight="1">
      <c r="A143" s="271"/>
      <c r="B143" s="271"/>
      <c r="C143" s="271"/>
      <c r="D143" s="271"/>
      <c r="E143" s="459"/>
      <c r="F143" s="459"/>
      <c r="G143" s="271"/>
      <c r="H143" s="271"/>
      <c r="I143" s="459"/>
      <c r="J143" s="459"/>
      <c r="K143" s="459"/>
      <c r="L143" s="459"/>
      <c r="M143" s="459"/>
    </row>
    <row r="144" ht="19.5" customHeight="1">
      <c r="A144" s="271"/>
      <c r="B144" s="271"/>
      <c r="C144" s="271"/>
      <c r="D144" s="271"/>
      <c r="E144" s="459"/>
      <c r="F144" s="459"/>
      <c r="G144" s="271"/>
      <c r="H144" s="271"/>
      <c r="I144" s="459"/>
      <c r="J144" s="459"/>
      <c r="K144" s="459"/>
      <c r="L144" s="459"/>
      <c r="M144" s="459"/>
    </row>
    <row r="145" ht="19.5" customHeight="1">
      <c r="A145" s="271"/>
      <c r="B145" s="271"/>
      <c r="C145" s="271"/>
      <c r="D145" s="271"/>
      <c r="E145" s="459"/>
      <c r="F145" s="459"/>
      <c r="G145" s="271"/>
      <c r="H145" s="271"/>
      <c r="I145" s="459"/>
      <c r="J145" s="459"/>
      <c r="K145" s="459"/>
      <c r="L145" s="459"/>
      <c r="M145" s="459"/>
    </row>
    <row r="146" ht="19.5" customHeight="1">
      <c r="A146" s="271"/>
      <c r="B146" s="271"/>
      <c r="C146" s="271"/>
      <c r="D146" s="271"/>
      <c r="E146" s="459"/>
      <c r="F146" s="459"/>
      <c r="G146" s="271"/>
      <c r="H146" s="271"/>
      <c r="I146" s="459"/>
      <c r="J146" s="459"/>
      <c r="K146" s="459"/>
      <c r="L146" s="459"/>
      <c r="M146" s="459"/>
    </row>
    <row r="147" ht="19.5" customHeight="1">
      <c r="A147" s="271"/>
      <c r="B147" s="271"/>
      <c r="C147" s="271"/>
      <c r="D147" s="271"/>
      <c r="E147" s="459"/>
      <c r="F147" s="459"/>
      <c r="G147" s="271"/>
      <c r="H147" s="271"/>
      <c r="I147" s="459"/>
      <c r="J147" s="459"/>
      <c r="K147" s="459"/>
      <c r="L147" s="459"/>
      <c r="M147" s="459"/>
    </row>
    <row r="148" ht="19.5" customHeight="1">
      <c r="A148" s="271"/>
      <c r="B148" s="271"/>
      <c r="C148" s="271"/>
      <c r="D148" s="271"/>
      <c r="E148" s="459"/>
      <c r="F148" s="459"/>
      <c r="G148" s="271"/>
      <c r="H148" s="271"/>
      <c r="I148" s="459"/>
      <c r="J148" s="459"/>
      <c r="K148" s="459"/>
      <c r="L148" s="459"/>
      <c r="M148" s="459"/>
    </row>
    <row r="149" ht="19.5" customHeight="1">
      <c r="A149" s="271"/>
      <c r="B149" s="271"/>
      <c r="C149" s="271"/>
      <c r="D149" s="271"/>
      <c r="E149" s="459"/>
      <c r="F149" s="459"/>
      <c r="G149" s="271"/>
      <c r="H149" s="271"/>
      <c r="I149" s="459"/>
      <c r="J149" s="459"/>
      <c r="K149" s="459"/>
      <c r="L149" s="459"/>
      <c r="M149" s="459"/>
    </row>
    <row r="150" ht="19.5" customHeight="1">
      <c r="A150" s="271"/>
      <c r="B150" s="271"/>
      <c r="C150" s="271"/>
      <c r="D150" s="271"/>
      <c r="E150" s="459"/>
      <c r="F150" s="459"/>
      <c r="G150" s="271"/>
      <c r="H150" s="271"/>
      <c r="I150" s="459"/>
      <c r="J150" s="459"/>
      <c r="K150" s="459"/>
      <c r="L150" s="459"/>
      <c r="M150" s="459"/>
    </row>
    <row r="151" ht="19.5" customHeight="1">
      <c r="A151" s="271"/>
      <c r="B151" s="271"/>
      <c r="C151" s="271"/>
      <c r="D151" s="271"/>
      <c r="E151" s="459"/>
      <c r="F151" s="459"/>
      <c r="G151" s="271"/>
      <c r="H151" s="271"/>
      <c r="I151" s="459"/>
      <c r="J151" s="459"/>
      <c r="K151" s="459"/>
      <c r="L151" s="459"/>
      <c r="M151" s="459"/>
    </row>
    <row r="152" ht="19.5" customHeight="1">
      <c r="A152" s="271"/>
      <c r="B152" s="271"/>
      <c r="C152" s="271"/>
      <c r="D152" s="271"/>
      <c r="E152" s="459"/>
      <c r="F152" s="459"/>
      <c r="G152" s="271"/>
      <c r="H152" s="271"/>
      <c r="I152" s="459"/>
      <c r="J152" s="459"/>
      <c r="K152" s="459"/>
      <c r="L152" s="459"/>
      <c r="M152" s="459"/>
    </row>
    <row r="153" ht="19.5" customHeight="1">
      <c r="A153" s="271"/>
      <c r="B153" s="271"/>
      <c r="C153" s="271"/>
      <c r="D153" s="271"/>
      <c r="E153" s="459"/>
      <c r="F153" s="459"/>
      <c r="G153" s="271"/>
      <c r="H153" s="271"/>
      <c r="I153" s="459"/>
      <c r="J153" s="459"/>
      <c r="K153" s="459"/>
      <c r="L153" s="459"/>
      <c r="M153" s="459"/>
    </row>
    <row r="154" ht="19.5" customHeight="1">
      <c r="A154" s="271"/>
      <c r="B154" s="271"/>
      <c r="C154" s="271"/>
      <c r="D154" s="271"/>
      <c r="E154" s="459"/>
      <c r="F154" s="459"/>
      <c r="G154" s="271"/>
      <c r="H154" s="271"/>
      <c r="I154" s="459"/>
      <c r="J154" s="459"/>
      <c r="K154" s="459"/>
      <c r="L154" s="459"/>
      <c r="M154" s="459"/>
    </row>
    <row r="155" ht="19.5" customHeight="1">
      <c r="A155" s="271"/>
      <c r="B155" s="271"/>
      <c r="C155" s="271"/>
      <c r="D155" s="271"/>
      <c r="E155" s="459"/>
      <c r="F155" s="459"/>
      <c r="G155" s="271"/>
      <c r="H155" s="271"/>
      <c r="I155" s="459"/>
      <c r="J155" s="459"/>
      <c r="K155" s="459"/>
      <c r="L155" s="459"/>
      <c r="M155" s="459"/>
    </row>
    <row r="156" ht="19.5" customHeight="1">
      <c r="A156" s="271"/>
      <c r="B156" s="271"/>
      <c r="C156" s="271"/>
      <c r="D156" s="271"/>
      <c r="E156" s="459"/>
      <c r="F156" s="459"/>
      <c r="G156" s="271"/>
      <c r="H156" s="271"/>
      <c r="I156" s="459"/>
      <c r="J156" s="459"/>
      <c r="K156" s="459"/>
      <c r="L156" s="459"/>
      <c r="M156" s="459"/>
    </row>
    <row r="157" ht="19.5" customHeight="1">
      <c r="A157" s="271"/>
      <c r="B157" s="271"/>
      <c r="C157" s="271"/>
      <c r="D157" s="271"/>
      <c r="E157" s="459"/>
      <c r="F157" s="459"/>
      <c r="G157" s="271"/>
      <c r="H157" s="271"/>
      <c r="I157" s="459"/>
      <c r="J157" s="459"/>
      <c r="K157" s="459"/>
      <c r="L157" s="459"/>
      <c r="M157" s="459"/>
    </row>
    <row r="158" ht="19.5" customHeight="1">
      <c r="A158" s="271"/>
      <c r="B158" s="271"/>
      <c r="C158" s="271"/>
      <c r="D158" s="271"/>
      <c r="E158" s="459"/>
      <c r="F158" s="459"/>
      <c r="G158" s="271"/>
      <c r="H158" s="271"/>
      <c r="I158" s="459"/>
      <c r="J158" s="459"/>
      <c r="K158" s="459"/>
      <c r="L158" s="459"/>
      <c r="M158" s="459"/>
    </row>
    <row r="159" ht="19.5" customHeight="1">
      <c r="A159" s="271"/>
      <c r="B159" s="271"/>
      <c r="C159" s="271"/>
      <c r="D159" s="271"/>
      <c r="E159" s="459"/>
      <c r="F159" s="459"/>
      <c r="G159" s="271"/>
      <c r="H159" s="271"/>
      <c r="I159" s="459"/>
      <c r="J159" s="459"/>
      <c r="K159" s="459"/>
      <c r="L159" s="459"/>
      <c r="M159" s="459"/>
    </row>
    <row r="160" ht="19.5" customHeight="1">
      <c r="A160" s="271"/>
      <c r="B160" s="271"/>
      <c r="C160" s="271"/>
      <c r="D160" s="271"/>
      <c r="E160" s="459"/>
      <c r="F160" s="459"/>
      <c r="G160" s="271"/>
      <c r="H160" s="271"/>
      <c r="I160" s="459"/>
      <c r="J160" s="459"/>
      <c r="K160" s="459"/>
      <c r="L160" s="459"/>
      <c r="M160" s="459"/>
    </row>
    <row r="161" ht="19.5" customHeight="1">
      <c r="A161" s="271"/>
      <c r="B161" s="271"/>
      <c r="C161" s="271"/>
      <c r="D161" s="271"/>
      <c r="E161" s="459"/>
      <c r="F161" s="459"/>
      <c r="G161" s="271"/>
      <c r="H161" s="271"/>
      <c r="I161" s="459"/>
      <c r="J161" s="459"/>
      <c r="K161" s="459"/>
      <c r="L161" s="459"/>
      <c r="M161" s="459"/>
    </row>
    <row r="162" ht="19.5" customHeight="1">
      <c r="A162" s="271"/>
      <c r="B162" s="271"/>
      <c r="C162" s="271"/>
      <c r="D162" s="271"/>
      <c r="E162" s="459"/>
      <c r="F162" s="459"/>
      <c r="G162" s="271"/>
      <c r="H162" s="271"/>
      <c r="I162" s="459"/>
      <c r="J162" s="459"/>
      <c r="K162" s="459"/>
      <c r="L162" s="459"/>
      <c r="M162" s="459"/>
    </row>
    <row r="163" ht="19.5" customHeight="1">
      <c r="A163" s="271"/>
      <c r="B163" s="271"/>
      <c r="C163" s="271"/>
      <c r="D163" s="271"/>
      <c r="E163" s="459"/>
      <c r="F163" s="459"/>
      <c r="G163" s="271"/>
      <c r="H163" s="271"/>
      <c r="I163" s="459"/>
      <c r="J163" s="459"/>
      <c r="K163" s="459"/>
      <c r="L163" s="459"/>
      <c r="M163" s="459"/>
    </row>
    <row r="164" ht="19.5" customHeight="1">
      <c r="A164" s="271"/>
      <c r="B164" s="271"/>
      <c r="C164" s="271"/>
      <c r="D164" s="271"/>
      <c r="E164" s="459"/>
      <c r="F164" s="459"/>
      <c r="G164" s="271"/>
      <c r="H164" s="271"/>
      <c r="I164" s="459"/>
      <c r="J164" s="459"/>
      <c r="K164" s="459"/>
      <c r="L164" s="459"/>
      <c r="M164" s="459"/>
    </row>
    <row r="165" ht="19.5" customHeight="1">
      <c r="A165" s="271"/>
      <c r="B165" s="271"/>
      <c r="C165" s="271"/>
      <c r="D165" s="271"/>
      <c r="E165" s="459"/>
      <c r="F165" s="459"/>
      <c r="G165" s="271"/>
      <c r="H165" s="271"/>
      <c r="I165" s="459"/>
      <c r="J165" s="459"/>
      <c r="K165" s="459"/>
      <c r="L165" s="459"/>
      <c r="M165" s="459"/>
    </row>
    <row r="166" ht="19.5" customHeight="1">
      <c r="A166" s="271"/>
      <c r="B166" s="271"/>
      <c r="C166" s="271"/>
      <c r="D166" s="271"/>
      <c r="E166" s="459"/>
      <c r="F166" s="459"/>
      <c r="G166" s="271"/>
      <c r="H166" s="271"/>
      <c r="I166" s="459"/>
      <c r="J166" s="459"/>
      <c r="K166" s="459"/>
      <c r="L166" s="459"/>
      <c r="M166" s="459"/>
    </row>
    <row r="167" ht="19.5" customHeight="1">
      <c r="A167" s="271"/>
      <c r="B167" s="271"/>
      <c r="C167" s="271"/>
      <c r="D167" s="271"/>
      <c r="E167" s="459"/>
      <c r="F167" s="459"/>
      <c r="G167" s="271"/>
      <c r="H167" s="271"/>
      <c r="I167" s="459"/>
      <c r="J167" s="459"/>
      <c r="K167" s="459"/>
      <c r="L167" s="459"/>
      <c r="M167" s="459"/>
    </row>
    <row r="168" ht="19.5" customHeight="1">
      <c r="A168" s="271"/>
      <c r="B168" s="271"/>
      <c r="C168" s="271"/>
      <c r="D168" s="271"/>
      <c r="E168" s="459"/>
      <c r="F168" s="459"/>
      <c r="G168" s="271"/>
      <c r="H168" s="271"/>
      <c r="I168" s="459"/>
      <c r="J168" s="459"/>
      <c r="K168" s="459"/>
      <c r="L168" s="459"/>
      <c r="M168" s="459"/>
    </row>
    <row r="169" ht="19.5" customHeight="1">
      <c r="A169" s="271"/>
      <c r="B169" s="271"/>
      <c r="C169" s="271"/>
      <c r="D169" s="271"/>
      <c r="E169" s="459"/>
      <c r="F169" s="459"/>
      <c r="G169" s="271"/>
      <c r="H169" s="271"/>
      <c r="I169" s="459"/>
      <c r="J169" s="459"/>
      <c r="K169" s="459"/>
      <c r="L169" s="459"/>
      <c r="M169" s="459"/>
    </row>
    <row r="170" ht="19.5" customHeight="1">
      <c r="A170" s="271"/>
      <c r="B170" s="271"/>
      <c r="C170" s="271"/>
      <c r="D170" s="271"/>
      <c r="E170" s="459"/>
      <c r="F170" s="459"/>
      <c r="G170" s="271"/>
      <c r="H170" s="271"/>
      <c r="I170" s="459"/>
      <c r="J170" s="459"/>
      <c r="K170" s="459"/>
      <c r="L170" s="459"/>
      <c r="M170" s="459"/>
    </row>
    <row r="171" ht="19.5" customHeight="1">
      <c r="A171" s="271"/>
      <c r="B171" s="271"/>
      <c r="C171" s="271"/>
      <c r="D171" s="271"/>
      <c r="E171" s="459"/>
      <c r="F171" s="459"/>
      <c r="G171" s="271"/>
      <c r="H171" s="271"/>
      <c r="I171" s="459"/>
      <c r="J171" s="459"/>
      <c r="K171" s="459"/>
      <c r="L171" s="459"/>
      <c r="M171" s="459"/>
    </row>
    <row r="172" ht="19.5" customHeight="1">
      <c r="A172" s="271"/>
      <c r="B172" s="271"/>
      <c r="C172" s="271"/>
      <c r="D172" s="271"/>
      <c r="E172" s="459"/>
      <c r="F172" s="459"/>
      <c r="G172" s="271"/>
      <c r="H172" s="271"/>
      <c r="I172" s="459"/>
      <c r="J172" s="459"/>
      <c r="K172" s="459"/>
      <c r="L172" s="459"/>
      <c r="M172" s="459"/>
    </row>
    <row r="173" ht="19.5" customHeight="1">
      <c r="A173" s="271"/>
      <c r="B173" s="271"/>
      <c r="C173" s="271"/>
      <c r="D173" s="271"/>
      <c r="E173" s="459"/>
      <c r="F173" s="459"/>
      <c r="G173" s="271"/>
      <c r="H173" s="271"/>
      <c r="I173" s="459"/>
      <c r="J173" s="459"/>
      <c r="K173" s="459"/>
      <c r="L173" s="459"/>
      <c r="M173" s="459"/>
    </row>
    <row r="174" ht="19.5" customHeight="1">
      <c r="A174" s="271"/>
      <c r="B174" s="271"/>
      <c r="C174" s="271"/>
      <c r="D174" s="271"/>
      <c r="E174" s="459"/>
      <c r="F174" s="459"/>
      <c r="G174" s="271"/>
      <c r="H174" s="271"/>
      <c r="I174" s="459"/>
      <c r="J174" s="459"/>
      <c r="K174" s="459"/>
      <c r="L174" s="459"/>
      <c r="M174" s="459"/>
    </row>
    <row r="175" ht="19.5" customHeight="1">
      <c r="A175" s="271"/>
      <c r="B175" s="271"/>
      <c r="C175" s="271"/>
      <c r="D175" s="271"/>
      <c r="E175" s="459"/>
      <c r="F175" s="459"/>
      <c r="G175" s="271"/>
      <c r="H175" s="271"/>
      <c r="I175" s="459"/>
      <c r="J175" s="459"/>
      <c r="K175" s="459"/>
      <c r="L175" s="459"/>
      <c r="M175" s="459"/>
    </row>
    <row r="176" ht="19.5" customHeight="1">
      <c r="A176" s="271"/>
      <c r="B176" s="271"/>
      <c r="C176" s="271"/>
      <c r="D176" s="271"/>
      <c r="E176" s="459"/>
      <c r="F176" s="459"/>
      <c r="G176" s="271"/>
      <c r="H176" s="271"/>
      <c r="I176" s="459"/>
      <c r="J176" s="459"/>
      <c r="K176" s="459"/>
      <c r="L176" s="459"/>
      <c r="M176" s="459"/>
    </row>
    <row r="177" ht="19.5" customHeight="1">
      <c r="A177" s="271"/>
      <c r="B177" s="271"/>
      <c r="C177" s="271"/>
      <c r="D177" s="271"/>
      <c r="E177" s="459"/>
      <c r="F177" s="459"/>
      <c r="G177" s="271"/>
      <c r="H177" s="271"/>
      <c r="I177" s="459"/>
      <c r="J177" s="459"/>
      <c r="K177" s="459"/>
      <c r="L177" s="459"/>
      <c r="M177" s="459"/>
    </row>
    <row r="178" ht="19.5" customHeight="1">
      <c r="A178" s="271"/>
      <c r="B178" s="271"/>
      <c r="C178" s="271"/>
      <c r="D178" s="271"/>
      <c r="E178" s="459"/>
      <c r="F178" s="459"/>
      <c r="G178" s="271"/>
      <c r="H178" s="271"/>
      <c r="I178" s="459"/>
      <c r="J178" s="459"/>
      <c r="K178" s="459"/>
      <c r="L178" s="459"/>
      <c r="M178" s="459"/>
    </row>
    <row r="179" ht="19.5" customHeight="1">
      <c r="A179" s="271"/>
      <c r="B179" s="271"/>
      <c r="C179" s="271"/>
      <c r="D179" s="271"/>
      <c r="E179" s="459"/>
      <c r="F179" s="459"/>
      <c r="G179" s="271"/>
      <c r="H179" s="271"/>
      <c r="I179" s="459"/>
      <c r="J179" s="459"/>
      <c r="K179" s="459"/>
      <c r="L179" s="459"/>
      <c r="M179" s="459"/>
    </row>
    <row r="180" ht="19.5" customHeight="1">
      <c r="A180" s="271"/>
      <c r="B180" s="271"/>
      <c r="C180" s="271"/>
      <c r="D180" s="271"/>
      <c r="E180" s="459"/>
      <c r="F180" s="459"/>
      <c r="G180" s="271"/>
      <c r="H180" s="271"/>
      <c r="I180" s="459"/>
      <c r="J180" s="459"/>
      <c r="K180" s="459"/>
      <c r="L180" s="459"/>
      <c r="M180" s="459"/>
    </row>
    <row r="181" ht="19.5" customHeight="1">
      <c r="A181" s="271"/>
      <c r="B181" s="271"/>
      <c r="C181" s="271"/>
      <c r="D181" s="271"/>
      <c r="E181" s="459"/>
      <c r="F181" s="459"/>
      <c r="G181" s="271"/>
      <c r="H181" s="271"/>
      <c r="I181" s="459"/>
      <c r="J181" s="459"/>
      <c r="K181" s="459"/>
      <c r="L181" s="459"/>
      <c r="M181" s="459"/>
    </row>
    <row r="182" ht="19.5" customHeight="1">
      <c r="A182" s="271"/>
      <c r="B182" s="271"/>
      <c r="C182" s="271"/>
      <c r="D182" s="271"/>
      <c r="E182" s="459"/>
      <c r="F182" s="459"/>
      <c r="G182" s="271"/>
      <c r="H182" s="271"/>
      <c r="I182" s="459"/>
      <c r="J182" s="459"/>
      <c r="K182" s="459"/>
      <c r="L182" s="459"/>
      <c r="M182" s="459"/>
    </row>
    <row r="183" ht="19.5" customHeight="1">
      <c r="A183" s="271"/>
      <c r="B183" s="271"/>
      <c r="C183" s="271"/>
      <c r="D183" s="271"/>
      <c r="E183" s="459"/>
      <c r="F183" s="459"/>
      <c r="G183" s="271"/>
      <c r="H183" s="271"/>
      <c r="I183" s="459"/>
      <c r="J183" s="459"/>
      <c r="K183" s="459"/>
      <c r="L183" s="459"/>
      <c r="M183" s="459"/>
    </row>
    <row r="184" ht="19.5" customHeight="1">
      <c r="A184" s="271"/>
      <c r="B184" s="271"/>
      <c r="C184" s="271"/>
      <c r="D184" s="271"/>
      <c r="E184" s="459"/>
      <c r="F184" s="459"/>
      <c r="G184" s="271"/>
      <c r="H184" s="271"/>
      <c r="I184" s="459"/>
      <c r="J184" s="459"/>
      <c r="K184" s="459"/>
      <c r="L184" s="459"/>
      <c r="M184" s="459"/>
    </row>
    <row r="185" ht="19.5" customHeight="1">
      <c r="A185" s="271"/>
      <c r="B185" s="271"/>
      <c r="C185" s="271"/>
      <c r="D185" s="271"/>
      <c r="E185" s="459"/>
      <c r="F185" s="459"/>
      <c r="G185" s="271"/>
      <c r="H185" s="271"/>
      <c r="I185" s="459"/>
      <c r="J185" s="459"/>
      <c r="K185" s="459"/>
      <c r="L185" s="459"/>
      <c r="M185" s="459"/>
    </row>
    <row r="186" ht="19.5" customHeight="1">
      <c r="A186" s="271"/>
      <c r="B186" s="271"/>
      <c r="C186" s="271"/>
      <c r="D186" s="271"/>
      <c r="E186" s="459"/>
      <c r="F186" s="459"/>
      <c r="G186" s="271"/>
      <c r="H186" s="271"/>
      <c r="I186" s="459"/>
      <c r="J186" s="459"/>
      <c r="K186" s="459"/>
      <c r="L186" s="459"/>
      <c r="M186" s="459"/>
    </row>
    <row r="187" ht="19.5" customHeight="1">
      <c r="A187" s="271"/>
      <c r="B187" s="271"/>
      <c r="C187" s="271"/>
      <c r="D187" s="271"/>
      <c r="E187" s="459"/>
      <c r="F187" s="459"/>
      <c r="G187" s="271"/>
      <c r="H187" s="271"/>
      <c r="I187" s="459"/>
      <c r="J187" s="459"/>
      <c r="K187" s="459"/>
      <c r="L187" s="459"/>
      <c r="M187" s="459"/>
    </row>
    <row r="188" ht="19.5" customHeight="1">
      <c r="A188" s="271"/>
      <c r="B188" s="271"/>
      <c r="C188" s="271"/>
      <c r="D188" s="271"/>
      <c r="E188" s="459"/>
      <c r="F188" s="459"/>
      <c r="G188" s="271"/>
      <c r="H188" s="271"/>
      <c r="I188" s="459"/>
      <c r="J188" s="459"/>
      <c r="K188" s="459"/>
      <c r="L188" s="459"/>
      <c r="M188" s="459"/>
    </row>
    <row r="189" ht="19.5" customHeight="1">
      <c r="A189" s="271"/>
      <c r="B189" s="271"/>
      <c r="C189" s="271"/>
      <c r="D189" s="271"/>
      <c r="E189" s="459"/>
      <c r="F189" s="459"/>
      <c r="G189" s="271"/>
      <c r="H189" s="271"/>
      <c r="I189" s="459"/>
      <c r="J189" s="459"/>
      <c r="K189" s="459"/>
      <c r="L189" s="459"/>
      <c r="M189" s="459"/>
    </row>
    <row r="190" ht="19.5" customHeight="1">
      <c r="A190" s="271"/>
      <c r="B190" s="271"/>
      <c r="C190" s="271"/>
      <c r="D190" s="271"/>
      <c r="E190" s="459"/>
      <c r="F190" s="459"/>
      <c r="G190" s="271"/>
      <c r="H190" s="271"/>
      <c r="I190" s="459"/>
      <c r="J190" s="459"/>
      <c r="K190" s="459"/>
      <c r="L190" s="459"/>
      <c r="M190" s="459"/>
    </row>
    <row r="191" ht="19.5" customHeight="1">
      <c r="A191" s="271"/>
      <c r="B191" s="271"/>
      <c r="C191" s="271"/>
      <c r="D191" s="271"/>
      <c r="E191" s="459"/>
      <c r="F191" s="459"/>
      <c r="G191" s="271"/>
      <c r="H191" s="271"/>
      <c r="I191" s="459"/>
      <c r="J191" s="459"/>
      <c r="K191" s="459"/>
      <c r="L191" s="459"/>
      <c r="M191" s="459"/>
    </row>
    <row r="192" ht="19.5" customHeight="1">
      <c r="A192" s="271"/>
      <c r="B192" s="271"/>
      <c r="C192" s="271"/>
      <c r="D192" s="271"/>
      <c r="E192" s="459"/>
      <c r="F192" s="459"/>
      <c r="G192" s="271"/>
      <c r="H192" s="271"/>
      <c r="I192" s="459"/>
      <c r="J192" s="459"/>
      <c r="K192" s="459"/>
      <c r="L192" s="459"/>
      <c r="M192" s="459"/>
    </row>
    <row r="193" ht="19.5" customHeight="1">
      <c r="A193" s="271"/>
      <c r="B193" s="271"/>
      <c r="C193" s="271"/>
      <c r="D193" s="271"/>
      <c r="E193" s="459"/>
      <c r="F193" s="459"/>
      <c r="G193" s="271"/>
      <c r="H193" s="271"/>
      <c r="I193" s="459"/>
      <c r="J193" s="459"/>
      <c r="K193" s="459"/>
      <c r="L193" s="459"/>
      <c r="M193" s="459"/>
    </row>
    <row r="194" ht="19.5" customHeight="1">
      <c r="A194" s="271"/>
      <c r="B194" s="271"/>
      <c r="C194" s="271"/>
      <c r="D194" s="271"/>
      <c r="E194" s="459"/>
      <c r="F194" s="459"/>
      <c r="G194" s="271"/>
      <c r="H194" s="271"/>
      <c r="I194" s="459"/>
      <c r="J194" s="459"/>
      <c r="K194" s="459"/>
      <c r="L194" s="459"/>
      <c r="M194" s="459"/>
    </row>
    <row r="195" ht="19.5" customHeight="1">
      <c r="A195" s="271"/>
      <c r="B195" s="271"/>
      <c r="C195" s="271"/>
      <c r="D195" s="271"/>
      <c r="E195" s="459"/>
      <c r="F195" s="459"/>
      <c r="G195" s="271"/>
      <c r="H195" s="271"/>
      <c r="I195" s="459"/>
      <c r="J195" s="459"/>
      <c r="K195" s="459"/>
      <c r="L195" s="459"/>
      <c r="M195" s="459"/>
    </row>
    <row r="196" ht="19.5" customHeight="1">
      <c r="A196" s="271"/>
      <c r="B196" s="271"/>
      <c r="C196" s="271"/>
      <c r="D196" s="271"/>
      <c r="E196" s="459"/>
      <c r="F196" s="459"/>
      <c r="G196" s="271"/>
      <c r="H196" s="271"/>
      <c r="I196" s="459"/>
      <c r="J196" s="459"/>
      <c r="K196" s="459"/>
      <c r="L196" s="459"/>
      <c r="M196" s="459"/>
    </row>
    <row r="197" ht="19.5" customHeight="1">
      <c r="A197" s="271"/>
      <c r="B197" s="271"/>
      <c r="C197" s="271"/>
      <c r="D197" s="271"/>
      <c r="E197" s="459"/>
      <c r="F197" s="459"/>
      <c r="G197" s="271"/>
      <c r="H197" s="271"/>
      <c r="I197" s="459"/>
      <c r="J197" s="459"/>
      <c r="K197" s="459"/>
      <c r="L197" s="459"/>
      <c r="M197" s="459"/>
    </row>
    <row r="198" ht="19.5" customHeight="1">
      <c r="A198" s="271"/>
      <c r="B198" s="271"/>
      <c r="C198" s="271"/>
      <c r="D198" s="271"/>
      <c r="E198" s="459"/>
      <c r="F198" s="459"/>
      <c r="G198" s="271"/>
      <c r="H198" s="271"/>
      <c r="I198" s="459"/>
      <c r="J198" s="459"/>
      <c r="K198" s="459"/>
      <c r="L198" s="459"/>
      <c r="M198" s="459"/>
    </row>
    <row r="199" ht="19.5" customHeight="1">
      <c r="A199" s="271"/>
      <c r="B199" s="271"/>
      <c r="C199" s="271"/>
      <c r="D199" s="271"/>
      <c r="E199" s="459"/>
      <c r="F199" s="459"/>
      <c r="G199" s="271"/>
      <c r="H199" s="271"/>
      <c r="I199" s="459"/>
      <c r="J199" s="459"/>
      <c r="K199" s="459"/>
      <c r="L199" s="459"/>
      <c r="M199" s="459"/>
    </row>
    <row r="200" ht="19.5" customHeight="1">
      <c r="A200" s="271"/>
      <c r="B200" s="271"/>
      <c r="C200" s="271"/>
      <c r="D200" s="271"/>
      <c r="E200" s="459"/>
      <c r="F200" s="459"/>
      <c r="G200" s="271"/>
      <c r="H200" s="271"/>
      <c r="I200" s="459"/>
      <c r="J200" s="459"/>
      <c r="K200" s="459"/>
      <c r="L200" s="459"/>
      <c r="M200" s="459"/>
    </row>
    <row r="201" ht="19.5" customHeight="1">
      <c r="A201" s="271"/>
      <c r="B201" s="271"/>
      <c r="C201" s="271"/>
      <c r="D201" s="271"/>
      <c r="E201" s="459"/>
      <c r="F201" s="459"/>
      <c r="G201" s="271"/>
      <c r="H201" s="271"/>
      <c r="I201" s="459"/>
      <c r="J201" s="459"/>
      <c r="K201" s="459"/>
      <c r="L201" s="459"/>
      <c r="M201" s="459"/>
    </row>
    <row r="202" ht="19.5" customHeight="1">
      <c r="A202" s="271"/>
      <c r="B202" s="271"/>
      <c r="C202" s="271"/>
      <c r="D202" s="271"/>
      <c r="E202" s="459"/>
      <c r="F202" s="459"/>
      <c r="G202" s="271"/>
      <c r="H202" s="271"/>
      <c r="I202" s="459"/>
      <c r="J202" s="459"/>
      <c r="K202" s="459"/>
      <c r="L202" s="459"/>
      <c r="M202" s="459"/>
    </row>
    <row r="203" ht="19.5" customHeight="1">
      <c r="A203" s="271"/>
      <c r="B203" s="271"/>
      <c r="C203" s="271"/>
      <c r="D203" s="271"/>
      <c r="E203" s="459"/>
      <c r="F203" s="459"/>
      <c r="G203" s="271"/>
      <c r="H203" s="271"/>
      <c r="I203" s="459"/>
      <c r="J203" s="459"/>
      <c r="K203" s="459"/>
      <c r="L203" s="459"/>
      <c r="M203" s="459"/>
    </row>
    <row r="204" ht="19.5" customHeight="1">
      <c r="A204" s="271"/>
      <c r="B204" s="271"/>
      <c r="C204" s="271"/>
      <c r="D204" s="271"/>
      <c r="E204" s="459"/>
      <c r="F204" s="459"/>
      <c r="G204" s="271"/>
      <c r="H204" s="271"/>
      <c r="I204" s="459"/>
      <c r="J204" s="459"/>
      <c r="K204" s="459"/>
      <c r="L204" s="459"/>
      <c r="M204" s="459"/>
    </row>
    <row r="205" ht="19.5" customHeight="1">
      <c r="A205" s="271"/>
      <c r="B205" s="271"/>
      <c r="C205" s="271"/>
      <c r="D205" s="271"/>
      <c r="E205" s="459"/>
      <c r="F205" s="459"/>
      <c r="G205" s="271"/>
      <c r="H205" s="271"/>
      <c r="I205" s="459"/>
      <c r="J205" s="459"/>
      <c r="K205" s="459"/>
      <c r="L205" s="459"/>
      <c r="M205" s="459"/>
    </row>
    <row r="206" ht="19.5" customHeight="1">
      <c r="A206" s="271"/>
      <c r="B206" s="271"/>
      <c r="C206" s="271"/>
      <c r="D206" s="271"/>
      <c r="E206" s="459"/>
      <c r="F206" s="459"/>
      <c r="G206" s="271"/>
      <c r="H206" s="271"/>
      <c r="I206" s="459"/>
      <c r="J206" s="459"/>
      <c r="K206" s="459"/>
      <c r="L206" s="459"/>
      <c r="M206" s="459"/>
    </row>
    <row r="207" ht="19.5" customHeight="1">
      <c r="A207" s="271"/>
      <c r="B207" s="271"/>
      <c r="C207" s="271"/>
      <c r="D207" s="271"/>
      <c r="E207" s="459"/>
      <c r="F207" s="459"/>
      <c r="G207" s="271"/>
      <c r="H207" s="271"/>
      <c r="I207" s="459"/>
      <c r="J207" s="459"/>
      <c r="K207" s="459"/>
      <c r="L207" s="459"/>
      <c r="M207" s="459"/>
    </row>
    <row r="208" ht="19.5" customHeight="1">
      <c r="A208" s="271"/>
      <c r="B208" s="271"/>
      <c r="C208" s="271"/>
      <c r="D208" s="271"/>
      <c r="E208" s="459"/>
      <c r="F208" s="459"/>
      <c r="G208" s="271"/>
      <c r="H208" s="271"/>
      <c r="I208" s="459"/>
      <c r="J208" s="459"/>
      <c r="K208" s="459"/>
      <c r="L208" s="459"/>
      <c r="M208" s="459"/>
    </row>
    <row r="209" ht="19.5" customHeight="1">
      <c r="A209" s="271"/>
      <c r="B209" s="271"/>
      <c r="C209" s="271"/>
      <c r="D209" s="271"/>
      <c r="E209" s="459"/>
      <c r="F209" s="459"/>
      <c r="G209" s="271"/>
      <c r="H209" s="271"/>
      <c r="I209" s="459"/>
      <c r="J209" s="459"/>
      <c r="K209" s="459"/>
      <c r="L209" s="459"/>
      <c r="M209" s="459"/>
    </row>
    <row r="210" ht="19.5" customHeight="1">
      <c r="A210" s="271"/>
      <c r="B210" s="271"/>
      <c r="C210" s="271"/>
      <c r="D210" s="271"/>
      <c r="E210" s="459"/>
      <c r="F210" s="459"/>
      <c r="G210" s="271"/>
      <c r="H210" s="271"/>
      <c r="I210" s="459"/>
      <c r="J210" s="459"/>
      <c r="K210" s="459"/>
      <c r="L210" s="459"/>
      <c r="M210" s="459"/>
    </row>
    <row r="211" ht="19.5" customHeight="1">
      <c r="A211" s="271"/>
      <c r="B211" s="271"/>
      <c r="C211" s="271"/>
      <c r="D211" s="271"/>
      <c r="E211" s="459"/>
      <c r="F211" s="459"/>
      <c r="G211" s="271"/>
      <c r="H211" s="271"/>
      <c r="I211" s="459"/>
      <c r="J211" s="459"/>
      <c r="K211" s="459"/>
      <c r="L211" s="459"/>
      <c r="M211" s="459"/>
    </row>
    <row r="212" ht="19.5" customHeight="1">
      <c r="A212" s="271"/>
      <c r="B212" s="271"/>
      <c r="C212" s="271"/>
      <c r="D212" s="271"/>
      <c r="E212" s="459"/>
      <c r="F212" s="459"/>
      <c r="G212" s="271"/>
      <c r="H212" s="271"/>
      <c r="I212" s="459"/>
      <c r="J212" s="459"/>
      <c r="K212" s="459"/>
      <c r="L212" s="459"/>
      <c r="M212" s="459"/>
    </row>
    <row r="213" ht="19.5" customHeight="1">
      <c r="A213" s="271"/>
      <c r="B213" s="271"/>
      <c r="C213" s="271"/>
      <c r="D213" s="271"/>
      <c r="E213" s="459"/>
      <c r="F213" s="459"/>
      <c r="G213" s="271"/>
      <c r="H213" s="271"/>
      <c r="I213" s="459"/>
      <c r="J213" s="459"/>
      <c r="K213" s="459"/>
      <c r="L213" s="459"/>
      <c r="M213" s="459"/>
    </row>
    <row r="214" ht="19.5" customHeight="1">
      <c r="A214" s="271"/>
      <c r="B214" s="271"/>
      <c r="C214" s="271"/>
      <c r="D214" s="271"/>
      <c r="E214" s="459"/>
      <c r="F214" s="459"/>
      <c r="G214" s="271"/>
      <c r="H214" s="271"/>
      <c r="I214" s="459"/>
      <c r="J214" s="459"/>
      <c r="K214" s="459"/>
      <c r="L214" s="459"/>
      <c r="M214" s="459"/>
    </row>
    <row r="215" ht="19.5" customHeight="1">
      <c r="A215" s="271"/>
      <c r="B215" s="271"/>
      <c r="C215" s="271"/>
      <c r="D215" s="271"/>
      <c r="E215" s="459"/>
      <c r="F215" s="459"/>
      <c r="G215" s="271"/>
      <c r="H215" s="271"/>
      <c r="I215" s="459"/>
      <c r="J215" s="459"/>
      <c r="K215" s="459"/>
      <c r="L215" s="459"/>
      <c r="M215" s="459"/>
    </row>
    <row r="216" ht="19.5" customHeight="1">
      <c r="A216" s="271"/>
      <c r="B216" s="271"/>
      <c r="C216" s="271"/>
      <c r="D216" s="271"/>
      <c r="E216" s="459"/>
      <c r="F216" s="459"/>
      <c r="G216" s="271"/>
      <c r="H216" s="271"/>
      <c r="I216" s="459"/>
      <c r="J216" s="459"/>
      <c r="K216" s="459"/>
      <c r="L216" s="459"/>
      <c r="M216" s="459"/>
    </row>
    <row r="217" ht="19.5" customHeight="1">
      <c r="A217" s="271"/>
      <c r="B217" s="271"/>
      <c r="C217" s="271"/>
      <c r="D217" s="271"/>
      <c r="E217" s="459"/>
      <c r="F217" s="459"/>
      <c r="G217" s="271"/>
      <c r="H217" s="271"/>
      <c r="I217" s="459"/>
      <c r="J217" s="459"/>
      <c r="K217" s="459"/>
      <c r="L217" s="459"/>
      <c r="M217" s="459"/>
    </row>
    <row r="218" ht="19.5" customHeight="1">
      <c r="A218" s="271"/>
      <c r="B218" s="271"/>
      <c r="C218" s="271"/>
      <c r="D218" s="271"/>
      <c r="E218" s="459"/>
      <c r="F218" s="459"/>
      <c r="G218" s="271"/>
      <c r="H218" s="271"/>
      <c r="I218" s="459"/>
      <c r="J218" s="459"/>
      <c r="K218" s="459"/>
      <c r="L218" s="459"/>
      <c r="M218" s="459"/>
    </row>
    <row r="219" ht="19.5" customHeight="1">
      <c r="A219" s="271"/>
      <c r="B219" s="271"/>
      <c r="C219" s="271"/>
      <c r="D219" s="271"/>
      <c r="E219" s="459"/>
      <c r="F219" s="459"/>
      <c r="G219" s="271"/>
      <c r="H219" s="271"/>
      <c r="I219" s="459"/>
      <c r="J219" s="459"/>
      <c r="K219" s="459"/>
      <c r="L219" s="459"/>
      <c r="M219" s="459"/>
    </row>
    <row r="220" ht="19.5" customHeight="1">
      <c r="A220" s="271"/>
      <c r="B220" s="271"/>
      <c r="C220" s="271"/>
      <c r="D220" s="271"/>
      <c r="E220" s="459"/>
      <c r="F220" s="459"/>
      <c r="G220" s="271"/>
      <c r="H220" s="271"/>
      <c r="I220" s="459"/>
      <c r="J220" s="459"/>
      <c r="K220" s="459"/>
      <c r="L220" s="459"/>
      <c r="M220" s="459"/>
    </row>
    <row r="221" ht="19.5" customHeight="1">
      <c r="A221" s="271"/>
      <c r="B221" s="271"/>
      <c r="C221" s="271"/>
      <c r="D221" s="271"/>
      <c r="E221" s="459"/>
      <c r="F221" s="459"/>
      <c r="G221" s="271"/>
      <c r="H221" s="271"/>
      <c r="I221" s="459"/>
      <c r="J221" s="459"/>
      <c r="K221" s="459"/>
      <c r="L221" s="459"/>
      <c r="M221" s="459"/>
    </row>
    <row r="222" ht="19.5" customHeight="1">
      <c r="A222" s="271"/>
      <c r="B222" s="271"/>
      <c r="C222" s="271"/>
      <c r="D222" s="271"/>
      <c r="E222" s="459"/>
      <c r="F222" s="459"/>
      <c r="G222" s="271"/>
      <c r="H222" s="271"/>
      <c r="I222" s="459"/>
      <c r="J222" s="459"/>
      <c r="K222" s="459"/>
      <c r="L222" s="459"/>
      <c r="M222" s="459"/>
    </row>
    <row r="223" ht="19.5" customHeight="1">
      <c r="A223" s="271"/>
      <c r="B223" s="271"/>
      <c r="C223" s="271"/>
      <c r="D223" s="271"/>
      <c r="E223" s="459"/>
      <c r="F223" s="459"/>
      <c r="G223" s="271"/>
      <c r="H223" s="271"/>
      <c r="I223" s="459"/>
      <c r="J223" s="459"/>
      <c r="K223" s="459"/>
      <c r="L223" s="459"/>
      <c r="M223" s="459"/>
    </row>
    <row r="224" ht="19.5" customHeight="1">
      <c r="A224" s="271"/>
      <c r="B224" s="271"/>
      <c r="C224" s="271"/>
      <c r="D224" s="271"/>
      <c r="E224" s="459"/>
      <c r="F224" s="459"/>
      <c r="G224" s="271"/>
      <c r="H224" s="271"/>
      <c r="I224" s="459"/>
      <c r="J224" s="459"/>
      <c r="K224" s="459"/>
      <c r="L224" s="459"/>
      <c r="M224" s="459"/>
    </row>
    <row r="225" ht="19.5" customHeight="1">
      <c r="A225" s="271"/>
      <c r="B225" s="271"/>
      <c r="C225" s="271"/>
      <c r="D225" s="271"/>
      <c r="E225" s="459"/>
      <c r="F225" s="459"/>
      <c r="G225" s="271"/>
      <c r="H225" s="271"/>
      <c r="I225" s="459"/>
      <c r="J225" s="459"/>
      <c r="K225" s="459"/>
      <c r="L225" s="459"/>
      <c r="M225" s="459"/>
    </row>
    <row r="226" ht="19.5" customHeight="1">
      <c r="A226" s="271"/>
      <c r="B226" s="271"/>
      <c r="C226" s="271"/>
      <c r="D226" s="271"/>
      <c r="E226" s="459"/>
      <c r="F226" s="459"/>
      <c r="G226" s="271"/>
      <c r="H226" s="271"/>
      <c r="I226" s="459"/>
      <c r="J226" s="459"/>
      <c r="K226" s="459"/>
      <c r="L226" s="459"/>
      <c r="M226" s="459"/>
    </row>
    <row r="227" ht="19.5" customHeight="1">
      <c r="A227" s="271"/>
      <c r="B227" s="271"/>
      <c r="C227" s="271"/>
      <c r="D227" s="271"/>
      <c r="E227" s="459"/>
      <c r="F227" s="459"/>
      <c r="G227" s="271"/>
      <c r="H227" s="271"/>
      <c r="I227" s="459"/>
      <c r="J227" s="459"/>
      <c r="K227" s="459"/>
      <c r="L227" s="459"/>
      <c r="M227" s="459"/>
    </row>
    <row r="228" ht="19.5" customHeight="1">
      <c r="A228" s="271"/>
      <c r="B228" s="271"/>
      <c r="C228" s="271"/>
      <c r="D228" s="271"/>
      <c r="E228" s="459"/>
      <c r="F228" s="459"/>
      <c r="G228" s="271"/>
      <c r="H228" s="271"/>
      <c r="I228" s="459"/>
      <c r="J228" s="459"/>
      <c r="K228" s="459"/>
      <c r="L228" s="459"/>
      <c r="M228" s="459"/>
    </row>
    <row r="229" ht="19.5" customHeight="1">
      <c r="A229" s="271"/>
      <c r="B229" s="271"/>
      <c r="C229" s="271"/>
      <c r="D229" s="271"/>
      <c r="E229" s="459"/>
      <c r="F229" s="459"/>
      <c r="G229" s="271"/>
      <c r="H229" s="271"/>
      <c r="I229" s="459"/>
      <c r="J229" s="459"/>
      <c r="K229" s="459"/>
      <c r="L229" s="459"/>
      <c r="M229" s="459"/>
    </row>
    <row r="230" ht="19.5" customHeight="1">
      <c r="A230" s="271"/>
      <c r="B230" s="271"/>
      <c r="C230" s="271"/>
      <c r="D230" s="271"/>
      <c r="E230" s="459"/>
      <c r="F230" s="459"/>
      <c r="G230" s="271"/>
      <c r="H230" s="271"/>
      <c r="I230" s="459"/>
      <c r="J230" s="459"/>
      <c r="K230" s="459"/>
      <c r="L230" s="459"/>
      <c r="M230" s="459"/>
    </row>
    <row r="231" ht="19.5" customHeight="1">
      <c r="A231" s="271"/>
      <c r="B231" s="271"/>
      <c r="C231" s="271"/>
      <c r="D231" s="271"/>
      <c r="E231" s="459"/>
      <c r="F231" s="459"/>
      <c r="G231" s="271"/>
      <c r="H231" s="271"/>
      <c r="I231" s="459"/>
      <c r="J231" s="459"/>
      <c r="K231" s="459"/>
      <c r="L231" s="459"/>
      <c r="M231" s="459"/>
    </row>
    <row r="232" ht="19.5" customHeight="1">
      <c r="A232" s="271"/>
      <c r="B232" s="271"/>
      <c r="C232" s="271"/>
      <c r="D232" s="271"/>
      <c r="E232" s="459"/>
      <c r="F232" s="459"/>
      <c r="G232" s="271"/>
      <c r="H232" s="271"/>
      <c r="I232" s="459"/>
      <c r="J232" s="459"/>
      <c r="K232" s="459"/>
      <c r="L232" s="459"/>
      <c r="M232" s="459"/>
    </row>
    <row r="233" ht="19.5" customHeight="1">
      <c r="A233" s="271"/>
      <c r="B233" s="271"/>
      <c r="C233" s="271"/>
      <c r="D233" s="271"/>
      <c r="E233" s="459"/>
      <c r="F233" s="459"/>
      <c r="G233" s="271"/>
      <c r="H233" s="271"/>
      <c r="I233" s="459"/>
      <c r="J233" s="459"/>
      <c r="K233" s="459"/>
      <c r="L233" s="459"/>
      <c r="M233" s="459"/>
    </row>
    <row r="234" ht="19.5" customHeight="1">
      <c r="A234" s="271"/>
      <c r="B234" s="271"/>
      <c r="C234" s="271"/>
      <c r="D234" s="271"/>
      <c r="E234" s="459"/>
      <c r="F234" s="459"/>
      <c r="G234" s="271"/>
      <c r="H234" s="271"/>
      <c r="I234" s="459"/>
      <c r="J234" s="459"/>
      <c r="K234" s="459"/>
      <c r="L234" s="459"/>
      <c r="M234" s="459"/>
    </row>
    <row r="235" ht="19.5" customHeight="1">
      <c r="A235" s="271"/>
      <c r="B235" s="271"/>
      <c r="C235" s="271"/>
      <c r="D235" s="271"/>
      <c r="E235" s="459"/>
      <c r="F235" s="459"/>
      <c r="G235" s="271"/>
      <c r="H235" s="271"/>
      <c r="I235" s="459"/>
      <c r="J235" s="459"/>
      <c r="K235" s="459"/>
      <c r="L235" s="459"/>
      <c r="M235" s="459"/>
    </row>
    <row r="236" ht="19.5" customHeight="1">
      <c r="A236" s="271"/>
      <c r="B236" s="271"/>
      <c r="C236" s="271"/>
      <c r="D236" s="271"/>
      <c r="E236" s="459"/>
      <c r="F236" s="459"/>
      <c r="G236" s="271"/>
      <c r="H236" s="271"/>
      <c r="I236" s="459"/>
      <c r="J236" s="459"/>
      <c r="K236" s="459"/>
      <c r="L236" s="459"/>
      <c r="M236" s="459"/>
    </row>
    <row r="237" ht="19.5" customHeight="1">
      <c r="A237" s="271"/>
      <c r="B237" s="271"/>
      <c r="C237" s="271"/>
      <c r="D237" s="271"/>
      <c r="E237" s="459"/>
      <c r="F237" s="459"/>
      <c r="G237" s="271"/>
      <c r="H237" s="271"/>
      <c r="I237" s="459"/>
      <c r="J237" s="459"/>
      <c r="K237" s="459"/>
      <c r="L237" s="459"/>
      <c r="M237" s="459"/>
    </row>
    <row r="238" ht="19.5" customHeight="1">
      <c r="A238" s="271"/>
      <c r="B238" s="271"/>
      <c r="C238" s="271"/>
      <c r="D238" s="271"/>
      <c r="E238" s="459"/>
      <c r="F238" s="459"/>
      <c r="G238" s="271"/>
      <c r="H238" s="271"/>
      <c r="I238" s="459"/>
      <c r="J238" s="459"/>
      <c r="K238" s="459"/>
      <c r="L238" s="459"/>
      <c r="M238" s="459"/>
    </row>
    <row r="239" ht="19.5" customHeight="1">
      <c r="A239" s="271"/>
      <c r="B239" s="271"/>
      <c r="C239" s="271"/>
      <c r="D239" s="271"/>
      <c r="E239" s="459"/>
      <c r="F239" s="459"/>
      <c r="G239" s="271"/>
      <c r="H239" s="271"/>
      <c r="I239" s="459"/>
      <c r="J239" s="459"/>
      <c r="K239" s="459"/>
      <c r="L239" s="459"/>
      <c r="M239" s="459"/>
    </row>
    <row r="240" ht="19.5" customHeight="1">
      <c r="A240" s="271"/>
      <c r="B240" s="271"/>
      <c r="C240" s="271"/>
      <c r="D240" s="271"/>
      <c r="E240" s="459"/>
      <c r="F240" s="459"/>
      <c r="G240" s="271"/>
      <c r="H240" s="271"/>
      <c r="I240" s="459"/>
      <c r="J240" s="459"/>
      <c r="K240" s="459"/>
      <c r="L240" s="459"/>
      <c r="M240" s="459"/>
    </row>
    <row r="241" ht="19.5" customHeight="1">
      <c r="A241" s="271"/>
      <c r="B241" s="271"/>
      <c r="C241" s="271"/>
      <c r="D241" s="271"/>
      <c r="E241" s="459"/>
      <c r="F241" s="459"/>
      <c r="G241" s="271"/>
      <c r="H241" s="271"/>
      <c r="I241" s="459"/>
      <c r="J241" s="459"/>
      <c r="K241" s="459"/>
      <c r="L241" s="459"/>
      <c r="M241" s="459"/>
    </row>
    <row r="242" ht="19.5" customHeight="1">
      <c r="A242" s="271"/>
      <c r="B242" s="271"/>
      <c r="C242" s="271"/>
      <c r="D242" s="271"/>
      <c r="E242" s="459"/>
      <c r="F242" s="459"/>
      <c r="G242" s="271"/>
      <c r="H242" s="271"/>
      <c r="I242" s="459"/>
      <c r="J242" s="459"/>
      <c r="K242" s="459"/>
      <c r="L242" s="459"/>
      <c r="M242" s="459"/>
    </row>
    <row r="243" ht="19.5" customHeight="1">
      <c r="A243" s="271"/>
      <c r="B243" s="271"/>
      <c r="C243" s="271"/>
      <c r="D243" s="271"/>
      <c r="E243" s="459"/>
      <c r="F243" s="459"/>
      <c r="G243" s="271"/>
      <c r="H243" s="271"/>
      <c r="I243" s="459"/>
      <c r="J243" s="459"/>
      <c r="K243" s="459"/>
      <c r="L243" s="459"/>
      <c r="M243" s="459"/>
    </row>
    <row r="244" ht="19.5" customHeight="1">
      <c r="A244" s="271"/>
      <c r="B244" s="271"/>
      <c r="C244" s="271"/>
      <c r="D244" s="271"/>
      <c r="E244" s="459"/>
      <c r="F244" s="459"/>
      <c r="G244" s="271"/>
      <c r="H244" s="271"/>
      <c r="I244" s="459"/>
      <c r="J244" s="459"/>
      <c r="K244" s="459"/>
      <c r="L244" s="459"/>
      <c r="M244" s="459"/>
    </row>
    <row r="245" ht="19.5" customHeight="1">
      <c r="A245" s="271"/>
      <c r="B245" s="271"/>
      <c r="C245" s="271"/>
      <c r="D245" s="271"/>
      <c r="E245" s="459"/>
      <c r="F245" s="459"/>
      <c r="G245" s="271"/>
      <c r="H245" s="271"/>
      <c r="I245" s="459"/>
      <c r="J245" s="459"/>
      <c r="K245" s="459"/>
      <c r="L245" s="459"/>
      <c r="M245" s="459"/>
    </row>
    <row r="246" ht="19.5" customHeight="1">
      <c r="A246" s="271"/>
      <c r="B246" s="271"/>
      <c r="C246" s="271"/>
      <c r="D246" s="271"/>
      <c r="E246" s="459"/>
      <c r="F246" s="459"/>
      <c r="G246" s="271"/>
      <c r="H246" s="271"/>
      <c r="I246" s="459"/>
      <c r="J246" s="459"/>
      <c r="K246" s="459"/>
      <c r="L246" s="459"/>
      <c r="M246" s="459"/>
    </row>
    <row r="247" ht="19.5" customHeight="1">
      <c r="A247" s="271"/>
      <c r="B247" s="271"/>
      <c r="C247" s="271"/>
      <c r="D247" s="271"/>
      <c r="E247" s="459"/>
      <c r="F247" s="459"/>
      <c r="G247" s="271"/>
      <c r="H247" s="271"/>
      <c r="I247" s="459"/>
      <c r="J247" s="459"/>
      <c r="K247" s="459"/>
      <c r="L247" s="459"/>
      <c r="M247" s="459"/>
    </row>
    <row r="248" ht="19.5" customHeight="1">
      <c r="A248" s="271"/>
      <c r="B248" s="271"/>
      <c r="C248" s="271"/>
      <c r="D248" s="271"/>
      <c r="E248" s="459"/>
      <c r="F248" s="459"/>
      <c r="G248" s="271"/>
      <c r="H248" s="271"/>
      <c r="I248" s="459"/>
      <c r="J248" s="459"/>
      <c r="K248" s="459"/>
      <c r="L248" s="459"/>
      <c r="M248" s="459"/>
    </row>
    <row r="249" ht="19.5" customHeight="1">
      <c r="A249" s="271"/>
      <c r="B249" s="271"/>
      <c r="C249" s="271"/>
      <c r="D249" s="271"/>
      <c r="E249" s="459"/>
      <c r="F249" s="459"/>
      <c r="G249" s="271"/>
      <c r="H249" s="271"/>
      <c r="I249" s="459"/>
      <c r="J249" s="459"/>
      <c r="K249" s="459"/>
      <c r="L249" s="459"/>
      <c r="M249" s="459"/>
    </row>
    <row r="250" ht="19.5" customHeight="1">
      <c r="A250" s="271"/>
      <c r="B250" s="271"/>
      <c r="C250" s="271"/>
      <c r="D250" s="271"/>
      <c r="E250" s="459"/>
      <c r="F250" s="459"/>
      <c r="G250" s="271"/>
      <c r="H250" s="271"/>
      <c r="I250" s="459"/>
      <c r="J250" s="459"/>
      <c r="K250" s="459"/>
      <c r="L250" s="459"/>
      <c r="M250" s="459"/>
    </row>
    <row r="251" ht="19.5" customHeight="1">
      <c r="A251" s="271"/>
      <c r="B251" s="271"/>
      <c r="C251" s="271"/>
      <c r="D251" s="271"/>
      <c r="E251" s="459"/>
      <c r="F251" s="459"/>
      <c r="G251" s="271"/>
      <c r="H251" s="271"/>
      <c r="I251" s="459"/>
      <c r="J251" s="459"/>
      <c r="K251" s="459"/>
      <c r="L251" s="459"/>
      <c r="M251" s="459"/>
    </row>
    <row r="252" ht="19.5" customHeight="1">
      <c r="A252" s="271"/>
      <c r="B252" s="271"/>
      <c r="C252" s="271"/>
      <c r="D252" s="271"/>
      <c r="E252" s="459"/>
      <c r="F252" s="459"/>
      <c r="G252" s="271"/>
      <c r="H252" s="271"/>
      <c r="I252" s="459"/>
      <c r="J252" s="459"/>
      <c r="K252" s="459"/>
      <c r="L252" s="459"/>
      <c r="M252" s="459"/>
    </row>
    <row r="253" ht="19.5" customHeight="1">
      <c r="A253" s="271"/>
      <c r="B253" s="271"/>
      <c r="C253" s="271"/>
      <c r="D253" s="271"/>
      <c r="E253" s="459"/>
      <c r="F253" s="459"/>
      <c r="G253" s="271"/>
      <c r="H253" s="271"/>
      <c r="I253" s="459"/>
      <c r="J253" s="459"/>
      <c r="K253" s="459"/>
      <c r="L253" s="459"/>
      <c r="M253" s="459"/>
    </row>
    <row r="254" ht="19.5" customHeight="1">
      <c r="A254" s="271"/>
      <c r="B254" s="271"/>
      <c r="C254" s="271"/>
      <c r="D254" s="271"/>
      <c r="E254" s="459"/>
      <c r="F254" s="459"/>
      <c r="G254" s="271"/>
      <c r="H254" s="271"/>
      <c r="I254" s="459"/>
      <c r="J254" s="459"/>
      <c r="K254" s="459"/>
      <c r="L254" s="459"/>
      <c r="M254" s="459"/>
    </row>
    <row r="255" ht="19.5" customHeight="1">
      <c r="A255" s="271"/>
      <c r="B255" s="271"/>
      <c r="C255" s="271"/>
      <c r="D255" s="271"/>
      <c r="E255" s="459"/>
      <c r="F255" s="459"/>
      <c r="G255" s="271"/>
      <c r="H255" s="271"/>
      <c r="I255" s="459"/>
      <c r="J255" s="459"/>
      <c r="K255" s="459"/>
      <c r="L255" s="459"/>
      <c r="M255" s="459"/>
    </row>
    <row r="256" ht="19.5" customHeight="1">
      <c r="A256" s="271"/>
      <c r="B256" s="271"/>
      <c r="C256" s="271"/>
      <c r="D256" s="271"/>
      <c r="E256" s="459"/>
      <c r="F256" s="459"/>
      <c r="G256" s="271"/>
      <c r="H256" s="271"/>
      <c r="I256" s="459"/>
      <c r="J256" s="459"/>
      <c r="K256" s="459"/>
      <c r="L256" s="459"/>
      <c r="M256" s="459"/>
    </row>
    <row r="257" ht="19.5" customHeight="1">
      <c r="A257" s="271"/>
      <c r="B257" s="271"/>
      <c r="C257" s="271"/>
      <c r="D257" s="271"/>
      <c r="E257" s="459"/>
      <c r="F257" s="459"/>
      <c r="G257" s="271"/>
      <c r="H257" s="271"/>
      <c r="I257" s="459"/>
      <c r="J257" s="459"/>
      <c r="K257" s="459"/>
      <c r="L257" s="459"/>
      <c r="M257" s="459"/>
    </row>
    <row r="258" ht="19.5" customHeight="1">
      <c r="A258" s="271"/>
      <c r="B258" s="271"/>
      <c r="C258" s="271"/>
      <c r="D258" s="271"/>
      <c r="E258" s="459"/>
      <c r="F258" s="459"/>
      <c r="G258" s="271"/>
      <c r="H258" s="271"/>
      <c r="I258" s="459"/>
      <c r="J258" s="459"/>
      <c r="K258" s="459"/>
      <c r="L258" s="459"/>
      <c r="M258" s="459"/>
    </row>
    <row r="259" ht="19.5" customHeight="1">
      <c r="A259" s="271"/>
      <c r="B259" s="271"/>
      <c r="C259" s="271"/>
      <c r="D259" s="271"/>
      <c r="E259" s="459"/>
      <c r="F259" s="459"/>
      <c r="G259" s="271"/>
      <c r="H259" s="271"/>
      <c r="I259" s="459"/>
      <c r="J259" s="459"/>
      <c r="K259" s="459"/>
      <c r="L259" s="459"/>
      <c r="M259" s="459"/>
    </row>
    <row r="260" ht="19.5" customHeight="1">
      <c r="A260" s="271"/>
      <c r="B260" s="271"/>
      <c r="C260" s="271"/>
      <c r="D260" s="271"/>
      <c r="E260" s="459"/>
      <c r="F260" s="459"/>
      <c r="G260" s="271"/>
      <c r="H260" s="271"/>
      <c r="I260" s="459"/>
      <c r="J260" s="459"/>
      <c r="K260" s="459"/>
      <c r="L260" s="459"/>
      <c r="M260" s="459"/>
    </row>
    <row r="261" ht="19.5" customHeight="1">
      <c r="A261" s="271"/>
      <c r="B261" s="271"/>
      <c r="C261" s="271"/>
      <c r="D261" s="271"/>
      <c r="E261" s="459"/>
      <c r="F261" s="459"/>
      <c r="G261" s="271"/>
      <c r="H261" s="271"/>
      <c r="I261" s="459"/>
      <c r="J261" s="459"/>
      <c r="K261" s="459"/>
      <c r="L261" s="459"/>
      <c r="M261" s="459"/>
    </row>
    <row r="262" ht="19.5" customHeight="1">
      <c r="A262" s="271"/>
      <c r="B262" s="271"/>
      <c r="C262" s="271"/>
      <c r="D262" s="271"/>
      <c r="E262" s="459"/>
      <c r="F262" s="459"/>
      <c r="G262" s="271"/>
      <c r="H262" s="271"/>
      <c r="I262" s="459"/>
      <c r="J262" s="459"/>
      <c r="K262" s="459"/>
      <c r="L262" s="459"/>
      <c r="M262" s="459"/>
    </row>
    <row r="263" ht="19.5" customHeight="1">
      <c r="A263" s="271"/>
      <c r="B263" s="271"/>
      <c r="C263" s="271"/>
      <c r="D263" s="271"/>
      <c r="E263" s="459"/>
      <c r="F263" s="459"/>
      <c r="G263" s="271"/>
      <c r="H263" s="271"/>
      <c r="I263" s="459"/>
      <c r="J263" s="459"/>
      <c r="K263" s="459"/>
      <c r="L263" s="459"/>
      <c r="M263" s="459"/>
    </row>
    <row r="264" ht="19.5" customHeight="1">
      <c r="A264" s="271"/>
      <c r="B264" s="271"/>
      <c r="C264" s="271"/>
      <c r="D264" s="271"/>
      <c r="E264" s="459"/>
      <c r="F264" s="459"/>
      <c r="G264" s="271"/>
      <c r="H264" s="271"/>
      <c r="I264" s="459"/>
      <c r="J264" s="459"/>
      <c r="K264" s="459"/>
      <c r="L264" s="459"/>
      <c r="M264" s="459"/>
    </row>
    <row r="265" ht="19.5" customHeight="1">
      <c r="A265" s="271"/>
      <c r="B265" s="271"/>
      <c r="C265" s="271"/>
      <c r="D265" s="271"/>
      <c r="E265" s="459"/>
      <c r="F265" s="459"/>
      <c r="G265" s="271"/>
      <c r="H265" s="271"/>
      <c r="I265" s="459"/>
      <c r="J265" s="459"/>
      <c r="K265" s="459"/>
      <c r="L265" s="459"/>
      <c r="M265" s="459"/>
    </row>
    <row r="266" ht="19.5" customHeight="1">
      <c r="A266" s="271"/>
      <c r="B266" s="271"/>
      <c r="C266" s="271"/>
      <c r="D266" s="271"/>
      <c r="E266" s="459"/>
      <c r="F266" s="459"/>
      <c r="G266" s="271"/>
      <c r="H266" s="271"/>
      <c r="I266" s="459"/>
      <c r="J266" s="459"/>
      <c r="K266" s="459"/>
      <c r="L266" s="459"/>
      <c r="M266" s="459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G9:H9"/>
    <mergeCell ref="I9:J9"/>
    <mergeCell ref="C8:D9"/>
    <mergeCell ref="C10:C11"/>
    <mergeCell ref="D10:D11"/>
    <mergeCell ref="E10:F10"/>
    <mergeCell ref="G10:G11"/>
    <mergeCell ref="H10:H11"/>
    <mergeCell ref="I10:I11"/>
    <mergeCell ref="J10:J11"/>
    <mergeCell ref="K10:K11"/>
    <mergeCell ref="I3:K5"/>
    <mergeCell ref="A8:A11"/>
    <mergeCell ref="B8:B11"/>
    <mergeCell ref="E8:F9"/>
    <mergeCell ref="G8:L8"/>
    <mergeCell ref="M8:M11"/>
    <mergeCell ref="K9:L9"/>
    <mergeCell ref="L10:L11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20.29"/>
    <col customWidth="1" min="3" max="6" width="25.0"/>
    <col customWidth="1" min="7" max="8" width="20.14"/>
    <col customWidth="1" min="9" max="9" width="20.0"/>
    <col customWidth="1" min="10" max="10" width="20.71"/>
    <col customWidth="1" min="11" max="11" width="20.0"/>
    <col customWidth="1" min="12" max="12" width="18.43"/>
    <col customWidth="1" min="13" max="13" width="25.0"/>
  </cols>
  <sheetData>
    <row r="1">
      <c r="A1" s="454" t="s">
        <v>811</v>
      </c>
      <c r="B1" s="455"/>
      <c r="C1" s="456"/>
      <c r="D1" s="456"/>
      <c r="E1" s="480"/>
      <c r="F1" s="480"/>
      <c r="G1" s="456"/>
      <c r="H1" s="456"/>
      <c r="I1" s="457"/>
      <c r="J1" s="457"/>
      <c r="K1" s="457"/>
      <c r="L1" s="457"/>
      <c r="M1" s="457"/>
    </row>
    <row r="2" ht="19.5" customHeight="1">
      <c r="A2" s="5" t="s">
        <v>1</v>
      </c>
      <c r="B2" s="458"/>
      <c r="C2" s="456"/>
      <c r="D2" s="456"/>
      <c r="E2" s="480"/>
      <c r="F2" s="480"/>
      <c r="G2" s="456"/>
      <c r="H2" s="456"/>
      <c r="I2" s="457"/>
      <c r="J2" s="457"/>
      <c r="K2" s="457"/>
      <c r="L2" s="457"/>
      <c r="M2" s="457"/>
    </row>
    <row r="3">
      <c r="A3" s="454" t="s">
        <v>849</v>
      </c>
      <c r="B3" s="455"/>
      <c r="E3" s="3"/>
      <c r="F3" s="3"/>
      <c r="I3" s="344"/>
    </row>
    <row r="4" ht="23.25" customHeight="1">
      <c r="A4" s="454" t="s">
        <v>3</v>
      </c>
      <c r="B4" s="455"/>
      <c r="E4" s="3"/>
      <c r="F4" s="3"/>
    </row>
    <row r="5" ht="23.25" customHeight="1">
      <c r="A5" s="454" t="s">
        <v>4</v>
      </c>
      <c r="B5" s="455"/>
      <c r="E5" s="3"/>
      <c r="F5" s="3"/>
    </row>
    <row r="6">
      <c r="A6" s="273"/>
      <c r="B6" s="273"/>
      <c r="E6" s="3"/>
      <c r="F6" s="3"/>
    </row>
    <row r="7" ht="21.75" customHeight="1">
      <c r="A7" s="13" t="s">
        <v>5</v>
      </c>
      <c r="B7" s="13" t="s">
        <v>6</v>
      </c>
      <c r="C7" s="14" t="s">
        <v>7</v>
      </c>
      <c r="D7" s="15"/>
      <c r="E7" s="16" t="s">
        <v>8</v>
      </c>
      <c r="F7" s="15"/>
      <c r="G7" s="17" t="s">
        <v>9</v>
      </c>
      <c r="H7" s="18"/>
      <c r="I7" s="18"/>
      <c r="J7" s="18"/>
      <c r="K7" s="18"/>
      <c r="L7" s="19"/>
      <c r="M7" s="20" t="s">
        <v>850</v>
      </c>
    </row>
    <row r="8" ht="23.25" customHeight="1">
      <c r="A8" s="21"/>
      <c r="B8" s="21"/>
      <c r="C8" s="22"/>
      <c r="D8" s="23"/>
      <c r="E8" s="22"/>
      <c r="F8" s="23"/>
      <c r="G8" s="24" t="s">
        <v>11</v>
      </c>
      <c r="H8" s="19"/>
      <c r="I8" s="24" t="s">
        <v>12</v>
      </c>
      <c r="J8" s="19"/>
      <c r="K8" s="24" t="s">
        <v>13</v>
      </c>
      <c r="L8" s="19"/>
      <c r="M8" s="21"/>
    </row>
    <row r="9" ht="20.25" customHeight="1">
      <c r="A9" s="21"/>
      <c r="B9" s="21"/>
      <c r="C9" s="25" t="s">
        <v>14</v>
      </c>
      <c r="D9" s="26" t="s">
        <v>15</v>
      </c>
      <c r="E9" s="27" t="s">
        <v>16</v>
      </c>
      <c r="F9" s="15"/>
      <c r="G9" s="28" t="s">
        <v>17</v>
      </c>
      <c r="H9" s="29" t="s">
        <v>18</v>
      </c>
      <c r="I9" s="28" t="s">
        <v>17</v>
      </c>
      <c r="J9" s="29" t="s">
        <v>18</v>
      </c>
      <c r="K9" s="28" t="s">
        <v>17</v>
      </c>
      <c r="L9" s="29" t="s">
        <v>18</v>
      </c>
      <c r="M9" s="21"/>
    </row>
    <row r="10" ht="64.5" customHeight="1">
      <c r="A10" s="30"/>
      <c r="B10" s="30"/>
      <c r="C10" s="30"/>
      <c r="D10" s="30"/>
      <c r="E10" s="31" t="s">
        <v>17</v>
      </c>
      <c r="F10" s="29" t="s">
        <v>18</v>
      </c>
      <c r="G10" s="30"/>
      <c r="H10" s="30"/>
      <c r="I10" s="30"/>
      <c r="J10" s="30"/>
      <c r="K10" s="30"/>
      <c r="L10" s="30"/>
      <c r="M10" s="30"/>
    </row>
    <row r="11">
      <c r="A11" s="274" t="s">
        <v>851</v>
      </c>
      <c r="B11" s="275"/>
      <c r="C11" s="296"/>
      <c r="D11" s="302">
        <v>0.0</v>
      </c>
      <c r="E11" s="229"/>
      <c r="F11" s="261">
        <f>F12</f>
        <v>1075</v>
      </c>
      <c r="G11" s="229"/>
      <c r="H11" s="302">
        <v>0.0</v>
      </c>
      <c r="I11" s="229"/>
      <c r="J11" s="302">
        <v>0.0</v>
      </c>
      <c r="K11" s="229"/>
      <c r="L11" s="302">
        <v>0.0</v>
      </c>
      <c r="M11" s="229"/>
    </row>
    <row r="12">
      <c r="A12" s="274" t="s">
        <v>852</v>
      </c>
      <c r="B12" s="275"/>
      <c r="C12" s="481"/>
      <c r="D12" s="302">
        <v>0.0</v>
      </c>
      <c r="E12" s="482"/>
      <c r="F12" s="261">
        <v>1075.0</v>
      </c>
      <c r="G12" s="229"/>
      <c r="H12" s="302">
        <v>0.0</v>
      </c>
      <c r="I12" s="229"/>
      <c r="J12" s="302">
        <v>0.0</v>
      </c>
      <c r="K12" s="229"/>
      <c r="L12" s="302">
        <v>0.0</v>
      </c>
      <c r="M12" s="229"/>
    </row>
    <row r="13">
      <c r="A13" s="483" t="s">
        <v>853</v>
      </c>
      <c r="B13" s="282"/>
      <c r="C13" s="481"/>
      <c r="D13" s="481"/>
      <c r="E13" s="229"/>
      <c r="F13" s="293"/>
      <c r="G13" s="229"/>
      <c r="H13" s="481"/>
      <c r="I13" s="229"/>
      <c r="J13" s="481"/>
      <c r="K13" s="229"/>
      <c r="L13" s="481"/>
      <c r="M13" s="229"/>
    </row>
    <row r="14">
      <c r="A14" s="297" t="s">
        <v>854</v>
      </c>
      <c r="B14" s="291" t="s">
        <v>855</v>
      </c>
      <c r="C14" s="481"/>
      <c r="D14" s="481"/>
      <c r="E14" s="285">
        <v>55.0</v>
      </c>
      <c r="F14" s="294">
        <v>500.0</v>
      </c>
      <c r="G14" s="229"/>
      <c r="H14" s="481"/>
      <c r="I14" s="229"/>
      <c r="J14" s="481"/>
      <c r="K14" s="229"/>
      <c r="L14" s="481"/>
      <c r="M14" s="229"/>
    </row>
    <row r="15">
      <c r="A15" s="297" t="s">
        <v>856</v>
      </c>
      <c r="B15" s="291" t="s">
        <v>855</v>
      </c>
      <c r="C15" s="481"/>
      <c r="D15" s="481"/>
      <c r="E15" s="285">
        <v>500.0</v>
      </c>
      <c r="F15" s="294">
        <v>500.0</v>
      </c>
      <c r="G15" s="229"/>
      <c r="H15" s="481"/>
      <c r="I15" s="229"/>
      <c r="J15" s="481"/>
      <c r="K15" s="229"/>
      <c r="L15" s="481"/>
      <c r="M15" s="229"/>
    </row>
    <row r="16">
      <c r="A16" s="297" t="s">
        <v>857</v>
      </c>
      <c r="B16" s="291" t="s">
        <v>858</v>
      </c>
      <c r="C16" s="481"/>
      <c r="D16" s="481"/>
      <c r="E16" s="285">
        <v>60.0</v>
      </c>
      <c r="F16" s="294">
        <v>200.0</v>
      </c>
      <c r="G16" s="229"/>
      <c r="H16" s="481"/>
      <c r="I16" s="229"/>
      <c r="J16" s="481"/>
      <c r="K16" s="229"/>
      <c r="L16" s="481"/>
      <c r="M16" s="229"/>
    </row>
    <row r="17" hidden="1">
      <c r="A17" s="292"/>
      <c r="B17" s="291"/>
      <c r="C17" s="481"/>
      <c r="D17" s="481"/>
      <c r="E17" s="229"/>
      <c r="F17" s="293"/>
      <c r="G17" s="229"/>
      <c r="H17" s="481"/>
      <c r="I17" s="229"/>
      <c r="J17" s="481"/>
      <c r="K17" s="229"/>
      <c r="L17" s="481"/>
      <c r="M17" s="229"/>
    </row>
    <row r="18" hidden="1">
      <c r="A18" s="292"/>
      <c r="B18" s="291"/>
      <c r="C18" s="481"/>
      <c r="D18" s="481"/>
      <c r="E18" s="229"/>
      <c r="F18" s="293"/>
      <c r="G18" s="229"/>
      <c r="H18" s="481"/>
      <c r="I18" s="229"/>
      <c r="J18" s="481"/>
      <c r="K18" s="229"/>
      <c r="L18" s="481"/>
      <c r="M18" s="229"/>
    </row>
    <row r="19">
      <c r="A19" s="292" t="s">
        <v>859</v>
      </c>
      <c r="B19" s="291"/>
      <c r="C19" s="481"/>
      <c r="D19" s="481"/>
      <c r="E19" s="229"/>
      <c r="F19" s="293"/>
      <c r="G19" s="229"/>
      <c r="H19" s="481"/>
      <c r="I19" s="229"/>
      <c r="J19" s="481"/>
      <c r="K19" s="229"/>
      <c r="L19" s="481"/>
      <c r="M19" s="229"/>
    </row>
    <row r="20">
      <c r="A20" s="484" t="s">
        <v>860</v>
      </c>
      <c r="B20" s="291" t="s">
        <v>855</v>
      </c>
      <c r="C20" s="485"/>
      <c r="D20" s="485"/>
      <c r="E20" s="229"/>
      <c r="F20" s="293"/>
      <c r="G20" s="229"/>
      <c r="H20" s="485"/>
      <c r="I20" s="229"/>
      <c r="J20" s="485"/>
      <c r="K20" s="229"/>
      <c r="L20" s="485"/>
      <c r="M20" s="229"/>
    </row>
    <row r="21" ht="43.5" customHeight="1">
      <c r="A21" s="292" t="s">
        <v>861</v>
      </c>
      <c r="B21" s="282"/>
      <c r="C21" s="486"/>
      <c r="D21" s="302">
        <v>0.0</v>
      </c>
      <c r="E21" s="229"/>
      <c r="F21" s="302">
        <v>0.0</v>
      </c>
      <c r="G21" s="229"/>
      <c r="H21" s="302">
        <v>0.0</v>
      </c>
      <c r="I21" s="229"/>
      <c r="J21" s="302">
        <v>0.0</v>
      </c>
      <c r="K21" s="229"/>
      <c r="L21" s="302">
        <v>0.0</v>
      </c>
      <c r="M21" s="229"/>
    </row>
    <row r="22" ht="51.75" customHeight="1">
      <c r="A22" s="292" t="s">
        <v>862</v>
      </c>
      <c r="B22" s="282"/>
      <c r="C22" s="487"/>
      <c r="D22" s="302">
        <v>0.0</v>
      </c>
      <c r="E22" s="229"/>
      <c r="F22" s="302">
        <v>0.0</v>
      </c>
      <c r="G22" s="229"/>
      <c r="H22" s="302">
        <v>0.0</v>
      </c>
      <c r="I22" s="229"/>
      <c r="J22" s="302">
        <v>0.0</v>
      </c>
      <c r="K22" s="229"/>
      <c r="L22" s="302">
        <v>0.0</v>
      </c>
      <c r="M22" s="229"/>
    </row>
    <row r="23" ht="43.5" customHeight="1">
      <c r="A23" s="292" t="s">
        <v>863</v>
      </c>
      <c r="B23" s="282"/>
      <c r="C23" s="486"/>
      <c r="D23" s="486"/>
      <c r="E23" s="229"/>
      <c r="F23" s="293"/>
      <c r="G23" s="229"/>
      <c r="H23" s="229"/>
      <c r="I23" s="229"/>
      <c r="J23" s="229"/>
      <c r="K23" s="229"/>
      <c r="L23" s="229"/>
      <c r="M23" s="229"/>
    </row>
    <row r="24">
      <c r="A24" s="297" t="s">
        <v>864</v>
      </c>
      <c r="B24" s="291" t="s">
        <v>855</v>
      </c>
      <c r="C24" s="486"/>
      <c r="D24" s="486"/>
      <c r="E24" s="229"/>
      <c r="F24" s="293"/>
      <c r="G24" s="229"/>
      <c r="H24" s="229"/>
      <c r="I24" s="229"/>
      <c r="J24" s="229"/>
      <c r="K24" s="229"/>
      <c r="L24" s="229"/>
      <c r="M24" s="229"/>
    </row>
    <row r="25">
      <c r="A25" s="297" t="s">
        <v>566</v>
      </c>
      <c r="B25" s="291" t="s">
        <v>855</v>
      </c>
      <c r="C25" s="486"/>
      <c r="D25" s="486"/>
      <c r="E25" s="229"/>
      <c r="F25" s="293"/>
      <c r="G25" s="229"/>
      <c r="H25" s="229"/>
      <c r="I25" s="229"/>
      <c r="J25" s="229"/>
      <c r="K25" s="229"/>
      <c r="L25" s="229"/>
      <c r="M25" s="229"/>
    </row>
    <row r="26">
      <c r="A26" s="281" t="s">
        <v>865</v>
      </c>
      <c r="B26" s="291"/>
      <c r="C26" s="487"/>
      <c r="D26" s="487"/>
      <c r="E26" s="229"/>
      <c r="F26" s="293"/>
      <c r="G26" s="229"/>
      <c r="H26" s="229"/>
      <c r="I26" s="229"/>
      <c r="J26" s="229"/>
      <c r="K26" s="229"/>
      <c r="L26" s="229"/>
      <c r="M26" s="229"/>
    </row>
    <row r="27">
      <c r="A27" s="282" t="s">
        <v>150</v>
      </c>
      <c r="B27" s="291" t="s">
        <v>855</v>
      </c>
      <c r="C27" s="488">
        <v>1.0</v>
      </c>
      <c r="D27" s="488">
        <f>3149439.95/1000</f>
        <v>3149.43995</v>
      </c>
      <c r="E27" s="229"/>
      <c r="F27" s="293"/>
      <c r="G27" s="293"/>
      <c r="H27" s="293"/>
      <c r="I27" s="293"/>
      <c r="J27" s="293"/>
      <c r="K27" s="293"/>
      <c r="L27" s="293"/>
      <c r="M27" s="293"/>
    </row>
    <row r="28" ht="21.75" customHeight="1">
      <c r="A28" s="301" t="s">
        <v>69</v>
      </c>
      <c r="B28" s="282"/>
      <c r="C28" s="489"/>
      <c r="D28" s="489">
        <f>SUM(D19:D27)</f>
        <v>3149.43995</v>
      </c>
      <c r="E28" s="482"/>
      <c r="F28" s="261">
        <f>F22+F11</f>
        <v>1075</v>
      </c>
      <c r="G28" s="261"/>
      <c r="H28" s="261">
        <f>H22+H11</f>
        <v>0</v>
      </c>
      <c r="I28" s="261"/>
      <c r="J28" s="261">
        <f>J22+J11</f>
        <v>0</v>
      </c>
      <c r="K28" s="261"/>
      <c r="L28" s="261">
        <f>L22+L11</f>
        <v>0</v>
      </c>
      <c r="M28" s="261"/>
    </row>
    <row r="29" ht="15.75" hidden="1" customHeight="1">
      <c r="A29" s="12"/>
      <c r="B29" s="12"/>
      <c r="E29" s="3"/>
      <c r="F29" s="3"/>
    </row>
    <row r="30" ht="16.5" customHeight="1">
      <c r="A30" s="12"/>
      <c r="B30" s="12"/>
      <c r="E30" s="3"/>
      <c r="F30" s="3"/>
    </row>
    <row r="31" ht="15.75" hidden="1" customHeight="1">
      <c r="A31" s="93" t="s">
        <v>70</v>
      </c>
      <c r="B31" s="94" t="s">
        <v>71</v>
      </c>
      <c r="C31" s="2"/>
      <c r="D31" s="2"/>
      <c r="E31" s="3"/>
      <c r="F31" s="3"/>
      <c r="G31" s="2"/>
      <c r="H31" s="2"/>
      <c r="I31" s="2"/>
      <c r="J31" s="2"/>
      <c r="K31" s="2"/>
      <c r="L31" s="2"/>
      <c r="M31" s="2"/>
    </row>
    <row r="32" ht="24.0" hidden="1" customHeight="1">
      <c r="A32" s="98"/>
      <c r="B32" s="98"/>
      <c r="C32" s="2"/>
      <c r="D32" s="2"/>
      <c r="E32" s="3"/>
      <c r="F32" s="3"/>
      <c r="G32" s="2"/>
      <c r="H32" s="2"/>
      <c r="I32" s="2"/>
      <c r="J32" s="2"/>
      <c r="K32" s="2"/>
      <c r="L32" s="2"/>
      <c r="M32" s="2"/>
    </row>
    <row r="33" ht="15.75" hidden="1" customHeight="1">
      <c r="A33" s="98"/>
      <c r="B33" s="98"/>
      <c r="C33" s="2"/>
      <c r="D33" s="2"/>
      <c r="E33" s="3"/>
      <c r="F33" s="3"/>
      <c r="G33" s="2"/>
      <c r="H33" s="2"/>
      <c r="I33" s="2"/>
      <c r="J33" s="2"/>
      <c r="K33" s="2"/>
      <c r="L33" s="2"/>
      <c r="M33" s="2"/>
    </row>
    <row r="34" ht="15.75" hidden="1" customHeight="1">
      <c r="A34" s="98"/>
      <c r="B34" s="96"/>
      <c r="C34" s="2"/>
      <c r="D34" s="2"/>
      <c r="E34" s="3"/>
      <c r="F34" s="3"/>
      <c r="G34" s="2"/>
      <c r="H34" s="2"/>
      <c r="I34" s="2"/>
      <c r="J34" s="2"/>
      <c r="K34" s="2"/>
      <c r="L34" s="2"/>
      <c r="M34" s="2"/>
    </row>
    <row r="35" ht="15.75" hidden="1" customHeight="1">
      <c r="A35" s="98"/>
      <c r="B35" s="98"/>
      <c r="C35" s="2"/>
      <c r="D35" s="2"/>
      <c r="E35" s="3"/>
      <c r="F35" s="3"/>
      <c r="G35" s="2"/>
      <c r="H35" s="2"/>
      <c r="I35" s="2"/>
      <c r="J35" s="2"/>
      <c r="K35" s="2"/>
      <c r="L35" s="2"/>
      <c r="M35" s="2"/>
    </row>
    <row r="36" ht="22.5" hidden="1" customHeight="1">
      <c r="A36" s="100" t="s">
        <v>74</v>
      </c>
      <c r="B36" s="100" t="s">
        <v>75</v>
      </c>
      <c r="C36" s="2"/>
      <c r="D36" s="2"/>
      <c r="E36" s="3"/>
      <c r="F36" s="3"/>
      <c r="G36" s="2"/>
      <c r="H36" s="2"/>
      <c r="I36" s="2"/>
      <c r="J36" s="2"/>
      <c r="K36" s="2"/>
      <c r="L36" s="2"/>
      <c r="M36" s="2"/>
    </row>
    <row r="37" ht="15.75" hidden="1" customHeight="1">
      <c r="A37" s="93" t="s">
        <v>78</v>
      </c>
      <c r="B37" s="95" t="s">
        <v>866</v>
      </c>
      <c r="C37" s="2"/>
      <c r="D37" s="2"/>
      <c r="E37" s="3"/>
      <c r="F37" s="3"/>
      <c r="G37" s="2"/>
      <c r="H37" s="2"/>
      <c r="I37" s="2"/>
      <c r="J37" s="2"/>
      <c r="K37" s="2"/>
      <c r="L37" s="2"/>
      <c r="M37" s="2"/>
    </row>
    <row r="38" ht="15.75" hidden="1" customHeight="1">
      <c r="A38" s="101" t="s">
        <v>82</v>
      </c>
      <c r="B38" s="96"/>
      <c r="C38" s="2"/>
      <c r="D38" s="2"/>
      <c r="E38" s="3"/>
      <c r="F38" s="3"/>
      <c r="G38" s="2"/>
      <c r="H38" s="2"/>
      <c r="I38" s="2"/>
      <c r="J38" s="2"/>
      <c r="K38" s="2"/>
      <c r="L38" s="2"/>
      <c r="M38" s="2"/>
    </row>
    <row r="39" ht="23.25" customHeight="1">
      <c r="A39" s="102" t="s">
        <v>70</v>
      </c>
      <c r="B39" s="12"/>
      <c r="C39" s="377"/>
      <c r="D39" s="377"/>
      <c r="E39" s="378" t="s">
        <v>83</v>
      </c>
      <c r="F39" s="377"/>
      <c r="G39" s="377"/>
      <c r="H39" s="377"/>
      <c r="I39" s="377"/>
      <c r="J39" s="374"/>
      <c r="K39" s="374"/>
      <c r="L39" s="108" t="s">
        <v>73</v>
      </c>
      <c r="M39" s="374"/>
    </row>
    <row r="40" ht="16.5" customHeight="1">
      <c r="A40" s="104"/>
      <c r="B40" s="12"/>
      <c r="C40" s="377"/>
      <c r="D40" s="377"/>
      <c r="E40" s="371"/>
      <c r="F40" s="377"/>
      <c r="G40" s="377"/>
      <c r="H40" s="377"/>
      <c r="I40" s="377"/>
      <c r="J40" s="374"/>
      <c r="K40" s="374"/>
      <c r="L40" s="373"/>
      <c r="M40" s="374"/>
    </row>
    <row r="41" ht="16.5" customHeight="1">
      <c r="A41" s="104"/>
      <c r="B41" s="12"/>
      <c r="C41" s="377"/>
      <c r="D41" s="377"/>
      <c r="E41" s="371"/>
      <c r="F41" s="377"/>
      <c r="G41" s="377"/>
      <c r="H41" s="377"/>
      <c r="I41" s="377"/>
      <c r="J41" s="374"/>
      <c r="K41" s="374"/>
      <c r="L41" s="373"/>
      <c r="M41" s="374"/>
    </row>
    <row r="42" ht="16.5" customHeight="1">
      <c r="A42" s="377"/>
      <c r="B42" s="12"/>
      <c r="C42" s="377"/>
      <c r="D42" s="377"/>
      <c r="E42" s="371"/>
      <c r="F42" s="12"/>
      <c r="G42" s="12"/>
      <c r="H42" s="12"/>
      <c r="I42" s="377"/>
      <c r="J42" s="12"/>
      <c r="K42" s="12"/>
      <c r="L42" s="373"/>
      <c r="M42" s="12"/>
    </row>
    <row r="43" ht="16.5" customHeight="1">
      <c r="A43" s="104"/>
      <c r="B43" s="12"/>
      <c r="C43" s="377"/>
      <c r="D43" s="377"/>
      <c r="E43" s="371"/>
      <c r="F43" s="12"/>
      <c r="G43" s="12"/>
      <c r="H43" s="12"/>
      <c r="I43" s="377"/>
      <c r="J43" s="12"/>
      <c r="K43" s="12"/>
      <c r="L43" s="373"/>
      <c r="M43" s="12"/>
    </row>
    <row r="44" ht="20.25" customHeight="1">
      <c r="A44" s="106" t="s">
        <v>75</v>
      </c>
      <c r="B44" s="12"/>
      <c r="C44" s="377"/>
      <c r="D44" s="377"/>
      <c r="E44" s="380" t="s">
        <v>76</v>
      </c>
      <c r="F44" s="12"/>
      <c r="G44" s="12"/>
      <c r="H44" s="12"/>
      <c r="I44" s="377"/>
      <c r="J44" s="12"/>
      <c r="K44" s="12"/>
      <c r="L44" s="106" t="s">
        <v>77</v>
      </c>
      <c r="M44" s="12"/>
    </row>
    <row r="45" ht="16.5" customHeight="1">
      <c r="A45" s="108" t="s">
        <v>79</v>
      </c>
      <c r="B45" s="12"/>
      <c r="C45" s="377"/>
      <c r="D45" s="377"/>
      <c r="E45" s="378" t="s">
        <v>80</v>
      </c>
      <c r="F45" s="12"/>
      <c r="G45" s="12"/>
      <c r="H45" s="12"/>
      <c r="I45" s="377"/>
      <c r="J45" s="12"/>
      <c r="K45" s="12"/>
      <c r="L45" s="108" t="s">
        <v>81</v>
      </c>
      <c r="M45" s="12"/>
    </row>
    <row r="46" ht="15.75" customHeight="1">
      <c r="B46" s="2"/>
      <c r="E46" s="3"/>
      <c r="F46" s="3"/>
    </row>
    <row r="47" ht="15.75" customHeight="1">
      <c r="A47" s="12"/>
      <c r="B47" s="12"/>
      <c r="E47" s="3"/>
      <c r="F47" s="3"/>
    </row>
    <row r="48" ht="15.75" customHeight="1">
      <c r="A48" s="12"/>
      <c r="B48" s="12"/>
      <c r="E48" s="3"/>
      <c r="F48" s="3"/>
    </row>
    <row r="49" ht="15.75" customHeight="1">
      <c r="A49" s="12"/>
      <c r="B49" s="12"/>
      <c r="E49" s="3"/>
      <c r="F49" s="3"/>
    </row>
    <row r="50" ht="15.75" customHeight="1">
      <c r="A50" s="12"/>
      <c r="B50" s="12"/>
      <c r="E50" s="3"/>
      <c r="F50" s="3"/>
    </row>
    <row r="51" ht="15.75" customHeight="1">
      <c r="A51" s="12"/>
      <c r="B51" s="12"/>
      <c r="E51" s="3"/>
      <c r="F51" s="3"/>
    </row>
    <row r="52" ht="15.75" customHeight="1">
      <c r="A52" s="12"/>
      <c r="B52" s="12"/>
      <c r="E52" s="3"/>
      <c r="F52" s="3"/>
    </row>
    <row r="53" ht="15.75" customHeight="1">
      <c r="A53" s="12"/>
      <c r="B53" s="12"/>
      <c r="E53" s="3"/>
      <c r="F53" s="3"/>
    </row>
    <row r="54" ht="15.75" customHeight="1">
      <c r="A54" s="12"/>
      <c r="B54" s="12"/>
      <c r="E54" s="3"/>
      <c r="F54" s="3"/>
    </row>
    <row r="55" ht="15.75" customHeight="1">
      <c r="A55" s="12"/>
      <c r="B55" s="12"/>
      <c r="E55" s="3"/>
      <c r="F55" s="3"/>
    </row>
    <row r="56" ht="15.75" customHeight="1">
      <c r="A56" s="12"/>
      <c r="B56" s="12"/>
      <c r="E56" s="3"/>
      <c r="F56" s="3"/>
    </row>
    <row r="57" ht="15.75" customHeight="1">
      <c r="A57" s="12"/>
      <c r="B57" s="12"/>
      <c r="E57" s="3"/>
      <c r="F57" s="3"/>
    </row>
    <row r="58" ht="15.75" customHeight="1">
      <c r="A58" s="12"/>
      <c r="B58" s="12"/>
      <c r="E58" s="3"/>
      <c r="F58" s="3"/>
    </row>
    <row r="59" ht="15.75" customHeight="1">
      <c r="A59" s="12"/>
      <c r="B59" s="12"/>
      <c r="E59" s="3"/>
      <c r="F59" s="3"/>
    </row>
    <row r="60" ht="15.75" customHeight="1">
      <c r="A60" s="12"/>
      <c r="B60" s="12"/>
      <c r="E60" s="3"/>
      <c r="F60" s="3"/>
    </row>
    <row r="61" ht="15.75" customHeight="1">
      <c r="A61" s="12"/>
      <c r="B61" s="12"/>
      <c r="E61" s="3"/>
      <c r="F61" s="3"/>
    </row>
    <row r="62" ht="15.75" customHeight="1">
      <c r="A62" s="12"/>
      <c r="B62" s="12"/>
      <c r="E62" s="3"/>
      <c r="F62" s="3"/>
    </row>
    <row r="63" ht="15.75" customHeight="1">
      <c r="A63" s="12"/>
      <c r="B63" s="12"/>
      <c r="E63" s="3"/>
      <c r="F63" s="3"/>
    </row>
    <row r="64" ht="15.75" customHeight="1">
      <c r="A64" s="12"/>
      <c r="B64" s="12"/>
      <c r="E64" s="3"/>
      <c r="F64" s="3"/>
    </row>
    <row r="65" ht="15.75" customHeight="1">
      <c r="A65" s="12"/>
      <c r="B65" s="12"/>
      <c r="E65" s="3"/>
      <c r="F65" s="3"/>
    </row>
    <row r="66" ht="15.75" customHeight="1">
      <c r="A66" s="12"/>
      <c r="B66" s="12"/>
      <c r="E66" s="3"/>
      <c r="F66" s="3"/>
    </row>
    <row r="67" ht="15.75" customHeight="1">
      <c r="A67" s="12"/>
      <c r="B67" s="12"/>
      <c r="E67" s="3"/>
      <c r="F67" s="3"/>
    </row>
    <row r="68" ht="15.75" customHeight="1">
      <c r="A68" s="12"/>
      <c r="B68" s="12"/>
      <c r="E68" s="3"/>
      <c r="F68" s="3"/>
    </row>
    <row r="69" ht="15.75" customHeight="1">
      <c r="A69" s="12"/>
      <c r="B69" s="12"/>
      <c r="E69" s="3"/>
      <c r="F69" s="3"/>
    </row>
    <row r="70" ht="15.75" customHeight="1">
      <c r="A70" s="12"/>
      <c r="B70" s="12"/>
      <c r="E70" s="3"/>
      <c r="F70" s="3"/>
    </row>
    <row r="71" ht="15.75" customHeight="1">
      <c r="A71" s="12"/>
      <c r="B71" s="12"/>
      <c r="E71" s="3"/>
      <c r="F71" s="3"/>
    </row>
    <row r="72" ht="15.75" customHeight="1">
      <c r="A72" s="12"/>
      <c r="B72" s="12"/>
      <c r="E72" s="3"/>
      <c r="F72" s="3"/>
    </row>
    <row r="73" ht="15.75" customHeight="1">
      <c r="A73" s="12"/>
      <c r="B73" s="12"/>
      <c r="E73" s="3"/>
      <c r="F73" s="3"/>
    </row>
    <row r="74" ht="15.75" customHeight="1">
      <c r="A74" s="12"/>
      <c r="B74" s="12"/>
      <c r="E74" s="3"/>
      <c r="F74" s="3"/>
    </row>
    <row r="75" ht="15.75" customHeight="1">
      <c r="A75" s="12"/>
      <c r="B75" s="12"/>
      <c r="E75" s="3"/>
      <c r="F75" s="3"/>
    </row>
    <row r="76" ht="15.75" customHeight="1">
      <c r="A76" s="12"/>
      <c r="B76" s="12"/>
      <c r="E76" s="3"/>
      <c r="F76" s="3"/>
    </row>
    <row r="77" ht="15.75" customHeight="1">
      <c r="A77" s="12"/>
      <c r="B77" s="12"/>
      <c r="E77" s="3"/>
      <c r="F77" s="3"/>
    </row>
    <row r="78" ht="15.75" customHeight="1">
      <c r="A78" s="12"/>
      <c r="B78" s="12"/>
      <c r="E78" s="3"/>
      <c r="F78" s="3"/>
    </row>
    <row r="79" ht="15.75" customHeight="1">
      <c r="A79" s="12"/>
      <c r="B79" s="12"/>
      <c r="E79" s="3"/>
      <c r="F79" s="3"/>
    </row>
    <row r="80" ht="15.75" customHeight="1">
      <c r="A80" s="12"/>
      <c r="B80" s="12"/>
      <c r="E80" s="3"/>
      <c r="F80" s="3"/>
    </row>
    <row r="81" ht="15.75" customHeight="1">
      <c r="A81" s="12"/>
      <c r="B81" s="12"/>
      <c r="E81" s="3"/>
      <c r="F81" s="3"/>
    </row>
    <row r="82" ht="15.75" customHeight="1">
      <c r="A82" s="12"/>
      <c r="B82" s="12"/>
      <c r="E82" s="3"/>
      <c r="F82" s="3"/>
    </row>
    <row r="83" ht="15.75" customHeight="1">
      <c r="A83" s="12"/>
      <c r="B83" s="12"/>
      <c r="E83" s="3"/>
      <c r="F83" s="3"/>
    </row>
    <row r="84" ht="15.75" customHeight="1">
      <c r="A84" s="12"/>
      <c r="B84" s="12"/>
      <c r="E84" s="3"/>
      <c r="F84" s="3"/>
    </row>
    <row r="85" ht="15.75" customHeight="1">
      <c r="A85" s="12"/>
      <c r="B85" s="12"/>
      <c r="E85" s="3"/>
      <c r="F85" s="3"/>
    </row>
    <row r="86" ht="15.75" customHeight="1">
      <c r="A86" s="12"/>
      <c r="B86" s="12"/>
      <c r="E86" s="3"/>
      <c r="F86" s="3"/>
    </row>
    <row r="87" ht="15.75" customHeight="1">
      <c r="A87" s="12"/>
      <c r="B87" s="12"/>
      <c r="E87" s="3"/>
      <c r="F87" s="3"/>
    </row>
    <row r="88" ht="15.75" customHeight="1">
      <c r="A88" s="12"/>
      <c r="B88" s="12"/>
      <c r="E88" s="3"/>
      <c r="F88" s="3"/>
    </row>
    <row r="89" ht="15.75" customHeight="1">
      <c r="A89" s="12"/>
      <c r="B89" s="12"/>
      <c r="E89" s="3"/>
      <c r="F89" s="3"/>
    </row>
    <row r="90" ht="15.75" customHeight="1">
      <c r="A90" s="12"/>
      <c r="B90" s="12"/>
      <c r="E90" s="3"/>
      <c r="F90" s="3"/>
    </row>
    <row r="91" ht="15.75" customHeight="1">
      <c r="A91" s="12"/>
      <c r="B91" s="12"/>
      <c r="E91" s="3"/>
      <c r="F91" s="3"/>
    </row>
    <row r="92" ht="15.75" customHeight="1">
      <c r="A92" s="12"/>
      <c r="B92" s="12"/>
      <c r="E92" s="3"/>
      <c r="F92" s="3"/>
    </row>
    <row r="93" ht="15.75" customHeight="1">
      <c r="A93" s="12"/>
      <c r="B93" s="12"/>
      <c r="E93" s="3"/>
      <c r="F93" s="3"/>
    </row>
    <row r="94" ht="15.75" customHeight="1">
      <c r="A94" s="12"/>
      <c r="B94" s="12"/>
      <c r="E94" s="3"/>
      <c r="F94" s="3"/>
    </row>
    <row r="95" ht="15.75" customHeight="1">
      <c r="A95" s="12"/>
      <c r="B95" s="12"/>
      <c r="E95" s="3"/>
      <c r="F95" s="3"/>
    </row>
    <row r="96" ht="15.75" customHeight="1">
      <c r="A96" s="12"/>
      <c r="B96" s="12"/>
      <c r="E96" s="3"/>
      <c r="F96" s="3"/>
    </row>
    <row r="97" ht="15.75" customHeight="1">
      <c r="A97" s="12"/>
      <c r="B97" s="12"/>
      <c r="E97" s="3"/>
      <c r="F97" s="3"/>
    </row>
    <row r="98" ht="15.75" customHeight="1">
      <c r="A98" s="12"/>
      <c r="B98" s="12"/>
      <c r="E98" s="3"/>
      <c r="F98" s="3"/>
    </row>
    <row r="99" ht="15.75" customHeight="1">
      <c r="A99" s="12"/>
      <c r="B99" s="12"/>
      <c r="E99" s="3"/>
      <c r="F99" s="3"/>
    </row>
    <row r="100" ht="15.75" customHeight="1">
      <c r="A100" s="12"/>
      <c r="B100" s="12"/>
      <c r="E100" s="3"/>
      <c r="F100" s="3"/>
    </row>
    <row r="101" ht="15.75" customHeight="1">
      <c r="A101" s="12"/>
      <c r="B101" s="12"/>
      <c r="E101" s="3"/>
      <c r="F101" s="3"/>
    </row>
    <row r="102" ht="15.75" customHeight="1">
      <c r="A102" s="12"/>
      <c r="B102" s="12"/>
      <c r="E102" s="3"/>
      <c r="F102" s="3"/>
    </row>
    <row r="103" ht="15.75" customHeight="1">
      <c r="A103" s="12"/>
      <c r="B103" s="12"/>
      <c r="E103" s="3"/>
      <c r="F103" s="3"/>
    </row>
    <row r="104" ht="15.75" customHeight="1">
      <c r="A104" s="12"/>
      <c r="B104" s="12"/>
      <c r="E104" s="3"/>
      <c r="F104" s="3"/>
    </row>
    <row r="105" ht="15.75" customHeight="1">
      <c r="A105" s="12"/>
      <c r="B105" s="12"/>
      <c r="E105" s="3"/>
      <c r="F105" s="3"/>
    </row>
    <row r="106" ht="15.75" customHeight="1">
      <c r="A106" s="12"/>
      <c r="B106" s="12"/>
      <c r="E106" s="3"/>
      <c r="F106" s="3"/>
    </row>
    <row r="107" ht="15.75" customHeight="1">
      <c r="A107" s="12"/>
      <c r="B107" s="12"/>
      <c r="E107" s="3"/>
      <c r="F107" s="3"/>
    </row>
    <row r="108" ht="15.75" customHeight="1">
      <c r="A108" s="12"/>
      <c r="B108" s="12"/>
      <c r="E108" s="3"/>
      <c r="F108" s="3"/>
    </row>
    <row r="109" ht="15.75" customHeight="1">
      <c r="A109" s="12"/>
      <c r="B109" s="12"/>
      <c r="E109" s="3"/>
      <c r="F109" s="3"/>
    </row>
    <row r="110" ht="15.75" customHeight="1">
      <c r="A110" s="12"/>
      <c r="B110" s="12"/>
      <c r="E110" s="3"/>
      <c r="F110" s="3"/>
    </row>
    <row r="111" ht="15.75" customHeight="1">
      <c r="A111" s="12"/>
      <c r="B111" s="12"/>
      <c r="E111" s="3"/>
      <c r="F111" s="3"/>
    </row>
    <row r="112" ht="15.75" customHeight="1">
      <c r="A112" s="12"/>
      <c r="B112" s="12"/>
      <c r="E112" s="3"/>
      <c r="F112" s="3"/>
    </row>
    <row r="113" ht="15.75" customHeight="1">
      <c r="A113" s="12"/>
      <c r="B113" s="12"/>
      <c r="E113" s="3"/>
      <c r="F113" s="3"/>
    </row>
    <row r="114" ht="15.75" customHeight="1">
      <c r="A114" s="12"/>
      <c r="B114" s="12"/>
      <c r="E114" s="3"/>
      <c r="F114" s="3"/>
    </row>
    <row r="115" ht="15.75" customHeight="1">
      <c r="A115" s="12"/>
      <c r="B115" s="12"/>
      <c r="E115" s="3"/>
      <c r="F115" s="3"/>
    </row>
    <row r="116" ht="15.75" customHeight="1">
      <c r="A116" s="12"/>
      <c r="B116" s="12"/>
      <c r="E116" s="3"/>
      <c r="F116" s="3"/>
    </row>
    <row r="117" ht="15.75" customHeight="1">
      <c r="A117" s="12"/>
      <c r="B117" s="12"/>
      <c r="E117" s="3"/>
      <c r="F117" s="3"/>
    </row>
    <row r="118" ht="15.75" customHeight="1">
      <c r="A118" s="12"/>
      <c r="B118" s="12"/>
      <c r="E118" s="3"/>
      <c r="F118" s="3"/>
    </row>
    <row r="119" ht="15.75" customHeight="1">
      <c r="A119" s="12"/>
      <c r="B119" s="12"/>
      <c r="E119" s="3"/>
      <c r="F119" s="3"/>
    </row>
    <row r="120" ht="15.75" customHeight="1">
      <c r="A120" s="12"/>
      <c r="B120" s="12"/>
      <c r="E120" s="3"/>
      <c r="F120" s="3"/>
    </row>
    <row r="121" ht="15.75" customHeight="1">
      <c r="A121" s="12"/>
      <c r="B121" s="12"/>
      <c r="E121" s="3"/>
      <c r="F121" s="3"/>
    </row>
    <row r="122" ht="15.75" customHeight="1">
      <c r="A122" s="12"/>
      <c r="B122" s="12"/>
      <c r="E122" s="3"/>
      <c r="F122" s="3"/>
    </row>
    <row r="123" ht="15.75" customHeight="1">
      <c r="A123" s="12"/>
      <c r="B123" s="12"/>
      <c r="E123" s="3"/>
      <c r="F123" s="3"/>
    </row>
    <row r="124" ht="15.75" customHeight="1">
      <c r="A124" s="12"/>
      <c r="B124" s="12"/>
      <c r="E124" s="3"/>
      <c r="F124" s="3"/>
    </row>
    <row r="125" ht="15.75" customHeight="1">
      <c r="A125" s="12"/>
      <c r="B125" s="12"/>
      <c r="E125" s="3"/>
      <c r="F125" s="3"/>
    </row>
    <row r="126" ht="15.75" customHeight="1">
      <c r="A126" s="12"/>
      <c r="B126" s="12"/>
      <c r="E126" s="3"/>
      <c r="F126" s="3"/>
    </row>
    <row r="127" ht="15.75" customHeight="1">
      <c r="A127" s="12"/>
      <c r="B127" s="12"/>
      <c r="E127" s="3"/>
      <c r="F127" s="3"/>
    </row>
    <row r="128" ht="15.75" customHeight="1">
      <c r="A128" s="12"/>
      <c r="B128" s="12"/>
      <c r="E128" s="3"/>
      <c r="F128" s="3"/>
    </row>
    <row r="129" ht="15.75" customHeight="1">
      <c r="A129" s="12"/>
      <c r="B129" s="12"/>
      <c r="E129" s="3"/>
      <c r="F129" s="3"/>
    </row>
    <row r="130" ht="15.75" customHeight="1">
      <c r="A130" s="12"/>
      <c r="B130" s="12"/>
      <c r="E130" s="3"/>
      <c r="F130" s="3"/>
    </row>
    <row r="131" ht="15.75" customHeight="1">
      <c r="A131" s="12"/>
      <c r="B131" s="12"/>
      <c r="E131" s="3"/>
      <c r="F131" s="3"/>
    </row>
    <row r="132" ht="15.75" customHeight="1">
      <c r="A132" s="12"/>
      <c r="B132" s="12"/>
      <c r="E132" s="3"/>
      <c r="F132" s="3"/>
    </row>
    <row r="133" ht="15.75" customHeight="1">
      <c r="A133" s="12"/>
      <c r="B133" s="12"/>
      <c r="E133" s="3"/>
      <c r="F133" s="3"/>
    </row>
    <row r="134" ht="15.75" customHeight="1">
      <c r="A134" s="12"/>
      <c r="B134" s="12"/>
      <c r="E134" s="3"/>
      <c r="F134" s="3"/>
    </row>
    <row r="135" ht="15.75" customHeight="1">
      <c r="A135" s="12"/>
      <c r="B135" s="12"/>
      <c r="E135" s="3"/>
      <c r="F135" s="3"/>
    </row>
    <row r="136" ht="15.75" customHeight="1">
      <c r="A136" s="12"/>
      <c r="B136" s="12"/>
      <c r="E136" s="3"/>
      <c r="F136" s="3"/>
    </row>
    <row r="137" ht="15.75" customHeight="1">
      <c r="A137" s="12"/>
      <c r="B137" s="12"/>
      <c r="E137" s="3"/>
      <c r="F137" s="3"/>
    </row>
    <row r="138" ht="15.75" customHeight="1">
      <c r="A138" s="12"/>
      <c r="B138" s="12"/>
      <c r="E138" s="3"/>
      <c r="F138" s="3"/>
    </row>
    <row r="139" ht="15.75" customHeight="1">
      <c r="A139" s="12"/>
      <c r="B139" s="12"/>
      <c r="E139" s="3"/>
      <c r="F139" s="3"/>
    </row>
    <row r="140" ht="15.75" customHeight="1">
      <c r="A140" s="12"/>
      <c r="B140" s="12"/>
      <c r="E140" s="3"/>
      <c r="F140" s="3"/>
    </row>
    <row r="141" ht="15.75" customHeight="1">
      <c r="A141" s="12"/>
      <c r="B141" s="12"/>
      <c r="E141" s="3"/>
      <c r="F141" s="3"/>
    </row>
    <row r="142" ht="15.75" customHeight="1">
      <c r="A142" s="12"/>
      <c r="B142" s="12"/>
      <c r="E142" s="3"/>
      <c r="F142" s="3"/>
    </row>
    <row r="143" ht="15.75" customHeight="1">
      <c r="A143" s="12"/>
      <c r="B143" s="12"/>
      <c r="E143" s="3"/>
      <c r="F143" s="3"/>
    </row>
    <row r="144" ht="15.75" customHeight="1">
      <c r="A144" s="12"/>
      <c r="B144" s="12"/>
      <c r="E144" s="3"/>
      <c r="F144" s="3"/>
    </row>
    <row r="145" ht="15.75" customHeight="1">
      <c r="A145" s="12"/>
      <c r="B145" s="12"/>
      <c r="E145" s="3"/>
      <c r="F145" s="3"/>
    </row>
    <row r="146" ht="15.75" customHeight="1">
      <c r="A146" s="12"/>
      <c r="B146" s="12"/>
      <c r="E146" s="3"/>
      <c r="F146" s="3"/>
    </row>
    <row r="147" ht="15.75" customHeight="1">
      <c r="A147" s="12"/>
      <c r="B147" s="12"/>
      <c r="E147" s="3"/>
      <c r="F147" s="3"/>
    </row>
    <row r="148" ht="15.75" customHeight="1">
      <c r="A148" s="12"/>
      <c r="B148" s="12"/>
      <c r="E148" s="3"/>
      <c r="F148" s="3"/>
    </row>
    <row r="149" ht="15.75" customHeight="1">
      <c r="A149" s="12"/>
      <c r="B149" s="12"/>
      <c r="E149" s="3"/>
      <c r="F149" s="3"/>
    </row>
    <row r="150" ht="15.75" customHeight="1">
      <c r="A150" s="12"/>
      <c r="B150" s="12"/>
      <c r="E150" s="3"/>
      <c r="F150" s="3"/>
    </row>
    <row r="151" ht="15.75" customHeight="1">
      <c r="A151" s="12"/>
      <c r="B151" s="12"/>
      <c r="E151" s="3"/>
      <c r="F151" s="3"/>
    </row>
    <row r="152" ht="15.75" customHeight="1">
      <c r="A152" s="12"/>
      <c r="B152" s="12"/>
      <c r="E152" s="3"/>
      <c r="F152" s="3"/>
    </row>
    <row r="153" ht="15.75" customHeight="1">
      <c r="A153" s="12"/>
      <c r="B153" s="12"/>
      <c r="E153" s="3"/>
      <c r="F153" s="3"/>
    </row>
    <row r="154" ht="15.75" customHeight="1">
      <c r="A154" s="12"/>
      <c r="B154" s="12"/>
      <c r="E154" s="3"/>
      <c r="F154" s="3"/>
    </row>
    <row r="155" ht="15.75" customHeight="1">
      <c r="A155" s="12"/>
      <c r="B155" s="12"/>
      <c r="E155" s="3"/>
      <c r="F155" s="3"/>
    </row>
    <row r="156" ht="15.75" customHeight="1">
      <c r="A156" s="12"/>
      <c r="B156" s="12"/>
      <c r="E156" s="3"/>
      <c r="F156" s="3"/>
    </row>
    <row r="157" ht="15.75" customHeight="1">
      <c r="A157" s="12"/>
      <c r="B157" s="12"/>
      <c r="E157" s="3"/>
      <c r="F157" s="3"/>
    </row>
    <row r="158" ht="15.75" customHeight="1">
      <c r="A158" s="12"/>
      <c r="B158" s="12"/>
      <c r="E158" s="3"/>
      <c r="F158" s="3"/>
    </row>
    <row r="159" ht="15.75" customHeight="1">
      <c r="A159" s="12"/>
      <c r="B159" s="12"/>
      <c r="E159" s="3"/>
      <c r="F159" s="3"/>
    </row>
    <row r="160" ht="15.75" customHeight="1">
      <c r="A160" s="12"/>
      <c r="B160" s="12"/>
      <c r="E160" s="3"/>
      <c r="F160" s="3"/>
    </row>
    <row r="161" ht="15.75" customHeight="1">
      <c r="A161" s="12"/>
      <c r="B161" s="12"/>
      <c r="E161" s="3"/>
      <c r="F161" s="3"/>
    </row>
    <row r="162" ht="15.75" customHeight="1">
      <c r="A162" s="12"/>
      <c r="B162" s="12"/>
      <c r="E162" s="3"/>
      <c r="F162" s="3"/>
    </row>
    <row r="163" ht="15.75" customHeight="1">
      <c r="A163" s="12"/>
      <c r="B163" s="12"/>
      <c r="E163" s="3"/>
      <c r="F163" s="3"/>
    </row>
    <row r="164" ht="15.75" customHeight="1">
      <c r="A164" s="12"/>
      <c r="B164" s="12"/>
      <c r="E164" s="3"/>
      <c r="F164" s="3"/>
    </row>
    <row r="165" ht="15.75" customHeight="1">
      <c r="A165" s="12"/>
      <c r="B165" s="12"/>
      <c r="E165" s="3"/>
      <c r="F165" s="3"/>
    </row>
    <row r="166" ht="15.75" customHeight="1">
      <c r="A166" s="12"/>
      <c r="B166" s="12"/>
      <c r="E166" s="3"/>
      <c r="F166" s="3"/>
    </row>
    <row r="167" ht="15.75" customHeight="1">
      <c r="A167" s="12"/>
      <c r="B167" s="12"/>
      <c r="E167" s="3"/>
      <c r="F167" s="3"/>
    </row>
    <row r="168" ht="15.75" customHeight="1">
      <c r="A168" s="12"/>
      <c r="B168" s="12"/>
      <c r="E168" s="3"/>
      <c r="F168" s="3"/>
    </row>
    <row r="169" ht="15.75" customHeight="1">
      <c r="A169" s="12"/>
      <c r="B169" s="12"/>
      <c r="E169" s="3"/>
      <c r="F169" s="3"/>
    </row>
    <row r="170" ht="15.75" customHeight="1">
      <c r="A170" s="12"/>
      <c r="B170" s="12"/>
      <c r="E170" s="3"/>
      <c r="F170" s="3"/>
    </row>
    <row r="171" ht="15.75" customHeight="1">
      <c r="A171" s="12"/>
      <c r="B171" s="12"/>
      <c r="E171" s="3"/>
      <c r="F171" s="3"/>
    </row>
    <row r="172" ht="15.75" customHeight="1">
      <c r="A172" s="12"/>
      <c r="B172" s="12"/>
      <c r="E172" s="3"/>
      <c r="F172" s="3"/>
    </row>
    <row r="173" ht="15.75" customHeight="1">
      <c r="A173" s="12"/>
      <c r="B173" s="12"/>
      <c r="E173" s="3"/>
      <c r="F173" s="3"/>
    </row>
    <row r="174" ht="15.75" customHeight="1">
      <c r="A174" s="12"/>
      <c r="B174" s="12"/>
      <c r="E174" s="3"/>
      <c r="F174" s="3"/>
    </row>
    <row r="175" ht="15.75" customHeight="1">
      <c r="A175" s="12"/>
      <c r="B175" s="12"/>
      <c r="E175" s="3"/>
      <c r="F175" s="3"/>
    </row>
    <row r="176" ht="15.75" customHeight="1">
      <c r="A176" s="12"/>
      <c r="B176" s="12"/>
      <c r="E176" s="3"/>
      <c r="F176" s="3"/>
    </row>
    <row r="177" ht="15.75" customHeight="1">
      <c r="A177" s="12"/>
      <c r="B177" s="12"/>
      <c r="E177" s="3"/>
      <c r="F177" s="3"/>
    </row>
    <row r="178" ht="15.75" customHeight="1">
      <c r="A178" s="12"/>
      <c r="B178" s="12"/>
      <c r="E178" s="3"/>
      <c r="F178" s="3"/>
    </row>
    <row r="179" ht="15.75" customHeight="1">
      <c r="A179" s="12"/>
      <c r="B179" s="12"/>
      <c r="E179" s="3"/>
      <c r="F179" s="3"/>
    </row>
    <row r="180" ht="15.75" customHeight="1">
      <c r="A180" s="12"/>
      <c r="B180" s="12"/>
      <c r="E180" s="3"/>
      <c r="F180" s="3"/>
    </row>
    <row r="181" ht="15.75" customHeight="1">
      <c r="A181" s="12"/>
      <c r="B181" s="12"/>
      <c r="E181" s="3"/>
      <c r="F181" s="3"/>
    </row>
    <row r="182" ht="15.75" customHeight="1">
      <c r="A182" s="12"/>
      <c r="B182" s="12"/>
      <c r="E182" s="3"/>
      <c r="F182" s="3"/>
    </row>
    <row r="183" ht="15.75" customHeight="1">
      <c r="A183" s="12"/>
      <c r="B183" s="12"/>
      <c r="E183" s="3"/>
      <c r="F183" s="3"/>
    </row>
    <row r="184" ht="15.75" customHeight="1">
      <c r="A184" s="12"/>
      <c r="B184" s="12"/>
      <c r="E184" s="3"/>
      <c r="F184" s="3"/>
    </row>
    <row r="185" ht="15.75" customHeight="1">
      <c r="A185" s="12"/>
      <c r="B185" s="12"/>
      <c r="E185" s="3"/>
      <c r="F185" s="3"/>
    </row>
    <row r="186" ht="15.75" customHeight="1">
      <c r="A186" s="12"/>
      <c r="B186" s="12"/>
      <c r="E186" s="3"/>
      <c r="F186" s="3"/>
    </row>
    <row r="187" ht="15.75" customHeight="1">
      <c r="A187" s="12"/>
      <c r="B187" s="12"/>
      <c r="E187" s="3"/>
      <c r="F187" s="3"/>
    </row>
    <row r="188" ht="15.75" customHeight="1">
      <c r="A188" s="12"/>
      <c r="B188" s="12"/>
      <c r="E188" s="3"/>
      <c r="F188" s="3"/>
    </row>
    <row r="189" ht="15.75" customHeight="1">
      <c r="A189" s="12"/>
      <c r="B189" s="12"/>
      <c r="E189" s="3"/>
      <c r="F189" s="3"/>
    </row>
    <row r="190" ht="15.75" customHeight="1">
      <c r="A190" s="12"/>
      <c r="B190" s="12"/>
      <c r="E190" s="3"/>
      <c r="F190" s="3"/>
    </row>
    <row r="191" ht="15.75" customHeight="1">
      <c r="A191" s="12"/>
      <c r="B191" s="12"/>
      <c r="E191" s="3"/>
      <c r="F191" s="3"/>
    </row>
    <row r="192" ht="15.75" customHeight="1">
      <c r="A192" s="12"/>
      <c r="B192" s="12"/>
      <c r="E192" s="3"/>
      <c r="F192" s="3"/>
    </row>
    <row r="193" ht="15.75" customHeight="1">
      <c r="A193" s="12"/>
      <c r="B193" s="12"/>
      <c r="E193" s="3"/>
      <c r="F193" s="3"/>
    </row>
    <row r="194" ht="15.75" customHeight="1">
      <c r="A194" s="12"/>
      <c r="B194" s="12"/>
      <c r="E194" s="3"/>
      <c r="F194" s="3"/>
    </row>
    <row r="195" ht="15.75" customHeight="1">
      <c r="A195" s="12"/>
      <c r="B195" s="12"/>
      <c r="E195" s="3"/>
      <c r="F195" s="3"/>
    </row>
    <row r="196" ht="15.75" customHeight="1">
      <c r="A196" s="12"/>
      <c r="B196" s="12"/>
      <c r="E196" s="3"/>
      <c r="F196" s="3"/>
    </row>
    <row r="197" ht="15.75" customHeight="1">
      <c r="A197" s="12"/>
      <c r="B197" s="12"/>
      <c r="E197" s="3"/>
      <c r="F197" s="3"/>
    </row>
    <row r="198" ht="15.75" customHeight="1">
      <c r="A198" s="12"/>
      <c r="B198" s="12"/>
      <c r="E198" s="3"/>
      <c r="F198" s="3"/>
    </row>
    <row r="199" ht="15.75" customHeight="1">
      <c r="A199" s="12"/>
      <c r="B199" s="12"/>
      <c r="E199" s="3"/>
      <c r="F199" s="3"/>
    </row>
    <row r="200" ht="15.75" customHeight="1">
      <c r="A200" s="12"/>
      <c r="B200" s="12"/>
      <c r="E200" s="3"/>
      <c r="F200" s="3"/>
    </row>
    <row r="201" ht="15.75" customHeight="1">
      <c r="A201" s="12"/>
      <c r="B201" s="12"/>
      <c r="E201" s="3"/>
      <c r="F201" s="3"/>
    </row>
    <row r="202" ht="15.75" customHeight="1">
      <c r="A202" s="12"/>
      <c r="B202" s="12"/>
      <c r="E202" s="3"/>
      <c r="F202" s="3"/>
    </row>
    <row r="203" ht="15.75" customHeight="1">
      <c r="A203" s="12"/>
      <c r="B203" s="12"/>
      <c r="E203" s="3"/>
      <c r="F203" s="3"/>
    </row>
    <row r="204" ht="15.75" customHeight="1">
      <c r="A204" s="12"/>
      <c r="B204" s="12"/>
      <c r="E204" s="3"/>
      <c r="F204" s="3"/>
    </row>
    <row r="205" ht="15.75" customHeight="1">
      <c r="A205" s="12"/>
      <c r="B205" s="12"/>
      <c r="E205" s="3"/>
      <c r="F205" s="3"/>
    </row>
    <row r="206" ht="15.75" customHeight="1">
      <c r="A206" s="12"/>
      <c r="B206" s="12"/>
      <c r="E206" s="3"/>
      <c r="F206" s="3"/>
    </row>
    <row r="207" ht="15.75" customHeight="1">
      <c r="A207" s="12"/>
      <c r="B207" s="12"/>
      <c r="E207" s="3"/>
      <c r="F207" s="3"/>
    </row>
    <row r="208" ht="15.75" customHeight="1">
      <c r="A208" s="12"/>
      <c r="B208" s="12"/>
      <c r="E208" s="3"/>
      <c r="F208" s="3"/>
    </row>
    <row r="209" ht="15.75" customHeight="1">
      <c r="A209" s="12"/>
      <c r="B209" s="12"/>
      <c r="E209" s="3"/>
      <c r="F209" s="3"/>
    </row>
    <row r="210" ht="15.75" customHeight="1">
      <c r="A210" s="12"/>
      <c r="B210" s="12"/>
      <c r="E210" s="3"/>
      <c r="F210" s="3"/>
    </row>
    <row r="211" ht="15.75" customHeight="1">
      <c r="A211" s="12"/>
      <c r="B211" s="12"/>
      <c r="E211" s="3"/>
      <c r="F211" s="3"/>
    </row>
    <row r="212" ht="15.75" customHeight="1">
      <c r="A212" s="12"/>
      <c r="B212" s="12"/>
      <c r="E212" s="3"/>
      <c r="F212" s="3"/>
    </row>
    <row r="213" ht="15.75" customHeight="1">
      <c r="A213" s="12"/>
      <c r="B213" s="12"/>
      <c r="E213" s="3"/>
      <c r="F213" s="3"/>
    </row>
    <row r="214" ht="15.75" customHeight="1">
      <c r="A214" s="12"/>
      <c r="B214" s="12"/>
      <c r="E214" s="3"/>
      <c r="F214" s="3"/>
    </row>
    <row r="215" ht="15.75" customHeight="1">
      <c r="A215" s="12"/>
      <c r="B215" s="12"/>
      <c r="E215" s="3"/>
      <c r="F215" s="3"/>
    </row>
    <row r="216" ht="15.75" customHeight="1">
      <c r="A216" s="12"/>
      <c r="B216" s="12"/>
      <c r="E216" s="3"/>
      <c r="F216" s="3"/>
    </row>
    <row r="217" ht="15.75" customHeight="1">
      <c r="A217" s="12"/>
      <c r="B217" s="12"/>
      <c r="E217" s="3"/>
      <c r="F217" s="3"/>
    </row>
    <row r="218" ht="15.75" customHeight="1">
      <c r="A218" s="12"/>
      <c r="B218" s="12"/>
      <c r="E218" s="3"/>
      <c r="F218" s="3"/>
    </row>
    <row r="219" ht="15.75" customHeight="1">
      <c r="A219" s="12"/>
      <c r="B219" s="12"/>
      <c r="E219" s="3"/>
      <c r="F219" s="3"/>
    </row>
    <row r="220" ht="15.75" customHeight="1">
      <c r="A220" s="12"/>
      <c r="B220" s="12"/>
      <c r="E220" s="3"/>
      <c r="F220" s="3"/>
    </row>
    <row r="221" ht="15.75" customHeight="1">
      <c r="A221" s="12"/>
      <c r="B221" s="12"/>
      <c r="E221" s="3"/>
      <c r="F221" s="3"/>
    </row>
    <row r="222" ht="15.75" customHeight="1">
      <c r="A222" s="12"/>
      <c r="B222" s="12"/>
      <c r="E222" s="3"/>
      <c r="F222" s="3"/>
    </row>
    <row r="223" ht="15.75" customHeight="1">
      <c r="A223" s="12"/>
      <c r="B223" s="12"/>
      <c r="E223" s="3"/>
      <c r="F223" s="3"/>
    </row>
    <row r="224" ht="15.75" customHeight="1">
      <c r="A224" s="12"/>
      <c r="B224" s="12"/>
      <c r="E224" s="3"/>
      <c r="F224" s="3"/>
    </row>
    <row r="225" ht="15.75" customHeight="1">
      <c r="A225" s="12"/>
      <c r="B225" s="12"/>
      <c r="E225" s="3"/>
      <c r="F225" s="3"/>
    </row>
    <row r="226" ht="15.75" customHeight="1">
      <c r="A226" s="12"/>
      <c r="B226" s="12"/>
      <c r="E226" s="3"/>
      <c r="F226" s="3"/>
    </row>
    <row r="227" ht="15.75" customHeight="1">
      <c r="A227" s="12"/>
      <c r="B227" s="12"/>
      <c r="E227" s="3"/>
      <c r="F227" s="3"/>
    </row>
    <row r="228" ht="15.75" customHeight="1">
      <c r="A228" s="12"/>
      <c r="B228" s="12"/>
      <c r="E228" s="3"/>
      <c r="F228" s="3"/>
    </row>
    <row r="229" ht="15.75" customHeight="1">
      <c r="A229" s="12"/>
      <c r="B229" s="12"/>
      <c r="E229" s="3"/>
      <c r="F229" s="3"/>
    </row>
    <row r="230" ht="15.75" customHeight="1">
      <c r="A230" s="12"/>
      <c r="B230" s="12"/>
      <c r="E230" s="3"/>
      <c r="F230" s="3"/>
    </row>
    <row r="231" ht="15.75" customHeight="1">
      <c r="A231" s="12"/>
      <c r="B231" s="12"/>
      <c r="E231" s="3"/>
      <c r="F231" s="3"/>
    </row>
    <row r="232" ht="15.75" customHeight="1">
      <c r="A232" s="12"/>
      <c r="B232" s="12"/>
      <c r="E232" s="3"/>
      <c r="F232" s="3"/>
    </row>
    <row r="233" ht="15.75" customHeight="1">
      <c r="A233" s="12"/>
      <c r="B233" s="12"/>
      <c r="E233" s="3"/>
      <c r="F233" s="3"/>
    </row>
    <row r="234" ht="15.75" customHeight="1">
      <c r="A234" s="12"/>
      <c r="B234" s="12"/>
      <c r="E234" s="3"/>
      <c r="F234" s="3"/>
    </row>
    <row r="235" ht="15.75" customHeight="1">
      <c r="A235" s="12"/>
      <c r="B235" s="12"/>
      <c r="E235" s="3"/>
      <c r="F235" s="3"/>
    </row>
    <row r="236" ht="15.75" customHeight="1">
      <c r="A236" s="12"/>
      <c r="B236" s="12"/>
      <c r="E236" s="3"/>
      <c r="F236" s="3"/>
    </row>
    <row r="237" ht="15.75" customHeight="1">
      <c r="A237" s="12"/>
      <c r="B237" s="12"/>
      <c r="E237" s="3"/>
      <c r="F237" s="3"/>
    </row>
    <row r="238" ht="15.75" customHeight="1">
      <c r="A238" s="12"/>
      <c r="B238" s="12"/>
      <c r="E238" s="3"/>
      <c r="F238" s="3"/>
    </row>
    <row r="239" ht="15.75" customHeight="1">
      <c r="A239" s="12"/>
      <c r="B239" s="12"/>
      <c r="E239" s="3"/>
      <c r="F239" s="3"/>
    </row>
    <row r="240" ht="15.75" customHeight="1">
      <c r="A240" s="12"/>
      <c r="B240" s="12"/>
      <c r="E240" s="3"/>
      <c r="F240" s="3"/>
    </row>
    <row r="241" ht="15.75" customHeight="1">
      <c r="A241" s="12"/>
      <c r="B241" s="12"/>
      <c r="E241" s="3"/>
      <c r="F241" s="3"/>
    </row>
    <row r="242" ht="15.75" customHeight="1">
      <c r="A242" s="12"/>
      <c r="B242" s="12"/>
      <c r="E242" s="3"/>
      <c r="F242" s="3"/>
    </row>
    <row r="243" ht="15.75" customHeight="1">
      <c r="A243" s="12"/>
      <c r="B243" s="12"/>
      <c r="E243" s="3"/>
      <c r="F243" s="3"/>
    </row>
    <row r="244" ht="15.75" customHeight="1">
      <c r="A244" s="12"/>
      <c r="B244" s="12"/>
      <c r="E244" s="3"/>
      <c r="F244" s="3"/>
    </row>
    <row r="245" ht="15.75" customHeight="1">
      <c r="A245" s="12"/>
      <c r="B245" s="12"/>
      <c r="E245" s="3"/>
      <c r="F245" s="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I3:K5"/>
    <mergeCell ref="A7:A10"/>
    <mergeCell ref="B7:B10"/>
    <mergeCell ref="E7:F8"/>
    <mergeCell ref="G7:L7"/>
    <mergeCell ref="M7:M10"/>
    <mergeCell ref="K8:L8"/>
    <mergeCell ref="L9:L10"/>
  </mergeCells>
  <printOptions/>
  <pageMargins bottom="0.75" footer="0.0" header="0.0" left="0.25" right="0.25" top="0.7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6.14"/>
    <col customWidth="1" min="2" max="2" width="21.86"/>
    <col customWidth="1" min="3" max="6" width="23.57"/>
    <col customWidth="1" min="7" max="7" width="19.86"/>
    <col customWidth="1" min="8" max="8" width="20.43"/>
    <col customWidth="1" min="9" max="9" width="19.43"/>
    <col customWidth="1" min="10" max="10" width="19.86"/>
    <col customWidth="1" min="11" max="11" width="18.29"/>
    <col customWidth="1" min="12" max="12" width="18.71"/>
    <col customWidth="1" min="13" max="13" width="23.71"/>
  </cols>
  <sheetData>
    <row r="1">
      <c r="A1" s="454" t="s">
        <v>811</v>
      </c>
      <c r="B1" s="455"/>
      <c r="C1" s="456"/>
      <c r="D1" s="456"/>
      <c r="E1" s="456"/>
      <c r="F1" s="456"/>
      <c r="G1" s="456"/>
      <c r="H1" s="456"/>
      <c r="I1" s="457"/>
      <c r="J1" s="457"/>
      <c r="K1" s="457"/>
      <c r="L1" s="457"/>
      <c r="M1" s="457"/>
    </row>
    <row r="2">
      <c r="A2" s="5" t="s">
        <v>1</v>
      </c>
      <c r="B2" s="458"/>
      <c r="C2" s="456"/>
      <c r="D2" s="456"/>
      <c r="E2" s="456"/>
      <c r="F2" s="456"/>
      <c r="G2" s="456"/>
      <c r="H2" s="456"/>
      <c r="I2" s="344"/>
      <c r="L2" s="457"/>
      <c r="M2" s="457"/>
    </row>
    <row r="3">
      <c r="A3" s="490" t="s">
        <v>867</v>
      </c>
      <c r="B3" s="491"/>
      <c r="C3" s="9"/>
      <c r="D3" s="9"/>
      <c r="E3" s="9"/>
      <c r="F3" s="9"/>
      <c r="G3" s="9"/>
      <c r="H3" s="9"/>
      <c r="L3" s="9"/>
      <c r="M3" s="9"/>
    </row>
    <row r="4">
      <c r="A4" s="490" t="s">
        <v>3</v>
      </c>
      <c r="B4" s="491"/>
      <c r="C4" s="9"/>
      <c r="D4" s="9"/>
      <c r="E4" s="9"/>
      <c r="F4" s="9"/>
      <c r="G4" s="9"/>
      <c r="H4" s="9"/>
      <c r="L4" s="9"/>
      <c r="M4" s="9"/>
    </row>
    <row r="5">
      <c r="A5" s="490" t="s">
        <v>4</v>
      </c>
      <c r="B5" s="491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s="213"/>
      <c r="B6" s="213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ht="21.75" customHeight="1">
      <c r="A7" s="13" t="s">
        <v>5</v>
      </c>
      <c r="B7" s="13" t="s">
        <v>6</v>
      </c>
      <c r="C7" s="14" t="s">
        <v>7</v>
      </c>
      <c r="D7" s="15"/>
      <c r="E7" s="16" t="s">
        <v>8</v>
      </c>
      <c r="F7" s="15"/>
      <c r="G7" s="17" t="s">
        <v>9</v>
      </c>
      <c r="H7" s="18"/>
      <c r="I7" s="18"/>
      <c r="J7" s="18"/>
      <c r="K7" s="18"/>
      <c r="L7" s="19"/>
      <c r="M7" s="20" t="s">
        <v>868</v>
      </c>
    </row>
    <row r="8" ht="23.25" customHeight="1">
      <c r="A8" s="21"/>
      <c r="B8" s="21"/>
      <c r="C8" s="22"/>
      <c r="D8" s="23"/>
      <c r="E8" s="22"/>
      <c r="F8" s="23"/>
      <c r="G8" s="24" t="s">
        <v>11</v>
      </c>
      <c r="H8" s="19"/>
      <c r="I8" s="24" t="s">
        <v>12</v>
      </c>
      <c r="J8" s="19"/>
      <c r="K8" s="24" t="s">
        <v>13</v>
      </c>
      <c r="L8" s="19"/>
      <c r="M8" s="21"/>
    </row>
    <row r="9" ht="20.25" customHeight="1">
      <c r="A9" s="21"/>
      <c r="B9" s="21"/>
      <c r="C9" s="25" t="s">
        <v>14</v>
      </c>
      <c r="D9" s="26" t="s">
        <v>15</v>
      </c>
      <c r="E9" s="27" t="s">
        <v>16</v>
      </c>
      <c r="F9" s="15"/>
      <c r="G9" s="28" t="s">
        <v>17</v>
      </c>
      <c r="H9" s="29" t="s">
        <v>18</v>
      </c>
      <c r="I9" s="28" t="s">
        <v>17</v>
      </c>
      <c r="J9" s="29" t="s">
        <v>18</v>
      </c>
      <c r="K9" s="28" t="s">
        <v>17</v>
      </c>
      <c r="L9" s="29" t="s">
        <v>18</v>
      </c>
      <c r="M9" s="21"/>
    </row>
    <row r="10" ht="64.5" customHeight="1">
      <c r="A10" s="30"/>
      <c r="B10" s="30"/>
      <c r="C10" s="30"/>
      <c r="D10" s="30"/>
      <c r="E10" s="31" t="s">
        <v>17</v>
      </c>
      <c r="F10" s="29" t="s">
        <v>18</v>
      </c>
      <c r="G10" s="30"/>
      <c r="H10" s="30"/>
      <c r="I10" s="30"/>
      <c r="J10" s="30"/>
      <c r="K10" s="30"/>
      <c r="L10" s="30"/>
      <c r="M10" s="30"/>
    </row>
    <row r="11">
      <c r="A11" s="83" t="s">
        <v>869</v>
      </c>
      <c r="B11" s="229"/>
      <c r="C11" s="278"/>
      <c r="D11" s="36">
        <f>D12</f>
        <v>1907.461</v>
      </c>
      <c r="E11" s="389"/>
      <c r="F11" s="36">
        <f>F12</f>
        <v>1893.15</v>
      </c>
      <c r="G11" s="261"/>
      <c r="H11" s="36">
        <f>H12</f>
        <v>2036.166</v>
      </c>
      <c r="I11" s="261"/>
      <c r="J11" s="36" t="str">
        <f>J12</f>
        <v/>
      </c>
      <c r="K11" s="261"/>
      <c r="L11" s="36">
        <f>L12</f>
        <v>2036.166</v>
      </c>
      <c r="M11" s="261"/>
    </row>
    <row r="12">
      <c r="A12" s="83" t="s">
        <v>870</v>
      </c>
      <c r="B12" s="229"/>
      <c r="C12" s="278"/>
      <c r="D12" s="36">
        <f>D18</f>
        <v>1907.461</v>
      </c>
      <c r="E12" s="389"/>
      <c r="F12" s="36">
        <f>F18</f>
        <v>1893.15</v>
      </c>
      <c r="G12" s="261"/>
      <c r="H12" s="36">
        <f>H18</f>
        <v>2036.166</v>
      </c>
      <c r="I12" s="261"/>
      <c r="J12" s="36" t="str">
        <f>J18</f>
        <v/>
      </c>
      <c r="K12" s="261"/>
      <c r="L12" s="36">
        <f>L18</f>
        <v>2036.166</v>
      </c>
      <c r="M12" s="261"/>
    </row>
    <row r="13">
      <c r="A13" s="83" t="s">
        <v>871</v>
      </c>
      <c r="B13" s="229"/>
      <c r="C13" s="278"/>
      <c r="D13" s="293"/>
      <c r="E13" s="389"/>
      <c r="F13" s="293"/>
      <c r="G13" s="293"/>
      <c r="H13" s="293"/>
      <c r="I13" s="293"/>
      <c r="J13" s="293"/>
      <c r="K13" s="293"/>
      <c r="L13" s="293"/>
      <c r="M13" s="293"/>
    </row>
    <row r="14" hidden="1">
      <c r="A14" s="39" t="s">
        <v>872</v>
      </c>
      <c r="B14" s="81" t="s">
        <v>873</v>
      </c>
      <c r="C14" s="278"/>
      <c r="D14" s="47" t="s">
        <v>874</v>
      </c>
      <c r="E14" s="389"/>
      <c r="F14" s="293"/>
      <c r="G14" s="293"/>
      <c r="H14" s="293"/>
      <c r="I14" s="293"/>
      <c r="J14" s="293"/>
      <c r="K14" s="293"/>
      <c r="L14" s="293"/>
      <c r="M14" s="293"/>
    </row>
    <row r="15" hidden="1">
      <c r="A15" s="39" t="s">
        <v>91</v>
      </c>
      <c r="B15" s="81" t="s">
        <v>873</v>
      </c>
      <c r="C15" s="278"/>
      <c r="D15" s="47" t="s">
        <v>874</v>
      </c>
      <c r="E15" s="389"/>
      <c r="F15" s="293"/>
      <c r="G15" s="293"/>
      <c r="H15" s="293"/>
      <c r="I15" s="293"/>
      <c r="J15" s="293"/>
      <c r="K15" s="293"/>
      <c r="L15" s="293"/>
      <c r="M15" s="293"/>
    </row>
    <row r="16" hidden="1">
      <c r="A16" s="39" t="s">
        <v>875</v>
      </c>
      <c r="B16" s="81" t="s">
        <v>876</v>
      </c>
      <c r="C16" s="492" t="s">
        <v>874</v>
      </c>
      <c r="D16" s="47" t="s">
        <v>874</v>
      </c>
      <c r="E16" s="389"/>
      <c r="F16" s="293"/>
      <c r="G16" s="293"/>
      <c r="H16" s="293"/>
      <c r="I16" s="293"/>
      <c r="J16" s="293"/>
      <c r="K16" s="293"/>
      <c r="L16" s="293"/>
      <c r="M16" s="293"/>
    </row>
    <row r="17">
      <c r="A17" s="229"/>
      <c r="B17" s="229"/>
      <c r="C17" s="492"/>
      <c r="D17" s="47"/>
      <c r="E17" s="389"/>
      <c r="F17" s="293"/>
      <c r="G17" s="293"/>
      <c r="H17" s="293"/>
      <c r="I17" s="293"/>
      <c r="J17" s="293"/>
      <c r="K17" s="293"/>
      <c r="L17" s="293"/>
      <c r="M17" s="293"/>
    </row>
    <row r="18">
      <c r="A18" s="83" t="s">
        <v>877</v>
      </c>
      <c r="B18" s="229"/>
      <c r="C18" s="278"/>
      <c r="D18" s="36">
        <f>SUM(D19:D31)</f>
        <v>1907.461</v>
      </c>
      <c r="E18" s="493"/>
      <c r="F18" s="36">
        <f>F23+F21+F20+F19</f>
        <v>1893.15</v>
      </c>
      <c r="G18" s="293"/>
      <c r="H18" s="36">
        <f>H23+H21+H20+H19</f>
        <v>2036.166</v>
      </c>
      <c r="I18" s="293"/>
      <c r="J18" s="293"/>
      <c r="K18" s="293"/>
      <c r="L18" s="36">
        <f>L23+L21+L20+L19</f>
        <v>2036.166</v>
      </c>
      <c r="M18" s="293"/>
    </row>
    <row r="19" ht="31.5" customHeight="1">
      <c r="A19" s="39" t="s">
        <v>878</v>
      </c>
      <c r="B19" s="81" t="s">
        <v>873</v>
      </c>
      <c r="C19" s="494">
        <v>14.0</v>
      </c>
      <c r="D19" s="494">
        <v>533.2</v>
      </c>
      <c r="E19" s="495">
        <v>3.6</v>
      </c>
      <c r="F19" s="293">
        <v>217.2</v>
      </c>
      <c r="G19" s="315">
        <v>223.85</v>
      </c>
      <c r="H19" s="315">
        <v>687.83</v>
      </c>
      <c r="I19" s="293"/>
      <c r="J19" s="293"/>
      <c r="K19" s="315">
        <v>223.85</v>
      </c>
      <c r="L19" s="315">
        <v>687.83</v>
      </c>
      <c r="M19" s="315" t="s">
        <v>879</v>
      </c>
    </row>
    <row r="20" ht="30.75" customHeight="1">
      <c r="A20" s="39" t="s">
        <v>186</v>
      </c>
      <c r="B20" s="81" t="s">
        <v>873</v>
      </c>
      <c r="C20" s="496">
        <v>23.0</v>
      </c>
      <c r="D20" s="494">
        <v>136.711</v>
      </c>
      <c r="E20" s="495">
        <v>51.7</v>
      </c>
      <c r="F20" s="293">
        <v>145.95</v>
      </c>
      <c r="G20" s="315">
        <v>27.4</v>
      </c>
      <c r="H20" s="315">
        <v>148.336</v>
      </c>
      <c r="I20" s="293"/>
      <c r="J20" s="293"/>
      <c r="K20" s="315">
        <v>27.4</v>
      </c>
      <c r="L20" s="315">
        <v>148.336</v>
      </c>
      <c r="M20" s="315" t="s">
        <v>879</v>
      </c>
    </row>
    <row r="21" ht="25.5" customHeight="1">
      <c r="A21" s="39" t="s">
        <v>880</v>
      </c>
      <c r="B21" s="81" t="s">
        <v>881</v>
      </c>
      <c r="C21" s="494">
        <v>2035.0</v>
      </c>
      <c r="D21" s="494">
        <v>377.55</v>
      </c>
      <c r="E21" s="389">
        <v>1000.0</v>
      </c>
      <c r="F21" s="293">
        <v>280.0</v>
      </c>
      <c r="G21" s="293"/>
      <c r="H21" s="293"/>
      <c r="I21" s="293"/>
      <c r="J21" s="293"/>
      <c r="K21" s="293"/>
      <c r="L21" s="293"/>
      <c r="M21" s="293"/>
    </row>
    <row r="22" ht="22.5" customHeight="1">
      <c r="A22" s="39" t="s">
        <v>882</v>
      </c>
      <c r="B22" s="81" t="s">
        <v>873</v>
      </c>
      <c r="C22" s="496"/>
      <c r="D22" s="496"/>
      <c r="E22" s="389"/>
      <c r="F22" s="293"/>
      <c r="G22" s="315">
        <v>2000.0</v>
      </c>
      <c r="H22" s="315">
        <v>20.0</v>
      </c>
      <c r="I22" s="293"/>
      <c r="J22" s="293"/>
      <c r="K22" s="315">
        <v>2000.0</v>
      </c>
      <c r="L22" s="315">
        <v>20.0</v>
      </c>
      <c r="M22" s="315" t="s">
        <v>879</v>
      </c>
    </row>
    <row r="23" ht="21.75" customHeight="1">
      <c r="A23" s="39" t="s">
        <v>883</v>
      </c>
      <c r="B23" s="81" t="s">
        <v>873</v>
      </c>
      <c r="C23" s="492">
        <v>2000.0</v>
      </c>
      <c r="D23" s="89">
        <v>600.0</v>
      </c>
      <c r="E23" s="389">
        <v>5000.0</v>
      </c>
      <c r="F23" s="293">
        <v>1250.0</v>
      </c>
      <c r="G23" s="315">
        <v>4000.0</v>
      </c>
      <c r="H23" s="315">
        <v>1200.0</v>
      </c>
      <c r="I23" s="293"/>
      <c r="J23" s="293"/>
      <c r="K23" s="315">
        <v>4000.0</v>
      </c>
      <c r="L23" s="315">
        <v>1200.0</v>
      </c>
      <c r="M23" s="315" t="s">
        <v>879</v>
      </c>
    </row>
    <row r="24" ht="15.75" hidden="1" customHeight="1">
      <c r="A24" s="39" t="s">
        <v>884</v>
      </c>
      <c r="B24" s="81" t="s">
        <v>873</v>
      </c>
      <c r="C24" s="492"/>
      <c r="D24" s="89"/>
      <c r="E24" s="389"/>
      <c r="F24" s="293"/>
      <c r="G24" s="293"/>
      <c r="H24" s="293"/>
      <c r="I24" s="293"/>
      <c r="J24" s="293"/>
      <c r="K24" s="293"/>
      <c r="L24" s="293"/>
      <c r="M24" s="293"/>
    </row>
    <row r="25" ht="15.75" hidden="1" customHeight="1">
      <c r="A25" s="39" t="s">
        <v>885</v>
      </c>
      <c r="B25" s="81" t="s">
        <v>873</v>
      </c>
      <c r="C25" s="492"/>
      <c r="D25" s="89"/>
      <c r="E25" s="389"/>
      <c r="F25" s="293"/>
      <c r="G25" s="293"/>
      <c r="H25" s="293"/>
      <c r="I25" s="293"/>
      <c r="J25" s="293"/>
      <c r="K25" s="293"/>
      <c r="L25" s="293"/>
      <c r="M25" s="293"/>
    </row>
    <row r="26" ht="23.25" customHeight="1">
      <c r="A26" s="39" t="s">
        <v>886</v>
      </c>
      <c r="B26" s="81" t="s">
        <v>881</v>
      </c>
      <c r="C26" s="494">
        <v>500.0</v>
      </c>
      <c r="D26" s="494">
        <v>60.0</v>
      </c>
      <c r="E26" s="389"/>
      <c r="F26" s="293"/>
      <c r="G26" s="293"/>
      <c r="H26" s="293"/>
      <c r="I26" s="293"/>
      <c r="J26" s="293"/>
      <c r="K26" s="293"/>
      <c r="L26" s="293"/>
      <c r="M26" s="293"/>
    </row>
    <row r="27" ht="20.25" customHeight="1">
      <c r="A27" s="83" t="s">
        <v>887</v>
      </c>
      <c r="B27" s="229"/>
      <c r="C27" s="492"/>
      <c r="D27" s="47"/>
      <c r="E27" s="389"/>
      <c r="F27" s="261">
        <f>F28+F29+F30+F31</f>
        <v>860</v>
      </c>
      <c r="G27" s="293"/>
      <c r="H27" s="261">
        <f>H28+H29+H30+H31</f>
        <v>0</v>
      </c>
      <c r="I27" s="293"/>
      <c r="J27" s="293"/>
      <c r="K27" s="293"/>
      <c r="L27" s="261">
        <f>L28+L29+L30+L31</f>
        <v>0</v>
      </c>
      <c r="M27" s="293"/>
    </row>
    <row r="28" ht="21.75" customHeight="1">
      <c r="A28" s="39" t="s">
        <v>888</v>
      </c>
      <c r="B28" s="81" t="s">
        <v>889</v>
      </c>
      <c r="C28" s="492"/>
      <c r="D28" s="47"/>
      <c r="E28" s="389">
        <v>400.0</v>
      </c>
      <c r="F28" s="293">
        <v>240.0</v>
      </c>
      <c r="G28" s="293"/>
      <c r="H28" s="293"/>
      <c r="I28" s="293"/>
      <c r="J28" s="293"/>
      <c r="K28" s="293"/>
      <c r="L28" s="293"/>
      <c r="M28" s="293"/>
    </row>
    <row r="29" ht="21.75" customHeight="1">
      <c r="A29" s="39" t="s">
        <v>890</v>
      </c>
      <c r="B29" s="81" t="s">
        <v>889</v>
      </c>
      <c r="C29" s="492"/>
      <c r="D29" s="47"/>
      <c r="E29" s="389">
        <v>400.0</v>
      </c>
      <c r="F29" s="293">
        <v>280.0</v>
      </c>
      <c r="G29" s="293"/>
      <c r="H29" s="293"/>
      <c r="I29" s="293"/>
      <c r="J29" s="293"/>
      <c r="K29" s="293"/>
      <c r="L29" s="293"/>
      <c r="M29" s="293"/>
    </row>
    <row r="30" ht="18.75" customHeight="1">
      <c r="A30" s="39" t="s">
        <v>891</v>
      </c>
      <c r="B30" s="81" t="s">
        <v>889</v>
      </c>
      <c r="C30" s="494">
        <v>10.0</v>
      </c>
      <c r="D30" s="494">
        <v>80.0</v>
      </c>
      <c r="E30" s="389">
        <v>10.0</v>
      </c>
      <c r="F30" s="293">
        <v>100.0</v>
      </c>
      <c r="G30" s="293"/>
      <c r="H30" s="293"/>
      <c r="I30" s="293"/>
      <c r="J30" s="293"/>
      <c r="K30" s="293"/>
      <c r="L30" s="293"/>
      <c r="M30" s="293"/>
    </row>
    <row r="31" ht="21.0" customHeight="1">
      <c r="A31" s="39" t="s">
        <v>892</v>
      </c>
      <c r="B31" s="81" t="s">
        <v>889</v>
      </c>
      <c r="C31" s="494">
        <v>2.0</v>
      </c>
      <c r="D31" s="494">
        <v>120.0</v>
      </c>
      <c r="E31" s="389">
        <v>4.0</v>
      </c>
      <c r="F31" s="293">
        <v>240.0</v>
      </c>
      <c r="G31" s="293"/>
      <c r="H31" s="293"/>
      <c r="I31" s="293"/>
      <c r="J31" s="293"/>
      <c r="K31" s="293"/>
      <c r="L31" s="293"/>
      <c r="M31" s="293"/>
    </row>
    <row r="32" ht="21.75" customHeight="1">
      <c r="A32" s="39" t="s">
        <v>893</v>
      </c>
      <c r="B32" s="81" t="s">
        <v>889</v>
      </c>
      <c r="C32" s="492"/>
      <c r="D32" s="47"/>
      <c r="E32" s="389"/>
      <c r="F32" s="293"/>
      <c r="G32" s="293"/>
      <c r="H32" s="293"/>
      <c r="I32" s="293"/>
      <c r="J32" s="293"/>
      <c r="K32" s="293"/>
      <c r="L32" s="293"/>
      <c r="M32" s="293"/>
    </row>
    <row r="33" ht="21.75" customHeight="1">
      <c r="A33" s="482" t="s">
        <v>894</v>
      </c>
      <c r="B33" s="229"/>
      <c r="C33" s="492"/>
      <c r="D33" s="47"/>
      <c r="E33" s="389"/>
      <c r="F33" s="261">
        <f>F39+F40</f>
        <v>130</v>
      </c>
      <c r="G33" s="293"/>
      <c r="H33" s="261">
        <f>H39+H40+H36+H37+H38+H41+H42</f>
        <v>452.8</v>
      </c>
      <c r="I33" s="293"/>
      <c r="J33" s="293"/>
      <c r="K33" s="293"/>
      <c r="L33" s="261">
        <f>L39+L40+L36+L37+L38+L41+L42</f>
        <v>452.8</v>
      </c>
      <c r="M33" s="293"/>
    </row>
    <row r="34" ht="18.0" customHeight="1">
      <c r="A34" s="229" t="s">
        <v>895</v>
      </c>
      <c r="B34" s="310" t="s">
        <v>896</v>
      </c>
      <c r="C34" s="492"/>
      <c r="D34" s="47"/>
      <c r="E34" s="389"/>
      <c r="F34" s="261"/>
      <c r="G34" s="293"/>
      <c r="H34" s="293"/>
      <c r="I34" s="293"/>
      <c r="J34" s="293"/>
      <c r="K34" s="293"/>
      <c r="L34" s="293"/>
      <c r="M34" s="293"/>
    </row>
    <row r="35" ht="20.25" customHeight="1">
      <c r="A35" s="229" t="s">
        <v>897</v>
      </c>
      <c r="B35" s="310" t="s">
        <v>896</v>
      </c>
      <c r="C35" s="492"/>
      <c r="D35" s="47"/>
      <c r="E35" s="389"/>
      <c r="F35" s="293"/>
      <c r="G35" s="293"/>
      <c r="H35" s="293"/>
      <c r="I35" s="293"/>
      <c r="J35" s="293"/>
      <c r="K35" s="293"/>
      <c r="L35" s="293"/>
      <c r="M35" s="293"/>
    </row>
    <row r="36" ht="19.5" customHeight="1">
      <c r="A36" s="229" t="s">
        <v>898</v>
      </c>
      <c r="B36" s="310" t="s">
        <v>896</v>
      </c>
      <c r="C36" s="492"/>
      <c r="D36" s="47"/>
      <c r="E36" s="389"/>
      <c r="F36" s="293"/>
      <c r="G36" s="315">
        <v>4.0</v>
      </c>
      <c r="H36" s="315">
        <v>120.0</v>
      </c>
      <c r="I36" s="293"/>
      <c r="J36" s="293"/>
      <c r="K36" s="315">
        <v>4.0</v>
      </c>
      <c r="L36" s="315">
        <v>120.0</v>
      </c>
      <c r="M36" s="315" t="s">
        <v>879</v>
      </c>
    </row>
    <row r="37" ht="21.0" customHeight="1">
      <c r="A37" s="229" t="s">
        <v>899</v>
      </c>
      <c r="B37" s="310" t="s">
        <v>896</v>
      </c>
      <c r="C37" s="492"/>
      <c r="D37" s="47"/>
      <c r="E37" s="389"/>
      <c r="F37" s="293"/>
      <c r="G37" s="315">
        <v>8.0</v>
      </c>
      <c r="H37" s="315">
        <v>20.0</v>
      </c>
      <c r="I37" s="293"/>
      <c r="J37" s="293"/>
      <c r="K37" s="315">
        <v>8.0</v>
      </c>
      <c r="L37" s="315">
        <v>20.0</v>
      </c>
      <c r="M37" s="315" t="s">
        <v>879</v>
      </c>
    </row>
    <row r="38" ht="18.75" customHeight="1">
      <c r="A38" s="229" t="s">
        <v>900</v>
      </c>
      <c r="B38" s="310" t="s">
        <v>896</v>
      </c>
      <c r="C38" s="492"/>
      <c r="D38" s="47"/>
      <c r="E38" s="389"/>
      <c r="F38" s="293"/>
      <c r="G38" s="315">
        <v>2.0</v>
      </c>
      <c r="H38" s="315">
        <v>50.0</v>
      </c>
      <c r="I38" s="293"/>
      <c r="J38" s="293"/>
      <c r="K38" s="315">
        <v>2.0</v>
      </c>
      <c r="L38" s="315">
        <v>50.0</v>
      </c>
      <c r="M38" s="315" t="s">
        <v>879</v>
      </c>
    </row>
    <row r="39">
      <c r="A39" s="229" t="s">
        <v>901</v>
      </c>
      <c r="B39" s="310" t="s">
        <v>902</v>
      </c>
      <c r="C39" s="492"/>
      <c r="D39" s="47"/>
      <c r="E39" s="389">
        <v>20.0</v>
      </c>
      <c r="F39" s="293">
        <v>60.0</v>
      </c>
      <c r="G39" s="293"/>
      <c r="H39" s="293"/>
      <c r="I39" s="293"/>
      <c r="J39" s="293"/>
      <c r="K39" s="293"/>
      <c r="L39" s="293"/>
      <c r="M39" s="293"/>
    </row>
    <row r="40">
      <c r="A40" s="229" t="s">
        <v>903</v>
      </c>
      <c r="B40" s="310" t="s">
        <v>896</v>
      </c>
      <c r="C40" s="492"/>
      <c r="D40" s="47"/>
      <c r="E40" s="389">
        <v>20.0</v>
      </c>
      <c r="F40" s="293">
        <v>70.0</v>
      </c>
      <c r="G40" s="293"/>
      <c r="H40" s="293"/>
      <c r="I40" s="293"/>
      <c r="J40" s="293"/>
      <c r="K40" s="293"/>
      <c r="L40" s="293"/>
      <c r="M40" s="293"/>
    </row>
    <row r="41">
      <c r="A41" s="229" t="s">
        <v>904</v>
      </c>
      <c r="B41" s="310" t="s">
        <v>905</v>
      </c>
      <c r="C41" s="492"/>
      <c r="D41" s="47"/>
      <c r="E41" s="389"/>
      <c r="F41" s="293"/>
      <c r="G41" s="315">
        <v>70.0</v>
      </c>
      <c r="H41" s="315">
        <v>62.8</v>
      </c>
      <c r="I41" s="293"/>
      <c r="J41" s="293"/>
      <c r="K41" s="315">
        <v>70.0</v>
      </c>
      <c r="L41" s="315">
        <v>62.8</v>
      </c>
      <c r="M41" s="315" t="s">
        <v>879</v>
      </c>
    </row>
    <row r="42" ht="15.75" customHeight="1">
      <c r="A42" s="324" t="s">
        <v>906</v>
      </c>
      <c r="B42" s="324" t="s">
        <v>896</v>
      </c>
      <c r="C42" s="492"/>
      <c r="D42" s="47"/>
      <c r="E42" s="389"/>
      <c r="F42" s="293"/>
      <c r="G42" s="315">
        <v>2.0</v>
      </c>
      <c r="H42" s="315">
        <v>200.0</v>
      </c>
      <c r="I42" s="293"/>
      <c r="J42" s="293"/>
      <c r="K42" s="315">
        <v>2.0</v>
      </c>
      <c r="L42" s="315">
        <v>200.0</v>
      </c>
      <c r="M42" s="315" t="s">
        <v>879</v>
      </c>
    </row>
    <row r="43" ht="15.75" hidden="1" customHeight="1">
      <c r="A43" s="83" t="s">
        <v>907</v>
      </c>
      <c r="B43" s="229"/>
      <c r="C43" s="497" t="s">
        <v>874</v>
      </c>
      <c r="D43" s="351" t="s">
        <v>874</v>
      </c>
      <c r="E43" s="389"/>
      <c r="F43" s="293"/>
      <c r="G43" s="293"/>
      <c r="H43" s="293"/>
      <c r="I43" s="293"/>
      <c r="J43" s="293"/>
      <c r="K43" s="293"/>
      <c r="L43" s="293"/>
      <c r="M43" s="293"/>
    </row>
    <row r="44" ht="15.75" hidden="1" customHeight="1">
      <c r="A44" s="83" t="s">
        <v>908</v>
      </c>
      <c r="B44" s="229"/>
      <c r="C44" s="492" t="s">
        <v>874</v>
      </c>
      <c r="D44" s="47" t="s">
        <v>874</v>
      </c>
      <c r="E44" s="389"/>
      <c r="F44" s="293"/>
      <c r="G44" s="293"/>
      <c r="H44" s="293"/>
      <c r="I44" s="293"/>
      <c r="J44" s="293"/>
      <c r="K44" s="293"/>
      <c r="L44" s="293"/>
      <c r="M44" s="293"/>
    </row>
    <row r="45" ht="15.75" hidden="1" customHeight="1">
      <c r="A45" s="39" t="s">
        <v>909</v>
      </c>
      <c r="B45" s="81" t="s">
        <v>910</v>
      </c>
      <c r="C45" s="492" t="s">
        <v>874</v>
      </c>
      <c r="D45" s="47" t="s">
        <v>874</v>
      </c>
      <c r="E45" s="389"/>
      <c r="F45" s="293"/>
      <c r="G45" s="293"/>
      <c r="H45" s="293"/>
      <c r="I45" s="293"/>
      <c r="J45" s="293"/>
      <c r="K45" s="293"/>
      <c r="L45" s="293"/>
      <c r="M45" s="293"/>
    </row>
    <row r="46" ht="15.75" hidden="1" customHeight="1">
      <c r="A46" s="39" t="s">
        <v>911</v>
      </c>
      <c r="B46" s="81" t="s">
        <v>910</v>
      </c>
      <c r="C46" s="492" t="s">
        <v>874</v>
      </c>
      <c r="D46" s="47" t="s">
        <v>874</v>
      </c>
      <c r="E46" s="389"/>
      <c r="F46" s="293"/>
      <c r="G46" s="293"/>
      <c r="H46" s="293"/>
      <c r="I46" s="293"/>
      <c r="J46" s="293"/>
      <c r="K46" s="293"/>
      <c r="L46" s="293"/>
      <c r="M46" s="293"/>
    </row>
    <row r="47" ht="15.75" hidden="1" customHeight="1">
      <c r="A47" s="39" t="s">
        <v>912</v>
      </c>
      <c r="B47" s="81" t="s">
        <v>910</v>
      </c>
      <c r="C47" s="492" t="s">
        <v>874</v>
      </c>
      <c r="D47" s="47" t="s">
        <v>874</v>
      </c>
      <c r="E47" s="389"/>
      <c r="F47" s="293"/>
      <c r="G47" s="293"/>
      <c r="H47" s="293"/>
      <c r="I47" s="293"/>
      <c r="J47" s="293"/>
      <c r="K47" s="293"/>
      <c r="L47" s="293"/>
      <c r="M47" s="293"/>
    </row>
    <row r="48" ht="15.75" hidden="1" customHeight="1">
      <c r="A48" s="229"/>
      <c r="B48" s="229"/>
      <c r="C48" s="492" t="s">
        <v>874</v>
      </c>
      <c r="D48" s="47" t="s">
        <v>874</v>
      </c>
      <c r="E48" s="389"/>
      <c r="F48" s="293"/>
      <c r="G48" s="293"/>
      <c r="H48" s="293"/>
      <c r="I48" s="293"/>
      <c r="J48" s="293"/>
      <c r="K48" s="293"/>
      <c r="L48" s="293"/>
      <c r="M48" s="293"/>
    </row>
    <row r="49" ht="15.75" hidden="1" customHeight="1">
      <c r="A49" s="83" t="s">
        <v>913</v>
      </c>
      <c r="B49" s="229"/>
      <c r="C49" s="492" t="s">
        <v>874</v>
      </c>
      <c r="D49" s="47" t="s">
        <v>874</v>
      </c>
      <c r="E49" s="389"/>
      <c r="F49" s="293"/>
      <c r="G49" s="293"/>
      <c r="H49" s="293"/>
      <c r="I49" s="293"/>
      <c r="J49" s="293"/>
      <c r="K49" s="293"/>
      <c r="L49" s="293"/>
      <c r="M49" s="293"/>
    </row>
    <row r="50" ht="15.75" hidden="1" customHeight="1">
      <c r="A50" s="39" t="s">
        <v>914</v>
      </c>
      <c r="B50" s="81" t="s">
        <v>910</v>
      </c>
      <c r="C50" s="492" t="s">
        <v>874</v>
      </c>
      <c r="D50" s="47" t="s">
        <v>874</v>
      </c>
      <c r="E50" s="389"/>
      <c r="F50" s="293"/>
      <c r="G50" s="293"/>
      <c r="H50" s="293"/>
      <c r="I50" s="293"/>
      <c r="J50" s="293"/>
      <c r="K50" s="293"/>
      <c r="L50" s="293"/>
      <c r="M50" s="293"/>
    </row>
    <row r="51" ht="15.75" hidden="1" customHeight="1">
      <c r="A51" s="229"/>
      <c r="B51" s="229"/>
      <c r="C51" s="278"/>
      <c r="D51" s="293"/>
      <c r="E51" s="389"/>
      <c r="F51" s="293"/>
      <c r="G51" s="293"/>
      <c r="H51" s="293"/>
      <c r="I51" s="293"/>
      <c r="J51" s="293"/>
      <c r="K51" s="293"/>
      <c r="L51" s="293"/>
      <c r="M51" s="293"/>
    </row>
    <row r="52" ht="15.75" hidden="1" customHeight="1">
      <c r="A52" s="83" t="s">
        <v>915</v>
      </c>
      <c r="B52" s="229"/>
      <c r="C52" s="278"/>
      <c r="D52" s="293"/>
      <c r="E52" s="389"/>
      <c r="F52" s="293"/>
      <c r="G52" s="293"/>
      <c r="H52" s="293"/>
      <c r="I52" s="293"/>
      <c r="J52" s="293"/>
      <c r="K52" s="293"/>
      <c r="L52" s="293"/>
      <c r="M52" s="293"/>
    </row>
    <row r="53" ht="15.75" hidden="1" customHeight="1">
      <c r="A53" s="83" t="s">
        <v>916</v>
      </c>
      <c r="B53" s="229"/>
      <c r="C53" s="278"/>
      <c r="D53" s="293"/>
      <c r="E53" s="389"/>
      <c r="F53" s="293"/>
      <c r="G53" s="293"/>
      <c r="H53" s="293"/>
      <c r="I53" s="293"/>
      <c r="J53" s="293"/>
      <c r="K53" s="293"/>
      <c r="L53" s="293"/>
      <c r="M53" s="293"/>
    </row>
    <row r="54" ht="15.75" hidden="1" customHeight="1">
      <c r="A54" s="39" t="s">
        <v>917</v>
      </c>
      <c r="B54" s="81" t="s">
        <v>918</v>
      </c>
      <c r="C54" s="278"/>
      <c r="D54" s="293"/>
      <c r="E54" s="389"/>
      <c r="F54" s="293"/>
      <c r="G54" s="293"/>
      <c r="H54" s="293"/>
      <c r="I54" s="293"/>
      <c r="J54" s="293"/>
      <c r="K54" s="293"/>
      <c r="L54" s="293"/>
      <c r="M54" s="293"/>
    </row>
    <row r="55" ht="15.75" hidden="1" customHeight="1">
      <c r="A55" s="229"/>
      <c r="B55" s="229"/>
      <c r="C55" s="278"/>
      <c r="D55" s="293"/>
      <c r="E55" s="389"/>
      <c r="F55" s="293"/>
      <c r="G55" s="293"/>
      <c r="H55" s="293"/>
      <c r="I55" s="293"/>
      <c r="J55" s="293"/>
      <c r="K55" s="293"/>
      <c r="L55" s="293"/>
      <c r="M55" s="293"/>
    </row>
    <row r="56">
      <c r="A56" s="91" t="s">
        <v>69</v>
      </c>
      <c r="B56" s="229"/>
      <c r="C56" s="278" t="str">
        <f t="shared" ref="C56:D56" si="1">C11</f>
        <v/>
      </c>
      <c r="D56" s="36">
        <f t="shared" si="1"/>
        <v>1907.461</v>
      </c>
      <c r="E56" s="493"/>
      <c r="F56" s="36">
        <f>F33+F27+F18</f>
        <v>2883.15</v>
      </c>
      <c r="G56" s="261"/>
      <c r="H56" s="36">
        <f>H33+H27+H18</f>
        <v>2488.966</v>
      </c>
      <c r="I56" s="261"/>
      <c r="J56" s="302">
        <v>0.0</v>
      </c>
      <c r="K56" s="261"/>
      <c r="L56" s="36">
        <f>L33+L27+L18</f>
        <v>2488.966</v>
      </c>
      <c r="M56" s="261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ht="15.75" hidden="1" customHeight="1">
      <c r="A58" s="93" t="s">
        <v>70</v>
      </c>
      <c r="C58" s="95" t="s">
        <v>72</v>
      </c>
      <c r="D58" s="4"/>
      <c r="E58" s="4"/>
      <c r="F58" s="4"/>
      <c r="G58" s="95"/>
      <c r="H58" s="2"/>
      <c r="I58" s="2"/>
      <c r="J58" s="2"/>
      <c r="K58" s="2"/>
      <c r="L58" s="2"/>
      <c r="M58" s="2"/>
    </row>
    <row r="59" ht="24.0" hidden="1" customHeight="1">
      <c r="A59" s="98"/>
      <c r="C59" s="98"/>
      <c r="D59" s="4"/>
      <c r="E59" s="2"/>
      <c r="F59" s="2"/>
      <c r="G59" s="98"/>
      <c r="H59" s="2"/>
      <c r="I59" s="2"/>
      <c r="J59" s="2"/>
      <c r="K59" s="2"/>
      <c r="L59" s="2"/>
      <c r="M59" s="2"/>
    </row>
    <row r="60" ht="15.75" hidden="1" customHeight="1">
      <c r="A60" s="98"/>
      <c r="C60" s="98"/>
      <c r="D60" s="4"/>
      <c r="E60" s="4"/>
      <c r="F60" s="4"/>
      <c r="G60" s="98"/>
      <c r="H60" s="2"/>
      <c r="I60" s="2"/>
      <c r="J60" s="2"/>
      <c r="K60" s="2"/>
      <c r="L60" s="2"/>
      <c r="M60" s="2"/>
    </row>
    <row r="61" ht="15.75" hidden="1" customHeight="1">
      <c r="A61" s="98"/>
      <c r="C61" s="98"/>
      <c r="D61" s="4"/>
      <c r="E61" s="4"/>
      <c r="F61" s="4"/>
      <c r="G61" s="98"/>
      <c r="H61" s="2"/>
      <c r="I61" s="2"/>
      <c r="J61" s="2"/>
      <c r="K61" s="2"/>
      <c r="L61" s="2"/>
      <c r="M61" s="2"/>
    </row>
    <row r="62" ht="15.75" hidden="1" customHeight="1">
      <c r="A62" s="98"/>
      <c r="C62" s="98"/>
      <c r="D62" s="4"/>
      <c r="E62" s="4"/>
      <c r="F62" s="4"/>
      <c r="G62" s="98"/>
      <c r="H62" s="2"/>
      <c r="I62" s="2"/>
      <c r="J62" s="2"/>
      <c r="K62" s="2"/>
      <c r="L62" s="2"/>
      <c r="M62" s="2"/>
    </row>
    <row r="63" ht="20.25" hidden="1" customHeight="1">
      <c r="A63" s="100" t="s">
        <v>74</v>
      </c>
      <c r="C63" s="100" t="s">
        <v>76</v>
      </c>
      <c r="D63" s="4"/>
      <c r="E63" s="4"/>
      <c r="F63" s="4"/>
      <c r="G63" s="100"/>
      <c r="H63" s="2"/>
      <c r="I63" s="2"/>
      <c r="J63" s="2"/>
      <c r="K63" s="2"/>
      <c r="L63" s="2"/>
      <c r="M63" s="2"/>
    </row>
    <row r="64" ht="15.75" hidden="1" customHeight="1">
      <c r="A64" s="93" t="s">
        <v>78</v>
      </c>
      <c r="C64" s="95" t="s">
        <v>80</v>
      </c>
      <c r="D64" s="4"/>
      <c r="E64" s="4"/>
      <c r="F64" s="4"/>
      <c r="G64" s="95"/>
      <c r="H64" s="2"/>
      <c r="I64" s="2"/>
      <c r="J64" s="2"/>
      <c r="K64" s="2"/>
      <c r="L64" s="2"/>
      <c r="M64" s="2"/>
    </row>
    <row r="65" ht="18.75" hidden="1" customHeight="1">
      <c r="A65" s="101" t="s">
        <v>82</v>
      </c>
      <c r="B65" s="9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5.75" hidden="1" customHeight="1">
      <c r="B66" s="2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</row>
    <row r="67" ht="23.25" customHeight="1">
      <c r="A67" s="102" t="s">
        <v>70</v>
      </c>
      <c r="B67" s="12"/>
      <c r="C67" s="377"/>
      <c r="D67" s="377"/>
      <c r="E67" s="378" t="s">
        <v>83</v>
      </c>
      <c r="F67" s="377"/>
      <c r="G67" s="377"/>
      <c r="H67" s="377"/>
      <c r="I67" s="377"/>
      <c r="J67" s="374"/>
      <c r="K67" s="374"/>
      <c r="L67" s="108" t="s">
        <v>73</v>
      </c>
      <c r="M67" s="374"/>
    </row>
    <row r="68" ht="16.5" customHeight="1">
      <c r="A68" s="104"/>
      <c r="B68" s="12"/>
      <c r="C68" s="377"/>
      <c r="D68" s="377"/>
      <c r="E68" s="371"/>
      <c r="F68" s="377"/>
      <c r="G68" s="377"/>
      <c r="H68" s="377"/>
      <c r="I68" s="377"/>
      <c r="J68" s="374"/>
      <c r="K68" s="374"/>
      <c r="L68" s="373"/>
      <c r="M68" s="374"/>
    </row>
    <row r="69" ht="16.5" customHeight="1">
      <c r="A69" s="104"/>
      <c r="B69" s="12"/>
      <c r="C69" s="377"/>
      <c r="D69" s="377"/>
      <c r="E69" s="371"/>
      <c r="F69" s="377"/>
      <c r="G69" s="377"/>
      <c r="H69" s="377"/>
      <c r="I69" s="377"/>
      <c r="J69" s="374"/>
      <c r="K69" s="374"/>
      <c r="L69" s="373"/>
      <c r="M69" s="374"/>
    </row>
    <row r="70" ht="16.5" customHeight="1">
      <c r="A70" s="377"/>
      <c r="B70" s="12"/>
      <c r="C70" s="377"/>
      <c r="D70" s="377"/>
      <c r="E70" s="371"/>
      <c r="F70" s="12"/>
      <c r="G70" s="12"/>
      <c r="H70" s="12"/>
      <c r="I70" s="377"/>
      <c r="J70" s="12"/>
      <c r="K70" s="12"/>
      <c r="L70" s="373"/>
      <c r="M70" s="12"/>
    </row>
    <row r="71" ht="16.5" customHeight="1">
      <c r="A71" s="104"/>
      <c r="B71" s="12"/>
      <c r="C71" s="377"/>
      <c r="D71" s="377"/>
      <c r="E71" s="371"/>
      <c r="F71" s="12"/>
      <c r="G71" s="12"/>
      <c r="H71" s="12"/>
      <c r="I71" s="377"/>
      <c r="J71" s="12"/>
      <c r="K71" s="12"/>
      <c r="L71" s="373"/>
      <c r="M71" s="12"/>
    </row>
    <row r="72" ht="20.25" customHeight="1">
      <c r="A72" s="106" t="s">
        <v>75</v>
      </c>
      <c r="B72" s="12"/>
      <c r="C72" s="377"/>
      <c r="D72" s="377"/>
      <c r="E72" s="380" t="s">
        <v>76</v>
      </c>
      <c r="F72" s="12"/>
      <c r="G72" s="12"/>
      <c r="H72" s="12"/>
      <c r="I72" s="377"/>
      <c r="J72" s="12"/>
      <c r="K72" s="12"/>
      <c r="L72" s="106" t="s">
        <v>77</v>
      </c>
      <c r="M72" s="12"/>
    </row>
    <row r="73" ht="16.5" customHeight="1">
      <c r="A73" s="108" t="s">
        <v>79</v>
      </c>
      <c r="B73" s="12"/>
      <c r="C73" s="377"/>
      <c r="D73" s="377"/>
      <c r="E73" s="378" t="s">
        <v>80</v>
      </c>
      <c r="F73" s="12"/>
      <c r="G73" s="12"/>
      <c r="H73" s="12"/>
      <c r="I73" s="377"/>
      <c r="J73" s="12"/>
      <c r="K73" s="12"/>
      <c r="L73" s="108" t="s">
        <v>81</v>
      </c>
      <c r="M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7:A10"/>
    <mergeCell ref="B7:B10"/>
    <mergeCell ref="E7:F8"/>
    <mergeCell ref="G7:L7"/>
    <mergeCell ref="M7:M10"/>
    <mergeCell ref="K8:L8"/>
    <mergeCell ref="L9:L10"/>
  </mergeCells>
  <printOptions/>
  <pageMargins bottom="0.75" footer="0.0" header="0.0" left="0.31" right="0.25" top="0.7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6.29"/>
    <col customWidth="1" min="2" max="2" width="24.57"/>
    <col customWidth="1" min="3" max="3" width="24.14"/>
    <col customWidth="1" min="4" max="4" width="25.29"/>
    <col customWidth="1" min="5" max="5" width="19.86"/>
    <col customWidth="1" min="6" max="6" width="26.71"/>
    <col customWidth="1" min="7" max="7" width="19.86"/>
    <col customWidth="1" min="8" max="8" width="20.71"/>
    <col customWidth="1" min="9" max="9" width="21.0"/>
    <col customWidth="1" min="10" max="10" width="20.71"/>
    <col customWidth="1" min="11" max="11" width="20.57"/>
    <col customWidth="1" min="12" max="12" width="18.86"/>
    <col customWidth="1" min="13" max="13" width="24.71"/>
  </cols>
  <sheetData>
    <row r="1" ht="20.25" customHeight="1">
      <c r="A1" s="454" t="s">
        <v>919</v>
      </c>
      <c r="B1" s="455"/>
      <c r="C1" s="498"/>
      <c r="D1" s="455"/>
      <c r="E1" s="457"/>
      <c r="F1" s="457"/>
      <c r="G1" s="456"/>
      <c r="H1" s="456"/>
      <c r="I1" s="457"/>
      <c r="J1" s="457"/>
      <c r="K1" s="457"/>
      <c r="L1" s="457"/>
      <c r="M1" s="457"/>
    </row>
    <row r="2" ht="25.5" customHeight="1">
      <c r="A2" s="343" t="s">
        <v>1</v>
      </c>
      <c r="B2" s="458"/>
      <c r="C2" s="458"/>
      <c r="D2" s="458"/>
      <c r="E2" s="457"/>
      <c r="F2" s="457"/>
      <c r="G2" s="456"/>
      <c r="H2" s="456"/>
      <c r="I2" s="344"/>
      <c r="L2" s="457"/>
      <c r="M2" s="457"/>
    </row>
    <row r="3" ht="22.5" customHeight="1">
      <c r="A3" s="345" t="s">
        <v>920</v>
      </c>
      <c r="B3" s="346"/>
      <c r="C3" s="499"/>
      <c r="D3" s="500"/>
      <c r="E3" s="341"/>
      <c r="F3" s="341"/>
      <c r="G3" s="501"/>
      <c r="H3" s="501"/>
      <c r="L3" s="501"/>
      <c r="M3" s="501"/>
    </row>
    <row r="4" ht="27.0" customHeight="1">
      <c r="A4" s="345" t="s">
        <v>3</v>
      </c>
      <c r="B4" s="346"/>
      <c r="C4" s="499"/>
      <c r="D4" s="500"/>
      <c r="E4" s="341"/>
      <c r="F4" s="341"/>
      <c r="G4" s="501"/>
      <c r="H4" s="501"/>
      <c r="L4" s="501"/>
      <c r="M4" s="501"/>
    </row>
    <row r="5" ht="23.25" customHeight="1">
      <c r="A5" s="345" t="s">
        <v>4</v>
      </c>
      <c r="B5" s="346"/>
      <c r="C5" s="499"/>
      <c r="D5" s="500"/>
      <c r="E5" s="341"/>
      <c r="F5" s="341"/>
      <c r="G5" s="501"/>
      <c r="H5" s="501"/>
      <c r="I5" s="501"/>
      <c r="J5" s="501"/>
      <c r="K5" s="501"/>
      <c r="L5" s="501"/>
      <c r="M5" s="501"/>
    </row>
    <row r="6" ht="16.5" customHeight="1">
      <c r="A6" s="272"/>
      <c r="B6" s="502"/>
      <c r="C6" s="503"/>
      <c r="D6" s="504"/>
      <c r="E6" s="272"/>
      <c r="F6" s="272"/>
      <c r="G6" s="501"/>
      <c r="H6" s="501"/>
      <c r="I6" s="501"/>
      <c r="J6" s="501"/>
      <c r="K6" s="501"/>
      <c r="L6" s="501"/>
      <c r="M6" s="501"/>
    </row>
    <row r="7" ht="21.75" customHeight="1">
      <c r="A7" s="13" t="s">
        <v>5</v>
      </c>
      <c r="B7" s="13" t="s">
        <v>6</v>
      </c>
      <c r="C7" s="14" t="s">
        <v>7</v>
      </c>
      <c r="D7" s="15"/>
      <c r="E7" s="16" t="s">
        <v>8</v>
      </c>
      <c r="F7" s="15"/>
      <c r="G7" s="17" t="s">
        <v>9</v>
      </c>
      <c r="H7" s="18"/>
      <c r="I7" s="18"/>
      <c r="J7" s="18"/>
      <c r="K7" s="18"/>
      <c r="L7" s="19"/>
      <c r="M7" s="20" t="s">
        <v>921</v>
      </c>
    </row>
    <row r="8" ht="23.25" customHeight="1">
      <c r="A8" s="21"/>
      <c r="B8" s="21"/>
      <c r="C8" s="22"/>
      <c r="D8" s="23"/>
      <c r="E8" s="22"/>
      <c r="F8" s="23"/>
      <c r="G8" s="24" t="s">
        <v>11</v>
      </c>
      <c r="H8" s="19"/>
      <c r="I8" s="24" t="s">
        <v>12</v>
      </c>
      <c r="J8" s="19"/>
      <c r="K8" s="24" t="s">
        <v>13</v>
      </c>
      <c r="L8" s="19"/>
      <c r="M8" s="21"/>
    </row>
    <row r="9" ht="20.25" customHeight="1">
      <c r="A9" s="21"/>
      <c r="B9" s="21"/>
      <c r="C9" s="25" t="s">
        <v>14</v>
      </c>
      <c r="D9" s="26" t="s">
        <v>15</v>
      </c>
      <c r="E9" s="27" t="s">
        <v>16</v>
      </c>
      <c r="F9" s="15"/>
      <c r="G9" s="28" t="s">
        <v>17</v>
      </c>
      <c r="H9" s="29" t="s">
        <v>18</v>
      </c>
      <c r="I9" s="28" t="s">
        <v>17</v>
      </c>
      <c r="J9" s="29" t="s">
        <v>18</v>
      </c>
      <c r="K9" s="28" t="s">
        <v>17</v>
      </c>
      <c r="L9" s="29" t="s">
        <v>18</v>
      </c>
      <c r="M9" s="21"/>
    </row>
    <row r="10" ht="64.5" customHeight="1">
      <c r="A10" s="30"/>
      <c r="B10" s="30"/>
      <c r="C10" s="30"/>
      <c r="D10" s="30"/>
      <c r="E10" s="31" t="s">
        <v>17</v>
      </c>
      <c r="F10" s="29" t="s">
        <v>18</v>
      </c>
      <c r="G10" s="30"/>
      <c r="H10" s="30"/>
      <c r="I10" s="30"/>
      <c r="J10" s="30"/>
      <c r="K10" s="30"/>
      <c r="L10" s="30"/>
      <c r="M10" s="30"/>
    </row>
    <row r="11">
      <c r="A11" s="505" t="s">
        <v>922</v>
      </c>
      <c r="B11" s="19"/>
      <c r="C11" s="37"/>
      <c r="D11" s="35">
        <f>SUM(D12:D19)</f>
        <v>550</v>
      </c>
      <c r="E11" s="47"/>
      <c r="F11" s="47"/>
      <c r="G11" s="229"/>
      <c r="H11" s="229"/>
      <c r="I11" s="229"/>
      <c r="J11" s="229"/>
      <c r="K11" s="229"/>
      <c r="L11" s="229"/>
      <c r="M11" s="229"/>
    </row>
    <row r="12">
      <c r="A12" s="83" t="s">
        <v>923</v>
      </c>
      <c r="B12" s="81"/>
      <c r="C12" s="354">
        <v>36.0</v>
      </c>
      <c r="D12" s="52">
        <v>480.0</v>
      </c>
      <c r="E12" s="47"/>
      <c r="F12" s="37"/>
      <c r="G12" s="229"/>
      <c r="H12" s="229"/>
      <c r="I12" s="229"/>
      <c r="J12" s="229"/>
      <c r="K12" s="229"/>
      <c r="L12" s="229"/>
      <c r="M12" s="229"/>
    </row>
    <row r="13">
      <c r="A13" s="39" t="s">
        <v>924</v>
      </c>
      <c r="B13" s="81" t="s">
        <v>925</v>
      </c>
      <c r="C13" s="354">
        <v>10.0</v>
      </c>
      <c r="D13" s="52">
        <v>40.0</v>
      </c>
      <c r="E13" s="506">
        <v>37.0</v>
      </c>
      <c r="F13" s="507">
        <v>232.0</v>
      </c>
      <c r="G13" s="229"/>
      <c r="H13" s="229"/>
      <c r="I13" s="229"/>
      <c r="J13" s="229"/>
      <c r="K13" s="229"/>
      <c r="L13" s="229"/>
      <c r="M13" s="229"/>
    </row>
    <row r="14">
      <c r="A14" s="39" t="s">
        <v>926</v>
      </c>
      <c r="B14" s="81" t="s">
        <v>925</v>
      </c>
      <c r="C14" s="354">
        <v>20.0</v>
      </c>
      <c r="D14" s="52">
        <v>30.0</v>
      </c>
      <c r="E14" s="506">
        <v>10.0</v>
      </c>
      <c r="F14" s="507">
        <v>90.0</v>
      </c>
      <c r="G14" s="229"/>
      <c r="H14" s="229"/>
      <c r="I14" s="229"/>
      <c r="J14" s="229"/>
      <c r="K14" s="229"/>
      <c r="L14" s="229"/>
      <c r="M14" s="229"/>
    </row>
    <row r="15">
      <c r="A15" s="39" t="s">
        <v>927</v>
      </c>
      <c r="B15" s="81" t="s">
        <v>925</v>
      </c>
      <c r="C15" s="39"/>
      <c r="D15" s="49"/>
      <c r="E15" s="506">
        <v>5.0</v>
      </c>
      <c r="F15" s="507">
        <v>90.0</v>
      </c>
      <c r="G15" s="229"/>
      <c r="H15" s="229"/>
      <c r="I15" s="229"/>
      <c r="J15" s="229"/>
      <c r="K15" s="229"/>
      <c r="L15" s="229"/>
      <c r="M15" s="229"/>
    </row>
    <row r="16">
      <c r="A16" s="39" t="s">
        <v>928</v>
      </c>
      <c r="B16" s="323" t="s">
        <v>929</v>
      </c>
      <c r="C16" s="37"/>
      <c r="D16" s="49"/>
      <c r="E16" s="507"/>
      <c r="F16" s="508">
        <v>0.0</v>
      </c>
      <c r="G16" s="229"/>
      <c r="H16" s="229"/>
      <c r="I16" s="229"/>
      <c r="J16" s="229"/>
      <c r="K16" s="229"/>
      <c r="L16" s="229"/>
      <c r="M16" s="229"/>
    </row>
    <row r="17">
      <c r="A17" s="39" t="s">
        <v>930</v>
      </c>
      <c r="B17" s="323" t="s">
        <v>931</v>
      </c>
      <c r="C17" s="47"/>
      <c r="D17" s="49"/>
      <c r="E17" s="509">
        <v>37.0</v>
      </c>
      <c r="F17" s="506">
        <v>53.0</v>
      </c>
      <c r="G17" s="229"/>
      <c r="H17" s="229"/>
      <c r="I17" s="229"/>
      <c r="J17" s="229"/>
      <c r="K17" s="229"/>
      <c r="L17" s="229"/>
      <c r="M17" s="229"/>
    </row>
    <row r="18">
      <c r="A18" s="39" t="s">
        <v>932</v>
      </c>
      <c r="B18" s="323" t="s">
        <v>933</v>
      </c>
      <c r="C18" s="47"/>
      <c r="D18" s="49"/>
      <c r="E18" s="508"/>
      <c r="F18" s="508">
        <v>0.0</v>
      </c>
      <c r="G18" s="229"/>
      <c r="H18" s="229"/>
      <c r="I18" s="229"/>
      <c r="J18" s="229"/>
      <c r="K18" s="229"/>
      <c r="L18" s="229"/>
      <c r="M18" s="229"/>
    </row>
    <row r="19">
      <c r="A19" s="39"/>
      <c r="B19" s="323"/>
      <c r="C19" s="47"/>
      <c r="D19" s="49"/>
      <c r="E19" s="506"/>
      <c r="F19" s="508"/>
      <c r="G19" s="229"/>
      <c r="H19" s="229"/>
      <c r="I19" s="229"/>
      <c r="J19" s="229"/>
      <c r="K19" s="229"/>
      <c r="L19" s="229"/>
      <c r="M19" s="229"/>
    </row>
    <row r="20">
      <c r="A20" s="83" t="s">
        <v>934</v>
      </c>
      <c r="B20" s="323"/>
      <c r="C20" s="47"/>
      <c r="D20" s="49"/>
      <c r="E20" s="508"/>
      <c r="F20" s="508"/>
      <c r="G20" s="229"/>
      <c r="H20" s="229"/>
      <c r="I20" s="229"/>
      <c r="J20" s="229"/>
      <c r="K20" s="229"/>
      <c r="L20" s="229"/>
      <c r="M20" s="229"/>
    </row>
    <row r="21" ht="24.75" customHeight="1">
      <c r="A21" s="39" t="s">
        <v>935</v>
      </c>
      <c r="B21" s="81" t="s">
        <v>936</v>
      </c>
      <c r="C21" s="37"/>
      <c r="D21" s="49"/>
      <c r="E21" s="507">
        <v>250.0</v>
      </c>
      <c r="F21" s="508">
        <v>175.0</v>
      </c>
      <c r="G21" s="510"/>
      <c r="H21" s="510"/>
      <c r="I21" s="510"/>
      <c r="J21" s="510"/>
      <c r="K21" s="510"/>
      <c r="L21" s="510"/>
      <c r="M21" s="510"/>
    </row>
    <row r="22" ht="21.0" customHeight="1">
      <c r="A22" s="39" t="s">
        <v>937</v>
      </c>
      <c r="B22" s="81" t="s">
        <v>936</v>
      </c>
      <c r="C22" s="37"/>
      <c r="D22" s="49"/>
      <c r="E22" s="507">
        <v>38.0</v>
      </c>
      <c r="F22" s="508">
        <v>160.0</v>
      </c>
      <c r="G22" s="510"/>
      <c r="H22" s="510"/>
      <c r="I22" s="510"/>
      <c r="J22" s="510"/>
      <c r="K22" s="510"/>
      <c r="L22" s="510"/>
      <c r="M22" s="510"/>
    </row>
    <row r="23" ht="23.25" customHeight="1">
      <c r="A23" s="39" t="s">
        <v>938</v>
      </c>
      <c r="B23" s="81" t="s">
        <v>936</v>
      </c>
      <c r="C23" s="37"/>
      <c r="D23" s="49"/>
      <c r="E23" s="507">
        <v>38.0</v>
      </c>
      <c r="F23" s="508">
        <v>160.0</v>
      </c>
      <c r="G23" s="510"/>
      <c r="H23" s="510"/>
      <c r="I23" s="510"/>
      <c r="J23" s="510"/>
      <c r="K23" s="510"/>
      <c r="L23" s="510"/>
      <c r="M23" s="510"/>
    </row>
    <row r="24" ht="37.5" customHeight="1">
      <c r="A24" s="39" t="s">
        <v>939</v>
      </c>
      <c r="B24" s="81" t="s">
        <v>940</v>
      </c>
      <c r="C24" s="37"/>
      <c r="D24" s="49"/>
      <c r="E24" s="507">
        <v>250.0</v>
      </c>
      <c r="F24" s="508">
        <v>80.0</v>
      </c>
      <c r="G24" s="510"/>
      <c r="H24" s="510"/>
      <c r="I24" s="510"/>
      <c r="J24" s="510"/>
      <c r="K24" s="510"/>
      <c r="L24" s="510"/>
      <c r="M24" s="510"/>
    </row>
    <row r="25" ht="24.0" customHeight="1">
      <c r="A25" s="39" t="s">
        <v>941</v>
      </c>
      <c r="B25" s="81" t="s">
        <v>942</v>
      </c>
      <c r="C25" s="37"/>
      <c r="D25" s="49"/>
      <c r="E25" s="507">
        <v>1.0</v>
      </c>
      <c r="F25" s="508">
        <v>250.0</v>
      </c>
      <c r="G25" s="510"/>
      <c r="H25" s="510"/>
      <c r="I25" s="510"/>
      <c r="J25" s="510"/>
      <c r="K25" s="510"/>
      <c r="L25" s="510"/>
      <c r="M25" s="510"/>
    </row>
    <row r="26" ht="21.0" customHeight="1">
      <c r="A26" s="91" t="s">
        <v>69</v>
      </c>
      <c r="B26" s="81"/>
      <c r="C26" s="511"/>
      <c r="D26" s="306">
        <f>D11</f>
        <v>550</v>
      </c>
      <c r="E26" s="312"/>
      <c r="F26" s="36">
        <f>SUM(F13:F25)</f>
        <v>1290</v>
      </c>
      <c r="G26" s="261"/>
      <c r="H26" s="302">
        <v>0.0</v>
      </c>
      <c r="I26" s="261"/>
      <c r="J26" s="302">
        <v>0.0</v>
      </c>
      <c r="K26" s="261"/>
      <c r="L26" s="302">
        <v>0.0</v>
      </c>
      <c r="M26" s="510"/>
    </row>
    <row r="27" ht="23.25" customHeight="1">
      <c r="A27" s="512" t="s">
        <v>943</v>
      </c>
      <c r="B27" s="513"/>
      <c r="C27" s="514"/>
      <c r="D27" s="515"/>
      <c r="E27" s="272"/>
      <c r="F27" s="272"/>
      <c r="G27" s="501"/>
      <c r="H27" s="501"/>
      <c r="I27" s="501"/>
      <c r="J27" s="501"/>
      <c r="K27" s="501"/>
      <c r="L27" s="501"/>
      <c r="M27" s="501"/>
    </row>
    <row r="28" ht="23.25" customHeight="1">
      <c r="A28" s="102"/>
      <c r="B28" s="12"/>
      <c r="C28" s="377"/>
      <c r="D28" s="377"/>
      <c r="E28" s="378"/>
      <c r="F28" s="377"/>
      <c r="G28" s="377"/>
      <c r="H28" s="377"/>
      <c r="I28" s="377"/>
      <c r="J28" s="374"/>
      <c r="K28" s="374"/>
      <c r="L28" s="516"/>
      <c r="M28" s="374"/>
    </row>
    <row r="29" ht="23.25" customHeight="1">
      <c r="A29" s="102" t="s">
        <v>70</v>
      </c>
      <c r="B29" s="12"/>
      <c r="C29" s="377"/>
      <c r="D29" s="377"/>
      <c r="E29" s="378" t="s">
        <v>83</v>
      </c>
      <c r="F29" s="377"/>
      <c r="G29" s="377"/>
      <c r="H29" s="377"/>
      <c r="I29" s="377"/>
      <c r="J29" s="374"/>
      <c r="K29" s="374"/>
      <c r="L29" s="108" t="s">
        <v>73</v>
      </c>
      <c r="M29" s="374"/>
    </row>
    <row r="30" ht="16.5" customHeight="1">
      <c r="A30" s="104"/>
      <c r="B30" s="12"/>
      <c r="C30" s="377"/>
      <c r="D30" s="377"/>
      <c r="E30" s="371"/>
      <c r="F30" s="377"/>
      <c r="G30" s="377"/>
      <c r="H30" s="377"/>
      <c r="I30" s="377"/>
      <c r="J30" s="374"/>
      <c r="K30" s="374"/>
      <c r="L30" s="373"/>
      <c r="M30" s="374"/>
    </row>
    <row r="31" ht="16.5" customHeight="1">
      <c r="A31" s="104"/>
      <c r="B31" s="12"/>
      <c r="C31" s="377"/>
      <c r="D31" s="377"/>
      <c r="E31" s="371"/>
      <c r="F31" s="377"/>
      <c r="G31" s="377"/>
      <c r="H31" s="377"/>
      <c r="I31" s="377"/>
      <c r="J31" s="374"/>
      <c r="K31" s="374"/>
      <c r="L31" s="373"/>
      <c r="M31" s="374"/>
    </row>
    <row r="32" ht="16.5" customHeight="1">
      <c r="A32" s="377"/>
      <c r="B32" s="12"/>
      <c r="C32" s="377"/>
      <c r="D32" s="377"/>
      <c r="E32" s="371"/>
      <c r="F32" s="12"/>
      <c r="G32" s="12"/>
      <c r="H32" s="12"/>
      <c r="I32" s="377"/>
      <c r="J32" s="12"/>
      <c r="K32" s="12"/>
      <c r="L32" s="373"/>
      <c r="M32" s="12"/>
    </row>
    <row r="33" ht="16.5" customHeight="1">
      <c r="A33" s="104"/>
      <c r="B33" s="12"/>
      <c r="C33" s="377"/>
      <c r="D33" s="377"/>
      <c r="E33" s="371"/>
      <c r="F33" s="12"/>
      <c r="G33" s="12"/>
      <c r="H33" s="12"/>
      <c r="I33" s="377"/>
      <c r="J33" s="12"/>
      <c r="K33" s="12"/>
      <c r="L33" s="373"/>
      <c r="M33" s="12"/>
    </row>
    <row r="34" ht="20.25" customHeight="1">
      <c r="A34" s="106" t="s">
        <v>75</v>
      </c>
      <c r="B34" s="12"/>
      <c r="C34" s="377"/>
      <c r="D34" s="377"/>
      <c r="E34" s="380" t="s">
        <v>76</v>
      </c>
      <c r="F34" s="12"/>
      <c r="G34" s="12"/>
      <c r="H34" s="12"/>
      <c r="I34" s="377"/>
      <c r="J34" s="12"/>
      <c r="K34" s="12"/>
      <c r="L34" s="106" t="s">
        <v>77</v>
      </c>
      <c r="M34" s="12"/>
    </row>
    <row r="35" ht="16.5" customHeight="1">
      <c r="A35" s="108" t="s">
        <v>79</v>
      </c>
      <c r="B35" s="12"/>
      <c r="C35" s="377"/>
      <c r="D35" s="377"/>
      <c r="E35" s="378" t="s">
        <v>80</v>
      </c>
      <c r="F35" s="12"/>
      <c r="G35" s="12"/>
      <c r="H35" s="12"/>
      <c r="I35" s="377"/>
      <c r="J35" s="12"/>
      <c r="K35" s="12"/>
      <c r="L35" s="108" t="s">
        <v>81</v>
      </c>
      <c r="M35" s="12"/>
    </row>
    <row r="36" ht="16.5" customHeight="1">
      <c r="A36" s="501"/>
      <c r="B36" s="517"/>
      <c r="C36" s="431"/>
      <c r="D36" s="213"/>
      <c r="E36" s="272"/>
      <c r="F36" s="272"/>
      <c r="G36" s="501"/>
      <c r="H36" s="501"/>
      <c r="I36" s="501"/>
      <c r="J36" s="501"/>
      <c r="K36" s="501"/>
      <c r="L36" s="501"/>
      <c r="M36" s="501"/>
    </row>
    <row r="37" ht="16.5" customHeight="1">
      <c r="A37" s="272"/>
      <c r="B37" s="114"/>
      <c r="C37" s="431"/>
      <c r="D37" s="213"/>
      <c r="E37" s="272"/>
      <c r="F37" s="272"/>
      <c r="G37" s="501"/>
      <c r="H37" s="501"/>
      <c r="I37" s="501"/>
      <c r="J37" s="501"/>
      <c r="K37" s="501"/>
      <c r="L37" s="501"/>
      <c r="M37" s="501"/>
    </row>
    <row r="38" ht="16.5" customHeight="1">
      <c r="A38" s="272"/>
      <c r="B38" s="114"/>
      <c r="C38" s="431"/>
      <c r="D38" s="213"/>
      <c r="E38" s="272"/>
      <c r="F38" s="272"/>
      <c r="G38" s="501"/>
      <c r="H38" s="501"/>
      <c r="I38" s="501"/>
      <c r="J38" s="501"/>
      <c r="K38" s="501"/>
      <c r="L38" s="501"/>
      <c r="M38" s="501"/>
    </row>
    <row r="39" ht="16.5" customHeight="1">
      <c r="A39" s="272"/>
      <c r="B39" s="114"/>
      <c r="C39" s="431"/>
      <c r="D39" s="213"/>
      <c r="E39" s="272"/>
      <c r="F39" s="272"/>
      <c r="G39" s="501"/>
      <c r="H39" s="501"/>
      <c r="I39" s="501"/>
      <c r="J39" s="501"/>
      <c r="K39" s="501"/>
      <c r="L39" s="501"/>
      <c r="M39" s="501"/>
    </row>
    <row r="40" ht="16.5" customHeight="1">
      <c r="A40" s="272"/>
      <c r="B40" s="114"/>
      <c r="C40" s="431"/>
      <c r="D40" s="213"/>
      <c r="E40" s="272"/>
      <c r="F40" s="272"/>
      <c r="G40" s="501"/>
      <c r="H40" s="501"/>
      <c r="I40" s="501"/>
      <c r="J40" s="501"/>
      <c r="K40" s="501"/>
      <c r="L40" s="501"/>
      <c r="M40" s="501"/>
    </row>
    <row r="41" ht="16.5" customHeight="1">
      <c r="A41" s="272"/>
      <c r="B41" s="114"/>
      <c r="C41" s="431"/>
      <c r="D41" s="213"/>
      <c r="E41" s="272"/>
      <c r="F41" s="272"/>
      <c r="G41" s="501"/>
      <c r="H41" s="501"/>
      <c r="I41" s="501"/>
      <c r="J41" s="501"/>
      <c r="K41" s="501"/>
      <c r="L41" s="501"/>
      <c r="M41" s="501"/>
    </row>
    <row r="42" ht="16.5" customHeight="1">
      <c r="A42" s="272"/>
      <c r="B42" s="114"/>
      <c r="C42" s="431"/>
      <c r="D42" s="213"/>
      <c r="E42" s="272"/>
      <c r="F42" s="272"/>
      <c r="G42" s="501"/>
      <c r="H42" s="501"/>
      <c r="I42" s="501"/>
      <c r="J42" s="501"/>
      <c r="K42" s="501"/>
      <c r="L42" s="501"/>
      <c r="M42" s="501"/>
    </row>
    <row r="43" ht="16.5" customHeight="1">
      <c r="A43" s="272"/>
      <c r="B43" s="114"/>
      <c r="C43" s="431"/>
      <c r="D43" s="213"/>
      <c r="E43" s="272"/>
      <c r="F43" s="272"/>
      <c r="G43" s="501"/>
      <c r="H43" s="501"/>
      <c r="I43" s="501"/>
      <c r="J43" s="501"/>
      <c r="K43" s="501"/>
      <c r="L43" s="501"/>
      <c r="M43" s="501"/>
    </row>
    <row r="44" ht="16.5" customHeight="1">
      <c r="A44" s="272"/>
      <c r="B44" s="114"/>
      <c r="C44" s="431"/>
      <c r="D44" s="213"/>
      <c r="E44" s="272"/>
      <c r="F44" s="272"/>
      <c r="G44" s="501"/>
      <c r="H44" s="501"/>
      <c r="I44" s="501"/>
      <c r="J44" s="501"/>
      <c r="K44" s="501"/>
      <c r="L44" s="501"/>
      <c r="M44" s="501"/>
    </row>
    <row r="45" ht="16.5" customHeight="1">
      <c r="A45" s="272"/>
      <c r="B45" s="114"/>
      <c r="C45" s="431"/>
      <c r="D45" s="213"/>
      <c r="E45" s="272"/>
      <c r="F45" s="272"/>
      <c r="G45" s="501"/>
      <c r="H45" s="501"/>
      <c r="I45" s="501"/>
      <c r="J45" s="501"/>
      <c r="K45" s="501"/>
      <c r="L45" s="501"/>
      <c r="M45" s="501"/>
    </row>
    <row r="46" ht="16.5" customHeight="1">
      <c r="A46" s="272"/>
      <c r="B46" s="114"/>
      <c r="C46" s="431"/>
      <c r="D46" s="213"/>
      <c r="E46" s="272"/>
      <c r="F46" s="272"/>
      <c r="G46" s="501"/>
      <c r="H46" s="501"/>
      <c r="I46" s="501"/>
      <c r="J46" s="501"/>
      <c r="K46" s="501"/>
      <c r="L46" s="501"/>
      <c r="M46" s="501"/>
    </row>
    <row r="47" ht="16.5" customHeight="1">
      <c r="A47" s="272"/>
      <c r="B47" s="114"/>
      <c r="C47" s="431"/>
      <c r="D47" s="213"/>
      <c r="E47" s="272"/>
      <c r="F47" s="272"/>
      <c r="G47" s="501"/>
      <c r="H47" s="501"/>
      <c r="I47" s="501"/>
      <c r="J47" s="501"/>
      <c r="K47" s="501"/>
      <c r="L47" s="501"/>
      <c r="M47" s="501"/>
    </row>
    <row r="48" ht="16.5" customHeight="1">
      <c r="A48" s="272"/>
      <c r="B48" s="114"/>
      <c r="C48" s="431"/>
      <c r="D48" s="213"/>
      <c r="E48" s="272"/>
      <c r="F48" s="272"/>
      <c r="G48" s="501"/>
      <c r="H48" s="501"/>
      <c r="I48" s="501"/>
      <c r="J48" s="501"/>
      <c r="K48" s="501"/>
      <c r="L48" s="501"/>
      <c r="M48" s="501"/>
    </row>
    <row r="49" ht="16.5" customHeight="1">
      <c r="A49" s="272"/>
      <c r="B49" s="114"/>
      <c r="C49" s="431"/>
      <c r="D49" s="213"/>
      <c r="E49" s="272"/>
      <c r="F49" s="272"/>
      <c r="G49" s="501"/>
      <c r="H49" s="501"/>
      <c r="I49" s="501"/>
      <c r="J49" s="501"/>
      <c r="K49" s="501"/>
      <c r="L49" s="501"/>
      <c r="M49" s="501"/>
    </row>
    <row r="50" ht="16.5" customHeight="1">
      <c r="A50" s="272"/>
      <c r="B50" s="114"/>
      <c r="C50" s="431"/>
      <c r="D50" s="213"/>
      <c r="E50" s="272"/>
      <c r="F50" s="272"/>
      <c r="G50" s="501"/>
      <c r="H50" s="501"/>
      <c r="I50" s="501"/>
      <c r="J50" s="501"/>
      <c r="K50" s="501"/>
      <c r="L50" s="501"/>
      <c r="M50" s="501"/>
    </row>
    <row r="51" ht="16.5" customHeight="1">
      <c r="A51" s="272"/>
      <c r="B51" s="114"/>
      <c r="C51" s="431"/>
      <c r="D51" s="213"/>
      <c r="E51" s="272"/>
      <c r="F51" s="272"/>
      <c r="G51" s="501"/>
      <c r="H51" s="501"/>
      <c r="I51" s="501"/>
      <c r="J51" s="501"/>
      <c r="K51" s="501"/>
      <c r="L51" s="501"/>
      <c r="M51" s="501"/>
    </row>
    <row r="52" ht="16.5" customHeight="1">
      <c r="A52" s="272"/>
      <c r="B52" s="114"/>
      <c r="C52" s="431"/>
      <c r="D52" s="213"/>
      <c r="E52" s="272"/>
      <c r="F52" s="272"/>
      <c r="G52" s="501"/>
      <c r="H52" s="501"/>
      <c r="I52" s="501"/>
      <c r="J52" s="501"/>
      <c r="K52" s="501"/>
      <c r="L52" s="501"/>
      <c r="M52" s="501"/>
    </row>
    <row r="53" ht="16.5" customHeight="1">
      <c r="A53" s="272"/>
      <c r="B53" s="114"/>
      <c r="C53" s="431"/>
      <c r="D53" s="213"/>
      <c r="E53" s="272"/>
      <c r="F53" s="272"/>
      <c r="G53" s="501"/>
      <c r="H53" s="501"/>
      <c r="I53" s="501"/>
      <c r="J53" s="501"/>
      <c r="K53" s="501"/>
      <c r="L53" s="501"/>
      <c r="M53" s="501"/>
    </row>
    <row r="54" ht="16.5" customHeight="1">
      <c r="A54" s="272"/>
      <c r="B54" s="114"/>
      <c r="C54" s="431"/>
      <c r="D54" s="213"/>
      <c r="E54" s="272"/>
      <c r="F54" s="272"/>
      <c r="G54" s="501"/>
      <c r="H54" s="501"/>
      <c r="I54" s="501"/>
      <c r="J54" s="501"/>
      <c r="K54" s="501"/>
      <c r="L54" s="501"/>
      <c r="M54" s="501"/>
    </row>
    <row r="55" ht="16.5" customHeight="1">
      <c r="A55" s="272"/>
      <c r="B55" s="114"/>
      <c r="C55" s="431"/>
      <c r="D55" s="213"/>
      <c r="E55" s="272"/>
      <c r="F55" s="272"/>
      <c r="G55" s="501"/>
      <c r="H55" s="501"/>
      <c r="I55" s="501"/>
      <c r="J55" s="501"/>
      <c r="K55" s="501"/>
      <c r="L55" s="501"/>
      <c r="M55" s="501"/>
    </row>
    <row r="56" ht="16.5" customHeight="1">
      <c r="A56" s="272"/>
      <c r="B56" s="114"/>
      <c r="C56" s="431"/>
      <c r="D56" s="213"/>
      <c r="E56" s="272"/>
      <c r="F56" s="272"/>
      <c r="G56" s="501"/>
      <c r="H56" s="501"/>
      <c r="I56" s="501"/>
      <c r="J56" s="501"/>
      <c r="K56" s="501"/>
      <c r="L56" s="501"/>
      <c r="M56" s="501"/>
    </row>
    <row r="57" ht="16.5" customHeight="1">
      <c r="A57" s="272"/>
      <c r="B57" s="114"/>
      <c r="C57" s="431"/>
      <c r="D57" s="213"/>
      <c r="E57" s="272"/>
      <c r="F57" s="272"/>
      <c r="G57" s="501"/>
      <c r="H57" s="501"/>
      <c r="I57" s="501"/>
      <c r="J57" s="501"/>
      <c r="K57" s="501"/>
      <c r="L57" s="501"/>
      <c r="M57" s="501"/>
    </row>
    <row r="58" ht="16.5" customHeight="1">
      <c r="A58" s="272"/>
      <c r="B58" s="114"/>
      <c r="C58" s="431"/>
      <c r="D58" s="213"/>
      <c r="E58" s="272"/>
      <c r="F58" s="272"/>
      <c r="G58" s="501"/>
      <c r="H58" s="501"/>
      <c r="I58" s="501"/>
      <c r="J58" s="501"/>
      <c r="K58" s="501"/>
      <c r="L58" s="501"/>
      <c r="M58" s="501"/>
    </row>
    <row r="59" ht="16.5" customHeight="1">
      <c r="A59" s="272"/>
      <c r="B59" s="114"/>
      <c r="C59" s="431"/>
      <c r="D59" s="213"/>
      <c r="E59" s="272"/>
      <c r="F59" s="272"/>
      <c r="G59" s="501"/>
      <c r="H59" s="501"/>
      <c r="I59" s="501"/>
      <c r="J59" s="501"/>
      <c r="K59" s="501"/>
      <c r="L59" s="501"/>
      <c r="M59" s="501"/>
    </row>
    <row r="60" ht="16.5" customHeight="1">
      <c r="A60" s="272"/>
      <c r="B60" s="114"/>
      <c r="C60" s="431"/>
      <c r="D60" s="213"/>
      <c r="E60" s="272"/>
      <c r="F60" s="272"/>
      <c r="G60" s="501"/>
      <c r="H60" s="501"/>
      <c r="I60" s="501"/>
      <c r="J60" s="501"/>
      <c r="K60" s="501"/>
      <c r="L60" s="501"/>
      <c r="M60" s="501"/>
    </row>
    <row r="61" ht="16.5" customHeight="1">
      <c r="A61" s="272"/>
      <c r="B61" s="114"/>
      <c r="C61" s="431"/>
      <c r="D61" s="213"/>
      <c r="E61" s="272"/>
      <c r="F61" s="272"/>
      <c r="G61" s="501"/>
      <c r="H61" s="501"/>
      <c r="I61" s="501"/>
      <c r="J61" s="501"/>
      <c r="K61" s="501"/>
      <c r="L61" s="501"/>
      <c r="M61" s="501"/>
    </row>
    <row r="62" ht="16.5" customHeight="1">
      <c r="A62" s="272"/>
      <c r="B62" s="114"/>
      <c r="C62" s="431"/>
      <c r="D62" s="213"/>
      <c r="E62" s="272"/>
      <c r="F62" s="272"/>
      <c r="G62" s="501"/>
      <c r="H62" s="501"/>
      <c r="I62" s="501"/>
      <c r="J62" s="501"/>
      <c r="K62" s="501"/>
      <c r="L62" s="501"/>
      <c r="M62" s="501"/>
    </row>
    <row r="63" ht="16.5" customHeight="1">
      <c r="A63" s="272"/>
      <c r="B63" s="114"/>
      <c r="C63" s="431"/>
      <c r="D63" s="213"/>
      <c r="E63" s="272"/>
      <c r="F63" s="272"/>
      <c r="G63" s="501"/>
      <c r="H63" s="501"/>
      <c r="I63" s="501"/>
      <c r="J63" s="501"/>
      <c r="K63" s="501"/>
      <c r="L63" s="501"/>
      <c r="M63" s="501"/>
    </row>
    <row r="64" ht="16.5" customHeight="1">
      <c r="A64" s="272"/>
      <c r="B64" s="114"/>
      <c r="C64" s="431"/>
      <c r="D64" s="213"/>
      <c r="E64" s="272"/>
      <c r="F64" s="272"/>
      <c r="G64" s="501"/>
      <c r="H64" s="501"/>
      <c r="I64" s="501"/>
      <c r="J64" s="501"/>
      <c r="K64" s="501"/>
      <c r="L64" s="501"/>
      <c r="M64" s="501"/>
    </row>
    <row r="65" ht="16.5" customHeight="1">
      <c r="A65" s="272"/>
      <c r="B65" s="114"/>
      <c r="C65" s="431"/>
      <c r="D65" s="213"/>
      <c r="E65" s="272"/>
      <c r="F65" s="272"/>
      <c r="G65" s="501"/>
      <c r="H65" s="501"/>
      <c r="I65" s="501"/>
      <c r="J65" s="501"/>
      <c r="K65" s="501"/>
      <c r="L65" s="501"/>
      <c r="M65" s="501"/>
    </row>
    <row r="66" ht="16.5" customHeight="1">
      <c r="A66" s="272"/>
      <c r="B66" s="114"/>
      <c r="C66" s="431"/>
      <c r="D66" s="213"/>
      <c r="E66" s="272"/>
      <c r="F66" s="272"/>
      <c r="G66" s="501"/>
      <c r="H66" s="501"/>
      <c r="I66" s="501"/>
      <c r="J66" s="501"/>
      <c r="K66" s="501"/>
      <c r="L66" s="501"/>
      <c r="M66" s="501"/>
    </row>
    <row r="67" ht="16.5" customHeight="1">
      <c r="A67" s="272"/>
      <c r="B67" s="114"/>
      <c r="C67" s="431"/>
      <c r="D67" s="213"/>
      <c r="E67" s="272"/>
      <c r="F67" s="272"/>
      <c r="G67" s="501"/>
      <c r="H67" s="501"/>
      <c r="I67" s="501"/>
      <c r="J67" s="501"/>
      <c r="K67" s="501"/>
      <c r="L67" s="501"/>
      <c r="M67" s="501"/>
    </row>
    <row r="68" ht="16.5" customHeight="1">
      <c r="A68" s="272"/>
      <c r="B68" s="114"/>
      <c r="C68" s="431"/>
      <c r="D68" s="213"/>
      <c r="E68" s="272"/>
      <c r="F68" s="272"/>
      <c r="G68" s="501"/>
      <c r="H68" s="501"/>
      <c r="I68" s="501"/>
      <c r="J68" s="501"/>
      <c r="K68" s="501"/>
      <c r="L68" s="501"/>
      <c r="M68" s="501"/>
    </row>
    <row r="69" ht="16.5" customHeight="1">
      <c r="A69" s="272"/>
      <c r="B69" s="114"/>
      <c r="C69" s="431"/>
      <c r="D69" s="213"/>
      <c r="E69" s="272"/>
      <c r="F69" s="272"/>
      <c r="G69" s="501"/>
      <c r="H69" s="501"/>
      <c r="I69" s="501"/>
      <c r="J69" s="501"/>
      <c r="K69" s="501"/>
      <c r="L69" s="501"/>
      <c r="M69" s="501"/>
    </row>
    <row r="70" ht="16.5" customHeight="1">
      <c r="A70" s="272"/>
      <c r="B70" s="114"/>
      <c r="C70" s="431"/>
      <c r="D70" s="213"/>
      <c r="E70" s="272"/>
      <c r="F70" s="272"/>
      <c r="G70" s="501"/>
      <c r="H70" s="501"/>
      <c r="I70" s="501"/>
      <c r="J70" s="501"/>
      <c r="K70" s="501"/>
      <c r="L70" s="501"/>
      <c r="M70" s="501"/>
    </row>
    <row r="71" ht="16.5" customHeight="1">
      <c r="A71" s="272"/>
      <c r="B71" s="114"/>
      <c r="C71" s="431"/>
      <c r="D71" s="213"/>
      <c r="E71" s="272"/>
      <c r="F71" s="272"/>
      <c r="G71" s="501"/>
      <c r="H71" s="501"/>
      <c r="I71" s="501"/>
      <c r="J71" s="501"/>
      <c r="K71" s="501"/>
      <c r="L71" s="501"/>
      <c r="M71" s="501"/>
    </row>
    <row r="72" ht="16.5" customHeight="1">
      <c r="A72" s="272"/>
      <c r="B72" s="114"/>
      <c r="C72" s="431"/>
      <c r="D72" s="213"/>
      <c r="E72" s="272"/>
      <c r="F72" s="272"/>
      <c r="G72" s="501"/>
      <c r="H72" s="501"/>
      <c r="I72" s="501"/>
      <c r="J72" s="501"/>
      <c r="K72" s="501"/>
      <c r="L72" s="501"/>
      <c r="M72" s="501"/>
    </row>
    <row r="73" ht="16.5" customHeight="1">
      <c r="A73" s="272"/>
      <c r="B73" s="114"/>
      <c r="C73" s="431"/>
      <c r="D73" s="213"/>
      <c r="E73" s="272"/>
      <c r="F73" s="272"/>
      <c r="G73" s="501"/>
      <c r="H73" s="501"/>
      <c r="I73" s="501"/>
      <c r="J73" s="501"/>
      <c r="K73" s="501"/>
      <c r="L73" s="501"/>
      <c r="M73" s="501"/>
    </row>
    <row r="74" ht="16.5" customHeight="1">
      <c r="A74" s="272"/>
      <c r="B74" s="114"/>
      <c r="C74" s="431"/>
      <c r="D74" s="213"/>
      <c r="E74" s="272"/>
      <c r="F74" s="272"/>
      <c r="G74" s="501"/>
      <c r="H74" s="501"/>
      <c r="I74" s="501"/>
      <c r="J74" s="501"/>
      <c r="K74" s="501"/>
      <c r="L74" s="501"/>
      <c r="M74" s="501"/>
    </row>
    <row r="75" ht="16.5" customHeight="1">
      <c r="A75" s="272"/>
      <c r="B75" s="114"/>
      <c r="C75" s="431"/>
      <c r="D75" s="213"/>
      <c r="E75" s="272"/>
      <c r="F75" s="272"/>
      <c r="G75" s="501"/>
      <c r="H75" s="501"/>
      <c r="I75" s="501"/>
      <c r="J75" s="501"/>
      <c r="K75" s="501"/>
      <c r="L75" s="501"/>
      <c r="M75" s="501"/>
    </row>
    <row r="76" ht="16.5" customHeight="1">
      <c r="A76" s="272"/>
      <c r="B76" s="114"/>
      <c r="C76" s="431"/>
      <c r="D76" s="213"/>
      <c r="E76" s="272"/>
      <c r="F76" s="272"/>
      <c r="G76" s="501"/>
      <c r="H76" s="501"/>
      <c r="I76" s="501"/>
      <c r="J76" s="501"/>
      <c r="K76" s="501"/>
      <c r="L76" s="501"/>
      <c r="M76" s="501"/>
    </row>
    <row r="77" ht="16.5" customHeight="1">
      <c r="A77" s="272"/>
      <c r="B77" s="114"/>
      <c r="C77" s="431"/>
      <c r="D77" s="213"/>
      <c r="E77" s="272"/>
      <c r="F77" s="272"/>
      <c r="G77" s="501"/>
      <c r="H77" s="501"/>
      <c r="I77" s="501"/>
      <c r="J77" s="501"/>
      <c r="K77" s="501"/>
      <c r="L77" s="501"/>
      <c r="M77" s="501"/>
    </row>
    <row r="78" ht="16.5" customHeight="1">
      <c r="A78" s="272"/>
      <c r="B78" s="114"/>
      <c r="C78" s="431"/>
      <c r="D78" s="213"/>
      <c r="E78" s="272"/>
      <c r="F78" s="272"/>
      <c r="G78" s="501"/>
      <c r="H78" s="501"/>
      <c r="I78" s="501"/>
      <c r="J78" s="501"/>
      <c r="K78" s="501"/>
      <c r="L78" s="501"/>
      <c r="M78" s="501"/>
    </row>
    <row r="79" ht="16.5" customHeight="1">
      <c r="A79" s="272"/>
      <c r="B79" s="114"/>
      <c r="C79" s="431"/>
      <c r="D79" s="213"/>
      <c r="E79" s="272"/>
      <c r="F79" s="272"/>
      <c r="G79" s="501"/>
      <c r="H79" s="501"/>
      <c r="I79" s="501"/>
      <c r="J79" s="501"/>
      <c r="K79" s="501"/>
      <c r="L79" s="501"/>
      <c r="M79" s="501"/>
    </row>
    <row r="80" ht="16.5" customHeight="1">
      <c r="A80" s="272"/>
      <c r="B80" s="114"/>
      <c r="C80" s="431"/>
      <c r="D80" s="213"/>
      <c r="E80" s="272"/>
      <c r="F80" s="272"/>
      <c r="G80" s="501"/>
      <c r="H80" s="501"/>
      <c r="I80" s="501"/>
      <c r="J80" s="501"/>
      <c r="K80" s="501"/>
      <c r="L80" s="501"/>
      <c r="M80" s="501"/>
    </row>
    <row r="81" ht="16.5" customHeight="1">
      <c r="A81" s="272"/>
      <c r="B81" s="114"/>
      <c r="C81" s="431"/>
      <c r="D81" s="213"/>
      <c r="E81" s="272"/>
      <c r="F81" s="272"/>
      <c r="G81" s="501"/>
      <c r="H81" s="501"/>
      <c r="I81" s="501"/>
      <c r="J81" s="501"/>
      <c r="K81" s="501"/>
      <c r="L81" s="501"/>
      <c r="M81" s="501"/>
    </row>
    <row r="82" ht="16.5" customHeight="1">
      <c r="A82" s="272"/>
      <c r="B82" s="114"/>
      <c r="C82" s="431"/>
      <c r="D82" s="213"/>
      <c r="E82" s="272"/>
      <c r="F82" s="272"/>
      <c r="G82" s="501"/>
      <c r="H82" s="501"/>
      <c r="I82" s="501"/>
      <c r="J82" s="501"/>
      <c r="K82" s="501"/>
      <c r="L82" s="501"/>
      <c r="M82" s="501"/>
    </row>
    <row r="83" ht="16.5" customHeight="1">
      <c r="A83" s="272"/>
      <c r="B83" s="114"/>
      <c r="C83" s="431"/>
      <c r="D83" s="213"/>
      <c r="E83" s="272"/>
      <c r="F83" s="272"/>
      <c r="G83" s="501"/>
      <c r="H83" s="501"/>
      <c r="I83" s="501"/>
      <c r="J83" s="501"/>
      <c r="K83" s="501"/>
      <c r="L83" s="501"/>
      <c r="M83" s="501"/>
    </row>
    <row r="84" ht="16.5" customHeight="1">
      <c r="A84" s="272"/>
      <c r="B84" s="114"/>
      <c r="C84" s="431"/>
      <c r="D84" s="213"/>
      <c r="E84" s="272"/>
      <c r="F84" s="272"/>
      <c r="G84" s="501"/>
      <c r="H84" s="501"/>
      <c r="I84" s="501"/>
      <c r="J84" s="501"/>
      <c r="K84" s="501"/>
      <c r="L84" s="501"/>
      <c r="M84" s="501"/>
    </row>
    <row r="85" ht="16.5" customHeight="1">
      <c r="A85" s="272"/>
      <c r="B85" s="114"/>
      <c r="C85" s="431"/>
      <c r="D85" s="213"/>
      <c r="E85" s="272"/>
      <c r="F85" s="272"/>
      <c r="G85" s="501"/>
      <c r="H85" s="501"/>
      <c r="I85" s="501"/>
      <c r="J85" s="501"/>
      <c r="K85" s="501"/>
      <c r="L85" s="501"/>
      <c r="M85" s="501"/>
    </row>
    <row r="86" ht="16.5" customHeight="1">
      <c r="A86" s="272"/>
      <c r="B86" s="114"/>
      <c r="C86" s="431"/>
      <c r="D86" s="213"/>
      <c r="E86" s="272"/>
      <c r="F86" s="272"/>
      <c r="G86" s="501"/>
      <c r="H86" s="501"/>
      <c r="I86" s="501"/>
      <c r="J86" s="501"/>
      <c r="K86" s="501"/>
      <c r="L86" s="501"/>
      <c r="M86" s="501"/>
    </row>
    <row r="87" ht="16.5" customHeight="1">
      <c r="A87" s="272"/>
      <c r="B87" s="114"/>
      <c r="C87" s="431"/>
      <c r="D87" s="213"/>
      <c r="E87" s="272"/>
      <c r="F87" s="272"/>
      <c r="G87" s="501"/>
      <c r="H87" s="501"/>
      <c r="I87" s="501"/>
      <c r="J87" s="501"/>
      <c r="K87" s="501"/>
      <c r="L87" s="501"/>
      <c r="M87" s="501"/>
    </row>
    <row r="88" ht="16.5" customHeight="1">
      <c r="A88" s="272"/>
      <c r="B88" s="114"/>
      <c r="C88" s="431"/>
      <c r="D88" s="213"/>
      <c r="E88" s="272"/>
      <c r="F88" s="272"/>
      <c r="G88" s="501"/>
      <c r="H88" s="501"/>
      <c r="I88" s="501"/>
      <c r="J88" s="501"/>
      <c r="K88" s="501"/>
      <c r="L88" s="501"/>
      <c r="M88" s="501"/>
    </row>
    <row r="89" ht="16.5" customHeight="1">
      <c r="A89" s="272"/>
      <c r="B89" s="114"/>
      <c r="C89" s="431"/>
      <c r="D89" s="213"/>
      <c r="E89" s="272"/>
      <c r="F89" s="272"/>
      <c r="G89" s="501"/>
      <c r="H89" s="501"/>
      <c r="I89" s="501"/>
      <c r="J89" s="501"/>
      <c r="K89" s="501"/>
      <c r="L89" s="501"/>
      <c r="M89" s="501"/>
    </row>
    <row r="90" ht="16.5" customHeight="1">
      <c r="A90" s="272"/>
      <c r="B90" s="114"/>
      <c r="C90" s="431"/>
      <c r="D90" s="213"/>
      <c r="E90" s="272"/>
      <c r="F90" s="272"/>
      <c r="G90" s="501"/>
      <c r="H90" s="501"/>
      <c r="I90" s="501"/>
      <c r="J90" s="501"/>
      <c r="K90" s="501"/>
      <c r="L90" s="501"/>
      <c r="M90" s="501"/>
    </row>
    <row r="91" ht="16.5" customHeight="1">
      <c r="A91" s="272"/>
      <c r="B91" s="114"/>
      <c r="C91" s="431"/>
      <c r="D91" s="213"/>
      <c r="E91" s="272"/>
      <c r="F91" s="272"/>
      <c r="G91" s="501"/>
      <c r="H91" s="501"/>
      <c r="I91" s="501"/>
      <c r="J91" s="501"/>
      <c r="K91" s="501"/>
      <c r="L91" s="501"/>
      <c r="M91" s="501"/>
    </row>
    <row r="92" ht="16.5" customHeight="1">
      <c r="A92" s="272"/>
      <c r="B92" s="114"/>
      <c r="C92" s="431"/>
      <c r="D92" s="213"/>
      <c r="E92" s="272"/>
      <c r="F92" s="272"/>
      <c r="G92" s="501"/>
      <c r="H92" s="501"/>
      <c r="I92" s="501"/>
      <c r="J92" s="501"/>
      <c r="K92" s="501"/>
      <c r="L92" s="501"/>
      <c r="M92" s="501"/>
    </row>
    <row r="93" ht="16.5" customHeight="1">
      <c r="A93" s="272"/>
      <c r="B93" s="114"/>
      <c r="C93" s="431"/>
      <c r="D93" s="213"/>
      <c r="E93" s="272"/>
      <c r="F93" s="272"/>
      <c r="G93" s="501"/>
      <c r="H93" s="501"/>
      <c r="I93" s="501"/>
      <c r="J93" s="501"/>
      <c r="K93" s="501"/>
      <c r="L93" s="501"/>
      <c r="M93" s="501"/>
    </row>
    <row r="94" ht="16.5" customHeight="1">
      <c r="A94" s="272"/>
      <c r="B94" s="114"/>
      <c r="C94" s="431"/>
      <c r="D94" s="213"/>
      <c r="E94" s="272"/>
      <c r="F94" s="272"/>
      <c r="G94" s="501"/>
      <c r="H94" s="501"/>
      <c r="I94" s="501"/>
      <c r="J94" s="501"/>
      <c r="K94" s="501"/>
      <c r="L94" s="501"/>
      <c r="M94" s="501"/>
    </row>
    <row r="95" ht="16.5" customHeight="1">
      <c r="A95" s="272"/>
      <c r="B95" s="114"/>
      <c r="C95" s="431"/>
      <c r="D95" s="213"/>
      <c r="E95" s="272"/>
      <c r="F95" s="272"/>
      <c r="G95" s="501"/>
      <c r="H95" s="501"/>
      <c r="I95" s="501"/>
      <c r="J95" s="501"/>
      <c r="K95" s="501"/>
      <c r="L95" s="501"/>
      <c r="M95" s="501"/>
    </row>
    <row r="96" ht="16.5" customHeight="1">
      <c r="A96" s="272"/>
      <c r="B96" s="114"/>
      <c r="C96" s="431"/>
      <c r="D96" s="213"/>
      <c r="E96" s="272"/>
      <c r="F96" s="272"/>
      <c r="G96" s="501"/>
      <c r="H96" s="501"/>
      <c r="I96" s="501"/>
      <c r="J96" s="501"/>
      <c r="K96" s="501"/>
      <c r="L96" s="501"/>
      <c r="M96" s="501"/>
    </row>
    <row r="97" ht="16.5" customHeight="1">
      <c r="A97" s="272"/>
      <c r="B97" s="114"/>
      <c r="C97" s="431"/>
      <c r="D97" s="213"/>
      <c r="E97" s="272"/>
      <c r="F97" s="272"/>
      <c r="G97" s="501"/>
      <c r="H97" s="501"/>
      <c r="I97" s="501"/>
      <c r="J97" s="501"/>
      <c r="K97" s="501"/>
      <c r="L97" s="501"/>
      <c r="M97" s="501"/>
    </row>
    <row r="98" ht="16.5" customHeight="1">
      <c r="A98" s="272"/>
      <c r="B98" s="114"/>
      <c r="C98" s="431"/>
      <c r="D98" s="213"/>
      <c r="E98" s="272"/>
      <c r="F98" s="272"/>
      <c r="G98" s="501"/>
      <c r="H98" s="501"/>
      <c r="I98" s="501"/>
      <c r="J98" s="501"/>
      <c r="K98" s="501"/>
      <c r="L98" s="501"/>
      <c r="M98" s="501"/>
    </row>
    <row r="99" ht="16.5" customHeight="1">
      <c r="A99" s="272"/>
      <c r="B99" s="114"/>
      <c r="C99" s="431"/>
      <c r="D99" s="213"/>
      <c r="E99" s="272"/>
      <c r="F99" s="272"/>
      <c r="G99" s="501"/>
      <c r="H99" s="501"/>
      <c r="I99" s="501"/>
      <c r="J99" s="501"/>
      <c r="K99" s="501"/>
      <c r="L99" s="501"/>
      <c r="M99" s="501"/>
    </row>
    <row r="100" ht="16.5" customHeight="1">
      <c r="A100" s="272"/>
      <c r="B100" s="114"/>
      <c r="C100" s="431"/>
      <c r="D100" s="213"/>
      <c r="E100" s="272"/>
      <c r="F100" s="272"/>
      <c r="G100" s="501"/>
      <c r="H100" s="501"/>
      <c r="I100" s="501"/>
      <c r="J100" s="501"/>
      <c r="K100" s="501"/>
      <c r="L100" s="501"/>
      <c r="M100" s="501"/>
    </row>
    <row r="101" ht="16.5" customHeight="1">
      <c r="A101" s="272"/>
      <c r="B101" s="114"/>
      <c r="C101" s="431"/>
      <c r="D101" s="213"/>
      <c r="E101" s="272"/>
      <c r="F101" s="272"/>
      <c r="G101" s="501"/>
      <c r="H101" s="501"/>
      <c r="I101" s="501"/>
      <c r="J101" s="501"/>
      <c r="K101" s="501"/>
      <c r="L101" s="501"/>
      <c r="M101" s="501"/>
    </row>
    <row r="102" ht="16.5" customHeight="1">
      <c r="A102" s="272"/>
      <c r="B102" s="114"/>
      <c r="C102" s="431"/>
      <c r="D102" s="213"/>
      <c r="E102" s="272"/>
      <c r="F102" s="272"/>
      <c r="G102" s="501"/>
      <c r="H102" s="501"/>
      <c r="I102" s="501"/>
      <c r="J102" s="501"/>
      <c r="K102" s="501"/>
      <c r="L102" s="501"/>
      <c r="M102" s="501"/>
    </row>
    <row r="103" ht="16.5" customHeight="1">
      <c r="A103" s="272"/>
      <c r="B103" s="114"/>
      <c r="C103" s="431"/>
      <c r="D103" s="213"/>
      <c r="E103" s="272"/>
      <c r="F103" s="272"/>
      <c r="G103" s="501"/>
      <c r="H103" s="501"/>
      <c r="I103" s="501"/>
      <c r="J103" s="501"/>
      <c r="K103" s="501"/>
      <c r="L103" s="501"/>
      <c r="M103" s="501"/>
    </row>
    <row r="104" ht="16.5" customHeight="1">
      <c r="A104" s="272"/>
      <c r="B104" s="114"/>
      <c r="C104" s="431"/>
      <c r="D104" s="213"/>
      <c r="E104" s="272"/>
      <c r="F104" s="272"/>
      <c r="G104" s="501"/>
      <c r="H104" s="501"/>
      <c r="I104" s="501"/>
      <c r="J104" s="501"/>
      <c r="K104" s="501"/>
      <c r="L104" s="501"/>
      <c r="M104" s="501"/>
    </row>
    <row r="105" ht="16.5" customHeight="1">
      <c r="A105" s="272"/>
      <c r="B105" s="114"/>
      <c r="C105" s="431"/>
      <c r="D105" s="213"/>
      <c r="E105" s="272"/>
      <c r="F105" s="272"/>
      <c r="G105" s="501"/>
      <c r="H105" s="501"/>
      <c r="I105" s="501"/>
      <c r="J105" s="501"/>
      <c r="K105" s="501"/>
      <c r="L105" s="501"/>
      <c r="M105" s="501"/>
    </row>
    <row r="106" ht="16.5" customHeight="1">
      <c r="A106" s="272"/>
      <c r="B106" s="114"/>
      <c r="C106" s="431"/>
      <c r="D106" s="213"/>
      <c r="E106" s="272"/>
      <c r="F106" s="272"/>
      <c r="G106" s="501"/>
      <c r="H106" s="501"/>
      <c r="I106" s="501"/>
      <c r="J106" s="501"/>
      <c r="K106" s="501"/>
      <c r="L106" s="501"/>
      <c r="M106" s="501"/>
    </row>
    <row r="107" ht="16.5" customHeight="1">
      <c r="A107" s="272"/>
      <c r="B107" s="114"/>
      <c r="C107" s="431"/>
      <c r="D107" s="213"/>
      <c r="E107" s="272"/>
      <c r="F107" s="272"/>
      <c r="G107" s="501"/>
      <c r="H107" s="501"/>
      <c r="I107" s="501"/>
      <c r="J107" s="501"/>
      <c r="K107" s="501"/>
      <c r="L107" s="501"/>
      <c r="M107" s="501"/>
    </row>
    <row r="108" ht="16.5" customHeight="1">
      <c r="A108" s="272"/>
      <c r="B108" s="114"/>
      <c r="C108" s="431"/>
      <c r="D108" s="213"/>
      <c r="E108" s="272"/>
      <c r="F108" s="272"/>
      <c r="G108" s="501"/>
      <c r="H108" s="501"/>
      <c r="I108" s="501"/>
      <c r="J108" s="501"/>
      <c r="K108" s="501"/>
      <c r="L108" s="501"/>
      <c r="M108" s="501"/>
    </row>
    <row r="109" ht="16.5" customHeight="1">
      <c r="A109" s="272"/>
      <c r="B109" s="114"/>
      <c r="C109" s="431"/>
      <c r="D109" s="213"/>
      <c r="E109" s="272"/>
      <c r="F109" s="272"/>
      <c r="G109" s="501"/>
      <c r="H109" s="501"/>
      <c r="I109" s="501"/>
      <c r="J109" s="501"/>
      <c r="K109" s="501"/>
      <c r="L109" s="501"/>
      <c r="M109" s="501"/>
    </row>
    <row r="110" ht="16.5" customHeight="1">
      <c r="A110" s="272"/>
      <c r="B110" s="114"/>
      <c r="C110" s="431"/>
      <c r="D110" s="213"/>
      <c r="E110" s="272"/>
      <c r="F110" s="272"/>
      <c r="G110" s="501"/>
      <c r="H110" s="501"/>
      <c r="I110" s="501"/>
      <c r="J110" s="501"/>
      <c r="K110" s="501"/>
      <c r="L110" s="501"/>
      <c r="M110" s="501"/>
    </row>
    <row r="111" ht="16.5" customHeight="1">
      <c r="A111" s="272"/>
      <c r="B111" s="114"/>
      <c r="C111" s="431"/>
      <c r="D111" s="213"/>
      <c r="E111" s="272"/>
      <c r="F111" s="272"/>
      <c r="G111" s="501"/>
      <c r="H111" s="501"/>
      <c r="I111" s="501"/>
      <c r="J111" s="501"/>
      <c r="K111" s="501"/>
      <c r="L111" s="501"/>
      <c r="M111" s="501"/>
    </row>
    <row r="112" ht="16.5" customHeight="1">
      <c r="A112" s="272"/>
      <c r="B112" s="114"/>
      <c r="C112" s="431"/>
      <c r="D112" s="213"/>
      <c r="E112" s="272"/>
      <c r="F112" s="272"/>
      <c r="G112" s="501"/>
      <c r="H112" s="501"/>
      <c r="I112" s="501"/>
      <c r="J112" s="501"/>
      <c r="K112" s="501"/>
      <c r="L112" s="501"/>
      <c r="M112" s="501"/>
    </row>
    <row r="113" ht="16.5" customHeight="1">
      <c r="A113" s="272"/>
      <c r="B113" s="114"/>
      <c r="C113" s="431"/>
      <c r="D113" s="213"/>
      <c r="E113" s="272"/>
      <c r="F113" s="272"/>
      <c r="G113" s="501"/>
      <c r="H113" s="501"/>
      <c r="I113" s="501"/>
      <c r="J113" s="501"/>
      <c r="K113" s="501"/>
      <c r="L113" s="501"/>
      <c r="M113" s="501"/>
    </row>
    <row r="114" ht="16.5" customHeight="1">
      <c r="A114" s="272"/>
      <c r="B114" s="114"/>
      <c r="C114" s="431"/>
      <c r="D114" s="213"/>
      <c r="E114" s="272"/>
      <c r="F114" s="272"/>
      <c r="G114" s="501"/>
      <c r="H114" s="501"/>
      <c r="I114" s="501"/>
      <c r="J114" s="501"/>
      <c r="K114" s="501"/>
      <c r="L114" s="501"/>
      <c r="M114" s="501"/>
    </row>
    <row r="115" ht="16.5" customHeight="1">
      <c r="A115" s="272"/>
      <c r="B115" s="114"/>
      <c r="C115" s="431"/>
      <c r="D115" s="213"/>
      <c r="E115" s="272"/>
      <c r="F115" s="272"/>
      <c r="G115" s="501"/>
      <c r="H115" s="501"/>
      <c r="I115" s="501"/>
      <c r="J115" s="501"/>
      <c r="K115" s="501"/>
      <c r="L115" s="501"/>
      <c r="M115" s="501"/>
    </row>
    <row r="116" ht="16.5" customHeight="1">
      <c r="A116" s="272"/>
      <c r="B116" s="114"/>
      <c r="C116" s="431"/>
      <c r="D116" s="213"/>
      <c r="E116" s="272"/>
      <c r="F116" s="272"/>
      <c r="G116" s="501"/>
      <c r="H116" s="501"/>
      <c r="I116" s="501"/>
      <c r="J116" s="501"/>
      <c r="K116" s="501"/>
      <c r="L116" s="501"/>
      <c r="M116" s="501"/>
    </row>
    <row r="117" ht="16.5" customHeight="1">
      <c r="A117" s="272"/>
      <c r="B117" s="114"/>
      <c r="C117" s="431"/>
      <c r="D117" s="213"/>
      <c r="E117" s="272"/>
      <c r="F117" s="272"/>
      <c r="G117" s="501"/>
      <c r="H117" s="501"/>
      <c r="I117" s="501"/>
      <c r="J117" s="501"/>
      <c r="K117" s="501"/>
      <c r="L117" s="501"/>
      <c r="M117" s="501"/>
    </row>
    <row r="118" ht="16.5" customHeight="1">
      <c r="A118" s="272"/>
      <c r="B118" s="114"/>
      <c r="C118" s="431"/>
      <c r="D118" s="213"/>
      <c r="E118" s="272"/>
      <c r="F118" s="272"/>
      <c r="G118" s="501"/>
      <c r="H118" s="501"/>
      <c r="I118" s="501"/>
      <c r="J118" s="501"/>
      <c r="K118" s="501"/>
      <c r="L118" s="501"/>
      <c r="M118" s="501"/>
    </row>
    <row r="119" ht="16.5" customHeight="1">
      <c r="A119" s="272"/>
      <c r="B119" s="114"/>
      <c r="C119" s="431"/>
      <c r="D119" s="213"/>
      <c r="E119" s="272"/>
      <c r="F119" s="272"/>
      <c r="G119" s="501"/>
      <c r="H119" s="501"/>
      <c r="I119" s="501"/>
      <c r="J119" s="501"/>
      <c r="K119" s="501"/>
      <c r="L119" s="501"/>
      <c r="M119" s="501"/>
    </row>
    <row r="120" ht="16.5" customHeight="1">
      <c r="A120" s="272"/>
      <c r="B120" s="114"/>
      <c r="C120" s="431"/>
      <c r="D120" s="213"/>
      <c r="E120" s="272"/>
      <c r="F120" s="272"/>
      <c r="G120" s="501"/>
      <c r="H120" s="501"/>
      <c r="I120" s="501"/>
      <c r="J120" s="501"/>
      <c r="K120" s="501"/>
      <c r="L120" s="501"/>
      <c r="M120" s="501"/>
    </row>
    <row r="121" ht="16.5" customHeight="1">
      <c r="A121" s="272"/>
      <c r="B121" s="114"/>
      <c r="C121" s="431"/>
      <c r="D121" s="213"/>
      <c r="E121" s="272"/>
      <c r="F121" s="272"/>
      <c r="G121" s="501"/>
      <c r="H121" s="501"/>
      <c r="I121" s="501"/>
      <c r="J121" s="501"/>
      <c r="K121" s="501"/>
      <c r="L121" s="501"/>
      <c r="M121" s="501"/>
    </row>
    <row r="122" ht="16.5" customHeight="1">
      <c r="A122" s="272"/>
      <c r="B122" s="114"/>
      <c r="C122" s="431"/>
      <c r="D122" s="213"/>
      <c r="E122" s="272"/>
      <c r="F122" s="272"/>
      <c r="G122" s="501"/>
      <c r="H122" s="501"/>
      <c r="I122" s="501"/>
      <c r="J122" s="501"/>
      <c r="K122" s="501"/>
      <c r="L122" s="501"/>
      <c r="M122" s="501"/>
    </row>
    <row r="123" ht="16.5" customHeight="1">
      <c r="A123" s="272"/>
      <c r="B123" s="114"/>
      <c r="C123" s="431"/>
      <c r="D123" s="213"/>
      <c r="E123" s="272"/>
      <c r="F123" s="272"/>
      <c r="G123" s="501"/>
      <c r="H123" s="501"/>
      <c r="I123" s="501"/>
      <c r="J123" s="501"/>
      <c r="K123" s="501"/>
      <c r="L123" s="501"/>
      <c r="M123" s="501"/>
    </row>
    <row r="124" ht="16.5" customHeight="1">
      <c r="A124" s="272"/>
      <c r="B124" s="114"/>
      <c r="C124" s="431"/>
      <c r="D124" s="213"/>
      <c r="E124" s="272"/>
      <c r="F124" s="272"/>
      <c r="G124" s="501"/>
      <c r="H124" s="501"/>
      <c r="I124" s="501"/>
      <c r="J124" s="501"/>
      <c r="K124" s="501"/>
      <c r="L124" s="501"/>
      <c r="M124" s="501"/>
    </row>
    <row r="125" ht="16.5" customHeight="1">
      <c r="A125" s="272"/>
      <c r="B125" s="114"/>
      <c r="C125" s="431"/>
      <c r="D125" s="213"/>
      <c r="E125" s="272"/>
      <c r="F125" s="272"/>
      <c r="G125" s="501"/>
      <c r="H125" s="501"/>
      <c r="I125" s="501"/>
      <c r="J125" s="501"/>
      <c r="K125" s="501"/>
      <c r="L125" s="501"/>
      <c r="M125" s="501"/>
    </row>
    <row r="126" ht="16.5" customHeight="1">
      <c r="A126" s="272"/>
      <c r="B126" s="114"/>
      <c r="C126" s="431"/>
      <c r="D126" s="213"/>
      <c r="E126" s="272"/>
      <c r="F126" s="272"/>
      <c r="G126" s="501"/>
      <c r="H126" s="501"/>
      <c r="I126" s="501"/>
      <c r="J126" s="501"/>
      <c r="K126" s="501"/>
      <c r="L126" s="501"/>
      <c r="M126" s="501"/>
    </row>
    <row r="127" ht="16.5" customHeight="1">
      <c r="A127" s="272"/>
      <c r="B127" s="114"/>
      <c r="C127" s="431"/>
      <c r="D127" s="213"/>
      <c r="E127" s="272"/>
      <c r="F127" s="272"/>
      <c r="G127" s="501"/>
      <c r="H127" s="501"/>
      <c r="I127" s="501"/>
      <c r="J127" s="501"/>
      <c r="K127" s="501"/>
      <c r="L127" s="501"/>
      <c r="M127" s="501"/>
    </row>
    <row r="128" ht="16.5" customHeight="1">
      <c r="A128" s="272"/>
      <c r="B128" s="114"/>
      <c r="C128" s="431"/>
      <c r="D128" s="213"/>
      <c r="E128" s="272"/>
      <c r="F128" s="272"/>
      <c r="G128" s="501"/>
      <c r="H128" s="501"/>
      <c r="I128" s="501"/>
      <c r="J128" s="501"/>
      <c r="K128" s="501"/>
      <c r="L128" s="501"/>
      <c r="M128" s="501"/>
    </row>
    <row r="129" ht="16.5" customHeight="1">
      <c r="A129" s="272"/>
      <c r="B129" s="114"/>
      <c r="C129" s="431"/>
      <c r="D129" s="213"/>
      <c r="E129" s="272"/>
      <c r="F129" s="272"/>
      <c r="G129" s="501"/>
      <c r="H129" s="501"/>
      <c r="I129" s="501"/>
      <c r="J129" s="501"/>
      <c r="K129" s="501"/>
      <c r="L129" s="501"/>
      <c r="M129" s="501"/>
    </row>
    <row r="130" ht="16.5" customHeight="1">
      <c r="A130" s="272"/>
      <c r="B130" s="114"/>
      <c r="C130" s="431"/>
      <c r="D130" s="213"/>
      <c r="E130" s="272"/>
      <c r="F130" s="272"/>
      <c r="G130" s="501"/>
      <c r="H130" s="501"/>
      <c r="I130" s="501"/>
      <c r="J130" s="501"/>
      <c r="K130" s="501"/>
      <c r="L130" s="501"/>
      <c r="M130" s="501"/>
    </row>
    <row r="131" ht="16.5" customHeight="1">
      <c r="A131" s="272"/>
      <c r="B131" s="114"/>
      <c r="C131" s="431"/>
      <c r="D131" s="213"/>
      <c r="E131" s="272"/>
      <c r="F131" s="272"/>
      <c r="G131" s="501"/>
      <c r="H131" s="501"/>
      <c r="I131" s="501"/>
      <c r="J131" s="501"/>
      <c r="K131" s="501"/>
      <c r="L131" s="501"/>
      <c r="M131" s="501"/>
    </row>
    <row r="132" ht="16.5" customHeight="1">
      <c r="A132" s="272"/>
      <c r="B132" s="114"/>
      <c r="C132" s="431"/>
      <c r="D132" s="213"/>
      <c r="E132" s="272"/>
      <c r="F132" s="272"/>
      <c r="G132" s="501"/>
      <c r="H132" s="501"/>
      <c r="I132" s="501"/>
      <c r="J132" s="501"/>
      <c r="K132" s="501"/>
      <c r="L132" s="501"/>
      <c r="M132" s="501"/>
    </row>
    <row r="133" ht="16.5" customHeight="1">
      <c r="A133" s="272"/>
      <c r="B133" s="114"/>
      <c r="C133" s="431"/>
      <c r="D133" s="213"/>
      <c r="E133" s="272"/>
      <c r="F133" s="272"/>
      <c r="G133" s="501"/>
      <c r="H133" s="501"/>
      <c r="I133" s="501"/>
      <c r="J133" s="501"/>
      <c r="K133" s="501"/>
      <c r="L133" s="501"/>
      <c r="M133" s="501"/>
    </row>
    <row r="134" ht="16.5" customHeight="1">
      <c r="A134" s="272"/>
      <c r="B134" s="114"/>
      <c r="C134" s="431"/>
      <c r="D134" s="213"/>
      <c r="E134" s="272"/>
      <c r="F134" s="272"/>
      <c r="G134" s="501"/>
      <c r="H134" s="501"/>
      <c r="I134" s="501"/>
      <c r="J134" s="501"/>
      <c r="K134" s="501"/>
      <c r="L134" s="501"/>
      <c r="M134" s="501"/>
    </row>
    <row r="135" ht="16.5" customHeight="1">
      <c r="A135" s="272"/>
      <c r="B135" s="114"/>
      <c r="C135" s="431"/>
      <c r="D135" s="213"/>
      <c r="E135" s="272"/>
      <c r="F135" s="272"/>
      <c r="G135" s="501"/>
      <c r="H135" s="501"/>
      <c r="I135" s="501"/>
      <c r="J135" s="501"/>
      <c r="K135" s="501"/>
      <c r="L135" s="501"/>
      <c r="M135" s="501"/>
    </row>
    <row r="136" ht="16.5" customHeight="1">
      <c r="A136" s="272"/>
      <c r="B136" s="114"/>
      <c r="C136" s="431"/>
      <c r="D136" s="213"/>
      <c r="E136" s="272"/>
      <c r="F136" s="272"/>
      <c r="G136" s="501"/>
      <c r="H136" s="501"/>
      <c r="I136" s="501"/>
      <c r="J136" s="501"/>
      <c r="K136" s="501"/>
      <c r="L136" s="501"/>
      <c r="M136" s="501"/>
    </row>
    <row r="137" ht="16.5" customHeight="1">
      <c r="A137" s="272"/>
      <c r="B137" s="114"/>
      <c r="C137" s="431"/>
      <c r="D137" s="213"/>
      <c r="E137" s="272"/>
      <c r="F137" s="272"/>
      <c r="G137" s="501"/>
      <c r="H137" s="501"/>
      <c r="I137" s="501"/>
      <c r="J137" s="501"/>
      <c r="K137" s="501"/>
      <c r="L137" s="501"/>
      <c r="M137" s="501"/>
    </row>
    <row r="138" ht="16.5" customHeight="1">
      <c r="A138" s="272"/>
      <c r="B138" s="114"/>
      <c r="C138" s="431"/>
      <c r="D138" s="213"/>
      <c r="E138" s="272"/>
      <c r="F138" s="272"/>
      <c r="G138" s="501"/>
      <c r="H138" s="501"/>
      <c r="I138" s="501"/>
      <c r="J138" s="501"/>
      <c r="K138" s="501"/>
      <c r="L138" s="501"/>
      <c r="M138" s="501"/>
    </row>
    <row r="139" ht="16.5" customHeight="1">
      <c r="A139" s="272"/>
      <c r="B139" s="114"/>
      <c r="C139" s="431"/>
      <c r="D139" s="213"/>
      <c r="E139" s="272"/>
      <c r="F139" s="272"/>
      <c r="G139" s="501"/>
      <c r="H139" s="501"/>
      <c r="I139" s="501"/>
      <c r="J139" s="501"/>
      <c r="K139" s="501"/>
      <c r="L139" s="501"/>
      <c r="M139" s="501"/>
    </row>
    <row r="140" ht="16.5" customHeight="1">
      <c r="A140" s="272"/>
      <c r="B140" s="114"/>
      <c r="C140" s="431"/>
      <c r="D140" s="213"/>
      <c r="E140" s="272"/>
      <c r="F140" s="272"/>
      <c r="G140" s="501"/>
      <c r="H140" s="501"/>
      <c r="I140" s="501"/>
      <c r="J140" s="501"/>
      <c r="K140" s="501"/>
      <c r="L140" s="501"/>
      <c r="M140" s="501"/>
    </row>
    <row r="141" ht="16.5" customHeight="1">
      <c r="A141" s="272"/>
      <c r="B141" s="114"/>
      <c r="C141" s="431"/>
      <c r="D141" s="213"/>
      <c r="E141" s="272"/>
      <c r="F141" s="272"/>
      <c r="G141" s="501"/>
      <c r="H141" s="501"/>
      <c r="I141" s="501"/>
      <c r="J141" s="501"/>
      <c r="K141" s="501"/>
      <c r="L141" s="501"/>
      <c r="M141" s="501"/>
    </row>
    <row r="142" ht="16.5" customHeight="1">
      <c r="A142" s="272"/>
      <c r="B142" s="114"/>
      <c r="C142" s="431"/>
      <c r="D142" s="213"/>
      <c r="E142" s="272"/>
      <c r="F142" s="272"/>
      <c r="G142" s="501"/>
      <c r="H142" s="501"/>
      <c r="I142" s="501"/>
      <c r="J142" s="501"/>
      <c r="K142" s="501"/>
      <c r="L142" s="501"/>
      <c r="M142" s="501"/>
    </row>
    <row r="143" ht="16.5" customHeight="1">
      <c r="A143" s="272"/>
      <c r="B143" s="114"/>
      <c r="C143" s="431"/>
      <c r="D143" s="213"/>
      <c r="E143" s="272"/>
      <c r="F143" s="272"/>
      <c r="G143" s="501"/>
      <c r="H143" s="501"/>
      <c r="I143" s="501"/>
      <c r="J143" s="501"/>
      <c r="K143" s="501"/>
      <c r="L143" s="501"/>
      <c r="M143" s="501"/>
    </row>
    <row r="144" ht="16.5" customHeight="1">
      <c r="A144" s="272"/>
      <c r="B144" s="114"/>
      <c r="C144" s="431"/>
      <c r="D144" s="213"/>
      <c r="E144" s="272"/>
      <c r="F144" s="272"/>
      <c r="G144" s="501"/>
      <c r="H144" s="501"/>
      <c r="I144" s="501"/>
      <c r="J144" s="501"/>
      <c r="K144" s="501"/>
      <c r="L144" s="501"/>
      <c r="M144" s="501"/>
    </row>
    <row r="145" ht="16.5" customHeight="1">
      <c r="A145" s="272"/>
      <c r="B145" s="114"/>
      <c r="C145" s="431"/>
      <c r="D145" s="213"/>
      <c r="E145" s="272"/>
      <c r="F145" s="272"/>
      <c r="G145" s="501"/>
      <c r="H145" s="501"/>
      <c r="I145" s="501"/>
      <c r="J145" s="501"/>
      <c r="K145" s="501"/>
      <c r="L145" s="501"/>
      <c r="M145" s="501"/>
    </row>
    <row r="146" ht="16.5" customHeight="1">
      <c r="A146" s="272"/>
      <c r="B146" s="114"/>
      <c r="C146" s="431"/>
      <c r="D146" s="213"/>
      <c r="E146" s="272"/>
      <c r="F146" s="272"/>
      <c r="G146" s="501"/>
      <c r="H146" s="501"/>
      <c r="I146" s="501"/>
      <c r="J146" s="501"/>
      <c r="K146" s="501"/>
      <c r="L146" s="501"/>
      <c r="M146" s="501"/>
    </row>
    <row r="147" ht="16.5" customHeight="1">
      <c r="A147" s="272"/>
      <c r="B147" s="114"/>
      <c r="C147" s="431"/>
      <c r="D147" s="213"/>
      <c r="E147" s="272"/>
      <c r="F147" s="272"/>
      <c r="G147" s="501"/>
      <c r="H147" s="501"/>
      <c r="I147" s="501"/>
      <c r="J147" s="501"/>
      <c r="K147" s="501"/>
      <c r="L147" s="501"/>
      <c r="M147" s="501"/>
    </row>
    <row r="148" ht="16.5" customHeight="1">
      <c r="A148" s="272"/>
      <c r="B148" s="114"/>
      <c r="C148" s="431"/>
      <c r="D148" s="213"/>
      <c r="E148" s="272"/>
      <c r="F148" s="272"/>
      <c r="G148" s="501"/>
      <c r="H148" s="501"/>
      <c r="I148" s="501"/>
      <c r="J148" s="501"/>
      <c r="K148" s="501"/>
      <c r="L148" s="501"/>
      <c r="M148" s="501"/>
    </row>
    <row r="149" ht="16.5" customHeight="1">
      <c r="A149" s="272"/>
      <c r="B149" s="114"/>
      <c r="C149" s="431"/>
      <c r="D149" s="213"/>
      <c r="E149" s="272"/>
      <c r="F149" s="272"/>
      <c r="G149" s="501"/>
      <c r="H149" s="501"/>
      <c r="I149" s="501"/>
      <c r="J149" s="501"/>
      <c r="K149" s="501"/>
      <c r="L149" s="501"/>
      <c r="M149" s="501"/>
    </row>
    <row r="150" ht="16.5" customHeight="1">
      <c r="A150" s="272"/>
      <c r="B150" s="114"/>
      <c r="C150" s="431"/>
      <c r="D150" s="213"/>
      <c r="E150" s="272"/>
      <c r="F150" s="272"/>
      <c r="G150" s="501"/>
      <c r="H150" s="501"/>
      <c r="I150" s="501"/>
      <c r="J150" s="501"/>
      <c r="K150" s="501"/>
      <c r="L150" s="501"/>
      <c r="M150" s="501"/>
    </row>
    <row r="151" ht="16.5" customHeight="1">
      <c r="A151" s="272"/>
      <c r="B151" s="114"/>
      <c r="C151" s="431"/>
      <c r="D151" s="213"/>
      <c r="E151" s="272"/>
      <c r="F151" s="272"/>
      <c r="G151" s="501"/>
      <c r="H151" s="501"/>
      <c r="I151" s="501"/>
      <c r="J151" s="501"/>
      <c r="K151" s="501"/>
      <c r="L151" s="501"/>
      <c r="M151" s="501"/>
    </row>
    <row r="152" ht="16.5" customHeight="1">
      <c r="A152" s="272"/>
      <c r="B152" s="114"/>
      <c r="C152" s="431"/>
      <c r="D152" s="213"/>
      <c r="E152" s="272"/>
      <c r="F152" s="272"/>
      <c r="G152" s="501"/>
      <c r="H152" s="501"/>
      <c r="I152" s="501"/>
      <c r="J152" s="501"/>
      <c r="K152" s="501"/>
      <c r="L152" s="501"/>
      <c r="M152" s="501"/>
    </row>
    <row r="153" ht="16.5" customHeight="1">
      <c r="A153" s="272"/>
      <c r="B153" s="114"/>
      <c r="C153" s="431"/>
      <c r="D153" s="213"/>
      <c r="E153" s="272"/>
      <c r="F153" s="272"/>
      <c r="G153" s="501"/>
      <c r="H153" s="501"/>
      <c r="I153" s="501"/>
      <c r="J153" s="501"/>
      <c r="K153" s="501"/>
      <c r="L153" s="501"/>
      <c r="M153" s="501"/>
    </row>
    <row r="154" ht="16.5" customHeight="1">
      <c r="A154" s="272"/>
      <c r="B154" s="114"/>
      <c r="C154" s="431"/>
      <c r="D154" s="213"/>
      <c r="E154" s="272"/>
      <c r="F154" s="272"/>
      <c r="G154" s="501"/>
      <c r="H154" s="501"/>
      <c r="I154" s="501"/>
      <c r="J154" s="501"/>
      <c r="K154" s="501"/>
      <c r="L154" s="501"/>
      <c r="M154" s="501"/>
    </row>
    <row r="155" ht="16.5" customHeight="1">
      <c r="A155" s="272"/>
      <c r="B155" s="114"/>
      <c r="C155" s="431"/>
      <c r="D155" s="213"/>
      <c r="E155" s="272"/>
      <c r="F155" s="272"/>
      <c r="G155" s="501"/>
      <c r="H155" s="501"/>
      <c r="I155" s="501"/>
      <c r="J155" s="501"/>
      <c r="K155" s="501"/>
      <c r="L155" s="501"/>
      <c r="M155" s="501"/>
    </row>
    <row r="156" ht="16.5" customHeight="1">
      <c r="A156" s="272"/>
      <c r="B156" s="114"/>
      <c r="C156" s="431"/>
      <c r="D156" s="213"/>
      <c r="E156" s="272"/>
      <c r="F156" s="272"/>
      <c r="G156" s="501"/>
      <c r="H156" s="501"/>
      <c r="I156" s="501"/>
      <c r="J156" s="501"/>
      <c r="K156" s="501"/>
      <c r="L156" s="501"/>
      <c r="M156" s="501"/>
    </row>
    <row r="157" ht="16.5" customHeight="1">
      <c r="A157" s="272"/>
      <c r="B157" s="114"/>
      <c r="C157" s="431"/>
      <c r="D157" s="213"/>
      <c r="E157" s="272"/>
      <c r="F157" s="272"/>
      <c r="G157" s="501"/>
      <c r="H157" s="501"/>
      <c r="I157" s="501"/>
      <c r="J157" s="501"/>
      <c r="K157" s="501"/>
      <c r="L157" s="501"/>
      <c r="M157" s="501"/>
    </row>
    <row r="158" ht="16.5" customHeight="1">
      <c r="A158" s="272"/>
      <c r="B158" s="114"/>
      <c r="C158" s="431"/>
      <c r="D158" s="213"/>
      <c r="E158" s="272"/>
      <c r="F158" s="272"/>
      <c r="G158" s="501"/>
      <c r="H158" s="501"/>
      <c r="I158" s="501"/>
      <c r="J158" s="501"/>
      <c r="K158" s="501"/>
      <c r="L158" s="501"/>
      <c r="M158" s="501"/>
    </row>
    <row r="159" ht="16.5" customHeight="1">
      <c r="A159" s="272"/>
      <c r="B159" s="114"/>
      <c r="C159" s="431"/>
      <c r="D159" s="213"/>
      <c r="E159" s="272"/>
      <c r="F159" s="272"/>
      <c r="G159" s="501"/>
      <c r="H159" s="501"/>
      <c r="I159" s="501"/>
      <c r="J159" s="501"/>
      <c r="K159" s="501"/>
      <c r="L159" s="501"/>
      <c r="M159" s="501"/>
    </row>
    <row r="160" ht="16.5" customHeight="1">
      <c r="A160" s="272"/>
      <c r="B160" s="114"/>
      <c r="C160" s="431"/>
      <c r="D160" s="213"/>
      <c r="E160" s="272"/>
      <c r="F160" s="272"/>
      <c r="G160" s="501"/>
      <c r="H160" s="501"/>
      <c r="I160" s="501"/>
      <c r="J160" s="501"/>
      <c r="K160" s="501"/>
      <c r="L160" s="501"/>
      <c r="M160" s="501"/>
    </row>
    <row r="161" ht="16.5" customHeight="1">
      <c r="A161" s="272"/>
      <c r="B161" s="114"/>
      <c r="C161" s="431"/>
      <c r="D161" s="213"/>
      <c r="E161" s="272"/>
      <c r="F161" s="272"/>
      <c r="G161" s="501"/>
      <c r="H161" s="501"/>
      <c r="I161" s="501"/>
      <c r="J161" s="501"/>
      <c r="K161" s="501"/>
      <c r="L161" s="501"/>
      <c r="M161" s="501"/>
    </row>
    <row r="162" ht="16.5" customHeight="1">
      <c r="A162" s="272"/>
      <c r="B162" s="114"/>
      <c r="C162" s="431"/>
      <c r="D162" s="213"/>
      <c r="E162" s="272"/>
      <c r="F162" s="272"/>
      <c r="G162" s="501"/>
      <c r="H162" s="501"/>
      <c r="I162" s="501"/>
      <c r="J162" s="501"/>
      <c r="K162" s="501"/>
      <c r="L162" s="501"/>
      <c r="M162" s="501"/>
    </row>
    <row r="163" ht="16.5" customHeight="1">
      <c r="A163" s="272"/>
      <c r="B163" s="114"/>
      <c r="C163" s="431"/>
      <c r="D163" s="213"/>
      <c r="E163" s="272"/>
      <c r="F163" s="272"/>
      <c r="G163" s="501"/>
      <c r="H163" s="501"/>
      <c r="I163" s="501"/>
      <c r="J163" s="501"/>
      <c r="K163" s="501"/>
      <c r="L163" s="501"/>
      <c r="M163" s="501"/>
    </row>
    <row r="164" ht="16.5" customHeight="1">
      <c r="A164" s="272"/>
      <c r="B164" s="114"/>
      <c r="C164" s="431"/>
      <c r="D164" s="213"/>
      <c r="E164" s="272"/>
      <c r="F164" s="272"/>
      <c r="G164" s="501"/>
      <c r="H164" s="501"/>
      <c r="I164" s="501"/>
      <c r="J164" s="501"/>
      <c r="K164" s="501"/>
      <c r="L164" s="501"/>
      <c r="M164" s="501"/>
    </row>
    <row r="165" ht="16.5" customHeight="1">
      <c r="A165" s="272"/>
      <c r="B165" s="114"/>
      <c r="C165" s="431"/>
      <c r="D165" s="213"/>
      <c r="E165" s="272"/>
      <c r="F165" s="272"/>
      <c r="G165" s="501"/>
      <c r="H165" s="501"/>
      <c r="I165" s="501"/>
      <c r="J165" s="501"/>
      <c r="K165" s="501"/>
      <c r="L165" s="501"/>
      <c r="M165" s="501"/>
    </row>
    <row r="166" ht="16.5" customHeight="1">
      <c r="A166" s="272"/>
      <c r="B166" s="114"/>
      <c r="C166" s="431"/>
      <c r="D166" s="213"/>
      <c r="E166" s="272"/>
      <c r="F166" s="272"/>
      <c r="G166" s="501"/>
      <c r="H166" s="501"/>
      <c r="I166" s="501"/>
      <c r="J166" s="501"/>
      <c r="K166" s="501"/>
      <c r="L166" s="501"/>
      <c r="M166" s="501"/>
    </row>
    <row r="167" ht="16.5" customHeight="1">
      <c r="A167" s="272"/>
      <c r="B167" s="114"/>
      <c r="C167" s="431"/>
      <c r="D167" s="213"/>
      <c r="E167" s="272"/>
      <c r="F167" s="272"/>
      <c r="G167" s="501"/>
      <c r="H167" s="501"/>
      <c r="I167" s="501"/>
      <c r="J167" s="501"/>
      <c r="K167" s="501"/>
      <c r="L167" s="501"/>
      <c r="M167" s="501"/>
    </row>
    <row r="168" ht="16.5" customHeight="1">
      <c r="A168" s="272"/>
      <c r="B168" s="114"/>
      <c r="C168" s="431"/>
      <c r="D168" s="213"/>
      <c r="E168" s="272"/>
      <c r="F168" s="272"/>
      <c r="G168" s="501"/>
      <c r="H168" s="501"/>
      <c r="I168" s="501"/>
      <c r="J168" s="501"/>
      <c r="K168" s="501"/>
      <c r="L168" s="501"/>
      <c r="M168" s="501"/>
    </row>
    <row r="169" ht="16.5" customHeight="1">
      <c r="A169" s="272"/>
      <c r="B169" s="114"/>
      <c r="C169" s="431"/>
      <c r="D169" s="213"/>
      <c r="E169" s="272"/>
      <c r="F169" s="272"/>
      <c r="G169" s="501"/>
      <c r="H169" s="501"/>
      <c r="I169" s="501"/>
      <c r="J169" s="501"/>
      <c r="K169" s="501"/>
      <c r="L169" s="501"/>
      <c r="M169" s="501"/>
    </row>
    <row r="170" ht="16.5" customHeight="1">
      <c r="A170" s="272"/>
      <c r="B170" s="114"/>
      <c r="C170" s="431"/>
      <c r="D170" s="213"/>
      <c r="E170" s="272"/>
      <c r="F170" s="272"/>
      <c r="G170" s="501"/>
      <c r="H170" s="501"/>
      <c r="I170" s="501"/>
      <c r="J170" s="501"/>
      <c r="K170" s="501"/>
      <c r="L170" s="501"/>
      <c r="M170" s="501"/>
    </row>
    <row r="171" ht="16.5" customHeight="1">
      <c r="A171" s="272"/>
      <c r="B171" s="114"/>
      <c r="C171" s="431"/>
      <c r="D171" s="213"/>
      <c r="E171" s="272"/>
      <c r="F171" s="272"/>
      <c r="G171" s="501"/>
      <c r="H171" s="501"/>
      <c r="I171" s="501"/>
      <c r="J171" s="501"/>
      <c r="K171" s="501"/>
      <c r="L171" s="501"/>
      <c r="M171" s="501"/>
    </row>
    <row r="172" ht="16.5" customHeight="1">
      <c r="A172" s="272"/>
      <c r="B172" s="114"/>
      <c r="C172" s="431"/>
      <c r="D172" s="213"/>
      <c r="E172" s="272"/>
      <c r="F172" s="272"/>
      <c r="G172" s="501"/>
      <c r="H172" s="501"/>
      <c r="I172" s="501"/>
      <c r="J172" s="501"/>
      <c r="K172" s="501"/>
      <c r="L172" s="501"/>
      <c r="M172" s="501"/>
    </row>
    <row r="173" ht="16.5" customHeight="1">
      <c r="A173" s="272"/>
      <c r="B173" s="114"/>
      <c r="C173" s="431"/>
      <c r="D173" s="213"/>
      <c r="E173" s="272"/>
      <c r="F173" s="272"/>
      <c r="G173" s="501"/>
      <c r="H173" s="501"/>
      <c r="I173" s="501"/>
      <c r="J173" s="501"/>
      <c r="K173" s="501"/>
      <c r="L173" s="501"/>
      <c r="M173" s="501"/>
    </row>
    <row r="174" ht="16.5" customHeight="1">
      <c r="A174" s="272"/>
      <c r="B174" s="114"/>
      <c r="C174" s="431"/>
      <c r="D174" s="213"/>
      <c r="E174" s="272"/>
      <c r="F174" s="272"/>
      <c r="G174" s="501"/>
      <c r="H174" s="501"/>
      <c r="I174" s="501"/>
      <c r="J174" s="501"/>
      <c r="K174" s="501"/>
      <c r="L174" s="501"/>
      <c r="M174" s="501"/>
    </row>
    <row r="175" ht="16.5" customHeight="1">
      <c r="A175" s="272"/>
      <c r="B175" s="114"/>
      <c r="C175" s="431"/>
      <c r="D175" s="213"/>
      <c r="E175" s="272"/>
      <c r="F175" s="272"/>
      <c r="G175" s="501"/>
      <c r="H175" s="501"/>
      <c r="I175" s="501"/>
      <c r="J175" s="501"/>
      <c r="K175" s="501"/>
      <c r="L175" s="501"/>
      <c r="M175" s="501"/>
    </row>
    <row r="176" ht="16.5" customHeight="1">
      <c r="A176" s="272"/>
      <c r="B176" s="114"/>
      <c r="C176" s="431"/>
      <c r="D176" s="213"/>
      <c r="E176" s="272"/>
      <c r="F176" s="272"/>
      <c r="G176" s="501"/>
      <c r="H176" s="501"/>
      <c r="I176" s="501"/>
      <c r="J176" s="501"/>
      <c r="K176" s="501"/>
      <c r="L176" s="501"/>
      <c r="M176" s="501"/>
    </row>
    <row r="177" ht="16.5" customHeight="1">
      <c r="A177" s="272"/>
      <c r="B177" s="114"/>
      <c r="C177" s="431"/>
      <c r="D177" s="213"/>
      <c r="E177" s="272"/>
      <c r="F177" s="272"/>
      <c r="G177" s="501"/>
      <c r="H177" s="501"/>
      <c r="I177" s="501"/>
      <c r="J177" s="501"/>
      <c r="K177" s="501"/>
      <c r="L177" s="501"/>
      <c r="M177" s="501"/>
    </row>
    <row r="178" ht="16.5" customHeight="1">
      <c r="A178" s="272"/>
      <c r="B178" s="114"/>
      <c r="C178" s="431"/>
      <c r="D178" s="213"/>
      <c r="E178" s="272"/>
      <c r="F178" s="272"/>
      <c r="G178" s="501"/>
      <c r="H178" s="501"/>
      <c r="I178" s="501"/>
      <c r="J178" s="501"/>
      <c r="K178" s="501"/>
      <c r="L178" s="501"/>
      <c r="M178" s="501"/>
    </row>
    <row r="179" ht="16.5" customHeight="1">
      <c r="A179" s="272"/>
      <c r="B179" s="114"/>
      <c r="C179" s="431"/>
      <c r="D179" s="213"/>
      <c r="E179" s="272"/>
      <c r="F179" s="272"/>
      <c r="G179" s="501"/>
      <c r="H179" s="501"/>
      <c r="I179" s="501"/>
      <c r="J179" s="501"/>
      <c r="K179" s="501"/>
      <c r="L179" s="501"/>
      <c r="M179" s="501"/>
    </row>
    <row r="180" ht="16.5" customHeight="1">
      <c r="A180" s="272"/>
      <c r="B180" s="114"/>
      <c r="C180" s="431"/>
      <c r="D180" s="213"/>
      <c r="E180" s="272"/>
      <c r="F180" s="272"/>
      <c r="G180" s="501"/>
      <c r="H180" s="501"/>
      <c r="I180" s="501"/>
      <c r="J180" s="501"/>
      <c r="K180" s="501"/>
      <c r="L180" s="501"/>
      <c r="M180" s="501"/>
    </row>
    <row r="181" ht="16.5" customHeight="1">
      <c r="A181" s="272"/>
      <c r="B181" s="114"/>
      <c r="C181" s="431"/>
      <c r="D181" s="213"/>
      <c r="E181" s="272"/>
      <c r="F181" s="272"/>
      <c r="G181" s="501"/>
      <c r="H181" s="501"/>
      <c r="I181" s="501"/>
      <c r="J181" s="501"/>
      <c r="K181" s="501"/>
      <c r="L181" s="501"/>
      <c r="M181" s="501"/>
    </row>
    <row r="182" ht="16.5" customHeight="1">
      <c r="A182" s="272"/>
      <c r="B182" s="114"/>
      <c r="C182" s="431"/>
      <c r="D182" s="213"/>
      <c r="E182" s="272"/>
      <c r="F182" s="272"/>
      <c r="G182" s="501"/>
      <c r="H182" s="501"/>
      <c r="I182" s="501"/>
      <c r="J182" s="501"/>
      <c r="K182" s="501"/>
      <c r="L182" s="501"/>
      <c r="M182" s="501"/>
    </row>
    <row r="183" ht="16.5" customHeight="1">
      <c r="A183" s="272"/>
      <c r="B183" s="114"/>
      <c r="C183" s="431"/>
      <c r="D183" s="213"/>
      <c r="E183" s="272"/>
      <c r="F183" s="272"/>
      <c r="G183" s="501"/>
      <c r="H183" s="501"/>
      <c r="I183" s="501"/>
      <c r="J183" s="501"/>
      <c r="K183" s="501"/>
      <c r="L183" s="501"/>
      <c r="M183" s="501"/>
    </row>
    <row r="184" ht="16.5" customHeight="1">
      <c r="A184" s="272"/>
      <c r="B184" s="114"/>
      <c r="C184" s="431"/>
      <c r="D184" s="213"/>
      <c r="E184" s="272"/>
      <c r="F184" s="272"/>
      <c r="G184" s="501"/>
      <c r="H184" s="501"/>
      <c r="I184" s="501"/>
      <c r="J184" s="501"/>
      <c r="K184" s="501"/>
      <c r="L184" s="501"/>
      <c r="M184" s="501"/>
    </row>
    <row r="185" ht="16.5" customHeight="1">
      <c r="A185" s="272"/>
      <c r="B185" s="114"/>
      <c r="C185" s="431"/>
      <c r="D185" s="213"/>
      <c r="E185" s="272"/>
      <c r="F185" s="272"/>
      <c r="G185" s="501"/>
      <c r="H185" s="501"/>
      <c r="I185" s="501"/>
      <c r="J185" s="501"/>
      <c r="K185" s="501"/>
      <c r="L185" s="501"/>
      <c r="M185" s="501"/>
    </row>
    <row r="186" ht="16.5" customHeight="1">
      <c r="A186" s="272"/>
      <c r="B186" s="114"/>
      <c r="C186" s="431"/>
      <c r="D186" s="213"/>
      <c r="E186" s="272"/>
      <c r="F186" s="272"/>
      <c r="G186" s="501"/>
      <c r="H186" s="501"/>
      <c r="I186" s="501"/>
      <c r="J186" s="501"/>
      <c r="K186" s="501"/>
      <c r="L186" s="501"/>
      <c r="M186" s="501"/>
    </row>
    <row r="187" ht="16.5" customHeight="1">
      <c r="A187" s="272"/>
      <c r="B187" s="114"/>
      <c r="C187" s="431"/>
      <c r="D187" s="213"/>
      <c r="E187" s="272"/>
      <c r="F187" s="272"/>
      <c r="G187" s="501"/>
      <c r="H187" s="501"/>
      <c r="I187" s="501"/>
      <c r="J187" s="501"/>
      <c r="K187" s="501"/>
      <c r="L187" s="501"/>
      <c r="M187" s="501"/>
    </row>
    <row r="188" ht="16.5" customHeight="1">
      <c r="A188" s="272"/>
      <c r="B188" s="114"/>
      <c r="C188" s="431"/>
      <c r="D188" s="213"/>
      <c r="E188" s="272"/>
      <c r="F188" s="272"/>
      <c r="G188" s="501"/>
      <c r="H188" s="501"/>
      <c r="I188" s="501"/>
      <c r="J188" s="501"/>
      <c r="K188" s="501"/>
      <c r="L188" s="501"/>
      <c r="M188" s="501"/>
    </row>
    <row r="189" ht="16.5" customHeight="1">
      <c r="A189" s="272"/>
      <c r="B189" s="114"/>
      <c r="C189" s="431"/>
      <c r="D189" s="213"/>
      <c r="E189" s="272"/>
      <c r="F189" s="272"/>
      <c r="G189" s="501"/>
      <c r="H189" s="501"/>
      <c r="I189" s="501"/>
      <c r="J189" s="501"/>
      <c r="K189" s="501"/>
      <c r="L189" s="501"/>
      <c r="M189" s="501"/>
    </row>
    <row r="190" ht="16.5" customHeight="1">
      <c r="A190" s="272"/>
      <c r="B190" s="114"/>
      <c r="C190" s="431"/>
      <c r="D190" s="213"/>
      <c r="E190" s="272"/>
      <c r="F190" s="272"/>
      <c r="G190" s="501"/>
      <c r="H190" s="501"/>
      <c r="I190" s="501"/>
      <c r="J190" s="501"/>
      <c r="K190" s="501"/>
      <c r="L190" s="501"/>
      <c r="M190" s="501"/>
    </row>
    <row r="191" ht="16.5" customHeight="1">
      <c r="A191" s="272"/>
      <c r="B191" s="114"/>
      <c r="C191" s="431"/>
      <c r="D191" s="213"/>
      <c r="E191" s="272"/>
      <c r="F191" s="272"/>
      <c r="G191" s="501"/>
      <c r="H191" s="501"/>
      <c r="I191" s="501"/>
      <c r="J191" s="501"/>
      <c r="K191" s="501"/>
      <c r="L191" s="501"/>
      <c r="M191" s="501"/>
    </row>
    <row r="192" ht="16.5" customHeight="1">
      <c r="A192" s="272"/>
      <c r="B192" s="114"/>
      <c r="C192" s="431"/>
      <c r="D192" s="213"/>
      <c r="E192" s="272"/>
      <c r="F192" s="272"/>
      <c r="G192" s="501"/>
      <c r="H192" s="501"/>
      <c r="I192" s="501"/>
      <c r="J192" s="501"/>
      <c r="K192" s="501"/>
      <c r="L192" s="501"/>
      <c r="M192" s="501"/>
    </row>
    <row r="193" ht="16.5" customHeight="1">
      <c r="A193" s="272"/>
      <c r="B193" s="114"/>
      <c r="C193" s="431"/>
      <c r="D193" s="213"/>
      <c r="E193" s="272"/>
      <c r="F193" s="272"/>
      <c r="G193" s="501"/>
      <c r="H193" s="501"/>
      <c r="I193" s="501"/>
      <c r="J193" s="501"/>
      <c r="K193" s="501"/>
      <c r="L193" s="501"/>
      <c r="M193" s="501"/>
    </row>
    <row r="194" ht="16.5" customHeight="1">
      <c r="A194" s="272"/>
      <c r="B194" s="114"/>
      <c r="C194" s="431"/>
      <c r="D194" s="213"/>
      <c r="E194" s="272"/>
      <c r="F194" s="272"/>
      <c r="G194" s="501"/>
      <c r="H194" s="501"/>
      <c r="I194" s="501"/>
      <c r="J194" s="501"/>
      <c r="K194" s="501"/>
      <c r="L194" s="501"/>
      <c r="M194" s="501"/>
    </row>
    <row r="195" ht="16.5" customHeight="1">
      <c r="A195" s="272"/>
      <c r="B195" s="114"/>
      <c r="C195" s="431"/>
      <c r="D195" s="213"/>
      <c r="E195" s="272"/>
      <c r="F195" s="272"/>
      <c r="G195" s="501"/>
      <c r="H195" s="501"/>
      <c r="I195" s="501"/>
      <c r="J195" s="501"/>
      <c r="K195" s="501"/>
      <c r="L195" s="501"/>
      <c r="M195" s="501"/>
    </row>
    <row r="196" ht="16.5" customHeight="1">
      <c r="A196" s="272"/>
      <c r="B196" s="114"/>
      <c r="C196" s="431"/>
      <c r="D196" s="213"/>
      <c r="E196" s="272"/>
      <c r="F196" s="272"/>
      <c r="G196" s="501"/>
      <c r="H196" s="501"/>
      <c r="I196" s="501"/>
      <c r="J196" s="501"/>
      <c r="K196" s="501"/>
      <c r="L196" s="501"/>
      <c r="M196" s="501"/>
    </row>
    <row r="197" ht="16.5" customHeight="1">
      <c r="A197" s="272"/>
      <c r="B197" s="114"/>
      <c r="C197" s="431"/>
      <c r="D197" s="213"/>
      <c r="E197" s="272"/>
      <c r="F197" s="272"/>
      <c r="G197" s="501"/>
      <c r="H197" s="501"/>
      <c r="I197" s="501"/>
      <c r="J197" s="501"/>
      <c r="K197" s="501"/>
      <c r="L197" s="501"/>
      <c r="M197" s="501"/>
    </row>
    <row r="198" ht="16.5" customHeight="1">
      <c r="A198" s="272"/>
      <c r="B198" s="114"/>
      <c r="C198" s="431"/>
      <c r="D198" s="213"/>
      <c r="E198" s="272"/>
      <c r="F198" s="272"/>
      <c r="G198" s="501"/>
      <c r="H198" s="501"/>
      <c r="I198" s="501"/>
      <c r="J198" s="501"/>
      <c r="K198" s="501"/>
      <c r="L198" s="501"/>
      <c r="M198" s="501"/>
    </row>
    <row r="199" ht="16.5" customHeight="1">
      <c r="A199" s="272"/>
      <c r="B199" s="114"/>
      <c r="C199" s="431"/>
      <c r="D199" s="213"/>
      <c r="E199" s="272"/>
      <c r="F199" s="272"/>
      <c r="G199" s="501"/>
      <c r="H199" s="501"/>
      <c r="I199" s="501"/>
      <c r="J199" s="501"/>
      <c r="K199" s="501"/>
      <c r="L199" s="501"/>
      <c r="M199" s="501"/>
    </row>
    <row r="200" ht="16.5" customHeight="1">
      <c r="A200" s="272"/>
      <c r="B200" s="114"/>
      <c r="C200" s="431"/>
      <c r="D200" s="213"/>
      <c r="E200" s="272"/>
      <c r="F200" s="272"/>
      <c r="G200" s="501"/>
      <c r="H200" s="501"/>
      <c r="I200" s="501"/>
      <c r="J200" s="501"/>
      <c r="K200" s="501"/>
      <c r="L200" s="501"/>
      <c r="M200" s="501"/>
    </row>
    <row r="201" ht="16.5" customHeight="1">
      <c r="A201" s="272"/>
      <c r="B201" s="114"/>
      <c r="C201" s="431"/>
      <c r="D201" s="213"/>
      <c r="E201" s="272"/>
      <c r="F201" s="272"/>
      <c r="G201" s="501"/>
      <c r="H201" s="501"/>
      <c r="I201" s="501"/>
      <c r="J201" s="501"/>
      <c r="K201" s="501"/>
      <c r="L201" s="501"/>
      <c r="M201" s="501"/>
    </row>
    <row r="202" ht="16.5" customHeight="1">
      <c r="A202" s="272"/>
      <c r="B202" s="114"/>
      <c r="C202" s="431"/>
      <c r="D202" s="213"/>
      <c r="E202" s="272"/>
      <c r="F202" s="272"/>
      <c r="G202" s="501"/>
      <c r="H202" s="501"/>
      <c r="I202" s="501"/>
      <c r="J202" s="501"/>
      <c r="K202" s="501"/>
      <c r="L202" s="501"/>
      <c r="M202" s="501"/>
    </row>
    <row r="203" ht="16.5" customHeight="1">
      <c r="A203" s="272"/>
      <c r="B203" s="114"/>
      <c r="C203" s="431"/>
      <c r="D203" s="213"/>
      <c r="E203" s="272"/>
      <c r="F203" s="272"/>
      <c r="G203" s="501"/>
      <c r="H203" s="501"/>
      <c r="I203" s="501"/>
      <c r="J203" s="501"/>
      <c r="K203" s="501"/>
      <c r="L203" s="501"/>
      <c r="M203" s="501"/>
    </row>
    <row r="204" ht="16.5" customHeight="1">
      <c r="A204" s="272"/>
      <c r="B204" s="114"/>
      <c r="C204" s="431"/>
      <c r="D204" s="213"/>
      <c r="E204" s="272"/>
      <c r="F204" s="272"/>
      <c r="G204" s="501"/>
      <c r="H204" s="501"/>
      <c r="I204" s="501"/>
      <c r="J204" s="501"/>
      <c r="K204" s="501"/>
      <c r="L204" s="501"/>
      <c r="M204" s="501"/>
    </row>
    <row r="205" ht="16.5" customHeight="1">
      <c r="A205" s="272"/>
      <c r="B205" s="114"/>
      <c r="C205" s="431"/>
      <c r="D205" s="213"/>
      <c r="E205" s="272"/>
      <c r="F205" s="272"/>
      <c r="G205" s="501"/>
      <c r="H205" s="501"/>
      <c r="I205" s="501"/>
      <c r="J205" s="501"/>
      <c r="K205" s="501"/>
      <c r="L205" s="501"/>
      <c r="M205" s="501"/>
    </row>
    <row r="206" ht="16.5" customHeight="1">
      <c r="A206" s="272"/>
      <c r="B206" s="114"/>
      <c r="C206" s="431"/>
      <c r="D206" s="213"/>
      <c r="E206" s="272"/>
      <c r="F206" s="272"/>
      <c r="G206" s="501"/>
      <c r="H206" s="501"/>
      <c r="I206" s="501"/>
      <c r="J206" s="501"/>
      <c r="K206" s="501"/>
      <c r="L206" s="501"/>
      <c r="M206" s="501"/>
    </row>
    <row r="207" ht="16.5" customHeight="1">
      <c r="A207" s="272"/>
      <c r="B207" s="114"/>
      <c r="C207" s="431"/>
      <c r="D207" s="213"/>
      <c r="E207" s="272"/>
      <c r="F207" s="272"/>
      <c r="G207" s="501"/>
      <c r="H207" s="501"/>
      <c r="I207" s="501"/>
      <c r="J207" s="501"/>
      <c r="K207" s="501"/>
      <c r="L207" s="501"/>
      <c r="M207" s="501"/>
    </row>
    <row r="208" ht="16.5" customHeight="1">
      <c r="A208" s="272"/>
      <c r="B208" s="114"/>
      <c r="C208" s="431"/>
      <c r="D208" s="213"/>
      <c r="E208" s="272"/>
      <c r="F208" s="272"/>
      <c r="G208" s="501"/>
      <c r="H208" s="501"/>
      <c r="I208" s="501"/>
      <c r="J208" s="501"/>
      <c r="K208" s="501"/>
      <c r="L208" s="501"/>
      <c r="M208" s="501"/>
    </row>
    <row r="209" ht="16.5" customHeight="1">
      <c r="A209" s="272"/>
      <c r="B209" s="114"/>
      <c r="C209" s="431"/>
      <c r="D209" s="213"/>
      <c r="E209" s="272"/>
      <c r="F209" s="272"/>
      <c r="G209" s="501"/>
      <c r="H209" s="501"/>
      <c r="I209" s="501"/>
      <c r="J209" s="501"/>
      <c r="K209" s="501"/>
      <c r="L209" s="501"/>
      <c r="M209" s="501"/>
    </row>
    <row r="210" ht="16.5" customHeight="1">
      <c r="A210" s="272"/>
      <c r="B210" s="114"/>
      <c r="C210" s="431"/>
      <c r="D210" s="213"/>
      <c r="E210" s="272"/>
      <c r="F210" s="272"/>
      <c r="G210" s="501"/>
      <c r="H210" s="501"/>
      <c r="I210" s="501"/>
      <c r="J210" s="501"/>
      <c r="K210" s="501"/>
      <c r="L210" s="501"/>
      <c r="M210" s="501"/>
    </row>
    <row r="211" ht="16.5" customHeight="1">
      <c r="A211" s="272"/>
      <c r="B211" s="114"/>
      <c r="C211" s="431"/>
      <c r="D211" s="213"/>
      <c r="E211" s="272"/>
      <c r="F211" s="272"/>
      <c r="G211" s="501"/>
      <c r="H211" s="501"/>
      <c r="I211" s="501"/>
      <c r="J211" s="501"/>
      <c r="K211" s="501"/>
      <c r="L211" s="501"/>
      <c r="M211" s="501"/>
    </row>
    <row r="212" ht="16.5" customHeight="1">
      <c r="A212" s="272"/>
      <c r="B212" s="114"/>
      <c r="C212" s="431"/>
      <c r="D212" s="213"/>
      <c r="E212" s="272"/>
      <c r="F212" s="272"/>
      <c r="G212" s="501"/>
      <c r="H212" s="501"/>
      <c r="I212" s="501"/>
      <c r="J212" s="501"/>
      <c r="K212" s="501"/>
      <c r="L212" s="501"/>
      <c r="M212" s="501"/>
    </row>
    <row r="213" ht="16.5" customHeight="1">
      <c r="A213" s="272"/>
      <c r="B213" s="114"/>
      <c r="C213" s="431"/>
      <c r="D213" s="213"/>
      <c r="E213" s="272"/>
      <c r="F213" s="272"/>
      <c r="G213" s="501"/>
      <c r="H213" s="501"/>
      <c r="I213" s="501"/>
      <c r="J213" s="501"/>
      <c r="K213" s="501"/>
      <c r="L213" s="501"/>
      <c r="M213" s="501"/>
    </row>
    <row r="214" ht="16.5" customHeight="1">
      <c r="A214" s="272"/>
      <c r="B214" s="114"/>
      <c r="C214" s="431"/>
      <c r="D214" s="213"/>
      <c r="E214" s="272"/>
      <c r="F214" s="272"/>
      <c r="G214" s="501"/>
      <c r="H214" s="501"/>
      <c r="I214" s="501"/>
      <c r="J214" s="501"/>
      <c r="K214" s="501"/>
      <c r="L214" s="501"/>
      <c r="M214" s="501"/>
    </row>
    <row r="215" ht="16.5" customHeight="1">
      <c r="A215" s="272"/>
      <c r="B215" s="114"/>
      <c r="C215" s="431"/>
      <c r="D215" s="213"/>
      <c r="E215" s="272"/>
      <c r="F215" s="272"/>
      <c r="G215" s="501"/>
      <c r="H215" s="501"/>
      <c r="I215" s="501"/>
      <c r="J215" s="501"/>
      <c r="K215" s="501"/>
      <c r="L215" s="501"/>
      <c r="M215" s="501"/>
    </row>
    <row r="216" ht="16.5" customHeight="1">
      <c r="A216" s="272"/>
      <c r="B216" s="114"/>
      <c r="C216" s="431"/>
      <c r="D216" s="213"/>
      <c r="E216" s="272"/>
      <c r="F216" s="272"/>
      <c r="G216" s="501"/>
      <c r="H216" s="501"/>
      <c r="I216" s="501"/>
      <c r="J216" s="501"/>
      <c r="K216" s="501"/>
      <c r="L216" s="501"/>
      <c r="M216" s="501"/>
    </row>
    <row r="217" ht="16.5" customHeight="1">
      <c r="A217" s="272"/>
      <c r="B217" s="114"/>
      <c r="C217" s="431"/>
      <c r="D217" s="213"/>
      <c r="E217" s="272"/>
      <c r="F217" s="272"/>
      <c r="G217" s="501"/>
      <c r="H217" s="501"/>
      <c r="I217" s="501"/>
      <c r="J217" s="501"/>
      <c r="K217" s="501"/>
      <c r="L217" s="501"/>
      <c r="M217" s="501"/>
    </row>
    <row r="218" ht="16.5" customHeight="1">
      <c r="A218" s="272"/>
      <c r="B218" s="114"/>
      <c r="C218" s="431"/>
      <c r="D218" s="213"/>
      <c r="E218" s="272"/>
      <c r="F218" s="272"/>
      <c r="G218" s="501"/>
      <c r="H218" s="501"/>
      <c r="I218" s="501"/>
      <c r="J218" s="501"/>
      <c r="K218" s="501"/>
      <c r="L218" s="501"/>
      <c r="M218" s="501"/>
    </row>
    <row r="219" ht="16.5" customHeight="1">
      <c r="A219" s="272"/>
      <c r="B219" s="114"/>
      <c r="C219" s="431"/>
      <c r="D219" s="213"/>
      <c r="E219" s="272"/>
      <c r="F219" s="272"/>
      <c r="G219" s="501"/>
      <c r="H219" s="501"/>
      <c r="I219" s="501"/>
      <c r="J219" s="501"/>
      <c r="K219" s="501"/>
      <c r="L219" s="501"/>
      <c r="M219" s="501"/>
    </row>
    <row r="220" ht="16.5" customHeight="1">
      <c r="A220" s="272"/>
      <c r="B220" s="114"/>
      <c r="C220" s="431"/>
      <c r="D220" s="213"/>
      <c r="E220" s="272"/>
      <c r="F220" s="272"/>
      <c r="G220" s="501"/>
      <c r="H220" s="501"/>
      <c r="I220" s="501"/>
      <c r="J220" s="501"/>
      <c r="K220" s="501"/>
      <c r="L220" s="501"/>
      <c r="M220" s="501"/>
    </row>
    <row r="221" ht="16.5" customHeight="1">
      <c r="A221" s="272"/>
      <c r="B221" s="114"/>
      <c r="C221" s="431"/>
      <c r="D221" s="213"/>
      <c r="E221" s="272"/>
      <c r="F221" s="272"/>
      <c r="G221" s="501"/>
      <c r="H221" s="501"/>
      <c r="I221" s="501"/>
      <c r="J221" s="501"/>
      <c r="K221" s="501"/>
      <c r="L221" s="501"/>
      <c r="M221" s="501"/>
    </row>
    <row r="222" ht="16.5" customHeight="1">
      <c r="A222" s="272"/>
      <c r="B222" s="114"/>
      <c r="C222" s="431"/>
      <c r="D222" s="213"/>
      <c r="E222" s="272"/>
      <c r="F222" s="272"/>
      <c r="G222" s="501"/>
      <c r="H222" s="501"/>
      <c r="I222" s="501"/>
      <c r="J222" s="501"/>
      <c r="K222" s="501"/>
      <c r="L222" s="501"/>
      <c r="M222" s="501"/>
    </row>
    <row r="223" ht="16.5" customHeight="1">
      <c r="A223" s="272"/>
      <c r="B223" s="114"/>
      <c r="C223" s="431"/>
      <c r="D223" s="213"/>
      <c r="E223" s="272"/>
      <c r="F223" s="272"/>
      <c r="G223" s="501"/>
      <c r="H223" s="501"/>
      <c r="I223" s="501"/>
      <c r="J223" s="501"/>
      <c r="K223" s="501"/>
      <c r="L223" s="501"/>
      <c r="M223" s="501"/>
    </row>
    <row r="224" ht="16.5" customHeight="1">
      <c r="A224" s="272"/>
      <c r="B224" s="114"/>
      <c r="C224" s="431"/>
      <c r="D224" s="213"/>
      <c r="E224" s="272"/>
      <c r="F224" s="272"/>
      <c r="G224" s="501"/>
      <c r="H224" s="501"/>
      <c r="I224" s="501"/>
      <c r="J224" s="501"/>
      <c r="K224" s="501"/>
      <c r="L224" s="501"/>
      <c r="M224" s="501"/>
    </row>
    <row r="225" ht="16.5" customHeight="1">
      <c r="A225" s="272"/>
      <c r="B225" s="114"/>
      <c r="C225" s="431"/>
      <c r="D225" s="213"/>
      <c r="E225" s="272"/>
      <c r="F225" s="272"/>
      <c r="G225" s="501"/>
      <c r="H225" s="501"/>
      <c r="I225" s="501"/>
      <c r="J225" s="501"/>
      <c r="K225" s="501"/>
      <c r="L225" s="501"/>
      <c r="M225" s="501"/>
    </row>
    <row r="226" ht="16.5" customHeight="1">
      <c r="A226" s="272"/>
      <c r="B226" s="114"/>
      <c r="C226" s="431"/>
      <c r="D226" s="213"/>
      <c r="E226" s="272"/>
      <c r="F226" s="272"/>
      <c r="G226" s="501"/>
      <c r="H226" s="501"/>
      <c r="I226" s="501"/>
      <c r="J226" s="501"/>
      <c r="K226" s="501"/>
      <c r="L226" s="501"/>
      <c r="M226" s="501"/>
    </row>
    <row r="227" ht="16.5" customHeight="1">
      <c r="A227" s="272"/>
      <c r="B227" s="114"/>
      <c r="C227" s="431"/>
      <c r="D227" s="213"/>
      <c r="E227" s="272"/>
      <c r="F227" s="272"/>
      <c r="G227" s="501"/>
      <c r="H227" s="501"/>
      <c r="I227" s="501"/>
      <c r="J227" s="501"/>
      <c r="K227" s="501"/>
      <c r="L227" s="501"/>
      <c r="M227" s="501"/>
    </row>
    <row r="228" ht="13.5" customHeight="1">
      <c r="A228" s="501"/>
      <c r="B228" s="517"/>
      <c r="C228" s="501"/>
      <c r="D228" s="501"/>
      <c r="E228" s="501"/>
      <c r="F228" s="501"/>
      <c r="G228" s="501"/>
      <c r="H228" s="501"/>
      <c r="I228" s="501"/>
      <c r="J228" s="501"/>
      <c r="K228" s="501"/>
      <c r="L228" s="501"/>
      <c r="M228" s="501"/>
    </row>
    <row r="229" ht="13.5" customHeight="1">
      <c r="A229" s="501"/>
      <c r="B229" s="517"/>
      <c r="C229" s="501"/>
      <c r="D229" s="501"/>
      <c r="E229" s="501"/>
      <c r="F229" s="501"/>
      <c r="G229" s="501"/>
      <c r="H229" s="501"/>
      <c r="I229" s="501"/>
      <c r="J229" s="501"/>
      <c r="K229" s="501"/>
      <c r="L229" s="501"/>
      <c r="M229" s="501"/>
    </row>
    <row r="230" ht="13.5" customHeight="1">
      <c r="A230" s="501"/>
      <c r="B230" s="517"/>
      <c r="C230" s="501"/>
      <c r="D230" s="501"/>
      <c r="E230" s="501"/>
      <c r="F230" s="501"/>
      <c r="G230" s="501"/>
      <c r="H230" s="501"/>
      <c r="I230" s="501"/>
      <c r="J230" s="501"/>
      <c r="K230" s="501"/>
      <c r="L230" s="501"/>
      <c r="M230" s="501"/>
    </row>
    <row r="231" ht="13.5" customHeight="1">
      <c r="A231" s="501"/>
      <c r="B231" s="517"/>
      <c r="C231" s="501"/>
      <c r="D231" s="501"/>
      <c r="E231" s="501"/>
      <c r="F231" s="501"/>
      <c r="G231" s="501"/>
      <c r="H231" s="501"/>
      <c r="I231" s="501"/>
      <c r="J231" s="501"/>
      <c r="K231" s="501"/>
      <c r="L231" s="501"/>
      <c r="M231" s="501"/>
    </row>
    <row r="232" ht="13.5" customHeight="1">
      <c r="A232" s="501"/>
      <c r="B232" s="517"/>
      <c r="C232" s="501"/>
      <c r="D232" s="501"/>
      <c r="E232" s="501"/>
      <c r="F232" s="501"/>
      <c r="G232" s="501"/>
      <c r="H232" s="501"/>
      <c r="I232" s="501"/>
      <c r="J232" s="501"/>
      <c r="K232" s="501"/>
      <c r="L232" s="501"/>
      <c r="M232" s="501"/>
    </row>
    <row r="233" ht="13.5" customHeight="1">
      <c r="A233" s="501"/>
      <c r="B233" s="517"/>
      <c r="C233" s="501"/>
      <c r="D233" s="501"/>
      <c r="E233" s="501"/>
      <c r="F233" s="501"/>
      <c r="G233" s="501"/>
      <c r="H233" s="501"/>
      <c r="I233" s="501"/>
      <c r="J233" s="501"/>
      <c r="K233" s="501"/>
      <c r="L233" s="501"/>
      <c r="M233" s="501"/>
    </row>
    <row r="234" ht="13.5" customHeight="1">
      <c r="A234" s="501"/>
      <c r="B234" s="517"/>
      <c r="C234" s="501"/>
      <c r="D234" s="501"/>
      <c r="E234" s="501"/>
      <c r="F234" s="501"/>
      <c r="G234" s="501"/>
      <c r="H234" s="501"/>
      <c r="I234" s="501"/>
      <c r="J234" s="501"/>
      <c r="K234" s="501"/>
      <c r="L234" s="501"/>
      <c r="M234" s="501"/>
    </row>
    <row r="235" ht="13.5" customHeight="1">
      <c r="A235" s="501"/>
      <c r="B235" s="517"/>
      <c r="C235" s="501"/>
      <c r="D235" s="501"/>
      <c r="E235" s="501"/>
      <c r="F235" s="501"/>
      <c r="G235" s="501"/>
      <c r="H235" s="501"/>
      <c r="I235" s="501"/>
      <c r="J235" s="501"/>
      <c r="K235" s="501"/>
      <c r="L235" s="501"/>
      <c r="M235" s="50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0">
    <mergeCell ref="G8:H8"/>
    <mergeCell ref="I8:J8"/>
    <mergeCell ref="C7:D8"/>
    <mergeCell ref="C9:C10"/>
    <mergeCell ref="D9:D10"/>
    <mergeCell ref="A11:B11"/>
    <mergeCell ref="E9:F9"/>
    <mergeCell ref="G9:G10"/>
    <mergeCell ref="H9:H10"/>
    <mergeCell ref="I9:I10"/>
    <mergeCell ref="J9:J10"/>
    <mergeCell ref="K9:K10"/>
    <mergeCell ref="I2:K4"/>
    <mergeCell ref="A7:A10"/>
    <mergeCell ref="B7:B10"/>
    <mergeCell ref="E7:F8"/>
    <mergeCell ref="G7:L7"/>
    <mergeCell ref="M7:M10"/>
    <mergeCell ref="K8:L8"/>
    <mergeCell ref="L9:L10"/>
  </mergeCells>
  <printOptions/>
  <pageMargins bottom="0.75" footer="0.0" header="0.0" left="0.25" right="0.25" top="0.75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1.43"/>
    <col customWidth="1" min="2" max="2" width="24.14"/>
    <col customWidth="1" min="3" max="3" width="24.43"/>
    <col customWidth="1" min="4" max="4" width="21.0"/>
    <col customWidth="1" min="5" max="5" width="20.86"/>
    <col customWidth="1" min="6" max="6" width="19.29"/>
    <col customWidth="1" min="7" max="7" width="20.0"/>
    <col customWidth="1" min="8" max="8" width="18.43"/>
    <col customWidth="1" min="9" max="9" width="20.86"/>
    <col customWidth="1" min="10" max="10" width="19.14"/>
    <col customWidth="1" min="11" max="11" width="19.57"/>
    <col customWidth="1" min="12" max="12" width="19.86"/>
    <col customWidth="1" min="13" max="13" width="24.14"/>
  </cols>
  <sheetData>
    <row r="1" ht="28.5" customHeight="1">
      <c r="A1" s="345" t="s">
        <v>0</v>
      </c>
      <c r="C1" s="341"/>
      <c r="D1" s="341"/>
      <c r="E1" s="341"/>
      <c r="F1" s="341"/>
      <c r="G1" s="518"/>
      <c r="H1" s="518"/>
      <c r="I1" s="518"/>
      <c r="J1" s="518"/>
      <c r="K1" s="518"/>
      <c r="L1" s="518"/>
      <c r="M1" s="518"/>
    </row>
    <row r="2" ht="25.5" customHeight="1">
      <c r="A2" s="5" t="s">
        <v>1</v>
      </c>
      <c r="B2" s="9"/>
      <c r="C2" s="341"/>
      <c r="D2" s="341"/>
      <c r="E2" s="341"/>
      <c r="F2" s="341"/>
      <c r="G2" s="518"/>
      <c r="H2" s="518"/>
      <c r="I2" s="344"/>
      <c r="L2" s="518"/>
      <c r="M2" s="518"/>
    </row>
    <row r="3" ht="22.5" customHeight="1">
      <c r="A3" s="345" t="s">
        <v>944</v>
      </c>
      <c r="B3" s="346"/>
      <c r="C3" s="341"/>
      <c r="D3" s="341"/>
      <c r="E3" s="341"/>
      <c r="F3" s="341"/>
      <c r="G3" s="518"/>
      <c r="H3" s="518"/>
      <c r="L3" s="518"/>
      <c r="M3" s="518"/>
    </row>
    <row r="4" ht="27.0" customHeight="1">
      <c r="A4" s="345" t="s">
        <v>3</v>
      </c>
      <c r="B4" s="346"/>
      <c r="C4" s="341"/>
      <c r="D4" s="341"/>
      <c r="E4" s="341"/>
      <c r="F4" s="341"/>
      <c r="G4" s="518"/>
      <c r="H4" s="518"/>
      <c r="L4" s="518"/>
      <c r="M4" s="518"/>
    </row>
    <row r="5" ht="23.25" customHeight="1">
      <c r="A5" s="345" t="s">
        <v>4</v>
      </c>
      <c r="B5" s="346"/>
      <c r="C5" s="341"/>
      <c r="D5" s="341"/>
      <c r="E5" s="341"/>
      <c r="F5" s="341"/>
      <c r="G5" s="518"/>
      <c r="H5" s="518"/>
      <c r="I5" s="518"/>
      <c r="J5" s="518"/>
      <c r="K5" s="518"/>
      <c r="L5" s="518"/>
      <c r="M5" s="518"/>
    </row>
    <row r="6" ht="16.5" customHeight="1">
      <c r="A6" s="272"/>
      <c r="B6" s="502"/>
      <c r="C6" s="272"/>
      <c r="D6" s="272"/>
      <c r="E6" s="272"/>
      <c r="F6" s="272"/>
      <c r="G6" s="518"/>
      <c r="H6" s="518"/>
      <c r="I6" s="518"/>
      <c r="J6" s="518"/>
      <c r="K6" s="518"/>
      <c r="L6" s="518"/>
      <c r="M6" s="518"/>
    </row>
    <row r="7" ht="21.75" customHeight="1">
      <c r="A7" s="13" t="s">
        <v>5</v>
      </c>
      <c r="B7" s="13" t="s">
        <v>6</v>
      </c>
      <c r="C7" s="14" t="s">
        <v>7</v>
      </c>
      <c r="D7" s="15"/>
      <c r="E7" s="16" t="s">
        <v>8</v>
      </c>
      <c r="F7" s="15"/>
      <c r="G7" s="17" t="s">
        <v>9</v>
      </c>
      <c r="H7" s="18"/>
      <c r="I7" s="18"/>
      <c r="J7" s="18"/>
      <c r="K7" s="18"/>
      <c r="L7" s="19"/>
      <c r="M7" s="20" t="s">
        <v>945</v>
      </c>
    </row>
    <row r="8" ht="23.25" customHeight="1">
      <c r="A8" s="21"/>
      <c r="B8" s="21"/>
      <c r="C8" s="22"/>
      <c r="D8" s="23"/>
      <c r="E8" s="22"/>
      <c r="F8" s="23"/>
      <c r="G8" s="24" t="s">
        <v>11</v>
      </c>
      <c r="H8" s="19"/>
      <c r="I8" s="24" t="s">
        <v>12</v>
      </c>
      <c r="J8" s="19"/>
      <c r="K8" s="24" t="s">
        <v>13</v>
      </c>
      <c r="L8" s="19"/>
      <c r="M8" s="21"/>
    </row>
    <row r="9" ht="20.25" customHeight="1">
      <c r="A9" s="21"/>
      <c r="B9" s="21"/>
      <c r="C9" s="25" t="s">
        <v>14</v>
      </c>
      <c r="D9" s="26" t="s">
        <v>15</v>
      </c>
      <c r="E9" s="27" t="s">
        <v>16</v>
      </c>
      <c r="F9" s="15"/>
      <c r="G9" s="28" t="s">
        <v>17</v>
      </c>
      <c r="H9" s="29" t="s">
        <v>18</v>
      </c>
      <c r="I9" s="28" t="s">
        <v>17</v>
      </c>
      <c r="J9" s="29" t="s">
        <v>18</v>
      </c>
      <c r="K9" s="28" t="s">
        <v>17</v>
      </c>
      <c r="L9" s="29" t="s">
        <v>18</v>
      </c>
      <c r="M9" s="21"/>
    </row>
    <row r="10" ht="64.5" customHeight="1">
      <c r="A10" s="30"/>
      <c r="B10" s="30"/>
      <c r="C10" s="30"/>
      <c r="D10" s="30"/>
      <c r="E10" s="31" t="s">
        <v>17</v>
      </c>
      <c r="F10" s="29" t="s">
        <v>18</v>
      </c>
      <c r="G10" s="30"/>
      <c r="H10" s="30"/>
      <c r="I10" s="30"/>
      <c r="J10" s="30"/>
      <c r="K10" s="30"/>
      <c r="L10" s="30"/>
      <c r="M10" s="30"/>
    </row>
    <row r="11" ht="27.0" customHeight="1">
      <c r="A11" s="519" t="s">
        <v>490</v>
      </c>
      <c r="B11" s="520"/>
      <c r="C11" s="521"/>
      <c r="D11" s="219">
        <f>SUM(D12:D17)</f>
        <v>122500</v>
      </c>
      <c r="E11" s="522"/>
      <c r="F11" s="523">
        <v>0.0</v>
      </c>
      <c r="G11" s="524"/>
      <c r="H11" s="525">
        <v>0.0</v>
      </c>
      <c r="I11" s="86"/>
      <c r="J11" s="525">
        <v>0.0</v>
      </c>
      <c r="K11" s="86"/>
      <c r="L11" s="525">
        <v>0.0</v>
      </c>
      <c r="M11" s="526"/>
    </row>
    <row r="12" ht="24.75" customHeight="1">
      <c r="A12" s="229" t="s">
        <v>493</v>
      </c>
      <c r="B12" s="527" t="s">
        <v>33</v>
      </c>
      <c r="C12" s="528">
        <v>2.0</v>
      </c>
      <c r="D12" s="228">
        <v>122500.0</v>
      </c>
      <c r="E12" s="529"/>
      <c r="F12" s="227"/>
      <c r="G12" s="524"/>
      <c r="H12" s="524"/>
      <c r="I12" s="524"/>
      <c r="J12" s="524"/>
      <c r="K12" s="524"/>
      <c r="L12" s="524"/>
      <c r="M12" s="526"/>
    </row>
    <row r="13" ht="16.5" hidden="1" customHeight="1">
      <c r="A13" s="530" t="s">
        <v>946</v>
      </c>
      <c r="B13" s="527"/>
      <c r="C13" s="528"/>
      <c r="D13" s="228"/>
      <c r="E13" s="529"/>
      <c r="F13" s="227"/>
      <c r="G13" s="524"/>
      <c r="H13" s="524"/>
      <c r="I13" s="524"/>
      <c r="J13" s="524"/>
      <c r="K13" s="524"/>
      <c r="L13" s="524"/>
      <c r="M13" s="526"/>
    </row>
    <row r="14" ht="16.5" hidden="1" customHeight="1">
      <c r="A14" s="353"/>
      <c r="B14" s="527"/>
      <c r="C14" s="531"/>
      <c r="D14" s="228"/>
      <c r="E14" s="529"/>
      <c r="F14" s="227"/>
      <c r="G14" s="524"/>
      <c r="H14" s="524"/>
      <c r="I14" s="524"/>
      <c r="J14" s="524"/>
      <c r="K14" s="524"/>
      <c r="L14" s="524"/>
      <c r="M14" s="526"/>
    </row>
    <row r="15" ht="16.5" hidden="1" customHeight="1">
      <c r="A15" s="353"/>
      <c r="B15" s="527"/>
      <c r="C15" s="531"/>
      <c r="D15" s="228"/>
      <c r="E15" s="529"/>
      <c r="F15" s="227"/>
      <c r="G15" s="524"/>
      <c r="H15" s="524"/>
      <c r="I15" s="524"/>
      <c r="J15" s="524"/>
      <c r="K15" s="524"/>
      <c r="L15" s="524"/>
      <c r="M15" s="526"/>
    </row>
    <row r="16" ht="16.5" hidden="1" customHeight="1">
      <c r="A16" s="353"/>
      <c r="B16" s="527"/>
      <c r="C16" s="531"/>
      <c r="D16" s="228"/>
      <c r="E16" s="529"/>
      <c r="F16" s="227"/>
      <c r="G16" s="524"/>
      <c r="H16" s="524"/>
      <c r="I16" s="524"/>
      <c r="J16" s="524"/>
      <c r="K16" s="524"/>
      <c r="L16" s="524"/>
      <c r="M16" s="526"/>
    </row>
    <row r="17" ht="16.5" hidden="1" customHeight="1">
      <c r="A17" s="353"/>
      <c r="B17" s="527"/>
      <c r="C17" s="531"/>
      <c r="D17" s="228"/>
      <c r="E17" s="529"/>
      <c r="F17" s="227"/>
      <c r="G17" s="524"/>
      <c r="H17" s="524"/>
      <c r="I17" s="524"/>
      <c r="J17" s="524"/>
      <c r="K17" s="524"/>
      <c r="L17" s="524"/>
      <c r="M17" s="526"/>
    </row>
    <row r="18" ht="24.0" customHeight="1">
      <c r="A18" s="39"/>
      <c r="B18" s="310"/>
      <c r="C18" s="389"/>
      <c r="D18" s="233"/>
      <c r="E18" s="526"/>
      <c r="F18" s="227"/>
      <c r="G18" s="524"/>
      <c r="H18" s="524"/>
      <c r="I18" s="524"/>
      <c r="J18" s="524"/>
      <c r="K18" s="524"/>
      <c r="L18" s="524"/>
      <c r="M18" s="526"/>
    </row>
    <row r="19" ht="24.0" customHeight="1">
      <c r="A19" s="532" t="s">
        <v>69</v>
      </c>
      <c r="B19" s="527"/>
      <c r="C19" s="521"/>
      <c r="D19" s="219">
        <f>D11</f>
        <v>122500</v>
      </c>
      <c r="E19" s="526"/>
      <c r="F19" s="523">
        <v>0.0</v>
      </c>
      <c r="G19" s="86"/>
      <c r="H19" s="525">
        <v>0.0</v>
      </c>
      <c r="I19" s="86"/>
      <c r="J19" s="525">
        <v>0.0</v>
      </c>
      <c r="K19" s="86"/>
      <c r="L19" s="525">
        <v>0.0</v>
      </c>
      <c r="M19" s="533"/>
    </row>
    <row r="20" ht="16.5" customHeight="1">
      <c r="A20" s="12"/>
      <c r="B20" s="12"/>
      <c r="C20" s="213"/>
      <c r="D20" s="431"/>
      <c r="E20" s="272"/>
      <c r="F20" s="272"/>
      <c r="G20" s="518"/>
      <c r="H20" s="518"/>
      <c r="I20" s="518"/>
      <c r="J20" s="518"/>
      <c r="K20" s="518"/>
      <c r="L20" s="518"/>
      <c r="M20" s="518"/>
    </row>
    <row r="21" ht="23.25" customHeight="1">
      <c r="A21" s="102" t="s">
        <v>70</v>
      </c>
      <c r="B21" s="12"/>
      <c r="C21" s="377"/>
      <c r="D21" s="377"/>
      <c r="E21" s="378" t="s">
        <v>83</v>
      </c>
      <c r="F21" s="377"/>
      <c r="G21" s="377"/>
      <c r="H21" s="377"/>
      <c r="I21" s="377"/>
      <c r="J21" s="374"/>
      <c r="K21" s="374"/>
      <c r="L21" s="108" t="s">
        <v>73</v>
      </c>
      <c r="M21" s="374"/>
    </row>
    <row r="22" ht="16.5" customHeight="1">
      <c r="A22" s="104"/>
      <c r="B22" s="12"/>
      <c r="C22" s="377"/>
      <c r="D22" s="377"/>
      <c r="E22" s="371"/>
      <c r="F22" s="377"/>
      <c r="G22" s="377"/>
      <c r="H22" s="377"/>
      <c r="I22" s="377"/>
      <c r="J22" s="374"/>
      <c r="K22" s="374"/>
      <c r="L22" s="373"/>
      <c r="M22" s="374"/>
    </row>
    <row r="23" ht="16.5" customHeight="1">
      <c r="A23" s="104"/>
      <c r="B23" s="12"/>
      <c r="C23" s="377"/>
      <c r="D23" s="377"/>
      <c r="E23" s="371"/>
      <c r="F23" s="377"/>
      <c r="G23" s="377"/>
      <c r="H23" s="377"/>
      <c r="I23" s="377"/>
      <c r="J23" s="374"/>
      <c r="K23" s="374"/>
      <c r="L23" s="373"/>
      <c r="M23" s="374"/>
    </row>
    <row r="24" ht="16.5" customHeight="1">
      <c r="A24" s="377"/>
      <c r="B24" s="12"/>
      <c r="C24" s="377"/>
      <c r="D24" s="377"/>
      <c r="E24" s="371"/>
      <c r="F24" s="12"/>
      <c r="G24" s="12"/>
      <c r="H24" s="12"/>
      <c r="I24" s="377"/>
      <c r="J24" s="12"/>
      <c r="K24" s="12"/>
      <c r="L24" s="373"/>
      <c r="M24" s="12"/>
    </row>
    <row r="25" ht="16.5" customHeight="1">
      <c r="A25" s="104"/>
      <c r="B25" s="12"/>
      <c r="C25" s="377"/>
      <c r="D25" s="377"/>
      <c r="E25" s="371"/>
      <c r="F25" s="12"/>
      <c r="G25" s="12"/>
      <c r="H25" s="12"/>
      <c r="I25" s="377"/>
      <c r="J25" s="12"/>
      <c r="K25" s="12"/>
      <c r="L25" s="373"/>
      <c r="M25" s="12"/>
    </row>
    <row r="26" ht="20.25" customHeight="1">
      <c r="A26" s="106" t="s">
        <v>75</v>
      </c>
      <c r="B26" s="12"/>
      <c r="C26" s="377"/>
      <c r="D26" s="377"/>
      <c r="E26" s="380" t="s">
        <v>76</v>
      </c>
      <c r="F26" s="12"/>
      <c r="G26" s="12"/>
      <c r="H26" s="12"/>
      <c r="I26" s="377"/>
      <c r="J26" s="12"/>
      <c r="K26" s="12"/>
      <c r="L26" s="106" t="s">
        <v>77</v>
      </c>
      <c r="M26" s="12"/>
    </row>
    <row r="27" ht="16.5" customHeight="1">
      <c r="A27" s="108" t="s">
        <v>79</v>
      </c>
      <c r="B27" s="12"/>
      <c r="C27" s="377"/>
      <c r="D27" s="377"/>
      <c r="E27" s="378" t="s">
        <v>80</v>
      </c>
      <c r="F27" s="12"/>
      <c r="G27" s="12"/>
      <c r="H27" s="12"/>
      <c r="I27" s="377"/>
      <c r="J27" s="12"/>
      <c r="K27" s="12"/>
      <c r="L27" s="108" t="s">
        <v>81</v>
      </c>
      <c r="M27" s="12"/>
    </row>
    <row r="28" ht="16.5" customHeight="1">
      <c r="A28" s="518"/>
      <c r="B28" s="518"/>
      <c r="C28" s="272"/>
      <c r="D28" s="272"/>
      <c r="E28" s="272"/>
      <c r="F28" s="272"/>
      <c r="G28" s="518"/>
      <c r="H28" s="518"/>
      <c r="I28" s="518"/>
      <c r="J28" s="518"/>
      <c r="K28" s="518"/>
      <c r="L28" s="518"/>
      <c r="M28" s="518"/>
    </row>
    <row r="29" ht="16.5" customHeight="1">
      <c r="A29" s="272"/>
      <c r="B29" s="114"/>
      <c r="C29" s="272"/>
      <c r="D29" s="272"/>
      <c r="E29" s="272"/>
      <c r="F29" s="272"/>
      <c r="G29" s="518"/>
      <c r="H29" s="518"/>
      <c r="I29" s="518"/>
      <c r="J29" s="518"/>
      <c r="K29" s="518"/>
      <c r="L29" s="518"/>
      <c r="M29" s="518"/>
    </row>
    <row r="30" ht="16.5" customHeight="1">
      <c r="A30" s="272"/>
      <c r="B30" s="114"/>
      <c r="C30" s="272"/>
      <c r="D30" s="272"/>
      <c r="E30" s="272"/>
      <c r="F30" s="272"/>
      <c r="G30" s="518"/>
      <c r="H30" s="518"/>
      <c r="I30" s="518"/>
      <c r="J30" s="518"/>
      <c r="K30" s="518"/>
      <c r="L30" s="518"/>
      <c r="M30" s="518"/>
    </row>
    <row r="31" ht="16.5" customHeight="1">
      <c r="A31" s="272"/>
      <c r="B31" s="114"/>
      <c r="C31" s="272"/>
      <c r="D31" s="272"/>
      <c r="E31" s="272"/>
      <c r="F31" s="272"/>
      <c r="G31" s="518"/>
      <c r="H31" s="518"/>
      <c r="I31" s="518"/>
      <c r="J31" s="518"/>
      <c r="K31" s="518"/>
      <c r="L31" s="518"/>
      <c r="M31" s="518"/>
    </row>
    <row r="32" ht="16.5" customHeight="1">
      <c r="A32" s="272"/>
      <c r="B32" s="114"/>
      <c r="C32" s="272"/>
      <c r="D32" s="272"/>
      <c r="E32" s="272"/>
      <c r="F32" s="272"/>
      <c r="G32" s="518"/>
      <c r="H32" s="518"/>
      <c r="I32" s="518"/>
      <c r="J32" s="518"/>
      <c r="K32" s="518"/>
      <c r="L32" s="518"/>
      <c r="M32" s="518"/>
    </row>
    <row r="33" ht="16.5" customHeight="1">
      <c r="A33" s="272"/>
      <c r="B33" s="114"/>
      <c r="C33" s="272"/>
      <c r="D33" s="272"/>
      <c r="E33" s="272"/>
      <c r="F33" s="272"/>
      <c r="G33" s="518"/>
      <c r="H33" s="518"/>
      <c r="I33" s="518"/>
      <c r="J33" s="518"/>
      <c r="K33" s="518"/>
      <c r="L33" s="518"/>
      <c r="M33" s="518"/>
    </row>
    <row r="34" ht="16.5" customHeight="1">
      <c r="A34" s="272"/>
      <c r="B34" s="114"/>
      <c r="C34" s="272"/>
      <c r="D34" s="272"/>
      <c r="E34" s="272"/>
      <c r="F34" s="272"/>
      <c r="G34" s="518"/>
      <c r="H34" s="518"/>
      <c r="I34" s="518"/>
      <c r="J34" s="518"/>
      <c r="K34" s="518"/>
      <c r="L34" s="518"/>
      <c r="M34" s="518"/>
    </row>
    <row r="35" ht="16.5" customHeight="1">
      <c r="A35" s="272"/>
      <c r="B35" s="114"/>
      <c r="C35" s="272"/>
      <c r="D35" s="272"/>
      <c r="E35" s="272"/>
      <c r="F35" s="272"/>
      <c r="G35" s="518"/>
      <c r="H35" s="518"/>
      <c r="I35" s="518"/>
      <c r="J35" s="518"/>
      <c r="K35" s="518"/>
      <c r="L35" s="518"/>
      <c r="M35" s="518"/>
    </row>
    <row r="36" ht="16.5" customHeight="1">
      <c r="A36" s="272"/>
      <c r="B36" s="114"/>
      <c r="C36" s="272"/>
      <c r="D36" s="272"/>
      <c r="E36" s="272"/>
      <c r="F36" s="272"/>
      <c r="G36" s="518"/>
      <c r="H36" s="518"/>
      <c r="I36" s="518"/>
      <c r="J36" s="518"/>
      <c r="K36" s="518"/>
      <c r="L36" s="518"/>
      <c r="M36" s="518"/>
    </row>
    <row r="37" ht="16.5" customHeight="1">
      <c r="A37" s="272"/>
      <c r="B37" s="114"/>
      <c r="C37" s="272"/>
      <c r="D37" s="272"/>
      <c r="E37" s="272"/>
      <c r="F37" s="272"/>
      <c r="G37" s="518"/>
      <c r="H37" s="518"/>
      <c r="I37" s="518"/>
      <c r="J37" s="518"/>
      <c r="K37" s="518"/>
      <c r="L37" s="518"/>
      <c r="M37" s="518"/>
    </row>
    <row r="38" ht="16.5" customHeight="1">
      <c r="A38" s="272"/>
      <c r="B38" s="114"/>
      <c r="C38" s="272"/>
      <c r="D38" s="272"/>
      <c r="E38" s="272"/>
      <c r="F38" s="272"/>
      <c r="G38" s="518"/>
      <c r="H38" s="518"/>
      <c r="I38" s="518"/>
      <c r="J38" s="518"/>
      <c r="K38" s="518"/>
      <c r="L38" s="518"/>
      <c r="M38" s="518"/>
    </row>
    <row r="39" ht="16.5" customHeight="1">
      <c r="A39" s="272"/>
      <c r="B39" s="114"/>
      <c r="C39" s="272"/>
      <c r="D39" s="272"/>
      <c r="E39" s="272"/>
      <c r="F39" s="272"/>
      <c r="G39" s="518"/>
      <c r="H39" s="518"/>
      <c r="I39" s="518"/>
      <c r="J39" s="518"/>
      <c r="K39" s="518"/>
      <c r="L39" s="518"/>
      <c r="M39" s="518"/>
    </row>
    <row r="40" ht="16.5" customHeight="1">
      <c r="A40" s="272"/>
      <c r="B40" s="114"/>
      <c r="C40" s="272"/>
      <c r="D40" s="272"/>
      <c r="E40" s="272"/>
      <c r="F40" s="272"/>
      <c r="G40" s="518"/>
      <c r="H40" s="518"/>
      <c r="I40" s="518"/>
      <c r="J40" s="518"/>
      <c r="K40" s="518"/>
      <c r="L40" s="518"/>
      <c r="M40" s="518"/>
    </row>
    <row r="41" ht="16.5" customHeight="1">
      <c r="A41" s="272"/>
      <c r="B41" s="114"/>
      <c r="C41" s="272"/>
      <c r="D41" s="272"/>
      <c r="E41" s="272"/>
      <c r="F41" s="272"/>
      <c r="G41" s="518"/>
      <c r="H41" s="518"/>
      <c r="I41" s="518"/>
      <c r="J41" s="518"/>
      <c r="K41" s="518"/>
      <c r="L41" s="518"/>
      <c r="M41" s="518"/>
    </row>
    <row r="42" ht="16.5" customHeight="1">
      <c r="A42" s="272"/>
      <c r="B42" s="114"/>
      <c r="C42" s="272"/>
      <c r="D42" s="272"/>
      <c r="E42" s="272"/>
      <c r="F42" s="272"/>
      <c r="G42" s="518"/>
      <c r="H42" s="518"/>
      <c r="I42" s="518"/>
      <c r="J42" s="518"/>
      <c r="K42" s="518"/>
      <c r="L42" s="518"/>
      <c r="M42" s="518"/>
    </row>
    <row r="43" ht="16.5" customHeight="1">
      <c r="A43" s="272"/>
      <c r="B43" s="114"/>
      <c r="C43" s="272"/>
      <c r="D43" s="272"/>
      <c r="E43" s="272"/>
      <c r="F43" s="272"/>
      <c r="G43" s="518"/>
      <c r="H43" s="518"/>
      <c r="I43" s="518"/>
      <c r="J43" s="518"/>
      <c r="K43" s="518"/>
      <c r="L43" s="518"/>
      <c r="M43" s="518"/>
    </row>
    <row r="44" ht="16.5" customHeight="1">
      <c r="A44" s="272"/>
      <c r="B44" s="114"/>
      <c r="C44" s="272"/>
      <c r="D44" s="272"/>
      <c r="E44" s="272"/>
      <c r="F44" s="272"/>
      <c r="G44" s="518"/>
      <c r="H44" s="518"/>
      <c r="I44" s="518"/>
      <c r="J44" s="518"/>
      <c r="K44" s="518"/>
      <c r="L44" s="518"/>
      <c r="M44" s="518"/>
    </row>
    <row r="45" ht="16.5" customHeight="1">
      <c r="A45" s="272"/>
      <c r="B45" s="114"/>
      <c r="C45" s="272"/>
      <c r="D45" s="272"/>
      <c r="E45" s="272"/>
      <c r="F45" s="272"/>
      <c r="G45" s="518"/>
      <c r="H45" s="518"/>
      <c r="I45" s="518"/>
      <c r="J45" s="518"/>
      <c r="K45" s="518"/>
      <c r="L45" s="518"/>
      <c r="M45" s="518"/>
    </row>
    <row r="46" ht="16.5" customHeight="1">
      <c r="A46" s="272"/>
      <c r="B46" s="114"/>
      <c r="C46" s="272"/>
      <c r="D46" s="272"/>
      <c r="E46" s="272"/>
      <c r="F46" s="272"/>
      <c r="G46" s="518"/>
      <c r="H46" s="518"/>
      <c r="I46" s="518"/>
      <c r="J46" s="518"/>
      <c r="K46" s="518"/>
      <c r="L46" s="518"/>
      <c r="M46" s="518"/>
    </row>
    <row r="47" ht="16.5" customHeight="1">
      <c r="A47" s="272"/>
      <c r="B47" s="114"/>
      <c r="C47" s="272"/>
      <c r="D47" s="272"/>
      <c r="E47" s="272"/>
      <c r="F47" s="272"/>
      <c r="G47" s="518"/>
      <c r="H47" s="518"/>
      <c r="I47" s="518"/>
      <c r="J47" s="518"/>
      <c r="K47" s="518"/>
      <c r="L47" s="518"/>
      <c r="M47" s="518"/>
    </row>
    <row r="48" ht="16.5" customHeight="1">
      <c r="A48" s="272"/>
      <c r="B48" s="114"/>
      <c r="C48" s="272"/>
      <c r="D48" s="272"/>
      <c r="E48" s="272"/>
      <c r="F48" s="272"/>
      <c r="G48" s="518"/>
      <c r="H48" s="518"/>
      <c r="I48" s="518"/>
      <c r="J48" s="518"/>
      <c r="K48" s="518"/>
      <c r="L48" s="518"/>
      <c r="M48" s="518"/>
    </row>
    <row r="49" ht="16.5" customHeight="1">
      <c r="A49" s="272"/>
      <c r="B49" s="114"/>
      <c r="C49" s="272"/>
      <c r="D49" s="272"/>
      <c r="E49" s="272"/>
      <c r="F49" s="272"/>
      <c r="G49" s="518"/>
      <c r="H49" s="518"/>
      <c r="I49" s="518"/>
      <c r="J49" s="518"/>
      <c r="K49" s="518"/>
      <c r="L49" s="518"/>
      <c r="M49" s="518"/>
    </row>
    <row r="50" ht="16.5" customHeight="1">
      <c r="A50" s="272"/>
      <c r="B50" s="114"/>
      <c r="C50" s="272"/>
      <c r="D50" s="272"/>
      <c r="E50" s="272"/>
      <c r="F50" s="272"/>
      <c r="G50" s="518"/>
      <c r="H50" s="518"/>
      <c r="I50" s="518"/>
      <c r="J50" s="518"/>
      <c r="K50" s="518"/>
      <c r="L50" s="518"/>
      <c r="M50" s="518"/>
    </row>
    <row r="51" ht="16.5" customHeight="1">
      <c r="A51" s="272"/>
      <c r="B51" s="114"/>
      <c r="C51" s="272"/>
      <c r="D51" s="272"/>
      <c r="E51" s="272"/>
      <c r="F51" s="272"/>
      <c r="G51" s="518"/>
      <c r="H51" s="518"/>
      <c r="I51" s="518"/>
      <c r="J51" s="518"/>
      <c r="K51" s="518"/>
      <c r="L51" s="518"/>
      <c r="M51" s="518"/>
    </row>
    <row r="52" ht="16.5" customHeight="1">
      <c r="A52" s="272"/>
      <c r="B52" s="114"/>
      <c r="C52" s="272"/>
      <c r="D52" s="272"/>
      <c r="E52" s="272"/>
      <c r="F52" s="272"/>
      <c r="G52" s="518"/>
      <c r="H52" s="518"/>
      <c r="I52" s="518"/>
      <c r="J52" s="518"/>
      <c r="K52" s="518"/>
      <c r="L52" s="518"/>
      <c r="M52" s="518"/>
    </row>
    <row r="53" ht="16.5" customHeight="1">
      <c r="A53" s="272"/>
      <c r="B53" s="114"/>
      <c r="C53" s="272"/>
      <c r="D53" s="272"/>
      <c r="E53" s="272"/>
      <c r="F53" s="272"/>
      <c r="G53" s="518"/>
      <c r="H53" s="518"/>
      <c r="I53" s="518"/>
      <c r="J53" s="518"/>
      <c r="K53" s="518"/>
      <c r="L53" s="518"/>
      <c r="M53" s="518"/>
    </row>
    <row r="54" ht="16.5" customHeight="1">
      <c r="A54" s="272"/>
      <c r="B54" s="114"/>
      <c r="C54" s="272"/>
      <c r="D54" s="272"/>
      <c r="E54" s="272"/>
      <c r="F54" s="272"/>
      <c r="G54" s="518"/>
      <c r="H54" s="518"/>
      <c r="I54" s="518"/>
      <c r="J54" s="518"/>
      <c r="K54" s="518"/>
      <c r="L54" s="518"/>
      <c r="M54" s="518"/>
    </row>
    <row r="55" ht="16.5" customHeight="1">
      <c r="A55" s="272"/>
      <c r="B55" s="114"/>
      <c r="C55" s="272"/>
      <c r="D55" s="272"/>
      <c r="E55" s="272"/>
      <c r="F55" s="272"/>
      <c r="G55" s="518"/>
      <c r="H55" s="518"/>
      <c r="I55" s="518"/>
      <c r="J55" s="518"/>
      <c r="K55" s="518"/>
      <c r="L55" s="518"/>
      <c r="M55" s="518"/>
    </row>
    <row r="56" ht="16.5" customHeight="1">
      <c r="A56" s="272"/>
      <c r="B56" s="114"/>
      <c r="C56" s="272"/>
      <c r="D56" s="272"/>
      <c r="E56" s="272"/>
      <c r="F56" s="272"/>
      <c r="G56" s="518"/>
      <c r="H56" s="518"/>
      <c r="I56" s="518"/>
      <c r="J56" s="518"/>
      <c r="K56" s="518"/>
      <c r="L56" s="518"/>
      <c r="M56" s="518"/>
    </row>
    <row r="57" ht="16.5" customHeight="1">
      <c r="A57" s="272"/>
      <c r="B57" s="114"/>
      <c r="C57" s="272"/>
      <c r="D57" s="272"/>
      <c r="E57" s="272"/>
      <c r="F57" s="272"/>
      <c r="G57" s="518"/>
      <c r="H57" s="518"/>
      <c r="I57" s="518"/>
      <c r="J57" s="518"/>
      <c r="K57" s="518"/>
      <c r="L57" s="518"/>
      <c r="M57" s="518"/>
    </row>
    <row r="58" ht="16.5" customHeight="1">
      <c r="A58" s="272"/>
      <c r="B58" s="114"/>
      <c r="C58" s="272"/>
      <c r="D58" s="272"/>
      <c r="E58" s="272"/>
      <c r="F58" s="272"/>
      <c r="G58" s="518"/>
      <c r="H58" s="518"/>
      <c r="I58" s="518"/>
      <c r="J58" s="518"/>
      <c r="K58" s="518"/>
      <c r="L58" s="518"/>
      <c r="M58" s="518"/>
    </row>
    <row r="59" ht="16.5" customHeight="1">
      <c r="A59" s="272"/>
      <c r="B59" s="114"/>
      <c r="C59" s="272"/>
      <c r="D59" s="272"/>
      <c r="E59" s="272"/>
      <c r="F59" s="272"/>
      <c r="G59" s="518"/>
      <c r="H59" s="518"/>
      <c r="I59" s="518"/>
      <c r="J59" s="518"/>
      <c r="K59" s="518"/>
      <c r="L59" s="518"/>
      <c r="M59" s="518"/>
    </row>
    <row r="60" ht="16.5" customHeight="1">
      <c r="A60" s="272"/>
      <c r="B60" s="114"/>
      <c r="C60" s="272"/>
      <c r="D60" s="272"/>
      <c r="E60" s="272"/>
      <c r="F60" s="272"/>
      <c r="G60" s="518"/>
      <c r="H60" s="518"/>
      <c r="I60" s="518"/>
      <c r="J60" s="518"/>
      <c r="K60" s="518"/>
      <c r="L60" s="518"/>
      <c r="M60" s="518"/>
    </row>
    <row r="61" ht="16.5" customHeight="1">
      <c r="A61" s="272"/>
      <c r="B61" s="114"/>
      <c r="C61" s="272"/>
      <c r="D61" s="272"/>
      <c r="E61" s="272"/>
      <c r="F61" s="272"/>
      <c r="G61" s="518"/>
      <c r="H61" s="518"/>
      <c r="I61" s="518"/>
      <c r="J61" s="518"/>
      <c r="K61" s="518"/>
      <c r="L61" s="518"/>
      <c r="M61" s="518"/>
    </row>
    <row r="62" ht="16.5" customHeight="1">
      <c r="A62" s="272"/>
      <c r="B62" s="114"/>
      <c r="C62" s="272"/>
      <c r="D62" s="272"/>
      <c r="E62" s="272"/>
      <c r="F62" s="272"/>
      <c r="G62" s="518"/>
      <c r="H62" s="518"/>
      <c r="I62" s="518"/>
      <c r="J62" s="518"/>
      <c r="K62" s="518"/>
      <c r="L62" s="518"/>
      <c r="M62" s="518"/>
    </row>
    <row r="63" ht="16.5" customHeight="1">
      <c r="A63" s="272"/>
      <c r="B63" s="114"/>
      <c r="C63" s="272"/>
      <c r="D63" s="272"/>
      <c r="E63" s="272"/>
      <c r="F63" s="272"/>
      <c r="G63" s="518"/>
      <c r="H63" s="518"/>
      <c r="I63" s="518"/>
      <c r="J63" s="518"/>
      <c r="K63" s="518"/>
      <c r="L63" s="518"/>
      <c r="M63" s="518"/>
    </row>
    <row r="64" ht="16.5" customHeight="1">
      <c r="A64" s="272"/>
      <c r="B64" s="114"/>
      <c r="C64" s="272"/>
      <c r="D64" s="272"/>
      <c r="E64" s="272"/>
      <c r="F64" s="272"/>
      <c r="G64" s="518"/>
      <c r="H64" s="518"/>
      <c r="I64" s="518"/>
      <c r="J64" s="518"/>
      <c r="K64" s="518"/>
      <c r="L64" s="518"/>
      <c r="M64" s="518"/>
    </row>
    <row r="65" ht="16.5" customHeight="1">
      <c r="A65" s="272"/>
      <c r="B65" s="114"/>
      <c r="C65" s="272"/>
      <c r="D65" s="272"/>
      <c r="E65" s="272"/>
      <c r="F65" s="272"/>
      <c r="G65" s="518"/>
      <c r="H65" s="518"/>
      <c r="I65" s="518"/>
      <c r="J65" s="518"/>
      <c r="K65" s="518"/>
      <c r="L65" s="518"/>
      <c r="M65" s="518"/>
    </row>
    <row r="66" ht="16.5" customHeight="1">
      <c r="A66" s="272"/>
      <c r="B66" s="114"/>
      <c r="C66" s="272"/>
      <c r="D66" s="272"/>
      <c r="E66" s="272"/>
      <c r="F66" s="272"/>
      <c r="G66" s="518"/>
      <c r="H66" s="518"/>
      <c r="I66" s="518"/>
      <c r="J66" s="518"/>
      <c r="K66" s="518"/>
      <c r="L66" s="518"/>
      <c r="M66" s="518"/>
    </row>
    <row r="67" ht="16.5" customHeight="1">
      <c r="A67" s="272"/>
      <c r="B67" s="114"/>
      <c r="C67" s="272"/>
      <c r="D67" s="272"/>
      <c r="E67" s="272"/>
      <c r="F67" s="272"/>
      <c r="G67" s="518"/>
      <c r="H67" s="518"/>
      <c r="I67" s="518"/>
      <c r="J67" s="518"/>
      <c r="K67" s="518"/>
      <c r="L67" s="518"/>
      <c r="M67" s="518"/>
    </row>
    <row r="68" ht="16.5" customHeight="1">
      <c r="A68" s="272"/>
      <c r="B68" s="114"/>
      <c r="C68" s="272"/>
      <c r="D68" s="272"/>
      <c r="E68" s="272"/>
      <c r="F68" s="272"/>
      <c r="G68" s="518"/>
      <c r="H68" s="518"/>
      <c r="I68" s="518"/>
      <c r="J68" s="518"/>
      <c r="K68" s="518"/>
      <c r="L68" s="518"/>
      <c r="M68" s="518"/>
    </row>
    <row r="69" ht="16.5" customHeight="1">
      <c r="A69" s="272"/>
      <c r="B69" s="114"/>
      <c r="C69" s="272"/>
      <c r="D69" s="272"/>
      <c r="E69" s="272"/>
      <c r="F69" s="272"/>
      <c r="G69" s="518"/>
      <c r="H69" s="518"/>
      <c r="I69" s="518"/>
      <c r="J69" s="518"/>
      <c r="K69" s="518"/>
      <c r="L69" s="518"/>
      <c r="M69" s="518"/>
    </row>
    <row r="70" ht="16.5" customHeight="1">
      <c r="A70" s="272"/>
      <c r="B70" s="114"/>
      <c r="C70" s="272"/>
      <c r="D70" s="272"/>
      <c r="E70" s="272"/>
      <c r="F70" s="272"/>
      <c r="G70" s="518"/>
      <c r="H70" s="518"/>
      <c r="I70" s="518"/>
      <c r="J70" s="518"/>
      <c r="K70" s="518"/>
      <c r="L70" s="518"/>
      <c r="M70" s="518"/>
    </row>
    <row r="71" ht="16.5" customHeight="1">
      <c r="A71" s="272"/>
      <c r="B71" s="114"/>
      <c r="C71" s="272"/>
      <c r="D71" s="272"/>
      <c r="E71" s="272"/>
      <c r="F71" s="272"/>
      <c r="G71" s="518"/>
      <c r="H71" s="518"/>
      <c r="I71" s="518"/>
      <c r="J71" s="518"/>
      <c r="K71" s="518"/>
      <c r="L71" s="518"/>
      <c r="M71" s="518"/>
    </row>
    <row r="72" ht="16.5" customHeight="1">
      <c r="A72" s="272"/>
      <c r="B72" s="114"/>
      <c r="C72" s="272"/>
      <c r="D72" s="272"/>
      <c r="E72" s="272"/>
      <c r="F72" s="272"/>
      <c r="G72" s="518"/>
      <c r="H72" s="518"/>
      <c r="I72" s="518"/>
      <c r="J72" s="518"/>
      <c r="K72" s="518"/>
      <c r="L72" s="518"/>
      <c r="M72" s="518"/>
    </row>
    <row r="73" ht="16.5" customHeight="1">
      <c r="A73" s="272"/>
      <c r="B73" s="114"/>
      <c r="C73" s="272"/>
      <c r="D73" s="272"/>
      <c r="E73" s="272"/>
      <c r="F73" s="272"/>
      <c r="G73" s="518"/>
      <c r="H73" s="518"/>
      <c r="I73" s="518"/>
      <c r="J73" s="518"/>
      <c r="K73" s="518"/>
      <c r="L73" s="518"/>
      <c r="M73" s="518"/>
    </row>
    <row r="74" ht="16.5" customHeight="1">
      <c r="A74" s="272"/>
      <c r="B74" s="114"/>
      <c r="C74" s="272"/>
      <c r="D74" s="272"/>
      <c r="E74" s="272"/>
      <c r="F74" s="272"/>
      <c r="G74" s="518"/>
      <c r="H74" s="518"/>
      <c r="I74" s="518"/>
      <c r="J74" s="518"/>
      <c r="K74" s="518"/>
      <c r="L74" s="518"/>
      <c r="M74" s="518"/>
    </row>
    <row r="75" ht="16.5" customHeight="1">
      <c r="A75" s="272"/>
      <c r="B75" s="114"/>
      <c r="C75" s="272"/>
      <c r="D75" s="272"/>
      <c r="E75" s="272"/>
      <c r="F75" s="272"/>
      <c r="G75" s="518"/>
      <c r="H75" s="518"/>
      <c r="I75" s="518"/>
      <c r="J75" s="518"/>
      <c r="K75" s="518"/>
      <c r="L75" s="518"/>
      <c r="M75" s="518"/>
    </row>
    <row r="76" ht="16.5" customHeight="1">
      <c r="A76" s="272"/>
      <c r="B76" s="114"/>
      <c r="C76" s="272"/>
      <c r="D76" s="272"/>
      <c r="E76" s="272"/>
      <c r="F76" s="272"/>
      <c r="G76" s="518"/>
      <c r="H76" s="518"/>
      <c r="I76" s="518"/>
      <c r="J76" s="518"/>
      <c r="K76" s="518"/>
      <c r="L76" s="518"/>
      <c r="M76" s="518"/>
    </row>
    <row r="77" ht="16.5" customHeight="1">
      <c r="A77" s="272"/>
      <c r="B77" s="114"/>
      <c r="C77" s="272"/>
      <c r="D77" s="272"/>
      <c r="E77" s="272"/>
      <c r="F77" s="272"/>
      <c r="G77" s="518"/>
      <c r="H77" s="518"/>
      <c r="I77" s="518"/>
      <c r="J77" s="518"/>
      <c r="K77" s="518"/>
      <c r="L77" s="518"/>
      <c r="M77" s="518"/>
    </row>
    <row r="78" ht="16.5" customHeight="1">
      <c r="A78" s="272"/>
      <c r="B78" s="114"/>
      <c r="C78" s="272"/>
      <c r="D78" s="272"/>
      <c r="E78" s="272"/>
      <c r="F78" s="272"/>
      <c r="G78" s="518"/>
      <c r="H78" s="518"/>
      <c r="I78" s="518"/>
      <c r="J78" s="518"/>
      <c r="K78" s="518"/>
      <c r="L78" s="518"/>
      <c r="M78" s="518"/>
    </row>
    <row r="79" ht="16.5" customHeight="1">
      <c r="A79" s="272"/>
      <c r="B79" s="114"/>
      <c r="C79" s="272"/>
      <c r="D79" s="272"/>
      <c r="E79" s="272"/>
      <c r="F79" s="272"/>
      <c r="G79" s="518"/>
      <c r="H79" s="518"/>
      <c r="I79" s="518"/>
      <c r="J79" s="518"/>
      <c r="K79" s="518"/>
      <c r="L79" s="518"/>
      <c r="M79" s="518"/>
    </row>
    <row r="80" ht="16.5" customHeight="1">
      <c r="A80" s="272"/>
      <c r="B80" s="114"/>
      <c r="C80" s="272"/>
      <c r="D80" s="272"/>
      <c r="E80" s="272"/>
      <c r="F80" s="272"/>
      <c r="G80" s="518"/>
      <c r="H80" s="518"/>
      <c r="I80" s="518"/>
      <c r="J80" s="518"/>
      <c r="K80" s="518"/>
      <c r="L80" s="518"/>
      <c r="M80" s="518"/>
    </row>
    <row r="81" ht="16.5" customHeight="1">
      <c r="A81" s="272"/>
      <c r="B81" s="114"/>
      <c r="C81" s="272"/>
      <c r="D81" s="272"/>
      <c r="E81" s="272"/>
      <c r="F81" s="272"/>
      <c r="G81" s="518"/>
      <c r="H81" s="518"/>
      <c r="I81" s="518"/>
      <c r="J81" s="518"/>
      <c r="K81" s="518"/>
      <c r="L81" s="518"/>
      <c r="M81" s="518"/>
    </row>
    <row r="82" ht="16.5" customHeight="1">
      <c r="A82" s="272"/>
      <c r="B82" s="114"/>
      <c r="C82" s="272"/>
      <c r="D82" s="272"/>
      <c r="E82" s="272"/>
      <c r="F82" s="272"/>
      <c r="G82" s="518"/>
      <c r="H82" s="518"/>
      <c r="I82" s="518"/>
      <c r="J82" s="518"/>
      <c r="K82" s="518"/>
      <c r="L82" s="518"/>
      <c r="M82" s="518"/>
    </row>
    <row r="83" ht="16.5" customHeight="1">
      <c r="A83" s="272"/>
      <c r="B83" s="114"/>
      <c r="C83" s="272"/>
      <c r="D83" s="272"/>
      <c r="E83" s="272"/>
      <c r="F83" s="272"/>
      <c r="G83" s="518"/>
      <c r="H83" s="518"/>
      <c r="I83" s="518"/>
      <c r="J83" s="518"/>
      <c r="K83" s="518"/>
      <c r="L83" s="518"/>
      <c r="M83" s="518"/>
    </row>
    <row r="84" ht="16.5" customHeight="1">
      <c r="A84" s="272"/>
      <c r="B84" s="114"/>
      <c r="C84" s="272"/>
      <c r="D84" s="272"/>
      <c r="E84" s="272"/>
      <c r="F84" s="272"/>
      <c r="G84" s="518"/>
      <c r="H84" s="518"/>
      <c r="I84" s="518"/>
      <c r="J84" s="518"/>
      <c r="K84" s="518"/>
      <c r="L84" s="518"/>
      <c r="M84" s="518"/>
    </row>
    <row r="85" ht="16.5" customHeight="1">
      <c r="A85" s="272"/>
      <c r="B85" s="114"/>
      <c r="C85" s="272"/>
      <c r="D85" s="272"/>
      <c r="E85" s="272"/>
      <c r="F85" s="272"/>
      <c r="G85" s="518"/>
      <c r="H85" s="518"/>
      <c r="I85" s="518"/>
      <c r="J85" s="518"/>
      <c r="K85" s="518"/>
      <c r="L85" s="518"/>
      <c r="M85" s="518"/>
    </row>
    <row r="86" ht="16.5" customHeight="1">
      <c r="A86" s="272"/>
      <c r="B86" s="114"/>
      <c r="C86" s="272"/>
      <c r="D86" s="272"/>
      <c r="E86" s="272"/>
      <c r="F86" s="272"/>
      <c r="G86" s="518"/>
      <c r="H86" s="518"/>
      <c r="I86" s="518"/>
      <c r="J86" s="518"/>
      <c r="K86" s="518"/>
      <c r="L86" s="518"/>
      <c r="M86" s="518"/>
    </row>
    <row r="87" ht="16.5" customHeight="1">
      <c r="A87" s="272"/>
      <c r="B87" s="114"/>
      <c r="C87" s="272"/>
      <c r="D87" s="272"/>
      <c r="E87" s="272"/>
      <c r="F87" s="272"/>
      <c r="G87" s="518"/>
      <c r="H87" s="518"/>
      <c r="I87" s="518"/>
      <c r="J87" s="518"/>
      <c r="K87" s="518"/>
      <c r="L87" s="518"/>
      <c r="M87" s="518"/>
    </row>
    <row r="88" ht="16.5" customHeight="1">
      <c r="A88" s="272"/>
      <c r="B88" s="114"/>
      <c r="C88" s="272"/>
      <c r="D88" s="272"/>
      <c r="E88" s="272"/>
      <c r="F88" s="272"/>
      <c r="G88" s="518"/>
      <c r="H88" s="518"/>
      <c r="I88" s="518"/>
      <c r="J88" s="518"/>
      <c r="K88" s="518"/>
      <c r="L88" s="518"/>
      <c r="M88" s="518"/>
    </row>
    <row r="89" ht="16.5" customHeight="1">
      <c r="A89" s="272"/>
      <c r="B89" s="114"/>
      <c r="C89" s="272"/>
      <c r="D89" s="272"/>
      <c r="E89" s="272"/>
      <c r="F89" s="272"/>
      <c r="G89" s="518"/>
      <c r="H89" s="518"/>
      <c r="I89" s="518"/>
      <c r="J89" s="518"/>
      <c r="K89" s="518"/>
      <c r="L89" s="518"/>
      <c r="M89" s="518"/>
    </row>
    <row r="90" ht="16.5" customHeight="1">
      <c r="A90" s="272"/>
      <c r="B90" s="114"/>
      <c r="C90" s="272"/>
      <c r="D90" s="272"/>
      <c r="E90" s="272"/>
      <c r="F90" s="272"/>
      <c r="G90" s="518"/>
      <c r="H90" s="518"/>
      <c r="I90" s="518"/>
      <c r="J90" s="518"/>
      <c r="K90" s="518"/>
      <c r="L90" s="518"/>
      <c r="M90" s="518"/>
    </row>
    <row r="91" ht="16.5" customHeight="1">
      <c r="A91" s="272"/>
      <c r="B91" s="114"/>
      <c r="C91" s="272"/>
      <c r="D91" s="272"/>
      <c r="E91" s="272"/>
      <c r="F91" s="272"/>
      <c r="G91" s="518"/>
      <c r="H91" s="518"/>
      <c r="I91" s="518"/>
      <c r="J91" s="518"/>
      <c r="K91" s="518"/>
      <c r="L91" s="518"/>
      <c r="M91" s="518"/>
    </row>
    <row r="92" ht="16.5" customHeight="1">
      <c r="A92" s="272"/>
      <c r="B92" s="114"/>
      <c r="C92" s="272"/>
      <c r="D92" s="272"/>
      <c r="E92" s="272"/>
      <c r="F92" s="272"/>
      <c r="G92" s="518"/>
      <c r="H92" s="518"/>
      <c r="I92" s="518"/>
      <c r="J92" s="518"/>
      <c r="K92" s="518"/>
      <c r="L92" s="518"/>
      <c r="M92" s="518"/>
    </row>
    <row r="93" ht="16.5" customHeight="1">
      <c r="A93" s="272"/>
      <c r="B93" s="114"/>
      <c r="C93" s="272"/>
      <c r="D93" s="272"/>
      <c r="E93" s="272"/>
      <c r="F93" s="272"/>
      <c r="G93" s="518"/>
      <c r="H93" s="518"/>
      <c r="I93" s="518"/>
      <c r="J93" s="518"/>
      <c r="K93" s="518"/>
      <c r="L93" s="518"/>
      <c r="M93" s="518"/>
    </row>
    <row r="94" ht="16.5" customHeight="1">
      <c r="A94" s="272"/>
      <c r="B94" s="114"/>
      <c r="C94" s="272"/>
      <c r="D94" s="272"/>
      <c r="E94" s="272"/>
      <c r="F94" s="272"/>
      <c r="G94" s="518"/>
      <c r="H94" s="518"/>
      <c r="I94" s="518"/>
      <c r="J94" s="518"/>
      <c r="K94" s="518"/>
      <c r="L94" s="518"/>
      <c r="M94" s="518"/>
    </row>
    <row r="95" ht="16.5" customHeight="1">
      <c r="A95" s="272"/>
      <c r="B95" s="114"/>
      <c r="C95" s="272"/>
      <c r="D95" s="272"/>
      <c r="E95" s="272"/>
      <c r="F95" s="272"/>
      <c r="G95" s="518"/>
      <c r="H95" s="518"/>
      <c r="I95" s="518"/>
      <c r="J95" s="518"/>
      <c r="K95" s="518"/>
      <c r="L95" s="518"/>
      <c r="M95" s="518"/>
    </row>
    <row r="96" ht="16.5" customHeight="1">
      <c r="A96" s="272"/>
      <c r="B96" s="114"/>
      <c r="C96" s="272"/>
      <c r="D96" s="272"/>
      <c r="E96" s="272"/>
      <c r="F96" s="272"/>
      <c r="G96" s="518"/>
      <c r="H96" s="518"/>
      <c r="I96" s="518"/>
      <c r="J96" s="518"/>
      <c r="K96" s="518"/>
      <c r="L96" s="518"/>
      <c r="M96" s="518"/>
    </row>
    <row r="97" ht="16.5" customHeight="1">
      <c r="A97" s="272"/>
      <c r="B97" s="114"/>
      <c r="C97" s="272"/>
      <c r="D97" s="272"/>
      <c r="E97" s="272"/>
      <c r="F97" s="272"/>
      <c r="G97" s="518"/>
      <c r="H97" s="518"/>
      <c r="I97" s="518"/>
      <c r="J97" s="518"/>
      <c r="K97" s="518"/>
      <c r="L97" s="518"/>
      <c r="M97" s="518"/>
    </row>
    <row r="98" ht="16.5" customHeight="1">
      <c r="A98" s="272"/>
      <c r="B98" s="114"/>
      <c r="C98" s="272"/>
      <c r="D98" s="272"/>
      <c r="E98" s="272"/>
      <c r="F98" s="272"/>
      <c r="G98" s="518"/>
      <c r="H98" s="518"/>
      <c r="I98" s="518"/>
      <c r="J98" s="518"/>
      <c r="K98" s="518"/>
      <c r="L98" s="518"/>
      <c r="M98" s="518"/>
    </row>
    <row r="99" ht="16.5" customHeight="1">
      <c r="A99" s="272"/>
      <c r="B99" s="114"/>
      <c r="C99" s="272"/>
      <c r="D99" s="272"/>
      <c r="E99" s="272"/>
      <c r="F99" s="272"/>
      <c r="G99" s="518"/>
      <c r="H99" s="518"/>
      <c r="I99" s="518"/>
      <c r="J99" s="518"/>
      <c r="K99" s="518"/>
      <c r="L99" s="518"/>
      <c r="M99" s="518"/>
    </row>
    <row r="100" ht="16.5" customHeight="1">
      <c r="A100" s="272"/>
      <c r="B100" s="114"/>
      <c r="C100" s="272"/>
      <c r="D100" s="272"/>
      <c r="E100" s="272"/>
      <c r="F100" s="272"/>
      <c r="G100" s="518"/>
      <c r="H100" s="518"/>
      <c r="I100" s="518"/>
      <c r="J100" s="518"/>
      <c r="K100" s="518"/>
      <c r="L100" s="518"/>
      <c r="M100" s="518"/>
    </row>
    <row r="101" ht="16.5" customHeight="1">
      <c r="A101" s="272"/>
      <c r="B101" s="114"/>
      <c r="C101" s="272"/>
      <c r="D101" s="272"/>
      <c r="E101" s="272"/>
      <c r="F101" s="272"/>
      <c r="G101" s="518"/>
      <c r="H101" s="518"/>
      <c r="I101" s="518"/>
      <c r="J101" s="518"/>
      <c r="K101" s="518"/>
      <c r="L101" s="518"/>
      <c r="M101" s="518"/>
    </row>
    <row r="102" ht="16.5" customHeight="1">
      <c r="A102" s="272"/>
      <c r="B102" s="114"/>
      <c r="C102" s="272"/>
      <c r="D102" s="272"/>
      <c r="E102" s="272"/>
      <c r="F102" s="272"/>
      <c r="G102" s="518"/>
      <c r="H102" s="518"/>
      <c r="I102" s="518"/>
      <c r="J102" s="518"/>
      <c r="K102" s="518"/>
      <c r="L102" s="518"/>
      <c r="M102" s="518"/>
    </row>
    <row r="103" ht="16.5" customHeight="1">
      <c r="A103" s="272"/>
      <c r="B103" s="114"/>
      <c r="C103" s="272"/>
      <c r="D103" s="272"/>
      <c r="E103" s="272"/>
      <c r="F103" s="272"/>
      <c r="G103" s="518"/>
      <c r="H103" s="518"/>
      <c r="I103" s="518"/>
      <c r="J103" s="518"/>
      <c r="K103" s="518"/>
      <c r="L103" s="518"/>
      <c r="M103" s="518"/>
    </row>
    <row r="104" ht="16.5" customHeight="1">
      <c r="A104" s="272"/>
      <c r="B104" s="114"/>
      <c r="C104" s="272"/>
      <c r="D104" s="272"/>
      <c r="E104" s="272"/>
      <c r="F104" s="272"/>
      <c r="G104" s="518"/>
      <c r="H104" s="518"/>
      <c r="I104" s="518"/>
      <c r="J104" s="518"/>
      <c r="K104" s="518"/>
      <c r="L104" s="518"/>
      <c r="M104" s="518"/>
    </row>
    <row r="105" ht="16.5" customHeight="1">
      <c r="A105" s="272"/>
      <c r="B105" s="114"/>
      <c r="C105" s="272"/>
      <c r="D105" s="272"/>
      <c r="E105" s="272"/>
      <c r="F105" s="272"/>
      <c r="G105" s="518"/>
      <c r="H105" s="518"/>
      <c r="I105" s="518"/>
      <c r="J105" s="518"/>
      <c r="K105" s="518"/>
      <c r="L105" s="518"/>
      <c r="M105" s="518"/>
    </row>
    <row r="106" ht="16.5" customHeight="1">
      <c r="A106" s="272"/>
      <c r="B106" s="114"/>
      <c r="C106" s="272"/>
      <c r="D106" s="272"/>
      <c r="E106" s="272"/>
      <c r="F106" s="272"/>
      <c r="G106" s="518"/>
      <c r="H106" s="518"/>
      <c r="I106" s="518"/>
      <c r="J106" s="518"/>
      <c r="K106" s="518"/>
      <c r="L106" s="518"/>
      <c r="M106" s="518"/>
    </row>
    <row r="107" ht="16.5" customHeight="1">
      <c r="A107" s="272"/>
      <c r="B107" s="114"/>
      <c r="C107" s="272"/>
      <c r="D107" s="272"/>
      <c r="E107" s="272"/>
      <c r="F107" s="272"/>
      <c r="G107" s="518"/>
      <c r="H107" s="518"/>
      <c r="I107" s="518"/>
      <c r="J107" s="518"/>
      <c r="K107" s="518"/>
      <c r="L107" s="518"/>
      <c r="M107" s="518"/>
    </row>
    <row r="108" ht="16.5" customHeight="1">
      <c r="A108" s="272"/>
      <c r="B108" s="114"/>
      <c r="C108" s="272"/>
      <c r="D108" s="272"/>
      <c r="E108" s="272"/>
      <c r="F108" s="272"/>
      <c r="G108" s="518"/>
      <c r="H108" s="518"/>
      <c r="I108" s="518"/>
      <c r="J108" s="518"/>
      <c r="K108" s="518"/>
      <c r="L108" s="518"/>
      <c r="M108" s="518"/>
    </row>
    <row r="109" ht="16.5" customHeight="1">
      <c r="A109" s="272"/>
      <c r="B109" s="114"/>
      <c r="C109" s="272"/>
      <c r="D109" s="272"/>
      <c r="E109" s="272"/>
      <c r="F109" s="272"/>
      <c r="G109" s="518"/>
      <c r="H109" s="518"/>
      <c r="I109" s="518"/>
      <c r="J109" s="518"/>
      <c r="K109" s="518"/>
      <c r="L109" s="518"/>
      <c r="M109" s="518"/>
    </row>
    <row r="110" ht="16.5" customHeight="1">
      <c r="A110" s="272"/>
      <c r="B110" s="114"/>
      <c r="C110" s="272"/>
      <c r="D110" s="272"/>
      <c r="E110" s="272"/>
      <c r="F110" s="272"/>
      <c r="G110" s="518"/>
      <c r="H110" s="518"/>
      <c r="I110" s="518"/>
      <c r="J110" s="518"/>
      <c r="K110" s="518"/>
      <c r="L110" s="518"/>
      <c r="M110" s="518"/>
    </row>
    <row r="111" ht="16.5" customHeight="1">
      <c r="A111" s="272"/>
      <c r="B111" s="114"/>
      <c r="C111" s="272"/>
      <c r="D111" s="272"/>
      <c r="E111" s="272"/>
      <c r="F111" s="272"/>
      <c r="G111" s="518"/>
      <c r="H111" s="518"/>
      <c r="I111" s="518"/>
      <c r="J111" s="518"/>
      <c r="K111" s="518"/>
      <c r="L111" s="518"/>
      <c r="M111" s="518"/>
    </row>
    <row r="112" ht="16.5" customHeight="1">
      <c r="A112" s="272"/>
      <c r="B112" s="114"/>
      <c r="C112" s="272"/>
      <c r="D112" s="272"/>
      <c r="E112" s="272"/>
      <c r="F112" s="272"/>
      <c r="G112" s="518"/>
      <c r="H112" s="518"/>
      <c r="I112" s="518"/>
      <c r="J112" s="518"/>
      <c r="K112" s="518"/>
      <c r="L112" s="518"/>
      <c r="M112" s="518"/>
    </row>
    <row r="113" ht="16.5" customHeight="1">
      <c r="A113" s="272"/>
      <c r="B113" s="114"/>
      <c r="C113" s="272"/>
      <c r="D113" s="272"/>
      <c r="E113" s="272"/>
      <c r="F113" s="272"/>
      <c r="G113" s="518"/>
      <c r="H113" s="518"/>
      <c r="I113" s="518"/>
      <c r="J113" s="518"/>
      <c r="K113" s="518"/>
      <c r="L113" s="518"/>
      <c r="M113" s="518"/>
    </row>
    <row r="114" ht="16.5" customHeight="1">
      <c r="A114" s="272"/>
      <c r="B114" s="114"/>
      <c r="C114" s="272"/>
      <c r="D114" s="272"/>
      <c r="E114" s="272"/>
      <c r="F114" s="272"/>
      <c r="G114" s="518"/>
      <c r="H114" s="518"/>
      <c r="I114" s="518"/>
      <c r="J114" s="518"/>
      <c r="K114" s="518"/>
      <c r="L114" s="518"/>
      <c r="M114" s="518"/>
    </row>
    <row r="115" ht="16.5" customHeight="1">
      <c r="A115" s="272"/>
      <c r="B115" s="114"/>
      <c r="C115" s="272"/>
      <c r="D115" s="272"/>
      <c r="E115" s="272"/>
      <c r="F115" s="272"/>
      <c r="G115" s="518"/>
      <c r="H115" s="518"/>
      <c r="I115" s="518"/>
      <c r="J115" s="518"/>
      <c r="K115" s="518"/>
      <c r="L115" s="518"/>
      <c r="M115" s="518"/>
    </row>
    <row r="116" ht="16.5" customHeight="1">
      <c r="A116" s="272"/>
      <c r="B116" s="114"/>
      <c r="C116" s="272"/>
      <c r="D116" s="272"/>
      <c r="E116" s="272"/>
      <c r="F116" s="272"/>
      <c r="G116" s="518"/>
      <c r="H116" s="518"/>
      <c r="I116" s="518"/>
      <c r="J116" s="518"/>
      <c r="K116" s="518"/>
      <c r="L116" s="518"/>
      <c r="M116" s="518"/>
    </row>
    <row r="117" ht="16.5" customHeight="1">
      <c r="A117" s="272"/>
      <c r="B117" s="114"/>
      <c r="C117" s="272"/>
      <c r="D117" s="272"/>
      <c r="E117" s="272"/>
      <c r="F117" s="272"/>
      <c r="G117" s="518"/>
      <c r="H117" s="518"/>
      <c r="I117" s="518"/>
      <c r="J117" s="518"/>
      <c r="K117" s="518"/>
      <c r="L117" s="518"/>
      <c r="M117" s="518"/>
    </row>
    <row r="118" ht="16.5" customHeight="1">
      <c r="A118" s="272"/>
      <c r="B118" s="114"/>
      <c r="C118" s="272"/>
      <c r="D118" s="272"/>
      <c r="E118" s="272"/>
      <c r="F118" s="272"/>
      <c r="G118" s="518"/>
      <c r="H118" s="518"/>
      <c r="I118" s="518"/>
      <c r="J118" s="518"/>
      <c r="K118" s="518"/>
      <c r="L118" s="518"/>
      <c r="M118" s="518"/>
    </row>
    <row r="119" ht="16.5" customHeight="1">
      <c r="A119" s="272"/>
      <c r="B119" s="114"/>
      <c r="C119" s="272"/>
      <c r="D119" s="272"/>
      <c r="E119" s="272"/>
      <c r="F119" s="272"/>
      <c r="G119" s="518"/>
      <c r="H119" s="518"/>
      <c r="I119" s="518"/>
      <c r="J119" s="518"/>
      <c r="K119" s="518"/>
      <c r="L119" s="518"/>
      <c r="M119" s="518"/>
    </row>
    <row r="120" ht="16.5" customHeight="1">
      <c r="A120" s="272"/>
      <c r="B120" s="114"/>
      <c r="C120" s="272"/>
      <c r="D120" s="272"/>
      <c r="E120" s="272"/>
      <c r="F120" s="272"/>
      <c r="G120" s="518"/>
      <c r="H120" s="518"/>
      <c r="I120" s="518"/>
      <c r="J120" s="518"/>
      <c r="K120" s="518"/>
      <c r="L120" s="518"/>
      <c r="M120" s="518"/>
    </row>
    <row r="121" ht="16.5" customHeight="1">
      <c r="A121" s="272"/>
      <c r="B121" s="114"/>
      <c r="C121" s="272"/>
      <c r="D121" s="272"/>
      <c r="E121" s="272"/>
      <c r="F121" s="272"/>
      <c r="G121" s="518"/>
      <c r="H121" s="518"/>
      <c r="I121" s="518"/>
      <c r="J121" s="518"/>
      <c r="K121" s="518"/>
      <c r="L121" s="518"/>
      <c r="M121" s="518"/>
    </row>
    <row r="122" ht="16.5" customHeight="1">
      <c r="A122" s="272"/>
      <c r="B122" s="114"/>
      <c r="C122" s="272"/>
      <c r="D122" s="272"/>
      <c r="E122" s="272"/>
      <c r="F122" s="272"/>
      <c r="G122" s="518"/>
      <c r="H122" s="518"/>
      <c r="I122" s="518"/>
      <c r="J122" s="518"/>
      <c r="K122" s="518"/>
      <c r="L122" s="518"/>
      <c r="M122" s="518"/>
    </row>
    <row r="123" ht="16.5" customHeight="1">
      <c r="A123" s="272"/>
      <c r="B123" s="114"/>
      <c r="C123" s="272"/>
      <c r="D123" s="272"/>
      <c r="E123" s="272"/>
      <c r="F123" s="272"/>
      <c r="G123" s="518"/>
      <c r="H123" s="518"/>
      <c r="I123" s="518"/>
      <c r="J123" s="518"/>
      <c r="K123" s="518"/>
      <c r="L123" s="518"/>
      <c r="M123" s="518"/>
    </row>
    <row r="124" ht="16.5" customHeight="1">
      <c r="A124" s="272"/>
      <c r="B124" s="114"/>
      <c r="C124" s="272"/>
      <c r="D124" s="272"/>
      <c r="E124" s="272"/>
      <c r="F124" s="272"/>
      <c r="G124" s="518"/>
      <c r="H124" s="518"/>
      <c r="I124" s="518"/>
      <c r="J124" s="518"/>
      <c r="K124" s="518"/>
      <c r="L124" s="518"/>
      <c r="M124" s="518"/>
    </row>
    <row r="125" ht="16.5" customHeight="1">
      <c r="A125" s="272"/>
      <c r="B125" s="114"/>
      <c r="C125" s="272"/>
      <c r="D125" s="272"/>
      <c r="E125" s="272"/>
      <c r="F125" s="272"/>
      <c r="G125" s="518"/>
      <c r="H125" s="518"/>
      <c r="I125" s="518"/>
      <c r="J125" s="518"/>
      <c r="K125" s="518"/>
      <c r="L125" s="518"/>
      <c r="M125" s="518"/>
    </row>
    <row r="126" ht="16.5" customHeight="1">
      <c r="A126" s="272"/>
      <c r="B126" s="114"/>
      <c r="C126" s="272"/>
      <c r="D126" s="272"/>
      <c r="E126" s="272"/>
      <c r="F126" s="272"/>
      <c r="G126" s="518"/>
      <c r="H126" s="518"/>
      <c r="I126" s="518"/>
      <c r="J126" s="518"/>
      <c r="K126" s="518"/>
      <c r="L126" s="518"/>
      <c r="M126" s="518"/>
    </row>
    <row r="127" ht="16.5" customHeight="1">
      <c r="A127" s="272"/>
      <c r="B127" s="114"/>
      <c r="C127" s="272"/>
      <c r="D127" s="272"/>
      <c r="E127" s="272"/>
      <c r="F127" s="272"/>
      <c r="G127" s="518"/>
      <c r="H127" s="518"/>
      <c r="I127" s="518"/>
      <c r="J127" s="518"/>
      <c r="K127" s="518"/>
      <c r="L127" s="518"/>
      <c r="M127" s="518"/>
    </row>
    <row r="128" ht="16.5" customHeight="1">
      <c r="A128" s="272"/>
      <c r="B128" s="114"/>
      <c r="C128" s="272"/>
      <c r="D128" s="272"/>
      <c r="E128" s="272"/>
      <c r="F128" s="272"/>
      <c r="G128" s="518"/>
      <c r="H128" s="518"/>
      <c r="I128" s="518"/>
      <c r="J128" s="518"/>
      <c r="K128" s="518"/>
      <c r="L128" s="518"/>
      <c r="M128" s="518"/>
    </row>
    <row r="129" ht="16.5" customHeight="1">
      <c r="A129" s="272"/>
      <c r="B129" s="114"/>
      <c r="C129" s="272"/>
      <c r="D129" s="272"/>
      <c r="E129" s="272"/>
      <c r="F129" s="272"/>
      <c r="G129" s="518"/>
      <c r="H129" s="518"/>
      <c r="I129" s="518"/>
      <c r="J129" s="518"/>
      <c r="K129" s="518"/>
      <c r="L129" s="518"/>
      <c r="M129" s="518"/>
    </row>
    <row r="130" ht="16.5" customHeight="1">
      <c r="A130" s="272"/>
      <c r="B130" s="114"/>
      <c r="C130" s="272"/>
      <c r="D130" s="272"/>
      <c r="E130" s="272"/>
      <c r="F130" s="272"/>
      <c r="G130" s="518"/>
      <c r="H130" s="518"/>
      <c r="I130" s="518"/>
      <c r="J130" s="518"/>
      <c r="K130" s="518"/>
      <c r="L130" s="518"/>
      <c r="M130" s="518"/>
    </row>
    <row r="131" ht="16.5" customHeight="1">
      <c r="A131" s="272"/>
      <c r="B131" s="114"/>
      <c r="C131" s="272"/>
      <c r="D131" s="272"/>
      <c r="E131" s="272"/>
      <c r="F131" s="272"/>
      <c r="G131" s="518"/>
      <c r="H131" s="518"/>
      <c r="I131" s="518"/>
      <c r="J131" s="518"/>
      <c r="K131" s="518"/>
      <c r="L131" s="518"/>
      <c r="M131" s="518"/>
    </row>
    <row r="132" ht="16.5" customHeight="1">
      <c r="A132" s="272"/>
      <c r="B132" s="114"/>
      <c r="C132" s="272"/>
      <c r="D132" s="272"/>
      <c r="E132" s="272"/>
      <c r="F132" s="272"/>
      <c r="G132" s="518"/>
      <c r="H132" s="518"/>
      <c r="I132" s="518"/>
      <c r="J132" s="518"/>
      <c r="K132" s="518"/>
      <c r="L132" s="518"/>
      <c r="M132" s="518"/>
    </row>
    <row r="133" ht="16.5" customHeight="1">
      <c r="A133" s="272"/>
      <c r="B133" s="114"/>
      <c r="C133" s="272"/>
      <c r="D133" s="272"/>
      <c r="E133" s="272"/>
      <c r="F133" s="272"/>
      <c r="G133" s="518"/>
      <c r="H133" s="518"/>
      <c r="I133" s="518"/>
      <c r="J133" s="518"/>
      <c r="K133" s="518"/>
      <c r="L133" s="518"/>
      <c r="M133" s="518"/>
    </row>
    <row r="134" ht="16.5" customHeight="1">
      <c r="A134" s="272"/>
      <c r="B134" s="114"/>
      <c r="C134" s="272"/>
      <c r="D134" s="272"/>
      <c r="E134" s="272"/>
      <c r="F134" s="272"/>
      <c r="G134" s="518"/>
      <c r="H134" s="518"/>
      <c r="I134" s="518"/>
      <c r="J134" s="518"/>
      <c r="K134" s="518"/>
      <c r="L134" s="518"/>
      <c r="M134" s="518"/>
    </row>
    <row r="135" ht="16.5" customHeight="1">
      <c r="A135" s="272"/>
      <c r="B135" s="114"/>
      <c r="C135" s="272"/>
      <c r="D135" s="272"/>
      <c r="E135" s="272"/>
      <c r="F135" s="272"/>
      <c r="G135" s="518"/>
      <c r="H135" s="518"/>
      <c r="I135" s="518"/>
      <c r="J135" s="518"/>
      <c r="K135" s="518"/>
      <c r="L135" s="518"/>
      <c r="M135" s="518"/>
    </row>
    <row r="136" ht="16.5" customHeight="1">
      <c r="A136" s="272"/>
      <c r="B136" s="114"/>
      <c r="C136" s="272"/>
      <c r="D136" s="272"/>
      <c r="E136" s="272"/>
      <c r="F136" s="272"/>
      <c r="G136" s="518"/>
      <c r="H136" s="518"/>
      <c r="I136" s="518"/>
      <c r="J136" s="518"/>
      <c r="K136" s="518"/>
      <c r="L136" s="518"/>
      <c r="M136" s="518"/>
    </row>
    <row r="137" ht="16.5" customHeight="1">
      <c r="A137" s="272"/>
      <c r="B137" s="114"/>
      <c r="C137" s="272"/>
      <c r="D137" s="272"/>
      <c r="E137" s="272"/>
      <c r="F137" s="272"/>
      <c r="G137" s="518"/>
      <c r="H137" s="518"/>
      <c r="I137" s="518"/>
      <c r="J137" s="518"/>
      <c r="K137" s="518"/>
      <c r="L137" s="518"/>
      <c r="M137" s="518"/>
    </row>
    <row r="138" ht="16.5" customHeight="1">
      <c r="A138" s="272"/>
      <c r="B138" s="114"/>
      <c r="C138" s="272"/>
      <c r="D138" s="272"/>
      <c r="E138" s="272"/>
      <c r="F138" s="272"/>
      <c r="G138" s="518"/>
      <c r="H138" s="518"/>
      <c r="I138" s="518"/>
      <c r="J138" s="518"/>
      <c r="K138" s="518"/>
      <c r="L138" s="518"/>
      <c r="M138" s="518"/>
    </row>
    <row r="139" ht="16.5" customHeight="1">
      <c r="A139" s="272"/>
      <c r="B139" s="114"/>
      <c r="C139" s="272"/>
      <c r="D139" s="272"/>
      <c r="E139" s="272"/>
      <c r="F139" s="272"/>
      <c r="G139" s="518"/>
      <c r="H139" s="518"/>
      <c r="I139" s="518"/>
      <c r="J139" s="518"/>
      <c r="K139" s="518"/>
      <c r="L139" s="518"/>
      <c r="M139" s="518"/>
    </row>
    <row r="140" ht="16.5" customHeight="1">
      <c r="A140" s="272"/>
      <c r="B140" s="114"/>
      <c r="C140" s="272"/>
      <c r="D140" s="272"/>
      <c r="E140" s="272"/>
      <c r="F140" s="272"/>
      <c r="G140" s="518"/>
      <c r="H140" s="518"/>
      <c r="I140" s="518"/>
      <c r="J140" s="518"/>
      <c r="K140" s="518"/>
      <c r="L140" s="518"/>
      <c r="M140" s="518"/>
    </row>
    <row r="141" ht="16.5" customHeight="1">
      <c r="A141" s="272"/>
      <c r="B141" s="114"/>
      <c r="C141" s="272"/>
      <c r="D141" s="272"/>
      <c r="E141" s="272"/>
      <c r="F141" s="272"/>
      <c r="G141" s="518"/>
      <c r="H141" s="518"/>
      <c r="I141" s="518"/>
      <c r="J141" s="518"/>
      <c r="K141" s="518"/>
      <c r="L141" s="518"/>
      <c r="M141" s="518"/>
    </row>
    <row r="142" ht="16.5" customHeight="1">
      <c r="A142" s="272"/>
      <c r="B142" s="114"/>
      <c r="C142" s="272"/>
      <c r="D142" s="272"/>
      <c r="E142" s="272"/>
      <c r="F142" s="272"/>
      <c r="G142" s="518"/>
      <c r="H142" s="518"/>
      <c r="I142" s="518"/>
      <c r="J142" s="518"/>
      <c r="K142" s="518"/>
      <c r="L142" s="518"/>
      <c r="M142" s="518"/>
    </row>
    <row r="143" ht="16.5" customHeight="1">
      <c r="A143" s="272"/>
      <c r="B143" s="114"/>
      <c r="C143" s="272"/>
      <c r="D143" s="272"/>
      <c r="E143" s="272"/>
      <c r="F143" s="272"/>
      <c r="G143" s="518"/>
      <c r="H143" s="518"/>
      <c r="I143" s="518"/>
      <c r="J143" s="518"/>
      <c r="K143" s="518"/>
      <c r="L143" s="518"/>
      <c r="M143" s="518"/>
    </row>
    <row r="144" ht="16.5" customHeight="1">
      <c r="A144" s="272"/>
      <c r="B144" s="114"/>
      <c r="C144" s="272"/>
      <c r="D144" s="272"/>
      <c r="E144" s="272"/>
      <c r="F144" s="272"/>
      <c r="G144" s="518"/>
      <c r="H144" s="518"/>
      <c r="I144" s="518"/>
      <c r="J144" s="518"/>
      <c r="K144" s="518"/>
      <c r="L144" s="518"/>
      <c r="M144" s="518"/>
    </row>
    <row r="145" ht="16.5" customHeight="1">
      <c r="A145" s="272"/>
      <c r="B145" s="114"/>
      <c r="C145" s="272"/>
      <c r="D145" s="272"/>
      <c r="E145" s="272"/>
      <c r="F145" s="272"/>
      <c r="G145" s="518"/>
      <c r="H145" s="518"/>
      <c r="I145" s="518"/>
      <c r="J145" s="518"/>
      <c r="K145" s="518"/>
      <c r="L145" s="518"/>
      <c r="M145" s="518"/>
    </row>
    <row r="146" ht="16.5" customHeight="1">
      <c r="A146" s="272"/>
      <c r="B146" s="114"/>
      <c r="C146" s="272"/>
      <c r="D146" s="272"/>
      <c r="E146" s="272"/>
      <c r="F146" s="272"/>
      <c r="G146" s="518"/>
      <c r="H146" s="518"/>
      <c r="I146" s="518"/>
      <c r="J146" s="518"/>
      <c r="K146" s="518"/>
      <c r="L146" s="518"/>
      <c r="M146" s="518"/>
    </row>
    <row r="147" ht="16.5" customHeight="1">
      <c r="A147" s="272"/>
      <c r="B147" s="114"/>
      <c r="C147" s="272"/>
      <c r="D147" s="272"/>
      <c r="E147" s="272"/>
      <c r="F147" s="272"/>
      <c r="G147" s="518"/>
      <c r="H147" s="518"/>
      <c r="I147" s="518"/>
      <c r="J147" s="518"/>
      <c r="K147" s="518"/>
      <c r="L147" s="518"/>
      <c r="M147" s="518"/>
    </row>
    <row r="148" ht="16.5" customHeight="1">
      <c r="A148" s="272"/>
      <c r="B148" s="114"/>
      <c r="C148" s="272"/>
      <c r="D148" s="272"/>
      <c r="E148" s="272"/>
      <c r="F148" s="272"/>
      <c r="G148" s="518"/>
      <c r="H148" s="518"/>
      <c r="I148" s="518"/>
      <c r="J148" s="518"/>
      <c r="K148" s="518"/>
      <c r="L148" s="518"/>
      <c r="M148" s="518"/>
    </row>
    <row r="149" ht="16.5" customHeight="1">
      <c r="A149" s="272"/>
      <c r="B149" s="114"/>
      <c r="C149" s="272"/>
      <c r="D149" s="272"/>
      <c r="E149" s="272"/>
      <c r="F149" s="272"/>
      <c r="G149" s="518"/>
      <c r="H149" s="518"/>
      <c r="I149" s="518"/>
      <c r="J149" s="518"/>
      <c r="K149" s="518"/>
      <c r="L149" s="518"/>
      <c r="M149" s="518"/>
    </row>
    <row r="150" ht="16.5" customHeight="1">
      <c r="A150" s="272"/>
      <c r="B150" s="114"/>
      <c r="C150" s="272"/>
      <c r="D150" s="272"/>
      <c r="E150" s="272"/>
      <c r="F150" s="272"/>
      <c r="G150" s="518"/>
      <c r="H150" s="518"/>
      <c r="I150" s="518"/>
      <c r="J150" s="518"/>
      <c r="K150" s="518"/>
      <c r="L150" s="518"/>
      <c r="M150" s="518"/>
    </row>
    <row r="151" ht="16.5" customHeight="1">
      <c r="A151" s="272"/>
      <c r="B151" s="114"/>
      <c r="C151" s="272"/>
      <c r="D151" s="272"/>
      <c r="E151" s="272"/>
      <c r="F151" s="272"/>
      <c r="G151" s="518"/>
      <c r="H151" s="518"/>
      <c r="I151" s="518"/>
      <c r="J151" s="518"/>
      <c r="K151" s="518"/>
      <c r="L151" s="518"/>
      <c r="M151" s="518"/>
    </row>
    <row r="152" ht="16.5" customHeight="1">
      <c r="A152" s="272"/>
      <c r="B152" s="114"/>
      <c r="C152" s="272"/>
      <c r="D152" s="272"/>
      <c r="E152" s="272"/>
      <c r="F152" s="272"/>
      <c r="G152" s="518"/>
      <c r="H152" s="518"/>
      <c r="I152" s="518"/>
      <c r="J152" s="518"/>
      <c r="K152" s="518"/>
      <c r="L152" s="518"/>
      <c r="M152" s="518"/>
    </row>
    <row r="153" ht="16.5" customHeight="1">
      <c r="A153" s="272"/>
      <c r="B153" s="114"/>
      <c r="C153" s="272"/>
      <c r="D153" s="272"/>
      <c r="E153" s="272"/>
      <c r="F153" s="272"/>
      <c r="G153" s="518"/>
      <c r="H153" s="518"/>
      <c r="I153" s="518"/>
      <c r="J153" s="518"/>
      <c r="K153" s="518"/>
      <c r="L153" s="518"/>
      <c r="M153" s="518"/>
    </row>
    <row r="154" ht="16.5" customHeight="1">
      <c r="A154" s="272"/>
      <c r="B154" s="114"/>
      <c r="C154" s="272"/>
      <c r="D154" s="272"/>
      <c r="E154" s="272"/>
      <c r="F154" s="272"/>
      <c r="G154" s="518"/>
      <c r="H154" s="518"/>
      <c r="I154" s="518"/>
      <c r="J154" s="518"/>
      <c r="K154" s="518"/>
      <c r="L154" s="518"/>
      <c r="M154" s="518"/>
    </row>
    <row r="155" ht="16.5" customHeight="1">
      <c r="A155" s="272"/>
      <c r="B155" s="114"/>
      <c r="C155" s="272"/>
      <c r="D155" s="272"/>
      <c r="E155" s="272"/>
      <c r="F155" s="272"/>
      <c r="G155" s="518"/>
      <c r="H155" s="518"/>
      <c r="I155" s="518"/>
      <c r="J155" s="518"/>
      <c r="K155" s="518"/>
      <c r="L155" s="518"/>
      <c r="M155" s="518"/>
    </row>
    <row r="156" ht="16.5" customHeight="1">
      <c r="A156" s="272"/>
      <c r="B156" s="114"/>
      <c r="C156" s="272"/>
      <c r="D156" s="272"/>
      <c r="E156" s="272"/>
      <c r="F156" s="272"/>
      <c r="G156" s="518"/>
      <c r="H156" s="518"/>
      <c r="I156" s="518"/>
      <c r="J156" s="518"/>
      <c r="K156" s="518"/>
      <c r="L156" s="518"/>
      <c r="M156" s="518"/>
    </row>
    <row r="157" ht="16.5" customHeight="1">
      <c r="A157" s="272"/>
      <c r="B157" s="114"/>
      <c r="C157" s="272"/>
      <c r="D157" s="272"/>
      <c r="E157" s="272"/>
      <c r="F157" s="272"/>
      <c r="G157" s="518"/>
      <c r="H157" s="518"/>
      <c r="I157" s="518"/>
      <c r="J157" s="518"/>
      <c r="K157" s="518"/>
      <c r="L157" s="518"/>
      <c r="M157" s="518"/>
    </row>
    <row r="158" ht="16.5" customHeight="1">
      <c r="A158" s="272"/>
      <c r="B158" s="114"/>
      <c r="C158" s="272"/>
      <c r="D158" s="272"/>
      <c r="E158" s="272"/>
      <c r="F158" s="272"/>
      <c r="G158" s="518"/>
      <c r="H158" s="518"/>
      <c r="I158" s="518"/>
      <c r="J158" s="518"/>
      <c r="K158" s="518"/>
      <c r="L158" s="518"/>
      <c r="M158" s="518"/>
    </row>
    <row r="159" ht="16.5" customHeight="1">
      <c r="A159" s="272"/>
      <c r="B159" s="114"/>
      <c r="C159" s="272"/>
      <c r="D159" s="272"/>
      <c r="E159" s="272"/>
      <c r="F159" s="272"/>
      <c r="G159" s="518"/>
      <c r="H159" s="518"/>
      <c r="I159" s="518"/>
      <c r="J159" s="518"/>
      <c r="K159" s="518"/>
      <c r="L159" s="518"/>
      <c r="M159" s="518"/>
    </row>
    <row r="160" ht="16.5" customHeight="1">
      <c r="A160" s="272"/>
      <c r="B160" s="114"/>
      <c r="C160" s="272"/>
      <c r="D160" s="272"/>
      <c r="E160" s="272"/>
      <c r="F160" s="272"/>
      <c r="G160" s="518"/>
      <c r="H160" s="518"/>
      <c r="I160" s="518"/>
      <c r="J160" s="518"/>
      <c r="K160" s="518"/>
      <c r="L160" s="518"/>
      <c r="M160" s="518"/>
    </row>
    <row r="161" ht="16.5" customHeight="1">
      <c r="A161" s="272"/>
      <c r="B161" s="114"/>
      <c r="C161" s="272"/>
      <c r="D161" s="272"/>
      <c r="E161" s="272"/>
      <c r="F161" s="272"/>
      <c r="G161" s="518"/>
      <c r="H161" s="518"/>
      <c r="I161" s="518"/>
      <c r="J161" s="518"/>
      <c r="K161" s="518"/>
      <c r="L161" s="518"/>
      <c r="M161" s="518"/>
    </row>
    <row r="162" ht="16.5" customHeight="1">
      <c r="A162" s="272"/>
      <c r="B162" s="114"/>
      <c r="C162" s="272"/>
      <c r="D162" s="272"/>
      <c r="E162" s="272"/>
      <c r="F162" s="272"/>
      <c r="G162" s="518"/>
      <c r="H162" s="518"/>
      <c r="I162" s="518"/>
      <c r="J162" s="518"/>
      <c r="K162" s="518"/>
      <c r="L162" s="518"/>
      <c r="M162" s="518"/>
    </row>
    <row r="163" ht="16.5" customHeight="1">
      <c r="A163" s="272"/>
      <c r="B163" s="114"/>
      <c r="C163" s="272"/>
      <c r="D163" s="272"/>
      <c r="E163" s="272"/>
      <c r="F163" s="272"/>
      <c r="G163" s="518"/>
      <c r="H163" s="518"/>
      <c r="I163" s="518"/>
      <c r="J163" s="518"/>
      <c r="K163" s="518"/>
      <c r="L163" s="518"/>
      <c r="M163" s="518"/>
    </row>
    <row r="164" ht="16.5" customHeight="1">
      <c r="A164" s="272"/>
      <c r="B164" s="114"/>
      <c r="C164" s="272"/>
      <c r="D164" s="272"/>
      <c r="E164" s="272"/>
      <c r="F164" s="272"/>
      <c r="G164" s="518"/>
      <c r="H164" s="518"/>
      <c r="I164" s="518"/>
      <c r="J164" s="518"/>
      <c r="K164" s="518"/>
      <c r="L164" s="518"/>
      <c r="M164" s="518"/>
    </row>
    <row r="165" ht="16.5" customHeight="1">
      <c r="A165" s="272"/>
      <c r="B165" s="114"/>
      <c r="C165" s="272"/>
      <c r="D165" s="272"/>
      <c r="E165" s="272"/>
      <c r="F165" s="272"/>
      <c r="G165" s="518"/>
      <c r="H165" s="518"/>
      <c r="I165" s="518"/>
      <c r="J165" s="518"/>
      <c r="K165" s="518"/>
      <c r="L165" s="518"/>
      <c r="M165" s="518"/>
    </row>
    <row r="166" ht="16.5" customHeight="1">
      <c r="A166" s="272"/>
      <c r="B166" s="114"/>
      <c r="C166" s="272"/>
      <c r="D166" s="272"/>
      <c r="E166" s="272"/>
      <c r="F166" s="272"/>
      <c r="G166" s="518"/>
      <c r="H166" s="518"/>
      <c r="I166" s="518"/>
      <c r="J166" s="518"/>
      <c r="K166" s="518"/>
      <c r="L166" s="518"/>
      <c r="M166" s="518"/>
    </row>
    <row r="167" ht="16.5" customHeight="1">
      <c r="A167" s="272"/>
      <c r="B167" s="114"/>
      <c r="C167" s="272"/>
      <c r="D167" s="272"/>
      <c r="E167" s="272"/>
      <c r="F167" s="272"/>
      <c r="G167" s="518"/>
      <c r="H167" s="518"/>
      <c r="I167" s="518"/>
      <c r="J167" s="518"/>
      <c r="K167" s="518"/>
      <c r="L167" s="518"/>
      <c r="M167" s="518"/>
    </row>
    <row r="168" ht="16.5" customHeight="1">
      <c r="A168" s="272"/>
      <c r="B168" s="114"/>
      <c r="C168" s="272"/>
      <c r="D168" s="272"/>
      <c r="E168" s="272"/>
      <c r="F168" s="272"/>
      <c r="G168" s="518"/>
      <c r="H168" s="518"/>
      <c r="I168" s="518"/>
      <c r="J168" s="518"/>
      <c r="K168" s="518"/>
      <c r="L168" s="518"/>
      <c r="M168" s="518"/>
    </row>
    <row r="169" ht="16.5" customHeight="1">
      <c r="A169" s="272"/>
      <c r="B169" s="114"/>
      <c r="C169" s="272"/>
      <c r="D169" s="272"/>
      <c r="E169" s="272"/>
      <c r="F169" s="272"/>
      <c r="G169" s="518"/>
      <c r="H169" s="518"/>
      <c r="I169" s="518"/>
      <c r="J169" s="518"/>
      <c r="K169" s="518"/>
      <c r="L169" s="518"/>
      <c r="M169" s="518"/>
    </row>
    <row r="170" ht="16.5" customHeight="1">
      <c r="A170" s="272"/>
      <c r="B170" s="114"/>
      <c r="C170" s="272"/>
      <c r="D170" s="272"/>
      <c r="E170" s="272"/>
      <c r="F170" s="272"/>
      <c r="G170" s="518"/>
      <c r="H170" s="518"/>
      <c r="I170" s="518"/>
      <c r="J170" s="518"/>
      <c r="K170" s="518"/>
      <c r="L170" s="518"/>
      <c r="M170" s="518"/>
    </row>
    <row r="171" ht="16.5" customHeight="1">
      <c r="A171" s="272"/>
      <c r="B171" s="114"/>
      <c r="C171" s="272"/>
      <c r="D171" s="272"/>
      <c r="E171" s="272"/>
      <c r="F171" s="272"/>
      <c r="G171" s="518"/>
      <c r="H171" s="518"/>
      <c r="I171" s="518"/>
      <c r="J171" s="518"/>
      <c r="K171" s="518"/>
      <c r="L171" s="518"/>
      <c r="M171" s="518"/>
    </row>
    <row r="172" ht="16.5" customHeight="1">
      <c r="A172" s="272"/>
      <c r="B172" s="114"/>
      <c r="C172" s="272"/>
      <c r="D172" s="272"/>
      <c r="E172" s="272"/>
      <c r="F172" s="272"/>
      <c r="G172" s="518"/>
      <c r="H172" s="518"/>
      <c r="I172" s="518"/>
      <c r="J172" s="518"/>
      <c r="K172" s="518"/>
      <c r="L172" s="518"/>
      <c r="M172" s="518"/>
    </row>
    <row r="173" ht="16.5" customHeight="1">
      <c r="A173" s="272"/>
      <c r="B173" s="114"/>
      <c r="C173" s="272"/>
      <c r="D173" s="272"/>
      <c r="E173" s="272"/>
      <c r="F173" s="272"/>
      <c r="G173" s="518"/>
      <c r="H173" s="518"/>
      <c r="I173" s="518"/>
      <c r="J173" s="518"/>
      <c r="K173" s="518"/>
      <c r="L173" s="518"/>
      <c r="M173" s="518"/>
    </row>
    <row r="174" ht="16.5" customHeight="1">
      <c r="A174" s="272"/>
      <c r="B174" s="114"/>
      <c r="C174" s="272"/>
      <c r="D174" s="272"/>
      <c r="E174" s="272"/>
      <c r="F174" s="272"/>
      <c r="G174" s="518"/>
      <c r="H174" s="518"/>
      <c r="I174" s="518"/>
      <c r="J174" s="518"/>
      <c r="K174" s="518"/>
      <c r="L174" s="518"/>
      <c r="M174" s="518"/>
    </row>
    <row r="175" ht="16.5" customHeight="1">
      <c r="A175" s="272"/>
      <c r="B175" s="114"/>
      <c r="C175" s="272"/>
      <c r="D175" s="272"/>
      <c r="E175" s="272"/>
      <c r="F175" s="272"/>
      <c r="G175" s="518"/>
      <c r="H175" s="518"/>
      <c r="I175" s="518"/>
      <c r="J175" s="518"/>
      <c r="K175" s="518"/>
      <c r="L175" s="518"/>
      <c r="M175" s="518"/>
    </row>
    <row r="176" ht="16.5" customHeight="1">
      <c r="A176" s="272"/>
      <c r="B176" s="114"/>
      <c r="C176" s="272"/>
      <c r="D176" s="272"/>
      <c r="E176" s="272"/>
      <c r="F176" s="272"/>
      <c r="G176" s="518"/>
      <c r="H176" s="518"/>
      <c r="I176" s="518"/>
      <c r="J176" s="518"/>
      <c r="K176" s="518"/>
      <c r="L176" s="518"/>
      <c r="M176" s="518"/>
    </row>
    <row r="177" ht="16.5" customHeight="1">
      <c r="A177" s="272"/>
      <c r="B177" s="114"/>
      <c r="C177" s="272"/>
      <c r="D177" s="272"/>
      <c r="E177" s="272"/>
      <c r="F177" s="272"/>
      <c r="G177" s="518"/>
      <c r="H177" s="518"/>
      <c r="I177" s="518"/>
      <c r="J177" s="518"/>
      <c r="K177" s="518"/>
      <c r="L177" s="518"/>
      <c r="M177" s="518"/>
    </row>
    <row r="178" ht="16.5" customHeight="1">
      <c r="A178" s="272"/>
      <c r="B178" s="114"/>
      <c r="C178" s="272"/>
      <c r="D178" s="272"/>
      <c r="E178" s="272"/>
      <c r="F178" s="272"/>
      <c r="G178" s="518"/>
      <c r="H178" s="518"/>
      <c r="I178" s="518"/>
      <c r="J178" s="518"/>
      <c r="K178" s="518"/>
      <c r="L178" s="518"/>
      <c r="M178" s="518"/>
    </row>
    <row r="179" ht="16.5" customHeight="1">
      <c r="A179" s="272"/>
      <c r="B179" s="114"/>
      <c r="C179" s="272"/>
      <c r="D179" s="272"/>
      <c r="E179" s="272"/>
      <c r="F179" s="272"/>
      <c r="G179" s="518"/>
      <c r="H179" s="518"/>
      <c r="I179" s="518"/>
      <c r="J179" s="518"/>
      <c r="K179" s="518"/>
      <c r="L179" s="518"/>
      <c r="M179" s="518"/>
    </row>
    <row r="180" ht="16.5" customHeight="1">
      <c r="A180" s="272"/>
      <c r="B180" s="114"/>
      <c r="C180" s="272"/>
      <c r="D180" s="272"/>
      <c r="E180" s="272"/>
      <c r="F180" s="272"/>
      <c r="G180" s="518"/>
      <c r="H180" s="518"/>
      <c r="I180" s="518"/>
      <c r="J180" s="518"/>
      <c r="K180" s="518"/>
      <c r="L180" s="518"/>
      <c r="M180" s="518"/>
    </row>
    <row r="181" ht="16.5" customHeight="1">
      <c r="A181" s="272"/>
      <c r="B181" s="114"/>
      <c r="C181" s="272"/>
      <c r="D181" s="272"/>
      <c r="E181" s="272"/>
      <c r="F181" s="272"/>
      <c r="G181" s="518"/>
      <c r="H181" s="518"/>
      <c r="I181" s="518"/>
      <c r="J181" s="518"/>
      <c r="K181" s="518"/>
      <c r="L181" s="518"/>
      <c r="M181" s="518"/>
    </row>
    <row r="182" ht="16.5" customHeight="1">
      <c r="A182" s="272"/>
      <c r="B182" s="114"/>
      <c r="C182" s="272"/>
      <c r="D182" s="272"/>
      <c r="E182" s="272"/>
      <c r="F182" s="272"/>
      <c r="G182" s="518"/>
      <c r="H182" s="518"/>
      <c r="I182" s="518"/>
      <c r="J182" s="518"/>
      <c r="K182" s="518"/>
      <c r="L182" s="518"/>
      <c r="M182" s="518"/>
    </row>
    <row r="183" ht="16.5" customHeight="1">
      <c r="A183" s="272"/>
      <c r="B183" s="114"/>
      <c r="C183" s="272"/>
      <c r="D183" s="272"/>
      <c r="E183" s="272"/>
      <c r="F183" s="272"/>
      <c r="G183" s="518"/>
      <c r="H183" s="518"/>
      <c r="I183" s="518"/>
      <c r="J183" s="518"/>
      <c r="K183" s="518"/>
      <c r="L183" s="518"/>
      <c r="M183" s="518"/>
    </row>
    <row r="184" ht="16.5" customHeight="1">
      <c r="A184" s="272"/>
      <c r="B184" s="114"/>
      <c r="C184" s="272"/>
      <c r="D184" s="272"/>
      <c r="E184" s="272"/>
      <c r="F184" s="272"/>
      <c r="G184" s="518"/>
      <c r="H184" s="518"/>
      <c r="I184" s="518"/>
      <c r="J184" s="518"/>
      <c r="K184" s="518"/>
      <c r="L184" s="518"/>
      <c r="M184" s="518"/>
    </row>
    <row r="185" ht="16.5" customHeight="1">
      <c r="A185" s="272"/>
      <c r="B185" s="114"/>
      <c r="C185" s="272"/>
      <c r="D185" s="272"/>
      <c r="E185" s="272"/>
      <c r="F185" s="272"/>
      <c r="G185" s="518"/>
      <c r="H185" s="518"/>
      <c r="I185" s="518"/>
      <c r="J185" s="518"/>
      <c r="K185" s="518"/>
      <c r="L185" s="518"/>
      <c r="M185" s="518"/>
    </row>
    <row r="186" ht="16.5" customHeight="1">
      <c r="A186" s="272"/>
      <c r="B186" s="114"/>
      <c r="C186" s="272"/>
      <c r="D186" s="272"/>
      <c r="E186" s="272"/>
      <c r="F186" s="272"/>
      <c r="G186" s="518"/>
      <c r="H186" s="518"/>
      <c r="I186" s="518"/>
      <c r="J186" s="518"/>
      <c r="K186" s="518"/>
      <c r="L186" s="518"/>
      <c r="M186" s="518"/>
    </row>
    <row r="187" ht="16.5" customHeight="1">
      <c r="A187" s="272"/>
      <c r="B187" s="114"/>
      <c r="C187" s="272"/>
      <c r="D187" s="272"/>
      <c r="E187" s="272"/>
      <c r="F187" s="272"/>
      <c r="G187" s="518"/>
      <c r="H187" s="518"/>
      <c r="I187" s="518"/>
      <c r="J187" s="518"/>
      <c r="K187" s="518"/>
      <c r="L187" s="518"/>
      <c r="M187" s="518"/>
    </row>
    <row r="188" ht="16.5" customHeight="1">
      <c r="A188" s="272"/>
      <c r="B188" s="114"/>
      <c r="C188" s="272"/>
      <c r="D188" s="272"/>
      <c r="E188" s="272"/>
      <c r="F188" s="272"/>
      <c r="G188" s="518"/>
      <c r="H188" s="518"/>
      <c r="I188" s="518"/>
      <c r="J188" s="518"/>
      <c r="K188" s="518"/>
      <c r="L188" s="518"/>
      <c r="M188" s="518"/>
    </row>
    <row r="189" ht="16.5" customHeight="1">
      <c r="A189" s="272"/>
      <c r="B189" s="114"/>
      <c r="C189" s="272"/>
      <c r="D189" s="272"/>
      <c r="E189" s="272"/>
      <c r="F189" s="272"/>
      <c r="G189" s="518"/>
      <c r="H189" s="518"/>
      <c r="I189" s="518"/>
      <c r="J189" s="518"/>
      <c r="K189" s="518"/>
      <c r="L189" s="518"/>
      <c r="M189" s="518"/>
    </row>
    <row r="190" ht="16.5" customHeight="1">
      <c r="A190" s="272"/>
      <c r="B190" s="114"/>
      <c r="C190" s="272"/>
      <c r="D190" s="272"/>
      <c r="E190" s="272"/>
      <c r="F190" s="272"/>
      <c r="G190" s="518"/>
      <c r="H190" s="518"/>
      <c r="I190" s="518"/>
      <c r="J190" s="518"/>
      <c r="K190" s="518"/>
      <c r="L190" s="518"/>
      <c r="M190" s="518"/>
    </row>
    <row r="191" ht="16.5" customHeight="1">
      <c r="A191" s="272"/>
      <c r="B191" s="114"/>
      <c r="C191" s="272"/>
      <c r="D191" s="272"/>
      <c r="E191" s="272"/>
      <c r="F191" s="272"/>
      <c r="G191" s="518"/>
      <c r="H191" s="518"/>
      <c r="I191" s="518"/>
      <c r="J191" s="518"/>
      <c r="K191" s="518"/>
      <c r="L191" s="518"/>
      <c r="M191" s="518"/>
    </row>
    <row r="192" ht="16.5" customHeight="1">
      <c r="A192" s="272"/>
      <c r="B192" s="114"/>
      <c r="C192" s="272"/>
      <c r="D192" s="272"/>
      <c r="E192" s="272"/>
      <c r="F192" s="272"/>
      <c r="G192" s="518"/>
      <c r="H192" s="518"/>
      <c r="I192" s="518"/>
      <c r="J192" s="518"/>
      <c r="K192" s="518"/>
      <c r="L192" s="518"/>
      <c r="M192" s="518"/>
    </row>
    <row r="193" ht="16.5" customHeight="1">
      <c r="A193" s="272"/>
      <c r="B193" s="114"/>
      <c r="C193" s="272"/>
      <c r="D193" s="272"/>
      <c r="E193" s="272"/>
      <c r="F193" s="272"/>
      <c r="G193" s="518"/>
      <c r="H193" s="518"/>
      <c r="I193" s="518"/>
      <c r="J193" s="518"/>
      <c r="K193" s="518"/>
      <c r="L193" s="518"/>
      <c r="M193" s="518"/>
    </row>
    <row r="194" ht="16.5" customHeight="1">
      <c r="A194" s="272"/>
      <c r="B194" s="114"/>
      <c r="C194" s="272"/>
      <c r="D194" s="272"/>
      <c r="E194" s="272"/>
      <c r="F194" s="272"/>
      <c r="G194" s="518"/>
      <c r="H194" s="518"/>
      <c r="I194" s="518"/>
      <c r="J194" s="518"/>
      <c r="K194" s="518"/>
      <c r="L194" s="518"/>
      <c r="M194" s="518"/>
    </row>
    <row r="195" ht="16.5" customHeight="1">
      <c r="A195" s="272"/>
      <c r="B195" s="114"/>
      <c r="C195" s="272"/>
      <c r="D195" s="272"/>
      <c r="E195" s="272"/>
      <c r="F195" s="272"/>
      <c r="G195" s="518"/>
      <c r="H195" s="518"/>
      <c r="I195" s="518"/>
      <c r="J195" s="518"/>
      <c r="K195" s="518"/>
      <c r="L195" s="518"/>
      <c r="M195" s="518"/>
    </row>
    <row r="196" ht="16.5" customHeight="1">
      <c r="A196" s="272"/>
      <c r="B196" s="114"/>
      <c r="C196" s="272"/>
      <c r="D196" s="272"/>
      <c r="E196" s="272"/>
      <c r="F196" s="272"/>
      <c r="G196" s="518"/>
      <c r="H196" s="518"/>
      <c r="I196" s="518"/>
      <c r="J196" s="518"/>
      <c r="K196" s="518"/>
      <c r="L196" s="518"/>
      <c r="M196" s="518"/>
    </row>
    <row r="197" ht="16.5" customHeight="1">
      <c r="A197" s="272"/>
      <c r="B197" s="114"/>
      <c r="C197" s="272"/>
      <c r="D197" s="272"/>
      <c r="E197" s="272"/>
      <c r="F197" s="272"/>
      <c r="G197" s="518"/>
      <c r="H197" s="518"/>
      <c r="I197" s="518"/>
      <c r="J197" s="518"/>
      <c r="K197" s="518"/>
      <c r="L197" s="518"/>
      <c r="M197" s="518"/>
    </row>
    <row r="198" ht="16.5" customHeight="1">
      <c r="A198" s="272"/>
      <c r="B198" s="114"/>
      <c r="C198" s="272"/>
      <c r="D198" s="272"/>
      <c r="E198" s="272"/>
      <c r="F198" s="272"/>
      <c r="G198" s="518"/>
      <c r="H198" s="518"/>
      <c r="I198" s="518"/>
      <c r="J198" s="518"/>
      <c r="K198" s="518"/>
      <c r="L198" s="518"/>
      <c r="M198" s="518"/>
    </row>
    <row r="199" ht="16.5" customHeight="1">
      <c r="A199" s="272"/>
      <c r="B199" s="114"/>
      <c r="C199" s="272"/>
      <c r="D199" s="272"/>
      <c r="E199" s="272"/>
      <c r="F199" s="272"/>
      <c r="G199" s="518"/>
      <c r="H199" s="518"/>
      <c r="I199" s="518"/>
      <c r="J199" s="518"/>
      <c r="K199" s="518"/>
      <c r="L199" s="518"/>
      <c r="M199" s="518"/>
    </row>
    <row r="200" ht="16.5" customHeight="1">
      <c r="A200" s="272"/>
      <c r="B200" s="114"/>
      <c r="C200" s="272"/>
      <c r="D200" s="272"/>
      <c r="E200" s="272"/>
      <c r="F200" s="272"/>
      <c r="G200" s="518"/>
      <c r="H200" s="518"/>
      <c r="I200" s="518"/>
      <c r="J200" s="518"/>
      <c r="K200" s="518"/>
      <c r="L200" s="518"/>
      <c r="M200" s="518"/>
    </row>
    <row r="201" ht="16.5" customHeight="1">
      <c r="A201" s="272"/>
      <c r="B201" s="114"/>
      <c r="C201" s="272"/>
      <c r="D201" s="272"/>
      <c r="E201" s="272"/>
      <c r="F201" s="272"/>
      <c r="G201" s="518"/>
      <c r="H201" s="518"/>
      <c r="I201" s="518"/>
      <c r="J201" s="518"/>
      <c r="K201" s="518"/>
      <c r="L201" s="518"/>
      <c r="M201" s="518"/>
    </row>
    <row r="202" ht="16.5" customHeight="1">
      <c r="A202" s="272"/>
      <c r="B202" s="114"/>
      <c r="C202" s="272"/>
      <c r="D202" s="272"/>
      <c r="E202" s="272"/>
      <c r="F202" s="272"/>
      <c r="G202" s="518"/>
      <c r="H202" s="518"/>
      <c r="I202" s="518"/>
      <c r="J202" s="518"/>
      <c r="K202" s="518"/>
      <c r="L202" s="518"/>
      <c r="M202" s="518"/>
    </row>
    <row r="203" ht="16.5" customHeight="1">
      <c r="A203" s="272"/>
      <c r="B203" s="114"/>
      <c r="C203" s="272"/>
      <c r="D203" s="272"/>
      <c r="E203" s="272"/>
      <c r="F203" s="272"/>
      <c r="G203" s="518"/>
      <c r="H203" s="518"/>
      <c r="I203" s="518"/>
      <c r="J203" s="518"/>
      <c r="K203" s="518"/>
      <c r="L203" s="518"/>
      <c r="M203" s="518"/>
    </row>
    <row r="204" ht="16.5" customHeight="1">
      <c r="A204" s="272"/>
      <c r="B204" s="114"/>
      <c r="C204" s="272"/>
      <c r="D204" s="272"/>
      <c r="E204" s="272"/>
      <c r="F204" s="272"/>
      <c r="G204" s="518"/>
      <c r="H204" s="518"/>
      <c r="I204" s="518"/>
      <c r="J204" s="518"/>
      <c r="K204" s="518"/>
      <c r="L204" s="518"/>
      <c r="M204" s="518"/>
    </row>
    <row r="205" ht="16.5" customHeight="1">
      <c r="A205" s="272"/>
      <c r="B205" s="114"/>
      <c r="C205" s="272"/>
      <c r="D205" s="272"/>
      <c r="E205" s="272"/>
      <c r="F205" s="272"/>
      <c r="G205" s="518"/>
      <c r="H205" s="518"/>
      <c r="I205" s="518"/>
      <c r="J205" s="518"/>
      <c r="K205" s="518"/>
      <c r="L205" s="518"/>
      <c r="M205" s="518"/>
    </row>
    <row r="206" ht="16.5" customHeight="1">
      <c r="A206" s="272"/>
      <c r="B206" s="114"/>
      <c r="C206" s="272"/>
      <c r="D206" s="272"/>
      <c r="E206" s="272"/>
      <c r="F206" s="272"/>
      <c r="G206" s="518"/>
      <c r="H206" s="518"/>
      <c r="I206" s="518"/>
      <c r="J206" s="518"/>
      <c r="K206" s="518"/>
      <c r="L206" s="518"/>
      <c r="M206" s="518"/>
    </row>
    <row r="207" ht="16.5" customHeight="1">
      <c r="A207" s="272"/>
      <c r="B207" s="114"/>
      <c r="C207" s="272"/>
      <c r="D207" s="272"/>
      <c r="E207" s="272"/>
      <c r="F207" s="272"/>
      <c r="G207" s="518"/>
      <c r="H207" s="518"/>
      <c r="I207" s="518"/>
      <c r="J207" s="518"/>
      <c r="K207" s="518"/>
      <c r="L207" s="518"/>
      <c r="M207" s="518"/>
    </row>
    <row r="208" ht="16.5" customHeight="1">
      <c r="A208" s="272"/>
      <c r="B208" s="114"/>
      <c r="C208" s="272"/>
      <c r="D208" s="272"/>
      <c r="E208" s="272"/>
      <c r="F208" s="272"/>
      <c r="G208" s="518"/>
      <c r="H208" s="518"/>
      <c r="I208" s="518"/>
      <c r="J208" s="518"/>
      <c r="K208" s="518"/>
      <c r="L208" s="518"/>
      <c r="M208" s="518"/>
    </row>
    <row r="209" ht="16.5" customHeight="1">
      <c r="A209" s="272"/>
      <c r="B209" s="114"/>
      <c r="C209" s="272"/>
      <c r="D209" s="272"/>
      <c r="E209" s="272"/>
      <c r="F209" s="272"/>
      <c r="G209" s="518"/>
      <c r="H209" s="518"/>
      <c r="I209" s="518"/>
      <c r="J209" s="518"/>
      <c r="K209" s="518"/>
      <c r="L209" s="518"/>
      <c r="M209" s="518"/>
    </row>
    <row r="210" ht="16.5" customHeight="1">
      <c r="A210" s="272"/>
      <c r="B210" s="114"/>
      <c r="C210" s="272"/>
      <c r="D210" s="272"/>
      <c r="E210" s="272"/>
      <c r="F210" s="272"/>
      <c r="G210" s="518"/>
      <c r="H210" s="518"/>
      <c r="I210" s="518"/>
      <c r="J210" s="518"/>
      <c r="K210" s="518"/>
      <c r="L210" s="518"/>
      <c r="M210" s="518"/>
    </row>
    <row r="211" ht="16.5" customHeight="1">
      <c r="A211" s="272"/>
      <c r="B211" s="114"/>
      <c r="C211" s="272"/>
      <c r="D211" s="272"/>
      <c r="E211" s="272"/>
      <c r="F211" s="272"/>
      <c r="G211" s="518"/>
      <c r="H211" s="518"/>
      <c r="I211" s="518"/>
      <c r="J211" s="518"/>
      <c r="K211" s="518"/>
      <c r="L211" s="518"/>
      <c r="M211" s="518"/>
    </row>
    <row r="212" ht="16.5" customHeight="1">
      <c r="A212" s="272"/>
      <c r="B212" s="114"/>
      <c r="C212" s="272"/>
      <c r="D212" s="272"/>
      <c r="E212" s="272"/>
      <c r="F212" s="272"/>
      <c r="G212" s="518"/>
      <c r="H212" s="518"/>
      <c r="I212" s="518"/>
      <c r="J212" s="518"/>
      <c r="K212" s="518"/>
      <c r="L212" s="518"/>
      <c r="M212" s="518"/>
    </row>
    <row r="213" ht="16.5" customHeight="1">
      <c r="A213" s="272"/>
      <c r="B213" s="114"/>
      <c r="C213" s="272"/>
      <c r="D213" s="272"/>
      <c r="E213" s="272"/>
      <c r="F213" s="272"/>
      <c r="G213" s="518"/>
      <c r="H213" s="518"/>
      <c r="I213" s="518"/>
      <c r="J213" s="518"/>
      <c r="K213" s="518"/>
      <c r="L213" s="518"/>
      <c r="M213" s="518"/>
    </row>
    <row r="214" ht="16.5" customHeight="1">
      <c r="A214" s="272"/>
      <c r="B214" s="114"/>
      <c r="C214" s="272"/>
      <c r="D214" s="272"/>
      <c r="E214" s="272"/>
      <c r="F214" s="272"/>
      <c r="G214" s="518"/>
      <c r="H214" s="518"/>
      <c r="I214" s="518"/>
      <c r="J214" s="518"/>
      <c r="K214" s="518"/>
      <c r="L214" s="518"/>
      <c r="M214" s="518"/>
    </row>
    <row r="215" ht="16.5" customHeight="1">
      <c r="A215" s="272"/>
      <c r="B215" s="114"/>
      <c r="C215" s="272"/>
      <c r="D215" s="272"/>
      <c r="E215" s="272"/>
      <c r="F215" s="272"/>
      <c r="G215" s="518"/>
      <c r="H215" s="518"/>
      <c r="I215" s="518"/>
      <c r="J215" s="518"/>
      <c r="K215" s="518"/>
      <c r="L215" s="518"/>
      <c r="M215" s="518"/>
    </row>
    <row r="216" ht="16.5" customHeight="1">
      <c r="A216" s="272"/>
      <c r="B216" s="114"/>
      <c r="C216" s="272"/>
      <c r="D216" s="272"/>
      <c r="E216" s="272"/>
      <c r="F216" s="272"/>
      <c r="G216" s="518"/>
      <c r="H216" s="518"/>
      <c r="I216" s="518"/>
      <c r="J216" s="518"/>
      <c r="K216" s="518"/>
      <c r="L216" s="518"/>
      <c r="M216" s="518"/>
    </row>
    <row r="217" ht="16.5" customHeight="1">
      <c r="A217" s="272"/>
      <c r="B217" s="114"/>
      <c r="C217" s="272"/>
      <c r="D217" s="272"/>
      <c r="E217" s="272"/>
      <c r="F217" s="272"/>
      <c r="G217" s="518"/>
      <c r="H217" s="518"/>
      <c r="I217" s="518"/>
      <c r="J217" s="518"/>
      <c r="K217" s="518"/>
      <c r="L217" s="518"/>
      <c r="M217" s="518"/>
    </row>
    <row r="218" ht="16.5" customHeight="1">
      <c r="A218" s="272"/>
      <c r="B218" s="114"/>
      <c r="C218" s="272"/>
      <c r="D218" s="272"/>
      <c r="E218" s="272"/>
      <c r="F218" s="272"/>
      <c r="G218" s="518"/>
      <c r="H218" s="518"/>
      <c r="I218" s="518"/>
      <c r="J218" s="518"/>
      <c r="K218" s="518"/>
      <c r="L218" s="518"/>
      <c r="M218" s="518"/>
    </row>
    <row r="219" ht="16.5" customHeight="1">
      <c r="A219" s="272"/>
      <c r="B219" s="114"/>
      <c r="C219" s="272"/>
      <c r="D219" s="272"/>
      <c r="E219" s="272"/>
      <c r="F219" s="272"/>
      <c r="G219" s="518"/>
      <c r="H219" s="518"/>
      <c r="I219" s="518"/>
      <c r="J219" s="518"/>
      <c r="K219" s="518"/>
      <c r="L219" s="518"/>
      <c r="M219" s="518"/>
    </row>
    <row r="220" ht="13.5" customHeight="1">
      <c r="A220" s="518"/>
      <c r="B220" s="518"/>
      <c r="C220" s="518"/>
      <c r="D220" s="518"/>
      <c r="E220" s="518"/>
      <c r="F220" s="518"/>
      <c r="G220" s="518"/>
      <c r="H220" s="518"/>
      <c r="I220" s="518"/>
      <c r="J220" s="518"/>
      <c r="K220" s="518"/>
      <c r="L220" s="518"/>
      <c r="M220" s="518"/>
    </row>
    <row r="221" ht="13.5" customHeight="1">
      <c r="A221" s="518"/>
      <c r="B221" s="518"/>
      <c r="C221" s="518"/>
      <c r="D221" s="518"/>
      <c r="E221" s="518"/>
      <c r="F221" s="518"/>
      <c r="G221" s="518"/>
      <c r="H221" s="518"/>
      <c r="I221" s="518"/>
      <c r="J221" s="518"/>
      <c r="K221" s="518"/>
      <c r="L221" s="518"/>
      <c r="M221" s="518"/>
    </row>
    <row r="222" ht="13.5" customHeight="1">
      <c r="A222" s="518"/>
      <c r="B222" s="518"/>
      <c r="C222" s="518"/>
      <c r="D222" s="518"/>
      <c r="E222" s="518"/>
      <c r="F222" s="518"/>
      <c r="G222" s="518"/>
      <c r="H222" s="518"/>
      <c r="I222" s="518"/>
      <c r="J222" s="518"/>
      <c r="K222" s="518"/>
      <c r="L222" s="518"/>
      <c r="M222" s="518"/>
    </row>
    <row r="223" ht="13.5" customHeight="1">
      <c r="A223" s="518"/>
      <c r="B223" s="518"/>
      <c r="C223" s="518"/>
      <c r="D223" s="518"/>
      <c r="E223" s="518"/>
      <c r="F223" s="518"/>
      <c r="G223" s="518"/>
      <c r="H223" s="518"/>
      <c r="I223" s="518"/>
      <c r="J223" s="518"/>
      <c r="K223" s="518"/>
      <c r="L223" s="518"/>
      <c r="M223" s="518"/>
    </row>
    <row r="224" ht="13.5" customHeight="1">
      <c r="A224" s="518"/>
      <c r="B224" s="518"/>
      <c r="C224" s="518"/>
      <c r="D224" s="518"/>
      <c r="E224" s="518"/>
      <c r="F224" s="518"/>
      <c r="G224" s="518"/>
      <c r="H224" s="518"/>
      <c r="I224" s="518"/>
      <c r="J224" s="518"/>
      <c r="K224" s="518"/>
      <c r="L224" s="518"/>
      <c r="M224" s="518"/>
    </row>
    <row r="225" ht="13.5" customHeight="1">
      <c r="A225" s="518"/>
      <c r="B225" s="518"/>
      <c r="C225" s="518"/>
      <c r="D225" s="518"/>
      <c r="E225" s="518"/>
      <c r="F225" s="518"/>
      <c r="G225" s="518"/>
      <c r="H225" s="518"/>
      <c r="I225" s="518"/>
      <c r="J225" s="518"/>
      <c r="K225" s="518"/>
      <c r="L225" s="518"/>
      <c r="M225" s="518"/>
    </row>
    <row r="226" ht="13.5" customHeight="1">
      <c r="A226" s="518"/>
      <c r="B226" s="518"/>
      <c r="C226" s="518"/>
      <c r="D226" s="518"/>
      <c r="E226" s="518"/>
      <c r="F226" s="518"/>
      <c r="G226" s="518"/>
      <c r="H226" s="518"/>
      <c r="I226" s="518"/>
      <c r="J226" s="518"/>
      <c r="K226" s="518"/>
      <c r="L226" s="518"/>
      <c r="M226" s="518"/>
    </row>
    <row r="227" ht="13.5" customHeight="1">
      <c r="A227" s="518"/>
      <c r="B227" s="518"/>
      <c r="C227" s="518"/>
      <c r="D227" s="518"/>
      <c r="E227" s="518"/>
      <c r="F227" s="518"/>
      <c r="G227" s="518"/>
      <c r="H227" s="518"/>
      <c r="I227" s="518"/>
      <c r="J227" s="518"/>
      <c r="K227" s="518"/>
      <c r="L227" s="518"/>
      <c r="M227" s="518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0">
    <mergeCell ref="E7:F8"/>
    <mergeCell ref="G8:H8"/>
    <mergeCell ref="I8:J8"/>
    <mergeCell ref="K8:L8"/>
    <mergeCell ref="C9:C10"/>
    <mergeCell ref="D9:D10"/>
    <mergeCell ref="E9:F9"/>
    <mergeCell ref="G9:G10"/>
    <mergeCell ref="H9:H10"/>
    <mergeCell ref="I9:I10"/>
    <mergeCell ref="J9:J10"/>
    <mergeCell ref="K9:K10"/>
    <mergeCell ref="A1:B1"/>
    <mergeCell ref="I2:K4"/>
    <mergeCell ref="A7:A10"/>
    <mergeCell ref="B7:B10"/>
    <mergeCell ref="C7:D8"/>
    <mergeCell ref="G7:L7"/>
    <mergeCell ref="M7:M10"/>
    <mergeCell ref="L9:L10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4.43"/>
    <col customWidth="1" min="2" max="2" width="40.14"/>
    <col customWidth="1" min="3" max="3" width="62.0"/>
    <col customWidth="1" min="4" max="4" width="43.57"/>
    <col customWidth="1" min="5" max="5" width="39.0"/>
  </cols>
  <sheetData>
    <row r="1">
      <c r="A1" s="534" t="s">
        <v>811</v>
      </c>
      <c r="B1" s="535"/>
      <c r="C1" s="536"/>
      <c r="D1" s="537"/>
      <c r="E1" s="536"/>
      <c r="F1" s="455"/>
      <c r="G1" s="538"/>
      <c r="H1" s="539"/>
      <c r="I1" s="540"/>
      <c r="J1" s="539"/>
      <c r="K1" s="540"/>
      <c r="L1" s="539"/>
      <c r="M1" s="455"/>
      <c r="N1" s="498"/>
      <c r="O1" s="455"/>
      <c r="P1" s="456"/>
      <c r="Q1" s="456"/>
      <c r="R1" s="456"/>
      <c r="S1" s="456"/>
      <c r="T1" s="456"/>
      <c r="U1" s="456"/>
      <c r="V1" s="456"/>
      <c r="W1" s="456"/>
      <c r="X1" s="456"/>
      <c r="Y1" s="456"/>
      <c r="Z1" s="456"/>
      <c r="AA1" s="456"/>
      <c r="AB1" s="456"/>
    </row>
    <row r="2">
      <c r="A2" s="541" t="s">
        <v>1</v>
      </c>
      <c r="B2" s="542"/>
      <c r="C2" s="542"/>
      <c r="D2" s="542"/>
      <c r="E2" s="542"/>
      <c r="F2" s="458"/>
      <c r="G2" s="458"/>
      <c r="H2" s="458"/>
      <c r="I2" s="458"/>
      <c r="J2" s="539"/>
      <c r="K2" s="540"/>
      <c r="L2" s="539"/>
      <c r="M2" s="455"/>
      <c r="N2" s="458"/>
      <c r="O2" s="458"/>
      <c r="P2" s="456"/>
      <c r="Q2" s="456"/>
      <c r="R2" s="456"/>
      <c r="S2" s="456"/>
      <c r="T2" s="456"/>
      <c r="U2" s="456"/>
      <c r="V2" s="456"/>
      <c r="W2" s="456"/>
      <c r="X2" s="456"/>
      <c r="Y2" s="456"/>
      <c r="Z2" s="456"/>
      <c r="AA2" s="456"/>
      <c r="AB2" s="456"/>
    </row>
    <row r="3">
      <c r="A3" s="543" t="s">
        <v>947</v>
      </c>
      <c r="B3" s="544"/>
      <c r="C3" s="544"/>
      <c r="D3" s="545"/>
      <c r="E3" s="6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546"/>
      <c r="AA3" s="546"/>
      <c r="AB3" s="546"/>
    </row>
    <row r="4">
      <c r="A4" s="543" t="s">
        <v>3</v>
      </c>
      <c r="B4" s="544"/>
      <c r="C4" s="544"/>
      <c r="D4" s="545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546"/>
      <c r="AA4" s="546"/>
      <c r="AB4" s="546"/>
    </row>
    <row r="5">
      <c r="A5" s="543" t="s">
        <v>4</v>
      </c>
      <c r="B5" s="544"/>
      <c r="C5" s="544"/>
      <c r="D5" s="54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546"/>
      <c r="AA5" s="546"/>
      <c r="AB5" s="546"/>
    </row>
    <row r="6">
      <c r="A6" s="12"/>
      <c r="B6" s="12"/>
      <c r="C6" s="12"/>
      <c r="D6" s="411"/>
      <c r="E6" s="349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547" t="s">
        <v>683</v>
      </c>
      <c r="B7" s="547" t="s">
        <v>684</v>
      </c>
      <c r="C7" s="547" t="s">
        <v>685</v>
      </c>
      <c r="D7" s="548" t="s">
        <v>686</v>
      </c>
      <c r="E7" s="549" t="s">
        <v>687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270"/>
      <c r="AA7" s="270"/>
      <c r="AB7" s="270"/>
    </row>
    <row r="8" ht="19.5" customHeight="1">
      <c r="A8" s="550" t="s">
        <v>948</v>
      </c>
      <c r="B8" s="18"/>
      <c r="C8" s="18"/>
      <c r="D8" s="18"/>
      <c r="E8" s="19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270"/>
      <c r="AA8" s="270"/>
      <c r="AB8" s="270"/>
    </row>
    <row r="9">
      <c r="A9" s="551" t="s">
        <v>705</v>
      </c>
      <c r="B9" s="552" t="s">
        <v>949</v>
      </c>
      <c r="C9" s="551" t="s">
        <v>950</v>
      </c>
      <c r="D9" s="553">
        <v>10.86</v>
      </c>
      <c r="E9" s="554">
        <f>334482000/1000</f>
        <v>334482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555"/>
      <c r="AA9" s="555"/>
      <c r="AB9" s="555"/>
    </row>
    <row r="10">
      <c r="A10" s="556" t="s">
        <v>951</v>
      </c>
      <c r="B10" s="18"/>
      <c r="C10" s="18"/>
      <c r="D10" s="18"/>
      <c r="E10" s="1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270"/>
      <c r="AA10" s="270"/>
      <c r="AB10" s="270"/>
    </row>
    <row r="11">
      <c r="A11" s="557" t="s">
        <v>670</v>
      </c>
      <c r="B11" s="557" t="s">
        <v>952</v>
      </c>
      <c r="C11" s="557" t="s">
        <v>953</v>
      </c>
      <c r="D11" s="553">
        <v>9.94</v>
      </c>
      <c r="E11" s="554">
        <f>238756000/1000</f>
        <v>238756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558" t="s">
        <v>13</v>
      </c>
      <c r="B12" s="18"/>
      <c r="C12" s="19"/>
      <c r="D12" s="559">
        <f t="shared" ref="D12:E12" si="1">SUM(D8:D11)</f>
        <v>20.8</v>
      </c>
      <c r="E12" s="559">
        <f t="shared" si="1"/>
        <v>573238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25.5" customHeight="1">
      <c r="A13" s="560"/>
      <c r="B13" s="271"/>
      <c r="C13" s="400"/>
      <c r="D13" s="104"/>
      <c r="E13" s="104"/>
      <c r="F13" s="426"/>
      <c r="G13" s="12"/>
      <c r="H13" s="12"/>
      <c r="I13" s="104"/>
      <c r="J13" s="104"/>
      <c r="K13" s="12"/>
      <c r="L13" s="104"/>
      <c r="M13" s="104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t="14.25" customHeight="1">
      <c r="A14" s="102"/>
      <c r="B14" s="271"/>
      <c r="C14" s="400"/>
      <c r="D14" s="104"/>
      <c r="E14" s="104"/>
      <c r="F14" s="426"/>
      <c r="G14" s="12"/>
      <c r="H14" s="12"/>
      <c r="I14" s="104"/>
      <c r="J14" s="104"/>
      <c r="K14" s="12"/>
      <c r="L14" s="104"/>
      <c r="M14" s="104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14.25" hidden="1" customHeight="1">
      <c r="A15" s="369" t="s">
        <v>70</v>
      </c>
      <c r="B15" s="370" t="s">
        <v>71</v>
      </c>
      <c r="C15" s="561" t="s">
        <v>83</v>
      </c>
      <c r="D15" s="108" t="s">
        <v>954</v>
      </c>
      <c r="E15" s="562"/>
      <c r="F15" s="562"/>
      <c r="G15" s="99"/>
      <c r="H15" s="99"/>
      <c r="I15" s="108"/>
      <c r="J15" s="108"/>
      <c r="K15" s="99"/>
      <c r="L15" s="108"/>
      <c r="M15" s="108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4.25" hidden="1" customHeight="1">
      <c r="A16" s="104"/>
      <c r="B16" s="271"/>
      <c r="C16" s="563"/>
      <c r="D16" s="104"/>
      <c r="E16" s="426"/>
      <c r="F16" s="426"/>
      <c r="G16" s="12"/>
      <c r="H16" s="12"/>
      <c r="I16" s="104"/>
      <c r="J16" s="271"/>
      <c r="K16" s="12"/>
      <c r="L16" s="339"/>
      <c r="M16" s="104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4.25" hidden="1" customHeight="1">
      <c r="A17" s="104"/>
      <c r="B17" s="271"/>
      <c r="C17" s="563"/>
      <c r="D17" s="104"/>
      <c r="E17" s="426"/>
      <c r="F17" s="426"/>
      <c r="G17" s="12"/>
      <c r="H17" s="12"/>
      <c r="I17" s="104"/>
      <c r="J17" s="271"/>
      <c r="K17" s="12"/>
      <c r="L17" s="339"/>
      <c r="M17" s="104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14.25" hidden="1" customHeight="1">
      <c r="A18" s="104"/>
      <c r="B18" s="271"/>
      <c r="C18" s="563"/>
      <c r="D18" s="104"/>
      <c r="E18" s="426"/>
      <c r="F18" s="426"/>
      <c r="G18" s="12"/>
      <c r="H18" s="12"/>
      <c r="I18" s="104"/>
      <c r="J18" s="271"/>
      <c r="K18" s="12"/>
      <c r="L18" s="339"/>
      <c r="M18" s="104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14.25" hidden="1" customHeight="1">
      <c r="A19" s="104"/>
      <c r="B19" s="271"/>
      <c r="C19" s="563"/>
      <c r="D19" s="104"/>
      <c r="E19" s="426"/>
      <c r="F19" s="426"/>
      <c r="G19" s="12"/>
      <c r="H19" s="12"/>
      <c r="I19" s="104"/>
      <c r="J19" s="271"/>
      <c r="K19" s="12"/>
      <c r="L19" s="339"/>
      <c r="M19" s="104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ht="18.75" hidden="1" customHeight="1">
      <c r="A20" s="106" t="s">
        <v>74</v>
      </c>
      <c r="B20" s="106" t="s">
        <v>75</v>
      </c>
      <c r="C20" s="564" t="s">
        <v>76</v>
      </c>
      <c r="D20" s="106" t="s">
        <v>77</v>
      </c>
      <c r="E20" s="426"/>
      <c r="F20" s="426"/>
      <c r="G20" s="12"/>
      <c r="H20" s="12"/>
      <c r="I20" s="104"/>
      <c r="J20" s="104"/>
      <c r="K20" s="12"/>
      <c r="L20" s="104"/>
      <c r="M20" s="104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14.25" hidden="1" customHeight="1">
      <c r="A21" s="108" t="s">
        <v>78</v>
      </c>
      <c r="B21" s="108" t="s">
        <v>79</v>
      </c>
      <c r="C21" s="561" t="s">
        <v>80</v>
      </c>
      <c r="D21" s="108" t="s">
        <v>81</v>
      </c>
      <c r="E21" s="562"/>
      <c r="F21" s="562"/>
      <c r="G21" s="99"/>
      <c r="H21" s="99"/>
      <c r="I21" s="108"/>
      <c r="J21" s="108"/>
      <c r="K21" s="99"/>
      <c r="L21" s="108"/>
      <c r="M21" s="108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</row>
    <row r="22" ht="14.25" hidden="1" customHeight="1">
      <c r="A22" s="376" t="s">
        <v>82</v>
      </c>
      <c r="B22" s="376"/>
      <c r="C22" s="376"/>
      <c r="D22" s="303"/>
      <c r="E22" s="303"/>
      <c r="F22" s="303"/>
      <c r="G22" s="303"/>
      <c r="H22" s="303"/>
      <c r="I22" s="565"/>
      <c r="J22" s="565"/>
      <c r="K22" s="565"/>
      <c r="L22" s="565"/>
      <c r="M22" s="565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4.25" customHeight="1">
      <c r="A23" s="12"/>
      <c r="B23" s="12"/>
      <c r="C23" s="431"/>
      <c r="D23" s="213"/>
      <c r="E23" s="432"/>
      <c r="F23" s="431"/>
      <c r="G23" s="213"/>
      <c r="H23" s="432"/>
      <c r="I23" s="213"/>
      <c r="J23" s="431"/>
      <c r="K23" s="349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23.25" customHeight="1">
      <c r="A24" s="102" t="s">
        <v>70</v>
      </c>
      <c r="B24" s="12"/>
      <c r="C24" s="378" t="s">
        <v>83</v>
      </c>
      <c r="D24" s="377"/>
      <c r="E24" s="108" t="s">
        <v>73</v>
      </c>
      <c r="F24" s="377"/>
      <c r="G24" s="377"/>
      <c r="H24" s="377"/>
      <c r="I24" s="377"/>
      <c r="J24" s="374"/>
      <c r="K24" s="374"/>
      <c r="M24" s="374"/>
      <c r="N24" s="102" t="s">
        <v>70</v>
      </c>
      <c r="O24" s="12"/>
      <c r="P24" s="377"/>
      <c r="Q24" s="377"/>
      <c r="R24" s="378" t="s">
        <v>83</v>
      </c>
      <c r="S24" s="377"/>
      <c r="T24" s="377"/>
      <c r="U24" s="377"/>
      <c r="V24" s="377"/>
      <c r="W24" s="374"/>
      <c r="X24" s="374"/>
      <c r="Y24" s="108" t="s">
        <v>73</v>
      </c>
      <c r="Z24" s="374"/>
    </row>
    <row r="25" ht="16.5" customHeight="1">
      <c r="A25" s="104"/>
      <c r="B25" s="12"/>
      <c r="C25" s="371"/>
      <c r="D25" s="377"/>
      <c r="E25" s="373"/>
      <c r="F25" s="377"/>
      <c r="G25" s="377"/>
      <c r="H25" s="377"/>
      <c r="I25" s="377"/>
      <c r="J25" s="374"/>
      <c r="K25" s="374"/>
      <c r="M25" s="374"/>
      <c r="N25" s="104"/>
      <c r="O25" s="12"/>
      <c r="P25" s="377"/>
      <c r="Q25" s="377"/>
      <c r="R25" s="371"/>
      <c r="S25" s="377"/>
      <c r="T25" s="377"/>
      <c r="U25" s="377"/>
      <c r="V25" s="377"/>
      <c r="W25" s="374"/>
      <c r="X25" s="374"/>
      <c r="Y25" s="373"/>
      <c r="Z25" s="374"/>
    </row>
    <row r="26" ht="16.5" customHeight="1">
      <c r="A26" s="104"/>
      <c r="B26" s="12"/>
      <c r="C26" s="371"/>
      <c r="D26" s="377"/>
      <c r="E26" s="373"/>
      <c r="F26" s="377"/>
      <c r="G26" s="377"/>
      <c r="H26" s="377"/>
      <c r="I26" s="377"/>
      <c r="J26" s="374"/>
      <c r="K26" s="374"/>
      <c r="M26" s="374"/>
      <c r="N26" s="104"/>
      <c r="O26" s="12"/>
      <c r="P26" s="377"/>
      <c r="Q26" s="377"/>
      <c r="R26" s="371"/>
      <c r="S26" s="377"/>
      <c r="T26" s="377"/>
      <c r="U26" s="377"/>
      <c r="V26" s="377"/>
      <c r="W26" s="374"/>
      <c r="X26" s="374"/>
      <c r="Y26" s="373"/>
      <c r="Z26" s="374"/>
    </row>
    <row r="27" ht="16.5" customHeight="1">
      <c r="A27" s="377"/>
      <c r="B27" s="12"/>
      <c r="C27" s="371"/>
      <c r="D27" s="377"/>
      <c r="E27" s="373"/>
      <c r="F27" s="12"/>
      <c r="G27" s="12"/>
      <c r="H27" s="12"/>
      <c r="I27" s="377"/>
      <c r="J27" s="12"/>
      <c r="K27" s="12"/>
      <c r="M27" s="12"/>
      <c r="N27" s="377"/>
      <c r="O27" s="12"/>
      <c r="P27" s="377"/>
      <c r="Q27" s="377"/>
      <c r="R27" s="371"/>
      <c r="S27" s="12"/>
      <c r="T27" s="12"/>
      <c r="U27" s="12"/>
      <c r="V27" s="377"/>
      <c r="W27" s="12"/>
      <c r="X27" s="12"/>
      <c r="Y27" s="373"/>
      <c r="Z27" s="12"/>
    </row>
    <row r="28" ht="16.5" customHeight="1">
      <c r="A28" s="104"/>
      <c r="B28" s="12"/>
      <c r="C28" s="371"/>
      <c r="D28" s="377"/>
      <c r="E28" s="373"/>
      <c r="F28" s="12"/>
      <c r="G28" s="12"/>
      <c r="H28" s="12"/>
      <c r="I28" s="377"/>
      <c r="J28" s="12"/>
      <c r="K28" s="12"/>
      <c r="M28" s="12"/>
      <c r="N28" s="104"/>
      <c r="O28" s="12"/>
      <c r="P28" s="377"/>
      <c r="Q28" s="377"/>
      <c r="R28" s="371"/>
      <c r="S28" s="12"/>
      <c r="T28" s="12"/>
      <c r="U28" s="12"/>
      <c r="V28" s="377"/>
      <c r="W28" s="12"/>
      <c r="X28" s="12"/>
      <c r="Y28" s="373"/>
      <c r="Z28" s="12"/>
    </row>
    <row r="29" ht="20.25" customHeight="1">
      <c r="A29" s="106" t="s">
        <v>75</v>
      </c>
      <c r="B29" s="12"/>
      <c r="C29" s="380" t="s">
        <v>76</v>
      </c>
      <c r="D29" s="377"/>
      <c r="E29" s="106" t="s">
        <v>77</v>
      </c>
      <c r="F29" s="12"/>
      <c r="G29" s="12"/>
      <c r="H29" s="12"/>
      <c r="I29" s="377"/>
      <c r="J29" s="12"/>
      <c r="K29" s="12"/>
      <c r="M29" s="12"/>
      <c r="N29" s="106" t="s">
        <v>75</v>
      </c>
      <c r="O29" s="12"/>
      <c r="P29" s="377"/>
      <c r="Q29" s="377"/>
      <c r="R29" s="380" t="s">
        <v>76</v>
      </c>
      <c r="S29" s="12"/>
      <c r="T29" s="12"/>
      <c r="U29" s="12"/>
      <c r="V29" s="377"/>
      <c r="W29" s="12"/>
      <c r="X29" s="12"/>
      <c r="Y29" s="106" t="s">
        <v>77</v>
      </c>
      <c r="Z29" s="12"/>
    </row>
    <row r="30" ht="16.5" customHeight="1">
      <c r="A30" s="108" t="s">
        <v>79</v>
      </c>
      <c r="B30" s="12"/>
      <c r="C30" s="378" t="s">
        <v>80</v>
      </c>
      <c r="D30" s="377"/>
      <c r="E30" s="108" t="s">
        <v>81</v>
      </c>
      <c r="F30" s="12"/>
      <c r="G30" s="12"/>
      <c r="H30" s="12"/>
      <c r="I30" s="377"/>
      <c r="J30" s="12"/>
      <c r="K30" s="12"/>
      <c r="M30" s="12"/>
      <c r="N30" s="108" t="s">
        <v>79</v>
      </c>
      <c r="O30" s="12"/>
      <c r="P30" s="377"/>
      <c r="Q30" s="377"/>
      <c r="R30" s="378" t="s">
        <v>80</v>
      </c>
      <c r="S30" s="12"/>
      <c r="T30" s="12"/>
      <c r="U30" s="12"/>
      <c r="V30" s="377"/>
      <c r="W30" s="12"/>
      <c r="X30" s="12"/>
      <c r="Y30" s="108" t="s">
        <v>81</v>
      </c>
      <c r="Z30" s="12"/>
    </row>
    <row r="31" ht="14.25" customHeight="1">
      <c r="A31" s="12"/>
      <c r="B31" s="12"/>
      <c r="C31" s="12"/>
      <c r="D31" s="411"/>
      <c r="E31" s="349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t="14.25" customHeight="1">
      <c r="A32" s="12"/>
      <c r="B32" s="12"/>
      <c r="C32" s="12"/>
      <c r="D32" s="411"/>
      <c r="E32" s="349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14.25" customHeight="1">
      <c r="A33" s="12"/>
      <c r="B33" s="12"/>
      <c r="C33" s="12"/>
      <c r="D33" s="411"/>
      <c r="E33" s="349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ht="14.25" customHeight="1">
      <c r="A34" s="12"/>
      <c r="B34" s="12"/>
      <c r="C34" s="12"/>
      <c r="D34" s="411"/>
      <c r="E34" s="349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14.25" customHeight="1">
      <c r="A35" s="12"/>
      <c r="B35" s="12"/>
      <c r="C35" s="12"/>
      <c r="D35" s="411"/>
      <c r="E35" s="34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ht="14.25" customHeight="1">
      <c r="A36" s="12"/>
      <c r="B36" s="12"/>
      <c r="C36" s="12"/>
      <c r="D36" s="411"/>
      <c r="E36" s="349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ht="14.25" customHeight="1">
      <c r="A37" s="12"/>
      <c r="B37" s="12"/>
      <c r="C37" s="12"/>
      <c r="D37" s="411"/>
      <c r="E37" s="349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4.25" customHeight="1">
      <c r="A38" s="12"/>
      <c r="B38" s="12"/>
      <c r="C38" s="12"/>
      <c r="D38" s="411"/>
      <c r="E38" s="349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ht="14.25" customHeight="1">
      <c r="A39" s="12"/>
      <c r="B39" s="12"/>
      <c r="C39" s="12"/>
      <c r="D39" s="411"/>
      <c r="E39" s="349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14.25" customHeight="1">
      <c r="A40" s="12"/>
      <c r="B40" s="12"/>
      <c r="C40" s="12"/>
      <c r="D40" s="411"/>
      <c r="E40" s="349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ht="14.25" customHeight="1">
      <c r="A41" s="12"/>
      <c r="B41" s="12"/>
      <c r="C41" s="12"/>
      <c r="D41" s="411"/>
      <c r="E41" s="349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14.25" customHeight="1">
      <c r="A42" s="12"/>
      <c r="B42" s="12"/>
      <c r="C42" s="12"/>
      <c r="D42" s="411"/>
      <c r="E42" s="349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14.25" customHeight="1">
      <c r="A43" s="12"/>
      <c r="B43" s="12"/>
      <c r="C43" s="12"/>
      <c r="D43" s="411"/>
      <c r="E43" s="349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ht="14.25" customHeight="1">
      <c r="A44" s="12"/>
      <c r="B44" s="12"/>
      <c r="C44" s="12"/>
      <c r="D44" s="411"/>
      <c r="E44" s="349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4.25" customHeight="1">
      <c r="A45" s="12"/>
      <c r="B45" s="12"/>
      <c r="C45" s="12"/>
      <c r="D45" s="411"/>
      <c r="E45" s="349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4.25" customHeight="1">
      <c r="A46" s="12"/>
      <c r="B46" s="12"/>
      <c r="C46" s="12"/>
      <c r="D46" s="411"/>
      <c r="E46" s="349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4.25" customHeight="1">
      <c r="A47" s="12"/>
      <c r="B47" s="12"/>
      <c r="C47" s="12"/>
      <c r="D47" s="411"/>
      <c r="E47" s="349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4.25" customHeight="1">
      <c r="A48" s="12"/>
      <c r="B48" s="12"/>
      <c r="C48" s="12"/>
      <c r="D48" s="411"/>
      <c r="E48" s="349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ht="14.25" customHeight="1">
      <c r="A49" s="12"/>
      <c r="B49" s="12"/>
      <c r="C49" s="12"/>
      <c r="D49" s="411"/>
      <c r="E49" s="349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4.25" customHeight="1">
      <c r="A50" s="12"/>
      <c r="B50" s="12"/>
      <c r="C50" s="12"/>
      <c r="D50" s="411"/>
      <c r="E50" s="349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4.25" customHeight="1">
      <c r="A51" s="12"/>
      <c r="B51" s="12"/>
      <c r="C51" s="12"/>
      <c r="D51" s="411"/>
      <c r="E51" s="349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4.25" customHeight="1">
      <c r="A52" s="12"/>
      <c r="B52" s="12"/>
      <c r="C52" s="12"/>
      <c r="D52" s="411"/>
      <c r="E52" s="349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4.25" customHeight="1">
      <c r="A53" s="12"/>
      <c r="B53" s="12"/>
      <c r="C53" s="12"/>
      <c r="D53" s="411"/>
      <c r="E53" s="349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4.25" customHeight="1">
      <c r="A54" s="12"/>
      <c r="B54" s="12"/>
      <c r="C54" s="12"/>
      <c r="D54" s="411"/>
      <c r="E54" s="349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4.25" customHeight="1">
      <c r="A55" s="12"/>
      <c r="B55" s="12"/>
      <c r="C55" s="12"/>
      <c r="D55" s="411"/>
      <c r="E55" s="349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4.25" customHeight="1">
      <c r="A56" s="12"/>
      <c r="B56" s="12"/>
      <c r="C56" s="12"/>
      <c r="D56" s="411"/>
      <c r="E56" s="349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4.25" customHeight="1">
      <c r="A57" s="12"/>
      <c r="B57" s="12"/>
      <c r="C57" s="12"/>
      <c r="D57" s="411"/>
      <c r="E57" s="349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4.25" customHeight="1">
      <c r="A58" s="12"/>
      <c r="B58" s="12"/>
      <c r="C58" s="12"/>
      <c r="D58" s="411"/>
      <c r="E58" s="349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14.25" customHeight="1">
      <c r="A59" s="12"/>
      <c r="B59" s="12"/>
      <c r="C59" s="12"/>
      <c r="D59" s="411"/>
      <c r="E59" s="349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4.25" customHeight="1">
      <c r="A60" s="12"/>
      <c r="B60" s="12"/>
      <c r="C60" s="12"/>
      <c r="D60" s="411"/>
      <c r="E60" s="349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4.25" customHeight="1">
      <c r="A61" s="12"/>
      <c r="B61" s="12"/>
      <c r="C61" s="12"/>
      <c r="D61" s="411"/>
      <c r="E61" s="349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4.25" customHeight="1">
      <c r="A62" s="12"/>
      <c r="B62" s="12"/>
      <c r="C62" s="12"/>
      <c r="D62" s="411"/>
      <c r="E62" s="349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14.25" customHeight="1">
      <c r="A63" s="12"/>
      <c r="B63" s="12"/>
      <c r="C63" s="12"/>
      <c r="D63" s="411"/>
      <c r="E63" s="349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14.25" customHeight="1">
      <c r="A64" s="12"/>
      <c r="B64" s="12"/>
      <c r="C64" s="12"/>
      <c r="D64" s="411"/>
      <c r="E64" s="349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14.25" customHeight="1">
      <c r="A65" s="12"/>
      <c r="B65" s="12"/>
      <c r="C65" s="12"/>
      <c r="D65" s="411"/>
      <c r="E65" s="349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14.25" customHeight="1">
      <c r="A66" s="12"/>
      <c r="B66" s="12"/>
      <c r="C66" s="12"/>
      <c r="D66" s="411"/>
      <c r="E66" s="349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14.25" customHeight="1">
      <c r="A67" s="12"/>
      <c r="B67" s="12"/>
      <c r="C67" s="12"/>
      <c r="D67" s="411"/>
      <c r="E67" s="349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14.25" customHeight="1">
      <c r="A68" s="12"/>
      <c r="B68" s="12"/>
      <c r="C68" s="12"/>
      <c r="D68" s="411"/>
      <c r="E68" s="349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14.25" customHeight="1">
      <c r="A69" s="12"/>
      <c r="B69" s="12"/>
      <c r="C69" s="12"/>
      <c r="D69" s="411"/>
      <c r="E69" s="349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14.25" customHeight="1">
      <c r="A70" s="12"/>
      <c r="B70" s="12"/>
      <c r="C70" s="12"/>
      <c r="D70" s="411"/>
      <c r="E70" s="349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14.25" customHeight="1">
      <c r="A71" s="12"/>
      <c r="B71" s="12"/>
      <c r="C71" s="12"/>
      <c r="D71" s="411"/>
      <c r="E71" s="349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14.25" customHeight="1">
      <c r="A72" s="12"/>
      <c r="B72" s="12"/>
      <c r="C72" s="12"/>
      <c r="D72" s="411"/>
      <c r="E72" s="349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14.25" customHeight="1">
      <c r="A73" s="12"/>
      <c r="B73" s="12"/>
      <c r="C73" s="12"/>
      <c r="D73" s="411"/>
      <c r="E73" s="349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14.25" customHeight="1">
      <c r="A74" s="12"/>
      <c r="B74" s="12"/>
      <c r="C74" s="12"/>
      <c r="D74" s="411"/>
      <c r="E74" s="349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14.25" customHeight="1">
      <c r="A75" s="12"/>
      <c r="B75" s="12"/>
      <c r="C75" s="12"/>
      <c r="D75" s="411"/>
      <c r="E75" s="349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14.25" customHeight="1">
      <c r="A76" s="12"/>
      <c r="B76" s="12"/>
      <c r="C76" s="12"/>
      <c r="D76" s="411"/>
      <c r="E76" s="349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14.25" customHeight="1">
      <c r="A77" s="12"/>
      <c r="B77" s="12"/>
      <c r="C77" s="12"/>
      <c r="D77" s="411"/>
      <c r="E77" s="349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14.25" customHeight="1">
      <c r="A78" s="12"/>
      <c r="B78" s="12"/>
      <c r="C78" s="12"/>
      <c r="D78" s="411"/>
      <c r="E78" s="349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14.25" customHeight="1">
      <c r="A79" s="12"/>
      <c r="B79" s="12"/>
      <c r="C79" s="12"/>
      <c r="D79" s="411"/>
      <c r="E79" s="349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14.25" customHeight="1">
      <c r="A80" s="12"/>
      <c r="B80" s="12"/>
      <c r="C80" s="12"/>
      <c r="D80" s="411"/>
      <c r="E80" s="349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14.25" customHeight="1">
      <c r="A81" s="12"/>
      <c r="B81" s="12"/>
      <c r="C81" s="12"/>
      <c r="D81" s="411"/>
      <c r="E81" s="349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14.25" customHeight="1">
      <c r="A82" s="12"/>
      <c r="B82" s="12"/>
      <c r="C82" s="12"/>
      <c r="D82" s="411"/>
      <c r="E82" s="349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14.25" customHeight="1">
      <c r="A83" s="12"/>
      <c r="B83" s="12"/>
      <c r="C83" s="12"/>
      <c r="D83" s="411"/>
      <c r="E83" s="349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14.25" customHeight="1">
      <c r="A84" s="12"/>
      <c r="B84" s="12"/>
      <c r="C84" s="12"/>
      <c r="D84" s="411"/>
      <c r="E84" s="349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14.25" customHeight="1">
      <c r="A85" s="12"/>
      <c r="B85" s="12"/>
      <c r="C85" s="12"/>
      <c r="D85" s="411"/>
      <c r="E85" s="349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14.25" customHeight="1">
      <c r="A86" s="12"/>
      <c r="B86" s="12"/>
      <c r="C86" s="12"/>
      <c r="D86" s="411"/>
      <c r="E86" s="349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14.25" customHeight="1">
      <c r="A87" s="12"/>
      <c r="B87" s="12"/>
      <c r="C87" s="12"/>
      <c r="D87" s="411"/>
      <c r="E87" s="349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14.25" customHeight="1">
      <c r="A88" s="12"/>
      <c r="B88" s="12"/>
      <c r="C88" s="12"/>
      <c r="D88" s="411"/>
      <c r="E88" s="349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14.25" customHeight="1">
      <c r="A89" s="12"/>
      <c r="B89" s="12"/>
      <c r="C89" s="12"/>
      <c r="D89" s="411"/>
      <c r="E89" s="349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4.25" customHeight="1">
      <c r="A90" s="12"/>
      <c r="B90" s="12"/>
      <c r="C90" s="12"/>
      <c r="D90" s="411"/>
      <c r="E90" s="349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4.25" customHeight="1">
      <c r="A91" s="12"/>
      <c r="B91" s="12"/>
      <c r="C91" s="12"/>
      <c r="D91" s="411"/>
      <c r="E91" s="349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4.25" customHeight="1">
      <c r="A92" s="12"/>
      <c r="B92" s="12"/>
      <c r="C92" s="12"/>
      <c r="D92" s="411"/>
      <c r="E92" s="349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4.25" customHeight="1">
      <c r="A93" s="12"/>
      <c r="B93" s="12"/>
      <c r="C93" s="12"/>
      <c r="D93" s="411"/>
      <c r="E93" s="349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14.25" customHeight="1">
      <c r="A94" s="12"/>
      <c r="B94" s="12"/>
      <c r="C94" s="12"/>
      <c r="D94" s="411"/>
      <c r="E94" s="349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14.25" customHeight="1">
      <c r="A95" s="12"/>
      <c r="B95" s="12"/>
      <c r="C95" s="12"/>
      <c r="D95" s="411"/>
      <c r="E95" s="349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14.25" customHeight="1">
      <c r="A96" s="12"/>
      <c r="B96" s="12"/>
      <c r="C96" s="12"/>
      <c r="D96" s="411"/>
      <c r="E96" s="349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14.25" customHeight="1">
      <c r="A97" s="12"/>
      <c r="B97" s="12"/>
      <c r="C97" s="12"/>
      <c r="D97" s="411"/>
      <c r="E97" s="349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14.25" customHeight="1">
      <c r="A98" s="12"/>
      <c r="B98" s="12"/>
      <c r="C98" s="12"/>
      <c r="D98" s="411"/>
      <c r="E98" s="349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14.25" customHeight="1">
      <c r="A99" s="12"/>
      <c r="B99" s="12"/>
      <c r="C99" s="12"/>
      <c r="D99" s="411"/>
      <c r="E99" s="349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14.25" customHeight="1">
      <c r="A100" s="12"/>
      <c r="B100" s="12"/>
      <c r="C100" s="12"/>
      <c r="D100" s="411"/>
      <c r="E100" s="349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14.25" customHeight="1">
      <c r="A101" s="12"/>
      <c r="B101" s="12"/>
      <c r="C101" s="12"/>
      <c r="D101" s="411"/>
      <c r="E101" s="349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14.25" customHeight="1">
      <c r="A102" s="12"/>
      <c r="B102" s="12"/>
      <c r="C102" s="12"/>
      <c r="D102" s="411"/>
      <c r="E102" s="349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14.25" customHeight="1">
      <c r="A103" s="12"/>
      <c r="B103" s="12"/>
      <c r="C103" s="12"/>
      <c r="D103" s="411"/>
      <c r="E103" s="349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14.25" customHeight="1">
      <c r="A104" s="12"/>
      <c r="B104" s="12"/>
      <c r="C104" s="12"/>
      <c r="D104" s="411"/>
      <c r="E104" s="349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14.25" customHeight="1">
      <c r="A105" s="12"/>
      <c r="B105" s="12"/>
      <c r="C105" s="12"/>
      <c r="D105" s="411"/>
      <c r="E105" s="349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14.25" customHeight="1">
      <c r="A106" s="12"/>
      <c r="B106" s="12"/>
      <c r="C106" s="12"/>
      <c r="D106" s="411"/>
      <c r="E106" s="349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14.25" customHeight="1">
      <c r="A107" s="12"/>
      <c r="B107" s="12"/>
      <c r="C107" s="12"/>
      <c r="D107" s="411"/>
      <c r="E107" s="349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14.25" customHeight="1">
      <c r="A108" s="12"/>
      <c r="B108" s="12"/>
      <c r="C108" s="12"/>
      <c r="D108" s="411"/>
      <c r="E108" s="349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14.25" customHeight="1">
      <c r="A109" s="12"/>
      <c r="B109" s="12"/>
      <c r="C109" s="12"/>
      <c r="D109" s="411"/>
      <c r="E109" s="349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14.25" customHeight="1">
      <c r="A110" s="12"/>
      <c r="B110" s="12"/>
      <c r="C110" s="12"/>
      <c r="D110" s="411"/>
      <c r="E110" s="349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14.25" customHeight="1">
      <c r="A111" s="12"/>
      <c r="B111" s="12"/>
      <c r="C111" s="12"/>
      <c r="D111" s="411"/>
      <c r="E111" s="349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14.25" customHeight="1">
      <c r="A112" s="12"/>
      <c r="B112" s="12"/>
      <c r="C112" s="12"/>
      <c r="D112" s="411"/>
      <c r="E112" s="349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14.25" customHeight="1">
      <c r="A113" s="12"/>
      <c r="B113" s="12"/>
      <c r="C113" s="12"/>
      <c r="D113" s="411"/>
      <c r="E113" s="349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14.25" customHeight="1">
      <c r="A114" s="12"/>
      <c r="B114" s="12"/>
      <c r="C114" s="12"/>
      <c r="D114" s="411"/>
      <c r="E114" s="349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14.25" customHeight="1">
      <c r="A115" s="12"/>
      <c r="B115" s="12"/>
      <c r="C115" s="12"/>
      <c r="D115" s="411"/>
      <c r="E115" s="349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14.25" customHeight="1">
      <c r="A116" s="12"/>
      <c r="B116" s="12"/>
      <c r="C116" s="12"/>
      <c r="D116" s="411"/>
      <c r="E116" s="349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14.25" customHeight="1">
      <c r="A117" s="12"/>
      <c r="B117" s="12"/>
      <c r="C117" s="12"/>
      <c r="D117" s="411"/>
      <c r="E117" s="349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14.25" customHeight="1">
      <c r="A118" s="12"/>
      <c r="B118" s="12"/>
      <c r="C118" s="12"/>
      <c r="D118" s="411"/>
      <c r="E118" s="349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14.25" customHeight="1">
      <c r="A119" s="12"/>
      <c r="B119" s="12"/>
      <c r="C119" s="12"/>
      <c r="D119" s="411"/>
      <c r="E119" s="349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14.25" customHeight="1">
      <c r="A120" s="12"/>
      <c r="B120" s="12"/>
      <c r="C120" s="12"/>
      <c r="D120" s="411"/>
      <c r="E120" s="349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14.25" customHeight="1">
      <c r="A121" s="12"/>
      <c r="B121" s="12"/>
      <c r="C121" s="12"/>
      <c r="D121" s="411"/>
      <c r="E121" s="349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14.25" customHeight="1">
      <c r="A122" s="12"/>
      <c r="B122" s="12"/>
      <c r="C122" s="12"/>
      <c r="D122" s="411"/>
      <c r="E122" s="349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14.25" customHeight="1">
      <c r="A123" s="12"/>
      <c r="B123" s="12"/>
      <c r="C123" s="12"/>
      <c r="D123" s="411"/>
      <c r="E123" s="349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14.25" customHeight="1">
      <c r="A124" s="12"/>
      <c r="B124" s="12"/>
      <c r="C124" s="12"/>
      <c r="D124" s="411"/>
      <c r="E124" s="349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14.25" customHeight="1">
      <c r="A125" s="12"/>
      <c r="B125" s="12"/>
      <c r="C125" s="12"/>
      <c r="D125" s="411"/>
      <c r="E125" s="349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14.25" customHeight="1">
      <c r="A126" s="12"/>
      <c r="B126" s="12"/>
      <c r="C126" s="12"/>
      <c r="D126" s="411"/>
      <c r="E126" s="349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14.25" customHeight="1">
      <c r="A127" s="12"/>
      <c r="B127" s="12"/>
      <c r="C127" s="12"/>
      <c r="D127" s="411"/>
      <c r="E127" s="349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14.25" customHeight="1">
      <c r="A128" s="12"/>
      <c r="B128" s="12"/>
      <c r="C128" s="12"/>
      <c r="D128" s="411"/>
      <c r="E128" s="349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14.25" customHeight="1">
      <c r="A129" s="12"/>
      <c r="B129" s="12"/>
      <c r="C129" s="12"/>
      <c r="D129" s="411"/>
      <c r="E129" s="349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14.25" customHeight="1">
      <c r="A130" s="12"/>
      <c r="B130" s="12"/>
      <c r="C130" s="12"/>
      <c r="D130" s="411"/>
      <c r="E130" s="349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14.25" customHeight="1">
      <c r="A131" s="12"/>
      <c r="B131" s="12"/>
      <c r="C131" s="12"/>
      <c r="D131" s="411"/>
      <c r="E131" s="349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14.25" customHeight="1">
      <c r="A132" s="12"/>
      <c r="B132" s="12"/>
      <c r="C132" s="12"/>
      <c r="D132" s="411"/>
      <c r="E132" s="349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14.25" customHeight="1">
      <c r="A133" s="12"/>
      <c r="B133" s="12"/>
      <c r="C133" s="12"/>
      <c r="D133" s="411"/>
      <c r="E133" s="349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14.25" customHeight="1">
      <c r="A134" s="12"/>
      <c r="B134" s="12"/>
      <c r="C134" s="12"/>
      <c r="D134" s="411"/>
      <c r="E134" s="349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14.25" customHeight="1">
      <c r="A135" s="12"/>
      <c r="B135" s="12"/>
      <c r="C135" s="12"/>
      <c r="D135" s="411"/>
      <c r="E135" s="349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14.25" customHeight="1">
      <c r="A136" s="12"/>
      <c r="B136" s="12"/>
      <c r="C136" s="12"/>
      <c r="D136" s="411"/>
      <c r="E136" s="349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14.25" customHeight="1">
      <c r="A137" s="12"/>
      <c r="B137" s="12"/>
      <c r="C137" s="12"/>
      <c r="D137" s="411"/>
      <c r="E137" s="349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14.25" customHeight="1">
      <c r="A138" s="12"/>
      <c r="B138" s="12"/>
      <c r="C138" s="12"/>
      <c r="D138" s="411"/>
      <c r="E138" s="349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14.25" customHeight="1">
      <c r="A139" s="12"/>
      <c r="B139" s="12"/>
      <c r="C139" s="12"/>
      <c r="D139" s="411"/>
      <c r="E139" s="349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14.25" customHeight="1">
      <c r="A140" s="12"/>
      <c r="B140" s="12"/>
      <c r="C140" s="12"/>
      <c r="D140" s="411"/>
      <c r="E140" s="349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14.25" customHeight="1">
      <c r="A141" s="12"/>
      <c r="B141" s="12"/>
      <c r="C141" s="12"/>
      <c r="D141" s="411"/>
      <c r="E141" s="349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14.25" customHeight="1">
      <c r="A142" s="12"/>
      <c r="B142" s="12"/>
      <c r="C142" s="12"/>
      <c r="D142" s="411"/>
      <c r="E142" s="349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14.25" customHeight="1">
      <c r="A143" s="12"/>
      <c r="B143" s="12"/>
      <c r="C143" s="12"/>
      <c r="D143" s="411"/>
      <c r="E143" s="349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14.25" customHeight="1">
      <c r="A144" s="12"/>
      <c r="B144" s="12"/>
      <c r="C144" s="12"/>
      <c r="D144" s="411"/>
      <c r="E144" s="349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14.25" customHeight="1">
      <c r="A145" s="12"/>
      <c r="B145" s="12"/>
      <c r="C145" s="12"/>
      <c r="D145" s="411"/>
      <c r="E145" s="349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14.25" customHeight="1">
      <c r="A146" s="12"/>
      <c r="B146" s="12"/>
      <c r="C146" s="12"/>
      <c r="D146" s="411"/>
      <c r="E146" s="349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14.25" customHeight="1">
      <c r="A147" s="12"/>
      <c r="B147" s="12"/>
      <c r="C147" s="12"/>
      <c r="D147" s="411"/>
      <c r="E147" s="349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14.25" customHeight="1">
      <c r="A148" s="12"/>
      <c r="B148" s="12"/>
      <c r="C148" s="12"/>
      <c r="D148" s="411"/>
      <c r="E148" s="349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14.25" customHeight="1">
      <c r="A149" s="12"/>
      <c r="B149" s="12"/>
      <c r="C149" s="12"/>
      <c r="D149" s="411"/>
      <c r="E149" s="349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14.25" customHeight="1">
      <c r="A150" s="12"/>
      <c r="B150" s="12"/>
      <c r="C150" s="12"/>
      <c r="D150" s="411"/>
      <c r="E150" s="349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14.25" customHeight="1">
      <c r="A151" s="12"/>
      <c r="B151" s="12"/>
      <c r="C151" s="12"/>
      <c r="D151" s="411"/>
      <c r="E151" s="349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14.25" customHeight="1">
      <c r="A152" s="12"/>
      <c r="B152" s="12"/>
      <c r="C152" s="12"/>
      <c r="D152" s="411"/>
      <c r="E152" s="349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14.25" customHeight="1">
      <c r="A153" s="12"/>
      <c r="B153" s="12"/>
      <c r="C153" s="12"/>
      <c r="D153" s="411"/>
      <c r="E153" s="349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14.25" customHeight="1">
      <c r="A154" s="12"/>
      <c r="B154" s="12"/>
      <c r="C154" s="12"/>
      <c r="D154" s="411"/>
      <c r="E154" s="349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14.25" customHeight="1">
      <c r="A155" s="12"/>
      <c r="B155" s="12"/>
      <c r="C155" s="12"/>
      <c r="D155" s="411"/>
      <c r="E155" s="349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14.25" customHeight="1">
      <c r="A156" s="12"/>
      <c r="B156" s="12"/>
      <c r="C156" s="12"/>
      <c r="D156" s="411"/>
      <c r="E156" s="349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14.25" customHeight="1">
      <c r="A157" s="12"/>
      <c r="B157" s="12"/>
      <c r="C157" s="12"/>
      <c r="D157" s="411"/>
      <c r="E157" s="349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14.25" customHeight="1">
      <c r="A158" s="12"/>
      <c r="B158" s="12"/>
      <c r="C158" s="12"/>
      <c r="D158" s="411"/>
      <c r="E158" s="349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14.25" customHeight="1">
      <c r="A159" s="12"/>
      <c r="B159" s="12"/>
      <c r="C159" s="12"/>
      <c r="D159" s="411"/>
      <c r="E159" s="349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14.25" customHeight="1">
      <c r="A160" s="12"/>
      <c r="B160" s="12"/>
      <c r="C160" s="12"/>
      <c r="D160" s="411"/>
      <c r="E160" s="349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14.25" customHeight="1">
      <c r="A161" s="12"/>
      <c r="B161" s="12"/>
      <c r="C161" s="12"/>
      <c r="D161" s="411"/>
      <c r="E161" s="349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14.25" customHeight="1">
      <c r="A162" s="12"/>
      <c r="B162" s="12"/>
      <c r="C162" s="12"/>
      <c r="D162" s="411"/>
      <c r="E162" s="349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14.25" customHeight="1">
      <c r="A163" s="12"/>
      <c r="B163" s="12"/>
      <c r="C163" s="12"/>
      <c r="D163" s="411"/>
      <c r="E163" s="349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14.25" customHeight="1">
      <c r="A164" s="12"/>
      <c r="B164" s="12"/>
      <c r="C164" s="12"/>
      <c r="D164" s="411"/>
      <c r="E164" s="349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14.25" customHeight="1">
      <c r="A165" s="12"/>
      <c r="B165" s="12"/>
      <c r="C165" s="12"/>
      <c r="D165" s="411"/>
      <c r="E165" s="349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14.25" customHeight="1">
      <c r="A166" s="12"/>
      <c r="B166" s="12"/>
      <c r="C166" s="12"/>
      <c r="D166" s="411"/>
      <c r="E166" s="349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14.25" customHeight="1">
      <c r="A167" s="12"/>
      <c r="B167" s="12"/>
      <c r="C167" s="12"/>
      <c r="D167" s="411"/>
      <c r="E167" s="349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14.25" customHeight="1">
      <c r="A168" s="12"/>
      <c r="B168" s="12"/>
      <c r="C168" s="12"/>
      <c r="D168" s="411"/>
      <c r="E168" s="349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14.25" customHeight="1">
      <c r="A169" s="12"/>
      <c r="B169" s="12"/>
      <c r="C169" s="12"/>
      <c r="D169" s="411"/>
      <c r="E169" s="349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14.25" customHeight="1">
      <c r="A170" s="12"/>
      <c r="B170" s="12"/>
      <c r="C170" s="12"/>
      <c r="D170" s="411"/>
      <c r="E170" s="349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14.25" customHeight="1">
      <c r="A171" s="12"/>
      <c r="B171" s="12"/>
      <c r="C171" s="12"/>
      <c r="D171" s="411"/>
      <c r="E171" s="349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14.25" customHeight="1">
      <c r="A172" s="12"/>
      <c r="B172" s="12"/>
      <c r="C172" s="12"/>
      <c r="D172" s="411"/>
      <c r="E172" s="349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14.25" customHeight="1">
      <c r="A173" s="12"/>
      <c r="B173" s="12"/>
      <c r="C173" s="12"/>
      <c r="D173" s="411"/>
      <c r="E173" s="349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14.25" customHeight="1">
      <c r="A174" s="12"/>
      <c r="B174" s="12"/>
      <c r="C174" s="12"/>
      <c r="D174" s="411"/>
      <c r="E174" s="349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14.25" customHeight="1">
      <c r="A175" s="12"/>
      <c r="B175" s="12"/>
      <c r="C175" s="12"/>
      <c r="D175" s="411"/>
      <c r="E175" s="349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14.25" customHeight="1">
      <c r="A176" s="12"/>
      <c r="B176" s="12"/>
      <c r="C176" s="12"/>
      <c r="D176" s="411"/>
      <c r="E176" s="349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14.25" customHeight="1">
      <c r="A177" s="12"/>
      <c r="B177" s="12"/>
      <c r="C177" s="12"/>
      <c r="D177" s="411"/>
      <c r="E177" s="349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14.25" customHeight="1">
      <c r="A178" s="12"/>
      <c r="B178" s="12"/>
      <c r="C178" s="12"/>
      <c r="D178" s="411"/>
      <c r="E178" s="349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14.25" customHeight="1">
      <c r="A179" s="12"/>
      <c r="B179" s="12"/>
      <c r="C179" s="12"/>
      <c r="D179" s="411"/>
      <c r="E179" s="349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14.25" customHeight="1">
      <c r="A180" s="12"/>
      <c r="B180" s="12"/>
      <c r="C180" s="12"/>
      <c r="D180" s="411"/>
      <c r="E180" s="349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14.25" customHeight="1">
      <c r="A181" s="12"/>
      <c r="B181" s="12"/>
      <c r="C181" s="12"/>
      <c r="D181" s="411"/>
      <c r="E181" s="349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14.25" customHeight="1">
      <c r="A182" s="12"/>
      <c r="B182" s="12"/>
      <c r="C182" s="12"/>
      <c r="D182" s="411"/>
      <c r="E182" s="349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14.25" customHeight="1">
      <c r="A183" s="12"/>
      <c r="B183" s="12"/>
      <c r="C183" s="12"/>
      <c r="D183" s="411"/>
      <c r="E183" s="349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14.25" customHeight="1">
      <c r="A184" s="12"/>
      <c r="B184" s="12"/>
      <c r="C184" s="12"/>
      <c r="D184" s="411"/>
      <c r="E184" s="349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14.25" customHeight="1">
      <c r="A185" s="12"/>
      <c r="B185" s="12"/>
      <c r="C185" s="12"/>
      <c r="D185" s="411"/>
      <c r="E185" s="349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14.25" customHeight="1">
      <c r="A186" s="12"/>
      <c r="B186" s="12"/>
      <c r="C186" s="12"/>
      <c r="D186" s="411"/>
      <c r="E186" s="349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14.25" customHeight="1">
      <c r="A187" s="12"/>
      <c r="B187" s="12"/>
      <c r="C187" s="12"/>
      <c r="D187" s="411"/>
      <c r="E187" s="349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14.25" customHeight="1">
      <c r="A188" s="12"/>
      <c r="B188" s="12"/>
      <c r="C188" s="12"/>
      <c r="D188" s="411"/>
      <c r="E188" s="349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14.25" customHeight="1">
      <c r="A189" s="12"/>
      <c r="B189" s="12"/>
      <c r="C189" s="12"/>
      <c r="D189" s="411"/>
      <c r="E189" s="349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14.25" customHeight="1">
      <c r="A190" s="12"/>
      <c r="B190" s="12"/>
      <c r="C190" s="12"/>
      <c r="D190" s="411"/>
      <c r="E190" s="349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14.25" customHeight="1">
      <c r="A191" s="12"/>
      <c r="B191" s="12"/>
      <c r="C191" s="12"/>
      <c r="D191" s="411"/>
      <c r="E191" s="349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14.25" customHeight="1">
      <c r="A192" s="12"/>
      <c r="B192" s="12"/>
      <c r="C192" s="12"/>
      <c r="D192" s="411"/>
      <c r="E192" s="349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14.25" customHeight="1">
      <c r="A193" s="12"/>
      <c r="B193" s="12"/>
      <c r="C193" s="12"/>
      <c r="D193" s="411"/>
      <c r="E193" s="349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14.25" customHeight="1">
      <c r="A194" s="12"/>
      <c r="B194" s="12"/>
      <c r="C194" s="12"/>
      <c r="D194" s="411"/>
      <c r="E194" s="349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14.25" customHeight="1">
      <c r="A195" s="12"/>
      <c r="B195" s="12"/>
      <c r="C195" s="12"/>
      <c r="D195" s="411"/>
      <c r="E195" s="349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14.25" customHeight="1">
      <c r="A196" s="12"/>
      <c r="B196" s="12"/>
      <c r="C196" s="12"/>
      <c r="D196" s="411"/>
      <c r="E196" s="349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14.25" customHeight="1">
      <c r="A197" s="12"/>
      <c r="B197" s="12"/>
      <c r="C197" s="12"/>
      <c r="D197" s="411"/>
      <c r="E197" s="349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14.25" customHeight="1">
      <c r="A198" s="12"/>
      <c r="B198" s="12"/>
      <c r="C198" s="12"/>
      <c r="D198" s="411"/>
      <c r="E198" s="349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14.25" customHeight="1">
      <c r="A199" s="12"/>
      <c r="B199" s="12"/>
      <c r="C199" s="12"/>
      <c r="D199" s="411"/>
      <c r="E199" s="349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14.25" customHeight="1">
      <c r="A200" s="12"/>
      <c r="B200" s="12"/>
      <c r="C200" s="12"/>
      <c r="D200" s="411"/>
      <c r="E200" s="349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14.25" customHeight="1">
      <c r="A201" s="12"/>
      <c r="B201" s="12"/>
      <c r="C201" s="12"/>
      <c r="D201" s="411"/>
      <c r="E201" s="349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14.25" customHeight="1">
      <c r="A202" s="12"/>
      <c r="B202" s="12"/>
      <c r="C202" s="12"/>
      <c r="D202" s="411"/>
      <c r="E202" s="349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14.25" customHeight="1">
      <c r="A203" s="12"/>
      <c r="B203" s="12"/>
      <c r="C203" s="12"/>
      <c r="D203" s="411"/>
      <c r="E203" s="349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14.25" customHeight="1">
      <c r="A204" s="12"/>
      <c r="B204" s="12"/>
      <c r="C204" s="12"/>
      <c r="D204" s="411"/>
      <c r="E204" s="349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14.25" customHeight="1">
      <c r="A205" s="12"/>
      <c r="B205" s="12"/>
      <c r="C205" s="12"/>
      <c r="D205" s="411"/>
      <c r="E205" s="349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14.25" customHeight="1">
      <c r="A206" s="12"/>
      <c r="B206" s="12"/>
      <c r="C206" s="12"/>
      <c r="D206" s="411"/>
      <c r="E206" s="349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14.25" customHeight="1">
      <c r="A207" s="12"/>
      <c r="B207" s="12"/>
      <c r="C207" s="12"/>
      <c r="D207" s="411"/>
      <c r="E207" s="349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14.25" customHeight="1">
      <c r="A208" s="12"/>
      <c r="B208" s="12"/>
      <c r="C208" s="12"/>
      <c r="D208" s="411"/>
      <c r="E208" s="349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14.25" customHeight="1">
      <c r="A209" s="12"/>
      <c r="B209" s="12"/>
      <c r="C209" s="12"/>
      <c r="D209" s="411"/>
      <c r="E209" s="349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14.25" customHeight="1">
      <c r="A210" s="12"/>
      <c r="B210" s="12"/>
      <c r="C210" s="12"/>
      <c r="D210" s="411"/>
      <c r="E210" s="349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14.25" customHeight="1">
      <c r="A211" s="12"/>
      <c r="B211" s="12"/>
      <c r="C211" s="12"/>
      <c r="D211" s="411"/>
      <c r="E211" s="349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14.25" customHeight="1">
      <c r="A212" s="12"/>
      <c r="B212" s="12"/>
      <c r="C212" s="12"/>
      <c r="D212" s="411"/>
      <c r="E212" s="349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14.25" customHeight="1">
      <c r="A213" s="12"/>
      <c r="B213" s="12"/>
      <c r="C213" s="12"/>
      <c r="D213" s="411"/>
      <c r="E213" s="349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14.25" customHeight="1">
      <c r="A214" s="12"/>
      <c r="B214" s="12"/>
      <c r="C214" s="12"/>
      <c r="D214" s="411"/>
      <c r="E214" s="349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14.25" customHeight="1">
      <c r="A215" s="12"/>
      <c r="B215" s="12"/>
      <c r="C215" s="12"/>
      <c r="D215" s="411"/>
      <c r="E215" s="349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14.25" customHeight="1">
      <c r="A216" s="12"/>
      <c r="B216" s="12"/>
      <c r="C216" s="12"/>
      <c r="D216" s="411"/>
      <c r="E216" s="349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14.25" customHeight="1">
      <c r="A217" s="12"/>
      <c r="B217" s="12"/>
      <c r="C217" s="12"/>
      <c r="D217" s="411"/>
      <c r="E217" s="349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14.25" customHeight="1">
      <c r="A218" s="12"/>
      <c r="B218" s="12"/>
      <c r="C218" s="12"/>
      <c r="D218" s="411"/>
      <c r="E218" s="349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ht="14.25" customHeight="1">
      <c r="A219" s="12"/>
      <c r="B219" s="12"/>
      <c r="C219" s="12"/>
      <c r="D219" s="411"/>
      <c r="E219" s="349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ht="14.25" customHeight="1">
      <c r="A220" s="12"/>
      <c r="B220" s="12"/>
      <c r="C220" s="12"/>
      <c r="D220" s="411"/>
      <c r="E220" s="349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E3:G5"/>
    <mergeCell ref="A8:E8"/>
    <mergeCell ref="A10:E10"/>
    <mergeCell ref="A12:C12"/>
  </mergeCells>
  <printOptions/>
  <pageMargins bottom="0.75" footer="0.0" header="0.0" left="0.25" right="0.25" top="0.75"/>
  <pageSetup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4.43"/>
    <col customWidth="1" min="2" max="8" width="31.71"/>
    <col customWidth="1" min="9" max="21" width="12.57"/>
  </cols>
  <sheetData>
    <row r="1" ht="15.75" customHeight="1">
      <c r="A1" s="501"/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  <c r="T1" s="501"/>
      <c r="U1" s="501"/>
    </row>
    <row r="2">
      <c r="A2" s="566" t="s">
        <v>955</v>
      </c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7"/>
    </row>
    <row r="3" ht="20.25" customHeight="1">
      <c r="A3" s="568" t="s">
        <v>956</v>
      </c>
      <c r="I3" s="567"/>
      <c r="J3" s="567"/>
      <c r="K3" s="567"/>
      <c r="L3" s="567"/>
      <c r="M3" s="567"/>
      <c r="N3" s="567"/>
      <c r="O3" s="567"/>
      <c r="P3" s="567"/>
      <c r="Q3" s="567"/>
      <c r="R3" s="567"/>
      <c r="S3" s="567"/>
      <c r="T3" s="567"/>
      <c r="U3" s="567"/>
    </row>
    <row r="4" ht="21.0" customHeight="1">
      <c r="A4" s="569" t="s">
        <v>957</v>
      </c>
      <c r="I4" s="567"/>
      <c r="J4" s="567"/>
      <c r="K4" s="567"/>
      <c r="L4" s="567"/>
      <c r="M4" s="567"/>
      <c r="N4" s="567"/>
      <c r="O4" s="567"/>
      <c r="P4" s="567"/>
      <c r="Q4" s="567"/>
      <c r="R4" s="567"/>
      <c r="S4" s="567"/>
      <c r="T4" s="567"/>
      <c r="U4" s="567"/>
    </row>
    <row r="5" ht="22.5" customHeight="1">
      <c r="A5" s="569" t="s">
        <v>958</v>
      </c>
      <c r="I5" s="567"/>
      <c r="J5" s="567"/>
      <c r="K5" s="567"/>
      <c r="L5" s="567"/>
      <c r="M5" s="567"/>
      <c r="N5" s="567"/>
      <c r="O5" s="567"/>
      <c r="P5" s="567"/>
      <c r="Q5" s="567"/>
      <c r="R5" s="567"/>
      <c r="S5" s="567"/>
      <c r="T5" s="567"/>
      <c r="U5" s="567"/>
    </row>
    <row r="6" ht="15.75" customHeight="1">
      <c r="A6" s="567"/>
      <c r="B6" s="567"/>
      <c r="C6" s="567"/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  <c r="Q6" s="567"/>
      <c r="R6" s="567"/>
      <c r="S6" s="567"/>
      <c r="T6" s="567"/>
      <c r="U6" s="567"/>
    </row>
    <row r="7" ht="15.75" customHeight="1">
      <c r="A7" s="567"/>
      <c r="B7" s="567"/>
      <c r="C7" s="567"/>
      <c r="D7" s="567"/>
      <c r="E7" s="567"/>
      <c r="F7" s="567"/>
      <c r="G7" s="567"/>
      <c r="H7" s="567"/>
      <c r="I7" s="567"/>
      <c r="J7" s="567"/>
      <c r="K7" s="567"/>
      <c r="L7" s="567"/>
      <c r="M7" s="567"/>
      <c r="N7" s="567"/>
      <c r="O7" s="567"/>
      <c r="P7" s="567"/>
      <c r="Q7" s="567"/>
      <c r="R7" s="567"/>
      <c r="S7" s="567"/>
      <c r="T7" s="567"/>
      <c r="U7" s="567"/>
    </row>
    <row r="8" ht="34.5" customHeight="1">
      <c r="A8" s="570" t="s">
        <v>959</v>
      </c>
      <c r="B8" s="571" t="s">
        <v>960</v>
      </c>
      <c r="C8" s="572" t="s">
        <v>8</v>
      </c>
      <c r="D8" s="573" t="s">
        <v>9</v>
      </c>
      <c r="E8" s="18"/>
      <c r="F8" s="19"/>
      <c r="G8" s="574" t="s">
        <v>961</v>
      </c>
      <c r="H8" s="575" t="s">
        <v>962</v>
      </c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</row>
    <row r="9" ht="34.5" customHeight="1">
      <c r="A9" s="30"/>
      <c r="B9" s="30"/>
      <c r="C9" s="30"/>
      <c r="D9" s="576" t="s">
        <v>11</v>
      </c>
      <c r="E9" s="576" t="s">
        <v>12</v>
      </c>
      <c r="F9" s="576" t="s">
        <v>13</v>
      </c>
      <c r="G9" s="30"/>
      <c r="H9" s="30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</row>
    <row r="10" ht="18.0" customHeight="1">
      <c r="A10" s="577" t="s">
        <v>963</v>
      </c>
      <c r="B10" s="578"/>
      <c r="C10" s="579"/>
      <c r="D10" s="580"/>
      <c r="E10" s="580"/>
      <c r="F10" s="580"/>
      <c r="G10" s="552"/>
      <c r="H10" s="552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</row>
    <row r="11">
      <c r="A11" s="552" t="s">
        <v>964</v>
      </c>
      <c r="B11" s="578">
        <f>RICE!D59</f>
        <v>171657.09</v>
      </c>
      <c r="C11" s="579">
        <f>RICE!F59</f>
        <v>303557</v>
      </c>
      <c r="D11" s="581">
        <f>RICE!H59</f>
        <v>187930</v>
      </c>
      <c r="E11" s="581">
        <f>RICE!J59</f>
        <v>113686.1</v>
      </c>
      <c r="F11" s="581">
        <f t="shared" ref="F11:F17" si="1">D11+E11</f>
        <v>301616.1</v>
      </c>
      <c r="G11" s="233">
        <f t="shared" ref="G11:G17" si="2">F11-C11</f>
        <v>-1940.9</v>
      </c>
      <c r="H11" s="582">
        <f t="shared" ref="H11:H17" si="3">G11/C11*100</f>
        <v>-0.6393856837</v>
      </c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</row>
    <row r="12">
      <c r="A12" s="552" t="s">
        <v>965</v>
      </c>
      <c r="B12" s="578">
        <f>CORN!D83</f>
        <v>16831.4395</v>
      </c>
      <c r="C12" s="579">
        <f>CORN!F83</f>
        <v>69465</v>
      </c>
      <c r="D12" s="581">
        <f>CORN!H83</f>
        <v>5581</v>
      </c>
      <c r="E12" s="581">
        <f>CORN!J83</f>
        <v>156400</v>
      </c>
      <c r="F12" s="581">
        <f t="shared" si="1"/>
        <v>161981</v>
      </c>
      <c r="G12" s="233">
        <f t="shared" si="2"/>
        <v>92516</v>
      </c>
      <c r="H12" s="582">
        <f t="shared" si="3"/>
        <v>133.1836176</v>
      </c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</row>
    <row r="13">
      <c r="A13" s="552" t="s">
        <v>966</v>
      </c>
      <c r="B13" s="578">
        <f>HVCDP!D801</f>
        <v>125655.82</v>
      </c>
      <c r="C13" s="579">
        <f>HVCDP!F801</f>
        <v>78350.29</v>
      </c>
      <c r="D13" s="581">
        <f>HVCDP!H801</f>
        <v>65180.71</v>
      </c>
      <c r="E13" s="581">
        <f>HVCDP!J801</f>
        <v>0</v>
      </c>
      <c r="F13" s="581">
        <f t="shared" si="1"/>
        <v>65180.71</v>
      </c>
      <c r="G13" s="233">
        <f t="shared" si="2"/>
        <v>-13169.58</v>
      </c>
      <c r="H13" s="582">
        <f t="shared" si="3"/>
        <v>-16.80859126</v>
      </c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</row>
    <row r="14">
      <c r="A14" s="552" t="s">
        <v>967</v>
      </c>
      <c r="B14" s="578">
        <f>NUPAP!D63</f>
        <v>3626.77762</v>
      </c>
      <c r="C14" s="579">
        <f>NUPAP!F63</f>
        <v>5604.5</v>
      </c>
      <c r="D14" s="581">
        <f>NUPAP!H63</f>
        <v>0</v>
      </c>
      <c r="E14" s="581">
        <f>NUPAP!J63</f>
        <v>0</v>
      </c>
      <c r="F14" s="581">
        <f t="shared" si="1"/>
        <v>0</v>
      </c>
      <c r="G14" s="233">
        <f t="shared" si="2"/>
        <v>-5604.5</v>
      </c>
      <c r="H14" s="582">
        <f t="shared" si="3"/>
        <v>-100</v>
      </c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</row>
    <row r="15">
      <c r="A15" s="552" t="s">
        <v>968</v>
      </c>
      <c r="B15" s="283">
        <f>LIVESTOCK!D60</f>
        <v>3497.2</v>
      </c>
      <c r="C15" s="579">
        <f>LIVESTOCK!F60</f>
        <v>4133.83</v>
      </c>
      <c r="D15" s="581">
        <f>LIVESTOCK!H60</f>
        <v>16530</v>
      </c>
      <c r="E15" s="581">
        <f>LIVESTOCK!J60</f>
        <v>0</v>
      </c>
      <c r="F15" s="581">
        <f t="shared" si="1"/>
        <v>16530</v>
      </c>
      <c r="G15" s="233">
        <f t="shared" si="2"/>
        <v>12396.17</v>
      </c>
      <c r="H15" s="582">
        <f t="shared" si="3"/>
        <v>299.8713058</v>
      </c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</row>
    <row r="16">
      <c r="A16" s="552" t="s">
        <v>969</v>
      </c>
      <c r="B16" s="283">
        <f>OAP!D61</f>
        <v>6800</v>
      </c>
      <c r="C16" s="579">
        <f>OAP!F61</f>
        <v>1000</v>
      </c>
      <c r="D16" s="581">
        <f>OAP!H61</f>
        <v>12100</v>
      </c>
      <c r="E16" s="581">
        <f>OAP!J61</f>
        <v>0</v>
      </c>
      <c r="F16" s="581">
        <f t="shared" si="1"/>
        <v>12100</v>
      </c>
      <c r="G16" s="233">
        <f t="shared" si="2"/>
        <v>11100</v>
      </c>
      <c r="H16" s="582">
        <f t="shared" si="3"/>
        <v>1110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</row>
    <row r="17">
      <c r="A17" s="552" t="s">
        <v>970</v>
      </c>
      <c r="B17" s="283" t="str">
        <f>HALAL!D28</f>
        <v/>
      </c>
      <c r="C17" s="579">
        <f>HALAL!F28</f>
        <v>250</v>
      </c>
      <c r="D17" s="581">
        <f>HALAL!H28</f>
        <v>0</v>
      </c>
      <c r="E17" s="581">
        <f>HALAL!J28</f>
        <v>6100</v>
      </c>
      <c r="F17" s="581">
        <f t="shared" si="1"/>
        <v>6100</v>
      </c>
      <c r="G17" s="233">
        <f t="shared" si="2"/>
        <v>5850</v>
      </c>
      <c r="H17" s="582">
        <f t="shared" si="3"/>
        <v>2340</v>
      </c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</row>
    <row r="18">
      <c r="A18" s="583" t="s">
        <v>971</v>
      </c>
      <c r="B18" s="584"/>
      <c r="C18" s="579"/>
      <c r="D18" s="581"/>
      <c r="E18" s="581"/>
      <c r="F18" s="581"/>
      <c r="G18" s="233"/>
      <c r="H18" s="582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</row>
    <row r="19">
      <c r="A19" s="585" t="s">
        <v>972</v>
      </c>
      <c r="B19" s="283">
        <f>FMR!E18</f>
        <v>160000</v>
      </c>
      <c r="C19" s="579">
        <f>FMR!E35</f>
        <v>165000</v>
      </c>
      <c r="D19" s="581">
        <f>FMR!E44</f>
        <v>155000</v>
      </c>
      <c r="E19" s="581">
        <f>FMR!E70</f>
        <v>563890</v>
      </c>
      <c r="F19" s="581">
        <f t="shared" ref="F19:F24" si="4">D19+E19</f>
        <v>718890</v>
      </c>
      <c r="G19" s="233">
        <f t="shared" ref="G19:G24" si="5">F19-C19</f>
        <v>553890</v>
      </c>
      <c r="H19" s="582">
        <f t="shared" ref="H19:H23" si="6">G19/C19*100</f>
        <v>335.6909091</v>
      </c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</row>
    <row r="20">
      <c r="A20" s="586" t="s">
        <v>973</v>
      </c>
      <c r="B20" s="283">
        <f>SAAD!D48</f>
        <v>7339</v>
      </c>
      <c r="C20" s="579">
        <f>SAAD!F48</f>
        <v>5923</v>
      </c>
      <c r="D20" s="581">
        <f>SAAD!H48</f>
        <v>7430</v>
      </c>
      <c r="E20" s="581" t="str">
        <f>SAAD!J48</f>
        <v/>
      </c>
      <c r="F20" s="581">
        <f t="shared" si="4"/>
        <v>7430</v>
      </c>
      <c r="G20" s="233">
        <f t="shared" si="5"/>
        <v>1507</v>
      </c>
      <c r="H20" s="582">
        <f t="shared" si="6"/>
        <v>25.44318757</v>
      </c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</row>
    <row r="21" ht="19.5" customHeight="1">
      <c r="A21" s="585" t="s">
        <v>974</v>
      </c>
      <c r="B21" s="587">
        <v>1907.0</v>
      </c>
      <c r="C21" s="588">
        <f>'4Ks'!F56</f>
        <v>2883.15</v>
      </c>
      <c r="D21" s="589">
        <f>'4Ks'!H56</f>
        <v>2488.966</v>
      </c>
      <c r="E21" s="589">
        <v>0.0</v>
      </c>
      <c r="F21" s="581">
        <f t="shared" si="4"/>
        <v>2488.966</v>
      </c>
      <c r="G21" s="233">
        <f t="shared" si="5"/>
        <v>-394.184</v>
      </c>
      <c r="H21" s="582">
        <f t="shared" si="6"/>
        <v>-13.6719907</v>
      </c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</row>
    <row r="22" ht="18.0" customHeight="1">
      <c r="A22" s="590" t="s">
        <v>975</v>
      </c>
      <c r="B22" s="283">
        <f>MCRA!D28</f>
        <v>3149.43995</v>
      </c>
      <c r="C22" s="579">
        <f>MCRA!F28</f>
        <v>1075</v>
      </c>
      <c r="D22" s="589">
        <v>0.0</v>
      </c>
      <c r="E22" s="589">
        <v>0.0</v>
      </c>
      <c r="F22" s="581">
        <f t="shared" si="4"/>
        <v>0</v>
      </c>
      <c r="G22" s="233">
        <f t="shared" si="5"/>
        <v>-1075</v>
      </c>
      <c r="H22" s="582">
        <f t="shared" si="6"/>
        <v>-100</v>
      </c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</row>
    <row r="23" ht="19.5" customHeight="1">
      <c r="A23" s="590" t="s">
        <v>976</v>
      </c>
      <c r="B23" s="283">
        <f>NSHP!D26</f>
        <v>550</v>
      </c>
      <c r="C23" s="579">
        <f>NSHP!F26</f>
        <v>1290</v>
      </c>
      <c r="D23" s="589">
        <v>0.0</v>
      </c>
      <c r="E23" s="589">
        <v>0.0</v>
      </c>
      <c r="F23" s="581">
        <f t="shared" si="4"/>
        <v>0</v>
      </c>
      <c r="G23" s="233">
        <f t="shared" si="5"/>
        <v>-1290</v>
      </c>
      <c r="H23" s="582">
        <f t="shared" si="6"/>
        <v>-100</v>
      </c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</row>
    <row r="24" ht="18.75" customHeight="1">
      <c r="A24" s="590" t="s">
        <v>977</v>
      </c>
      <c r="B24" s="283">
        <f>'COLD STORAGE'!D19</f>
        <v>122500</v>
      </c>
      <c r="C24" s="579">
        <f>'COLD STORAGE'!F19</f>
        <v>0</v>
      </c>
      <c r="D24" s="581">
        <f>'COLD STORAGE'!H19</f>
        <v>0</v>
      </c>
      <c r="E24" s="581">
        <f>'COLD STORAGE'!J19</f>
        <v>0</v>
      </c>
      <c r="F24" s="581">
        <f t="shared" si="4"/>
        <v>0</v>
      </c>
      <c r="G24" s="233">
        <f t="shared" si="5"/>
        <v>0</v>
      </c>
      <c r="H24" s="591">
        <v>0.0</v>
      </c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</row>
    <row r="25" ht="15.75" customHeight="1">
      <c r="A25" s="583" t="s">
        <v>978</v>
      </c>
      <c r="B25" s="584"/>
      <c r="C25" s="579"/>
      <c r="D25" s="581"/>
      <c r="E25" s="581"/>
      <c r="F25" s="581"/>
      <c r="G25" s="233"/>
      <c r="H25" s="582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</row>
    <row r="26" ht="17.25" customHeight="1">
      <c r="A26" s="590" t="s">
        <v>979</v>
      </c>
      <c r="B26" s="587">
        <v>0.0</v>
      </c>
      <c r="C26" s="579">
        <f>PRDP!E9</f>
        <v>334482</v>
      </c>
      <c r="D26" s="589">
        <v>0.0</v>
      </c>
      <c r="E26" s="589">
        <v>0.0</v>
      </c>
      <c r="F26" s="581">
        <f t="shared" ref="F26:F28" si="7">D26+E26</f>
        <v>0</v>
      </c>
      <c r="G26" s="233">
        <f t="shared" ref="G26:G28" si="8">F26-C26</f>
        <v>-334482</v>
      </c>
      <c r="H26" s="582">
        <f t="shared" ref="H26:H28" si="9">G26/C26*100</f>
        <v>-100</v>
      </c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</row>
    <row r="27" ht="18.0" customHeight="1">
      <c r="A27" s="590" t="s">
        <v>980</v>
      </c>
      <c r="B27" s="587">
        <v>0.0</v>
      </c>
      <c r="C27" s="579">
        <f>PRDP!E11</f>
        <v>238756</v>
      </c>
      <c r="D27" s="589">
        <v>0.0</v>
      </c>
      <c r="E27" s="589">
        <v>0.0</v>
      </c>
      <c r="F27" s="581">
        <f t="shared" si="7"/>
        <v>0</v>
      </c>
      <c r="G27" s="233">
        <f t="shared" si="8"/>
        <v>-238756</v>
      </c>
      <c r="H27" s="582">
        <f t="shared" si="9"/>
        <v>-100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</row>
    <row r="28" ht="26.25" customHeight="1">
      <c r="A28" s="592" t="s">
        <v>13</v>
      </c>
      <c r="B28" s="276">
        <f t="shared" ref="B28:E28" si="10">SUM(B10:B27)</f>
        <v>623513.7671</v>
      </c>
      <c r="C28" s="593">
        <f t="shared" si="10"/>
        <v>1211769.77</v>
      </c>
      <c r="D28" s="594">
        <f t="shared" si="10"/>
        <v>452240.676</v>
      </c>
      <c r="E28" s="594">
        <f t="shared" si="10"/>
        <v>840076.1</v>
      </c>
      <c r="F28" s="594">
        <f t="shared" si="7"/>
        <v>1292316.776</v>
      </c>
      <c r="G28" s="252">
        <f t="shared" si="8"/>
        <v>80547.006</v>
      </c>
      <c r="H28" s="595">
        <f t="shared" si="9"/>
        <v>6.647055241</v>
      </c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</row>
    <row r="29" ht="15.75" hidden="1" customHeight="1">
      <c r="A29" s="369"/>
      <c r="B29" s="501"/>
      <c r="C29" s="501"/>
      <c r="D29" s="516"/>
      <c r="E29" s="516"/>
      <c r="F29" s="516"/>
      <c r="G29" s="108"/>
      <c r="H29" s="596"/>
      <c r="I29" s="108"/>
      <c r="J29" s="501"/>
      <c r="K29" s="108"/>
      <c r="L29" s="501"/>
      <c r="M29" s="501"/>
      <c r="N29" s="108"/>
      <c r="O29" s="501"/>
      <c r="P29" s="501"/>
      <c r="Q29" s="501"/>
      <c r="R29" s="501"/>
      <c r="S29" s="501"/>
      <c r="T29" s="501"/>
      <c r="U29" s="501"/>
    </row>
    <row r="30" ht="15.75" hidden="1" customHeight="1">
      <c r="A30" s="369"/>
      <c r="B30" s="108"/>
      <c r="C30" s="501"/>
      <c r="D30" s="501"/>
      <c r="E30" s="501"/>
      <c r="F30" s="501"/>
      <c r="G30" s="501"/>
      <c r="H30" s="501"/>
      <c r="I30" s="108"/>
      <c r="J30" s="596"/>
      <c r="K30" s="108"/>
      <c r="L30" s="501"/>
      <c r="M30" s="596"/>
      <c r="N30" s="501"/>
      <c r="O30" s="108"/>
      <c r="P30" s="596"/>
      <c r="Q30" s="108"/>
      <c r="R30" s="501"/>
      <c r="S30" s="501"/>
      <c r="T30" s="501"/>
      <c r="U30" s="501"/>
    </row>
    <row r="31" ht="24.0" hidden="1" customHeight="1">
      <c r="A31" s="369" t="s">
        <v>70</v>
      </c>
      <c r="B31" s="597"/>
      <c r="C31" s="516"/>
      <c r="D31" s="501"/>
      <c r="E31" s="501"/>
      <c r="F31" s="501"/>
      <c r="G31" s="501"/>
      <c r="H31" s="501"/>
      <c r="I31" s="374"/>
      <c r="J31" s="596"/>
      <c r="K31" s="597"/>
      <c r="L31" s="501"/>
      <c r="M31" s="596"/>
      <c r="N31" s="501"/>
      <c r="O31" s="597"/>
      <c r="P31" s="596"/>
      <c r="Q31" s="597"/>
      <c r="R31" s="501"/>
      <c r="S31" s="501"/>
      <c r="T31" s="501"/>
      <c r="U31" s="501"/>
    </row>
    <row r="32" ht="15.75" hidden="1" customHeight="1">
      <c r="A32" s="597"/>
      <c r="B32" s="597"/>
      <c r="C32" s="598"/>
      <c r="D32" s="501"/>
      <c r="E32" s="501"/>
      <c r="F32" s="501"/>
      <c r="G32" s="501"/>
      <c r="H32" s="501"/>
      <c r="I32" s="374"/>
      <c r="J32" s="596"/>
      <c r="K32" s="597"/>
      <c r="L32" s="501"/>
      <c r="M32" s="596"/>
      <c r="N32" s="501"/>
      <c r="O32" s="597"/>
      <c r="P32" s="596"/>
      <c r="Q32" s="597"/>
      <c r="R32" s="501"/>
      <c r="S32" s="501"/>
      <c r="T32" s="501"/>
      <c r="U32" s="501"/>
    </row>
    <row r="33" ht="18.0" hidden="1" customHeight="1">
      <c r="A33" s="597"/>
      <c r="B33" s="597"/>
      <c r="C33" s="598"/>
      <c r="D33" s="599"/>
      <c r="E33" s="599"/>
      <c r="F33" s="599"/>
      <c r="G33" s="599"/>
      <c r="H33" s="600"/>
      <c r="I33" s="374"/>
      <c r="J33" s="601"/>
      <c r="K33" s="597"/>
      <c r="L33" s="501"/>
      <c r="M33" s="602"/>
      <c r="N33" s="600"/>
      <c r="O33" s="597"/>
      <c r="P33" s="601"/>
      <c r="Q33" s="597"/>
      <c r="R33" s="501"/>
      <c r="S33" s="501"/>
      <c r="T33" s="501"/>
      <c r="U33" s="501"/>
    </row>
    <row r="34" ht="19.5" hidden="1" customHeight="1">
      <c r="A34" s="369"/>
      <c r="B34" s="597"/>
      <c r="C34" s="598"/>
      <c r="D34" s="599"/>
      <c r="E34" s="599"/>
      <c r="F34" s="599"/>
      <c r="G34" s="599"/>
      <c r="H34" s="600"/>
      <c r="I34" s="374"/>
      <c r="J34" s="601"/>
      <c r="K34" s="597"/>
      <c r="L34" s="501"/>
      <c r="M34" s="603"/>
      <c r="N34" s="604"/>
      <c r="O34" s="597"/>
      <c r="P34" s="597"/>
      <c r="Q34" s="597"/>
      <c r="R34" s="501"/>
      <c r="S34" s="501"/>
      <c r="T34" s="501"/>
      <c r="U34" s="501"/>
    </row>
    <row r="35" ht="22.5" hidden="1" customHeight="1">
      <c r="A35" s="106" t="s">
        <v>74</v>
      </c>
      <c r="B35" s="597"/>
      <c r="C35" s="605"/>
      <c r="D35" s="599"/>
      <c r="E35" s="599"/>
      <c r="F35" s="599"/>
      <c r="G35" s="599"/>
      <c r="H35" s="604"/>
      <c r="I35" s="374"/>
      <c r="J35" s="597"/>
      <c r="K35" s="597"/>
      <c r="L35" s="501"/>
      <c r="M35" s="596"/>
      <c r="N35" s="501"/>
      <c r="O35" s="106"/>
      <c r="P35" s="597"/>
      <c r="Q35" s="106"/>
      <c r="R35" s="501"/>
      <c r="S35" s="501"/>
      <c r="T35" s="501"/>
      <c r="U35" s="501"/>
    </row>
    <row r="36" ht="15.75" hidden="1" customHeight="1">
      <c r="A36" s="369" t="s">
        <v>78</v>
      </c>
      <c r="B36" s="597"/>
      <c r="C36" s="516"/>
      <c r="D36" s="599"/>
      <c r="E36" s="599"/>
      <c r="F36" s="599"/>
      <c r="G36" s="599"/>
      <c r="H36" s="600"/>
      <c r="I36" s="374"/>
      <c r="J36" s="597"/>
      <c r="K36" s="597"/>
      <c r="L36" s="501"/>
      <c r="M36" s="602"/>
      <c r="N36" s="600"/>
      <c r="O36" s="108"/>
      <c r="P36" s="601"/>
      <c r="Q36" s="108"/>
      <c r="R36" s="501"/>
      <c r="S36" s="501"/>
      <c r="T36" s="501"/>
      <c r="U36" s="501"/>
    </row>
    <row r="37" ht="15.75" hidden="1" customHeight="1">
      <c r="A37" s="376" t="s">
        <v>82</v>
      </c>
      <c r="B37" s="501"/>
      <c r="C37" s="501"/>
      <c r="D37" s="606"/>
      <c r="E37" s="606"/>
      <c r="F37" s="606"/>
      <c r="G37" s="606"/>
      <c r="H37" s="600"/>
      <c r="I37" s="501"/>
      <c r="J37" s="601"/>
      <c r="K37" s="597"/>
      <c r="L37" s="501"/>
      <c r="M37" s="501"/>
      <c r="N37" s="501"/>
      <c r="O37" s="501"/>
      <c r="P37" s="501"/>
      <c r="Q37" s="501"/>
      <c r="R37" s="501"/>
      <c r="S37" s="501"/>
      <c r="T37" s="501"/>
      <c r="U37" s="501"/>
    </row>
    <row r="38" ht="19.5" customHeight="1">
      <c r="A38" s="102" t="s">
        <v>981</v>
      </c>
      <c r="B38" s="607"/>
      <c r="C38" s="607"/>
      <c r="D38" s="432"/>
      <c r="E38" s="432"/>
      <c r="F38" s="608">
        <v>527086.78</v>
      </c>
      <c r="G38" s="432"/>
      <c r="H38" s="213"/>
      <c r="I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8.0" customHeight="1">
      <c r="A39" s="102" t="s">
        <v>982</v>
      </c>
      <c r="B39" s="607"/>
      <c r="C39" s="12"/>
      <c r="D39" s="432"/>
      <c r="E39" s="432"/>
      <c r="F39" s="608"/>
      <c r="G39" s="432"/>
      <c r="H39" s="213"/>
      <c r="I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23.25" customHeight="1">
      <c r="A40" s="12" t="s">
        <v>983</v>
      </c>
      <c r="B40" s="501"/>
      <c r="C40" s="501"/>
      <c r="D40" s="501"/>
      <c r="E40" s="501"/>
      <c r="F40" s="501"/>
      <c r="G40" s="501"/>
      <c r="H40" s="501"/>
      <c r="I40" s="501"/>
      <c r="L40" s="501"/>
      <c r="M40" s="109"/>
      <c r="N40" s="109"/>
      <c r="O40" s="109"/>
      <c r="P40" s="109"/>
      <c r="Q40" s="109"/>
      <c r="R40" s="109"/>
      <c r="S40" s="109"/>
      <c r="T40" s="109"/>
      <c r="U40" s="109"/>
    </row>
    <row r="41" ht="14.25" customHeight="1">
      <c r="A41" s="501"/>
      <c r="B41" s="501"/>
      <c r="C41" s="501"/>
      <c r="D41" s="501"/>
      <c r="E41" s="501"/>
      <c r="F41" s="501"/>
      <c r="G41" s="501"/>
      <c r="H41" s="501"/>
      <c r="I41" s="501"/>
      <c r="L41" s="501"/>
      <c r="M41" s="109"/>
      <c r="N41" s="109"/>
      <c r="O41" s="109"/>
      <c r="P41" s="109"/>
      <c r="Q41" s="109"/>
      <c r="R41" s="109"/>
      <c r="S41" s="109"/>
      <c r="T41" s="109"/>
      <c r="U41" s="109"/>
    </row>
    <row r="42" ht="23.25" customHeight="1">
      <c r="A42" s="102" t="s">
        <v>70</v>
      </c>
      <c r="B42" s="12"/>
      <c r="C42" s="377"/>
      <c r="D42" s="378" t="s">
        <v>83</v>
      </c>
      <c r="F42" s="377"/>
      <c r="G42" s="108" t="s">
        <v>73</v>
      </c>
      <c r="H42" s="374"/>
      <c r="I42" s="374"/>
      <c r="J42" s="12"/>
      <c r="K42" s="374"/>
      <c r="P42" s="304"/>
      <c r="Q42" s="12"/>
      <c r="R42" s="12"/>
      <c r="S42" s="12"/>
      <c r="T42" s="12"/>
      <c r="U42" s="12"/>
    </row>
    <row r="43" ht="16.5" customHeight="1">
      <c r="A43" s="104"/>
      <c r="B43" s="12"/>
      <c r="C43" s="377"/>
      <c r="D43" s="371"/>
      <c r="F43" s="377"/>
      <c r="G43" s="373"/>
      <c r="H43" s="374"/>
      <c r="I43" s="374"/>
      <c r="J43" s="12"/>
      <c r="K43" s="374"/>
      <c r="P43" s="304"/>
      <c r="Q43" s="12"/>
      <c r="R43" s="12"/>
      <c r="S43" s="12"/>
      <c r="T43" s="12"/>
      <c r="U43" s="12"/>
    </row>
    <row r="44" ht="16.5" customHeight="1">
      <c r="A44" s="104"/>
      <c r="B44" s="12"/>
      <c r="C44" s="377"/>
      <c r="D44" s="371"/>
      <c r="F44" s="377"/>
      <c r="G44" s="373"/>
      <c r="H44" s="374"/>
      <c r="I44" s="374"/>
      <c r="J44" s="12"/>
      <c r="K44" s="374"/>
      <c r="P44" s="304"/>
      <c r="Q44" s="12"/>
      <c r="R44" s="12"/>
      <c r="S44" s="12"/>
      <c r="T44" s="12"/>
      <c r="U44" s="12"/>
    </row>
    <row r="45" ht="16.5" customHeight="1">
      <c r="A45" s="377"/>
      <c r="B45" s="12"/>
      <c r="C45" s="377"/>
      <c r="D45" s="371"/>
      <c r="F45" s="12"/>
      <c r="G45" s="373"/>
      <c r="H45" s="12"/>
      <c r="I45" s="374"/>
      <c r="J45" s="12"/>
      <c r="K45" s="12"/>
      <c r="P45" s="304"/>
      <c r="Q45" s="12"/>
      <c r="R45" s="12"/>
      <c r="S45" s="12"/>
      <c r="T45" s="12"/>
      <c r="U45" s="12"/>
    </row>
    <row r="46" ht="16.5" customHeight="1">
      <c r="A46" s="104"/>
      <c r="B46" s="12"/>
      <c r="C46" s="377"/>
      <c r="D46" s="371"/>
      <c r="F46" s="12"/>
      <c r="G46" s="373"/>
      <c r="H46" s="12"/>
      <c r="I46" s="374"/>
      <c r="J46" s="12"/>
      <c r="K46" s="12"/>
      <c r="P46" s="304"/>
      <c r="Q46" s="12"/>
      <c r="R46" s="12"/>
      <c r="S46" s="12"/>
      <c r="T46" s="12"/>
      <c r="U46" s="12"/>
    </row>
    <row r="47" ht="20.25" customHeight="1">
      <c r="A47" s="106" t="s">
        <v>75</v>
      </c>
      <c r="B47" s="12"/>
      <c r="C47" s="377"/>
      <c r="D47" s="380" t="s">
        <v>76</v>
      </c>
      <c r="F47" s="12"/>
      <c r="G47" s="106" t="s">
        <v>77</v>
      </c>
      <c r="H47" s="12"/>
      <c r="I47" s="374"/>
      <c r="J47" s="12"/>
      <c r="K47" s="12"/>
      <c r="P47" s="304"/>
      <c r="Q47" s="12"/>
      <c r="R47" s="12"/>
      <c r="S47" s="12"/>
      <c r="T47" s="12"/>
      <c r="U47" s="12"/>
    </row>
    <row r="48" ht="16.5" customHeight="1">
      <c r="A48" s="108" t="s">
        <v>79</v>
      </c>
      <c r="B48" s="12"/>
      <c r="C48" s="377"/>
      <c r="D48" s="378" t="s">
        <v>80</v>
      </c>
      <c r="F48" s="12"/>
      <c r="G48" s="108" t="s">
        <v>81</v>
      </c>
      <c r="H48" s="12"/>
      <c r="I48" s="374"/>
      <c r="J48" s="12"/>
      <c r="K48" s="12"/>
      <c r="P48" s="304"/>
      <c r="Q48" s="12"/>
      <c r="R48" s="12"/>
      <c r="S48" s="12"/>
      <c r="T48" s="12"/>
      <c r="U48" s="12"/>
    </row>
    <row r="49" ht="14.25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</row>
    <row r="50" ht="14.25" customHeight="1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</row>
    <row r="51" ht="14.25" customHeight="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</row>
    <row r="52" ht="14.25" customHeight="1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</row>
    <row r="53" ht="14.25" customHeight="1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</row>
    <row r="54" ht="14.2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</row>
    <row r="55" ht="14.2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</row>
    <row r="56" ht="14.2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</row>
    <row r="57" ht="14.2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</row>
    <row r="58" ht="14.2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</row>
    <row r="59" ht="14.25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</row>
    <row r="60" ht="14.2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</row>
    <row r="61" ht="14.2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</row>
    <row r="62" ht="14.2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</row>
    <row r="63" ht="14.2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</row>
    <row r="64" ht="14.2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</row>
    <row r="65" ht="14.2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</row>
    <row r="66" ht="14.2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</row>
    <row r="67" ht="14.2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</row>
    <row r="68" ht="14.2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</row>
    <row r="69" ht="14.2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</row>
    <row r="70" ht="14.2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</row>
    <row r="71" ht="14.2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</row>
    <row r="72" ht="14.2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</row>
    <row r="73" ht="14.2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</row>
    <row r="74" ht="14.2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</row>
    <row r="75" ht="14.2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</row>
    <row r="76" ht="14.2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</row>
    <row r="77" ht="14.2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</row>
    <row r="78" ht="14.2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</row>
    <row r="79" ht="14.2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</row>
    <row r="80" ht="14.2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</row>
    <row r="81" ht="14.2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</row>
    <row r="82" ht="14.2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</row>
    <row r="83" ht="14.2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</row>
    <row r="84" ht="14.2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</row>
    <row r="85" ht="14.2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</row>
    <row r="86" ht="14.2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</row>
    <row r="87" ht="14.2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</row>
    <row r="88" ht="14.2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</row>
    <row r="89" ht="14.2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</row>
    <row r="90" ht="14.2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</row>
    <row r="91" ht="14.2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</row>
    <row r="92" ht="14.2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</row>
    <row r="93" ht="14.2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</row>
    <row r="94" ht="14.2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</row>
    <row r="95" ht="14.2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</row>
    <row r="96" ht="14.2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</row>
    <row r="97" ht="14.2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</row>
    <row r="98" ht="14.2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</row>
    <row r="99" ht="14.2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</row>
    <row r="100" ht="14.2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</row>
    <row r="101" ht="14.2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</row>
    <row r="102" ht="14.2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</row>
    <row r="103" ht="14.2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</row>
    <row r="104" ht="14.2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</row>
    <row r="105" ht="14.2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</row>
    <row r="106" ht="14.2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</row>
    <row r="107" ht="14.2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</row>
    <row r="108" ht="14.2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</row>
    <row r="109" ht="14.2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</row>
    <row r="110" ht="14.2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</row>
    <row r="111" ht="14.2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</row>
    <row r="112" ht="14.2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</row>
    <row r="113" ht="14.2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</row>
    <row r="114" ht="14.2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</row>
    <row r="115" ht="14.2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</row>
    <row r="116" ht="14.2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</row>
    <row r="117" ht="14.2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</row>
    <row r="118" ht="14.2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</row>
    <row r="119" ht="14.2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</row>
    <row r="120" ht="14.2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</row>
    <row r="121" ht="14.2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</row>
    <row r="122" ht="14.2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</row>
    <row r="123" ht="14.2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</row>
    <row r="124" ht="14.2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</row>
    <row r="125" ht="14.2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</row>
    <row r="126" ht="14.2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</row>
    <row r="127" ht="14.2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</row>
    <row r="128" ht="14.2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</row>
    <row r="129" ht="14.2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</row>
    <row r="130" ht="14.2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</row>
    <row r="131" ht="14.2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</row>
    <row r="132" ht="14.2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</row>
    <row r="133" ht="14.2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</row>
    <row r="134" ht="14.2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</row>
    <row r="135" ht="14.2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</row>
    <row r="136" ht="14.2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</row>
    <row r="137" ht="14.2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</row>
    <row r="138" ht="14.2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</row>
    <row r="139" ht="14.2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</row>
    <row r="140" ht="14.2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</row>
    <row r="141" ht="14.2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</row>
    <row r="142" ht="14.2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</row>
    <row r="143" ht="14.2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</row>
    <row r="144" ht="14.2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</row>
    <row r="145" ht="14.2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</row>
    <row r="146" ht="14.2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</row>
    <row r="147" ht="14.2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</row>
    <row r="148" ht="14.2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</row>
    <row r="149" ht="14.2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</row>
    <row r="150" ht="14.2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</row>
    <row r="151" ht="14.2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</row>
    <row r="152" ht="14.2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</row>
    <row r="153" ht="14.2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</row>
    <row r="154" ht="14.2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</row>
    <row r="155" ht="14.2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</row>
    <row r="156" ht="14.2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</row>
    <row r="157" ht="14.2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</row>
    <row r="158" ht="14.2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</row>
    <row r="159" ht="14.2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</row>
    <row r="160" ht="14.2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</row>
    <row r="161" ht="14.2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</row>
    <row r="162" ht="14.2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</row>
    <row r="163" ht="14.2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</row>
    <row r="164" ht="14.2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</row>
    <row r="165" ht="14.2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</row>
    <row r="166" ht="14.2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</row>
    <row r="167" ht="14.2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</row>
    <row r="168" ht="14.2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</row>
    <row r="169" ht="14.2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</row>
    <row r="170" ht="14.2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</row>
    <row r="171" ht="14.2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</row>
    <row r="172" ht="14.2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</row>
    <row r="173" ht="14.2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</row>
    <row r="174" ht="14.2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</row>
    <row r="175" ht="14.2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</row>
    <row r="176" ht="14.2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</row>
    <row r="177" ht="14.2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</row>
    <row r="178" ht="14.2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</row>
    <row r="179" ht="14.2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</row>
    <row r="180" ht="14.2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</row>
    <row r="181" ht="14.2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</row>
    <row r="182" ht="14.2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</row>
    <row r="183" ht="14.2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</row>
    <row r="184" ht="14.2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</row>
    <row r="185" ht="14.2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</row>
    <row r="186" ht="14.2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</row>
    <row r="187" ht="14.2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</row>
    <row r="188" ht="14.2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</row>
    <row r="189" ht="14.2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</row>
    <row r="190" ht="14.2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</row>
    <row r="191" ht="14.2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</row>
    <row r="192" ht="14.2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</row>
    <row r="193" ht="14.2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</row>
    <row r="194" ht="14.2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</row>
    <row r="195" ht="14.2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</row>
    <row r="196" ht="14.2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</row>
    <row r="197" ht="14.2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</row>
    <row r="198" ht="14.2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</row>
    <row r="199" ht="14.2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</row>
    <row r="200" ht="14.2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</row>
    <row r="201" ht="14.2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</row>
    <row r="202" ht="14.2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</row>
    <row r="203" ht="14.2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</row>
    <row r="204" ht="14.2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</row>
    <row r="205" ht="14.2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</row>
    <row r="206" ht="14.2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</row>
    <row r="207" ht="14.2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</row>
    <row r="208" ht="14.2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</row>
    <row r="209" ht="14.2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</row>
    <row r="210" ht="14.2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</row>
    <row r="211" ht="14.2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</row>
    <row r="212" ht="14.2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</row>
    <row r="213" ht="14.2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</row>
    <row r="214" ht="14.2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</row>
    <row r="215" ht="14.2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</row>
    <row r="216" ht="14.2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</row>
    <row r="217" ht="14.2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</row>
    <row r="218" ht="14.2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</row>
    <row r="219" ht="14.2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</row>
    <row r="220" ht="14.2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</row>
    <row r="221" ht="14.2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</row>
    <row r="222" ht="14.2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</row>
    <row r="223" ht="14.2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</row>
    <row r="224" ht="14.2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</row>
    <row r="225" ht="14.2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</row>
    <row r="226" ht="14.2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</row>
    <row r="227" ht="14.2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</row>
    <row r="228" ht="14.2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</row>
    <row r="229" ht="14.2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</row>
    <row r="230" ht="14.2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</row>
    <row r="231" ht="14.2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</row>
    <row r="232" ht="14.2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</row>
    <row r="233" ht="15.75" customHeight="1">
      <c r="A233" s="501"/>
      <c r="B233" s="501"/>
      <c r="C233" s="501"/>
      <c r="D233" s="501"/>
      <c r="E233" s="501"/>
      <c r="F233" s="501"/>
      <c r="G233" s="501"/>
      <c r="H233" s="501"/>
      <c r="I233" s="501"/>
      <c r="J233" s="501"/>
      <c r="K233" s="501"/>
      <c r="L233" s="501"/>
      <c r="M233" s="501"/>
      <c r="N233" s="501"/>
      <c r="O233" s="501"/>
      <c r="P233" s="501"/>
      <c r="Q233" s="501"/>
      <c r="R233" s="501"/>
      <c r="S233" s="501"/>
      <c r="T233" s="501"/>
      <c r="U233" s="501"/>
    </row>
    <row r="234" ht="15.75" customHeight="1">
      <c r="A234" s="501"/>
      <c r="B234" s="501"/>
      <c r="C234" s="501"/>
      <c r="D234" s="501"/>
      <c r="E234" s="501"/>
      <c r="F234" s="501"/>
      <c r="G234" s="501"/>
      <c r="H234" s="501"/>
      <c r="I234" s="501"/>
      <c r="J234" s="501"/>
      <c r="K234" s="501"/>
      <c r="L234" s="501"/>
      <c r="M234" s="501"/>
      <c r="N234" s="501"/>
      <c r="O234" s="501"/>
      <c r="P234" s="501"/>
      <c r="Q234" s="501"/>
      <c r="R234" s="501"/>
      <c r="S234" s="501"/>
      <c r="T234" s="501"/>
      <c r="U234" s="501"/>
    </row>
    <row r="235" ht="15.75" customHeight="1">
      <c r="A235" s="501"/>
      <c r="B235" s="501"/>
      <c r="C235" s="501"/>
      <c r="D235" s="501"/>
      <c r="E235" s="501"/>
      <c r="F235" s="501"/>
      <c r="G235" s="501"/>
      <c r="H235" s="501"/>
      <c r="I235" s="501"/>
      <c r="J235" s="501"/>
      <c r="K235" s="501"/>
      <c r="L235" s="501"/>
      <c r="M235" s="501"/>
      <c r="N235" s="501"/>
      <c r="O235" s="501"/>
      <c r="P235" s="501"/>
      <c r="Q235" s="501"/>
      <c r="R235" s="501"/>
      <c r="S235" s="501"/>
      <c r="T235" s="501"/>
      <c r="U235" s="501"/>
    </row>
    <row r="236" ht="15.75" customHeight="1">
      <c r="A236" s="501"/>
      <c r="B236" s="501"/>
      <c r="C236" s="501"/>
      <c r="D236" s="501"/>
      <c r="E236" s="501"/>
      <c r="F236" s="501"/>
      <c r="G236" s="501"/>
      <c r="H236" s="501"/>
      <c r="I236" s="501"/>
      <c r="J236" s="501"/>
      <c r="K236" s="501"/>
      <c r="L236" s="501"/>
      <c r="M236" s="501"/>
      <c r="N236" s="501"/>
      <c r="O236" s="501"/>
      <c r="P236" s="501"/>
      <c r="Q236" s="501"/>
      <c r="R236" s="501"/>
      <c r="S236" s="501"/>
      <c r="T236" s="501"/>
      <c r="U236" s="501"/>
    </row>
    <row r="237" ht="15.75" customHeight="1">
      <c r="A237" s="501"/>
      <c r="B237" s="501"/>
      <c r="C237" s="501"/>
      <c r="D237" s="501"/>
      <c r="E237" s="501"/>
      <c r="F237" s="501"/>
      <c r="G237" s="501"/>
      <c r="H237" s="501"/>
      <c r="I237" s="501"/>
      <c r="J237" s="501"/>
      <c r="K237" s="501"/>
      <c r="L237" s="501"/>
      <c r="M237" s="501"/>
      <c r="N237" s="501"/>
      <c r="O237" s="501"/>
      <c r="P237" s="501"/>
      <c r="Q237" s="501"/>
      <c r="R237" s="501"/>
      <c r="S237" s="501"/>
      <c r="T237" s="501"/>
      <c r="U237" s="501"/>
    </row>
    <row r="238" ht="15.75" customHeight="1">
      <c r="A238" s="501"/>
      <c r="B238" s="501"/>
      <c r="C238" s="501"/>
      <c r="D238" s="501"/>
      <c r="E238" s="501"/>
      <c r="F238" s="501"/>
      <c r="G238" s="501"/>
      <c r="H238" s="501"/>
      <c r="I238" s="501"/>
      <c r="J238" s="501"/>
      <c r="K238" s="501"/>
      <c r="L238" s="501"/>
      <c r="M238" s="501"/>
      <c r="N238" s="501"/>
      <c r="O238" s="501"/>
      <c r="P238" s="501"/>
      <c r="Q238" s="501"/>
      <c r="R238" s="501"/>
      <c r="S238" s="501"/>
      <c r="T238" s="501"/>
      <c r="U238" s="501"/>
    </row>
    <row r="239" ht="15.75" customHeight="1">
      <c r="A239" s="501"/>
      <c r="B239" s="501"/>
      <c r="C239" s="501"/>
      <c r="D239" s="501"/>
      <c r="E239" s="501"/>
      <c r="F239" s="501"/>
      <c r="G239" s="501"/>
      <c r="H239" s="501"/>
      <c r="I239" s="501"/>
      <c r="J239" s="501"/>
      <c r="K239" s="501"/>
      <c r="L239" s="501"/>
      <c r="M239" s="501"/>
      <c r="N239" s="501"/>
      <c r="O239" s="501"/>
      <c r="P239" s="501"/>
      <c r="Q239" s="501"/>
      <c r="R239" s="501"/>
      <c r="S239" s="501"/>
      <c r="T239" s="501"/>
      <c r="U239" s="501"/>
    </row>
    <row r="240" ht="15.75" customHeight="1">
      <c r="A240" s="501"/>
      <c r="B240" s="501"/>
      <c r="C240" s="501"/>
      <c r="D240" s="501"/>
      <c r="E240" s="501"/>
      <c r="F240" s="501"/>
      <c r="G240" s="501"/>
      <c r="H240" s="501"/>
      <c r="I240" s="501"/>
      <c r="J240" s="501"/>
      <c r="K240" s="501"/>
      <c r="L240" s="501"/>
      <c r="M240" s="501"/>
      <c r="N240" s="501"/>
      <c r="O240" s="501"/>
      <c r="P240" s="501"/>
      <c r="Q240" s="501"/>
      <c r="R240" s="501"/>
      <c r="S240" s="501"/>
      <c r="T240" s="501"/>
      <c r="U240" s="501"/>
    </row>
    <row r="241" ht="15.75" customHeight="1">
      <c r="A241" s="501"/>
      <c r="B241" s="501"/>
      <c r="C241" s="501"/>
      <c r="D241" s="501"/>
      <c r="E241" s="501"/>
      <c r="F241" s="501"/>
      <c r="G241" s="501"/>
      <c r="H241" s="501"/>
      <c r="I241" s="501"/>
      <c r="J241" s="501"/>
      <c r="K241" s="501"/>
      <c r="L241" s="501"/>
      <c r="M241" s="501"/>
      <c r="N241" s="501"/>
      <c r="O241" s="501"/>
      <c r="P241" s="501"/>
      <c r="Q241" s="501"/>
      <c r="R241" s="501"/>
      <c r="S241" s="501"/>
      <c r="T241" s="501"/>
      <c r="U241" s="501"/>
    </row>
    <row r="242" ht="15.75" customHeight="1">
      <c r="A242" s="501"/>
      <c r="B242" s="501"/>
      <c r="C242" s="501"/>
      <c r="D242" s="501"/>
      <c r="E242" s="501"/>
      <c r="F242" s="501"/>
      <c r="G242" s="501"/>
      <c r="H242" s="501"/>
      <c r="I242" s="501"/>
      <c r="J242" s="501"/>
      <c r="K242" s="501"/>
      <c r="L242" s="501"/>
      <c r="M242" s="501"/>
      <c r="N242" s="501"/>
      <c r="O242" s="501"/>
      <c r="P242" s="501"/>
      <c r="Q242" s="501"/>
      <c r="R242" s="501"/>
      <c r="S242" s="501"/>
      <c r="T242" s="501"/>
      <c r="U242" s="501"/>
    </row>
    <row r="243" ht="15.75" customHeight="1">
      <c r="A243" s="501"/>
      <c r="B243" s="501"/>
      <c r="C243" s="501"/>
      <c r="D243" s="501"/>
      <c r="E243" s="501"/>
      <c r="F243" s="501"/>
      <c r="G243" s="501"/>
      <c r="H243" s="501"/>
      <c r="I243" s="501"/>
      <c r="J243" s="501"/>
      <c r="K243" s="501"/>
      <c r="L243" s="501"/>
      <c r="M243" s="501"/>
      <c r="N243" s="501"/>
      <c r="O243" s="501"/>
      <c r="P243" s="501"/>
      <c r="Q243" s="501"/>
      <c r="R243" s="501"/>
      <c r="S243" s="501"/>
      <c r="T243" s="501"/>
      <c r="U243" s="501"/>
    </row>
    <row r="244" ht="15.75" customHeight="1">
      <c r="A244" s="501"/>
      <c r="B244" s="501"/>
      <c r="C244" s="501"/>
      <c r="D244" s="501"/>
      <c r="E244" s="501"/>
      <c r="F244" s="501"/>
      <c r="G244" s="501"/>
      <c r="H244" s="501"/>
      <c r="I244" s="501"/>
      <c r="J244" s="501"/>
      <c r="K244" s="501"/>
      <c r="L244" s="501"/>
      <c r="M244" s="501"/>
      <c r="N244" s="501"/>
      <c r="O244" s="501"/>
      <c r="P244" s="501"/>
      <c r="Q244" s="501"/>
      <c r="R244" s="501"/>
      <c r="S244" s="501"/>
      <c r="T244" s="501"/>
      <c r="U244" s="501"/>
    </row>
    <row r="245" ht="15.75" customHeight="1">
      <c r="A245" s="501"/>
      <c r="B245" s="501"/>
      <c r="C245" s="501"/>
      <c r="D245" s="501"/>
      <c r="E245" s="501"/>
      <c r="F245" s="501"/>
      <c r="G245" s="501"/>
      <c r="H245" s="501"/>
      <c r="I245" s="501"/>
      <c r="J245" s="501"/>
      <c r="K245" s="501"/>
      <c r="L245" s="501"/>
      <c r="M245" s="501"/>
      <c r="N245" s="501"/>
      <c r="O245" s="501"/>
      <c r="P245" s="501"/>
      <c r="Q245" s="501"/>
      <c r="R245" s="501"/>
      <c r="S245" s="501"/>
      <c r="T245" s="501"/>
      <c r="U245" s="501"/>
    </row>
    <row r="246" ht="15.75" customHeight="1">
      <c r="A246" s="501"/>
      <c r="B246" s="501"/>
      <c r="C246" s="501"/>
      <c r="D246" s="501"/>
      <c r="E246" s="501"/>
      <c r="F246" s="501"/>
      <c r="G246" s="501"/>
      <c r="H246" s="501"/>
      <c r="I246" s="501"/>
      <c r="J246" s="501"/>
      <c r="K246" s="501"/>
      <c r="L246" s="501"/>
      <c r="M246" s="501"/>
      <c r="N246" s="501"/>
      <c r="O246" s="501"/>
      <c r="P246" s="501"/>
      <c r="Q246" s="501"/>
      <c r="R246" s="501"/>
      <c r="S246" s="501"/>
      <c r="T246" s="501"/>
      <c r="U246" s="501"/>
    </row>
    <row r="247" ht="15.75" customHeight="1">
      <c r="A247" s="501"/>
      <c r="B247" s="501"/>
      <c r="C247" s="501"/>
      <c r="D247" s="501"/>
      <c r="E247" s="501"/>
      <c r="F247" s="501"/>
      <c r="G247" s="501"/>
      <c r="H247" s="501"/>
      <c r="I247" s="501"/>
      <c r="J247" s="501"/>
      <c r="K247" s="501"/>
      <c r="L247" s="501"/>
      <c r="M247" s="501"/>
      <c r="N247" s="501"/>
      <c r="O247" s="501"/>
      <c r="P247" s="501"/>
      <c r="Q247" s="501"/>
      <c r="R247" s="501"/>
      <c r="S247" s="501"/>
      <c r="T247" s="501"/>
      <c r="U247" s="501"/>
    </row>
    <row r="248" ht="15.75" customHeight="1">
      <c r="A248" s="501"/>
      <c r="B248" s="501"/>
      <c r="C248" s="501"/>
      <c r="D248" s="501"/>
      <c r="E248" s="501"/>
      <c r="F248" s="501"/>
      <c r="G248" s="501"/>
      <c r="H248" s="501"/>
      <c r="I248" s="501"/>
      <c r="J248" s="501"/>
      <c r="K248" s="501"/>
      <c r="L248" s="501"/>
      <c r="M248" s="501"/>
      <c r="N248" s="501"/>
      <c r="O248" s="501"/>
      <c r="P248" s="501"/>
      <c r="Q248" s="501"/>
      <c r="R248" s="501"/>
      <c r="S248" s="501"/>
      <c r="T248" s="501"/>
      <c r="U248" s="50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8:F8"/>
    <mergeCell ref="G8:G9"/>
    <mergeCell ref="A2:H2"/>
    <mergeCell ref="A3:H3"/>
    <mergeCell ref="A4:H4"/>
    <mergeCell ref="A5:H5"/>
    <mergeCell ref="A8:A9"/>
    <mergeCell ref="B8:B9"/>
    <mergeCell ref="C8:C9"/>
    <mergeCell ref="H8:H9"/>
  </mergeCells>
  <printOptions/>
  <pageMargins bottom="0.75" footer="0.0" header="0.0" left="0.25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