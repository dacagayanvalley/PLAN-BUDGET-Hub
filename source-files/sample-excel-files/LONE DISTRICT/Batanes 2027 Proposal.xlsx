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ICE" sheetId="1" r:id="rId4"/>
    <sheet state="hidden" name="CORN" sheetId="2" r:id="rId5"/>
    <sheet state="visible" name="HVCDP" sheetId="3" r:id="rId6"/>
    <sheet state="visible" name="NUPAP" sheetId="4" r:id="rId7"/>
    <sheet state="visible" name="LIVESTOCK" sheetId="5" r:id="rId8"/>
    <sheet state="visible" name="OAP" sheetId="6" r:id="rId9"/>
    <sheet state="visible" name="FMR" sheetId="7" r:id="rId10"/>
    <sheet state="visible" name="SAAD" sheetId="8" r:id="rId11"/>
    <sheet state="visible" name="MCRA" sheetId="9" r:id="rId12"/>
    <sheet state="visible" name="4Ks" sheetId="10" r:id="rId13"/>
    <sheet state="visible" name="NHSP" sheetId="11" r:id="rId14"/>
    <sheet state="visible" name="GRAND TOTAL" sheetId="12" r:id="rId15"/>
  </sheets>
  <definedNames/>
  <calcPr/>
  <extLst>
    <ext uri="GoogleSheetsCustomDataVersion2">
      <go:sheetsCustomData xmlns:go="http://customooxmlschemas.google.com/" r:id="rId16" roundtripDataChecksum="COZFrJPUC7Ek+sK69bZloMuq23kSvIdvYSFd8jpKKp8="/>
    </ext>
  </extLst>
</workbook>
</file>

<file path=xl/sharedStrings.xml><?xml version="1.0" encoding="utf-8"?>
<sst xmlns="http://schemas.openxmlformats.org/spreadsheetml/2006/main" count="1685" uniqueCount="758">
  <si>
    <t>DEPARTMENT OF AGRICULTURE-REGIONAL FIELD OFFICE NO. 02</t>
  </si>
  <si>
    <t>CY 2023-2024 PROGRAM ACCOMPLISHMENTS/STATUS AND FY 2025 PLAN AND BUDGET BASED ON NEP (₱ '000)</t>
  </si>
  <si>
    <t>CORN PROGRAM</t>
  </si>
  <si>
    <t>PROVINCE: BATANES</t>
  </si>
  <si>
    <t>DISTRICT: LONE</t>
  </si>
  <si>
    <t>PROGRAM/SUBPROGRAM/
 INDICATORS</t>
  </si>
  <si>
    <t>UNIT OF MEASURE</t>
  </si>
  <si>
    <t>CY 2023 GAA</t>
  </si>
  <si>
    <t>FY 2024 GAA</t>
  </si>
  <si>
    <t>FY 2025 PROPOSAL</t>
  </si>
  <si>
    <t>ACCOMPLISHMENT</t>
  </si>
  <si>
    <t>ANNUAL PHYSICAL TARGET</t>
  </si>
  <si>
    <t>ANNUAL BUDGET</t>
  </si>
  <si>
    <t>TIER 1</t>
  </si>
  <si>
    <t>TIER 2</t>
  </si>
  <si>
    <t>TOTAL</t>
  </si>
  <si>
    <t>PHYSICAL</t>
  </si>
  <si>
    <t>ACTUAL OBLIGATION</t>
  </si>
  <si>
    <t>PHYSICAL TARGET</t>
  </si>
  <si>
    <t>BUDGET</t>
  </si>
  <si>
    <t>PRODUCTION SUPPORT SERVICES</t>
  </si>
  <si>
    <t>Registered Seed (RS) Production</t>
  </si>
  <si>
    <t>Flint</t>
  </si>
  <si>
    <t>Glutinous</t>
  </si>
  <si>
    <t>Recommended Corn Production Technologies (RCPT)</t>
  </si>
  <si>
    <t>Hybrid</t>
  </si>
  <si>
    <t>kilograms</t>
  </si>
  <si>
    <t>Inorganic Fertilizer</t>
  </si>
  <si>
    <t>Bio-N</t>
  </si>
  <si>
    <t>packs</t>
  </si>
  <si>
    <t>Agricultural Lime</t>
  </si>
  <si>
    <t>Corn Production Enhancement Project (CPEP)</t>
  </si>
  <si>
    <t>Support to Cassava</t>
  </si>
  <si>
    <t>Production of cassava seed pieces</t>
  </si>
  <si>
    <t>pieces</t>
  </si>
  <si>
    <t>Procurement of cassava seed pieces</t>
  </si>
  <si>
    <t>Procurement of Inorganic Fertilizer</t>
  </si>
  <si>
    <t>Support to Sorghum</t>
  </si>
  <si>
    <t>Sorghum Seeds</t>
  </si>
  <si>
    <t>Support to Soybean</t>
  </si>
  <si>
    <t>Soybean Seeds</t>
  </si>
  <si>
    <t>AGRICULTURAL MACHINERY, EQUIPMENT AND FACILITIES SUPPORT SERVICES</t>
  </si>
  <si>
    <t>Four-wheel drive tractor for Corn (90-95HP)</t>
  </si>
  <si>
    <t>number</t>
  </si>
  <si>
    <t>Four-wheel drive tractor for Cassava (90-95HP)</t>
  </si>
  <si>
    <t>Forage Chopper</t>
  </si>
  <si>
    <t>Double-row Corn Planter</t>
  </si>
  <si>
    <t>Mechanical Four-row Planter</t>
  </si>
  <si>
    <t>Pneumatic Four-row Planter</t>
  </si>
  <si>
    <t>Hand Tractor with Corn Planter</t>
  </si>
  <si>
    <t>Soybean Seeder (9-rows)</t>
  </si>
  <si>
    <t>Corn Combine Harvester</t>
  </si>
  <si>
    <t>Hauling Truck (cargo truck)</t>
  </si>
  <si>
    <t>Hauling Truck (heavy cargo truck)</t>
  </si>
  <si>
    <t>Corn Mill (village-type)</t>
  </si>
  <si>
    <t>Feed Mill</t>
  </si>
  <si>
    <t>Recirculating Dryer</t>
  </si>
  <si>
    <t>Solar Bubble Dryer</t>
  </si>
  <si>
    <t>Cassava Granulator</t>
  </si>
  <si>
    <t>Cassava Digger with Soil Remover</t>
  </si>
  <si>
    <t>Sorghum Harvester</t>
  </si>
  <si>
    <t>Sorghum Thresher</t>
  </si>
  <si>
    <t>Sorghum Dryer</t>
  </si>
  <si>
    <t>Soybean Thresher</t>
  </si>
  <si>
    <t>Soybean Seed Sorter</t>
  </si>
  <si>
    <t>Multi Crop Drying Pavement (MCDP) with Shed</t>
  </si>
  <si>
    <t>Warehouse</t>
  </si>
  <si>
    <t>Corn Complex (Phase 1)</t>
  </si>
  <si>
    <t>Silage Silo (Bunker-type)</t>
  </si>
  <si>
    <t>Water Treatment System Facility</t>
  </si>
  <si>
    <t>Wastewater Treatment System Facility</t>
  </si>
  <si>
    <t>IRRIGATION NETWORK SERVICES</t>
  </si>
  <si>
    <t>Open Source Pumping Set</t>
  </si>
  <si>
    <t>unit</t>
  </si>
  <si>
    <t>Mobile Solar Powered Irrigation System</t>
  </si>
  <si>
    <t>Solar Powered Irrigation System</t>
  </si>
  <si>
    <t>GRAND TOTAL</t>
  </si>
  <si>
    <t>Prepared by:</t>
  </si>
  <si>
    <t>Reviewed by:</t>
  </si>
  <si>
    <t>In coordination with</t>
  </si>
  <si>
    <t xml:space="preserve"> Approved by:</t>
  </si>
  <si>
    <t>JONAZON JEFF T. FACTORA</t>
  </si>
  <si>
    <t>BERNADETTE T. GALOSO</t>
  </si>
  <si>
    <t>MACARIO B. ANDAL, CPA</t>
  </si>
  <si>
    <t>ROSE MARY G. AQUINO, Ph.D.</t>
  </si>
  <si>
    <t xml:space="preserve">Chief, Planning and Investment </t>
  </si>
  <si>
    <t>OIC-Chief, PMED</t>
  </si>
  <si>
    <t>Chief, Budget Section</t>
  </si>
  <si>
    <t>Regional Executive Director</t>
  </si>
  <si>
    <t xml:space="preserve">  Programming Section</t>
  </si>
  <si>
    <t>CY 2025 &amp; FY 2026 PROGRAM ACCOMPLISHMENTS/STATUS AND FY 2027 PLAN AND BUDGET PROPOSAL</t>
  </si>
  <si>
    <t>HIGH VALUE CROPS DEVELOPMENT PROGRAM</t>
  </si>
  <si>
    <t>DISTRICT: LONE DISTRICT</t>
  </si>
  <si>
    <t xml:space="preserve">CY 2025 GAA </t>
  </si>
  <si>
    <t>FY 2026 GAA</t>
  </si>
  <si>
    <t>FY 2027 PROPOSAL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</si>
  <si>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</si>
  <si>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 xml:space="preserve">BUDGET (Actual Obligation in ₱ '000) </t>
  </si>
  <si>
    <t>ANNUAL BUDGET
(₱ '000)</t>
  </si>
  <si>
    <t>OPERATIONS</t>
  </si>
  <si>
    <t>I. TECHNICAL AND SUPPORT SEVICES PROGRAM</t>
  </si>
  <si>
    <t>A. Production Support Services Sub-Program</t>
  </si>
  <si>
    <t>Outcome Indicators</t>
  </si>
  <si>
    <t>Beneficiaries rating the production support services (PSS) delivered to be at least satisfactory</t>
  </si>
  <si>
    <t>Deliveries of producrtion support services validated by LGU's to have been delivered at the appropriate time</t>
  </si>
  <si>
    <t>Output Indicators</t>
  </si>
  <si>
    <t>LGU's assisted with production support services</t>
  </si>
  <si>
    <t>Input Indicators</t>
  </si>
  <si>
    <t>Seed Distribution</t>
  </si>
  <si>
    <t>Procured</t>
  </si>
  <si>
    <t>Produced</t>
  </si>
  <si>
    <t>Distributed</t>
  </si>
  <si>
    <t>Area Planted</t>
  </si>
  <si>
    <t>Mungbean</t>
  </si>
  <si>
    <t>Peanut</t>
  </si>
  <si>
    <t>White Potato</t>
  </si>
  <si>
    <t>Hot Pepper</t>
  </si>
  <si>
    <t>Garlic</t>
  </si>
  <si>
    <t>kilogram</t>
  </si>
  <si>
    <t>hectare</t>
  </si>
  <si>
    <t>Yellow Onion</t>
  </si>
  <si>
    <t>Shallot</t>
  </si>
  <si>
    <t>Red Onion</t>
  </si>
  <si>
    <t>Ginger</t>
  </si>
  <si>
    <t>Lowland Vegetables</t>
  </si>
  <si>
    <t>Highland Vegetables</t>
  </si>
  <si>
    <t>Malunggay</t>
  </si>
  <si>
    <t>Soybean</t>
  </si>
  <si>
    <t>Adlay</t>
  </si>
  <si>
    <t>Melon/Watermelon</t>
  </si>
  <si>
    <t>Other</t>
  </si>
  <si>
    <t>Seed for Buffer Stocking</t>
  </si>
  <si>
    <t>Planting Materials Distribution</t>
  </si>
  <si>
    <t>Black Pepper</t>
  </si>
  <si>
    <t>Bamboo</t>
  </si>
  <si>
    <t>Mushroom bags</t>
  </si>
  <si>
    <t>Vanilla</t>
  </si>
  <si>
    <t>TOTAL FRUITS</t>
  </si>
  <si>
    <t>Mango</t>
  </si>
  <si>
    <t>Banana</t>
  </si>
  <si>
    <t>Pineapple</t>
  </si>
  <si>
    <t>Durian</t>
  </si>
  <si>
    <t>Cashew</t>
  </si>
  <si>
    <t>Pili</t>
  </si>
  <si>
    <t>Citrus</t>
  </si>
  <si>
    <t>Jackfruit</t>
  </si>
  <si>
    <t>Strawberry</t>
  </si>
  <si>
    <t>Guyabano</t>
  </si>
  <si>
    <t>Mangosteen</t>
  </si>
  <si>
    <t>Lanzones</t>
  </si>
  <si>
    <t>Rambutan</t>
  </si>
  <si>
    <t>Dragonfruit</t>
  </si>
  <si>
    <t>Santol</t>
  </si>
  <si>
    <t>Abiu</t>
  </si>
  <si>
    <t>INDUSTRIAL CROPS TOTAL</t>
  </si>
  <si>
    <t>Coffee</t>
  </si>
  <si>
    <t>Cacao</t>
  </si>
  <si>
    <t>Rubber</t>
  </si>
  <si>
    <t>ALTERNATIVE STAPLE FOOD CROPS TOTAL</t>
  </si>
  <si>
    <t>Saba-banana</t>
  </si>
  <si>
    <t>Sweet potato</t>
  </si>
  <si>
    <t>Yam</t>
  </si>
  <si>
    <t>Gabi</t>
  </si>
  <si>
    <t>Arrowroot</t>
  </si>
  <si>
    <t>Ornamentals and Foilages</t>
  </si>
  <si>
    <t>Herbs and Spices</t>
  </si>
  <si>
    <t>Vetiver</t>
  </si>
  <si>
    <t>Other Farm Supplies</t>
  </si>
  <si>
    <t>Flower Inducer</t>
  </si>
  <si>
    <t>Seedling trays</t>
  </si>
  <si>
    <t>Garden tools</t>
  </si>
  <si>
    <t>Plastic crate</t>
  </si>
  <si>
    <t>Bagging Materials</t>
  </si>
  <si>
    <t>Ladder</t>
  </si>
  <si>
    <t>Hermetic bag</t>
  </si>
  <si>
    <t>Fermentation box</t>
  </si>
  <si>
    <t>Rattan basket</t>
  </si>
  <si>
    <t>Pallets</t>
  </si>
  <si>
    <t>Pruning saw</t>
  </si>
  <si>
    <t>Pruning shear</t>
  </si>
  <si>
    <t>PP bags</t>
  </si>
  <si>
    <t>Plastic mulch</t>
  </si>
  <si>
    <t>UV Plastic</t>
  </si>
  <si>
    <t>Mesh Net</t>
  </si>
  <si>
    <t>Black net</t>
  </si>
  <si>
    <t>Twine</t>
  </si>
  <si>
    <t>UV tunnelling film</t>
  </si>
  <si>
    <t>Red Bag</t>
  </si>
  <si>
    <t>Fertilizers</t>
  </si>
  <si>
    <t>Inorganic fertilizer</t>
  </si>
  <si>
    <t>Organic fertilizer</t>
  </si>
  <si>
    <t>Foliar Fertilizer</t>
  </si>
  <si>
    <t>Liquid Fertilizer</t>
  </si>
  <si>
    <t>liter</t>
  </si>
  <si>
    <t>Other agri-chemical</t>
  </si>
  <si>
    <t>Pesticide</t>
  </si>
  <si>
    <t>Insecticide</t>
  </si>
  <si>
    <t>Fungicide</t>
  </si>
  <si>
    <t>Herbicide</t>
  </si>
  <si>
    <t>Pheromone Lure</t>
  </si>
  <si>
    <t>Soil Conditioner</t>
  </si>
  <si>
    <t>Biological Control Agents (distibution only)</t>
  </si>
  <si>
    <t>Trichogramma chilonis</t>
  </si>
  <si>
    <t>Earwig</t>
  </si>
  <si>
    <t>Metarhizium</t>
  </si>
  <si>
    <t>Beauveria</t>
  </si>
  <si>
    <t>Tricoderma harzianum and T.viride</t>
  </si>
  <si>
    <t>Other Irrigation Paraphernalia Distributed</t>
  </si>
  <si>
    <t>HDPE Pipe</t>
  </si>
  <si>
    <t>Water Plastic Drum</t>
  </si>
  <si>
    <t>Reservoir tank</t>
  </si>
  <si>
    <t>Small scale irrigation projects (SSIP) constructed/installed (DA Station)</t>
  </si>
  <si>
    <t>Pump and Engine Set (PISOS)</t>
  </si>
  <si>
    <t>Cistern</t>
  </si>
  <si>
    <t>Drip irrigation</t>
  </si>
  <si>
    <t>Solar-powered irrigation system</t>
  </si>
  <si>
    <t>Small scale irrigation projects (SSIP) rehabilitated (DA Station)</t>
  </si>
  <si>
    <t>Main Filtration System for Irrigation</t>
  </si>
  <si>
    <t>Production Facilities</t>
  </si>
  <si>
    <t>Establishment (DA Station)</t>
  </si>
  <si>
    <t>Rainshelter</t>
  </si>
  <si>
    <t>Greenhouse</t>
  </si>
  <si>
    <t>Screenhouse/nethouse</t>
  </si>
  <si>
    <t>Nursery</t>
  </si>
  <si>
    <t>Tissue culture laboratory</t>
  </si>
  <si>
    <t>Seed storage</t>
  </si>
  <si>
    <t>Foundation scion grove</t>
  </si>
  <si>
    <t>Clonal garden</t>
  </si>
  <si>
    <t>Budwood garden</t>
  </si>
  <si>
    <t>Index Laboratory/Indexing Facility</t>
  </si>
  <si>
    <t>Monolithic Dome Type Storage</t>
  </si>
  <si>
    <t>Nursery Multi-purpose building</t>
  </si>
  <si>
    <t>Maintenance (DA Station)</t>
  </si>
  <si>
    <t>Banana mother garden</t>
  </si>
  <si>
    <t>Index laboratory</t>
  </si>
  <si>
    <t>Fruit wine processing facility</t>
  </si>
  <si>
    <t>Multi-crop Seed Storage</t>
  </si>
  <si>
    <t>Monolithic Dome</t>
  </si>
  <si>
    <t>Vertical Farming Under Controlled Environment</t>
  </si>
  <si>
    <t>Rehabilitation (DA Station)</t>
  </si>
  <si>
    <t>Garlic hanger storage</t>
  </si>
  <si>
    <t>Rubber training center</t>
  </si>
  <si>
    <t>Drainage Canal along the production area, approx.500 lm</t>
  </si>
  <si>
    <t>Postharvest and Processing Facility Establishment (DA Station)</t>
  </si>
  <si>
    <t>Pili Postharvest and Processing Facility</t>
  </si>
  <si>
    <t>Upgarding (DA Station)</t>
  </si>
  <si>
    <t>Index Laboratory</t>
  </si>
  <si>
    <t>Support to Establishment of Production Site (External)</t>
  </si>
  <si>
    <t>Pallet</t>
  </si>
  <si>
    <t>Red bag</t>
  </si>
  <si>
    <t>Support to Gulayan Projects</t>
  </si>
  <si>
    <t>School garden</t>
  </si>
  <si>
    <t>Urban agriculture garden</t>
  </si>
  <si>
    <t>Gulayan sa bayan</t>
  </si>
  <si>
    <t>Farm production-related machinery and equipment (DA Stations)</t>
  </si>
  <si>
    <t>Tractors</t>
  </si>
  <si>
    <t>Vegetable seeder</t>
  </si>
  <si>
    <t>Hand tractor/multi-cultivator</t>
  </si>
  <si>
    <t>Power spayer</t>
  </si>
  <si>
    <t>Fertilizer applicator</t>
  </si>
  <si>
    <t>Pole prunner/ shear</t>
  </si>
  <si>
    <t>Mini-chainsaw</t>
  </si>
  <si>
    <t>Onion/garlic harvester</t>
  </si>
  <si>
    <t>Grass cutter</t>
  </si>
  <si>
    <t>Soil Auger</t>
  </si>
  <si>
    <t>Lifting machine</t>
  </si>
  <si>
    <t>Shredder</t>
  </si>
  <si>
    <t>Hauling truck</t>
  </si>
  <si>
    <t>Mobile cold storage</t>
  </si>
  <si>
    <t>Drone sprayer</t>
  </si>
  <si>
    <t>Mobile rubber clinic</t>
  </si>
  <si>
    <t>Support to Ensure the Production of Quality Planting Materials</t>
  </si>
  <si>
    <t>No. of seedlings tag issued / tagged</t>
  </si>
  <si>
    <t>No.of protocols optimized for disease indexing of garlic</t>
  </si>
  <si>
    <t>Plant nurseries and mother nurseries geotagged</t>
  </si>
  <si>
    <t>Consultative Meeting /Workshop on guidelines for field legumes and rootcrops</t>
  </si>
  <si>
    <t>Training on rootcrops for evaluators and inspectors conducted</t>
  </si>
  <si>
    <t>Training on field legumes for seed inspectors conducted</t>
  </si>
  <si>
    <t>Support to Sustainable Pest and Disease Management for High Value Crops (Banana, Mango, Onion)</t>
  </si>
  <si>
    <t>Extension Support, Education and Training Services Sub-Program</t>
  </si>
  <si>
    <t>Adoption rate of beneficiaries of extension support, education and training services</t>
  </si>
  <si>
    <t>Extension workers trained to support the capacity of LGU's</t>
  </si>
  <si>
    <t>Female</t>
  </si>
  <si>
    <t>Male</t>
  </si>
  <si>
    <t>Individual benefiaciaries provided with training support services</t>
  </si>
  <si>
    <t>Training and training-related events</t>
  </si>
  <si>
    <t>Package of Technology (POT) Conducted</t>
  </si>
  <si>
    <t>Extension worker</t>
  </si>
  <si>
    <t>Farmers</t>
  </si>
  <si>
    <t>Training of Trainers (TOT) conducted</t>
  </si>
  <si>
    <t>Extension Worker</t>
  </si>
  <si>
    <t>Season Long Training started</t>
  </si>
  <si>
    <t>Farmer's Field School (FFS) started</t>
  </si>
  <si>
    <t>School on the Air (SOA)</t>
  </si>
  <si>
    <t>Specialized Training</t>
  </si>
  <si>
    <t>Training related events</t>
  </si>
  <si>
    <t>Coffee Cupping</t>
  </si>
  <si>
    <t>Coffee Congress</t>
  </si>
  <si>
    <t>Coffee Expo</t>
  </si>
  <si>
    <t>Cacao Congress</t>
  </si>
  <si>
    <t>Banana Congress</t>
  </si>
  <si>
    <t>Durian Expo</t>
  </si>
  <si>
    <t>PCQC</t>
  </si>
  <si>
    <t>PCE</t>
  </si>
  <si>
    <t>Technology Demonstration Establishment</t>
  </si>
  <si>
    <t>Technology Demonstration (General)</t>
  </si>
  <si>
    <t>Technology Demonstration (Rejuvenation of Old Tress)</t>
  </si>
  <si>
    <t>Number of site</t>
  </si>
  <si>
    <t>Number of tress fertilized</t>
  </si>
  <si>
    <t>Calamansi</t>
  </si>
  <si>
    <t>Establishment of Learning Sites</t>
  </si>
  <si>
    <t>Learning Sites</t>
  </si>
  <si>
    <t>Urban Agriculture Garden</t>
  </si>
  <si>
    <t>Support to Agricultural Extension</t>
  </si>
  <si>
    <t>AEWs provided with incentives</t>
  </si>
  <si>
    <t>Achievers Award</t>
  </si>
  <si>
    <t>Outstanding PLGU</t>
  </si>
  <si>
    <t>Top 10 AEWs of the Year</t>
  </si>
  <si>
    <t>Model Farmer Cluster of the Year</t>
  </si>
  <si>
    <t>Best Urban Agriculture Implementer</t>
  </si>
  <si>
    <t>Best Gulayan sa Barangay Implementer</t>
  </si>
  <si>
    <t>Information, Education and Communication</t>
  </si>
  <si>
    <t>IEC Materials Dissemination</t>
  </si>
  <si>
    <t>Print disseminated</t>
  </si>
  <si>
    <t>Radio plugs aired</t>
  </si>
  <si>
    <t>TV plugs aired</t>
  </si>
  <si>
    <t>Social media plugs aired</t>
  </si>
  <si>
    <t>IEC Activities Conducted</t>
  </si>
  <si>
    <t>Press release/presscon/media interfacing</t>
  </si>
  <si>
    <t>Info Caravan</t>
  </si>
  <si>
    <t>Documentation of success stories</t>
  </si>
  <si>
    <t>Process Indicators</t>
  </si>
  <si>
    <t>Radio plugs produced</t>
  </si>
  <si>
    <t>TV plugs produced</t>
  </si>
  <si>
    <t>Research and Development Sub-Program</t>
  </si>
  <si>
    <t>Outcome Indicator</t>
  </si>
  <si>
    <t>No outcome indicator since R&amp;D activities serves as inputs to other programs/sub-program</t>
  </si>
  <si>
    <t>Research and Development Activities Funded</t>
  </si>
  <si>
    <t>Applied Research</t>
  </si>
  <si>
    <t>Production related research activities</t>
  </si>
  <si>
    <t>New</t>
  </si>
  <si>
    <t>New Production-related R&amp;D activities funded</t>
  </si>
  <si>
    <t>New Production-related R&amp;D activities conducted</t>
  </si>
  <si>
    <t>Continuing</t>
  </si>
  <si>
    <t>Continuing Production-related R&amp;D activities funded</t>
  </si>
  <si>
    <t>Continuing Production-related R&amp;D activities conducted</t>
  </si>
  <si>
    <t>Postharvest related research activities</t>
  </si>
  <si>
    <t>New Postharvest-related R&amp;D activities funded</t>
  </si>
  <si>
    <t>New Postharvest-related R&amp;D activities conducted</t>
  </si>
  <si>
    <t>Continuing Postharvest-related R&amp;D activities funded</t>
  </si>
  <si>
    <t>Continuing Postharvest-related R&amp;D activities conducted</t>
  </si>
  <si>
    <t>Technology Commerlization R&amp;D Activities</t>
  </si>
  <si>
    <t>II. AGRICULTURAL MACHINERY, EQUIPMENT, FACILITES AND INFRASTRUCTURE PROGRAM</t>
  </si>
  <si>
    <t>A. Agricultural Machinery, Equipment and Facilities Support Services Sub-Program</t>
  </si>
  <si>
    <t>Beneficiaries rating the agricultural machinery, equipment, equipment and facilities provided to be at least satisfactory</t>
  </si>
  <si>
    <t>LGUs provided with agricultural machineries, equipment and facilities</t>
  </si>
  <si>
    <t>Farm Production-related Machinery and Equipment Distribution</t>
  </si>
  <si>
    <t>Beneficiaries</t>
  </si>
  <si>
    <t>Tractor</t>
  </si>
  <si>
    <t>Multi cultivator</t>
  </si>
  <si>
    <t>Power sprayer</t>
  </si>
  <si>
    <t>Pole/power pruner</t>
  </si>
  <si>
    <t>Soil auger</t>
  </si>
  <si>
    <t>Fogging machine</t>
  </si>
  <si>
    <t>Boom type sprayer</t>
  </si>
  <si>
    <t>Pruning machine</t>
  </si>
  <si>
    <t>Drone Sprayer</t>
  </si>
  <si>
    <t>Onion seeder</t>
  </si>
  <si>
    <t>Production Facilities Establishment</t>
  </si>
  <si>
    <t>Mushroom culture laboratory</t>
  </si>
  <si>
    <t>Village level Biocon Laboratory</t>
  </si>
  <si>
    <t>Composting Facilities for Biodegradable Wastes (CFBWs) Technology Package</t>
  </si>
  <si>
    <t>Postharvest/processing equipment and machineries distributed/constructed</t>
  </si>
  <si>
    <t>Banana Chipper</t>
  </si>
  <si>
    <t>Banana fryer</t>
  </si>
  <si>
    <t>Cashew decorticator</t>
  </si>
  <si>
    <t>Pineapple decorticating machine</t>
  </si>
  <si>
    <t>Coffee huller</t>
  </si>
  <si>
    <t>Coffee pulper</t>
  </si>
  <si>
    <t>Coffee roaster</t>
  </si>
  <si>
    <t>Coffee grinder</t>
  </si>
  <si>
    <t>Coffee sorter</t>
  </si>
  <si>
    <t>Cacao Huller</t>
  </si>
  <si>
    <t>Cacao Bean Cutter</t>
  </si>
  <si>
    <t>Cacao Bean Sorter</t>
  </si>
  <si>
    <t>Cacao grinder</t>
  </si>
  <si>
    <t>Cacao roaster</t>
  </si>
  <si>
    <t>Cacao winnower</t>
  </si>
  <si>
    <t>Cacao melanger</t>
  </si>
  <si>
    <t>Coffee/Cacao dryer (Mechanical)</t>
  </si>
  <si>
    <t>Collapsible dryer</t>
  </si>
  <si>
    <t>Cashew shelling machine</t>
  </si>
  <si>
    <t>Mungbean sheller</t>
  </si>
  <si>
    <t>Peanut sheller</t>
  </si>
  <si>
    <t>Multi-commodity solar dryer</t>
  </si>
  <si>
    <t>Extractor</t>
  </si>
  <si>
    <t>Moisture meter</t>
  </si>
  <si>
    <t>Distilling Machine</t>
  </si>
  <si>
    <t>Hot water treatment tank</t>
  </si>
  <si>
    <t>Vacuum sealer</t>
  </si>
  <si>
    <t>Vacuum fryer</t>
  </si>
  <si>
    <t>Vacuum cooling system</t>
  </si>
  <si>
    <t>Refrigerated van</t>
  </si>
  <si>
    <t>Tempering Machine</t>
  </si>
  <si>
    <t>Food Dehydrator</t>
  </si>
  <si>
    <t>Bubbler</t>
  </si>
  <si>
    <t>Pili Sorter</t>
  </si>
  <si>
    <t>Pili Depulper</t>
  </si>
  <si>
    <t>Pili Nut Cracker</t>
  </si>
  <si>
    <t>Pili Testa Remover</t>
  </si>
  <si>
    <t>Pili Dehydrator</t>
  </si>
  <si>
    <t>Pili Grinder</t>
  </si>
  <si>
    <t>Pili Elemi Oil Extractor</t>
  </si>
  <si>
    <t>Pili Pulp Oil Extractor</t>
  </si>
  <si>
    <t>Pili Kernel Oil Extractor</t>
  </si>
  <si>
    <t>Deck Oven</t>
  </si>
  <si>
    <t>Sweet Potato Chipper</t>
  </si>
  <si>
    <t>Sweet Potato Pulverizer</t>
  </si>
  <si>
    <t>Sweet Potato Noodle-Maker</t>
  </si>
  <si>
    <t>Postharvest Facility Establishment</t>
  </si>
  <si>
    <t>Tramline</t>
  </si>
  <si>
    <t>Onion hanger storage</t>
  </si>
  <si>
    <t>Onion cold storage</t>
  </si>
  <si>
    <t>Multi-commodity cold storage</t>
  </si>
  <si>
    <t>Fermentation facility for cacao</t>
  </si>
  <si>
    <t>Packaging house facility/Consolidation shed</t>
  </si>
  <si>
    <t>Water treatment facility</t>
  </si>
  <si>
    <t>Cacao storage</t>
  </si>
  <si>
    <t>Cacao postharvest facility</t>
  </si>
  <si>
    <t>Pre-fabricated coffee storage</t>
  </si>
  <si>
    <t>Greenhouse type solar dryer</t>
  </si>
  <si>
    <t>Pili postharvest facility</t>
  </si>
  <si>
    <t>Bamboo Curing Facility</t>
  </si>
  <si>
    <t>Community Based Processing Facility Establishment</t>
  </si>
  <si>
    <t>Banana chips processing facility</t>
  </si>
  <si>
    <t>Calamansi oil extracting facility</t>
  </si>
  <si>
    <t>Calamansi juice/powder processing facility</t>
  </si>
  <si>
    <t>Mango chips/juice processing facility</t>
  </si>
  <si>
    <t>Coffee roasting facility</t>
  </si>
  <si>
    <t>Coffee development hub</t>
  </si>
  <si>
    <t>Cacao products processing facility</t>
  </si>
  <si>
    <t>Rubber crumb processing facility</t>
  </si>
  <si>
    <t>Pili processing facility</t>
  </si>
  <si>
    <t>Vegetable semi-processed processing facility</t>
  </si>
  <si>
    <t>Rootcrops chips/flour processing facility</t>
  </si>
  <si>
    <t>Banana wine processing facility</t>
  </si>
  <si>
    <t>Cashew processing facility</t>
  </si>
  <si>
    <t>Mungbean products processing facility</t>
  </si>
  <si>
    <t>Fruits and vegetables processing facility</t>
  </si>
  <si>
    <t>Pineapple Processing Facility</t>
  </si>
  <si>
    <t>Peanut processing facility</t>
  </si>
  <si>
    <t>Citronella processing facility</t>
  </si>
  <si>
    <t>Turmeric processing facility</t>
  </si>
  <si>
    <t>Garlic Processing Facility</t>
  </si>
  <si>
    <t>Irrigation Network Services Sub-Program</t>
  </si>
  <si>
    <t>Service area generated form the establishment and installation of small scale irrigation projects (SSPI's)</t>
  </si>
  <si>
    <t>LGU's assisted with the small-scale irrigatoin projects (SSIP's)</t>
  </si>
  <si>
    <t>Small scale irrigation projects (SSIP) constructed/installed</t>
  </si>
  <si>
    <t>Service area</t>
  </si>
  <si>
    <t>Small Farm Reservoir</t>
  </si>
  <si>
    <t>Spring Development</t>
  </si>
  <si>
    <t>Pump and Engine Set (STW)</t>
  </si>
  <si>
    <t>Drip Irrigation System</t>
  </si>
  <si>
    <t>Wind Pump (Pump Irrigation System)</t>
  </si>
  <si>
    <t>Ramp Pump (Pump Irrigation System)</t>
  </si>
  <si>
    <t>Solar-Powered Irrigation System</t>
  </si>
  <si>
    <t>In coordination with:</t>
  </si>
  <si>
    <t>Concurred by:</t>
  </si>
  <si>
    <t>Chief, PMED</t>
  </si>
  <si>
    <t>NATIONAL URBAN AND PERI-URBAN AGRICULTURE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</si>
  <si>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</si>
  <si>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No Targets for FY 2027. Targets are only for AMEFSS</t>
  </si>
  <si>
    <t>1. Seeds Procured for Distribution</t>
  </si>
  <si>
    <t>kilograms distributed</t>
  </si>
  <si>
    <t xml:space="preserve">Highland Vegetables </t>
  </si>
  <si>
    <t>2. Planting Materials for Distribution</t>
  </si>
  <si>
    <t>Fruit Bearing Tree (seedlings)</t>
  </si>
  <si>
    <t>Strawberry cuttings (cuttings)</t>
  </si>
  <si>
    <t>3. Soil Mix/Fertilizer:</t>
  </si>
  <si>
    <t>Organic Fertilizer - solid</t>
  </si>
  <si>
    <t>Soilless Media/Potting Mix</t>
  </si>
  <si>
    <t>4. Other Farm Inputs</t>
  </si>
  <si>
    <t>Seedling Tray</t>
  </si>
  <si>
    <t>Plastic Crate</t>
  </si>
  <si>
    <t>Stackable pots</t>
  </si>
  <si>
    <t>Plastic Drum</t>
  </si>
  <si>
    <t>Wheel Barrow</t>
  </si>
  <si>
    <t>Hauling Truck</t>
  </si>
  <si>
    <t>B. Extension Support, Education and Training Services Sub-Program</t>
  </si>
  <si>
    <t>1. Farm production-related machinery and equipment distributed</t>
  </si>
  <si>
    <t>Mini-tilling Machine</t>
  </si>
  <si>
    <t>Multicultivator</t>
  </si>
  <si>
    <t>2. Other Facilities and Activities</t>
  </si>
  <si>
    <t>Poultry Housing with Module</t>
  </si>
  <si>
    <t>Mushroom House with Spawn</t>
  </si>
  <si>
    <t>Greenhouse with Hydroponics and Water System</t>
  </si>
  <si>
    <t>Irrigation Network Services (INS) Sub-program</t>
  </si>
  <si>
    <t xml:space="preserve"> LIVESTOCK PROGRAM</t>
  </si>
  <si>
    <t xml:space="preserve"> PROVINCE: BATANES</t>
  </si>
  <si>
    <t xml:space="preserve"> DISTRICT: LONE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</si>
  <si>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</si>
  <si>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A.1 National Animal Genetic Resources Improvement Program</t>
  </si>
  <si>
    <t>1.1. Unified National Artificial Insemination Program</t>
  </si>
  <si>
    <t>Cattle</t>
  </si>
  <si>
    <t>Goat</t>
  </si>
  <si>
    <t>2. Philippine Native Animal Development</t>
  </si>
  <si>
    <t>2.1. Stock Distribution (Swine)</t>
  </si>
  <si>
    <t>1.2. Feed Base Development Program</t>
  </si>
  <si>
    <t>1. Planting Materials Distributed</t>
  </si>
  <si>
    <t>Native Chicken Distribtuion</t>
  </si>
  <si>
    <t>Duck Distribution</t>
  </si>
  <si>
    <t>III. Support to Prevention and Control of Economically Important Diseases</t>
  </si>
  <si>
    <t>1. Drug and Biologic Support</t>
  </si>
  <si>
    <t>doses</t>
  </si>
  <si>
    <t>1. Production Facilities Established</t>
  </si>
  <si>
    <t>No. of farm established</t>
  </si>
  <si>
    <t>1.1. Livestock Economic Enterprise Development (LEED)</t>
  </si>
  <si>
    <t>Cattle Multiplier Farm</t>
  </si>
  <si>
    <t>Chicken Multiplier Farm</t>
  </si>
  <si>
    <t>Honeybee Multiplier Farm</t>
  </si>
  <si>
    <t>Goat Multiplier FArm</t>
  </si>
  <si>
    <t>Sheep Multiplier Farm</t>
  </si>
  <si>
    <t>Rabbit Multiplier Farm</t>
  </si>
  <si>
    <t>Carabao Multiplier</t>
  </si>
  <si>
    <t>Swine Clusters under INSPIRE</t>
  </si>
  <si>
    <t>ORGANIC AGRICULTURE PROGRAM</t>
  </si>
  <si>
    <t>DISTRICT:  LONE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</si>
  <si>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</si>
  <si>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TECHNICAL AND SUPPORT SERVICES PROGRAM</t>
  </si>
  <si>
    <t>I.1. Production Support Services Sub-program</t>
  </si>
  <si>
    <t>A. On- station seeds production and distribution</t>
  </si>
  <si>
    <t>a.1. Vegetables</t>
  </si>
  <si>
    <t>Individual provided with vegetable seeds</t>
  </si>
  <si>
    <t>Group</t>
  </si>
  <si>
    <t>kg</t>
  </si>
  <si>
    <t>Assorted Open-pollinated varieties</t>
  </si>
  <si>
    <t>a.2. Rice</t>
  </si>
  <si>
    <t>Individual provided with upland rice seeds</t>
  </si>
  <si>
    <t>Upland rice</t>
  </si>
  <si>
    <t>a.3. Corn</t>
  </si>
  <si>
    <t>Individual provided with OPV corn seeds</t>
  </si>
  <si>
    <t>OPV Corn</t>
  </si>
  <si>
    <t>Peanut Seeds</t>
  </si>
  <si>
    <t>B. Farm supplies distributed</t>
  </si>
  <si>
    <t>Pieces</t>
  </si>
  <si>
    <t>Seedling Trays (100 holes)</t>
  </si>
  <si>
    <t>Rolls</t>
  </si>
  <si>
    <t>UV Plastic 6mil UV polyethylene plastic film for green house (7mX90mx.006 inch)</t>
  </si>
  <si>
    <t>II.2. Extension Support, Education and Training Services Sub-Program</t>
  </si>
  <si>
    <t>III. AGRICULTURAL, MACHIENERIES, FACILITIES AND INFRASTRUCTURE PROGAM</t>
  </si>
  <si>
    <t>-</t>
  </si>
  <si>
    <t>III.1. Agricultural and Fishery Machinery, Equipment and Facilities Support Services Sub-program</t>
  </si>
  <si>
    <t>A. Provision of Agricultural Equipment and Facilities</t>
  </si>
  <si>
    <t>a.1. Provision of Shredder Machines</t>
  </si>
  <si>
    <t>a.2. Provision of Cultivator</t>
  </si>
  <si>
    <t>a.3. Greenhouse</t>
  </si>
  <si>
    <t>III.2.Irrigation Network Services (INS) Sub-program</t>
  </si>
  <si>
    <t>A. Provision of Dual Purpose Pump and Engine</t>
  </si>
  <si>
    <t>FARM-TO-MARKET ROAD DEVELOPMENT PROGRAM</t>
  </si>
  <si>
    <t>MUNICIPALITY</t>
  </si>
  <si>
    <t>LOCATION (BARANGAY)</t>
  </si>
  <si>
    <t xml:space="preserve">NAME OF PROJECTS </t>
  </si>
  <si>
    <t>ESTIMATED LENGTH (KM)</t>
  </si>
  <si>
    <t>ESTIMATED AMOUNT
(₱ '000)</t>
  </si>
  <si>
    <t>CY 2025 GAA</t>
  </si>
  <si>
    <t>ITBAYAT</t>
  </si>
  <si>
    <t>Sta. Rosa</t>
  </si>
  <si>
    <t>Concreting of Viewdeck- Sitio Pasduxan FMR</t>
  </si>
  <si>
    <t>UYUGAN</t>
  </si>
  <si>
    <t>Kayuganan</t>
  </si>
  <si>
    <t>Concreting of Gi- Arani- Vadinaran FMR</t>
  </si>
  <si>
    <t>IVANA</t>
  </si>
  <si>
    <t>San Vicente</t>
  </si>
  <si>
    <t>Concreting of Vatang-Matu FMR, Brgy. San Vicente, Ivana, Batanes</t>
  </si>
  <si>
    <t>Concreting of Katuyan, Sta. Rosa FMR, Itbayat, Batanes</t>
  </si>
  <si>
    <t>MAHATAO</t>
  </si>
  <si>
    <t>Panatayan</t>
  </si>
  <si>
    <t>Concreting of Chaina-Tayaran-Gidem FMR, Phase III Brgy. Panatayan, Mahatao, Batanes</t>
  </si>
  <si>
    <t>BASCO</t>
  </si>
  <si>
    <t>San Antonio</t>
  </si>
  <si>
    <t>Construction of Diajang to Divia FMR, Phase I , Brgy. San Antonio, Basco, Batanes</t>
  </si>
  <si>
    <t>FY 2027 PROPOSAL (TIER I)</t>
  </si>
  <si>
    <t>Kayvaluganan</t>
  </si>
  <si>
    <t>Construction of Charatayan-San Miguel Phase II FMR, Brgy. Kayvaluganan, Basco, Batanes</t>
  </si>
  <si>
    <t>Kayhuvukan</t>
  </si>
  <si>
    <t>Construction of Vahangsien-Nayep Phase II FMR, Brgy. Kayhuvukan, Basco, Batanes</t>
  </si>
  <si>
    <t>Construction of Diuran-Satuvang FMR, Brgy. Kayhuvukan, Basco, Batanes</t>
  </si>
  <si>
    <t>Uvoy</t>
  </si>
  <si>
    <t>Construction of Diseb-Tavadang FMR, Uvoy, Mahatao, Batanes</t>
  </si>
  <si>
    <t>Radiwan</t>
  </si>
  <si>
    <t>Construction of San Felix-Racuj FMR, Brgy. Radiwan, Ivana, Batanes</t>
  </si>
  <si>
    <t>Construction of Sumanga-Chavuan FMR, Brgy. Kayvaluganan, Uyugan, Batanes</t>
  </si>
  <si>
    <t>Imnajbu</t>
  </si>
  <si>
    <t>Construction of  Chingteb-Babal FMR Phase III FMR, Brgy. Imnajbu, Uyugan, Isabela</t>
  </si>
  <si>
    <t>Sta. Maria</t>
  </si>
  <si>
    <t>Construction of Iñas-Vugayong FMR, Brgy. Sta. Maria, Itbayat, Batanes</t>
  </si>
  <si>
    <t>SABTANG</t>
  </si>
  <si>
    <t>Sinakan</t>
  </si>
  <si>
    <t>Concreting of  Supi-Iraya FMR, Brgy. Sinakan, Sabtang, Batanes</t>
  </si>
  <si>
    <t>San Rafael</t>
  </si>
  <si>
    <t>Construction of Yawran-Riñwan FMR, Brgy. San Rafael, Itbayat, Batanes</t>
  </si>
  <si>
    <t>SUBTOTAL</t>
  </si>
  <si>
    <t>FY 2027 PROPOSAL (TIER II)</t>
  </si>
  <si>
    <t>Savidug</t>
  </si>
  <si>
    <t>Construction of Satuvang-Chaninu, Brgy. Savidug FMR Phase III, Brgy. Savidug, Sabtang, Batanes</t>
  </si>
  <si>
    <t>Malakdang</t>
  </si>
  <si>
    <t>Construction of Sitio Riwas-Roro Port, Brgy. Malakdang FMR, Brgy. Malakdang, Sabtang, Batanes</t>
  </si>
  <si>
    <t>Itbayat</t>
  </si>
  <si>
    <t>Raele</t>
  </si>
  <si>
    <t>Construction of Aran-an-Kaysaysakan, Raele FMR, Brgy. Raele, Itbayat, Batanes</t>
  </si>
  <si>
    <t>Sta. Lucia</t>
  </si>
  <si>
    <t>Construction of Camaya-Ripused, Sta. Lucia FMR, Brgy. Sta. Lucia, Itbayat, Batanes</t>
  </si>
  <si>
    <t>Uyugan</t>
  </si>
  <si>
    <t>Construction of Chanalan-Mahedhed, Brgy. Kayvaluganan FMR,  Brgy. Kayvaluganan,  
Uyugan, Batanes</t>
  </si>
  <si>
    <t>Construction  of Chinteb-Chahayan FMR, Brgy. San Antonio, Basco, Batanes</t>
  </si>
  <si>
    <t>Construction of Sapuno-Malakdang FMR, Brgy. Kayvaluganan, Basco, Batanes</t>
  </si>
  <si>
    <t>Construction of Chingteb-Babal FMR Phase III, Brgy Imnajbu, Uyugan, Batanes</t>
  </si>
  <si>
    <t>Construction of Nakurang-Tukon-Chatujian, Brgy Radiwan FMR Phase IV,  Brgy. Radiwan, 
Ivana, Batanes</t>
  </si>
  <si>
    <t>Tuhel</t>
  </si>
  <si>
    <t>Construction of Sivukot-Aramain, Brgy Tuhel FMR, Brgy. Tubel, Ivana, Batanes</t>
  </si>
  <si>
    <t>SPECIAL AREA FOR AGRICULTURAL DEVELOPMENT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</si>
  <si>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</si>
  <si>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SOCIAL PREPARATION</t>
  </si>
  <si>
    <t>A. Community Needs Assessment (CNA)</t>
  </si>
  <si>
    <t>a.1 Orientations, Meetings, Assessments and Consultation conducted</t>
  </si>
  <si>
    <t>Basco, Ivana, Itbayat, Uyugan</t>
  </si>
  <si>
    <t xml:space="preserve"> a.2 Beneficiary Needs Assessment/ 
Participatory Rural Appraisal (PRA) conducted</t>
  </si>
  <si>
    <t>group</t>
  </si>
  <si>
    <t>B. Beneficiary Capacitation and General Development</t>
  </si>
  <si>
    <t>b.1 Capability Building activities conducted</t>
  </si>
  <si>
    <t>C. Database and Profiling</t>
  </si>
  <si>
    <t>c.1 Beneficiary Profiling conducted</t>
  </si>
  <si>
    <t>c.2 Database Uploading conducted</t>
  </si>
  <si>
    <t>II. FOOD PRODUCTION AND LIVELIHOOD INTERVENTIONS</t>
  </si>
  <si>
    <t>2.1 HVC-based Project distributed</t>
  </si>
  <si>
    <t>2.2 Specialized Trainings conducted</t>
  </si>
  <si>
    <t>III. MARKETING ASSISTANCE AND ENTERPRISE DEVELOPMENT</t>
  </si>
  <si>
    <t>3.1 Market-related trainings conducted</t>
  </si>
  <si>
    <t>3.2 Partially established CBEs</t>
  </si>
  <si>
    <t>IV. PROGRAM MANAGEMENT</t>
  </si>
  <si>
    <t>4.1. Project Management Offices Maintained</t>
  </si>
  <si>
    <t xml:space="preserve">     4.1.1. Hiring/renewal of manpower</t>
  </si>
  <si>
    <t xml:space="preserve">          A. RPMSO</t>
  </si>
  <si>
    <t xml:space="preserve">          B. PPMSO</t>
  </si>
  <si>
    <t xml:space="preserve">     4.1.2 Office Oprating Requirements</t>
  </si>
  <si>
    <t>4.2. Review and Planning Workshop</t>
  </si>
  <si>
    <t xml:space="preserve">          A. Plan and Budget Preparation (PBP)</t>
  </si>
  <si>
    <t xml:space="preserve">          B. Budget Execution Document (BED) Preparation</t>
  </si>
  <si>
    <t>4.3. Monitoring and Evaluation</t>
  </si>
  <si>
    <t xml:space="preserve">     4.3.1. Conduct of Performance and Budget</t>
  </si>
  <si>
    <t xml:space="preserve">     4.3.2. Implementation of management information</t>
  </si>
  <si>
    <t xml:space="preserve">          - Sub-project monitoring</t>
  </si>
  <si>
    <t>4.4. Project Assessment (PA)</t>
  </si>
  <si>
    <t>4.5. Quarterly Assessment Review</t>
  </si>
  <si>
    <t xml:space="preserve">     4.3.1. National Assessment</t>
  </si>
  <si>
    <t xml:space="preserve">     4.3.2. Regional Assessment</t>
  </si>
  <si>
    <t>Note: FY 2027 budget allocation for the Social Preparation and MAED is by component.</t>
  </si>
  <si>
    <t>PROGRAM: MAINSTREAMING CLIMATE RESILIENT AGRICULTURE (MCRA) TO THE REGIONAL PROGRAMS AND PROJECTS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</si>
  <si>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</si>
  <si>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TECHNICAL AND SUPPORT SEVICES PROGRAM</t>
  </si>
  <si>
    <t>I. Production Support Services Sub-Program</t>
  </si>
  <si>
    <t>Productivity-Enhancing/Processing Technologies</t>
  </si>
  <si>
    <t>Push Cart</t>
  </si>
  <si>
    <t>Number</t>
  </si>
  <si>
    <t>Jaketted Kettle</t>
  </si>
  <si>
    <t>Air Burble Washing Machine</t>
  </si>
  <si>
    <t>Bottle Tilling-type Hand Tractor</t>
  </si>
  <si>
    <t>I. AGRICULTURAL MACHINERY, EQUIPMENT, FACILITES AND INFRASTRUCTURE PROGRAM</t>
  </si>
  <si>
    <t>Four Wheel Drice Tractor</t>
  </si>
  <si>
    <t>Rice Combine Harvester</t>
  </si>
  <si>
    <t>Riding type Direct Seeder</t>
  </si>
  <si>
    <t>Rotary Tilling-type Hand Tractor</t>
  </si>
  <si>
    <t>Automated Weather System (AWS) established</t>
  </si>
  <si>
    <t>KABUHAYAN AT KAUNLARAN NG KABABAYANG KATUTUBO (4Ks) PROGRAM</t>
  </si>
  <si>
    <t xml:space="preserve">DISTRICT: LONE 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</si>
  <si>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</si>
  <si>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I. PRODUCTION AND LIVELIHOOD COMPONENT</t>
  </si>
  <si>
    <t>1. Provision of Agricultural Inputs and Livestock</t>
  </si>
  <si>
    <t>2.1.1. Corn and Cassava Related Activity</t>
  </si>
  <si>
    <t>a. GM Hybrid Corn Seeds</t>
  </si>
  <si>
    <t>no. of kg distributed</t>
  </si>
  <si>
    <t>b. Inorganic Fertilizer</t>
  </si>
  <si>
    <t>c. Cassava Seed Pieces</t>
  </si>
  <si>
    <t>no. of seedpieces distributed</t>
  </si>
  <si>
    <t>A. High Value Crops Related Activity</t>
  </si>
  <si>
    <t xml:space="preserve">  Upland Vegetables</t>
  </si>
  <si>
    <t>BASCO only</t>
  </si>
  <si>
    <t xml:space="preserve">  Lowland Vegetables</t>
  </si>
  <si>
    <t>c. Fruit Bearing Trees</t>
  </si>
  <si>
    <t>no. of pcs distributed</t>
  </si>
  <si>
    <t>d. Organic Fertilizer</t>
  </si>
  <si>
    <t xml:space="preserve">  Ube Planting Materials</t>
  </si>
  <si>
    <t>f. Ginger Planting Materials</t>
  </si>
  <si>
    <t>g. Taro/Galyang Planting Materials</t>
  </si>
  <si>
    <t>h. Banana Planting Materials</t>
  </si>
  <si>
    <t>2.1.3. Livestock Related Activity</t>
  </si>
  <si>
    <t>a. Native Chicken</t>
  </si>
  <si>
    <t>no. of head distributed</t>
  </si>
  <si>
    <t>b. Duck</t>
  </si>
  <si>
    <t>c. Carabao with attach implement</t>
  </si>
  <si>
    <t>d. Native/Upgraded Pig</t>
  </si>
  <si>
    <t>2.2. Provision of agricultural machineries</t>
  </si>
  <si>
    <t>2.2.1. Corn and Cassava Related Activity</t>
  </si>
  <si>
    <t>a. Hand Tractor with planter</t>
  </si>
  <si>
    <t>no. of unit distributed</t>
  </si>
  <si>
    <t>b. Hand Tractor with Two-Row Planter</t>
  </si>
  <si>
    <t>c. Power Tiller/Cultivator</t>
  </si>
  <si>
    <t>2.2.2. Fishery Related Activity</t>
  </si>
  <si>
    <t>a. Fishing Boat with Fish Net</t>
  </si>
  <si>
    <t>II.2. PROVISION FOR AGRI-FISHERIES LIVELIHOOD PACKAGES</t>
  </si>
  <si>
    <t>I. Agri-fisheries production input</t>
  </si>
  <si>
    <t>High Value Crops and Native Pig Production SP</t>
  </si>
  <si>
    <t>no. of sub-project</t>
  </si>
  <si>
    <t>NATIONAL SOIL HEALTH PROGRAM</t>
  </si>
  <si>
    <r>
      <rPr>
        <rFont val="Arial"/>
        <b/>
        <color theme="1"/>
        <sz val="17.0"/>
      </rPr>
      <t xml:space="preserve">Remarks 
</t>
    </r>
    <r>
      <rPr>
        <rFont val="Arial"/>
        <b val="0"/>
        <color theme="1"/>
        <sz val="17.0"/>
      </rPr>
      <t>(Breakdown of Municipality Target for FY 2027 )</t>
    </r>
  </si>
  <si>
    <t>National Soil Health Program (Tier II)</t>
  </si>
  <si>
    <t>I. Operation of Regional Soil Laboratories in support to NSHP Activities</t>
  </si>
  <si>
    <t>1.1 Soil Analysis</t>
  </si>
  <si>
    <t>number of samples</t>
  </si>
  <si>
    <t>1.2 Fertilizer Analysis</t>
  </si>
  <si>
    <t>1.3 Plant Tissue Analysis</t>
  </si>
  <si>
    <t>1.4 Participation to Proficiency  Testing</t>
  </si>
  <si>
    <t>Number of PT participated</t>
  </si>
  <si>
    <t>1.5 STK Production/distribution</t>
  </si>
  <si>
    <t>number of STK Produced/ distributed</t>
  </si>
  <si>
    <t>1.6 Maintenance of Regulatory/Statutory issuances acquired</t>
  </si>
  <si>
    <t>number  of regulatory/ statutory issuances acquired/ maintained</t>
  </si>
  <si>
    <t>II. Operation of Mobile Soil Laboratory</t>
  </si>
  <si>
    <t>2.1 Soil Chemical Analysis (STK/Chemical)</t>
  </si>
  <si>
    <t>no. of sample analyzed</t>
  </si>
  <si>
    <t>2.2. Soil Physical Analysis</t>
  </si>
  <si>
    <t>2.3 Soil Microbiological Analysis</t>
  </si>
  <si>
    <t>2.4 Distribution of Soil Health card</t>
  </si>
  <si>
    <t>no. of Soil Health Card distributed</t>
  </si>
  <si>
    <t>2.5 Trainings conducted</t>
  </si>
  <si>
    <t>no. of training conducted</t>
  </si>
  <si>
    <t xml:space="preserve"> </t>
  </si>
  <si>
    <t>CY 2025, 2026 AND FY 2027 BUDGET SUMMARY (₱ '000)</t>
  </si>
  <si>
    <t>REGION 02</t>
  </si>
  <si>
    <t>BATANES PROVINCE</t>
  </si>
  <si>
    <t>LONE DISTRICT</t>
  </si>
  <si>
    <t>PROGRAM/PROJECT FUND SOURCE</t>
  </si>
  <si>
    <t>Variance</t>
  </si>
  <si>
    <t>% Change (Increase/Decrease)</t>
  </si>
  <si>
    <t>Operations</t>
  </si>
  <si>
    <t>National High Value Crops Development Program</t>
  </si>
  <si>
    <t>National Urban and Peri-Urban Agriculture Program</t>
  </si>
  <si>
    <t>National Livestock Program</t>
  </si>
  <si>
    <t>National Organic Agriculture Program</t>
  </si>
  <si>
    <t>HALAL Development Industry Program</t>
  </si>
  <si>
    <t>Locally Funded Projects</t>
  </si>
  <si>
    <t>Farm-to-Market Road (FMR) Development Program</t>
  </si>
  <si>
    <t>Special Area for Agricultural Development (SAAD) Program</t>
  </si>
  <si>
    <t>Kabuhayan at Kaunlaran ng Kababayang Katutubo (4Ks) Program</t>
  </si>
  <si>
    <t>Mainstreaming Climate Resilient Agriculture (MCRA) to the Regional Programs and Projects</t>
  </si>
  <si>
    <t>National Soil Health Program</t>
  </si>
  <si>
    <t>Foreign Assisted Project</t>
  </si>
  <si>
    <t>Philippine Rural Development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</si>
</sst>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_-;\-* #,##0_-;_-* &quot;-&quot;??_-;_-@"/>
    <numFmt numFmtId="166" formatCode="_(* #,##0_);_(* \(#,##0\);_(* &quot;-&quot;??_);_(@_)"/>
    <numFmt numFmtId="167" formatCode="_(* #,##0.0_);_(* \(#,##0.0\);_(* &quot;-&quot;??_);_(@_)"/>
    <numFmt numFmtId="168" formatCode="_-* #,##0.00_-;\-* #,##0.00_-;_-* &quot;-&quot;??.0_-;_-@"/>
    <numFmt numFmtId="169" formatCode="_-* #,##0.00_-;\-* #,##0.00_-;_-* &quot;-&quot;??_-;_-@"/>
    <numFmt numFmtId="170" formatCode="#,##0.000"/>
    <numFmt numFmtId="171" formatCode="_(* #,##0.00_);_(* \(#,##0.00\);_(* &quot;-&quot;??.00_);_(@_)"/>
    <numFmt numFmtId="172" formatCode="_ * #,##0_ ;_ * \-#,##0_ ;_ * &quot;-&quot;??_ ;_ @_ "/>
    <numFmt numFmtId="173" formatCode="_ * #,##0.00_ ;_ * \-#,##0.00_ ;_ * &quot;-&quot;??_ ;_ @_ "/>
    <numFmt numFmtId="174" formatCode="_-* #,##0.00_-;\-* #,##0.00_-;_-* &quot;-&quot;??.00_-;_-@"/>
  </numFmts>
  <fonts count="38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2.0"/>
      <color theme="1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1"/>
      <name val="Arial"/>
    </font>
    <font>
      <sz val="16.0"/>
      <color theme="1"/>
      <name val="Arial"/>
    </font>
    <font>
      <i/>
      <sz val="14.0"/>
      <color theme="1"/>
      <name val="Calibri"/>
    </font>
    <font>
      <b/>
      <sz val="17.0"/>
      <color theme="1"/>
      <name val="Arial"/>
    </font>
    <font>
      <b/>
      <sz val="16.0"/>
      <color rgb="FF000000"/>
      <name val="Arial"/>
    </font>
    <font>
      <sz val="16.0"/>
      <color rgb="FF000000"/>
      <name val="Arial"/>
    </font>
    <font>
      <sz val="17.0"/>
      <color theme="1"/>
      <name val="Arial"/>
    </font>
    <font>
      <i/>
      <sz val="16.0"/>
      <color rgb="FF000000"/>
      <name val="Arial"/>
    </font>
    <font>
      <b/>
      <i/>
      <sz val="16.0"/>
      <color rgb="FF0070C0"/>
      <name val="Arial"/>
    </font>
    <font>
      <i/>
      <sz val="16.0"/>
      <color theme="1"/>
      <name val="Arial"/>
    </font>
    <font>
      <sz val="14.0"/>
      <color theme="1"/>
      <name val="Arial"/>
    </font>
    <font>
      <sz val="16.0"/>
      <color theme="1"/>
      <name val="Calibri"/>
    </font>
    <font>
      <b/>
      <sz val="20.0"/>
      <color theme="1"/>
      <name val="Arial"/>
    </font>
    <font>
      <sz val="20.0"/>
      <color theme="1"/>
      <name val="Arial"/>
    </font>
    <font>
      <b/>
      <sz val="20.0"/>
      <color rgb="FF000000"/>
      <name val="Arial"/>
    </font>
    <font>
      <sz val="20.0"/>
      <color rgb="FF000000"/>
      <name val="Arial"/>
    </font>
    <font>
      <b/>
      <sz val="17.0"/>
      <color rgb="FF000000"/>
      <name val="Arial"/>
    </font>
    <font>
      <sz val="17.0"/>
      <color rgb="FF000000"/>
      <name val="Arial"/>
    </font>
    <font>
      <b/>
      <sz val="16.0"/>
      <color rgb="FF1F1F1F"/>
      <name val="Arial"/>
    </font>
    <font>
      <sz val="14.0"/>
      <color rgb="FF000000"/>
      <name val="Arial"/>
    </font>
    <font>
      <color theme="1"/>
      <name val="Calibri"/>
      <scheme val="minor"/>
    </font>
    <font>
      <sz val="12.0"/>
      <color theme="1"/>
      <name val="Arial"/>
    </font>
    <font>
      <i/>
      <sz val="12.0"/>
      <color theme="1"/>
      <name val="Arial"/>
    </font>
    <font>
      <sz val="18.0"/>
      <color theme="1"/>
      <name val="Arial"/>
    </font>
    <font>
      <b/>
      <sz val="18.0"/>
      <color rgb="FF000000"/>
      <name val="Arial"/>
    </font>
    <font>
      <sz val="18.0"/>
      <color rgb="FF000000"/>
      <name val="Arial"/>
    </font>
    <font>
      <b/>
      <sz val="18.0"/>
      <color theme="1"/>
      <name val="Arial"/>
    </font>
    <font>
      <b/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top/>
    </border>
    <border>
      <left/>
      <right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3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3" numFmtId="4" xfId="0" applyFont="1" applyNumberForma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horizontal="center" vertical="center"/>
    </xf>
    <xf borderId="0" fillId="0" fontId="2" numFmtId="3" xfId="0" applyFont="1" applyNumberFormat="1"/>
    <xf borderId="0" fillId="0" fontId="2" numFmtId="165" xfId="0" applyFont="1" applyNumberFormat="1"/>
    <xf borderId="0" fillId="0" fontId="3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3" xfId="0" applyAlignment="1" applyBorder="1" applyFont="1" applyNumberForma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shrinkToFit="0" vertical="center" wrapText="1"/>
    </xf>
    <xf borderId="5" fillId="0" fontId="6" numFmtId="0" xfId="0" applyBorder="1" applyFont="1"/>
    <xf borderId="1" fillId="0" fontId="5" numFmtId="165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5" numFmtId="3" xfId="0" applyAlignment="1" applyBorder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6" fillId="0" fontId="6" numFmtId="0" xfId="0" applyBorder="1" applyFont="1"/>
    <xf borderId="0" fillId="0" fontId="5" numFmtId="0" xfId="0" applyFont="1"/>
    <xf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vertical="center"/>
    </xf>
    <xf borderId="7" fillId="0" fontId="5" numFmtId="3" xfId="0" applyBorder="1" applyFont="1" applyNumberFormat="1"/>
    <xf borderId="7" fillId="0" fontId="5" numFmtId="164" xfId="0" applyBorder="1" applyFont="1" applyNumberFormat="1"/>
    <xf borderId="7" fillId="0" fontId="5" numFmtId="165" xfId="0" applyBorder="1" applyFont="1" applyNumberFormat="1"/>
    <xf borderId="7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vertical="center"/>
    </xf>
    <xf borderId="7" fillId="0" fontId="3" numFmtId="3" xfId="0" applyBorder="1" applyFont="1" applyNumberFormat="1"/>
    <xf borderId="7" fillId="0" fontId="3" numFmtId="164" xfId="0" applyBorder="1" applyFont="1" applyNumberFormat="1"/>
    <xf borderId="7" fillId="0" fontId="3" numFmtId="165" xfId="0" applyBorder="1" applyFont="1" applyNumberFormat="1"/>
    <xf borderId="7" fillId="0" fontId="3" numFmtId="3" xfId="0" applyAlignment="1" applyBorder="1" applyFont="1" applyNumberFormat="1">
      <alignment horizontal="right"/>
    </xf>
    <xf borderId="7" fillId="0" fontId="3" numFmtId="4" xfId="0" applyBorder="1" applyFont="1" applyNumberFormat="1"/>
    <xf borderId="7" fillId="0" fontId="3" numFmtId="0" xfId="0" applyAlignment="1" applyBorder="1" applyFont="1">
      <alignment horizontal="left" shrinkToFit="0" vertical="center" wrapText="1"/>
    </xf>
    <xf borderId="7" fillId="0" fontId="5" numFmtId="4" xfId="0" applyBorder="1" applyFont="1" applyNumberFormat="1"/>
    <xf borderId="7" fillId="0" fontId="5" numFmtId="164" xfId="0" applyAlignment="1" applyBorder="1" applyFont="1" applyNumberFormat="1">
      <alignment vertical="center"/>
    </xf>
    <xf borderId="7" fillId="0" fontId="5" numFmtId="3" xfId="0" applyAlignment="1" applyBorder="1" applyFont="1" applyNumberFormat="1">
      <alignment horizontal="right"/>
    </xf>
    <xf borderId="0" fillId="0" fontId="8" numFmtId="0" xfId="0" applyFont="1"/>
    <xf borderId="7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7" numFmtId="3" xfId="0" applyBorder="1" applyFont="1" applyNumberFormat="1"/>
    <xf borderId="7" fillId="2" fontId="7" numFmtId="165" xfId="0" applyBorder="1" applyFill="1" applyFont="1" applyNumberFormat="1"/>
    <xf borderId="7" fillId="0" fontId="7" numFmtId="164" xfId="0" applyBorder="1" applyFont="1" applyNumberFormat="1"/>
    <xf borderId="7" fillId="2" fontId="7" numFmtId="164" xfId="0" applyBorder="1" applyFont="1" applyNumberFormat="1"/>
    <xf borderId="7" fillId="0" fontId="7" numFmtId="165" xfId="0" applyBorder="1" applyFont="1" applyNumberFormat="1"/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vertical="center"/>
    </xf>
    <xf borderId="7" fillId="0" fontId="8" numFmtId="3" xfId="0" applyBorder="1" applyFont="1" applyNumberFormat="1"/>
    <xf borderId="7" fillId="0" fontId="8" numFmtId="164" xfId="0" applyBorder="1" applyFont="1" applyNumberFormat="1"/>
    <xf borderId="7" fillId="0" fontId="8" numFmtId="165" xfId="0" applyBorder="1" applyFont="1" applyNumberFormat="1"/>
    <xf borderId="7" fillId="0" fontId="8" numFmtId="4" xfId="0" applyBorder="1" applyFont="1" applyNumberFormat="1"/>
    <xf borderId="8" fillId="2" fontId="7" numFmtId="0" xfId="0" applyBorder="1" applyFont="1"/>
    <xf borderId="8" fillId="2" fontId="7" numFmtId="0" xfId="0" applyAlignment="1" applyBorder="1" applyFont="1">
      <alignment horizontal="center" vertical="center"/>
    </xf>
    <xf borderId="8" fillId="2" fontId="7" numFmtId="164" xfId="0" applyBorder="1" applyFont="1" applyNumberFormat="1"/>
    <xf borderId="8" fillId="2" fontId="7" numFmtId="165" xfId="0" applyBorder="1" applyFont="1" applyNumberFormat="1"/>
    <xf borderId="8" fillId="2" fontId="7" numFmtId="4" xfId="0" applyBorder="1" applyFont="1" applyNumberFormat="1"/>
    <xf borderId="8" fillId="2" fontId="3" numFmtId="0" xfId="0" applyBorder="1" applyFont="1"/>
    <xf borderId="8" fillId="3" fontId="7" numFmtId="166" xfId="0" applyAlignment="1" applyBorder="1" applyFill="1" applyFont="1" applyNumberFormat="1">
      <alignment shrinkToFit="0" wrapText="1"/>
    </xf>
    <xf borderId="8" fillId="3" fontId="9" numFmtId="0" xfId="0" applyBorder="1" applyFont="1"/>
    <xf borderId="9" fillId="3" fontId="7" numFmtId="0" xfId="0" applyAlignment="1" applyBorder="1" applyFont="1">
      <alignment shrinkToFit="0" wrapText="1"/>
    </xf>
    <xf borderId="10" fillId="0" fontId="6" numFmtId="0" xfId="0" applyBorder="1" applyFont="1"/>
    <xf borderId="9" fillId="3" fontId="7" numFmtId="166" xfId="0" applyBorder="1" applyFont="1" applyNumberFormat="1"/>
    <xf borderId="8" fillId="3" fontId="9" numFmtId="166" xfId="0" applyBorder="1" applyFont="1" applyNumberFormat="1"/>
    <xf borderId="8" fillId="3" fontId="7" numFmtId="166" xfId="0" applyAlignment="1" applyBorder="1" applyFont="1" applyNumberFormat="1">
      <alignment vertical="top"/>
    </xf>
    <xf borderId="8" fillId="3" fontId="9" numFmtId="166" xfId="0" applyAlignment="1" applyBorder="1" applyFont="1" applyNumberFormat="1">
      <alignment vertical="top"/>
    </xf>
    <xf borderId="8" fillId="3" fontId="9" numFmtId="165" xfId="0" applyBorder="1" applyFont="1" applyNumberFormat="1"/>
    <xf borderId="8" fillId="3" fontId="8" numFmtId="166" xfId="0" applyBorder="1" applyFont="1" applyNumberFormat="1"/>
    <xf borderId="9" fillId="3" fontId="8" numFmtId="166" xfId="0" applyBorder="1" applyFont="1" applyNumberFormat="1"/>
    <xf borderId="8" fillId="3" fontId="7" numFmtId="166" xfId="0" applyBorder="1" applyFont="1" applyNumberFormat="1"/>
    <xf borderId="8" fillId="3" fontId="7" numFmtId="0" xfId="0" applyAlignment="1" applyBorder="1" applyFont="1">
      <alignment vertical="top"/>
    </xf>
    <xf borderId="8" fillId="3" fontId="9" numFmtId="164" xfId="0" applyBorder="1" applyFont="1" applyNumberFormat="1"/>
    <xf borderId="0" fillId="0" fontId="7" numFmtId="0" xfId="0" applyAlignment="1" applyFont="1">
      <alignment horizontal="center" vertical="center"/>
    </xf>
    <xf borderId="0" fillId="0" fontId="7" numFmtId="3" xfId="0" applyFont="1" applyNumberFormat="1"/>
    <xf borderId="0" fillId="0" fontId="7" numFmtId="164" xfId="0" applyFont="1" applyNumberFormat="1"/>
    <xf borderId="0" fillId="0" fontId="7" numFmtId="165" xfId="0" applyFont="1" applyNumberFormat="1"/>
    <xf borderId="0" fillId="0" fontId="7" numFmtId="4" xfId="0" applyFont="1" applyNumberFormat="1"/>
    <xf borderId="0" fillId="0" fontId="10" numFmtId="164" xfId="0" applyAlignment="1" applyFont="1" applyNumberFormat="1">
      <alignment horizontal="left"/>
    </xf>
    <xf borderId="0" fillId="0" fontId="10" numFmtId="164" xfId="0" applyFont="1" applyNumberFormat="1"/>
    <xf borderId="0" fillId="0" fontId="11" numFmtId="0" xfId="0" applyFont="1"/>
    <xf borderId="0" fillId="0" fontId="10" numFmtId="164" xfId="0" applyAlignment="1" applyFont="1" applyNumberFormat="1">
      <alignment horizontal="left" readingOrder="0"/>
    </xf>
    <xf borderId="0" fillId="3" fontId="12" numFmtId="0" xfId="0" applyAlignment="1" applyFont="1">
      <alignment shrinkToFit="0" vertical="bottom" wrapText="1"/>
    </xf>
    <xf borderId="0" fillId="0" fontId="10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center" vertical="center"/>
    </xf>
    <xf borderId="0" fillId="0" fontId="11" numFmtId="0" xfId="0" applyAlignment="1" applyFont="1">
      <alignment vertical="center"/>
    </xf>
    <xf borderId="0" fillId="0" fontId="11" numFmtId="164" xfId="0" applyAlignment="1" applyFont="1" applyNumberFormat="1">
      <alignment vertical="center"/>
    </xf>
    <xf borderId="1" fillId="3" fontId="10" numFmtId="0" xfId="0" applyAlignment="1" applyBorder="1" applyFont="1">
      <alignment horizontal="center" shrinkToFit="0" vertical="center" wrapText="1"/>
    </xf>
    <xf borderId="11" fillId="3" fontId="10" numFmtId="3" xfId="0" applyAlignment="1" applyBorder="1" applyFont="1" applyNumberFormat="1">
      <alignment horizontal="center" readingOrder="0" shrinkToFit="0" vertical="center" wrapText="1"/>
    </xf>
    <xf borderId="12" fillId="0" fontId="6" numFmtId="0" xfId="0" applyBorder="1" applyFont="1"/>
    <xf borderId="11" fillId="3" fontId="13" numFmtId="3" xfId="0" applyAlignment="1" applyBorder="1" applyFont="1" applyNumberFormat="1">
      <alignment horizontal="center" shrinkToFit="0" vertical="center" wrapText="1"/>
    </xf>
    <xf borderId="2" fillId="3" fontId="10" numFmtId="3" xfId="0" applyAlignment="1" applyBorder="1" applyFont="1" applyNumberFormat="1">
      <alignment horizontal="center" shrinkToFit="0" vertical="center" wrapText="1"/>
    </xf>
    <xf borderId="1" fillId="3" fontId="13" numFmtId="166" xfId="0" applyAlignment="1" applyBorder="1" applyFont="1" applyNumberForma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5" fillId="3" fontId="10" numFmtId="165" xfId="0" applyAlignment="1" applyBorder="1" applyFont="1" applyNumberFormat="1">
      <alignment horizontal="center" shrinkToFit="0" vertical="center" wrapText="1"/>
    </xf>
    <xf borderId="5" fillId="3" fontId="10" numFmtId="4" xfId="0" applyAlignment="1" applyBorder="1" applyFont="1" applyNumberFormat="1">
      <alignment horizontal="center" shrinkToFit="0" vertical="center" wrapText="1"/>
    </xf>
    <xf borderId="1" fillId="3" fontId="10" numFmtId="3" xfId="0" applyAlignment="1" applyBorder="1" applyFont="1" applyNumberFormat="1">
      <alignment horizontal="center" shrinkToFit="0" vertical="center" wrapText="1"/>
    </xf>
    <xf borderId="1" fillId="3" fontId="13" numFmtId="164" xfId="0" applyAlignment="1" applyBorder="1" applyFont="1" applyNumberFormat="1">
      <alignment horizontal="center" shrinkToFit="0" vertical="center" wrapText="1"/>
    </xf>
    <xf borderId="1" fillId="3" fontId="13" numFmtId="3" xfId="0" applyAlignment="1" applyBorder="1" applyFont="1" applyNumberFormat="1">
      <alignment horizontal="center" shrinkToFit="0" vertical="center" wrapText="1"/>
    </xf>
    <xf borderId="7" fillId="3" fontId="14" numFmtId="164" xfId="0" applyAlignment="1" applyBorder="1" applyFont="1" applyNumberFormat="1">
      <alignment shrinkToFit="0" vertical="center" wrapText="1"/>
    </xf>
    <xf borderId="7" fillId="0" fontId="10" numFmtId="164" xfId="0" applyAlignment="1" applyBorder="1" applyFont="1" applyNumberFormat="1">
      <alignment horizontal="center" shrinkToFit="0" vertical="center" wrapText="1"/>
    </xf>
    <xf borderId="7" fillId="0" fontId="10" numFmtId="167" xfId="0" applyAlignment="1" applyBorder="1" applyFont="1" applyNumberFormat="1">
      <alignment horizontal="right" shrinkToFit="0" vertical="center" wrapText="1"/>
    </xf>
    <xf borderId="7" fillId="0" fontId="10" numFmtId="4" xfId="0" applyAlignment="1" applyBorder="1" applyFont="1" applyNumberFormat="1">
      <alignment horizontal="right" shrinkToFit="0" vertical="center" wrapText="1"/>
    </xf>
    <xf borderId="0" fillId="0" fontId="10" numFmtId="4" xfId="0" applyAlignment="1" applyFont="1" applyNumberFormat="1">
      <alignment horizontal="right" shrinkToFit="0" vertical="center" wrapText="1"/>
    </xf>
    <xf borderId="7" fillId="2" fontId="14" numFmtId="164" xfId="0" applyAlignment="1" applyBorder="1" applyFont="1" applyNumberFormat="1">
      <alignment horizontal="left" shrinkToFit="0" vertical="center" wrapText="1"/>
    </xf>
    <xf borderId="7" fillId="0" fontId="11" numFmtId="166" xfId="0" applyBorder="1" applyFont="1" applyNumberFormat="1"/>
    <xf borderId="7" fillId="0" fontId="10" numFmtId="4" xfId="0" applyAlignment="1" applyBorder="1" applyFont="1" applyNumberFormat="1">
      <alignment horizontal="right" shrinkToFit="0" wrapText="1"/>
    </xf>
    <xf borderId="7" fillId="0" fontId="10" numFmtId="165" xfId="0" applyAlignment="1" applyBorder="1" applyFont="1" applyNumberFormat="1">
      <alignment horizontal="right" shrinkToFit="0" vertical="center" wrapText="1"/>
    </xf>
    <xf borderId="7" fillId="0" fontId="14" numFmtId="164" xfId="0" applyAlignment="1" applyBorder="1" applyFont="1" applyNumberFormat="1">
      <alignment horizontal="left" shrinkToFit="0" vertical="center" wrapText="1"/>
    </xf>
    <xf borderId="7" fillId="0" fontId="11" numFmtId="164" xfId="0" applyAlignment="1" applyBorder="1" applyFont="1" applyNumberFormat="1">
      <alignment horizontal="center" shrinkToFit="0" vertical="center" wrapText="1"/>
    </xf>
    <xf borderId="7" fillId="0" fontId="11" numFmtId="165" xfId="0" applyAlignment="1" applyBorder="1" applyFont="1" applyNumberFormat="1">
      <alignment horizontal="right" shrinkToFit="0" vertical="center" wrapText="1"/>
    </xf>
    <xf borderId="7" fillId="0" fontId="11" numFmtId="4" xfId="0" applyAlignment="1" applyBorder="1" applyFont="1" applyNumberFormat="1">
      <alignment horizontal="right" shrinkToFit="0" vertical="center" wrapText="1"/>
    </xf>
    <xf borderId="7" fillId="0" fontId="11" numFmtId="4" xfId="0" applyBorder="1" applyFont="1" applyNumberFormat="1"/>
    <xf borderId="7" fillId="0" fontId="11" numFmtId="167" xfId="0" applyAlignment="1" applyBorder="1" applyFont="1" applyNumberFormat="1">
      <alignment horizontal="right" shrinkToFit="0" vertical="center" wrapText="1"/>
    </xf>
    <xf borderId="7" fillId="0" fontId="15" numFmtId="164" xfId="0" applyAlignment="1" applyBorder="1" applyFont="1" applyNumberFormat="1">
      <alignment horizontal="left" shrinkToFit="0" vertical="center" wrapText="1"/>
    </xf>
    <xf borderId="7" fillId="3" fontId="14" numFmtId="164" xfId="0" applyAlignment="1" applyBorder="1" applyFont="1" applyNumberFormat="1">
      <alignment horizontal="left" shrinkToFit="0" vertical="center" wrapText="1"/>
    </xf>
    <xf borderId="7" fillId="3" fontId="15" numFmtId="164" xfId="0" applyAlignment="1" applyBorder="1" applyFont="1" applyNumberFormat="1">
      <alignment horizontal="left" shrinkToFit="0" vertical="center" wrapText="1"/>
    </xf>
    <xf borderId="7" fillId="3" fontId="15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3" fontId="14" numFmtId="0" xfId="0" applyAlignment="1" applyBorder="1" applyFont="1">
      <alignment horizontal="left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7" fillId="0" fontId="11" numFmtId="166" xfId="0" applyAlignment="1" applyBorder="1" applyFont="1" applyNumberFormat="1">
      <alignment horizontal="right" shrinkToFit="0" wrapText="1"/>
    </xf>
    <xf borderId="7" fillId="0" fontId="11" numFmtId="4" xfId="0" applyAlignment="1" applyBorder="1" applyFont="1" applyNumberFormat="1">
      <alignment horizontal="right" shrinkToFit="0" wrapText="1"/>
    </xf>
    <xf borderId="7" fillId="0" fontId="16" numFmtId="4" xfId="0" applyAlignment="1" applyBorder="1" applyFont="1" applyNumberFormat="1">
      <alignment horizontal="right" readingOrder="0" shrinkToFit="0" vertical="center" wrapText="1"/>
    </xf>
    <xf borderId="7" fillId="3" fontId="11" numFmtId="0" xfId="0" applyAlignment="1" applyBorder="1" applyFont="1">
      <alignment horizontal="left" shrinkToFit="0" vertical="center" wrapText="1"/>
    </xf>
    <xf borderId="7" fillId="0" fontId="16" numFmtId="4" xfId="0" applyAlignment="1" applyBorder="1" applyFont="1" applyNumberFormat="1">
      <alignment horizontal="center" readingOrder="0" shrinkToFit="0" vertical="center" wrapText="1"/>
    </xf>
    <xf borderId="7" fillId="4" fontId="15" numFmtId="0" xfId="0" applyAlignment="1" applyBorder="1" applyFill="1" applyFont="1">
      <alignment horizontal="left" shrinkToFit="0" vertical="center" wrapText="1"/>
    </xf>
    <xf borderId="7" fillId="0" fontId="15" numFmtId="0" xfId="0" applyAlignment="1" applyBorder="1" applyFont="1">
      <alignment horizontal="left" shrinkToFit="0" vertical="center" wrapText="1"/>
    </xf>
    <xf borderId="7" fillId="0" fontId="14" numFmtId="0" xfId="0" applyAlignment="1" applyBorder="1" applyFont="1">
      <alignment horizontal="left" shrinkToFit="0" vertical="center" wrapText="1"/>
    </xf>
    <xf borderId="7" fillId="0" fontId="15" numFmtId="0" xfId="0" applyAlignment="1" applyBorder="1" applyFont="1">
      <alignment shrinkToFit="0" vertical="center" wrapText="1"/>
    </xf>
    <xf borderId="7" fillId="5" fontId="14" numFmtId="0" xfId="0" applyAlignment="1" applyBorder="1" applyFill="1" applyFont="1">
      <alignment horizontal="left" shrinkToFit="0" vertical="center" wrapText="1"/>
    </xf>
    <xf borderId="7" fillId="0" fontId="17" numFmtId="0" xfId="0" applyAlignment="1" applyBorder="1" applyFont="1">
      <alignment horizontal="left" shrinkToFit="0" vertical="center" wrapText="1"/>
    </xf>
    <xf borderId="7" fillId="3" fontId="10" numFmtId="0" xfId="0" applyAlignment="1" applyBorder="1" applyFont="1">
      <alignment horizontal="left" shrinkToFit="0" vertical="center" wrapText="1"/>
    </xf>
    <xf borderId="7" fillId="3" fontId="18" numFmtId="0" xfId="0" applyAlignment="1" applyBorder="1" applyFont="1">
      <alignment horizontal="left" shrinkToFit="0" vertical="center" wrapText="1"/>
    </xf>
    <xf borderId="7" fillId="3" fontId="19" numFmtId="0" xfId="0" applyAlignment="1" applyBorder="1" applyFont="1">
      <alignment horizontal="left" shrinkToFit="0" vertical="center" wrapText="1"/>
    </xf>
    <xf borderId="7" fillId="3" fontId="15" numFmtId="0" xfId="0" applyAlignment="1" applyBorder="1" applyFont="1">
      <alignment shrinkToFit="0" vertical="center" wrapText="1"/>
    </xf>
    <xf borderId="7" fillId="2" fontId="14" numFmtId="0" xfId="0" applyAlignment="1" applyBorder="1" applyFont="1">
      <alignment horizontal="left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0" numFmtId="4" xfId="0" applyBorder="1" applyFont="1" applyNumberFormat="1"/>
    <xf borderId="7" fillId="0" fontId="10" numFmtId="4" xfId="0" applyAlignment="1" applyBorder="1" applyFont="1" applyNumberFormat="1">
      <alignment readingOrder="0"/>
    </xf>
    <xf borderId="7" fillId="0" fontId="11" numFmtId="4" xfId="0" applyAlignment="1" applyBorder="1" applyFont="1" applyNumberFormat="1">
      <alignment horizontal="right" readingOrder="0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8" fillId="3" fontId="11" numFmtId="166" xfId="0" applyAlignment="1" applyBorder="1" applyFont="1" applyNumberFormat="1">
      <alignment shrinkToFit="0" wrapText="1"/>
    </xf>
    <xf borderId="8" fillId="3" fontId="11" numFmtId="0" xfId="0" applyAlignment="1" applyBorder="1" applyFont="1">
      <alignment shrinkToFit="0" wrapText="1"/>
    </xf>
    <xf borderId="8" fillId="3" fontId="11" numFmtId="166" xfId="0" applyBorder="1" applyFont="1" applyNumberFormat="1"/>
    <xf borderId="0" fillId="0" fontId="9" numFmtId="0" xfId="0" applyFont="1"/>
    <xf borderId="0" fillId="0" fontId="9" numFmtId="166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11" numFmtId="166" xfId="0" applyAlignment="1" applyFont="1" applyNumberFormat="1">
      <alignment vertical="bottom"/>
    </xf>
    <xf borderId="0" fillId="0" fontId="9" numFmtId="0" xfId="0" applyAlignment="1" applyFont="1">
      <alignment vertical="bottom"/>
    </xf>
    <xf borderId="8" fillId="3" fontId="20" numFmtId="166" xfId="0" applyAlignment="1" applyBorder="1" applyFont="1" applyNumberFormat="1">
      <alignment vertical="top"/>
    </xf>
    <xf borderId="8" fillId="3" fontId="9" numFmtId="166" xfId="0" applyAlignment="1" applyBorder="1" applyFont="1" applyNumberFormat="1">
      <alignment vertical="bottom"/>
    </xf>
    <xf borderId="8" fillId="3" fontId="10" numFmtId="166" xfId="0" applyBorder="1" applyFont="1" applyNumberFormat="1"/>
    <xf borderId="0" fillId="0" fontId="10" numFmtId="166" xfId="0" applyAlignment="1" applyFont="1" applyNumberFormat="1">
      <alignment vertical="bottom"/>
    </xf>
    <xf borderId="8" fillId="3" fontId="10" numFmtId="166" xfId="0" applyAlignment="1" applyBorder="1" applyFont="1" applyNumberFormat="1">
      <alignment vertical="bottom"/>
    </xf>
    <xf borderId="8" fillId="3" fontId="20" numFmtId="166" xfId="0" applyBorder="1" applyFont="1" applyNumberFormat="1"/>
    <xf borderId="8" fillId="3" fontId="20" numFmtId="166" xfId="0" applyAlignment="1" applyBorder="1" applyFont="1" applyNumberFormat="1">
      <alignment vertical="bottom"/>
    </xf>
    <xf borderId="8" fillId="3" fontId="11" numFmtId="0" xfId="0" applyAlignment="1" applyBorder="1" applyFont="1">
      <alignment vertical="top"/>
    </xf>
    <xf borderId="8" fillId="3" fontId="21" numFmtId="0" xfId="0" applyBorder="1" applyFont="1"/>
    <xf borderId="0" fillId="0" fontId="21" numFmtId="0" xfId="0" applyFont="1"/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center" vertical="center"/>
    </xf>
    <xf borderId="8" fillId="3" fontId="11" numFmtId="166" xfId="0" applyAlignment="1" applyBorder="1" applyFont="1" applyNumberFormat="1">
      <alignment horizontal="left" vertical="center"/>
    </xf>
    <xf borderId="8" fillId="3" fontId="11" numFmtId="4" xfId="0" applyAlignment="1" applyBorder="1" applyFont="1" applyNumberFormat="1">
      <alignment horizontal="left" vertical="center"/>
    </xf>
    <xf borderId="0" fillId="0" fontId="15" numFmtId="0" xfId="0" applyAlignment="1" applyFont="1">
      <alignment vertical="center"/>
    </xf>
    <xf borderId="0" fillId="0" fontId="22" numFmtId="164" xfId="0" applyFont="1" applyNumberFormat="1"/>
    <xf borderId="0" fillId="0" fontId="23" numFmtId="164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3" numFmtId="4" xfId="0" applyAlignment="1" applyFont="1" applyNumberFormat="1">
      <alignment vertical="center"/>
    </xf>
    <xf borderId="0" fillId="0" fontId="22" numFmtId="164" xfId="0" applyAlignment="1" applyFont="1" applyNumberFormat="1">
      <alignment readingOrder="0"/>
    </xf>
    <xf borderId="0" fillId="0" fontId="22" numFmtId="164" xfId="0" applyAlignment="1" applyFont="1" applyNumberFormat="1">
      <alignment vertical="center"/>
    </xf>
    <xf borderId="0" fillId="0" fontId="11" numFmtId="4" xfId="0" applyAlignment="1" applyFont="1" applyNumberFormat="1">
      <alignment vertical="center"/>
    </xf>
    <xf borderId="7" fillId="3" fontId="10" numFmtId="0" xfId="0" applyAlignment="1" applyBorder="1" applyFont="1">
      <alignment shrinkToFit="0" vertical="center" wrapText="1"/>
    </xf>
    <xf borderId="7" fillId="0" fontId="11" numFmtId="164" xfId="0" applyAlignment="1" applyBorder="1" applyFont="1" applyNumberFormat="1">
      <alignment vertical="center"/>
    </xf>
    <xf borderId="7" fillId="0" fontId="11" numFmtId="165" xfId="0" applyAlignment="1" applyBorder="1" applyFont="1" applyNumberFormat="1">
      <alignment vertical="center"/>
    </xf>
    <xf borderId="7" fillId="0" fontId="10" numFmtId="4" xfId="0" applyAlignment="1" applyBorder="1" applyFont="1" applyNumberFormat="1">
      <alignment vertical="center"/>
    </xf>
    <xf borderId="7" fillId="0" fontId="10" numFmtId="168" xfId="0" applyAlignment="1" applyBorder="1" applyFont="1" applyNumberFormat="1">
      <alignment vertical="center"/>
    </xf>
    <xf borderId="1" fillId="0" fontId="11" numFmtId="168" xfId="0" applyAlignment="1" applyBorder="1" applyFont="1" applyNumberFormat="1">
      <alignment readingOrder="0" shrinkToFit="0" vertical="center" wrapText="1"/>
    </xf>
    <xf borderId="7" fillId="0" fontId="11" numFmtId="168" xfId="0" applyAlignment="1" applyBorder="1" applyFont="1" applyNumberFormat="1">
      <alignment vertical="center"/>
    </xf>
    <xf borderId="7" fillId="0" fontId="11" numFmtId="0" xfId="0" applyAlignment="1" applyBorder="1" applyFont="1">
      <alignment vertical="center"/>
    </xf>
    <xf borderId="7" fillId="0" fontId="11" numFmtId="4" xfId="0" applyAlignment="1" applyBorder="1" applyFont="1" applyNumberFormat="1">
      <alignment vertical="center"/>
    </xf>
    <xf borderId="7" fillId="3" fontId="11" numFmtId="0" xfId="0" applyAlignment="1" applyBorder="1" applyFont="1">
      <alignment shrinkToFit="0" vertical="center" wrapText="1"/>
    </xf>
    <xf borderId="7" fillId="0" fontId="16" numFmtId="0" xfId="0" applyAlignment="1" applyBorder="1" applyFont="1">
      <alignment vertical="center"/>
    </xf>
    <xf borderId="7" fillId="0" fontId="16" numFmtId="169" xfId="0" applyAlignment="1" applyBorder="1" applyFont="1" applyNumberFormat="1">
      <alignment vertical="center"/>
    </xf>
    <xf borderId="7" fillId="0" fontId="16" numFmtId="165" xfId="0" applyAlignment="1" applyBorder="1" applyFont="1" applyNumberFormat="1">
      <alignment vertical="center"/>
    </xf>
    <xf borderId="7" fillId="0" fontId="16" numFmtId="4" xfId="0" applyAlignment="1" applyBorder="1" applyFont="1" applyNumberFormat="1">
      <alignment vertical="center"/>
    </xf>
    <xf borderId="7" fillId="3" fontId="16" numFmtId="0" xfId="0" applyAlignment="1" applyBorder="1" applyFont="1">
      <alignment shrinkToFit="0" vertical="center" wrapText="1"/>
    </xf>
    <xf borderId="7" fillId="0" fontId="16" numFmtId="165" xfId="0" applyAlignment="1" applyBorder="1" applyFont="1" applyNumberFormat="1">
      <alignment horizontal="right"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3" fontId="13" numFmtId="0" xfId="0" applyAlignment="1" applyBorder="1" applyFont="1">
      <alignment shrinkToFit="0" vertical="center" wrapText="1"/>
    </xf>
    <xf borderId="0" fillId="0" fontId="9" numFmtId="4" xfId="0" applyFont="1" applyNumberFormat="1"/>
    <xf borderId="8" fillId="3" fontId="11" numFmtId="0" xfId="0" applyAlignment="1" applyBorder="1" applyFont="1">
      <alignment vertical="center"/>
    </xf>
    <xf borderId="0" fillId="0" fontId="22" numFmtId="164" xfId="0" applyAlignment="1" applyFont="1" applyNumberFormat="1">
      <alignment horizontal="left" vertical="center"/>
    </xf>
    <xf borderId="0" fillId="0" fontId="22" numFmtId="164" xfId="0" applyAlignment="1" applyFont="1" applyNumberFormat="1">
      <alignment horizontal="left" readingOrder="0" vertical="center"/>
    </xf>
    <xf borderId="0" fillId="2" fontId="12" numFmtId="0" xfId="0" applyAlignment="1" applyFont="1">
      <alignment shrinkToFit="0" vertical="bottom" wrapText="1"/>
    </xf>
    <xf borderId="0" fillId="0" fontId="24" numFmtId="0" xfId="0" applyAlignment="1" applyFont="1">
      <alignment horizontal="left" shrinkToFit="0" vertical="center" wrapText="1"/>
    </xf>
    <xf borderId="0" fillId="0" fontId="25" numFmtId="0" xfId="0" applyAlignment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11" fillId="2" fontId="13" numFmtId="3" xfId="0" applyAlignment="1" applyBorder="1" applyFont="1" applyNumberFormat="1">
      <alignment horizontal="center" shrinkToFit="0" vertical="center" wrapText="1"/>
    </xf>
    <xf borderId="2" fillId="2" fontId="10" numFmtId="3" xfId="0" applyAlignment="1" applyBorder="1" applyFont="1" applyNumberFormat="1">
      <alignment horizontal="center" shrinkToFit="0" vertical="center" wrapText="1"/>
    </xf>
    <xf borderId="1" fillId="2" fontId="13" numFmtId="166" xfId="0" applyAlignment="1" applyBorder="1" applyFont="1" applyNumberFormat="1">
      <alignment horizontal="center" shrinkToFit="0" vertical="center" wrapText="1"/>
    </xf>
    <xf borderId="1" fillId="2" fontId="10" numFmtId="3" xfId="0" applyAlignment="1" applyBorder="1" applyFont="1" applyNumberFormat="1">
      <alignment horizontal="center" shrinkToFit="0" vertical="center" wrapText="1"/>
    </xf>
    <xf borderId="1" fillId="2" fontId="13" numFmtId="164" xfId="0" applyAlignment="1" applyBorder="1" applyFont="1" applyNumberFormat="1">
      <alignment horizontal="center" shrinkToFit="0" vertical="center" wrapText="1"/>
    </xf>
    <xf borderId="1" fillId="2" fontId="13" numFmtId="3" xfId="0" applyAlignment="1" applyBorder="1" applyFont="1" applyNumberFormat="1">
      <alignment horizontal="center" shrinkToFit="0" vertical="center" wrapText="1"/>
    </xf>
    <xf borderId="7" fillId="0" fontId="14" numFmtId="0" xfId="0" applyAlignment="1" applyBorder="1" applyFont="1">
      <alignment shrinkToFit="0" vertical="center" wrapText="1"/>
    </xf>
    <xf borderId="7" fillId="0" fontId="14" numFmtId="0" xfId="0" applyAlignment="1" applyBorder="1" applyFont="1">
      <alignment horizontal="right" vertical="center"/>
    </xf>
    <xf borderId="7" fillId="0" fontId="26" numFmtId="169" xfId="0" applyAlignment="1" applyBorder="1" applyFont="1" applyNumberFormat="1">
      <alignment horizontal="right" vertical="center"/>
    </xf>
    <xf borderId="7" fillId="0" fontId="14" numFmtId="2" xfId="0" applyAlignment="1" applyBorder="1" applyFont="1" applyNumberFormat="1">
      <alignment shrinkToFit="0" vertical="center" wrapText="1"/>
    </xf>
    <xf borderId="7" fillId="0" fontId="14" numFmtId="169" xfId="0" applyAlignment="1" applyBorder="1" applyFont="1" applyNumberFormat="1">
      <alignment horizontal="right" shrinkToFit="0" vertical="center" wrapText="1"/>
    </xf>
    <xf borderId="7" fillId="0" fontId="14" numFmtId="169" xfId="0" applyAlignment="1" applyBorder="1" applyFont="1" applyNumberFormat="1">
      <alignment shrinkToFit="0" vertical="center" wrapText="1"/>
    </xf>
    <xf borderId="7" fillId="0" fontId="15" numFmtId="169" xfId="0" applyAlignment="1" applyBorder="1" applyFont="1" applyNumberFormat="1">
      <alignment shrinkToFit="0" vertical="center" wrapText="1"/>
    </xf>
    <xf borderId="7" fillId="0" fontId="27" numFmtId="0" xfId="0" applyAlignment="1" applyBorder="1" applyFont="1">
      <alignment horizontal="right" vertical="center"/>
    </xf>
    <xf borderId="7" fillId="0" fontId="27" numFmtId="169" xfId="0" applyAlignment="1" applyBorder="1" applyFont="1" applyNumberFormat="1">
      <alignment horizontal="right" vertical="center"/>
    </xf>
    <xf borderId="7" fillId="0" fontId="27" numFmtId="0" xfId="0" applyAlignment="1" applyBorder="1" applyFont="1">
      <alignment horizontal="right" shrinkToFit="0" vertical="center" wrapText="1"/>
    </xf>
    <xf borderId="7" fillId="0" fontId="27" numFmtId="169" xfId="0" applyAlignment="1" applyBorder="1" applyFont="1" applyNumberFormat="1">
      <alignment horizontal="right" shrinkToFit="0" vertical="center" wrapText="1"/>
    </xf>
    <xf borderId="7" fillId="0" fontId="15" numFmtId="169" xfId="0" applyAlignment="1" applyBorder="1" applyFont="1" applyNumberFormat="1">
      <alignment horizontal="right" readingOrder="0" shrinkToFit="0" vertical="center" wrapText="1"/>
    </xf>
    <xf borderId="7" fillId="0" fontId="15" numFmtId="169" xfId="0" applyAlignment="1" applyBorder="1" applyFont="1" applyNumberFormat="1">
      <alignment horizontal="right" shrinkToFit="0" vertical="center" wrapText="1"/>
    </xf>
    <xf borderId="7" fillId="0" fontId="15" numFmtId="0" xfId="0" applyAlignment="1" applyBorder="1" applyFont="1">
      <alignment horizontal="right" vertical="center"/>
    </xf>
    <xf borderId="7" fillId="0" fontId="15" numFmtId="169" xfId="0" applyAlignment="1" applyBorder="1" applyFont="1" applyNumberFormat="1">
      <alignment horizontal="right" vertical="center"/>
    </xf>
    <xf borderId="7" fillId="0" fontId="15" numFmtId="0" xfId="0" applyAlignment="1" applyBorder="1" applyFont="1">
      <alignment horizontal="right" shrinkToFit="0" vertical="center" wrapText="1"/>
    </xf>
    <xf borderId="7" fillId="0" fontId="13" numFmtId="0" xfId="0" applyBorder="1" applyFont="1"/>
    <xf borderId="7" fillId="0" fontId="11" numFmtId="0" xfId="0" applyBorder="1" applyFont="1"/>
    <xf borderId="7" fillId="3" fontId="28" numFmtId="0" xfId="0" applyAlignment="1" applyBorder="1" applyFont="1">
      <alignment shrinkToFit="0" vertical="center" wrapText="1"/>
    </xf>
    <xf borderId="7" fillId="0" fontId="14" numFmtId="4" xfId="0" applyAlignment="1" applyBorder="1" applyFont="1" applyNumberFormat="1">
      <alignment shrinkToFit="0" vertical="center" wrapText="1"/>
    </xf>
    <xf borderId="7" fillId="0" fontId="27" numFmtId="0" xfId="0" applyAlignment="1" applyBorder="1" applyFont="1">
      <alignment shrinkToFit="0" vertical="center" wrapText="1"/>
    </xf>
    <xf borderId="7" fillId="0" fontId="27" numFmtId="169" xfId="0" applyAlignment="1" applyBorder="1" applyFont="1" applyNumberFormat="1">
      <alignment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7" fillId="0" fontId="26" numFmtId="169" xfId="0" applyAlignment="1" applyBorder="1" applyFont="1" applyNumberFormat="1">
      <alignment vertical="center"/>
    </xf>
    <xf borderId="0" fillId="0" fontId="15" numFmtId="169" xfId="0" applyAlignment="1" applyFont="1" applyNumberFormat="1">
      <alignment shrinkToFit="0" vertical="center" wrapText="1"/>
    </xf>
    <xf borderId="8" fillId="3" fontId="20" numFmtId="166" xfId="0" applyAlignment="1" applyBorder="1" applyFont="1" applyNumberFormat="1">
      <alignment shrinkToFit="0" wrapText="1"/>
    </xf>
    <xf borderId="8" fillId="3" fontId="20" numFmtId="0" xfId="0" applyAlignment="1" applyBorder="1" applyFont="1">
      <alignment vertical="top"/>
    </xf>
    <xf borderId="8" fillId="3" fontId="15" numFmtId="169" xfId="0" applyAlignment="1" applyBorder="1" applyFont="1" applyNumberFormat="1">
      <alignment vertical="center"/>
    </xf>
    <xf borderId="8" fillId="3" fontId="29" numFmtId="165" xfId="0" applyAlignment="1" applyBorder="1" applyFont="1" applyNumberFormat="1">
      <alignment vertical="center"/>
    </xf>
    <xf borderId="8" fillId="3" fontId="29" numFmtId="169" xfId="0" applyAlignment="1" applyBorder="1" applyFont="1" applyNumberFormat="1">
      <alignment vertical="center"/>
    </xf>
    <xf borderId="0" fillId="0" fontId="10" numFmtId="0" xfId="0" applyFont="1"/>
    <xf borderId="0" fillId="0" fontId="30" numFmtId="2" xfId="0" applyFont="1" applyNumberFormat="1"/>
    <xf borderId="0" fillId="0" fontId="10" numFmtId="0" xfId="0" applyAlignment="1" applyFont="1">
      <alignment readingOrder="0"/>
    </xf>
    <xf borderId="0" fillId="0" fontId="11" numFmtId="2" xfId="0" applyFont="1" applyNumberFormat="1"/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center" shrinkToFit="0" vertical="center" wrapText="1"/>
    </xf>
    <xf borderId="1" fillId="3" fontId="13" numFmtId="2" xfId="0" applyAlignment="1" applyBorder="1" applyFont="1" applyNumberFormat="1">
      <alignment horizontal="center" shrinkToFit="0" vertical="center" wrapText="1"/>
    </xf>
    <xf borderId="7" fillId="0" fontId="14" numFmtId="0" xfId="0" applyBorder="1" applyFont="1"/>
    <xf borderId="7" fillId="0" fontId="14" numFmtId="4" xfId="0" applyBorder="1" applyFont="1" applyNumberFormat="1"/>
    <xf borderId="7" fillId="0" fontId="10" numFmtId="4" xfId="0" applyAlignment="1" applyBorder="1" applyFont="1" applyNumberFormat="1">
      <alignment shrinkToFit="0" vertical="center" wrapText="1"/>
    </xf>
    <xf borderId="7" fillId="0" fontId="11" numFmtId="4" xfId="0" applyAlignment="1" applyBorder="1" applyFont="1" applyNumberForma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15" numFmtId="0" xfId="0" applyBorder="1" applyFont="1"/>
    <xf borderId="7" fillId="0" fontId="15" numFmtId="4" xfId="0" applyBorder="1" applyFont="1" applyNumberFormat="1"/>
    <xf borderId="7" fillId="0" fontId="15" numFmtId="164" xfId="0" applyBorder="1" applyFont="1" applyNumberFormat="1"/>
    <xf borderId="7" fillId="0" fontId="11" numFmtId="2" xfId="0" applyAlignment="1" applyBorder="1" applyFont="1" applyNumberFormat="1">
      <alignment shrinkToFit="0" vertical="center" wrapText="1"/>
    </xf>
    <xf borderId="7" fillId="0" fontId="15" numFmtId="0" xfId="0" applyAlignment="1" applyBorder="1" applyFont="1">
      <alignment horizontal="right"/>
    </xf>
    <xf borderId="7" fillId="0" fontId="15" numFmtId="0" xfId="0" applyAlignment="1" applyBorder="1" applyFont="1">
      <alignment horizontal="left"/>
    </xf>
    <xf borderId="7" fillId="0" fontId="16" numFmtId="0" xfId="0" applyAlignment="1" applyBorder="1" applyFont="1">
      <alignment readingOrder="0" shrinkToFit="0" vertical="center" wrapText="1"/>
    </xf>
    <xf borderId="7" fillId="0" fontId="16" numFmtId="2" xfId="0" applyAlignment="1" applyBorder="1" applyFont="1" applyNumberFormat="1">
      <alignment readingOrder="0" shrinkToFit="0" vertical="center" wrapText="1"/>
    </xf>
    <xf borderId="7" fillId="0" fontId="14" numFmtId="0" xfId="0" applyAlignment="1" applyBorder="1" applyFont="1">
      <alignment horizontal="left"/>
    </xf>
    <xf borderId="7" fillId="0" fontId="26" numFmtId="0" xfId="0" applyAlignment="1" applyBorder="1" applyFont="1">
      <alignment horizontal="left" readingOrder="0"/>
    </xf>
    <xf borderId="7" fillId="0" fontId="15" numFmtId="0" xfId="0" applyAlignment="1" applyBorder="1" applyFont="1">
      <alignment shrinkToFit="0" wrapText="1"/>
    </xf>
    <xf borderId="7" fillId="0" fontId="15" numFmtId="0" xfId="0" applyAlignment="1" applyBorder="1" applyFont="1">
      <alignment horizontal="center" shrinkToFit="0" wrapText="1"/>
    </xf>
    <xf borderId="7" fillId="0" fontId="10" numFmtId="2" xfId="0" applyAlignment="1" applyBorder="1" applyFont="1" applyNumberFormat="1">
      <alignment shrinkToFit="0" vertical="center" wrapText="1"/>
    </xf>
    <xf borderId="7" fillId="0" fontId="14" numFmtId="164" xfId="0" applyBorder="1" applyFont="1" applyNumberForma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0" fontId="10" numFmtId="164" xfId="0" applyAlignment="1" applyBorder="1" applyFont="1" applyNumberFormat="1">
      <alignment shrinkToFit="0" vertical="center" wrapText="1"/>
    </xf>
    <xf borderId="7" fillId="0" fontId="10" numFmtId="4" xfId="0" applyAlignment="1" applyBorder="1" applyFont="1" applyNumberFormat="1">
      <alignment readingOrder="0" shrinkToFit="0" vertical="center" wrapText="1"/>
    </xf>
    <xf borderId="8" fillId="3" fontId="11" numFmtId="3" xfId="0" applyAlignment="1" applyBorder="1" applyFont="1" applyNumberFormat="1">
      <alignment shrinkToFit="0" wrapText="1"/>
    </xf>
    <xf borderId="0" fillId="0" fontId="11" numFmtId="2" xfId="0" applyAlignment="1" applyFont="1" applyNumberFormat="1">
      <alignment vertical="center"/>
    </xf>
    <xf borderId="0" fillId="0" fontId="9" numFmtId="2" xfId="0" applyAlignment="1" applyFont="1" applyNumberFormat="1">
      <alignment vertical="bottom"/>
    </xf>
    <xf borderId="0" fillId="0" fontId="9" numFmtId="2" xfId="0" applyFont="1" applyNumberFormat="1"/>
    <xf borderId="0" fillId="0" fontId="11" numFmtId="165" xfId="0" applyFont="1" applyNumberFormat="1"/>
    <xf borderId="8" fillId="3" fontId="11" numFmtId="0" xfId="0" applyBorder="1" applyFont="1"/>
    <xf borderId="8" fillId="3" fontId="11" numFmtId="165" xfId="0" applyBorder="1" applyFont="1" applyNumberFormat="1"/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165" xfId="0" applyAlignment="1" applyFont="1" applyNumberFormat="1">
      <alignment vertical="center"/>
    </xf>
    <xf borderId="0" fillId="0" fontId="11" numFmtId="168" xfId="0" applyAlignment="1" applyFont="1" applyNumberFormat="1">
      <alignment vertical="center"/>
    </xf>
    <xf borderId="0" fillId="0" fontId="10" numFmtId="0" xfId="0" applyAlignment="1" applyFont="1">
      <alignment vertical="top"/>
    </xf>
    <xf borderId="0" fillId="0" fontId="11" numFmtId="0" xfId="0" applyAlignment="1" applyFont="1">
      <alignment vertical="top"/>
    </xf>
    <xf borderId="0" fillId="0" fontId="11" numFmtId="170" xfId="0" applyAlignment="1" applyFont="1" applyNumberFormat="1">
      <alignment vertical="top"/>
    </xf>
    <xf borderId="0" fillId="0" fontId="11" numFmtId="4" xfId="0" applyAlignment="1" applyFont="1" applyNumberFormat="1">
      <alignment vertical="top"/>
    </xf>
    <xf borderId="0" fillId="0" fontId="11" numFmtId="170" xfId="0" applyAlignment="1" applyFont="1" applyNumberFormat="1">
      <alignment shrinkToFit="0" wrapText="1"/>
    </xf>
    <xf borderId="0" fillId="0" fontId="11" numFmtId="4" xfId="0" applyAlignment="1" applyFont="1" applyNumberFormat="1">
      <alignment shrinkToFit="0" wrapText="1"/>
    </xf>
    <xf borderId="7" fillId="6" fontId="10" numFmtId="0" xfId="0" applyAlignment="1" applyBorder="1" applyFill="1" applyFont="1">
      <alignment horizontal="center" shrinkToFit="0" vertical="center" wrapText="1"/>
    </xf>
    <xf borderId="7" fillId="6" fontId="10" numFmtId="170" xfId="0" applyAlignment="1" applyBorder="1" applyFont="1" applyNumberFormat="1">
      <alignment horizontal="center" shrinkToFit="0" vertical="center" wrapText="1"/>
    </xf>
    <xf borderId="7" fillId="6" fontId="10" numFmtId="4" xfId="0" applyAlignment="1" applyBorder="1" applyFont="1" applyNumberFormat="1">
      <alignment horizontal="center" shrinkToFit="0" vertical="center" wrapText="1"/>
    </xf>
    <xf borderId="2" fillId="6" fontId="10" numFmtId="0" xfId="0" applyAlignment="1" applyBorder="1" applyFont="1">
      <alignment readingOrder="0" shrinkToFit="0" vertical="center" wrapText="1"/>
    </xf>
    <xf borderId="8" fillId="6" fontId="11" numFmtId="0" xfId="0" applyAlignment="1" applyBorder="1" applyFont="1">
      <alignment shrinkToFit="0" vertical="center" wrapText="1"/>
    </xf>
    <xf borderId="8" fillId="6" fontId="11" numFmtId="166" xfId="0" applyAlignment="1" applyBorder="1" applyFont="1" applyNumberFormat="1">
      <alignment shrinkToFit="0" vertical="center" wrapText="1"/>
    </xf>
    <xf borderId="0" fillId="6" fontId="11" numFmtId="0" xfId="0" applyAlignment="1" applyFont="1">
      <alignment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7" fillId="3" fontId="11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readingOrder="0" shrinkToFit="0" wrapText="1"/>
    </xf>
    <xf borderId="7" fillId="3" fontId="11" numFmtId="0" xfId="0" applyAlignment="1" applyBorder="1" applyFont="1">
      <alignment horizontal="right" shrinkToFit="0" vertical="center" wrapText="1"/>
    </xf>
    <xf borderId="8" fillId="3" fontId="11" numFmtId="166" xfId="0" applyAlignment="1" applyBorder="1" applyFont="1" applyNumberFormat="1">
      <alignment shrinkToFit="0" vertical="center" wrapText="1"/>
    </xf>
    <xf borderId="7" fillId="3" fontId="11" numFmtId="0" xfId="0" applyAlignment="1" applyBorder="1" applyFont="1">
      <alignment shrinkToFit="0" wrapText="1"/>
    </xf>
    <xf borderId="8" fillId="3" fontId="11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horizontal="center" shrinkToFit="0" wrapText="1"/>
    </xf>
    <xf borderId="7" fillId="3" fontId="10" numFmtId="0" xfId="0" applyAlignment="1" applyBorder="1" applyFont="1">
      <alignment horizontal="right" shrinkToFit="0" vertical="center" wrapText="1"/>
    </xf>
    <xf borderId="7" fillId="3" fontId="10" numFmtId="4" xfId="0" applyAlignment="1" applyBorder="1" applyFont="1" applyNumberFormat="1">
      <alignment horizontal="right" shrinkToFit="0" vertical="center" wrapText="1"/>
    </xf>
    <xf borderId="2" fillId="3" fontId="10" numFmtId="0" xfId="0" applyAlignment="1" applyBorder="1" applyFont="1">
      <alignment shrinkToFit="0" vertical="center" wrapText="1"/>
    </xf>
    <xf borderId="0" fillId="3" fontId="11" numFmtId="0" xfId="0" applyAlignment="1" applyFont="1">
      <alignment shrinkToFit="0" wrapText="1"/>
    </xf>
    <xf borderId="7" fillId="3" fontId="14" numFmtId="0" xfId="0" applyAlignment="1" applyBorder="1" applyFont="1">
      <alignment horizontal="center" shrinkToFit="0" wrapText="1"/>
    </xf>
    <xf borderId="7" fillId="3" fontId="15" numFmtId="0" xfId="0" applyAlignment="1" applyBorder="1" applyFont="1">
      <alignment horizontal="center" shrinkToFit="0" vertical="center" wrapText="1"/>
    </xf>
    <xf borderId="7" fillId="3" fontId="15" numFmtId="0" xfId="0" applyAlignment="1" applyBorder="1" applyFont="1">
      <alignment horizontal="right" shrinkToFit="0" vertical="center" wrapText="1"/>
    </xf>
    <xf borderId="7" fillId="3" fontId="27" numFmtId="4" xfId="0" applyAlignment="1" applyBorder="1" applyFont="1" applyNumberFormat="1">
      <alignment horizontal="right" shrinkToFit="0" vertical="center" wrapText="1"/>
    </xf>
    <xf borderId="6" fillId="3" fontId="14" numFmtId="0" xfId="0" applyAlignment="1" applyBorder="1" applyFont="1">
      <alignment horizontal="center" readingOrder="0" shrinkToFit="0" vertical="center" wrapText="1"/>
    </xf>
    <xf borderId="7" fillId="3" fontId="15" numFmtId="0" xfId="0" applyAlignment="1" applyBorder="1" applyFont="1">
      <alignment horizontal="center" readingOrder="0" shrinkToFit="0" vertical="center" wrapText="1"/>
    </xf>
    <xf borderId="7" fillId="3" fontId="15" numFmtId="0" xfId="0" applyAlignment="1" applyBorder="1" applyFont="1">
      <alignment readingOrder="0" shrinkToFit="0" vertical="center" wrapText="1"/>
    </xf>
    <xf borderId="7" fillId="3" fontId="15" numFmtId="0" xfId="0" applyAlignment="1" applyBorder="1" applyFont="1">
      <alignment horizontal="right" readingOrder="0" shrinkToFit="0" vertical="center" wrapText="1"/>
    </xf>
    <xf borderId="7" fillId="3" fontId="27" numFmtId="4" xfId="0" applyAlignment="1" applyBorder="1" applyFont="1" applyNumberFormat="1">
      <alignment horizontal="right" readingOrder="0" shrinkToFit="0" vertical="center" wrapText="1"/>
    </xf>
    <xf borderId="2" fillId="3" fontId="10" numFmtId="0" xfId="0" applyAlignment="1" applyBorder="1" applyFont="1">
      <alignment horizontal="center" shrinkToFit="0" wrapText="1"/>
    </xf>
    <xf borderId="7" fillId="3" fontId="14" numFmtId="0" xfId="0" applyAlignment="1" applyBorder="1" applyFont="1">
      <alignment horizontal="right" shrinkToFit="0" vertical="center" wrapText="1"/>
    </xf>
    <xf borderId="7" fillId="3" fontId="14" numFmtId="4" xfId="0" applyAlignment="1" applyBorder="1" applyFont="1" applyNumberFormat="1">
      <alignment horizontal="right" shrinkToFit="0" vertical="center" wrapText="1"/>
    </xf>
    <xf borderId="2" fillId="3" fontId="10" numFmtId="0" xfId="0" applyAlignment="1" applyBorder="1" applyFont="1">
      <alignment shrinkToFit="0" wrapText="1"/>
    </xf>
    <xf borderId="0" fillId="3" fontId="9" numFmtId="0" xfId="0" applyFont="1"/>
    <xf borderId="7" fillId="3" fontId="14" numFmtId="0" xfId="0" applyAlignment="1" applyBorder="1" applyFont="1">
      <alignment horizontal="center" readingOrder="0" shrinkToFit="0" wrapText="1"/>
    </xf>
    <xf borderId="0" fillId="3" fontId="9" numFmtId="166" xfId="0" applyFont="1" applyNumberFormat="1"/>
    <xf borderId="0" fillId="3" fontId="9" numFmtId="0" xfId="0" applyFont="1"/>
    <xf borderId="2" fillId="3" fontId="10" numFmtId="166" xfId="0" applyAlignment="1" applyBorder="1" applyFont="1" applyNumberFormat="1">
      <alignment horizontal="center" shrinkToFit="0" wrapText="1"/>
    </xf>
    <xf borderId="7" fillId="3" fontId="10" numFmtId="170" xfId="0" applyAlignment="1" applyBorder="1" applyFont="1" applyNumberFormat="1">
      <alignment horizontal="right" shrinkToFit="0" wrapText="1"/>
    </xf>
    <xf borderId="7" fillId="3" fontId="10" numFmtId="4" xfId="0" applyAlignment="1" applyBorder="1" applyFont="1" applyNumberFormat="1">
      <alignment horizontal="right" shrinkToFit="0" wrapText="1"/>
    </xf>
    <xf borderId="7" fillId="3" fontId="9" numFmtId="166" xfId="0" applyBorder="1" applyFont="1" applyNumberFormat="1"/>
    <xf borderId="7" fillId="3" fontId="9" numFmtId="0" xfId="0" applyBorder="1" applyFont="1"/>
    <xf borderId="7" fillId="3" fontId="9" numFmtId="170" xfId="0" applyBorder="1" applyFont="1" applyNumberFormat="1"/>
    <xf borderId="7" fillId="3" fontId="9" numFmtId="4" xfId="0" applyBorder="1" applyFont="1" applyNumberFormat="1"/>
    <xf borderId="2" fillId="3" fontId="10" numFmtId="166" xfId="0" applyAlignment="1" applyBorder="1" applyFont="1" applyNumberFormat="1">
      <alignment shrinkToFit="0" wrapText="1"/>
    </xf>
    <xf borderId="0" fillId="3" fontId="11" numFmtId="0" xfId="0" applyFont="1"/>
    <xf borderId="0" fillId="3" fontId="9" numFmtId="165" xfId="0" applyFont="1" applyNumberFormat="1"/>
    <xf borderId="0" fillId="3" fontId="9" numFmtId="164" xfId="0" applyFont="1" applyNumberFormat="1"/>
    <xf borderId="0" fillId="0" fontId="9" numFmtId="170" xfId="0" applyAlignment="1" applyFont="1" applyNumberFormat="1">
      <alignment vertical="bottom"/>
    </xf>
    <xf borderId="9" fillId="3" fontId="22" numFmtId="164" xfId="0" applyAlignment="1" applyBorder="1" applyFont="1" applyNumberFormat="1">
      <alignment shrinkToFit="0" vertical="center" wrapText="1"/>
    </xf>
    <xf borderId="15" fillId="0" fontId="6" numFmtId="0" xfId="0" applyBorder="1" applyFont="1"/>
    <xf borderId="8" fillId="3" fontId="23" numFmtId="0" xfId="0" applyAlignment="1" applyBorder="1" applyFont="1">
      <alignment vertical="center"/>
    </xf>
    <xf borderId="0" fillId="3" fontId="23" numFmtId="0" xfId="0" applyAlignment="1" applyFont="1">
      <alignment vertical="center"/>
    </xf>
    <xf borderId="8" fillId="3" fontId="22" numFmtId="164" xfId="0" applyAlignment="1" applyBorder="1" applyFont="1" applyNumberFormat="1">
      <alignment shrinkToFit="0" vertical="center" wrapText="1"/>
    </xf>
    <xf borderId="8" fillId="3" fontId="23" numFmtId="164" xfId="0" applyAlignment="1" applyBorder="1" applyFont="1" applyNumberFormat="1">
      <alignment vertical="center"/>
    </xf>
    <xf borderId="16" fillId="3" fontId="31" numFmtId="164" xfId="0" applyAlignment="1" applyBorder="1" applyFont="1" applyNumberFormat="1">
      <alignment vertical="center"/>
    </xf>
    <xf borderId="16" fillId="3" fontId="31" numFmtId="0" xfId="0" applyAlignment="1" applyBorder="1" applyFont="1">
      <alignment vertical="center"/>
    </xf>
    <xf borderId="8" fillId="3" fontId="31" numFmtId="0" xfId="0" applyAlignment="1" applyBorder="1" applyFont="1">
      <alignment vertical="center"/>
    </xf>
    <xf borderId="0" fillId="3" fontId="31" numFmtId="0" xfId="0" applyAlignment="1" applyFont="1">
      <alignment vertical="center"/>
    </xf>
    <xf borderId="7" fillId="3" fontId="10" numFmtId="166" xfId="0" applyAlignment="1" applyBorder="1" applyFont="1" applyNumberFormat="1">
      <alignment shrinkToFit="0" vertical="center" wrapText="1"/>
    </xf>
    <xf borderId="7" fillId="3" fontId="11" numFmtId="166" xfId="0" applyAlignment="1" applyBorder="1" applyFont="1" applyNumberFormat="1">
      <alignment vertical="center"/>
    </xf>
    <xf borderId="7" fillId="3" fontId="10" numFmtId="169" xfId="0" applyAlignment="1" applyBorder="1" applyFont="1" applyNumberFormat="1">
      <alignment horizontal="right" shrinkToFit="0" vertical="center" wrapText="1"/>
    </xf>
    <xf borderId="7" fillId="3" fontId="10" numFmtId="164" xfId="0" applyAlignment="1" applyBorder="1" applyFont="1" applyNumberFormat="1">
      <alignment horizontal="right" shrinkToFit="0" vertical="center" wrapText="1"/>
    </xf>
    <xf borderId="7" fillId="3" fontId="11" numFmtId="0" xfId="0" applyAlignment="1" applyBorder="1" applyFont="1">
      <alignment vertical="center"/>
    </xf>
    <xf borderId="7" fillId="3" fontId="10" numFmtId="4" xfId="0" applyAlignment="1" applyBorder="1" applyFont="1" applyNumberFormat="1">
      <alignment readingOrder="0" vertical="center"/>
    </xf>
    <xf borderId="7" fillId="3" fontId="11" numFmtId="164" xfId="0" applyAlignment="1" applyBorder="1" applyFont="1" applyNumberFormat="1">
      <alignment vertical="center"/>
    </xf>
    <xf borderId="7" fillId="3" fontId="11" numFmtId="169" xfId="0" applyAlignment="1" applyBorder="1" applyFont="1" applyNumberFormat="1">
      <alignment shrinkToFit="0" vertical="center" wrapText="1"/>
    </xf>
    <xf borderId="7" fillId="3" fontId="11" numFmtId="4" xfId="0" applyAlignment="1" applyBorder="1" applyFont="1" applyNumberFormat="1">
      <alignment vertical="center"/>
    </xf>
    <xf borderId="7" fillId="3" fontId="11" numFmtId="166" xfId="0" applyAlignment="1" applyBorder="1" applyFont="1" applyNumberFormat="1">
      <alignment shrinkToFit="0" vertical="center" wrapText="1"/>
    </xf>
    <xf borderId="7" fillId="3" fontId="11" numFmtId="164" xfId="0" applyAlignment="1" applyBorder="1" applyFont="1" applyNumberFormat="1">
      <alignment horizontal="center" vertical="center"/>
    </xf>
    <xf borderId="7" fillId="3" fontId="11" numFmtId="169" xfId="0" applyAlignment="1" applyBorder="1" applyFont="1" applyNumberFormat="1">
      <alignment horizontal="right" shrinkToFit="0" vertical="center" wrapText="1"/>
    </xf>
    <xf borderId="7" fillId="3" fontId="11" numFmtId="164" xfId="0" applyAlignment="1" applyBorder="1" applyFont="1" applyNumberFormat="1">
      <alignment horizontal="right" vertical="center"/>
    </xf>
    <xf borderId="7" fillId="3" fontId="11" numFmtId="0" xfId="0" applyAlignment="1" applyBorder="1" applyFont="1">
      <alignment readingOrder="0" vertical="center"/>
    </xf>
    <xf borderId="7" fillId="3" fontId="11" numFmtId="0" xfId="0" applyAlignment="1" applyBorder="1" applyFont="1">
      <alignment readingOrder="0" shrinkToFit="0" vertical="center" wrapText="1"/>
    </xf>
    <xf borderId="7" fillId="3" fontId="11" numFmtId="0" xfId="0" applyAlignment="1" applyBorder="1" applyFont="1">
      <alignment horizontal="center" vertical="center"/>
    </xf>
    <xf borderId="7" fillId="3" fontId="11" numFmtId="4" xfId="0" applyAlignment="1" applyBorder="1" applyFont="1" applyNumberFormat="1">
      <alignment horizontal="right" vertical="center"/>
    </xf>
    <xf borderId="7" fillId="3" fontId="10" numFmtId="4" xfId="0" applyAlignment="1" applyBorder="1" applyFont="1" applyNumberFormat="1">
      <alignment vertical="center"/>
    </xf>
    <xf borderId="7" fillId="3" fontId="11" numFmtId="4" xfId="0" applyAlignment="1" applyBorder="1" applyFont="1" applyNumberFormat="1">
      <alignment horizontal="right" shrinkToFit="0" vertical="center" wrapText="1"/>
    </xf>
    <xf borderId="7" fillId="3" fontId="11" numFmtId="4" xfId="0" applyAlignment="1" applyBorder="1" applyFont="1" applyNumberFormat="1">
      <alignment readingOrder="0" vertical="center"/>
    </xf>
    <xf borderId="7" fillId="3" fontId="11" numFmtId="3" xfId="0" applyAlignment="1" applyBorder="1" applyFont="1" applyNumberFormat="1">
      <alignment horizontal="right" vertical="center"/>
    </xf>
    <xf borderId="7" fillId="3" fontId="11" numFmtId="165" xfId="0" applyAlignment="1" applyBorder="1" applyFont="1" applyNumberFormat="1">
      <alignment horizontal="right" vertical="center"/>
    </xf>
    <xf borderId="7" fillId="3" fontId="11" numFmtId="166" xfId="0" applyAlignment="1" applyBorder="1" applyFont="1" applyNumberFormat="1">
      <alignment horizontal="right" vertical="center"/>
    </xf>
    <xf borderId="7" fillId="3" fontId="11" numFmtId="166" xfId="0" applyAlignment="1" applyBorder="1" applyFont="1" applyNumberFormat="1">
      <alignment readingOrder="0" vertical="center"/>
    </xf>
    <xf borderId="7" fillId="3" fontId="11" numFmtId="2" xfId="0" applyAlignment="1" applyBorder="1" applyFont="1" applyNumberFormat="1">
      <alignment horizontal="right" vertical="center"/>
    </xf>
    <xf borderId="7" fillId="3" fontId="10" numFmtId="0" xfId="0" applyAlignment="1" applyBorder="1" applyFont="1">
      <alignment vertical="center"/>
    </xf>
    <xf borderId="8" fillId="3" fontId="32" numFmtId="0" xfId="0" applyAlignment="1" applyBorder="1" applyFont="1">
      <alignment readingOrder="0" vertical="center"/>
    </xf>
    <xf borderId="17" fillId="3" fontId="31" numFmtId="0" xfId="0" applyAlignment="1" applyBorder="1" applyFont="1">
      <alignment vertical="center"/>
    </xf>
    <xf borderId="0" fillId="3" fontId="11" numFmtId="0" xfId="0" applyAlignment="1" applyFont="1">
      <alignment vertical="center"/>
    </xf>
    <xf borderId="8" fillId="3" fontId="31" numFmtId="0" xfId="0" applyBorder="1" applyFont="1"/>
    <xf borderId="0" fillId="0" fontId="22" numFmtId="0" xfId="0" applyAlignment="1" applyFont="1">
      <alignment readingOrder="0"/>
    </xf>
    <xf borderId="0" fillId="0" fontId="22" numFmtId="0" xfId="0" applyAlignment="1" applyFont="1">
      <alignment vertical="center"/>
    </xf>
    <xf borderId="7" fillId="3" fontId="10" numFmtId="164" xfId="0" applyAlignment="1" applyBorder="1" applyFont="1" applyNumberFormat="1">
      <alignment shrinkToFit="0" vertical="center" wrapText="1"/>
    </xf>
    <xf borderId="7" fillId="0" fontId="10" numFmtId="166" xfId="0" applyAlignment="1" applyBorder="1" applyFont="1" applyNumberFormat="1">
      <alignment horizontal="right" shrinkToFit="0" vertical="center" wrapText="1"/>
    </xf>
    <xf borderId="7" fillId="0" fontId="10" numFmtId="171" xfId="0" applyAlignment="1" applyBorder="1" applyFont="1" applyNumberFormat="1">
      <alignment horizontal="right" shrinkToFit="0" vertical="center" wrapText="1"/>
    </xf>
    <xf borderId="7" fillId="0" fontId="10" numFmtId="4" xfId="0" applyAlignment="1" applyBorder="1" applyFont="1" applyNumberFormat="1">
      <alignment horizontal="right" readingOrder="0" shrinkToFit="0" vertical="center" wrapText="1"/>
    </xf>
    <xf borderId="7" fillId="0" fontId="10" numFmtId="4" xfId="0" applyAlignment="1" applyBorder="1" applyFont="1" applyNumberFormat="1">
      <alignment readingOrder="0" vertical="center"/>
    </xf>
    <xf borderId="17" fillId="3" fontId="11" numFmtId="4" xfId="0" applyAlignment="1" applyBorder="1" applyFont="1" applyNumberFormat="1">
      <alignment vertical="center"/>
    </xf>
    <xf borderId="0" fillId="0" fontId="22" numFmtId="164" xfId="0" applyAlignment="1" applyFont="1" applyNumberFormat="1">
      <alignment horizontal="left"/>
    </xf>
    <xf borderId="0" fillId="0" fontId="23" numFmtId="169" xfId="0" applyAlignment="1" applyFont="1" applyNumberFormat="1">
      <alignment vertical="center"/>
    </xf>
    <xf borderId="0" fillId="0" fontId="11" numFmtId="169" xfId="0" applyAlignment="1" applyFont="1" applyNumberFormat="1">
      <alignment vertical="center"/>
    </xf>
    <xf borderId="7" fillId="0" fontId="11" numFmtId="172" xfId="0" applyAlignment="1" applyBorder="1" applyFont="1" applyNumberFormat="1">
      <alignment vertical="center"/>
    </xf>
    <xf borderId="7" fillId="0" fontId="10" numFmtId="169" xfId="0" applyAlignment="1" applyBorder="1" applyFont="1" applyNumberFormat="1">
      <alignment horizontal="right" shrinkToFit="0" vertical="center" wrapText="1"/>
    </xf>
    <xf borderId="7" fillId="0" fontId="11" numFmtId="173" xfId="0" applyAlignment="1" applyBorder="1" applyFont="1" applyNumberFormat="1">
      <alignment vertical="center"/>
    </xf>
    <xf borderId="7" fillId="0" fontId="11" numFmtId="169" xfId="0" applyAlignment="1" applyBorder="1" applyFont="1" applyNumberFormat="1">
      <alignment vertical="center"/>
    </xf>
    <xf borderId="7" fillId="0" fontId="11" numFmtId="169" xfId="0" applyAlignment="1" applyBorder="1" applyFont="1" applyNumberFormat="1">
      <alignment shrinkToFit="0" vertical="center" wrapText="1"/>
    </xf>
    <xf borderId="7" fillId="0" fontId="11" numFmtId="174" xfId="0" applyBorder="1" applyFont="1" applyNumberFormat="1"/>
    <xf borderId="7" fillId="0" fontId="11" numFmtId="169" xfId="0" applyBorder="1" applyFont="1" applyNumberFormat="1"/>
    <xf borderId="7" fillId="0" fontId="11" numFmtId="4" xfId="0" applyAlignment="1" applyBorder="1" applyFont="1" applyNumberFormat="1">
      <alignment readingOrder="0" vertical="center"/>
    </xf>
    <xf borderId="7" fillId="0" fontId="10" numFmtId="169" xfId="0" applyAlignment="1" applyBorder="1" applyFont="1" applyNumberFormat="1">
      <alignment shrinkToFit="0" vertical="center" wrapText="1"/>
    </xf>
    <xf borderId="8" fillId="3" fontId="20" numFmtId="166" xfId="0" applyAlignment="1" applyBorder="1" applyFont="1" applyNumberFormat="1">
      <alignment vertical="center"/>
    </xf>
    <xf borderId="0" fillId="0" fontId="20" numFmtId="0" xfId="0" applyFont="1"/>
    <xf borderId="8" fillId="3" fontId="11" numFmtId="4" xfId="0" applyAlignment="1" applyBorder="1" applyFont="1" applyNumberFormat="1">
      <alignment vertical="center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readingOrder="0"/>
    </xf>
    <xf borderId="0" fillId="0" fontId="24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7" fillId="0" fontId="10" numFmtId="0" xfId="0" applyBorder="1" applyFont="1"/>
    <xf borderId="7" fillId="0" fontId="9" numFmtId="0" xfId="0" applyBorder="1" applyFont="1"/>
    <xf borderId="7" fillId="0" fontId="11" numFmtId="3" xfId="0" applyBorder="1" applyFont="1" applyNumberFormat="1"/>
    <xf borderId="7" fillId="0" fontId="10" numFmtId="0" xfId="0" applyAlignment="1" applyBorder="1" applyFont="1">
      <alignment shrinkToFit="0" wrapText="1"/>
    </xf>
    <xf borderId="7" fillId="0" fontId="11" numFmtId="0" xfId="0" applyAlignment="1" applyBorder="1" applyFont="1">
      <alignment shrinkToFit="0" wrapText="1"/>
    </xf>
    <xf borderId="7" fillId="0" fontId="15" numFmtId="3" xfId="0" applyAlignment="1" applyBorder="1" applyFont="1" applyNumberFormat="1">
      <alignment horizontal="center"/>
    </xf>
    <xf borderId="7" fillId="0" fontId="27" numFmtId="169" xfId="0" applyAlignment="1" applyBorder="1" applyFont="1" applyNumberFormat="1">
      <alignment horizontal="center"/>
    </xf>
    <xf borderId="7" fillId="0" fontId="15" numFmtId="4" xfId="0" applyAlignment="1" applyBorder="1" applyFont="1" applyNumberFormat="1">
      <alignment horizontal="right"/>
    </xf>
    <xf borderId="7" fillId="0" fontId="15" numFmtId="169" xfId="0" applyAlignment="1" applyBorder="1" applyFont="1" applyNumberFormat="1">
      <alignment horizontal="center"/>
    </xf>
    <xf borderId="7" fillId="0" fontId="15" numFmtId="3" xfId="0" applyAlignment="1" applyBorder="1" applyFont="1" applyNumberFormat="1">
      <alignment horizontal="right"/>
    </xf>
    <xf borderId="7" fillId="0" fontId="11" numFmtId="164" xfId="0" applyAlignment="1" applyBorder="1" applyFont="1" applyNumberFormat="1">
      <alignment shrinkToFit="0" wrapText="1"/>
    </xf>
    <xf borderId="7" fillId="0" fontId="11" numFmtId="164" xfId="0" applyBorder="1" applyFont="1" applyNumberFormat="1"/>
    <xf borderId="7" fillId="0" fontId="11" numFmtId="164" xfId="0" applyAlignment="1" applyBorder="1" applyFont="1" applyNumberFormat="1">
      <alignment shrinkToFit="0" vertical="center" wrapText="1"/>
    </xf>
    <xf borderId="7" fillId="0" fontId="11" numFmtId="3" xfId="0" applyAlignment="1" applyBorder="1" applyFont="1" applyNumberFormat="1">
      <alignment vertical="center"/>
    </xf>
    <xf borderId="7" fillId="0" fontId="15" numFmtId="3" xfId="0" applyAlignment="1" applyBorder="1" applyFont="1" applyNumberFormat="1">
      <alignment horizontal="center" vertical="center"/>
    </xf>
    <xf borderId="7" fillId="0" fontId="15" numFmtId="4" xfId="0" applyAlignment="1" applyBorder="1" applyFont="1" applyNumberFormat="1">
      <alignment horizontal="right" vertical="center"/>
    </xf>
    <xf borderId="7" fillId="0" fontId="15" numFmtId="164" xfId="0" applyAlignment="1" applyBorder="1" applyFont="1" applyNumberFormat="1">
      <alignment horizontal="center"/>
    </xf>
    <xf borderId="7" fillId="0" fontId="15" numFmtId="4" xfId="0" applyAlignment="1" applyBorder="1" applyFont="1" applyNumberFormat="1">
      <alignment horizontal="center"/>
    </xf>
    <xf borderId="7" fillId="0" fontId="11" numFmtId="3" xfId="0" applyAlignment="1" applyBorder="1" applyFont="1" applyNumberFormat="1">
      <alignment horizontal="center"/>
    </xf>
    <xf borderId="7" fillId="0" fontId="11" numFmtId="4" xfId="0" applyAlignment="1" applyBorder="1" applyFont="1" applyNumberFormat="1">
      <alignment horizontal="center"/>
    </xf>
    <xf borderId="7" fillId="0" fontId="10" numFmtId="0" xfId="0" applyAlignment="1" applyBorder="1" applyFont="1">
      <alignment horizontal="center" shrinkToFit="0" wrapText="1"/>
    </xf>
    <xf borderId="7" fillId="0" fontId="10" numFmtId="3" xfId="0" applyAlignment="1" applyBorder="1" applyFont="1" applyNumberFormat="1">
      <alignment horizontal="center"/>
    </xf>
    <xf borderId="7" fillId="0" fontId="10" numFmtId="169" xfId="0" applyAlignment="1" applyBorder="1" applyFont="1" applyNumberFormat="1">
      <alignment horizontal="right"/>
    </xf>
    <xf borderId="7" fillId="0" fontId="10" numFmtId="4" xfId="0" applyAlignment="1" applyBorder="1" applyFont="1" applyNumberFormat="1">
      <alignment horizontal="right"/>
    </xf>
    <xf borderId="8" fillId="2" fontId="19" numFmtId="0" xfId="0" applyAlignment="1" applyBorder="1" applyFont="1">
      <alignment vertical="center"/>
    </xf>
    <xf borderId="8" fillId="2" fontId="11" numFmtId="0" xfId="0" applyAlignment="1" applyBorder="1" applyFont="1">
      <alignment horizontal="center" vertical="center"/>
    </xf>
    <xf borderId="8" fillId="3" fontId="16" numFmtId="166" xfId="0" applyBorder="1" applyFont="1" applyNumberFormat="1"/>
    <xf borderId="0" fillId="0" fontId="11" numFmtId="166" xfId="0" applyFont="1" applyNumberFormat="1"/>
    <xf borderId="8" fillId="3" fontId="10" numFmtId="166" xfId="0" applyAlignment="1" applyBorder="1" applyFont="1" applyNumberFormat="1">
      <alignment vertic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horizontal="center" readingOrder="0" vertical="center"/>
    </xf>
    <xf borderId="0" fillId="0" fontId="35" numFmtId="0" xfId="0" applyAlignment="1" applyFont="1">
      <alignment vertical="center"/>
    </xf>
    <xf borderId="0" fillId="0" fontId="34" numFmtId="0" xfId="0" applyAlignment="1" applyFont="1">
      <alignment horizontal="center" vertical="center"/>
    </xf>
    <xf borderId="0" fillId="0" fontId="36" numFmtId="0" xfId="0" applyAlignment="1" applyFont="1">
      <alignment horizontal="center" vertical="center"/>
    </xf>
    <xf borderId="1" fillId="3" fontId="37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vertical="center"/>
    </xf>
    <xf borderId="7" fillId="0" fontId="36" numFmtId="0" xfId="0" applyAlignment="1" applyBorder="1" applyFont="1">
      <alignment shrinkToFit="0" vertical="center" wrapText="1"/>
    </xf>
    <xf borderId="7" fillId="0" fontId="33" numFmtId="0" xfId="0" applyAlignment="1" applyBorder="1" applyFont="1">
      <alignment shrinkToFit="0" vertical="center" wrapText="1"/>
    </xf>
    <xf borderId="7" fillId="0" fontId="10" numFmtId="2" xfId="0" applyAlignment="1" applyBorder="1" applyFont="1" applyNumberFormat="1">
      <alignment horizontal="right" vertical="center"/>
    </xf>
    <xf borderId="0" fillId="0" fontId="33" numFmtId="0" xfId="0" applyAlignment="1" applyFont="1">
      <alignment shrinkToFit="0" vertical="center" wrapText="1"/>
    </xf>
    <xf borderId="7" fillId="0" fontId="33" numFmtId="4" xfId="0" applyAlignment="1" applyBorder="1" applyFont="1" applyNumberFormat="1">
      <alignment horizontal="right" shrinkToFit="0" vertical="center" wrapText="1"/>
    </xf>
    <xf borderId="7" fillId="3" fontId="33" numFmtId="164" xfId="0" applyAlignment="1" applyBorder="1" applyFont="1" applyNumberFormat="1">
      <alignment shrinkToFit="0" vertical="center" wrapText="1"/>
    </xf>
    <xf borderId="7" fillId="0" fontId="33" numFmtId="164" xfId="0" applyAlignment="1" applyBorder="1" applyFont="1" applyNumberFormat="1">
      <alignment shrinkToFit="0" vertical="center" wrapText="1"/>
    </xf>
    <xf borderId="7" fillId="0" fontId="33" numFmtId="2" xfId="0" applyAlignment="1" applyBorder="1" applyFont="1" applyNumberFormat="1">
      <alignment shrinkToFit="0" vertical="center" wrapText="1"/>
    </xf>
    <xf borderId="7" fillId="2" fontId="11" numFmtId="164" xfId="0" applyAlignment="1" applyBorder="1" applyFont="1" applyNumberFormat="1">
      <alignment vertical="center"/>
    </xf>
    <xf borderId="7" fillId="2" fontId="11" numFmtId="2" xfId="0" applyAlignment="1" applyBorder="1" applyFont="1" applyNumberFormat="1">
      <alignment horizontal="right" vertical="center"/>
    </xf>
    <xf borderId="7" fillId="2" fontId="33" numFmtId="164" xfId="0" applyAlignment="1" applyBorder="1" applyFont="1" applyNumberFormat="1">
      <alignment shrinkToFit="0" vertical="center" wrapText="1"/>
    </xf>
    <xf borderId="7" fillId="0" fontId="33" numFmtId="169" xfId="0" applyAlignment="1" applyBorder="1" applyFont="1" applyNumberFormat="1">
      <alignment horizontal="right" shrinkToFit="0" vertical="center" wrapText="1"/>
    </xf>
    <xf borderId="7" fillId="0" fontId="11" numFmtId="2" xfId="0" applyAlignment="1" applyBorder="1" applyFont="1" applyNumberFormat="1">
      <alignment horizontal="right" vertical="center"/>
    </xf>
    <xf borderId="7" fillId="0" fontId="33" numFmtId="164" xfId="0" applyAlignment="1" applyBorder="1" applyFont="1" applyNumberFormat="1">
      <alignment horizontal="right" shrinkToFit="0" vertical="center" wrapText="1"/>
    </xf>
    <xf borderId="7" fillId="0" fontId="33" numFmtId="0" xfId="0" applyAlignment="1" applyBorder="1" applyFont="1">
      <alignment readingOrder="0" shrinkToFit="0" vertical="center" wrapText="1"/>
    </xf>
    <xf borderId="7" fillId="0" fontId="11" numFmtId="4" xfId="0" applyAlignment="1" applyBorder="1" applyFont="1" applyNumberFormat="1">
      <alignment horizontal="right" vertical="center"/>
    </xf>
    <xf borderId="7" fillId="0" fontId="11" numFmtId="2" xfId="0" applyAlignment="1" applyBorder="1" applyFont="1" applyNumberFormat="1">
      <alignment horizontal="right" readingOrder="0" vertical="center"/>
    </xf>
    <xf borderId="7" fillId="0" fontId="33" numFmtId="169" xfId="0" applyAlignment="1" applyBorder="1" applyFont="1" applyNumberFormat="1">
      <alignment horizontal="right" readingOrder="0" shrinkToFit="0" vertical="center" wrapText="1"/>
    </xf>
    <xf borderId="7" fillId="0" fontId="33" numFmtId="4" xfId="0" applyAlignment="1" applyBorder="1" applyFont="1" applyNumberFormat="1">
      <alignment horizontal="right" readingOrder="0" shrinkToFit="0" vertical="center" wrapText="1"/>
    </xf>
    <xf borderId="7" fillId="0" fontId="11" numFmtId="164" xfId="0" applyAlignment="1" applyBorder="1" applyFont="1" applyNumberFormat="1">
      <alignment readingOrder="0" vertical="center"/>
    </xf>
    <xf borderId="7" fillId="0" fontId="33" numFmtId="4" xfId="0" applyAlignment="1" applyBorder="1" applyFont="1" applyNumberFormat="1">
      <alignment shrinkToFit="0" vertical="center" wrapText="1"/>
    </xf>
    <xf borderId="7" fillId="0" fontId="33" numFmtId="2" xfId="0" applyAlignment="1" applyBorder="1" applyFont="1" applyNumberFormat="1">
      <alignment readingOrder="0" shrinkToFit="0" vertical="center" wrapText="1"/>
    </xf>
    <xf borderId="7" fillId="0" fontId="33" numFmtId="169" xfId="0" applyAlignment="1" applyBorder="1" applyFont="1" applyNumberFormat="1">
      <alignment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7" fillId="0" fontId="36" numFmtId="4" xfId="0" applyAlignment="1" applyBorder="1" applyFont="1" applyNumberFormat="1">
      <alignment horizontal="right" shrinkToFit="0" vertical="center" wrapText="1"/>
    </xf>
    <xf borderId="7" fillId="0" fontId="36" numFmtId="4" xfId="0" applyAlignment="1" applyBorder="1" applyFont="1" applyNumberFormat="1">
      <alignment shrinkToFit="0" vertical="center" wrapText="1"/>
    </xf>
    <xf borderId="7" fillId="0" fontId="36" numFmtId="2" xfId="0" applyAlignment="1" applyBorder="1" applyFont="1" applyNumberFormat="1">
      <alignment shrinkToFit="0" vertical="center" wrapText="1"/>
    </xf>
    <xf borderId="8" fillId="3" fontId="33" numFmtId="166" xfId="0" applyAlignment="1" applyBorder="1" applyFont="1" applyNumberFormat="1">
      <alignment shrinkToFit="0" vertical="center" wrapText="1"/>
    </xf>
    <xf borderId="0" fillId="0" fontId="33" numFmtId="0" xfId="0" applyAlignment="1" applyFont="1">
      <alignment readingOrder="0" vertical="center"/>
    </xf>
    <xf borderId="18" fillId="0" fontId="10" numFmtId="164" xfId="0" applyAlignment="1" applyBorder="1" applyFont="1" applyNumberFormat="1">
      <alignment vertical="center"/>
    </xf>
    <xf borderId="18" fillId="0" fontId="10" numFmtId="2" xfId="0" applyAlignment="1" applyBorder="1" applyFont="1" applyNumberFormat="1">
      <alignment horizontal="right" vertical="center"/>
    </xf>
    <xf borderId="17" fillId="3" fontId="33" numFmtId="166" xfId="0" applyAlignment="1" applyBorder="1" applyFont="1" applyNumberFormat="1">
      <alignment vertical="center"/>
    </xf>
    <xf borderId="8" fillId="3" fontId="33" numFmtId="166" xfId="0" applyAlignment="1" applyBorder="1" applyFont="1" applyNumberFormat="1">
      <alignment vertical="center"/>
    </xf>
    <xf borderId="8" fillId="3" fontId="33" numFmtId="4" xfId="0" applyAlignment="1" applyBorder="1" applyFont="1" applyNumberFormat="1">
      <alignment vertical="center"/>
    </xf>
    <xf borderId="8" fillId="3" fontId="33" numFmtId="3" xfId="0" applyAlignment="1" applyBorder="1" applyFont="1" applyNumberFormat="1">
      <alignment vertical="center"/>
    </xf>
    <xf borderId="0" fillId="0" fontId="35" numFmtId="0" xfId="0" applyAlignment="1" applyFont="1">
      <alignment readingOrder="0" vertical="center"/>
    </xf>
    <xf borderId="0" fillId="0" fontId="9" numFmtId="166" xfId="0" applyFont="1" applyNumberFormat="1"/>
    <xf borderId="0" fillId="0" fontId="9" numFmtId="169" xfId="0" applyAlignment="1" applyFont="1" applyNumberFormat="1">
      <alignment vertical="bottom"/>
    </xf>
    <xf borderId="0" fillId="0" fontId="9" numFmtId="169" xfId="0" applyFont="1" applyNumberFormat="1"/>
    <xf borderId="0" fillId="0" fontId="10" numFmtId="166" xfId="0" applyFont="1" applyNumberFormat="1"/>
    <xf borderId="0" fillId="0" fontId="9" numFmtId="165" xfId="0" applyFont="1" applyNumberFormat="1"/>
    <xf borderId="0" fillId="0" fontId="9" numFmtId="165" xfId="0" applyAlignment="1" applyFont="1" applyNumberFormat="1">
      <alignment vertical="bottom"/>
    </xf>
    <xf borderId="8" fillId="3" fontId="33" numFmtId="0" xfId="0" applyAlignment="1" applyBorder="1" applyFont="1">
      <alignment vertical="center"/>
    </xf>
    <xf borderId="8" fillId="3" fontId="33" numFmtId="165" xfId="0" applyAlignment="1" applyBorder="1" applyFont="1" applyNumberFormat="1">
      <alignment vertical="center"/>
    </xf>
    <xf borderId="0" fillId="0" fontId="33" numFmtId="16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71"/>
    <col customWidth="1" min="2" max="3" width="12.57"/>
    <col customWidth="1" min="4" max="4" width="14.71"/>
    <col customWidth="1" min="5" max="5" width="14.29"/>
    <col customWidth="1" min="6" max="6" width="12.57"/>
    <col customWidth="1" min="7" max="7" width="13.14"/>
    <col customWidth="1" min="8" max="8" width="10.14"/>
    <col customWidth="1" min="9" max="9" width="13.43"/>
    <col customWidth="1" min="10" max="10" width="10.14"/>
    <col customWidth="1" min="11" max="11" width="12.57"/>
    <col customWidth="1" min="12" max="12" width="11.43"/>
    <col customWidth="1" min="13" max="24" width="12.57"/>
  </cols>
  <sheetData>
    <row r="1" ht="16.5" customHeight="1">
      <c r="A1" s="1" t="s">
        <v>0</v>
      </c>
      <c r="F1" s="2"/>
      <c r="G1" s="3"/>
      <c r="H1" s="4"/>
      <c r="I1" s="5"/>
      <c r="J1" s="4"/>
      <c r="K1" s="3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6.5" customHeight="1">
      <c r="A2" s="8" t="s">
        <v>1</v>
      </c>
      <c r="I2" s="5"/>
      <c r="J2" s="4"/>
      <c r="K2" s="3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6.5" customHeight="1">
      <c r="A3" s="1" t="s">
        <v>2</v>
      </c>
      <c r="B3" s="9"/>
      <c r="C3" s="10"/>
      <c r="D3" s="2"/>
      <c r="E3" s="11"/>
      <c r="F3" s="2"/>
      <c r="G3" s="3"/>
      <c r="H3" s="4"/>
      <c r="I3" s="5"/>
      <c r="J3" s="4"/>
      <c r="K3" s="3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6.5" customHeight="1">
      <c r="A4" s="1" t="s">
        <v>3</v>
      </c>
      <c r="B4" s="9"/>
      <c r="C4" s="10"/>
      <c r="D4" s="2"/>
      <c r="E4" s="11"/>
      <c r="F4" s="2"/>
      <c r="G4" s="3"/>
      <c r="H4" s="4"/>
      <c r="I4" s="5"/>
      <c r="J4" s="4"/>
      <c r="K4" s="3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6.5" customHeight="1">
      <c r="A5" s="1" t="s">
        <v>4</v>
      </c>
      <c r="B5" s="9"/>
      <c r="C5" s="10"/>
      <c r="D5" s="2"/>
      <c r="E5" s="11"/>
      <c r="F5" s="2"/>
      <c r="G5" s="3"/>
      <c r="H5" s="4"/>
      <c r="I5" s="5"/>
      <c r="J5" s="4"/>
      <c r="K5" s="3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6.5" customHeight="1">
      <c r="A6" s="7"/>
      <c r="B6" s="12"/>
      <c r="C6" s="3"/>
      <c r="D6" s="4"/>
      <c r="E6" s="5"/>
      <c r="F6" s="4"/>
      <c r="G6" s="3"/>
      <c r="H6" s="4"/>
      <c r="I6" s="5"/>
      <c r="J6" s="4"/>
      <c r="K6" s="3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20.25" customHeight="1">
      <c r="A7" s="13" t="s">
        <v>5</v>
      </c>
      <c r="B7" s="13" t="s">
        <v>6</v>
      </c>
      <c r="C7" s="14" t="s">
        <v>7</v>
      </c>
      <c r="D7" s="15"/>
      <c r="E7" s="14" t="s">
        <v>8</v>
      </c>
      <c r="F7" s="15"/>
      <c r="G7" s="14" t="s">
        <v>9</v>
      </c>
      <c r="H7" s="16"/>
      <c r="I7" s="16"/>
      <c r="J7" s="16"/>
      <c r="K7" s="16"/>
      <c r="L7" s="15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 ht="16.5" customHeight="1">
      <c r="A8" s="18"/>
      <c r="B8" s="18"/>
      <c r="C8" s="14" t="s">
        <v>10</v>
      </c>
      <c r="D8" s="15"/>
      <c r="E8" s="19" t="s">
        <v>11</v>
      </c>
      <c r="F8" s="20" t="s">
        <v>12</v>
      </c>
      <c r="G8" s="14" t="s">
        <v>13</v>
      </c>
      <c r="H8" s="15"/>
      <c r="I8" s="14" t="s">
        <v>14</v>
      </c>
      <c r="J8" s="15"/>
      <c r="K8" s="14" t="s">
        <v>15</v>
      </c>
      <c r="L8" s="15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 ht="44.25" customHeight="1">
      <c r="A9" s="18"/>
      <c r="B9" s="18"/>
      <c r="C9" s="21" t="s">
        <v>16</v>
      </c>
      <c r="D9" s="22" t="s">
        <v>17</v>
      </c>
      <c r="E9" s="18"/>
      <c r="F9" s="18"/>
      <c r="G9" s="21" t="s">
        <v>18</v>
      </c>
      <c r="H9" s="22" t="s">
        <v>19</v>
      </c>
      <c r="I9" s="19" t="s">
        <v>18</v>
      </c>
      <c r="J9" s="22" t="s">
        <v>19</v>
      </c>
      <c r="K9" s="21" t="s">
        <v>18</v>
      </c>
      <c r="L9" s="23" t="s">
        <v>19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6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ht="16.5" customHeight="1">
      <c r="A11" s="27" t="s">
        <v>20</v>
      </c>
      <c r="B11" s="28"/>
      <c r="C11" s="29"/>
      <c r="D11" s="30">
        <f>SUM(D12:D33)</f>
        <v>0</v>
      </c>
      <c r="E11" s="31"/>
      <c r="F11" s="30">
        <f>SUM(F12:F33)</f>
        <v>0</v>
      </c>
      <c r="G11" s="29"/>
      <c r="H11" s="30">
        <f>SUM(H12:H33)</f>
        <v>0</v>
      </c>
      <c r="I11" s="31"/>
      <c r="J11" s="30">
        <f>SUM(J12:J33)</f>
        <v>0</v>
      </c>
      <c r="K11" s="29"/>
      <c r="L11" s="30">
        <f>SUM(L12:L33)</f>
        <v>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ht="16.5" customHeight="1">
      <c r="A12" s="32" t="s">
        <v>21</v>
      </c>
      <c r="B12" s="33"/>
      <c r="C12" s="34"/>
      <c r="D12" s="35"/>
      <c r="E12" s="36"/>
      <c r="F12" s="35"/>
      <c r="G12" s="34"/>
      <c r="H12" s="35"/>
      <c r="I12" s="36"/>
      <c r="J12" s="35"/>
      <c r="K12" s="37"/>
      <c r="L12" s="38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6.5" customHeight="1">
      <c r="A13" s="39" t="s">
        <v>22</v>
      </c>
      <c r="B13" s="33"/>
      <c r="C13" s="34"/>
      <c r="D13" s="35"/>
      <c r="E13" s="36"/>
      <c r="F13" s="35"/>
      <c r="G13" s="34"/>
      <c r="H13" s="35"/>
      <c r="I13" s="36"/>
      <c r="J13" s="35"/>
      <c r="K13" s="37">
        <f t="shared" ref="K13:L13" si="1">G13+I13</f>
        <v>0</v>
      </c>
      <c r="L13" s="38">
        <f t="shared" si="1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6.5" customHeight="1">
      <c r="A14" s="39" t="s">
        <v>23</v>
      </c>
      <c r="B14" s="33"/>
      <c r="C14" s="34"/>
      <c r="D14" s="35"/>
      <c r="E14" s="36"/>
      <c r="F14" s="35"/>
      <c r="G14" s="34"/>
      <c r="H14" s="35"/>
      <c r="I14" s="36"/>
      <c r="J14" s="35"/>
      <c r="K14" s="37">
        <f t="shared" ref="K14:L14" si="2">G14+I14</f>
        <v>0</v>
      </c>
      <c r="L14" s="38">
        <f t="shared" si="2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6.5" customHeight="1">
      <c r="A15" s="32" t="s">
        <v>24</v>
      </c>
      <c r="B15" s="33"/>
      <c r="C15" s="34"/>
      <c r="D15" s="35"/>
      <c r="E15" s="36"/>
      <c r="F15" s="35"/>
      <c r="G15" s="34"/>
      <c r="H15" s="35"/>
      <c r="I15" s="36"/>
      <c r="J15" s="35"/>
      <c r="K15" s="37"/>
      <c r="L15" s="38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6.5" customHeight="1">
      <c r="A16" s="39" t="s">
        <v>25</v>
      </c>
      <c r="B16" s="33" t="s">
        <v>26</v>
      </c>
      <c r="C16" s="34"/>
      <c r="D16" s="35"/>
      <c r="E16" s="36"/>
      <c r="F16" s="35"/>
      <c r="G16" s="34"/>
      <c r="H16" s="35"/>
      <c r="I16" s="36"/>
      <c r="J16" s="35"/>
      <c r="K16" s="37">
        <f t="shared" ref="K16:L16" si="3">G16+I16</f>
        <v>0</v>
      </c>
      <c r="L16" s="38">
        <f t="shared" si="3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6.5" customHeight="1">
      <c r="A17" s="39" t="s">
        <v>27</v>
      </c>
      <c r="B17" s="33" t="s">
        <v>26</v>
      </c>
      <c r="C17" s="34"/>
      <c r="D17" s="35"/>
      <c r="E17" s="36"/>
      <c r="F17" s="35"/>
      <c r="G17" s="34"/>
      <c r="H17" s="35"/>
      <c r="I17" s="36"/>
      <c r="J17" s="35"/>
      <c r="K17" s="37">
        <f t="shared" ref="K17:L17" si="4">G17+I17</f>
        <v>0</v>
      </c>
      <c r="L17" s="38">
        <f t="shared" si="4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6.5" customHeight="1">
      <c r="A18" s="39" t="s">
        <v>28</v>
      </c>
      <c r="B18" s="33" t="s">
        <v>29</v>
      </c>
      <c r="C18" s="34"/>
      <c r="D18" s="35"/>
      <c r="E18" s="36"/>
      <c r="F18" s="35"/>
      <c r="G18" s="34"/>
      <c r="H18" s="35"/>
      <c r="I18" s="36"/>
      <c r="J18" s="35"/>
      <c r="K18" s="37">
        <f t="shared" ref="K18:L18" si="5">G18+I18</f>
        <v>0</v>
      </c>
      <c r="L18" s="38">
        <f t="shared" si="5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6.5" customHeight="1">
      <c r="A19" s="39" t="s">
        <v>30</v>
      </c>
      <c r="B19" s="33" t="s">
        <v>26</v>
      </c>
      <c r="C19" s="34"/>
      <c r="D19" s="35"/>
      <c r="E19" s="36"/>
      <c r="F19" s="35"/>
      <c r="G19" s="34"/>
      <c r="H19" s="35"/>
      <c r="I19" s="36"/>
      <c r="J19" s="35"/>
      <c r="K19" s="37">
        <f t="shared" ref="K19:L19" si="6">G19+I19</f>
        <v>0</v>
      </c>
      <c r="L19" s="38">
        <f t="shared" si="6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6.5" customHeight="1">
      <c r="A20" s="32" t="s">
        <v>31</v>
      </c>
      <c r="B20" s="33"/>
      <c r="C20" s="34"/>
      <c r="D20" s="35"/>
      <c r="E20" s="36"/>
      <c r="F20" s="35"/>
      <c r="G20" s="34"/>
      <c r="H20" s="35"/>
      <c r="I20" s="36"/>
      <c r="J20" s="35"/>
      <c r="K20" s="37"/>
      <c r="L20" s="38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6.5" customHeight="1">
      <c r="A21" s="39" t="s">
        <v>25</v>
      </c>
      <c r="B21" s="33"/>
      <c r="C21" s="34"/>
      <c r="D21" s="35"/>
      <c r="E21" s="36"/>
      <c r="F21" s="35"/>
      <c r="G21" s="34"/>
      <c r="H21" s="35"/>
      <c r="I21" s="36"/>
      <c r="J21" s="35"/>
      <c r="K21" s="37">
        <f t="shared" ref="K21:L21" si="7">G21+I21</f>
        <v>0</v>
      </c>
      <c r="L21" s="38">
        <f t="shared" si="7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6.5" customHeight="1">
      <c r="A22" s="39" t="s">
        <v>27</v>
      </c>
      <c r="B22" s="33"/>
      <c r="C22" s="34"/>
      <c r="D22" s="35"/>
      <c r="E22" s="36"/>
      <c r="F22" s="35"/>
      <c r="G22" s="34"/>
      <c r="H22" s="35"/>
      <c r="I22" s="36"/>
      <c r="J22" s="35"/>
      <c r="K22" s="37">
        <f t="shared" ref="K22:L22" si="8">G22+I22</f>
        <v>0</v>
      </c>
      <c r="L22" s="38">
        <f t="shared" si="8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6.5" customHeight="1">
      <c r="A23" s="39" t="s">
        <v>28</v>
      </c>
      <c r="B23" s="33"/>
      <c r="C23" s="34"/>
      <c r="D23" s="35"/>
      <c r="E23" s="36"/>
      <c r="F23" s="35"/>
      <c r="G23" s="34"/>
      <c r="H23" s="35"/>
      <c r="I23" s="36"/>
      <c r="J23" s="35"/>
      <c r="K23" s="37"/>
      <c r="L23" s="3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6.5" customHeight="1">
      <c r="A24" s="32" t="s">
        <v>32</v>
      </c>
      <c r="B24" s="33"/>
      <c r="C24" s="34"/>
      <c r="D24" s="35"/>
      <c r="E24" s="36"/>
      <c r="F24" s="35"/>
      <c r="G24" s="34"/>
      <c r="H24" s="35"/>
      <c r="I24" s="36"/>
      <c r="J24" s="35"/>
      <c r="K24" s="37"/>
      <c r="L24" s="38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6.5" customHeight="1">
      <c r="A25" s="39" t="s">
        <v>33</v>
      </c>
      <c r="B25" s="33" t="s">
        <v>34</v>
      </c>
      <c r="C25" s="34"/>
      <c r="D25" s="35"/>
      <c r="E25" s="36"/>
      <c r="F25" s="35"/>
      <c r="G25" s="34"/>
      <c r="H25" s="35"/>
      <c r="I25" s="36"/>
      <c r="J25" s="35"/>
      <c r="K25" s="37">
        <f t="shared" ref="K25:L25" si="9">G25+I25</f>
        <v>0</v>
      </c>
      <c r="L25" s="38">
        <f t="shared" si="9"/>
        <v>0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6.5" customHeight="1">
      <c r="A26" s="39" t="s">
        <v>35</v>
      </c>
      <c r="B26" s="33" t="s">
        <v>34</v>
      </c>
      <c r="C26" s="34"/>
      <c r="D26" s="35"/>
      <c r="E26" s="36"/>
      <c r="F26" s="35"/>
      <c r="G26" s="34"/>
      <c r="H26" s="35"/>
      <c r="I26" s="36"/>
      <c r="J26" s="35"/>
      <c r="K26" s="37">
        <f t="shared" ref="K26:L26" si="10">G26+I26</f>
        <v>0</v>
      </c>
      <c r="L26" s="38">
        <f t="shared" si="10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6.5" customHeight="1">
      <c r="A27" s="39" t="s">
        <v>36</v>
      </c>
      <c r="B27" s="33" t="s">
        <v>26</v>
      </c>
      <c r="C27" s="34"/>
      <c r="D27" s="35"/>
      <c r="E27" s="36"/>
      <c r="F27" s="35"/>
      <c r="G27" s="34"/>
      <c r="H27" s="35"/>
      <c r="I27" s="36"/>
      <c r="J27" s="35"/>
      <c r="K27" s="37">
        <f t="shared" ref="K27:L27" si="11">G27+I27</f>
        <v>0</v>
      </c>
      <c r="L27" s="38">
        <f t="shared" si="11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6.5" customHeight="1">
      <c r="A28" s="32" t="s">
        <v>37</v>
      </c>
      <c r="B28" s="33"/>
      <c r="C28" s="34"/>
      <c r="D28" s="35"/>
      <c r="E28" s="36"/>
      <c r="F28" s="35"/>
      <c r="G28" s="34"/>
      <c r="H28" s="35"/>
      <c r="I28" s="36"/>
      <c r="J28" s="35"/>
      <c r="K28" s="37"/>
      <c r="L28" s="3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6.5" customHeight="1">
      <c r="A29" s="39" t="s">
        <v>38</v>
      </c>
      <c r="B29" s="33" t="s">
        <v>26</v>
      </c>
      <c r="C29" s="34"/>
      <c r="D29" s="35"/>
      <c r="E29" s="36"/>
      <c r="F29" s="35"/>
      <c r="G29" s="34"/>
      <c r="H29" s="35"/>
      <c r="I29" s="36"/>
      <c r="J29" s="35"/>
      <c r="K29" s="37">
        <f t="shared" ref="K29:L29" si="12">G29+I29</f>
        <v>0</v>
      </c>
      <c r="L29" s="38">
        <f t="shared" si="12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6.5" customHeight="1">
      <c r="A30" s="39" t="s">
        <v>27</v>
      </c>
      <c r="B30" s="33" t="s">
        <v>26</v>
      </c>
      <c r="C30" s="34"/>
      <c r="D30" s="35"/>
      <c r="E30" s="36"/>
      <c r="F30" s="35"/>
      <c r="G30" s="34"/>
      <c r="H30" s="35"/>
      <c r="I30" s="36"/>
      <c r="J30" s="35"/>
      <c r="K30" s="37">
        <f t="shared" ref="K30:L30" si="13">G30+I30</f>
        <v>0</v>
      </c>
      <c r="L30" s="38">
        <f t="shared" si="13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6.5" customHeight="1">
      <c r="A31" s="32" t="s">
        <v>39</v>
      </c>
      <c r="B31" s="33"/>
      <c r="C31" s="34"/>
      <c r="D31" s="35"/>
      <c r="E31" s="36"/>
      <c r="F31" s="35"/>
      <c r="G31" s="34"/>
      <c r="H31" s="35"/>
      <c r="I31" s="36"/>
      <c r="J31" s="35"/>
      <c r="K31" s="37"/>
      <c r="L31" s="38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6.5" customHeight="1">
      <c r="A32" s="39" t="s">
        <v>40</v>
      </c>
      <c r="B32" s="33" t="s">
        <v>26</v>
      </c>
      <c r="C32" s="34"/>
      <c r="D32" s="35"/>
      <c r="E32" s="36"/>
      <c r="F32" s="35"/>
      <c r="G32" s="34"/>
      <c r="H32" s="35"/>
      <c r="I32" s="36"/>
      <c r="J32" s="35"/>
      <c r="K32" s="37">
        <f t="shared" ref="K32:L32" si="14">G32+I32</f>
        <v>0</v>
      </c>
      <c r="L32" s="38">
        <f t="shared" si="14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6.5" customHeight="1">
      <c r="A33" s="39" t="s">
        <v>27</v>
      </c>
      <c r="B33" s="33" t="s">
        <v>26</v>
      </c>
      <c r="C33" s="34"/>
      <c r="D33" s="35"/>
      <c r="E33" s="36"/>
      <c r="F33" s="35"/>
      <c r="G33" s="34"/>
      <c r="H33" s="35"/>
      <c r="I33" s="36"/>
      <c r="J33" s="35"/>
      <c r="K33" s="37">
        <f t="shared" ref="K33:L33" si="15">G33+I33</f>
        <v>0</v>
      </c>
      <c r="L33" s="38">
        <f t="shared" si="15"/>
        <v>0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6.5" customHeight="1">
      <c r="A34" s="27"/>
      <c r="B34" s="33"/>
      <c r="C34" s="34"/>
      <c r="D34" s="30"/>
      <c r="E34" s="31"/>
      <c r="F34" s="30"/>
      <c r="G34" s="29"/>
      <c r="H34" s="30"/>
      <c r="I34" s="31"/>
      <c r="J34" s="30"/>
      <c r="K34" s="29"/>
      <c r="L34" s="40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5.75" customHeight="1">
      <c r="A35" s="27" t="s">
        <v>41</v>
      </c>
      <c r="B35" s="28"/>
      <c r="C35" s="29"/>
      <c r="D35" s="41">
        <f>SUM(D36:D63)</f>
        <v>0</v>
      </c>
      <c r="E35" s="31"/>
      <c r="F35" s="41">
        <f>SUM(F36:F63)</f>
        <v>0</v>
      </c>
      <c r="G35" s="29"/>
      <c r="H35" s="41">
        <f>SUM(H36:H63)</f>
        <v>0</v>
      </c>
      <c r="I35" s="31"/>
      <c r="J35" s="41">
        <f>SUM(J36:J63)</f>
        <v>0</v>
      </c>
      <c r="K35" s="42"/>
      <c r="L35" s="41">
        <f>SUM(L36:L63)</f>
        <v>0</v>
      </c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6.5" customHeight="1">
      <c r="A36" s="44" t="s">
        <v>42</v>
      </c>
      <c r="B36" s="45" t="s">
        <v>43</v>
      </c>
      <c r="C36" s="46"/>
      <c r="D36" s="35"/>
      <c r="E36" s="47"/>
      <c r="F36" s="35"/>
      <c r="G36" s="47"/>
      <c r="H36" s="48"/>
      <c r="I36" s="49"/>
      <c r="J36" s="48"/>
      <c r="K36" s="37">
        <f t="shared" ref="K36:L36" si="16">G36+I36</f>
        <v>0</v>
      </c>
      <c r="L36" s="38">
        <f t="shared" si="16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6.5" customHeight="1">
      <c r="A37" s="44" t="s">
        <v>44</v>
      </c>
      <c r="B37" s="45" t="s">
        <v>43</v>
      </c>
      <c r="C37" s="46"/>
      <c r="D37" s="35"/>
      <c r="E37" s="50"/>
      <c r="F37" s="35"/>
      <c r="G37" s="50"/>
      <c r="H37" s="48"/>
      <c r="I37" s="48"/>
      <c r="J37" s="48"/>
      <c r="K37" s="37">
        <f t="shared" ref="K37:L37" si="17">G37+I37</f>
        <v>0</v>
      </c>
      <c r="L37" s="38">
        <f t="shared" si="17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6.5" customHeight="1">
      <c r="A38" s="44" t="s">
        <v>45</v>
      </c>
      <c r="B38" s="45" t="s">
        <v>43</v>
      </c>
      <c r="C38" s="46"/>
      <c r="D38" s="35"/>
      <c r="E38" s="50"/>
      <c r="F38" s="35"/>
      <c r="G38" s="50"/>
      <c r="H38" s="48"/>
      <c r="I38" s="48"/>
      <c r="J38" s="48"/>
      <c r="K38" s="37">
        <f t="shared" ref="K38:L38" si="18">G38+I38</f>
        <v>0</v>
      </c>
      <c r="L38" s="38">
        <f t="shared" si="18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6.5" customHeight="1">
      <c r="A39" s="44" t="s">
        <v>46</v>
      </c>
      <c r="B39" s="45" t="s">
        <v>43</v>
      </c>
      <c r="C39" s="46"/>
      <c r="D39" s="35"/>
      <c r="E39" s="50"/>
      <c r="F39" s="35"/>
      <c r="G39" s="50"/>
      <c r="H39" s="48"/>
      <c r="I39" s="49"/>
      <c r="J39" s="48"/>
      <c r="K39" s="37">
        <f t="shared" ref="K39:L39" si="19">G39+I39</f>
        <v>0</v>
      </c>
      <c r="L39" s="38">
        <f t="shared" si="19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6.5" customHeight="1">
      <c r="A40" s="44" t="s">
        <v>47</v>
      </c>
      <c r="B40" s="45" t="s">
        <v>43</v>
      </c>
      <c r="C40" s="46"/>
      <c r="D40" s="35"/>
      <c r="E40" s="50"/>
      <c r="F40" s="35"/>
      <c r="G40" s="50"/>
      <c r="H40" s="48"/>
      <c r="I40" s="49"/>
      <c r="J40" s="48"/>
      <c r="K40" s="37">
        <f t="shared" ref="K40:L40" si="20">G40+I40</f>
        <v>0</v>
      </c>
      <c r="L40" s="38">
        <f t="shared" si="20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6.5" customHeight="1">
      <c r="A41" s="44" t="s">
        <v>48</v>
      </c>
      <c r="B41" s="45" t="s">
        <v>43</v>
      </c>
      <c r="C41" s="46"/>
      <c r="D41" s="35"/>
      <c r="E41" s="50"/>
      <c r="F41" s="35"/>
      <c r="G41" s="50"/>
      <c r="H41" s="48"/>
      <c r="I41" s="49"/>
      <c r="J41" s="48"/>
      <c r="K41" s="37">
        <f t="shared" ref="K41:L41" si="21">G41+I41</f>
        <v>0</v>
      </c>
      <c r="L41" s="38">
        <f t="shared" si="21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6.5" customHeight="1">
      <c r="A42" s="44" t="s">
        <v>49</v>
      </c>
      <c r="B42" s="45" t="s">
        <v>43</v>
      </c>
      <c r="C42" s="46"/>
      <c r="D42" s="35"/>
      <c r="E42" s="50"/>
      <c r="F42" s="35"/>
      <c r="G42" s="50"/>
      <c r="H42" s="48"/>
      <c r="I42" s="49"/>
      <c r="J42" s="48"/>
      <c r="K42" s="37">
        <f t="shared" ref="K42:L42" si="22">G42+I42</f>
        <v>0</v>
      </c>
      <c r="L42" s="38">
        <f t="shared" si="22"/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6.5" customHeight="1">
      <c r="A43" s="44" t="s">
        <v>50</v>
      </c>
      <c r="B43" s="45" t="s">
        <v>43</v>
      </c>
      <c r="C43" s="46"/>
      <c r="D43" s="35"/>
      <c r="E43" s="50"/>
      <c r="F43" s="35"/>
      <c r="G43" s="50"/>
      <c r="H43" s="48"/>
      <c r="I43" s="49"/>
      <c r="J43" s="48"/>
      <c r="K43" s="37">
        <f t="shared" ref="K43:L43" si="23">G43+I43</f>
        <v>0</v>
      </c>
      <c r="L43" s="38">
        <f t="shared" si="23"/>
        <v>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6.5" customHeight="1">
      <c r="A44" s="44" t="s">
        <v>51</v>
      </c>
      <c r="B44" s="45" t="s">
        <v>43</v>
      </c>
      <c r="C44" s="46"/>
      <c r="D44" s="35"/>
      <c r="E44" s="50"/>
      <c r="F44" s="35"/>
      <c r="G44" s="50"/>
      <c r="H44" s="48"/>
      <c r="I44" s="49"/>
      <c r="J44" s="48"/>
      <c r="K44" s="37">
        <f t="shared" ref="K44:L44" si="24">G44+I44</f>
        <v>0</v>
      </c>
      <c r="L44" s="38">
        <f t="shared" si="24"/>
        <v>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6.5" customHeight="1">
      <c r="A45" s="44" t="s">
        <v>52</v>
      </c>
      <c r="B45" s="45" t="s">
        <v>43</v>
      </c>
      <c r="C45" s="46"/>
      <c r="D45" s="35"/>
      <c r="E45" s="50"/>
      <c r="F45" s="35"/>
      <c r="G45" s="50"/>
      <c r="H45" s="48"/>
      <c r="I45" s="49"/>
      <c r="J45" s="48"/>
      <c r="K45" s="37">
        <f t="shared" ref="K45:L45" si="25">G45+I45</f>
        <v>0</v>
      </c>
      <c r="L45" s="38">
        <f t="shared" si="25"/>
        <v>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6.5" customHeight="1">
      <c r="A46" s="44" t="s">
        <v>53</v>
      </c>
      <c r="B46" s="45" t="s">
        <v>43</v>
      </c>
      <c r="C46" s="46"/>
      <c r="D46" s="35"/>
      <c r="E46" s="50"/>
      <c r="F46" s="35"/>
      <c r="G46" s="50"/>
      <c r="H46" s="48"/>
      <c r="I46" s="49"/>
      <c r="J46" s="48"/>
      <c r="K46" s="37">
        <f t="shared" ref="K46:L46" si="26">G46+I46</f>
        <v>0</v>
      </c>
      <c r="L46" s="38">
        <f t="shared" si="26"/>
        <v>0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6.5" customHeight="1">
      <c r="A47" s="44" t="s">
        <v>54</v>
      </c>
      <c r="B47" s="45" t="s">
        <v>43</v>
      </c>
      <c r="C47" s="46"/>
      <c r="D47" s="35"/>
      <c r="E47" s="50"/>
      <c r="F47" s="35"/>
      <c r="G47" s="50"/>
      <c r="H47" s="48"/>
      <c r="I47" s="49"/>
      <c r="J47" s="48"/>
      <c r="K47" s="37">
        <f t="shared" ref="K47:L47" si="27">G47+I47</f>
        <v>0</v>
      </c>
      <c r="L47" s="38">
        <f t="shared" si="27"/>
        <v>0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6.5" customHeight="1">
      <c r="A48" s="44" t="s">
        <v>55</v>
      </c>
      <c r="B48" s="45" t="s">
        <v>43</v>
      </c>
      <c r="C48" s="46"/>
      <c r="D48" s="35"/>
      <c r="E48" s="50"/>
      <c r="F48" s="35"/>
      <c r="G48" s="50"/>
      <c r="H48" s="48"/>
      <c r="I48" s="49"/>
      <c r="J48" s="48"/>
      <c r="K48" s="37">
        <f t="shared" ref="K48:L48" si="28">G48+I48</f>
        <v>0</v>
      </c>
      <c r="L48" s="38">
        <f t="shared" si="28"/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6.5" customHeight="1">
      <c r="A49" s="44" t="s">
        <v>56</v>
      </c>
      <c r="B49" s="45" t="s">
        <v>43</v>
      </c>
      <c r="C49" s="46"/>
      <c r="D49" s="35"/>
      <c r="E49" s="50"/>
      <c r="F49" s="35"/>
      <c r="G49" s="50"/>
      <c r="H49" s="48"/>
      <c r="I49" s="49"/>
      <c r="J49" s="48"/>
      <c r="K49" s="37">
        <f t="shared" ref="K49:L49" si="29">G49+I49</f>
        <v>0</v>
      </c>
      <c r="L49" s="38">
        <f t="shared" si="29"/>
        <v>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6.5" customHeight="1">
      <c r="A50" s="44" t="s">
        <v>57</v>
      </c>
      <c r="B50" s="45" t="s">
        <v>43</v>
      </c>
      <c r="C50" s="46"/>
      <c r="D50" s="35"/>
      <c r="E50" s="50"/>
      <c r="F50" s="35"/>
      <c r="G50" s="50"/>
      <c r="H50" s="48"/>
      <c r="I50" s="49"/>
      <c r="J50" s="48"/>
      <c r="K50" s="37">
        <f t="shared" ref="K50:L50" si="30">G50+I50</f>
        <v>0</v>
      </c>
      <c r="L50" s="38">
        <f t="shared" si="30"/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6.5" customHeight="1">
      <c r="A51" s="44" t="s">
        <v>58</v>
      </c>
      <c r="B51" s="45" t="s">
        <v>43</v>
      </c>
      <c r="C51" s="46"/>
      <c r="D51" s="35"/>
      <c r="E51" s="50"/>
      <c r="F51" s="35"/>
      <c r="G51" s="50"/>
      <c r="H51" s="48"/>
      <c r="I51" s="49"/>
      <c r="J51" s="48"/>
      <c r="K51" s="37">
        <f t="shared" ref="K51:L51" si="31">G51+I51</f>
        <v>0</v>
      </c>
      <c r="L51" s="38">
        <f t="shared" si="31"/>
        <v>0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6.5" customHeight="1">
      <c r="A52" s="44" t="s">
        <v>59</v>
      </c>
      <c r="B52" s="45" t="s">
        <v>43</v>
      </c>
      <c r="C52" s="46"/>
      <c r="D52" s="35"/>
      <c r="E52" s="50"/>
      <c r="F52" s="35"/>
      <c r="G52" s="50"/>
      <c r="H52" s="48"/>
      <c r="I52" s="49"/>
      <c r="J52" s="48"/>
      <c r="K52" s="37">
        <f t="shared" ref="K52:L52" si="32">G52+I52</f>
        <v>0</v>
      </c>
      <c r="L52" s="38">
        <f t="shared" si="32"/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6.5" customHeight="1">
      <c r="A53" s="44" t="s">
        <v>60</v>
      </c>
      <c r="B53" s="45" t="s">
        <v>43</v>
      </c>
      <c r="C53" s="46"/>
      <c r="D53" s="35"/>
      <c r="E53" s="50"/>
      <c r="F53" s="35"/>
      <c r="G53" s="50"/>
      <c r="H53" s="48"/>
      <c r="I53" s="49"/>
      <c r="J53" s="48"/>
      <c r="K53" s="37">
        <f t="shared" ref="K53:L53" si="33">G53+I53</f>
        <v>0</v>
      </c>
      <c r="L53" s="38">
        <f t="shared" si="33"/>
        <v>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6.5" customHeight="1">
      <c r="A54" s="44" t="s">
        <v>61</v>
      </c>
      <c r="B54" s="45" t="s">
        <v>43</v>
      </c>
      <c r="C54" s="46"/>
      <c r="D54" s="35"/>
      <c r="E54" s="50"/>
      <c r="F54" s="35"/>
      <c r="G54" s="50"/>
      <c r="H54" s="48"/>
      <c r="I54" s="49"/>
      <c r="J54" s="48"/>
      <c r="K54" s="37">
        <f t="shared" ref="K54:L54" si="34">G54+I54</f>
        <v>0</v>
      </c>
      <c r="L54" s="38">
        <f t="shared" si="34"/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6.5" customHeight="1">
      <c r="A55" s="44" t="s">
        <v>62</v>
      </c>
      <c r="B55" s="45" t="s">
        <v>43</v>
      </c>
      <c r="C55" s="46"/>
      <c r="D55" s="35"/>
      <c r="E55" s="50"/>
      <c r="F55" s="35"/>
      <c r="G55" s="50"/>
      <c r="H55" s="48"/>
      <c r="I55" s="49"/>
      <c r="J55" s="48"/>
      <c r="K55" s="37">
        <f t="shared" ref="K55:L55" si="35">G55+I55</f>
        <v>0</v>
      </c>
      <c r="L55" s="38">
        <f t="shared" si="35"/>
        <v>0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6.5" customHeight="1">
      <c r="A56" s="44" t="s">
        <v>63</v>
      </c>
      <c r="B56" s="45" t="s">
        <v>43</v>
      </c>
      <c r="C56" s="46"/>
      <c r="D56" s="35"/>
      <c r="E56" s="50"/>
      <c r="F56" s="35"/>
      <c r="G56" s="50"/>
      <c r="H56" s="48"/>
      <c r="I56" s="49"/>
      <c r="J56" s="48"/>
      <c r="K56" s="37">
        <f t="shared" ref="K56:L56" si="36">G56+I56</f>
        <v>0</v>
      </c>
      <c r="L56" s="38">
        <f t="shared" si="36"/>
        <v>0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6.5" customHeight="1">
      <c r="A57" s="44" t="s">
        <v>64</v>
      </c>
      <c r="B57" s="45" t="s">
        <v>43</v>
      </c>
      <c r="C57" s="46"/>
      <c r="D57" s="35"/>
      <c r="E57" s="50"/>
      <c r="F57" s="35"/>
      <c r="G57" s="50"/>
      <c r="H57" s="48"/>
      <c r="I57" s="49"/>
      <c r="J57" s="48"/>
      <c r="K57" s="37">
        <f t="shared" ref="K57:L57" si="37">G57+I57</f>
        <v>0</v>
      </c>
      <c r="L57" s="38">
        <f t="shared" si="37"/>
        <v>0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6.5" customHeight="1">
      <c r="A58" s="44" t="s">
        <v>65</v>
      </c>
      <c r="B58" s="45" t="s">
        <v>43</v>
      </c>
      <c r="C58" s="46"/>
      <c r="D58" s="35"/>
      <c r="E58" s="50"/>
      <c r="F58" s="35"/>
      <c r="G58" s="50"/>
      <c r="H58" s="48"/>
      <c r="I58" s="49"/>
      <c r="J58" s="48"/>
      <c r="K58" s="37">
        <f t="shared" ref="K58:L58" si="38">G58+I58</f>
        <v>0</v>
      </c>
      <c r="L58" s="38">
        <f t="shared" si="38"/>
        <v>0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6.5" customHeight="1">
      <c r="A59" s="44" t="s">
        <v>66</v>
      </c>
      <c r="B59" s="45" t="s">
        <v>43</v>
      </c>
      <c r="C59" s="46"/>
      <c r="D59" s="35"/>
      <c r="E59" s="50"/>
      <c r="F59" s="35"/>
      <c r="G59" s="50"/>
      <c r="H59" s="48"/>
      <c r="I59" s="49"/>
      <c r="J59" s="48"/>
      <c r="K59" s="37">
        <f t="shared" ref="K59:L59" si="39">G59+I59</f>
        <v>0</v>
      </c>
      <c r="L59" s="38">
        <f t="shared" si="39"/>
        <v>0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6.5" customHeight="1">
      <c r="A60" s="44" t="s">
        <v>67</v>
      </c>
      <c r="B60" s="45" t="s">
        <v>43</v>
      </c>
      <c r="C60" s="46"/>
      <c r="D60" s="35"/>
      <c r="E60" s="50"/>
      <c r="F60" s="35"/>
      <c r="G60" s="50"/>
      <c r="H60" s="48"/>
      <c r="I60" s="49"/>
      <c r="J60" s="48"/>
      <c r="K60" s="37">
        <f t="shared" ref="K60:L60" si="40">G60+I60</f>
        <v>0</v>
      </c>
      <c r="L60" s="38">
        <f t="shared" si="40"/>
        <v>0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6.5" customHeight="1">
      <c r="A61" s="44" t="s">
        <v>68</v>
      </c>
      <c r="B61" s="45" t="s">
        <v>43</v>
      </c>
      <c r="C61" s="46"/>
      <c r="D61" s="35"/>
      <c r="E61" s="50"/>
      <c r="F61" s="35"/>
      <c r="G61" s="50"/>
      <c r="H61" s="48"/>
      <c r="I61" s="49"/>
      <c r="J61" s="48"/>
      <c r="K61" s="37">
        <f t="shared" ref="K61:L61" si="41">G61+I61</f>
        <v>0</v>
      </c>
      <c r="L61" s="38">
        <f t="shared" si="41"/>
        <v>0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6.5" customHeight="1">
      <c r="A62" s="44" t="s">
        <v>69</v>
      </c>
      <c r="B62" s="45" t="s">
        <v>43</v>
      </c>
      <c r="C62" s="46"/>
      <c r="D62" s="35"/>
      <c r="E62" s="50"/>
      <c r="F62" s="35"/>
      <c r="G62" s="50"/>
      <c r="H62" s="48"/>
      <c r="I62" s="49"/>
      <c r="J62" s="48"/>
      <c r="K62" s="37">
        <f t="shared" ref="K62:L62" si="42">G62+I62</f>
        <v>0</v>
      </c>
      <c r="L62" s="38">
        <f t="shared" si="42"/>
        <v>0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6.5" customHeight="1">
      <c r="A63" s="44" t="s">
        <v>70</v>
      </c>
      <c r="B63" s="45" t="s">
        <v>43</v>
      </c>
      <c r="C63" s="46"/>
      <c r="D63" s="35"/>
      <c r="E63" s="50"/>
      <c r="F63" s="35"/>
      <c r="G63" s="50"/>
      <c r="H63" s="48"/>
      <c r="I63" s="49"/>
      <c r="J63" s="48"/>
      <c r="K63" s="37">
        <f t="shared" ref="K63:L63" si="43">G63+I63</f>
        <v>0</v>
      </c>
      <c r="L63" s="38">
        <f t="shared" si="43"/>
        <v>0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6.5" customHeight="1">
      <c r="A64" s="51"/>
      <c r="B64" s="52"/>
      <c r="C64" s="53"/>
      <c r="D64" s="54"/>
      <c r="E64" s="55"/>
      <c r="F64" s="54"/>
      <c r="G64" s="53"/>
      <c r="H64" s="54"/>
      <c r="I64" s="55"/>
      <c r="J64" s="54"/>
      <c r="K64" s="53"/>
      <c r="L64" s="56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6.5" customHeight="1">
      <c r="A65" s="51" t="s">
        <v>71</v>
      </c>
      <c r="B65" s="52"/>
      <c r="C65" s="53"/>
      <c r="D65" s="54">
        <f>SUM(D66:D68)</f>
        <v>0</v>
      </c>
      <c r="E65" s="55"/>
      <c r="F65" s="54">
        <f>SUM(F66:F68)</f>
        <v>0</v>
      </c>
      <c r="G65" s="53"/>
      <c r="H65" s="54">
        <f>SUM(H66:H68)</f>
        <v>0</v>
      </c>
      <c r="I65" s="55"/>
      <c r="J65" s="54">
        <f>SUM(J66:J68)</f>
        <v>0</v>
      </c>
      <c r="K65" s="53"/>
      <c r="L65" s="54">
        <f>SUM(L66:L68)</f>
        <v>0</v>
      </c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6.5" customHeight="1">
      <c r="A66" s="44" t="s">
        <v>72</v>
      </c>
      <c r="B66" s="45" t="s">
        <v>73</v>
      </c>
      <c r="C66" s="46"/>
      <c r="D66" s="48"/>
      <c r="E66" s="50"/>
      <c r="F66" s="49"/>
      <c r="G66" s="46"/>
      <c r="H66" s="48"/>
      <c r="I66" s="46"/>
      <c r="J66" s="48"/>
      <c r="K66" s="37">
        <f t="shared" ref="K66:L66" si="44">G66+I66</f>
        <v>0</v>
      </c>
      <c r="L66" s="38">
        <f t="shared" si="44"/>
        <v>0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6.5" customHeight="1">
      <c r="A67" s="44" t="s">
        <v>74</v>
      </c>
      <c r="B67" s="45" t="s">
        <v>73</v>
      </c>
      <c r="C67" s="46"/>
      <c r="D67" s="48"/>
      <c r="E67" s="50"/>
      <c r="F67" s="49"/>
      <c r="G67" s="46"/>
      <c r="H67" s="48"/>
      <c r="I67" s="50"/>
      <c r="J67" s="48"/>
      <c r="K67" s="37">
        <f t="shared" ref="K67:L67" si="45">G67+I67</f>
        <v>0</v>
      </c>
      <c r="L67" s="38">
        <f t="shared" si="45"/>
        <v>0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6.5" customHeight="1">
      <c r="A68" s="44" t="s">
        <v>75</v>
      </c>
      <c r="B68" s="45" t="s">
        <v>73</v>
      </c>
      <c r="C68" s="46"/>
      <c r="D68" s="48"/>
      <c r="E68" s="50"/>
      <c r="F68" s="49"/>
      <c r="G68" s="46"/>
      <c r="H68" s="48"/>
      <c r="I68" s="50"/>
      <c r="J68" s="48"/>
      <c r="K68" s="37"/>
      <c r="L68" s="38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6.5" customHeight="1">
      <c r="A69" s="27" t="s">
        <v>76</v>
      </c>
      <c r="B69" s="33"/>
      <c r="C69" s="34"/>
      <c r="D69" s="30">
        <f>SUM(D11,D35,D65)</f>
        <v>0</v>
      </c>
      <c r="E69" s="31"/>
      <c r="F69" s="30">
        <f>SUM(F11,F35,F65)</f>
        <v>0</v>
      </c>
      <c r="G69" s="29"/>
      <c r="H69" s="30">
        <f>SUM(H11,H35,H65)</f>
        <v>0</v>
      </c>
      <c r="I69" s="31"/>
      <c r="J69" s="30">
        <f>SUM(J11,J35,J65)</f>
        <v>0</v>
      </c>
      <c r="K69" s="29"/>
      <c r="L69" s="30">
        <f>SUM(L11,L35,L65)</f>
        <v>0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6.5" customHeight="1">
      <c r="A70" s="57"/>
      <c r="B70" s="58"/>
      <c r="C70" s="57"/>
      <c r="D70" s="59"/>
      <c r="E70" s="60"/>
      <c r="F70" s="61"/>
      <c r="G70" s="62"/>
      <c r="H70" s="59"/>
      <c r="I70" s="60"/>
      <c r="J70" s="59"/>
      <c r="K70" s="62"/>
      <c r="L70" s="6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6.5" customHeight="1">
      <c r="A71" s="63" t="s">
        <v>77</v>
      </c>
      <c r="B71" s="64"/>
      <c r="C71" s="65" t="s">
        <v>78</v>
      </c>
      <c r="D71" s="66"/>
      <c r="E71" s="66"/>
      <c r="F71" s="64"/>
      <c r="G71" s="67" t="s">
        <v>79</v>
      </c>
      <c r="H71" s="66"/>
      <c r="I71" s="66"/>
      <c r="J71" s="68"/>
      <c r="K71" s="68"/>
      <c r="L71" s="69" t="s">
        <v>80</v>
      </c>
      <c r="M71" s="70"/>
      <c r="N71" s="68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6.5" customHeight="1">
      <c r="A72" s="68"/>
      <c r="B72" s="64"/>
      <c r="C72" s="64"/>
      <c r="D72" s="64"/>
      <c r="E72" s="71"/>
      <c r="F72" s="64"/>
      <c r="G72" s="68"/>
      <c r="H72" s="64"/>
      <c r="I72" s="68"/>
      <c r="J72" s="68"/>
      <c r="K72" s="64"/>
      <c r="L72" s="68"/>
      <c r="M72" s="64"/>
      <c r="N72" s="68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6.5" customHeight="1">
      <c r="A73" s="68"/>
      <c r="B73" s="64"/>
      <c r="C73" s="64"/>
      <c r="D73" s="64"/>
      <c r="E73" s="71"/>
      <c r="F73" s="64"/>
      <c r="G73" s="68"/>
      <c r="H73" s="64"/>
      <c r="I73" s="68"/>
      <c r="J73" s="68"/>
      <c r="K73" s="64"/>
      <c r="L73" s="68"/>
      <c r="M73" s="64"/>
      <c r="N73" s="68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6.5" customHeight="1">
      <c r="A74" s="68"/>
      <c r="B74" s="64"/>
      <c r="C74" s="64"/>
      <c r="D74" s="64"/>
      <c r="E74" s="71"/>
      <c r="F74" s="64"/>
      <c r="G74" s="68"/>
      <c r="H74" s="64"/>
      <c r="I74" s="68"/>
      <c r="J74" s="68"/>
      <c r="K74" s="64"/>
      <c r="L74" s="68"/>
      <c r="M74" s="64"/>
      <c r="N74" s="68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6.5" customHeight="1">
      <c r="A75" s="68"/>
      <c r="B75" s="64"/>
      <c r="C75" s="64"/>
      <c r="D75" s="64"/>
      <c r="E75" s="71"/>
      <c r="F75" s="64"/>
      <c r="G75" s="68"/>
      <c r="H75" s="64"/>
      <c r="I75" s="68"/>
      <c r="J75" s="68"/>
      <c r="K75" s="64"/>
      <c r="L75" s="68"/>
      <c r="M75" s="64"/>
      <c r="N75" s="68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6.5" customHeight="1">
      <c r="A76" s="72" t="s">
        <v>81</v>
      </c>
      <c r="B76" s="64"/>
      <c r="C76" s="72" t="s">
        <v>82</v>
      </c>
      <c r="D76" s="64"/>
      <c r="E76" s="71"/>
      <c r="F76" s="64"/>
      <c r="G76" s="73" t="s">
        <v>83</v>
      </c>
      <c r="H76" s="66"/>
      <c r="I76" s="66"/>
      <c r="J76" s="68"/>
      <c r="K76" s="68"/>
      <c r="L76" s="72" t="s">
        <v>84</v>
      </c>
      <c r="M76" s="68"/>
      <c r="N76" s="68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8.75" customHeight="1">
      <c r="A77" s="63" t="s">
        <v>85</v>
      </c>
      <c r="B77" s="64"/>
      <c r="C77" s="74" t="s">
        <v>86</v>
      </c>
      <c r="D77" s="64"/>
      <c r="E77" s="71"/>
      <c r="F77" s="64"/>
      <c r="G77" s="67" t="s">
        <v>87</v>
      </c>
      <c r="H77" s="66"/>
      <c r="I77" s="66"/>
      <c r="J77" s="68"/>
      <c r="K77" s="68"/>
      <c r="L77" s="74" t="s">
        <v>88</v>
      </c>
      <c r="M77" s="68"/>
      <c r="N77" s="68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8.75" customHeight="1">
      <c r="A78" s="75" t="s">
        <v>89</v>
      </c>
      <c r="B78" s="64"/>
      <c r="C78" s="64"/>
      <c r="D78" s="71"/>
      <c r="E78" s="71"/>
      <c r="F78" s="71"/>
      <c r="G78" s="71"/>
      <c r="H78" s="71"/>
      <c r="I78" s="71"/>
      <c r="J78" s="76"/>
      <c r="K78" s="76"/>
      <c r="L78" s="76"/>
      <c r="M78" s="76"/>
      <c r="N78" s="76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6.5" customHeight="1">
      <c r="A79" s="7"/>
      <c r="B79" s="77"/>
      <c r="C79" s="78"/>
      <c r="D79" s="79"/>
      <c r="E79" s="80"/>
      <c r="F79" s="79"/>
      <c r="G79" s="78"/>
      <c r="H79" s="79"/>
      <c r="I79" s="80"/>
      <c r="J79" s="79"/>
      <c r="K79" s="78"/>
      <c r="L79" s="8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6.5" customHeight="1">
      <c r="A80" s="7"/>
      <c r="B80" s="77"/>
      <c r="C80" s="78"/>
      <c r="D80" s="79"/>
      <c r="E80" s="80"/>
      <c r="F80" s="79"/>
      <c r="G80" s="78"/>
      <c r="H80" s="79"/>
      <c r="I80" s="80"/>
      <c r="J80" s="79"/>
      <c r="K80" s="78"/>
      <c r="L80" s="8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6.5" customHeight="1">
      <c r="A81" s="7"/>
      <c r="B81" s="77"/>
      <c r="C81" s="78"/>
      <c r="D81" s="79"/>
      <c r="E81" s="80"/>
      <c r="F81" s="79"/>
      <c r="G81" s="78"/>
      <c r="H81" s="79"/>
      <c r="I81" s="80"/>
      <c r="J81" s="79"/>
      <c r="K81" s="78"/>
      <c r="L81" s="8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6.5" customHeight="1">
      <c r="A82" s="7"/>
      <c r="B82" s="77"/>
      <c r="C82" s="78"/>
      <c r="D82" s="79"/>
      <c r="E82" s="80"/>
      <c r="F82" s="79"/>
      <c r="G82" s="78"/>
      <c r="H82" s="79"/>
      <c r="I82" s="80"/>
      <c r="J82" s="79"/>
      <c r="K82" s="78"/>
      <c r="L82" s="8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6.5" customHeight="1">
      <c r="A83" s="7"/>
      <c r="B83" s="77"/>
      <c r="C83" s="78"/>
      <c r="D83" s="79"/>
      <c r="E83" s="80"/>
      <c r="F83" s="79"/>
      <c r="G83" s="78"/>
      <c r="H83" s="79"/>
      <c r="I83" s="80"/>
      <c r="J83" s="79"/>
      <c r="K83" s="78"/>
      <c r="L83" s="8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6.5" customHeight="1">
      <c r="A84" s="7"/>
      <c r="B84" s="77"/>
      <c r="C84" s="78"/>
      <c r="D84" s="79"/>
      <c r="E84" s="80"/>
      <c r="F84" s="79"/>
      <c r="G84" s="78"/>
      <c r="H84" s="79"/>
      <c r="I84" s="80"/>
      <c r="J84" s="79"/>
      <c r="K84" s="78"/>
      <c r="L84" s="8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6.5" customHeight="1">
      <c r="A85" s="7"/>
      <c r="B85" s="77"/>
      <c r="C85" s="78"/>
      <c r="D85" s="79"/>
      <c r="E85" s="80"/>
      <c r="F85" s="79"/>
      <c r="G85" s="78"/>
      <c r="H85" s="79"/>
      <c r="I85" s="80"/>
      <c r="J85" s="79"/>
      <c r="K85" s="78"/>
      <c r="L85" s="8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6.5" customHeight="1">
      <c r="A86" s="7"/>
      <c r="B86" s="77"/>
      <c r="C86" s="78"/>
      <c r="D86" s="79"/>
      <c r="E86" s="80"/>
      <c r="F86" s="79"/>
      <c r="G86" s="78"/>
      <c r="H86" s="79"/>
      <c r="I86" s="80"/>
      <c r="J86" s="79"/>
      <c r="K86" s="78"/>
      <c r="L86" s="8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6.5" customHeight="1">
      <c r="A87" s="7"/>
      <c r="B87" s="77"/>
      <c r="C87" s="78"/>
      <c r="D87" s="79"/>
      <c r="E87" s="80"/>
      <c r="F87" s="79"/>
      <c r="G87" s="78"/>
      <c r="H87" s="79"/>
      <c r="I87" s="80"/>
      <c r="J87" s="79"/>
      <c r="K87" s="78"/>
      <c r="L87" s="8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6.5" customHeight="1">
      <c r="A88" s="7"/>
      <c r="B88" s="77"/>
      <c r="C88" s="78"/>
      <c r="D88" s="79"/>
      <c r="E88" s="80"/>
      <c r="F88" s="79"/>
      <c r="G88" s="78"/>
      <c r="H88" s="79"/>
      <c r="I88" s="80"/>
      <c r="J88" s="79"/>
      <c r="K88" s="78"/>
      <c r="L88" s="8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6.5" customHeight="1">
      <c r="A89" s="7"/>
      <c r="B89" s="77"/>
      <c r="C89" s="78"/>
      <c r="D89" s="79"/>
      <c r="E89" s="80"/>
      <c r="F89" s="79"/>
      <c r="G89" s="78"/>
      <c r="H89" s="79"/>
      <c r="I89" s="80"/>
      <c r="J89" s="79"/>
      <c r="K89" s="78"/>
      <c r="L89" s="8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6.5" customHeight="1">
      <c r="A90" s="7"/>
      <c r="B90" s="77"/>
      <c r="C90" s="78"/>
      <c r="D90" s="79"/>
      <c r="E90" s="80"/>
      <c r="F90" s="79"/>
      <c r="G90" s="78"/>
      <c r="H90" s="79"/>
      <c r="I90" s="80"/>
      <c r="J90" s="79"/>
      <c r="K90" s="78"/>
      <c r="L90" s="8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6.5" customHeight="1">
      <c r="A91" s="7"/>
      <c r="B91" s="77"/>
      <c r="C91" s="78"/>
      <c r="D91" s="79"/>
      <c r="E91" s="80"/>
      <c r="F91" s="79"/>
      <c r="G91" s="78"/>
      <c r="H91" s="79"/>
      <c r="I91" s="80"/>
      <c r="J91" s="79"/>
      <c r="K91" s="78"/>
      <c r="L91" s="8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6.5" customHeight="1">
      <c r="A92" s="7"/>
      <c r="B92" s="77"/>
      <c r="C92" s="78"/>
      <c r="D92" s="79"/>
      <c r="E92" s="80"/>
      <c r="F92" s="79"/>
      <c r="G92" s="78"/>
      <c r="H92" s="79"/>
      <c r="I92" s="80"/>
      <c r="J92" s="79"/>
      <c r="K92" s="78"/>
      <c r="L92" s="8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6.5" customHeight="1">
      <c r="A93" s="7"/>
      <c r="B93" s="77"/>
      <c r="C93" s="78"/>
      <c r="D93" s="79"/>
      <c r="E93" s="80"/>
      <c r="F93" s="79"/>
      <c r="G93" s="78"/>
      <c r="H93" s="79"/>
      <c r="I93" s="80"/>
      <c r="J93" s="79"/>
      <c r="K93" s="78"/>
      <c r="L93" s="8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6.5" customHeight="1">
      <c r="A94" s="7"/>
      <c r="B94" s="77"/>
      <c r="C94" s="78"/>
      <c r="D94" s="79"/>
      <c r="E94" s="80"/>
      <c r="F94" s="79"/>
      <c r="G94" s="78"/>
      <c r="H94" s="79"/>
      <c r="I94" s="80"/>
      <c r="J94" s="79"/>
      <c r="K94" s="78"/>
      <c r="L94" s="8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6.5" customHeight="1">
      <c r="A95" s="7"/>
      <c r="B95" s="77"/>
      <c r="C95" s="78"/>
      <c r="D95" s="79"/>
      <c r="E95" s="80"/>
      <c r="F95" s="79"/>
      <c r="G95" s="78"/>
      <c r="H95" s="79"/>
      <c r="I95" s="80"/>
      <c r="J95" s="79"/>
      <c r="K95" s="78"/>
      <c r="L95" s="8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6.5" customHeight="1">
      <c r="A96" s="7"/>
      <c r="B96" s="77"/>
      <c r="C96" s="78"/>
      <c r="D96" s="79"/>
      <c r="E96" s="80"/>
      <c r="F96" s="79"/>
      <c r="G96" s="78"/>
      <c r="H96" s="79"/>
      <c r="I96" s="80"/>
      <c r="J96" s="79"/>
      <c r="K96" s="78"/>
      <c r="L96" s="8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6.5" customHeight="1">
      <c r="A97" s="7"/>
      <c r="B97" s="77"/>
      <c r="C97" s="78"/>
      <c r="D97" s="79"/>
      <c r="E97" s="80"/>
      <c r="F97" s="79"/>
      <c r="G97" s="78"/>
      <c r="H97" s="79"/>
      <c r="I97" s="80"/>
      <c r="J97" s="79"/>
      <c r="K97" s="78"/>
      <c r="L97" s="8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6.5" customHeight="1">
      <c r="A98" s="7"/>
      <c r="B98" s="77"/>
      <c r="C98" s="78"/>
      <c r="D98" s="79"/>
      <c r="E98" s="80"/>
      <c r="F98" s="79"/>
      <c r="G98" s="78"/>
      <c r="H98" s="79"/>
      <c r="I98" s="80"/>
      <c r="J98" s="79"/>
      <c r="K98" s="78"/>
      <c r="L98" s="8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6.5" customHeight="1">
      <c r="A99" s="7"/>
      <c r="B99" s="77"/>
      <c r="C99" s="78"/>
      <c r="D99" s="79"/>
      <c r="E99" s="80"/>
      <c r="F99" s="79"/>
      <c r="G99" s="78"/>
      <c r="H99" s="79"/>
      <c r="I99" s="80"/>
      <c r="J99" s="79"/>
      <c r="K99" s="78"/>
      <c r="L99" s="8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6.5" customHeight="1">
      <c r="A100" s="7"/>
      <c r="B100" s="77"/>
      <c r="C100" s="78"/>
      <c r="D100" s="79"/>
      <c r="E100" s="80"/>
      <c r="F100" s="79"/>
      <c r="G100" s="78"/>
      <c r="H100" s="79"/>
      <c r="I100" s="80"/>
      <c r="J100" s="79"/>
      <c r="K100" s="78"/>
      <c r="L100" s="8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6.5" customHeight="1">
      <c r="A101" s="7"/>
      <c r="B101" s="77"/>
      <c r="C101" s="78"/>
      <c r="D101" s="79"/>
      <c r="E101" s="80"/>
      <c r="F101" s="79"/>
      <c r="G101" s="78"/>
      <c r="H101" s="79"/>
      <c r="I101" s="80"/>
      <c r="J101" s="79"/>
      <c r="K101" s="78"/>
      <c r="L101" s="8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6.5" customHeight="1">
      <c r="A102" s="7"/>
      <c r="B102" s="77"/>
      <c r="C102" s="78"/>
      <c r="D102" s="79"/>
      <c r="E102" s="80"/>
      <c r="F102" s="79"/>
      <c r="G102" s="78"/>
      <c r="H102" s="79"/>
      <c r="I102" s="80"/>
      <c r="J102" s="79"/>
      <c r="K102" s="78"/>
      <c r="L102" s="8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6.5" customHeight="1">
      <c r="A103" s="7"/>
      <c r="B103" s="77"/>
      <c r="C103" s="78"/>
      <c r="D103" s="79"/>
      <c r="E103" s="80"/>
      <c r="F103" s="79"/>
      <c r="G103" s="78"/>
      <c r="H103" s="79"/>
      <c r="I103" s="80"/>
      <c r="J103" s="79"/>
      <c r="K103" s="78"/>
      <c r="L103" s="8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6.5" customHeight="1">
      <c r="A104" s="7"/>
      <c r="B104" s="77"/>
      <c r="C104" s="78"/>
      <c r="D104" s="79"/>
      <c r="E104" s="80"/>
      <c r="F104" s="79"/>
      <c r="G104" s="78"/>
      <c r="H104" s="79"/>
      <c r="I104" s="80"/>
      <c r="J104" s="79"/>
      <c r="K104" s="78"/>
      <c r="L104" s="8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6.5" customHeight="1">
      <c r="A105" s="7"/>
      <c r="B105" s="77"/>
      <c r="C105" s="78"/>
      <c r="D105" s="79"/>
      <c r="E105" s="80"/>
      <c r="F105" s="79"/>
      <c r="G105" s="78"/>
      <c r="H105" s="79"/>
      <c r="I105" s="80"/>
      <c r="J105" s="79"/>
      <c r="K105" s="78"/>
      <c r="L105" s="8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6.5" customHeight="1">
      <c r="A106" s="7"/>
      <c r="B106" s="77"/>
      <c r="C106" s="78"/>
      <c r="D106" s="79"/>
      <c r="E106" s="80"/>
      <c r="F106" s="79"/>
      <c r="G106" s="78"/>
      <c r="H106" s="79"/>
      <c r="I106" s="80"/>
      <c r="J106" s="79"/>
      <c r="K106" s="78"/>
      <c r="L106" s="8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6.5" customHeight="1">
      <c r="A107" s="7"/>
      <c r="B107" s="77"/>
      <c r="C107" s="78"/>
      <c r="D107" s="79"/>
      <c r="E107" s="80"/>
      <c r="F107" s="79"/>
      <c r="G107" s="78"/>
      <c r="H107" s="79"/>
      <c r="I107" s="80"/>
      <c r="J107" s="79"/>
      <c r="K107" s="78"/>
      <c r="L107" s="8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6.5" customHeight="1">
      <c r="A108" s="7"/>
      <c r="B108" s="77"/>
      <c r="C108" s="78"/>
      <c r="D108" s="79"/>
      <c r="E108" s="80"/>
      <c r="F108" s="79"/>
      <c r="G108" s="78"/>
      <c r="H108" s="79"/>
      <c r="I108" s="80"/>
      <c r="J108" s="79"/>
      <c r="K108" s="78"/>
      <c r="L108" s="8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6.5" customHeight="1">
      <c r="A109" s="7"/>
      <c r="B109" s="77"/>
      <c r="C109" s="78"/>
      <c r="D109" s="79"/>
      <c r="E109" s="80"/>
      <c r="F109" s="79"/>
      <c r="G109" s="78"/>
      <c r="H109" s="79"/>
      <c r="I109" s="80"/>
      <c r="J109" s="79"/>
      <c r="K109" s="78"/>
      <c r="L109" s="8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6.5" customHeight="1">
      <c r="A110" s="7"/>
      <c r="B110" s="77"/>
      <c r="C110" s="78"/>
      <c r="D110" s="79"/>
      <c r="E110" s="80"/>
      <c r="F110" s="79"/>
      <c r="G110" s="78"/>
      <c r="H110" s="79"/>
      <c r="I110" s="80"/>
      <c r="J110" s="79"/>
      <c r="K110" s="78"/>
      <c r="L110" s="8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6.5" customHeight="1">
      <c r="A111" s="7"/>
      <c r="B111" s="77"/>
      <c r="C111" s="78"/>
      <c r="D111" s="79"/>
      <c r="E111" s="80"/>
      <c r="F111" s="79"/>
      <c r="G111" s="78"/>
      <c r="H111" s="79"/>
      <c r="I111" s="80"/>
      <c r="J111" s="79"/>
      <c r="K111" s="78"/>
      <c r="L111" s="8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6.5" customHeight="1">
      <c r="A112" s="7"/>
      <c r="B112" s="77"/>
      <c r="C112" s="78"/>
      <c r="D112" s="79"/>
      <c r="E112" s="80"/>
      <c r="F112" s="79"/>
      <c r="G112" s="78"/>
      <c r="H112" s="79"/>
      <c r="I112" s="80"/>
      <c r="J112" s="79"/>
      <c r="K112" s="78"/>
      <c r="L112" s="8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6.5" customHeight="1">
      <c r="A113" s="7"/>
      <c r="B113" s="77"/>
      <c r="C113" s="78"/>
      <c r="D113" s="79"/>
      <c r="E113" s="80"/>
      <c r="F113" s="79"/>
      <c r="G113" s="78"/>
      <c r="H113" s="79"/>
      <c r="I113" s="80"/>
      <c r="J113" s="79"/>
      <c r="K113" s="78"/>
      <c r="L113" s="8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6.5" customHeight="1">
      <c r="A114" s="7"/>
      <c r="B114" s="77"/>
      <c r="C114" s="78"/>
      <c r="D114" s="79"/>
      <c r="E114" s="80"/>
      <c r="F114" s="79"/>
      <c r="G114" s="78"/>
      <c r="H114" s="79"/>
      <c r="I114" s="80"/>
      <c r="J114" s="79"/>
      <c r="K114" s="78"/>
      <c r="L114" s="8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6.5" customHeight="1">
      <c r="A115" s="7"/>
      <c r="B115" s="77"/>
      <c r="C115" s="78"/>
      <c r="D115" s="79"/>
      <c r="E115" s="80"/>
      <c r="F115" s="79"/>
      <c r="G115" s="78"/>
      <c r="H115" s="79"/>
      <c r="I115" s="80"/>
      <c r="J115" s="79"/>
      <c r="K115" s="78"/>
      <c r="L115" s="8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6.5" customHeight="1">
      <c r="A116" s="7"/>
      <c r="B116" s="77"/>
      <c r="C116" s="78"/>
      <c r="D116" s="79"/>
      <c r="E116" s="80"/>
      <c r="F116" s="79"/>
      <c r="G116" s="78"/>
      <c r="H116" s="79"/>
      <c r="I116" s="80"/>
      <c r="J116" s="79"/>
      <c r="K116" s="78"/>
      <c r="L116" s="8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6.5" customHeight="1">
      <c r="A117" s="7"/>
      <c r="B117" s="77"/>
      <c r="C117" s="78"/>
      <c r="D117" s="79"/>
      <c r="E117" s="80"/>
      <c r="F117" s="79"/>
      <c r="G117" s="78"/>
      <c r="H117" s="79"/>
      <c r="I117" s="80"/>
      <c r="J117" s="79"/>
      <c r="K117" s="78"/>
      <c r="L117" s="8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6.5" customHeight="1">
      <c r="A118" s="7"/>
      <c r="B118" s="77"/>
      <c r="C118" s="78"/>
      <c r="D118" s="79"/>
      <c r="E118" s="80"/>
      <c r="F118" s="79"/>
      <c r="G118" s="78"/>
      <c r="H118" s="79"/>
      <c r="I118" s="80"/>
      <c r="J118" s="79"/>
      <c r="K118" s="78"/>
      <c r="L118" s="8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6.5" customHeight="1">
      <c r="A119" s="7"/>
      <c r="B119" s="77"/>
      <c r="C119" s="78"/>
      <c r="D119" s="79"/>
      <c r="E119" s="80"/>
      <c r="F119" s="79"/>
      <c r="G119" s="78"/>
      <c r="H119" s="79"/>
      <c r="I119" s="80"/>
      <c r="J119" s="79"/>
      <c r="K119" s="78"/>
      <c r="L119" s="8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6.5" customHeight="1">
      <c r="A120" s="7"/>
      <c r="B120" s="77"/>
      <c r="C120" s="78"/>
      <c r="D120" s="79"/>
      <c r="E120" s="80"/>
      <c r="F120" s="79"/>
      <c r="G120" s="78"/>
      <c r="H120" s="79"/>
      <c r="I120" s="80"/>
      <c r="J120" s="79"/>
      <c r="K120" s="78"/>
      <c r="L120" s="8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6.5" customHeight="1">
      <c r="A121" s="7"/>
      <c r="B121" s="77"/>
      <c r="C121" s="78"/>
      <c r="D121" s="79"/>
      <c r="E121" s="80"/>
      <c r="F121" s="79"/>
      <c r="G121" s="78"/>
      <c r="H121" s="79"/>
      <c r="I121" s="80"/>
      <c r="J121" s="79"/>
      <c r="K121" s="78"/>
      <c r="L121" s="8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6.5" customHeight="1">
      <c r="A122" s="7"/>
      <c r="B122" s="77"/>
      <c r="C122" s="78"/>
      <c r="D122" s="79"/>
      <c r="E122" s="80"/>
      <c r="F122" s="79"/>
      <c r="G122" s="78"/>
      <c r="H122" s="79"/>
      <c r="I122" s="80"/>
      <c r="J122" s="79"/>
      <c r="K122" s="78"/>
      <c r="L122" s="8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6.5" customHeight="1">
      <c r="A123" s="7"/>
      <c r="B123" s="77"/>
      <c r="C123" s="78"/>
      <c r="D123" s="79"/>
      <c r="E123" s="80"/>
      <c r="F123" s="79"/>
      <c r="G123" s="78"/>
      <c r="H123" s="79"/>
      <c r="I123" s="80"/>
      <c r="J123" s="79"/>
      <c r="K123" s="78"/>
      <c r="L123" s="8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6.5" customHeight="1">
      <c r="A124" s="7"/>
      <c r="B124" s="77"/>
      <c r="C124" s="78"/>
      <c r="D124" s="79"/>
      <c r="E124" s="80"/>
      <c r="F124" s="79"/>
      <c r="G124" s="78"/>
      <c r="H124" s="79"/>
      <c r="I124" s="80"/>
      <c r="J124" s="79"/>
      <c r="K124" s="78"/>
      <c r="L124" s="8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6.5" customHeight="1">
      <c r="A125" s="7"/>
      <c r="B125" s="77"/>
      <c r="C125" s="78"/>
      <c r="D125" s="79"/>
      <c r="E125" s="80"/>
      <c r="F125" s="79"/>
      <c r="G125" s="78"/>
      <c r="H125" s="79"/>
      <c r="I125" s="80"/>
      <c r="J125" s="79"/>
      <c r="K125" s="78"/>
      <c r="L125" s="8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6.5" customHeight="1">
      <c r="A126" s="7"/>
      <c r="B126" s="77"/>
      <c r="C126" s="78"/>
      <c r="D126" s="79"/>
      <c r="E126" s="80"/>
      <c r="F126" s="79"/>
      <c r="G126" s="78"/>
      <c r="H126" s="79"/>
      <c r="I126" s="80"/>
      <c r="J126" s="79"/>
      <c r="K126" s="78"/>
      <c r="L126" s="8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6.5" customHeight="1">
      <c r="A127" s="7"/>
      <c r="B127" s="77"/>
      <c r="C127" s="78"/>
      <c r="D127" s="79"/>
      <c r="E127" s="80"/>
      <c r="F127" s="79"/>
      <c r="G127" s="78"/>
      <c r="H127" s="79"/>
      <c r="I127" s="80"/>
      <c r="J127" s="79"/>
      <c r="K127" s="78"/>
      <c r="L127" s="8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6.5" customHeight="1">
      <c r="A128" s="7"/>
      <c r="B128" s="77"/>
      <c r="C128" s="78"/>
      <c r="D128" s="79"/>
      <c r="E128" s="80"/>
      <c r="F128" s="79"/>
      <c r="G128" s="78"/>
      <c r="H128" s="79"/>
      <c r="I128" s="80"/>
      <c r="J128" s="79"/>
      <c r="K128" s="78"/>
      <c r="L128" s="8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6.5" customHeight="1">
      <c r="A129" s="7"/>
      <c r="B129" s="77"/>
      <c r="C129" s="78"/>
      <c r="D129" s="79"/>
      <c r="E129" s="80"/>
      <c r="F129" s="79"/>
      <c r="G129" s="78"/>
      <c r="H129" s="79"/>
      <c r="I129" s="80"/>
      <c r="J129" s="79"/>
      <c r="K129" s="78"/>
      <c r="L129" s="8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6.5" customHeight="1">
      <c r="A130" s="7"/>
      <c r="B130" s="77"/>
      <c r="C130" s="78"/>
      <c r="D130" s="79"/>
      <c r="E130" s="80"/>
      <c r="F130" s="79"/>
      <c r="G130" s="78"/>
      <c r="H130" s="79"/>
      <c r="I130" s="80"/>
      <c r="J130" s="79"/>
      <c r="K130" s="78"/>
      <c r="L130" s="8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6.5" customHeight="1">
      <c r="A131" s="7"/>
      <c r="B131" s="77"/>
      <c r="C131" s="78"/>
      <c r="D131" s="79"/>
      <c r="E131" s="80"/>
      <c r="F131" s="79"/>
      <c r="G131" s="78"/>
      <c r="H131" s="79"/>
      <c r="I131" s="80"/>
      <c r="J131" s="79"/>
      <c r="K131" s="78"/>
      <c r="L131" s="8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6.5" customHeight="1">
      <c r="A132" s="7"/>
      <c r="B132" s="77"/>
      <c r="C132" s="78"/>
      <c r="D132" s="79"/>
      <c r="E132" s="80"/>
      <c r="F132" s="79"/>
      <c r="G132" s="78"/>
      <c r="H132" s="79"/>
      <c r="I132" s="80"/>
      <c r="J132" s="79"/>
      <c r="K132" s="78"/>
      <c r="L132" s="8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6.5" customHeight="1">
      <c r="A133" s="7"/>
      <c r="B133" s="77"/>
      <c r="C133" s="78"/>
      <c r="D133" s="79"/>
      <c r="E133" s="80"/>
      <c r="F133" s="79"/>
      <c r="G133" s="78"/>
      <c r="H133" s="79"/>
      <c r="I133" s="80"/>
      <c r="J133" s="79"/>
      <c r="K133" s="78"/>
      <c r="L133" s="8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6.5" customHeight="1">
      <c r="A134" s="7"/>
      <c r="B134" s="77"/>
      <c r="C134" s="78"/>
      <c r="D134" s="79"/>
      <c r="E134" s="80"/>
      <c r="F134" s="79"/>
      <c r="G134" s="78"/>
      <c r="H134" s="79"/>
      <c r="I134" s="80"/>
      <c r="J134" s="79"/>
      <c r="K134" s="78"/>
      <c r="L134" s="8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6.5" customHeight="1">
      <c r="A135" s="7"/>
      <c r="B135" s="77"/>
      <c r="C135" s="78"/>
      <c r="D135" s="79"/>
      <c r="E135" s="80"/>
      <c r="F135" s="79"/>
      <c r="G135" s="78"/>
      <c r="H135" s="79"/>
      <c r="I135" s="80"/>
      <c r="J135" s="79"/>
      <c r="K135" s="78"/>
      <c r="L135" s="8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6.5" customHeight="1">
      <c r="A136" s="7"/>
      <c r="B136" s="77"/>
      <c r="C136" s="78"/>
      <c r="D136" s="79"/>
      <c r="E136" s="80"/>
      <c r="F136" s="79"/>
      <c r="G136" s="78"/>
      <c r="H136" s="79"/>
      <c r="I136" s="80"/>
      <c r="J136" s="79"/>
      <c r="K136" s="78"/>
      <c r="L136" s="8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6.5" customHeight="1">
      <c r="A137" s="7"/>
      <c r="B137" s="77"/>
      <c r="C137" s="78"/>
      <c r="D137" s="79"/>
      <c r="E137" s="80"/>
      <c r="F137" s="79"/>
      <c r="G137" s="78"/>
      <c r="H137" s="79"/>
      <c r="I137" s="80"/>
      <c r="J137" s="79"/>
      <c r="K137" s="78"/>
      <c r="L137" s="8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6.5" customHeight="1">
      <c r="A138" s="7"/>
      <c r="B138" s="77"/>
      <c r="C138" s="78"/>
      <c r="D138" s="79"/>
      <c r="E138" s="80"/>
      <c r="F138" s="79"/>
      <c r="G138" s="78"/>
      <c r="H138" s="79"/>
      <c r="I138" s="80"/>
      <c r="J138" s="79"/>
      <c r="K138" s="78"/>
      <c r="L138" s="8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6.5" customHeight="1">
      <c r="A139" s="7"/>
      <c r="B139" s="77"/>
      <c r="C139" s="78"/>
      <c r="D139" s="79"/>
      <c r="E139" s="80"/>
      <c r="F139" s="79"/>
      <c r="G139" s="78"/>
      <c r="H139" s="79"/>
      <c r="I139" s="80"/>
      <c r="J139" s="79"/>
      <c r="K139" s="78"/>
      <c r="L139" s="8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6.5" customHeight="1">
      <c r="A140" s="7"/>
      <c r="B140" s="77"/>
      <c r="C140" s="78"/>
      <c r="D140" s="79"/>
      <c r="E140" s="80"/>
      <c r="F140" s="79"/>
      <c r="G140" s="78"/>
      <c r="H140" s="79"/>
      <c r="I140" s="80"/>
      <c r="J140" s="79"/>
      <c r="K140" s="78"/>
      <c r="L140" s="8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6.5" customHeight="1">
      <c r="A141" s="7"/>
      <c r="B141" s="77"/>
      <c r="C141" s="78"/>
      <c r="D141" s="79"/>
      <c r="E141" s="80"/>
      <c r="F141" s="79"/>
      <c r="G141" s="78"/>
      <c r="H141" s="79"/>
      <c r="I141" s="80"/>
      <c r="J141" s="79"/>
      <c r="K141" s="78"/>
      <c r="L141" s="8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6.5" customHeight="1">
      <c r="A142" s="7"/>
      <c r="B142" s="77"/>
      <c r="C142" s="78"/>
      <c r="D142" s="79"/>
      <c r="E142" s="80"/>
      <c r="F142" s="79"/>
      <c r="G142" s="78"/>
      <c r="H142" s="79"/>
      <c r="I142" s="80"/>
      <c r="J142" s="79"/>
      <c r="K142" s="78"/>
      <c r="L142" s="8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6.5" customHeight="1">
      <c r="A143" s="7"/>
      <c r="B143" s="77"/>
      <c r="C143" s="78"/>
      <c r="D143" s="79"/>
      <c r="E143" s="80"/>
      <c r="F143" s="79"/>
      <c r="G143" s="78"/>
      <c r="H143" s="79"/>
      <c r="I143" s="80"/>
      <c r="J143" s="79"/>
      <c r="K143" s="78"/>
      <c r="L143" s="8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6.5" customHeight="1">
      <c r="A144" s="7"/>
      <c r="B144" s="77"/>
      <c r="C144" s="78"/>
      <c r="D144" s="79"/>
      <c r="E144" s="80"/>
      <c r="F144" s="79"/>
      <c r="G144" s="78"/>
      <c r="H144" s="79"/>
      <c r="I144" s="80"/>
      <c r="J144" s="79"/>
      <c r="K144" s="78"/>
      <c r="L144" s="8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6.5" customHeight="1">
      <c r="A145" s="7"/>
      <c r="B145" s="77"/>
      <c r="C145" s="78"/>
      <c r="D145" s="79"/>
      <c r="E145" s="80"/>
      <c r="F145" s="79"/>
      <c r="G145" s="78"/>
      <c r="H145" s="79"/>
      <c r="I145" s="80"/>
      <c r="J145" s="79"/>
      <c r="K145" s="78"/>
      <c r="L145" s="8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6.5" customHeight="1">
      <c r="A146" s="7"/>
      <c r="B146" s="77"/>
      <c r="C146" s="78"/>
      <c r="D146" s="79"/>
      <c r="E146" s="80"/>
      <c r="F146" s="79"/>
      <c r="G146" s="78"/>
      <c r="H146" s="79"/>
      <c r="I146" s="80"/>
      <c r="J146" s="79"/>
      <c r="K146" s="78"/>
      <c r="L146" s="8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6.5" customHeight="1">
      <c r="A147" s="7"/>
      <c r="B147" s="77"/>
      <c r="C147" s="78"/>
      <c r="D147" s="79"/>
      <c r="E147" s="80"/>
      <c r="F147" s="79"/>
      <c r="G147" s="78"/>
      <c r="H147" s="79"/>
      <c r="I147" s="80"/>
      <c r="J147" s="79"/>
      <c r="K147" s="78"/>
      <c r="L147" s="8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6.5" customHeight="1">
      <c r="A148" s="7"/>
      <c r="B148" s="77"/>
      <c r="C148" s="78"/>
      <c r="D148" s="79"/>
      <c r="E148" s="80"/>
      <c r="F148" s="79"/>
      <c r="G148" s="78"/>
      <c r="H148" s="79"/>
      <c r="I148" s="80"/>
      <c r="J148" s="79"/>
      <c r="K148" s="78"/>
      <c r="L148" s="8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6.5" customHeight="1">
      <c r="A149" s="7"/>
      <c r="B149" s="77"/>
      <c r="C149" s="78"/>
      <c r="D149" s="79"/>
      <c r="E149" s="80"/>
      <c r="F149" s="79"/>
      <c r="G149" s="78"/>
      <c r="H149" s="79"/>
      <c r="I149" s="80"/>
      <c r="J149" s="79"/>
      <c r="K149" s="78"/>
      <c r="L149" s="8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6.5" customHeight="1">
      <c r="A150" s="7"/>
      <c r="B150" s="77"/>
      <c r="C150" s="78"/>
      <c r="D150" s="79"/>
      <c r="E150" s="80"/>
      <c r="F150" s="79"/>
      <c r="G150" s="78"/>
      <c r="H150" s="79"/>
      <c r="I150" s="80"/>
      <c r="J150" s="79"/>
      <c r="K150" s="78"/>
      <c r="L150" s="8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6.5" customHeight="1">
      <c r="A151" s="7"/>
      <c r="B151" s="77"/>
      <c r="C151" s="78"/>
      <c r="D151" s="79"/>
      <c r="E151" s="80"/>
      <c r="F151" s="79"/>
      <c r="G151" s="78"/>
      <c r="H151" s="79"/>
      <c r="I151" s="80"/>
      <c r="J151" s="79"/>
      <c r="K151" s="78"/>
      <c r="L151" s="8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6.5" customHeight="1">
      <c r="A152" s="7"/>
      <c r="B152" s="77"/>
      <c r="C152" s="78"/>
      <c r="D152" s="79"/>
      <c r="E152" s="80"/>
      <c r="F152" s="79"/>
      <c r="G152" s="78"/>
      <c r="H152" s="79"/>
      <c r="I152" s="80"/>
      <c r="J152" s="79"/>
      <c r="K152" s="78"/>
      <c r="L152" s="8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6.5" customHeight="1">
      <c r="A153" s="7"/>
      <c r="B153" s="77"/>
      <c r="C153" s="78"/>
      <c r="D153" s="79"/>
      <c r="E153" s="80"/>
      <c r="F153" s="79"/>
      <c r="G153" s="78"/>
      <c r="H153" s="79"/>
      <c r="I153" s="80"/>
      <c r="J153" s="79"/>
      <c r="K153" s="78"/>
      <c r="L153" s="8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6.5" customHeight="1">
      <c r="A154" s="7"/>
      <c r="B154" s="77"/>
      <c r="C154" s="78"/>
      <c r="D154" s="79"/>
      <c r="E154" s="80"/>
      <c r="F154" s="79"/>
      <c r="G154" s="78"/>
      <c r="H154" s="79"/>
      <c r="I154" s="80"/>
      <c r="J154" s="79"/>
      <c r="K154" s="78"/>
      <c r="L154" s="8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6.5" customHeight="1">
      <c r="A155" s="7"/>
      <c r="B155" s="77"/>
      <c r="C155" s="78"/>
      <c r="D155" s="79"/>
      <c r="E155" s="80"/>
      <c r="F155" s="79"/>
      <c r="G155" s="78"/>
      <c r="H155" s="79"/>
      <c r="I155" s="80"/>
      <c r="J155" s="79"/>
      <c r="K155" s="78"/>
      <c r="L155" s="8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6.5" customHeight="1">
      <c r="A156" s="7"/>
      <c r="B156" s="77"/>
      <c r="C156" s="78"/>
      <c r="D156" s="79"/>
      <c r="E156" s="80"/>
      <c r="F156" s="79"/>
      <c r="G156" s="78"/>
      <c r="H156" s="79"/>
      <c r="I156" s="80"/>
      <c r="J156" s="79"/>
      <c r="K156" s="78"/>
      <c r="L156" s="8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6.5" customHeight="1">
      <c r="A157" s="7"/>
      <c r="B157" s="77"/>
      <c r="C157" s="78"/>
      <c r="D157" s="79"/>
      <c r="E157" s="80"/>
      <c r="F157" s="79"/>
      <c r="G157" s="78"/>
      <c r="H157" s="79"/>
      <c r="I157" s="80"/>
      <c r="J157" s="79"/>
      <c r="K157" s="78"/>
      <c r="L157" s="8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6.5" customHeight="1">
      <c r="A158" s="7"/>
      <c r="B158" s="77"/>
      <c r="C158" s="78"/>
      <c r="D158" s="79"/>
      <c r="E158" s="80"/>
      <c r="F158" s="79"/>
      <c r="G158" s="78"/>
      <c r="H158" s="79"/>
      <c r="I158" s="80"/>
      <c r="J158" s="79"/>
      <c r="K158" s="78"/>
      <c r="L158" s="8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6.5" customHeight="1">
      <c r="A159" s="7"/>
      <c r="B159" s="77"/>
      <c r="C159" s="78"/>
      <c r="D159" s="79"/>
      <c r="E159" s="80"/>
      <c r="F159" s="79"/>
      <c r="G159" s="78"/>
      <c r="H159" s="79"/>
      <c r="I159" s="80"/>
      <c r="J159" s="79"/>
      <c r="K159" s="78"/>
      <c r="L159" s="8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6.5" customHeight="1">
      <c r="A160" s="7"/>
      <c r="B160" s="77"/>
      <c r="C160" s="78"/>
      <c r="D160" s="79"/>
      <c r="E160" s="80"/>
      <c r="F160" s="79"/>
      <c r="G160" s="78"/>
      <c r="H160" s="79"/>
      <c r="I160" s="80"/>
      <c r="J160" s="79"/>
      <c r="K160" s="78"/>
      <c r="L160" s="8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6.5" customHeight="1">
      <c r="A161" s="7"/>
      <c r="B161" s="77"/>
      <c r="C161" s="78"/>
      <c r="D161" s="79"/>
      <c r="E161" s="80"/>
      <c r="F161" s="79"/>
      <c r="G161" s="78"/>
      <c r="H161" s="79"/>
      <c r="I161" s="80"/>
      <c r="J161" s="79"/>
      <c r="K161" s="78"/>
      <c r="L161" s="8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6.5" customHeight="1">
      <c r="A162" s="7"/>
      <c r="B162" s="77"/>
      <c r="C162" s="78"/>
      <c r="D162" s="79"/>
      <c r="E162" s="80"/>
      <c r="F162" s="79"/>
      <c r="G162" s="78"/>
      <c r="H162" s="79"/>
      <c r="I162" s="80"/>
      <c r="J162" s="79"/>
      <c r="K162" s="78"/>
      <c r="L162" s="8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6.5" customHeight="1">
      <c r="A163" s="7"/>
      <c r="B163" s="77"/>
      <c r="C163" s="78"/>
      <c r="D163" s="79"/>
      <c r="E163" s="80"/>
      <c r="F163" s="79"/>
      <c r="G163" s="78"/>
      <c r="H163" s="79"/>
      <c r="I163" s="80"/>
      <c r="J163" s="79"/>
      <c r="K163" s="78"/>
      <c r="L163" s="8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6.5" customHeight="1">
      <c r="A164" s="7"/>
      <c r="B164" s="77"/>
      <c r="C164" s="78"/>
      <c r="D164" s="79"/>
      <c r="E164" s="80"/>
      <c r="F164" s="79"/>
      <c r="G164" s="78"/>
      <c r="H164" s="79"/>
      <c r="I164" s="80"/>
      <c r="J164" s="79"/>
      <c r="K164" s="78"/>
      <c r="L164" s="8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6.5" customHeight="1">
      <c r="A165" s="7"/>
      <c r="B165" s="77"/>
      <c r="C165" s="78"/>
      <c r="D165" s="79"/>
      <c r="E165" s="80"/>
      <c r="F165" s="79"/>
      <c r="G165" s="78"/>
      <c r="H165" s="79"/>
      <c r="I165" s="80"/>
      <c r="J165" s="79"/>
      <c r="K165" s="78"/>
      <c r="L165" s="8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6.5" customHeight="1">
      <c r="A166" s="7"/>
      <c r="B166" s="77"/>
      <c r="C166" s="78"/>
      <c r="D166" s="79"/>
      <c r="E166" s="80"/>
      <c r="F166" s="79"/>
      <c r="G166" s="78"/>
      <c r="H166" s="79"/>
      <c r="I166" s="80"/>
      <c r="J166" s="79"/>
      <c r="K166" s="78"/>
      <c r="L166" s="8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6.5" customHeight="1">
      <c r="A167" s="7"/>
      <c r="B167" s="77"/>
      <c r="C167" s="78"/>
      <c r="D167" s="79"/>
      <c r="E167" s="80"/>
      <c r="F167" s="79"/>
      <c r="G167" s="78"/>
      <c r="H167" s="79"/>
      <c r="I167" s="80"/>
      <c r="J167" s="79"/>
      <c r="K167" s="78"/>
      <c r="L167" s="8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6.5" customHeight="1">
      <c r="A168" s="7"/>
      <c r="B168" s="77"/>
      <c r="C168" s="78"/>
      <c r="D168" s="79"/>
      <c r="E168" s="80"/>
      <c r="F168" s="79"/>
      <c r="G168" s="78"/>
      <c r="H168" s="79"/>
      <c r="I168" s="80"/>
      <c r="J168" s="79"/>
      <c r="K168" s="78"/>
      <c r="L168" s="8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6.5" customHeight="1">
      <c r="A169" s="7"/>
      <c r="B169" s="77"/>
      <c r="C169" s="78"/>
      <c r="D169" s="79"/>
      <c r="E169" s="80"/>
      <c r="F169" s="79"/>
      <c r="G169" s="78"/>
      <c r="H169" s="79"/>
      <c r="I169" s="80"/>
      <c r="J169" s="79"/>
      <c r="K169" s="78"/>
      <c r="L169" s="8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6.5" customHeight="1">
      <c r="A170" s="7"/>
      <c r="B170" s="77"/>
      <c r="C170" s="78"/>
      <c r="D170" s="79"/>
      <c r="E170" s="80"/>
      <c r="F170" s="79"/>
      <c r="G170" s="78"/>
      <c r="H170" s="79"/>
      <c r="I170" s="80"/>
      <c r="J170" s="79"/>
      <c r="K170" s="78"/>
      <c r="L170" s="8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6.5" customHeight="1">
      <c r="A171" s="7"/>
      <c r="B171" s="77"/>
      <c r="C171" s="78"/>
      <c r="D171" s="79"/>
      <c r="E171" s="80"/>
      <c r="F171" s="79"/>
      <c r="G171" s="78"/>
      <c r="H171" s="79"/>
      <c r="I171" s="80"/>
      <c r="J171" s="79"/>
      <c r="K171" s="78"/>
      <c r="L171" s="8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6.5" customHeight="1">
      <c r="A172" s="7"/>
      <c r="B172" s="77"/>
      <c r="C172" s="78"/>
      <c r="D172" s="79"/>
      <c r="E172" s="80"/>
      <c r="F172" s="79"/>
      <c r="G172" s="78"/>
      <c r="H172" s="79"/>
      <c r="I172" s="80"/>
      <c r="J172" s="79"/>
      <c r="K172" s="78"/>
      <c r="L172" s="8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6.5" customHeight="1">
      <c r="A173" s="7"/>
      <c r="B173" s="77"/>
      <c r="C173" s="78"/>
      <c r="D173" s="79"/>
      <c r="E173" s="80"/>
      <c r="F173" s="79"/>
      <c r="G173" s="78"/>
      <c r="H173" s="79"/>
      <c r="I173" s="80"/>
      <c r="J173" s="79"/>
      <c r="K173" s="78"/>
      <c r="L173" s="8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6.5" customHeight="1">
      <c r="A174" s="7"/>
      <c r="B174" s="77"/>
      <c r="C174" s="78"/>
      <c r="D174" s="79"/>
      <c r="E174" s="80"/>
      <c r="F174" s="79"/>
      <c r="G174" s="78"/>
      <c r="H174" s="79"/>
      <c r="I174" s="80"/>
      <c r="J174" s="79"/>
      <c r="K174" s="78"/>
      <c r="L174" s="8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6.5" customHeight="1">
      <c r="A175" s="7"/>
      <c r="B175" s="77"/>
      <c r="C175" s="78"/>
      <c r="D175" s="79"/>
      <c r="E175" s="80"/>
      <c r="F175" s="79"/>
      <c r="G175" s="78"/>
      <c r="H175" s="79"/>
      <c r="I175" s="80"/>
      <c r="J175" s="79"/>
      <c r="K175" s="78"/>
      <c r="L175" s="8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6.5" customHeight="1">
      <c r="A176" s="7"/>
      <c r="B176" s="77"/>
      <c r="C176" s="78"/>
      <c r="D176" s="79"/>
      <c r="E176" s="80"/>
      <c r="F176" s="79"/>
      <c r="G176" s="78"/>
      <c r="H176" s="79"/>
      <c r="I176" s="80"/>
      <c r="J176" s="79"/>
      <c r="K176" s="78"/>
      <c r="L176" s="8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6.5" customHeight="1">
      <c r="A177" s="7"/>
      <c r="B177" s="77"/>
      <c r="C177" s="78"/>
      <c r="D177" s="79"/>
      <c r="E177" s="80"/>
      <c r="F177" s="79"/>
      <c r="G177" s="78"/>
      <c r="H177" s="79"/>
      <c r="I177" s="80"/>
      <c r="J177" s="79"/>
      <c r="K177" s="78"/>
      <c r="L177" s="8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6.5" customHeight="1">
      <c r="A178" s="7"/>
      <c r="B178" s="77"/>
      <c r="C178" s="78"/>
      <c r="D178" s="79"/>
      <c r="E178" s="80"/>
      <c r="F178" s="79"/>
      <c r="G178" s="78"/>
      <c r="H178" s="79"/>
      <c r="I178" s="80"/>
      <c r="J178" s="79"/>
      <c r="K178" s="78"/>
      <c r="L178" s="8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6.5" customHeight="1">
      <c r="A179" s="7"/>
      <c r="B179" s="77"/>
      <c r="C179" s="78"/>
      <c r="D179" s="79"/>
      <c r="E179" s="80"/>
      <c r="F179" s="79"/>
      <c r="G179" s="78"/>
      <c r="H179" s="79"/>
      <c r="I179" s="80"/>
      <c r="J179" s="79"/>
      <c r="K179" s="78"/>
      <c r="L179" s="8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6.5" customHeight="1">
      <c r="A180" s="7"/>
      <c r="B180" s="77"/>
      <c r="C180" s="78"/>
      <c r="D180" s="79"/>
      <c r="E180" s="80"/>
      <c r="F180" s="79"/>
      <c r="G180" s="78"/>
      <c r="H180" s="79"/>
      <c r="I180" s="80"/>
      <c r="J180" s="79"/>
      <c r="K180" s="78"/>
      <c r="L180" s="8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6.5" customHeight="1">
      <c r="A181" s="7"/>
      <c r="B181" s="77"/>
      <c r="C181" s="78"/>
      <c r="D181" s="79"/>
      <c r="E181" s="80"/>
      <c r="F181" s="79"/>
      <c r="G181" s="78"/>
      <c r="H181" s="79"/>
      <c r="I181" s="80"/>
      <c r="J181" s="79"/>
      <c r="K181" s="78"/>
      <c r="L181" s="8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6.5" customHeight="1">
      <c r="A182" s="7"/>
      <c r="B182" s="77"/>
      <c r="C182" s="78"/>
      <c r="D182" s="79"/>
      <c r="E182" s="80"/>
      <c r="F182" s="79"/>
      <c r="G182" s="78"/>
      <c r="H182" s="79"/>
      <c r="I182" s="80"/>
      <c r="J182" s="79"/>
      <c r="K182" s="78"/>
      <c r="L182" s="8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6.5" customHeight="1">
      <c r="A183" s="7"/>
      <c r="B183" s="77"/>
      <c r="C183" s="78"/>
      <c r="D183" s="79"/>
      <c r="E183" s="80"/>
      <c r="F183" s="79"/>
      <c r="G183" s="78"/>
      <c r="H183" s="79"/>
      <c r="I183" s="80"/>
      <c r="J183" s="79"/>
      <c r="K183" s="78"/>
      <c r="L183" s="8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6.5" customHeight="1">
      <c r="A184" s="7"/>
      <c r="B184" s="77"/>
      <c r="C184" s="78"/>
      <c r="D184" s="79"/>
      <c r="E184" s="80"/>
      <c r="F184" s="79"/>
      <c r="G184" s="78"/>
      <c r="H184" s="79"/>
      <c r="I184" s="80"/>
      <c r="J184" s="79"/>
      <c r="K184" s="78"/>
      <c r="L184" s="8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6.5" customHeight="1">
      <c r="A185" s="7"/>
      <c r="B185" s="77"/>
      <c r="C185" s="78"/>
      <c r="D185" s="79"/>
      <c r="E185" s="80"/>
      <c r="F185" s="79"/>
      <c r="G185" s="78"/>
      <c r="H185" s="79"/>
      <c r="I185" s="80"/>
      <c r="J185" s="79"/>
      <c r="K185" s="78"/>
      <c r="L185" s="8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6.5" customHeight="1">
      <c r="A186" s="7"/>
      <c r="B186" s="77"/>
      <c r="C186" s="78"/>
      <c r="D186" s="79"/>
      <c r="E186" s="80"/>
      <c r="F186" s="79"/>
      <c r="G186" s="78"/>
      <c r="H186" s="79"/>
      <c r="I186" s="80"/>
      <c r="J186" s="79"/>
      <c r="K186" s="78"/>
      <c r="L186" s="8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6.5" customHeight="1">
      <c r="A187" s="7"/>
      <c r="B187" s="77"/>
      <c r="C187" s="78"/>
      <c r="D187" s="79"/>
      <c r="E187" s="80"/>
      <c r="F187" s="79"/>
      <c r="G187" s="78"/>
      <c r="H187" s="79"/>
      <c r="I187" s="80"/>
      <c r="J187" s="79"/>
      <c r="K187" s="78"/>
      <c r="L187" s="8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6.5" customHeight="1">
      <c r="A188" s="7"/>
      <c r="B188" s="77"/>
      <c r="C188" s="78"/>
      <c r="D188" s="79"/>
      <c r="E188" s="80"/>
      <c r="F188" s="79"/>
      <c r="G188" s="78"/>
      <c r="H188" s="79"/>
      <c r="I188" s="80"/>
      <c r="J188" s="79"/>
      <c r="K188" s="78"/>
      <c r="L188" s="8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6.5" customHeight="1">
      <c r="A189" s="7"/>
      <c r="B189" s="77"/>
      <c r="C189" s="78"/>
      <c r="D189" s="79"/>
      <c r="E189" s="80"/>
      <c r="F189" s="79"/>
      <c r="G189" s="78"/>
      <c r="H189" s="79"/>
      <c r="I189" s="80"/>
      <c r="J189" s="79"/>
      <c r="K189" s="78"/>
      <c r="L189" s="8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6.5" customHeight="1">
      <c r="A190" s="7"/>
      <c r="B190" s="77"/>
      <c r="C190" s="78"/>
      <c r="D190" s="79"/>
      <c r="E190" s="80"/>
      <c r="F190" s="79"/>
      <c r="G190" s="78"/>
      <c r="H190" s="79"/>
      <c r="I190" s="80"/>
      <c r="J190" s="79"/>
      <c r="K190" s="78"/>
      <c r="L190" s="8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6.5" customHeight="1">
      <c r="A191" s="7"/>
      <c r="B191" s="77"/>
      <c r="C191" s="78"/>
      <c r="D191" s="79"/>
      <c r="E191" s="80"/>
      <c r="F191" s="79"/>
      <c r="G191" s="78"/>
      <c r="H191" s="79"/>
      <c r="I191" s="80"/>
      <c r="J191" s="79"/>
      <c r="K191" s="78"/>
      <c r="L191" s="8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6.5" customHeight="1">
      <c r="A192" s="7"/>
      <c r="B192" s="77"/>
      <c r="C192" s="78"/>
      <c r="D192" s="79"/>
      <c r="E192" s="80"/>
      <c r="F192" s="79"/>
      <c r="G192" s="78"/>
      <c r="H192" s="79"/>
      <c r="I192" s="80"/>
      <c r="J192" s="79"/>
      <c r="K192" s="78"/>
      <c r="L192" s="8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6.5" customHeight="1">
      <c r="A193" s="7"/>
      <c r="B193" s="77"/>
      <c r="C193" s="78"/>
      <c r="D193" s="79"/>
      <c r="E193" s="80"/>
      <c r="F193" s="79"/>
      <c r="G193" s="78"/>
      <c r="H193" s="79"/>
      <c r="I193" s="80"/>
      <c r="J193" s="79"/>
      <c r="K193" s="78"/>
      <c r="L193" s="8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6.5" customHeight="1">
      <c r="A194" s="7"/>
      <c r="B194" s="77"/>
      <c r="C194" s="78"/>
      <c r="D194" s="79"/>
      <c r="E194" s="80"/>
      <c r="F194" s="79"/>
      <c r="G194" s="78"/>
      <c r="H194" s="79"/>
      <c r="I194" s="80"/>
      <c r="J194" s="79"/>
      <c r="K194" s="78"/>
      <c r="L194" s="8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6.5" customHeight="1">
      <c r="A195" s="7"/>
      <c r="B195" s="77"/>
      <c r="C195" s="78"/>
      <c r="D195" s="79"/>
      <c r="E195" s="80"/>
      <c r="F195" s="79"/>
      <c r="G195" s="78"/>
      <c r="H195" s="79"/>
      <c r="I195" s="80"/>
      <c r="J195" s="79"/>
      <c r="K195" s="78"/>
      <c r="L195" s="8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6.5" customHeight="1">
      <c r="A196" s="7"/>
      <c r="B196" s="77"/>
      <c r="C196" s="78"/>
      <c r="D196" s="79"/>
      <c r="E196" s="80"/>
      <c r="F196" s="79"/>
      <c r="G196" s="78"/>
      <c r="H196" s="79"/>
      <c r="I196" s="80"/>
      <c r="J196" s="79"/>
      <c r="K196" s="78"/>
      <c r="L196" s="8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6.5" customHeight="1">
      <c r="A197" s="7"/>
      <c r="B197" s="77"/>
      <c r="C197" s="78"/>
      <c r="D197" s="79"/>
      <c r="E197" s="80"/>
      <c r="F197" s="79"/>
      <c r="G197" s="78"/>
      <c r="H197" s="79"/>
      <c r="I197" s="80"/>
      <c r="J197" s="79"/>
      <c r="K197" s="78"/>
      <c r="L197" s="8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6.5" customHeight="1">
      <c r="A198" s="7"/>
      <c r="B198" s="77"/>
      <c r="C198" s="78"/>
      <c r="D198" s="79"/>
      <c r="E198" s="80"/>
      <c r="F198" s="79"/>
      <c r="G198" s="78"/>
      <c r="H198" s="79"/>
      <c r="I198" s="80"/>
      <c r="J198" s="79"/>
      <c r="K198" s="78"/>
      <c r="L198" s="8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6.5" customHeight="1">
      <c r="A199" s="7"/>
      <c r="B199" s="77"/>
      <c r="C199" s="78"/>
      <c r="D199" s="79"/>
      <c r="E199" s="80"/>
      <c r="F199" s="79"/>
      <c r="G199" s="78"/>
      <c r="H199" s="79"/>
      <c r="I199" s="80"/>
      <c r="J199" s="79"/>
      <c r="K199" s="78"/>
      <c r="L199" s="8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6.5" customHeight="1">
      <c r="A200" s="7"/>
      <c r="B200" s="77"/>
      <c r="C200" s="78"/>
      <c r="D200" s="79"/>
      <c r="E200" s="80"/>
      <c r="F200" s="79"/>
      <c r="G200" s="78"/>
      <c r="H200" s="79"/>
      <c r="I200" s="80"/>
      <c r="J200" s="79"/>
      <c r="K200" s="78"/>
      <c r="L200" s="8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6.5" customHeight="1">
      <c r="A201" s="7"/>
      <c r="B201" s="77"/>
      <c r="C201" s="78"/>
      <c r="D201" s="79"/>
      <c r="E201" s="80"/>
      <c r="F201" s="79"/>
      <c r="G201" s="78"/>
      <c r="H201" s="79"/>
      <c r="I201" s="80"/>
      <c r="J201" s="79"/>
      <c r="K201" s="78"/>
      <c r="L201" s="8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6.5" customHeight="1">
      <c r="A202" s="7"/>
      <c r="B202" s="77"/>
      <c r="C202" s="78"/>
      <c r="D202" s="79"/>
      <c r="E202" s="80"/>
      <c r="F202" s="79"/>
      <c r="G202" s="78"/>
      <c r="H202" s="79"/>
      <c r="I202" s="80"/>
      <c r="J202" s="79"/>
      <c r="K202" s="78"/>
      <c r="L202" s="8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6.5" customHeight="1">
      <c r="A203" s="7"/>
      <c r="B203" s="77"/>
      <c r="C203" s="78"/>
      <c r="D203" s="79"/>
      <c r="E203" s="80"/>
      <c r="F203" s="79"/>
      <c r="G203" s="78"/>
      <c r="H203" s="79"/>
      <c r="I203" s="80"/>
      <c r="J203" s="79"/>
      <c r="K203" s="78"/>
      <c r="L203" s="8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6.5" customHeight="1">
      <c r="A204" s="7"/>
      <c r="B204" s="77"/>
      <c r="C204" s="78"/>
      <c r="D204" s="79"/>
      <c r="E204" s="80"/>
      <c r="F204" s="79"/>
      <c r="G204" s="78"/>
      <c r="H204" s="79"/>
      <c r="I204" s="80"/>
      <c r="J204" s="79"/>
      <c r="K204" s="78"/>
      <c r="L204" s="8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6.5" customHeight="1">
      <c r="A205" s="7"/>
      <c r="B205" s="77"/>
      <c r="C205" s="78"/>
      <c r="D205" s="79"/>
      <c r="E205" s="80"/>
      <c r="F205" s="79"/>
      <c r="G205" s="78"/>
      <c r="H205" s="79"/>
      <c r="I205" s="80"/>
      <c r="J205" s="79"/>
      <c r="K205" s="78"/>
      <c r="L205" s="8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6.5" customHeight="1">
      <c r="A206" s="7"/>
      <c r="B206" s="77"/>
      <c r="C206" s="78"/>
      <c r="D206" s="79"/>
      <c r="E206" s="80"/>
      <c r="F206" s="79"/>
      <c r="G206" s="78"/>
      <c r="H206" s="79"/>
      <c r="I206" s="80"/>
      <c r="J206" s="79"/>
      <c r="K206" s="78"/>
      <c r="L206" s="8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6.5" customHeight="1">
      <c r="A207" s="7"/>
      <c r="B207" s="77"/>
      <c r="C207" s="78"/>
      <c r="D207" s="79"/>
      <c r="E207" s="80"/>
      <c r="F207" s="79"/>
      <c r="G207" s="78"/>
      <c r="H207" s="79"/>
      <c r="I207" s="80"/>
      <c r="J207" s="79"/>
      <c r="K207" s="78"/>
      <c r="L207" s="8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6.5" customHeight="1">
      <c r="A208" s="7"/>
      <c r="B208" s="77"/>
      <c r="C208" s="78"/>
      <c r="D208" s="79"/>
      <c r="E208" s="80"/>
      <c r="F208" s="79"/>
      <c r="G208" s="78"/>
      <c r="H208" s="79"/>
      <c r="I208" s="80"/>
      <c r="J208" s="79"/>
      <c r="K208" s="78"/>
      <c r="L208" s="8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6.5" customHeight="1">
      <c r="A209" s="7"/>
      <c r="B209" s="77"/>
      <c r="C209" s="78"/>
      <c r="D209" s="79"/>
      <c r="E209" s="80"/>
      <c r="F209" s="79"/>
      <c r="G209" s="78"/>
      <c r="H209" s="79"/>
      <c r="I209" s="80"/>
      <c r="J209" s="79"/>
      <c r="K209" s="78"/>
      <c r="L209" s="8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6.5" customHeight="1">
      <c r="A210" s="7"/>
      <c r="B210" s="77"/>
      <c r="C210" s="78"/>
      <c r="D210" s="79"/>
      <c r="E210" s="80"/>
      <c r="F210" s="79"/>
      <c r="G210" s="78"/>
      <c r="H210" s="79"/>
      <c r="I210" s="80"/>
      <c r="J210" s="79"/>
      <c r="K210" s="78"/>
      <c r="L210" s="8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6.5" customHeight="1">
      <c r="A211" s="7"/>
      <c r="B211" s="77"/>
      <c r="C211" s="78"/>
      <c r="D211" s="79"/>
      <c r="E211" s="80"/>
      <c r="F211" s="79"/>
      <c r="G211" s="78"/>
      <c r="H211" s="79"/>
      <c r="I211" s="80"/>
      <c r="J211" s="79"/>
      <c r="K211" s="78"/>
      <c r="L211" s="8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6.5" customHeight="1">
      <c r="A212" s="7"/>
      <c r="B212" s="77"/>
      <c r="C212" s="78"/>
      <c r="D212" s="79"/>
      <c r="E212" s="80"/>
      <c r="F212" s="79"/>
      <c r="G212" s="78"/>
      <c r="H212" s="79"/>
      <c r="I212" s="80"/>
      <c r="J212" s="79"/>
      <c r="K212" s="78"/>
      <c r="L212" s="8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6.5" customHeight="1">
      <c r="A213" s="7"/>
      <c r="B213" s="77"/>
      <c r="C213" s="78"/>
      <c r="D213" s="79"/>
      <c r="E213" s="80"/>
      <c r="F213" s="79"/>
      <c r="G213" s="78"/>
      <c r="H213" s="79"/>
      <c r="I213" s="80"/>
      <c r="J213" s="79"/>
      <c r="K213" s="78"/>
      <c r="L213" s="8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6.5" customHeight="1">
      <c r="A214" s="7"/>
      <c r="B214" s="77"/>
      <c r="C214" s="78"/>
      <c r="D214" s="79"/>
      <c r="E214" s="80"/>
      <c r="F214" s="79"/>
      <c r="G214" s="78"/>
      <c r="H214" s="79"/>
      <c r="I214" s="80"/>
      <c r="J214" s="79"/>
      <c r="K214" s="78"/>
      <c r="L214" s="8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6.5" customHeight="1">
      <c r="A215" s="7"/>
      <c r="B215" s="77"/>
      <c r="C215" s="78"/>
      <c r="D215" s="79"/>
      <c r="E215" s="80"/>
      <c r="F215" s="79"/>
      <c r="G215" s="78"/>
      <c r="H215" s="79"/>
      <c r="I215" s="80"/>
      <c r="J215" s="79"/>
      <c r="K215" s="78"/>
      <c r="L215" s="8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6.5" customHeight="1">
      <c r="A216" s="7"/>
      <c r="B216" s="77"/>
      <c r="C216" s="78"/>
      <c r="D216" s="79"/>
      <c r="E216" s="80"/>
      <c r="F216" s="79"/>
      <c r="G216" s="78"/>
      <c r="H216" s="79"/>
      <c r="I216" s="80"/>
      <c r="J216" s="79"/>
      <c r="K216" s="78"/>
      <c r="L216" s="8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6.5" customHeight="1">
      <c r="A217" s="7"/>
      <c r="B217" s="77"/>
      <c r="C217" s="78"/>
      <c r="D217" s="79"/>
      <c r="E217" s="80"/>
      <c r="F217" s="79"/>
      <c r="G217" s="78"/>
      <c r="H217" s="79"/>
      <c r="I217" s="80"/>
      <c r="J217" s="79"/>
      <c r="K217" s="78"/>
      <c r="L217" s="8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6.5" customHeight="1">
      <c r="A218" s="7"/>
      <c r="B218" s="77"/>
      <c r="C218" s="78"/>
      <c r="D218" s="79"/>
      <c r="E218" s="80"/>
      <c r="F218" s="79"/>
      <c r="G218" s="78"/>
      <c r="H218" s="79"/>
      <c r="I218" s="80"/>
      <c r="J218" s="79"/>
      <c r="K218" s="78"/>
      <c r="L218" s="8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6.5" customHeight="1">
      <c r="A219" s="7"/>
      <c r="B219" s="77"/>
      <c r="C219" s="78"/>
      <c r="D219" s="79"/>
      <c r="E219" s="80"/>
      <c r="F219" s="79"/>
      <c r="G219" s="78"/>
      <c r="H219" s="79"/>
      <c r="I219" s="80"/>
      <c r="J219" s="79"/>
      <c r="K219" s="78"/>
      <c r="L219" s="8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6.5" customHeight="1">
      <c r="A220" s="7"/>
      <c r="B220" s="77"/>
      <c r="C220" s="78"/>
      <c r="D220" s="79"/>
      <c r="E220" s="80"/>
      <c r="F220" s="79"/>
      <c r="G220" s="78"/>
      <c r="H220" s="79"/>
      <c r="I220" s="80"/>
      <c r="J220" s="79"/>
      <c r="K220" s="78"/>
      <c r="L220" s="8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6.5" customHeight="1">
      <c r="A221" s="7"/>
      <c r="B221" s="77"/>
      <c r="C221" s="78"/>
      <c r="D221" s="79"/>
      <c r="E221" s="80"/>
      <c r="F221" s="79"/>
      <c r="G221" s="78"/>
      <c r="H221" s="79"/>
      <c r="I221" s="80"/>
      <c r="J221" s="79"/>
      <c r="K221" s="78"/>
      <c r="L221" s="8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6.5" customHeight="1">
      <c r="A222" s="7"/>
      <c r="B222" s="77"/>
      <c r="C222" s="78"/>
      <c r="D222" s="79"/>
      <c r="E222" s="80"/>
      <c r="F222" s="79"/>
      <c r="G222" s="78"/>
      <c r="H222" s="79"/>
      <c r="I222" s="80"/>
      <c r="J222" s="79"/>
      <c r="K222" s="78"/>
      <c r="L222" s="8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6.5" customHeight="1">
      <c r="A223" s="7"/>
      <c r="B223" s="77"/>
      <c r="C223" s="78"/>
      <c r="D223" s="79"/>
      <c r="E223" s="80"/>
      <c r="F223" s="79"/>
      <c r="G223" s="78"/>
      <c r="H223" s="79"/>
      <c r="I223" s="80"/>
      <c r="J223" s="79"/>
      <c r="K223" s="78"/>
      <c r="L223" s="8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6.5" customHeight="1">
      <c r="A224" s="7"/>
      <c r="B224" s="77"/>
      <c r="C224" s="78"/>
      <c r="D224" s="79"/>
      <c r="E224" s="80"/>
      <c r="F224" s="79"/>
      <c r="G224" s="78"/>
      <c r="H224" s="79"/>
      <c r="I224" s="80"/>
      <c r="J224" s="79"/>
      <c r="K224" s="78"/>
      <c r="L224" s="8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6.5" customHeight="1">
      <c r="A225" s="7"/>
      <c r="B225" s="77"/>
      <c r="C225" s="78"/>
      <c r="D225" s="79"/>
      <c r="E225" s="80"/>
      <c r="F225" s="79"/>
      <c r="G225" s="78"/>
      <c r="H225" s="79"/>
      <c r="I225" s="80"/>
      <c r="J225" s="79"/>
      <c r="K225" s="78"/>
      <c r="L225" s="8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6.5" customHeight="1">
      <c r="A226" s="7"/>
      <c r="B226" s="77"/>
      <c r="C226" s="78"/>
      <c r="D226" s="79"/>
      <c r="E226" s="80"/>
      <c r="F226" s="79"/>
      <c r="G226" s="78"/>
      <c r="H226" s="79"/>
      <c r="I226" s="80"/>
      <c r="J226" s="79"/>
      <c r="K226" s="78"/>
      <c r="L226" s="8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6.5" customHeight="1">
      <c r="A227" s="7"/>
      <c r="B227" s="77"/>
      <c r="C227" s="78"/>
      <c r="D227" s="79"/>
      <c r="E227" s="80"/>
      <c r="F227" s="79"/>
      <c r="G227" s="78"/>
      <c r="H227" s="79"/>
      <c r="I227" s="80"/>
      <c r="J227" s="79"/>
      <c r="K227" s="78"/>
      <c r="L227" s="8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6.5" customHeight="1">
      <c r="A228" s="7"/>
      <c r="B228" s="77"/>
      <c r="C228" s="78"/>
      <c r="D228" s="79"/>
      <c r="E228" s="80"/>
      <c r="F228" s="79"/>
      <c r="G228" s="78"/>
      <c r="H228" s="79"/>
      <c r="I228" s="80"/>
      <c r="J228" s="79"/>
      <c r="K228" s="78"/>
      <c r="L228" s="8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6.5" customHeight="1">
      <c r="A229" s="7"/>
      <c r="B229" s="77"/>
      <c r="C229" s="78"/>
      <c r="D229" s="79"/>
      <c r="E229" s="80"/>
      <c r="F229" s="79"/>
      <c r="G229" s="78"/>
      <c r="H229" s="79"/>
      <c r="I229" s="80"/>
      <c r="J229" s="79"/>
      <c r="K229" s="78"/>
      <c r="L229" s="8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6.5" customHeight="1">
      <c r="A230" s="7"/>
      <c r="B230" s="77"/>
      <c r="C230" s="78"/>
      <c r="D230" s="79"/>
      <c r="E230" s="80"/>
      <c r="F230" s="79"/>
      <c r="G230" s="78"/>
      <c r="H230" s="79"/>
      <c r="I230" s="80"/>
      <c r="J230" s="79"/>
      <c r="K230" s="78"/>
      <c r="L230" s="8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6.5" customHeight="1">
      <c r="A231" s="7"/>
      <c r="B231" s="77"/>
      <c r="C231" s="78"/>
      <c r="D231" s="79"/>
      <c r="E231" s="80"/>
      <c r="F231" s="79"/>
      <c r="G231" s="78"/>
      <c r="H231" s="79"/>
      <c r="I231" s="80"/>
      <c r="J231" s="79"/>
      <c r="K231" s="78"/>
      <c r="L231" s="8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6.5" customHeight="1">
      <c r="A232" s="7"/>
      <c r="B232" s="77"/>
      <c r="C232" s="78"/>
      <c r="D232" s="79"/>
      <c r="E232" s="80"/>
      <c r="F232" s="79"/>
      <c r="G232" s="78"/>
      <c r="H232" s="79"/>
      <c r="I232" s="80"/>
      <c r="J232" s="79"/>
      <c r="K232" s="78"/>
      <c r="L232" s="8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6.5" customHeight="1">
      <c r="A233" s="7"/>
      <c r="B233" s="77"/>
      <c r="C233" s="78"/>
      <c r="D233" s="79"/>
      <c r="E233" s="80"/>
      <c r="F233" s="79"/>
      <c r="G233" s="78"/>
      <c r="H233" s="79"/>
      <c r="I233" s="80"/>
      <c r="J233" s="79"/>
      <c r="K233" s="78"/>
      <c r="L233" s="8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6.5" customHeight="1">
      <c r="A234" s="7"/>
      <c r="B234" s="77"/>
      <c r="C234" s="78"/>
      <c r="D234" s="79"/>
      <c r="E234" s="80"/>
      <c r="F234" s="79"/>
      <c r="G234" s="78"/>
      <c r="H234" s="79"/>
      <c r="I234" s="80"/>
      <c r="J234" s="79"/>
      <c r="K234" s="78"/>
      <c r="L234" s="8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6.5" customHeight="1">
      <c r="A235" s="7"/>
      <c r="B235" s="77"/>
      <c r="C235" s="78"/>
      <c r="D235" s="79"/>
      <c r="E235" s="80"/>
      <c r="F235" s="79"/>
      <c r="G235" s="78"/>
      <c r="H235" s="79"/>
      <c r="I235" s="80"/>
      <c r="J235" s="79"/>
      <c r="K235" s="78"/>
      <c r="L235" s="8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6.5" customHeight="1">
      <c r="A236" s="7"/>
      <c r="B236" s="77"/>
      <c r="C236" s="78"/>
      <c r="D236" s="79"/>
      <c r="E236" s="80"/>
      <c r="F236" s="79"/>
      <c r="G236" s="78"/>
      <c r="H236" s="79"/>
      <c r="I236" s="80"/>
      <c r="J236" s="79"/>
      <c r="K236" s="78"/>
      <c r="L236" s="8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6.5" customHeight="1">
      <c r="A237" s="7"/>
      <c r="B237" s="77"/>
      <c r="C237" s="78"/>
      <c r="D237" s="79"/>
      <c r="E237" s="80"/>
      <c r="F237" s="79"/>
      <c r="G237" s="78"/>
      <c r="H237" s="79"/>
      <c r="I237" s="80"/>
      <c r="J237" s="79"/>
      <c r="K237" s="78"/>
      <c r="L237" s="8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6.5" customHeight="1">
      <c r="A238" s="7"/>
      <c r="B238" s="77"/>
      <c r="C238" s="78"/>
      <c r="D238" s="79"/>
      <c r="E238" s="80"/>
      <c r="F238" s="79"/>
      <c r="G238" s="78"/>
      <c r="H238" s="79"/>
      <c r="I238" s="80"/>
      <c r="J238" s="79"/>
      <c r="K238" s="78"/>
      <c r="L238" s="8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6.5" customHeight="1">
      <c r="A239" s="7"/>
      <c r="B239" s="77"/>
      <c r="C239" s="78"/>
      <c r="D239" s="79"/>
      <c r="E239" s="80"/>
      <c r="F239" s="79"/>
      <c r="G239" s="78"/>
      <c r="H239" s="79"/>
      <c r="I239" s="80"/>
      <c r="J239" s="79"/>
      <c r="K239" s="78"/>
      <c r="L239" s="8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6.5" customHeight="1">
      <c r="A240" s="7"/>
      <c r="B240" s="77"/>
      <c r="C240" s="78"/>
      <c r="D240" s="79"/>
      <c r="E240" s="80"/>
      <c r="F240" s="79"/>
      <c r="G240" s="78"/>
      <c r="H240" s="79"/>
      <c r="I240" s="80"/>
      <c r="J240" s="79"/>
      <c r="K240" s="78"/>
      <c r="L240" s="8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6.5" customHeight="1">
      <c r="A241" s="7"/>
      <c r="B241" s="77"/>
      <c r="C241" s="78"/>
      <c r="D241" s="79"/>
      <c r="E241" s="80"/>
      <c r="F241" s="79"/>
      <c r="G241" s="78"/>
      <c r="H241" s="79"/>
      <c r="I241" s="80"/>
      <c r="J241" s="79"/>
      <c r="K241" s="78"/>
      <c r="L241" s="8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6.5" customHeight="1">
      <c r="A242" s="7"/>
      <c r="B242" s="77"/>
      <c r="C242" s="78"/>
      <c r="D242" s="79"/>
      <c r="E242" s="80"/>
      <c r="F242" s="79"/>
      <c r="G242" s="78"/>
      <c r="H242" s="79"/>
      <c r="I242" s="80"/>
      <c r="J242" s="79"/>
      <c r="K242" s="78"/>
      <c r="L242" s="8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6.5" customHeight="1">
      <c r="A243" s="7"/>
      <c r="B243" s="77"/>
      <c r="C243" s="78"/>
      <c r="D243" s="79"/>
      <c r="E243" s="80"/>
      <c r="F243" s="79"/>
      <c r="G243" s="78"/>
      <c r="H243" s="79"/>
      <c r="I243" s="80"/>
      <c r="J243" s="79"/>
      <c r="K243" s="78"/>
      <c r="L243" s="8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6.5" customHeight="1">
      <c r="A244" s="7"/>
      <c r="B244" s="77"/>
      <c r="C244" s="78"/>
      <c r="D244" s="79"/>
      <c r="E244" s="80"/>
      <c r="F244" s="79"/>
      <c r="G244" s="78"/>
      <c r="H244" s="79"/>
      <c r="I244" s="80"/>
      <c r="J244" s="79"/>
      <c r="K244" s="78"/>
      <c r="L244" s="8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6.5" customHeight="1">
      <c r="A245" s="7"/>
      <c r="B245" s="77"/>
      <c r="C245" s="78"/>
      <c r="D245" s="79"/>
      <c r="E245" s="80"/>
      <c r="F245" s="79"/>
      <c r="G245" s="78"/>
      <c r="H245" s="79"/>
      <c r="I245" s="80"/>
      <c r="J245" s="79"/>
      <c r="K245" s="78"/>
      <c r="L245" s="8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6.5" customHeight="1">
      <c r="A246" s="7"/>
      <c r="B246" s="77"/>
      <c r="C246" s="78"/>
      <c r="D246" s="79"/>
      <c r="E246" s="80"/>
      <c r="F246" s="79"/>
      <c r="G246" s="78"/>
      <c r="H246" s="79"/>
      <c r="I246" s="80"/>
      <c r="J246" s="79"/>
      <c r="K246" s="78"/>
      <c r="L246" s="8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6.5" customHeight="1">
      <c r="A247" s="7"/>
      <c r="B247" s="77"/>
      <c r="C247" s="78"/>
      <c r="D247" s="79"/>
      <c r="E247" s="80"/>
      <c r="F247" s="79"/>
      <c r="G247" s="78"/>
      <c r="H247" s="79"/>
      <c r="I247" s="80"/>
      <c r="J247" s="79"/>
      <c r="K247" s="78"/>
      <c r="L247" s="8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6.5" customHeight="1">
      <c r="A248" s="7"/>
      <c r="B248" s="77"/>
      <c r="C248" s="78"/>
      <c r="D248" s="79"/>
      <c r="E248" s="80"/>
      <c r="F248" s="79"/>
      <c r="G248" s="78"/>
      <c r="H248" s="79"/>
      <c r="I248" s="80"/>
      <c r="J248" s="79"/>
      <c r="K248" s="78"/>
      <c r="L248" s="8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6.5" customHeight="1">
      <c r="A249" s="7"/>
      <c r="B249" s="77"/>
      <c r="C249" s="78"/>
      <c r="D249" s="79"/>
      <c r="E249" s="80"/>
      <c r="F249" s="79"/>
      <c r="G249" s="78"/>
      <c r="H249" s="79"/>
      <c r="I249" s="80"/>
      <c r="J249" s="79"/>
      <c r="K249" s="78"/>
      <c r="L249" s="8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6.5" customHeight="1">
      <c r="A250" s="7"/>
      <c r="B250" s="77"/>
      <c r="C250" s="78"/>
      <c r="D250" s="79"/>
      <c r="E250" s="80"/>
      <c r="F250" s="79"/>
      <c r="G250" s="78"/>
      <c r="H250" s="79"/>
      <c r="I250" s="80"/>
      <c r="J250" s="79"/>
      <c r="K250" s="78"/>
      <c r="L250" s="8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6.5" customHeight="1">
      <c r="A251" s="7"/>
      <c r="B251" s="77"/>
      <c r="C251" s="78"/>
      <c r="D251" s="79"/>
      <c r="E251" s="80"/>
      <c r="F251" s="79"/>
      <c r="G251" s="78"/>
      <c r="H251" s="79"/>
      <c r="I251" s="80"/>
      <c r="J251" s="79"/>
      <c r="K251" s="78"/>
      <c r="L251" s="8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6.5" customHeight="1">
      <c r="A252" s="7"/>
      <c r="B252" s="77"/>
      <c r="C252" s="78"/>
      <c r="D252" s="79"/>
      <c r="E252" s="80"/>
      <c r="F252" s="79"/>
      <c r="G252" s="78"/>
      <c r="H252" s="79"/>
      <c r="I252" s="80"/>
      <c r="J252" s="79"/>
      <c r="K252" s="78"/>
      <c r="L252" s="8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6.5" customHeight="1">
      <c r="A253" s="7"/>
      <c r="B253" s="77"/>
      <c r="C253" s="78"/>
      <c r="D253" s="79"/>
      <c r="E253" s="80"/>
      <c r="F253" s="79"/>
      <c r="G253" s="78"/>
      <c r="H253" s="79"/>
      <c r="I253" s="80"/>
      <c r="J253" s="79"/>
      <c r="K253" s="78"/>
      <c r="L253" s="8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6.5" customHeight="1">
      <c r="A254" s="7"/>
      <c r="B254" s="77"/>
      <c r="C254" s="78"/>
      <c r="D254" s="79"/>
      <c r="E254" s="80"/>
      <c r="F254" s="79"/>
      <c r="G254" s="78"/>
      <c r="H254" s="79"/>
      <c r="I254" s="80"/>
      <c r="J254" s="79"/>
      <c r="K254" s="78"/>
      <c r="L254" s="8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6.5" customHeight="1">
      <c r="A255" s="7"/>
      <c r="B255" s="77"/>
      <c r="C255" s="78"/>
      <c r="D255" s="79"/>
      <c r="E255" s="80"/>
      <c r="F255" s="79"/>
      <c r="G255" s="78"/>
      <c r="H255" s="79"/>
      <c r="I255" s="80"/>
      <c r="J255" s="79"/>
      <c r="K255" s="78"/>
      <c r="L255" s="8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6.5" customHeight="1">
      <c r="A256" s="7"/>
      <c r="B256" s="77"/>
      <c r="C256" s="78"/>
      <c r="D256" s="79"/>
      <c r="E256" s="80"/>
      <c r="F256" s="79"/>
      <c r="G256" s="78"/>
      <c r="H256" s="79"/>
      <c r="I256" s="80"/>
      <c r="J256" s="79"/>
      <c r="K256" s="78"/>
      <c r="L256" s="8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6.5" customHeight="1">
      <c r="A257" s="7"/>
      <c r="B257" s="77"/>
      <c r="C257" s="78"/>
      <c r="D257" s="79"/>
      <c r="E257" s="80"/>
      <c r="F257" s="79"/>
      <c r="G257" s="78"/>
      <c r="H257" s="79"/>
      <c r="I257" s="80"/>
      <c r="J257" s="79"/>
      <c r="K257" s="78"/>
      <c r="L257" s="8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6.5" customHeight="1">
      <c r="A258" s="7"/>
      <c r="B258" s="77"/>
      <c r="C258" s="78"/>
      <c r="D258" s="79"/>
      <c r="E258" s="80"/>
      <c r="F258" s="79"/>
      <c r="G258" s="78"/>
      <c r="H258" s="79"/>
      <c r="I258" s="80"/>
      <c r="J258" s="79"/>
      <c r="K258" s="78"/>
      <c r="L258" s="8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6.5" customHeight="1">
      <c r="A259" s="7"/>
      <c r="B259" s="77"/>
      <c r="C259" s="78"/>
      <c r="D259" s="79"/>
      <c r="E259" s="80"/>
      <c r="F259" s="79"/>
      <c r="G259" s="78"/>
      <c r="H259" s="79"/>
      <c r="I259" s="80"/>
      <c r="J259" s="79"/>
      <c r="K259" s="78"/>
      <c r="L259" s="8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6.5" customHeight="1">
      <c r="A260" s="7"/>
      <c r="B260" s="77"/>
      <c r="C260" s="78"/>
      <c r="D260" s="79"/>
      <c r="E260" s="80"/>
      <c r="F260" s="79"/>
      <c r="G260" s="78"/>
      <c r="H260" s="79"/>
      <c r="I260" s="80"/>
      <c r="J260" s="79"/>
      <c r="K260" s="78"/>
      <c r="L260" s="8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6.5" customHeight="1">
      <c r="A261" s="7"/>
      <c r="B261" s="77"/>
      <c r="C261" s="78"/>
      <c r="D261" s="79"/>
      <c r="E261" s="80"/>
      <c r="F261" s="79"/>
      <c r="G261" s="78"/>
      <c r="H261" s="79"/>
      <c r="I261" s="80"/>
      <c r="J261" s="79"/>
      <c r="K261" s="78"/>
      <c r="L261" s="8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6.5" customHeight="1">
      <c r="A262" s="7"/>
      <c r="B262" s="77"/>
      <c r="C262" s="78"/>
      <c r="D262" s="79"/>
      <c r="E262" s="80"/>
      <c r="F262" s="79"/>
      <c r="G262" s="78"/>
      <c r="H262" s="79"/>
      <c r="I262" s="80"/>
      <c r="J262" s="79"/>
      <c r="K262" s="78"/>
      <c r="L262" s="8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6.5" customHeight="1">
      <c r="A263" s="7"/>
      <c r="B263" s="77"/>
      <c r="C263" s="78"/>
      <c r="D263" s="79"/>
      <c r="E263" s="80"/>
      <c r="F263" s="79"/>
      <c r="G263" s="78"/>
      <c r="H263" s="79"/>
      <c r="I263" s="80"/>
      <c r="J263" s="79"/>
      <c r="K263" s="78"/>
      <c r="L263" s="8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6.5" customHeight="1">
      <c r="A264" s="7"/>
      <c r="B264" s="77"/>
      <c r="C264" s="78"/>
      <c r="D264" s="79"/>
      <c r="E264" s="80"/>
      <c r="F264" s="79"/>
      <c r="G264" s="78"/>
      <c r="H264" s="79"/>
      <c r="I264" s="80"/>
      <c r="J264" s="79"/>
      <c r="K264" s="78"/>
      <c r="L264" s="8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6.5" customHeight="1">
      <c r="A265" s="7"/>
      <c r="B265" s="77"/>
      <c r="C265" s="78"/>
      <c r="D265" s="79"/>
      <c r="E265" s="80"/>
      <c r="F265" s="79"/>
      <c r="G265" s="78"/>
      <c r="H265" s="79"/>
      <c r="I265" s="80"/>
      <c r="J265" s="79"/>
      <c r="K265" s="78"/>
      <c r="L265" s="8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6.5" customHeight="1">
      <c r="A266" s="7"/>
      <c r="B266" s="77"/>
      <c r="C266" s="78"/>
      <c r="D266" s="79"/>
      <c r="E266" s="80"/>
      <c r="F266" s="79"/>
      <c r="G266" s="78"/>
      <c r="H266" s="79"/>
      <c r="I266" s="80"/>
      <c r="J266" s="79"/>
      <c r="K266" s="78"/>
      <c r="L266" s="8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6.5" customHeight="1">
      <c r="A267" s="7"/>
      <c r="B267" s="77"/>
      <c r="C267" s="78"/>
      <c r="D267" s="79"/>
      <c r="E267" s="80"/>
      <c r="F267" s="79"/>
      <c r="G267" s="78"/>
      <c r="H267" s="79"/>
      <c r="I267" s="80"/>
      <c r="J267" s="79"/>
      <c r="K267" s="78"/>
      <c r="L267" s="8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6.5" customHeight="1">
      <c r="A268" s="7"/>
      <c r="B268" s="77"/>
      <c r="C268" s="78"/>
      <c r="D268" s="79"/>
      <c r="E268" s="80"/>
      <c r="F268" s="79"/>
      <c r="G268" s="78"/>
      <c r="H268" s="79"/>
      <c r="I268" s="80"/>
      <c r="J268" s="79"/>
      <c r="K268" s="78"/>
      <c r="L268" s="8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6.5" customHeight="1">
      <c r="A269" s="7"/>
      <c r="B269" s="77"/>
      <c r="C269" s="78"/>
      <c r="D269" s="79"/>
      <c r="E269" s="80"/>
      <c r="F269" s="79"/>
      <c r="G269" s="78"/>
      <c r="H269" s="79"/>
      <c r="I269" s="80"/>
      <c r="J269" s="79"/>
      <c r="K269" s="78"/>
      <c r="L269" s="8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6.5" customHeight="1">
      <c r="A270" s="7"/>
      <c r="B270" s="77"/>
      <c r="C270" s="78"/>
      <c r="D270" s="79"/>
      <c r="E270" s="80"/>
      <c r="F270" s="79"/>
      <c r="G270" s="78"/>
      <c r="H270" s="79"/>
      <c r="I270" s="80"/>
      <c r="J270" s="79"/>
      <c r="K270" s="78"/>
      <c r="L270" s="8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6.5" customHeight="1">
      <c r="A271" s="7"/>
      <c r="B271" s="77"/>
      <c r="C271" s="78"/>
      <c r="D271" s="79"/>
      <c r="E271" s="80"/>
      <c r="F271" s="79"/>
      <c r="G271" s="78"/>
      <c r="H271" s="79"/>
      <c r="I271" s="80"/>
      <c r="J271" s="79"/>
      <c r="K271" s="78"/>
      <c r="L271" s="8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6.5" customHeight="1">
      <c r="A272" s="7"/>
      <c r="B272" s="77"/>
      <c r="C272" s="78"/>
      <c r="D272" s="79"/>
      <c r="E272" s="80"/>
      <c r="F272" s="79"/>
      <c r="G272" s="78"/>
      <c r="H272" s="79"/>
      <c r="I272" s="80"/>
      <c r="J272" s="79"/>
      <c r="K272" s="78"/>
      <c r="L272" s="8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6.5" customHeight="1">
      <c r="A273" s="7"/>
      <c r="B273" s="77"/>
      <c r="C273" s="78"/>
      <c r="D273" s="79"/>
      <c r="E273" s="80"/>
      <c r="F273" s="79"/>
      <c r="G273" s="78"/>
      <c r="H273" s="79"/>
      <c r="I273" s="80"/>
      <c r="J273" s="79"/>
      <c r="K273" s="78"/>
      <c r="L273" s="8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6.5" customHeight="1">
      <c r="A274" s="7"/>
      <c r="B274" s="77"/>
      <c r="C274" s="78"/>
      <c r="D274" s="79"/>
      <c r="E274" s="80"/>
      <c r="F274" s="79"/>
      <c r="G274" s="78"/>
      <c r="H274" s="79"/>
      <c r="I274" s="80"/>
      <c r="J274" s="79"/>
      <c r="K274" s="78"/>
      <c r="L274" s="8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6.5" customHeight="1">
      <c r="A275" s="7"/>
      <c r="B275" s="77"/>
      <c r="C275" s="78"/>
      <c r="D275" s="79"/>
      <c r="E275" s="80"/>
      <c r="F275" s="79"/>
      <c r="G275" s="78"/>
      <c r="H275" s="79"/>
      <c r="I275" s="80"/>
      <c r="J275" s="79"/>
      <c r="K275" s="78"/>
      <c r="L275" s="8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6.5" customHeight="1">
      <c r="A276" s="7"/>
      <c r="B276" s="77"/>
      <c r="C276" s="78"/>
      <c r="D276" s="79"/>
      <c r="E276" s="80"/>
      <c r="F276" s="79"/>
      <c r="G276" s="78"/>
      <c r="H276" s="79"/>
      <c r="I276" s="80"/>
      <c r="J276" s="79"/>
      <c r="K276" s="78"/>
      <c r="L276" s="8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6.5" customHeight="1">
      <c r="A277" s="7"/>
      <c r="B277" s="77"/>
      <c r="C277" s="78"/>
      <c r="D277" s="79"/>
      <c r="E277" s="80"/>
      <c r="F277" s="79"/>
      <c r="G277" s="78"/>
      <c r="H277" s="79"/>
      <c r="I277" s="80"/>
      <c r="J277" s="79"/>
      <c r="K277" s="78"/>
      <c r="L277" s="8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6.5" customHeight="1">
      <c r="A278" s="7"/>
      <c r="B278" s="77"/>
      <c r="C278" s="78"/>
      <c r="D278" s="79"/>
      <c r="E278" s="80"/>
      <c r="F278" s="79"/>
      <c r="G278" s="78"/>
      <c r="H278" s="79"/>
      <c r="I278" s="80"/>
      <c r="J278" s="79"/>
      <c r="K278" s="78"/>
      <c r="L278" s="8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7:F7"/>
    <mergeCell ref="E8:E10"/>
    <mergeCell ref="F8:F10"/>
    <mergeCell ref="G8:H8"/>
    <mergeCell ref="I8:J8"/>
    <mergeCell ref="C8:D8"/>
    <mergeCell ref="C9:C10"/>
    <mergeCell ref="D9:D10"/>
    <mergeCell ref="C71:E71"/>
    <mergeCell ref="G9:G10"/>
    <mergeCell ref="H9:H10"/>
    <mergeCell ref="G71:I71"/>
    <mergeCell ref="G76:I76"/>
    <mergeCell ref="G77:I77"/>
    <mergeCell ref="I9:I10"/>
    <mergeCell ref="J9:J10"/>
    <mergeCell ref="K9:K10"/>
    <mergeCell ref="L9:L10"/>
    <mergeCell ref="A1:E1"/>
    <mergeCell ref="A2:H2"/>
    <mergeCell ref="A7:A10"/>
    <mergeCell ref="B7:B10"/>
    <mergeCell ref="C7:D7"/>
    <mergeCell ref="G7:L7"/>
    <mergeCell ref="K8:L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2.0" topLeftCell="C13" activePane="bottomRight" state="frozen"/>
      <selection activeCell="C1" sqref="C1" pane="topRight"/>
      <selection activeCell="A13" sqref="A13" pane="bottomLeft"/>
      <selection activeCell="C13" sqref="C13" pane="bottomRight"/>
    </sheetView>
  </sheetViews>
  <sheetFormatPr customHeight="1" defaultColWidth="14.43" defaultRowHeight="15.0"/>
  <cols>
    <col customWidth="1" min="1" max="1" width="74.57"/>
    <col customWidth="1" min="2" max="2" width="18.43"/>
    <col customWidth="1" min="3" max="4" width="25.86"/>
    <col customWidth="1" min="5" max="6" width="24.71"/>
    <col customWidth="1" min="7" max="7" width="21.29"/>
    <col customWidth="1" min="8" max="8" width="23.0"/>
    <col customWidth="1" min="9" max="9" width="20.29"/>
    <col customWidth="1" min="10" max="10" width="20.0"/>
    <col customWidth="1" min="11" max="11" width="21.86"/>
    <col customWidth="1" min="12" max="12" width="21.29"/>
    <col customWidth="1" min="13" max="13" width="22.0"/>
  </cols>
  <sheetData>
    <row r="1" ht="21.75" customHeight="1">
      <c r="A1" s="82" t="s">
        <v>0</v>
      </c>
      <c r="B1" s="83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ht="21.75" customHeight="1">
      <c r="A2" s="85" t="s">
        <v>90</v>
      </c>
      <c r="B2" s="83"/>
      <c r="C2" s="84"/>
      <c r="D2" s="84"/>
      <c r="E2" s="84"/>
      <c r="F2" s="84"/>
      <c r="G2" s="84"/>
      <c r="H2" s="84"/>
      <c r="I2" s="86"/>
      <c r="L2" s="84"/>
      <c r="M2" s="84"/>
    </row>
    <row r="3" ht="21.75" customHeight="1">
      <c r="A3" s="87" t="s">
        <v>91</v>
      </c>
      <c r="B3" s="88"/>
      <c r="C3" s="89"/>
      <c r="D3" s="89"/>
      <c r="E3" s="89"/>
      <c r="F3" s="89"/>
      <c r="G3" s="89"/>
      <c r="H3" s="89"/>
      <c r="L3" s="89"/>
      <c r="M3" s="89"/>
    </row>
    <row r="4" ht="21.75" customHeight="1">
      <c r="A4" s="87" t="s">
        <v>3</v>
      </c>
      <c r="B4" s="88"/>
      <c r="C4" s="89"/>
      <c r="D4" s="89"/>
      <c r="E4" s="89"/>
      <c r="F4" s="89"/>
      <c r="G4" s="89"/>
      <c r="H4" s="89"/>
      <c r="L4" s="89"/>
      <c r="M4" s="89"/>
    </row>
    <row r="5" ht="21.75" customHeight="1">
      <c r="A5" s="87" t="s">
        <v>92</v>
      </c>
      <c r="B5" s="88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</row>
    <row r="6" ht="15.75" customHeight="1">
      <c r="A6" s="90"/>
      <c r="B6" s="88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96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102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 ht="26.25" hidden="1" customHeight="1">
      <c r="A11" s="104" t="s">
        <v>99</v>
      </c>
      <c r="B11" s="105"/>
      <c r="C11" s="106"/>
      <c r="D11" s="107">
        <f>D12+D625</f>
        <v>5625.71</v>
      </c>
      <c r="E11" s="107"/>
      <c r="F11" s="107"/>
      <c r="G11" s="108"/>
      <c r="H11" s="108"/>
      <c r="I11" s="108"/>
      <c r="J11" s="108"/>
      <c r="K11" s="108"/>
      <c r="L11" s="108"/>
      <c r="M11" s="108"/>
    </row>
    <row r="12">
      <c r="A12" s="109" t="s">
        <v>100</v>
      </c>
      <c r="B12" s="105"/>
      <c r="C12" s="106"/>
      <c r="D12" s="107">
        <f>D13</f>
        <v>5025.71</v>
      </c>
      <c r="E12" s="110"/>
      <c r="F12" s="111">
        <v>9435.71</v>
      </c>
      <c r="G12" s="107"/>
      <c r="H12" s="107">
        <f>H13</f>
        <v>8020</v>
      </c>
      <c r="I12" s="107"/>
      <c r="J12" s="107"/>
      <c r="K12" s="107"/>
      <c r="L12" s="107">
        <f>L13</f>
        <v>8020</v>
      </c>
      <c r="M12" s="107"/>
    </row>
    <row r="13">
      <c r="A13" s="109" t="s">
        <v>101</v>
      </c>
      <c r="B13" s="105"/>
      <c r="C13" s="112"/>
      <c r="D13" s="107">
        <f>D46+D326+D327+D330+D433</f>
        <v>5025.71</v>
      </c>
      <c r="E13" s="110"/>
      <c r="F13" s="111">
        <f>F46+F327+F433</f>
        <v>9435.71</v>
      </c>
      <c r="G13" s="107"/>
      <c r="H13" s="107">
        <f>H46+H327+H433</f>
        <v>8020</v>
      </c>
      <c r="I13" s="107"/>
      <c r="J13" s="107"/>
      <c r="K13" s="107"/>
      <c r="L13" s="107">
        <f>L46+L327+L433</f>
        <v>8020</v>
      </c>
      <c r="M13" s="107"/>
    </row>
    <row r="14" ht="15.75" hidden="1" customHeight="1">
      <c r="A14" s="113" t="s">
        <v>102</v>
      </c>
      <c r="B14" s="114"/>
      <c r="C14" s="115"/>
      <c r="D14" s="116"/>
      <c r="E14" s="110"/>
      <c r="F14" s="117"/>
      <c r="G14" s="116"/>
      <c r="H14" s="116"/>
      <c r="I14" s="116"/>
      <c r="J14" s="116"/>
      <c r="K14" s="116"/>
      <c r="L14" s="116"/>
      <c r="M14" s="116"/>
    </row>
    <row r="15" ht="15.75" hidden="1" customHeight="1">
      <c r="A15" s="113" t="s">
        <v>103</v>
      </c>
      <c r="B15" s="114"/>
      <c r="C15" s="115"/>
      <c r="D15" s="116"/>
      <c r="E15" s="110"/>
      <c r="F15" s="117"/>
      <c r="G15" s="116"/>
      <c r="H15" s="116"/>
      <c r="I15" s="116"/>
      <c r="J15" s="116"/>
      <c r="K15" s="116"/>
      <c r="L15" s="116"/>
      <c r="M15" s="116"/>
    </row>
    <row r="16" ht="15.75" hidden="1" customHeight="1">
      <c r="A16" s="113" t="s">
        <v>104</v>
      </c>
      <c r="B16" s="114"/>
      <c r="C16" s="115"/>
      <c r="D16" s="116"/>
      <c r="E16" s="110"/>
      <c r="F16" s="117"/>
      <c r="G16" s="116"/>
      <c r="H16" s="116"/>
      <c r="I16" s="116"/>
      <c r="J16" s="116"/>
      <c r="K16" s="116"/>
      <c r="L16" s="116"/>
      <c r="M16" s="116"/>
    </row>
    <row r="17" ht="15.75" hidden="1" customHeight="1">
      <c r="A17" s="113" t="s">
        <v>105</v>
      </c>
      <c r="B17" s="114"/>
      <c r="C17" s="118"/>
      <c r="D17" s="116"/>
      <c r="E17" s="110"/>
      <c r="F17" s="117"/>
      <c r="G17" s="116"/>
      <c r="H17" s="116"/>
      <c r="I17" s="116"/>
      <c r="J17" s="116"/>
      <c r="K17" s="116"/>
      <c r="L17" s="116"/>
      <c r="M17" s="116"/>
    </row>
    <row r="18" ht="15.75" hidden="1" customHeight="1">
      <c r="A18" s="113" t="s">
        <v>106</v>
      </c>
      <c r="B18" s="114"/>
      <c r="C18" s="115"/>
      <c r="D18" s="116"/>
      <c r="E18" s="110"/>
      <c r="F18" s="117"/>
      <c r="G18" s="116"/>
      <c r="H18" s="116"/>
      <c r="I18" s="116"/>
      <c r="J18" s="116"/>
      <c r="K18" s="116"/>
      <c r="L18" s="116"/>
      <c r="M18" s="116"/>
    </row>
    <row r="19" ht="15.75" hidden="1" customHeight="1">
      <c r="A19" s="113" t="s">
        <v>107</v>
      </c>
      <c r="B19" s="114"/>
      <c r="C19" s="115"/>
      <c r="D19" s="116"/>
      <c r="E19" s="110"/>
      <c r="F19" s="117"/>
      <c r="G19" s="116"/>
      <c r="H19" s="116"/>
      <c r="I19" s="116"/>
      <c r="J19" s="116"/>
      <c r="K19" s="116"/>
      <c r="L19" s="116"/>
      <c r="M19" s="116"/>
    </row>
    <row r="20" ht="24.75" customHeight="1">
      <c r="A20" s="113" t="s">
        <v>108</v>
      </c>
      <c r="B20" s="114"/>
      <c r="C20" s="115"/>
      <c r="D20" s="116"/>
      <c r="E20" s="110"/>
      <c r="F20" s="117"/>
      <c r="G20" s="116"/>
      <c r="H20" s="116"/>
      <c r="I20" s="116"/>
      <c r="J20" s="116"/>
      <c r="K20" s="116"/>
      <c r="L20" s="116"/>
      <c r="M20" s="116"/>
    </row>
    <row r="21" ht="15.75" hidden="1" customHeight="1">
      <c r="A21" s="119" t="s">
        <v>109</v>
      </c>
      <c r="B21" s="114"/>
      <c r="C21" s="115"/>
      <c r="D21" s="116"/>
      <c r="E21" s="110"/>
      <c r="F21" s="117"/>
      <c r="G21" s="116"/>
      <c r="H21" s="116"/>
      <c r="I21" s="116"/>
      <c r="J21" s="116"/>
      <c r="K21" s="116"/>
      <c r="L21" s="116"/>
      <c r="M21" s="116"/>
    </row>
    <row r="22" ht="15.75" hidden="1" customHeight="1">
      <c r="A22" s="119" t="s">
        <v>110</v>
      </c>
      <c r="B22" s="105"/>
      <c r="C22" s="118"/>
      <c r="D22" s="116"/>
      <c r="E22" s="110"/>
      <c r="F22" s="117"/>
      <c r="G22" s="116"/>
      <c r="H22" s="116"/>
      <c r="I22" s="116"/>
      <c r="J22" s="116"/>
      <c r="K22" s="116"/>
      <c r="L22" s="116"/>
      <c r="M22" s="116"/>
    </row>
    <row r="23" ht="15.75" hidden="1" customHeight="1">
      <c r="A23" s="119" t="s">
        <v>111</v>
      </c>
      <c r="B23" s="114"/>
      <c r="C23" s="115"/>
      <c r="D23" s="116"/>
      <c r="E23" s="110"/>
      <c r="F23" s="117"/>
      <c r="G23" s="116"/>
      <c r="H23" s="116"/>
      <c r="I23" s="116"/>
      <c r="J23" s="116"/>
      <c r="K23" s="116"/>
      <c r="L23" s="116"/>
      <c r="M23" s="116"/>
    </row>
    <row r="24" ht="15.75" hidden="1" customHeight="1">
      <c r="A24" s="119" t="s">
        <v>112</v>
      </c>
      <c r="B24" s="114"/>
      <c r="C24" s="115"/>
      <c r="D24" s="116"/>
      <c r="E24" s="110"/>
      <c r="F24" s="117"/>
      <c r="G24" s="116"/>
      <c r="H24" s="116"/>
      <c r="I24" s="116"/>
      <c r="J24" s="116"/>
      <c r="K24" s="116"/>
      <c r="L24" s="116"/>
      <c r="M24" s="116"/>
    </row>
    <row r="25" ht="15.75" hidden="1" customHeight="1">
      <c r="A25" s="120" t="s">
        <v>113</v>
      </c>
      <c r="B25" s="114"/>
      <c r="C25" s="115"/>
      <c r="D25" s="116"/>
      <c r="E25" s="110"/>
      <c r="F25" s="117"/>
      <c r="G25" s="116"/>
      <c r="H25" s="116"/>
      <c r="I25" s="116"/>
      <c r="J25" s="116"/>
      <c r="K25" s="116"/>
      <c r="L25" s="116"/>
      <c r="M25" s="116"/>
    </row>
    <row r="26" ht="15.75" hidden="1" customHeight="1">
      <c r="A26" s="121" t="s">
        <v>109</v>
      </c>
      <c r="B26" s="114"/>
      <c r="C26" s="115"/>
      <c r="D26" s="116"/>
      <c r="E26" s="110"/>
      <c r="F26" s="117"/>
      <c r="G26" s="116"/>
      <c r="H26" s="116"/>
      <c r="I26" s="116"/>
      <c r="J26" s="116"/>
      <c r="K26" s="116"/>
      <c r="L26" s="116"/>
      <c r="M26" s="116"/>
    </row>
    <row r="27" ht="15.75" hidden="1" customHeight="1">
      <c r="A27" s="121" t="s">
        <v>110</v>
      </c>
      <c r="B27" s="114"/>
      <c r="C27" s="115"/>
      <c r="D27" s="116"/>
      <c r="E27" s="110"/>
      <c r="F27" s="117"/>
      <c r="G27" s="116"/>
      <c r="H27" s="116"/>
      <c r="I27" s="116"/>
      <c r="J27" s="116"/>
      <c r="K27" s="116"/>
      <c r="L27" s="116"/>
      <c r="M27" s="116"/>
    </row>
    <row r="28" ht="15.75" hidden="1" customHeight="1">
      <c r="A28" s="121" t="s">
        <v>111</v>
      </c>
      <c r="B28" s="114"/>
      <c r="C28" s="115"/>
      <c r="D28" s="116"/>
      <c r="E28" s="110"/>
      <c r="F28" s="117"/>
      <c r="G28" s="116"/>
      <c r="H28" s="116"/>
      <c r="I28" s="116"/>
      <c r="J28" s="116"/>
      <c r="K28" s="116"/>
      <c r="L28" s="116"/>
      <c r="M28" s="116"/>
    </row>
    <row r="29" ht="15.75" hidden="1" customHeight="1">
      <c r="A29" s="122" t="s">
        <v>112</v>
      </c>
      <c r="B29" s="123"/>
      <c r="C29" s="115"/>
      <c r="D29" s="116"/>
      <c r="E29" s="110"/>
      <c r="F29" s="117"/>
      <c r="G29" s="116"/>
      <c r="H29" s="116"/>
      <c r="I29" s="116"/>
      <c r="J29" s="116"/>
      <c r="K29" s="116"/>
      <c r="L29" s="116"/>
      <c r="M29" s="116"/>
    </row>
    <row r="30" ht="15.75" hidden="1" customHeight="1">
      <c r="A30" s="124" t="s">
        <v>114</v>
      </c>
      <c r="B30" s="123"/>
      <c r="C30" s="115"/>
      <c r="D30" s="116"/>
      <c r="E30" s="110"/>
      <c r="F30" s="117"/>
      <c r="G30" s="116"/>
      <c r="H30" s="116"/>
      <c r="I30" s="116"/>
      <c r="J30" s="116"/>
      <c r="K30" s="116"/>
      <c r="L30" s="116"/>
      <c r="M30" s="116"/>
    </row>
    <row r="31" ht="15.75" hidden="1" customHeight="1">
      <c r="A31" s="122" t="s">
        <v>109</v>
      </c>
      <c r="B31" s="123"/>
      <c r="C31" s="115"/>
      <c r="D31" s="116"/>
      <c r="E31" s="110"/>
      <c r="F31" s="117"/>
      <c r="G31" s="116"/>
      <c r="H31" s="116"/>
      <c r="I31" s="116"/>
      <c r="J31" s="116"/>
      <c r="K31" s="116"/>
      <c r="L31" s="116"/>
      <c r="M31" s="116"/>
    </row>
    <row r="32" ht="15.75" hidden="1" customHeight="1">
      <c r="A32" s="122" t="s">
        <v>110</v>
      </c>
      <c r="B32" s="123"/>
      <c r="C32" s="115"/>
      <c r="D32" s="116"/>
      <c r="E32" s="110"/>
      <c r="F32" s="117"/>
      <c r="G32" s="116"/>
      <c r="H32" s="116"/>
      <c r="I32" s="116"/>
      <c r="J32" s="116"/>
      <c r="K32" s="116"/>
      <c r="L32" s="116"/>
      <c r="M32" s="116"/>
    </row>
    <row r="33" ht="15.75" hidden="1" customHeight="1">
      <c r="A33" s="122" t="s">
        <v>111</v>
      </c>
      <c r="B33" s="123"/>
      <c r="C33" s="115"/>
      <c r="D33" s="116"/>
      <c r="E33" s="110"/>
      <c r="F33" s="117"/>
      <c r="G33" s="116"/>
      <c r="H33" s="116"/>
      <c r="I33" s="116"/>
      <c r="J33" s="116"/>
      <c r="K33" s="116"/>
      <c r="L33" s="116"/>
      <c r="M33" s="116"/>
    </row>
    <row r="34" ht="15.75" hidden="1" customHeight="1">
      <c r="A34" s="122" t="s">
        <v>112</v>
      </c>
      <c r="B34" s="123"/>
      <c r="C34" s="115"/>
      <c r="D34" s="116"/>
      <c r="E34" s="110"/>
      <c r="F34" s="117"/>
      <c r="G34" s="116"/>
      <c r="H34" s="116"/>
      <c r="I34" s="116"/>
      <c r="J34" s="116"/>
      <c r="K34" s="116"/>
      <c r="L34" s="116"/>
      <c r="M34" s="116"/>
    </row>
    <row r="35" ht="15.75" hidden="1" customHeight="1">
      <c r="A35" s="124" t="s">
        <v>115</v>
      </c>
      <c r="B35" s="123"/>
      <c r="C35" s="115"/>
      <c r="D35" s="116"/>
      <c r="E35" s="110"/>
      <c r="F35" s="117"/>
      <c r="G35" s="116"/>
      <c r="H35" s="116"/>
      <c r="I35" s="116"/>
      <c r="J35" s="116"/>
      <c r="K35" s="116"/>
      <c r="L35" s="116"/>
      <c r="M35" s="116"/>
    </row>
    <row r="36" ht="15.75" hidden="1" customHeight="1">
      <c r="A36" s="122" t="s">
        <v>109</v>
      </c>
      <c r="B36" s="123"/>
      <c r="C36" s="115"/>
      <c r="D36" s="116"/>
      <c r="E36" s="110"/>
      <c r="F36" s="117"/>
      <c r="G36" s="116"/>
      <c r="H36" s="116"/>
      <c r="I36" s="116"/>
      <c r="J36" s="116"/>
      <c r="K36" s="116"/>
      <c r="L36" s="116"/>
      <c r="M36" s="116"/>
    </row>
    <row r="37" ht="15.75" hidden="1" customHeight="1">
      <c r="A37" s="122" t="s">
        <v>110</v>
      </c>
      <c r="B37" s="123"/>
      <c r="C37" s="115"/>
      <c r="D37" s="116"/>
      <c r="E37" s="110"/>
      <c r="F37" s="117"/>
      <c r="G37" s="116"/>
      <c r="H37" s="116"/>
      <c r="I37" s="116"/>
      <c r="J37" s="116"/>
      <c r="K37" s="116"/>
      <c r="L37" s="116"/>
      <c r="M37" s="116"/>
    </row>
    <row r="38" ht="15.75" hidden="1" customHeight="1">
      <c r="A38" s="122" t="s">
        <v>111</v>
      </c>
      <c r="B38" s="123"/>
      <c r="C38" s="115"/>
      <c r="D38" s="116"/>
      <c r="E38" s="110"/>
      <c r="F38" s="117"/>
      <c r="G38" s="116"/>
      <c r="H38" s="116"/>
      <c r="I38" s="116"/>
      <c r="J38" s="116"/>
      <c r="K38" s="116"/>
      <c r="L38" s="116"/>
      <c r="M38" s="116"/>
    </row>
    <row r="39" ht="15.75" hidden="1" customHeight="1">
      <c r="A39" s="122" t="s">
        <v>112</v>
      </c>
      <c r="B39" s="123"/>
      <c r="C39" s="115"/>
      <c r="D39" s="116"/>
      <c r="E39" s="110"/>
      <c r="F39" s="117"/>
      <c r="G39" s="116"/>
      <c r="H39" s="116"/>
      <c r="I39" s="116"/>
      <c r="J39" s="116"/>
      <c r="K39" s="116"/>
      <c r="L39" s="116"/>
      <c r="M39" s="116"/>
    </row>
    <row r="40" ht="15.75" hidden="1" customHeight="1">
      <c r="A40" s="124" t="s">
        <v>116</v>
      </c>
      <c r="B40" s="123"/>
      <c r="C40" s="115"/>
      <c r="D40" s="116"/>
      <c r="E40" s="110"/>
      <c r="F40" s="117"/>
      <c r="G40" s="116"/>
      <c r="H40" s="116"/>
      <c r="I40" s="116"/>
      <c r="J40" s="116"/>
      <c r="K40" s="116"/>
      <c r="L40" s="116"/>
      <c r="M40" s="116"/>
    </row>
    <row r="41" ht="15.75" hidden="1" customHeight="1">
      <c r="A41" s="122" t="s">
        <v>109</v>
      </c>
      <c r="B41" s="123"/>
      <c r="C41" s="115"/>
      <c r="D41" s="116"/>
      <c r="E41" s="110"/>
      <c r="F41" s="117"/>
      <c r="G41" s="116"/>
      <c r="H41" s="116"/>
      <c r="I41" s="116"/>
      <c r="J41" s="116"/>
      <c r="K41" s="116"/>
      <c r="L41" s="116"/>
      <c r="M41" s="116"/>
    </row>
    <row r="42" ht="15.75" hidden="1" customHeight="1">
      <c r="A42" s="122" t="s">
        <v>110</v>
      </c>
      <c r="B42" s="123"/>
      <c r="C42" s="115"/>
      <c r="D42" s="116"/>
      <c r="E42" s="110"/>
      <c r="F42" s="117"/>
      <c r="G42" s="116"/>
      <c r="H42" s="116"/>
      <c r="I42" s="116"/>
      <c r="J42" s="116"/>
      <c r="K42" s="116"/>
      <c r="L42" s="116"/>
      <c r="M42" s="116"/>
    </row>
    <row r="43" ht="15.75" hidden="1" customHeight="1">
      <c r="A43" s="122" t="s">
        <v>111</v>
      </c>
      <c r="B43" s="123"/>
      <c r="C43" s="115"/>
      <c r="D43" s="116"/>
      <c r="E43" s="110"/>
      <c r="F43" s="117"/>
      <c r="G43" s="116"/>
      <c r="H43" s="116"/>
      <c r="I43" s="116"/>
      <c r="J43" s="116"/>
      <c r="K43" s="116"/>
      <c r="L43" s="116"/>
      <c r="M43" s="116"/>
    </row>
    <row r="44" ht="15.75" hidden="1" customHeight="1">
      <c r="A44" s="122" t="s">
        <v>112</v>
      </c>
      <c r="B44" s="123"/>
      <c r="C44" s="115"/>
      <c r="D44" s="116"/>
      <c r="E44" s="110"/>
      <c r="F44" s="117"/>
      <c r="G44" s="116"/>
      <c r="H44" s="116"/>
      <c r="I44" s="116"/>
      <c r="J44" s="116"/>
      <c r="K44" s="116"/>
      <c r="L44" s="116"/>
      <c r="M44" s="116"/>
    </row>
    <row r="45" ht="24.0" customHeight="1">
      <c r="A45" s="124" t="s">
        <v>117</v>
      </c>
      <c r="B45" s="123"/>
      <c r="C45" s="115"/>
      <c r="D45" s="116"/>
      <c r="E45" s="110"/>
      <c r="F45" s="117"/>
      <c r="G45" s="116"/>
      <c r="H45" s="116"/>
      <c r="I45" s="116"/>
      <c r="J45" s="116"/>
      <c r="K45" s="116"/>
      <c r="L45" s="116"/>
      <c r="M45" s="116"/>
    </row>
    <row r="46" ht="21.75" customHeight="1">
      <c r="A46" s="122" t="s">
        <v>109</v>
      </c>
      <c r="B46" s="125" t="s">
        <v>118</v>
      </c>
      <c r="C46" s="115">
        <v>20000.0</v>
      </c>
      <c r="D46" s="116">
        <v>4000.0</v>
      </c>
      <c r="E46" s="126">
        <v>35000.0</v>
      </c>
      <c r="F46" s="127">
        <v>8750.0</v>
      </c>
      <c r="G46" s="128">
        <v>28000.0</v>
      </c>
      <c r="H46" s="128">
        <f>G46*0.25</f>
        <v>7000</v>
      </c>
      <c r="I46" s="116"/>
      <c r="J46" s="116"/>
      <c r="K46" s="128">
        <v>28000.0</v>
      </c>
      <c r="L46" s="128">
        <f>K46*0.25</f>
        <v>7000</v>
      </c>
      <c r="M46" s="116"/>
    </row>
    <row r="47" ht="15.75" hidden="1" customHeight="1">
      <c r="A47" s="122" t="s">
        <v>110</v>
      </c>
      <c r="B47" s="125" t="s">
        <v>118</v>
      </c>
      <c r="C47" s="115"/>
      <c r="D47" s="116"/>
      <c r="E47" s="110"/>
      <c r="F47" s="117"/>
      <c r="G47" s="116"/>
      <c r="H47" s="116"/>
      <c r="I47" s="116"/>
      <c r="J47" s="116"/>
      <c r="K47" s="116"/>
      <c r="L47" s="116"/>
      <c r="M47" s="116"/>
    </row>
    <row r="48" ht="21.0" customHeight="1">
      <c r="A48" s="122" t="s">
        <v>111</v>
      </c>
      <c r="B48" s="125" t="s">
        <v>118</v>
      </c>
      <c r="C48" s="115">
        <v>20000.0</v>
      </c>
      <c r="D48" s="116"/>
      <c r="E48" s="126">
        <v>15000.0</v>
      </c>
      <c r="F48" s="117"/>
      <c r="G48" s="128">
        <f>G46</f>
        <v>28000</v>
      </c>
      <c r="H48" s="116"/>
      <c r="I48" s="116"/>
      <c r="J48" s="116"/>
      <c r="K48" s="128">
        <f>K46</f>
        <v>28000</v>
      </c>
      <c r="L48" s="116"/>
      <c r="M48" s="116"/>
    </row>
    <row r="49" ht="30.0" customHeight="1">
      <c r="A49" s="122" t="s">
        <v>112</v>
      </c>
      <c r="B49" s="125" t="s">
        <v>119</v>
      </c>
      <c r="C49" s="115">
        <v>28.57</v>
      </c>
      <c r="D49" s="116"/>
      <c r="E49" s="126">
        <v>21.428571428571427</v>
      </c>
      <c r="F49" s="117"/>
      <c r="G49" s="116">
        <f>G48/700</f>
        <v>40</v>
      </c>
      <c r="H49" s="116"/>
      <c r="I49" s="116"/>
      <c r="J49" s="116"/>
      <c r="K49" s="116">
        <f>K48/700</f>
        <v>40</v>
      </c>
      <c r="L49" s="116"/>
      <c r="M49" s="116"/>
    </row>
    <row r="50" ht="15.75" hidden="1" customHeight="1">
      <c r="A50" s="124" t="s">
        <v>120</v>
      </c>
      <c r="B50" s="123"/>
      <c r="C50" s="115"/>
      <c r="D50" s="116"/>
      <c r="E50" s="110"/>
      <c r="F50" s="117"/>
      <c r="G50" s="116"/>
      <c r="H50" s="116"/>
      <c r="I50" s="116"/>
      <c r="J50" s="116"/>
      <c r="K50" s="116"/>
      <c r="L50" s="116"/>
      <c r="M50" s="116"/>
    </row>
    <row r="51" ht="15.75" hidden="1" customHeight="1">
      <c r="A51" s="122" t="s">
        <v>109</v>
      </c>
      <c r="B51" s="123"/>
      <c r="C51" s="115"/>
      <c r="D51" s="116"/>
      <c r="E51" s="110"/>
      <c r="F51" s="117"/>
      <c r="G51" s="116"/>
      <c r="H51" s="116"/>
      <c r="I51" s="116"/>
      <c r="J51" s="116"/>
      <c r="K51" s="116"/>
      <c r="L51" s="116"/>
      <c r="M51" s="116"/>
    </row>
    <row r="52" ht="15.75" hidden="1" customHeight="1">
      <c r="A52" s="122" t="s">
        <v>110</v>
      </c>
      <c r="B52" s="123"/>
      <c r="C52" s="115"/>
      <c r="D52" s="116"/>
      <c r="E52" s="110"/>
      <c r="F52" s="117"/>
      <c r="G52" s="116"/>
      <c r="H52" s="116"/>
      <c r="I52" s="116"/>
      <c r="J52" s="116"/>
      <c r="K52" s="116"/>
      <c r="L52" s="116"/>
      <c r="M52" s="116"/>
    </row>
    <row r="53" ht="15.75" hidden="1" customHeight="1">
      <c r="A53" s="122" t="s">
        <v>111</v>
      </c>
      <c r="B53" s="123"/>
      <c r="C53" s="115"/>
      <c r="D53" s="116"/>
      <c r="E53" s="110"/>
      <c r="F53" s="117"/>
      <c r="G53" s="116"/>
      <c r="H53" s="116"/>
      <c r="I53" s="116"/>
      <c r="J53" s="116"/>
      <c r="K53" s="116"/>
      <c r="L53" s="116"/>
      <c r="M53" s="116"/>
    </row>
    <row r="54" ht="15.75" hidden="1" customHeight="1">
      <c r="A54" s="122" t="s">
        <v>112</v>
      </c>
      <c r="B54" s="123"/>
      <c r="C54" s="115"/>
      <c r="D54" s="116"/>
      <c r="E54" s="110"/>
      <c r="F54" s="117"/>
      <c r="G54" s="116"/>
      <c r="H54" s="116"/>
      <c r="I54" s="116"/>
      <c r="J54" s="116"/>
      <c r="K54" s="116"/>
      <c r="L54" s="116"/>
      <c r="M54" s="116"/>
    </row>
    <row r="55" ht="15.75" hidden="1" customHeight="1">
      <c r="A55" s="124" t="s">
        <v>121</v>
      </c>
      <c r="B55" s="123"/>
      <c r="C55" s="115"/>
      <c r="D55" s="116"/>
      <c r="E55" s="110"/>
      <c r="F55" s="117"/>
      <c r="G55" s="116"/>
      <c r="H55" s="116"/>
      <c r="I55" s="116"/>
      <c r="J55" s="116"/>
      <c r="K55" s="116"/>
      <c r="L55" s="116"/>
      <c r="M55" s="116"/>
    </row>
    <row r="56" ht="15.75" hidden="1" customHeight="1">
      <c r="A56" s="122" t="s">
        <v>109</v>
      </c>
      <c r="B56" s="123"/>
      <c r="C56" s="115"/>
      <c r="D56" s="116"/>
      <c r="E56" s="110"/>
      <c r="F56" s="117"/>
      <c r="G56" s="116"/>
      <c r="H56" s="116"/>
      <c r="I56" s="116"/>
      <c r="J56" s="116"/>
      <c r="K56" s="116"/>
      <c r="L56" s="116"/>
      <c r="M56" s="116"/>
    </row>
    <row r="57" ht="15.75" hidden="1" customHeight="1">
      <c r="A57" s="122" t="s">
        <v>110</v>
      </c>
      <c r="B57" s="123"/>
      <c r="C57" s="115"/>
      <c r="D57" s="116"/>
      <c r="E57" s="110"/>
      <c r="F57" s="117"/>
      <c r="G57" s="116"/>
      <c r="H57" s="116"/>
      <c r="I57" s="116"/>
      <c r="J57" s="116"/>
      <c r="K57" s="116"/>
      <c r="L57" s="116"/>
      <c r="M57" s="116"/>
    </row>
    <row r="58" ht="15.75" hidden="1" customHeight="1">
      <c r="A58" s="122" t="s">
        <v>111</v>
      </c>
      <c r="B58" s="123"/>
      <c r="C58" s="115"/>
      <c r="D58" s="116"/>
      <c r="E58" s="110"/>
      <c r="F58" s="117"/>
      <c r="G58" s="116"/>
      <c r="H58" s="116"/>
      <c r="I58" s="116"/>
      <c r="J58" s="116"/>
      <c r="K58" s="116"/>
      <c r="L58" s="116"/>
      <c r="M58" s="116"/>
    </row>
    <row r="59" ht="15.75" hidden="1" customHeight="1">
      <c r="A59" s="122" t="s">
        <v>112</v>
      </c>
      <c r="B59" s="123"/>
      <c r="C59" s="115"/>
      <c r="D59" s="116"/>
      <c r="E59" s="110"/>
      <c r="F59" s="117"/>
      <c r="G59" s="116"/>
      <c r="H59" s="116"/>
      <c r="I59" s="116"/>
      <c r="J59" s="116"/>
      <c r="K59" s="116"/>
      <c r="L59" s="116"/>
      <c r="M59" s="116"/>
    </row>
    <row r="60" ht="15.75" hidden="1" customHeight="1">
      <c r="A60" s="124" t="s">
        <v>122</v>
      </c>
      <c r="B60" s="123"/>
      <c r="C60" s="115"/>
      <c r="D60" s="116"/>
      <c r="E60" s="110"/>
      <c r="F60" s="117"/>
      <c r="G60" s="116"/>
      <c r="H60" s="116"/>
      <c r="I60" s="116"/>
      <c r="J60" s="116"/>
      <c r="K60" s="116"/>
      <c r="L60" s="116"/>
      <c r="M60" s="116"/>
    </row>
    <row r="61" ht="15.75" hidden="1" customHeight="1">
      <c r="A61" s="122" t="s">
        <v>109</v>
      </c>
      <c r="B61" s="123"/>
      <c r="C61" s="115"/>
      <c r="D61" s="116"/>
      <c r="E61" s="110"/>
      <c r="F61" s="117"/>
      <c r="G61" s="116"/>
      <c r="H61" s="116"/>
      <c r="I61" s="116"/>
      <c r="J61" s="116"/>
      <c r="K61" s="116"/>
      <c r="L61" s="116"/>
      <c r="M61" s="116"/>
    </row>
    <row r="62" ht="15.75" hidden="1" customHeight="1">
      <c r="A62" s="122" t="s">
        <v>110</v>
      </c>
      <c r="B62" s="123"/>
      <c r="C62" s="115"/>
      <c r="D62" s="116"/>
      <c r="E62" s="110"/>
      <c r="F62" s="117"/>
      <c r="G62" s="116"/>
      <c r="H62" s="116"/>
      <c r="I62" s="116"/>
      <c r="J62" s="116"/>
      <c r="K62" s="116"/>
      <c r="L62" s="116"/>
      <c r="M62" s="116"/>
    </row>
    <row r="63" ht="15.75" hidden="1" customHeight="1">
      <c r="A63" s="122" t="s">
        <v>111</v>
      </c>
      <c r="B63" s="123"/>
      <c r="C63" s="115"/>
      <c r="D63" s="116"/>
      <c r="E63" s="110"/>
      <c r="F63" s="117"/>
      <c r="G63" s="116"/>
      <c r="H63" s="116"/>
      <c r="I63" s="116"/>
      <c r="J63" s="116"/>
      <c r="K63" s="116"/>
      <c r="L63" s="116"/>
      <c r="M63" s="116"/>
    </row>
    <row r="64" ht="15.75" hidden="1" customHeight="1">
      <c r="A64" s="122" t="s">
        <v>112</v>
      </c>
      <c r="B64" s="123"/>
      <c r="C64" s="115"/>
      <c r="D64" s="116"/>
      <c r="E64" s="110"/>
      <c r="F64" s="117"/>
      <c r="G64" s="116"/>
      <c r="H64" s="116"/>
      <c r="I64" s="116"/>
      <c r="J64" s="116"/>
      <c r="K64" s="116"/>
      <c r="L64" s="116"/>
      <c r="M64" s="116"/>
    </row>
    <row r="65" ht="15.75" hidden="1" customHeight="1">
      <c r="A65" s="124" t="s">
        <v>123</v>
      </c>
      <c r="B65" s="123"/>
      <c r="C65" s="115"/>
      <c r="D65" s="116"/>
      <c r="E65" s="110"/>
      <c r="F65" s="117"/>
      <c r="G65" s="116"/>
      <c r="H65" s="116"/>
      <c r="I65" s="116"/>
      <c r="J65" s="116"/>
      <c r="K65" s="116"/>
      <c r="L65" s="116"/>
      <c r="M65" s="116"/>
    </row>
    <row r="66" ht="15.75" hidden="1" customHeight="1">
      <c r="A66" s="122" t="s">
        <v>109</v>
      </c>
      <c r="B66" s="123"/>
      <c r="C66" s="115"/>
      <c r="D66" s="116"/>
      <c r="E66" s="110"/>
      <c r="F66" s="117"/>
      <c r="G66" s="116"/>
      <c r="H66" s="116"/>
      <c r="I66" s="116"/>
      <c r="J66" s="116"/>
      <c r="K66" s="116"/>
      <c r="L66" s="116"/>
      <c r="M66" s="116"/>
    </row>
    <row r="67" ht="15.75" hidden="1" customHeight="1">
      <c r="A67" s="122" t="s">
        <v>110</v>
      </c>
      <c r="B67" s="123"/>
      <c r="C67" s="115"/>
      <c r="D67" s="116"/>
      <c r="E67" s="110"/>
      <c r="F67" s="117"/>
      <c r="G67" s="116"/>
      <c r="H67" s="116"/>
      <c r="I67" s="116"/>
      <c r="J67" s="116"/>
      <c r="K67" s="116"/>
      <c r="L67" s="116"/>
      <c r="M67" s="116"/>
    </row>
    <row r="68" ht="15.75" hidden="1" customHeight="1">
      <c r="A68" s="122" t="s">
        <v>111</v>
      </c>
      <c r="B68" s="123"/>
      <c r="C68" s="115"/>
      <c r="D68" s="116"/>
      <c r="E68" s="110"/>
      <c r="F68" s="117"/>
      <c r="G68" s="116"/>
      <c r="H68" s="116"/>
      <c r="I68" s="116"/>
      <c r="J68" s="116"/>
      <c r="K68" s="116"/>
      <c r="L68" s="116"/>
      <c r="M68" s="116"/>
    </row>
    <row r="69" ht="15.75" hidden="1" customHeight="1">
      <c r="A69" s="122" t="s">
        <v>112</v>
      </c>
      <c r="B69" s="123"/>
      <c r="C69" s="115"/>
      <c r="D69" s="116"/>
      <c r="E69" s="110"/>
      <c r="F69" s="117"/>
      <c r="G69" s="116"/>
      <c r="H69" s="116"/>
      <c r="I69" s="116"/>
      <c r="J69" s="116"/>
      <c r="K69" s="116"/>
      <c r="L69" s="116"/>
      <c r="M69" s="116"/>
    </row>
    <row r="70" ht="15.75" hidden="1" customHeight="1">
      <c r="A70" s="124" t="s">
        <v>124</v>
      </c>
      <c r="B70" s="123"/>
      <c r="C70" s="115"/>
      <c r="D70" s="116"/>
      <c r="E70" s="110"/>
      <c r="F70" s="117"/>
      <c r="G70" s="116"/>
      <c r="H70" s="116"/>
      <c r="I70" s="116"/>
      <c r="J70" s="116"/>
      <c r="K70" s="116"/>
      <c r="L70" s="116"/>
      <c r="M70" s="116"/>
    </row>
    <row r="71" ht="15.75" hidden="1" customHeight="1">
      <c r="A71" s="122" t="s">
        <v>109</v>
      </c>
      <c r="B71" s="123"/>
      <c r="C71" s="115"/>
      <c r="D71" s="116"/>
      <c r="E71" s="110"/>
      <c r="F71" s="117"/>
      <c r="G71" s="116"/>
      <c r="H71" s="116"/>
      <c r="I71" s="116"/>
      <c r="J71" s="116"/>
      <c r="K71" s="116"/>
      <c r="L71" s="116"/>
      <c r="M71" s="116"/>
    </row>
    <row r="72" ht="15.75" hidden="1" customHeight="1">
      <c r="A72" s="122" t="s">
        <v>110</v>
      </c>
      <c r="B72" s="123"/>
      <c r="C72" s="115"/>
      <c r="D72" s="116"/>
      <c r="E72" s="110"/>
      <c r="F72" s="117"/>
      <c r="G72" s="116"/>
      <c r="H72" s="116"/>
      <c r="I72" s="116"/>
      <c r="J72" s="116"/>
      <c r="K72" s="116"/>
      <c r="L72" s="116"/>
      <c r="M72" s="116"/>
    </row>
    <row r="73" ht="15.75" hidden="1" customHeight="1">
      <c r="A73" s="122" t="s">
        <v>111</v>
      </c>
      <c r="B73" s="123"/>
      <c r="C73" s="115"/>
      <c r="D73" s="116"/>
      <c r="E73" s="110"/>
      <c r="F73" s="117"/>
      <c r="G73" s="116"/>
      <c r="H73" s="116"/>
      <c r="I73" s="116"/>
      <c r="J73" s="116"/>
      <c r="K73" s="116"/>
      <c r="L73" s="116"/>
      <c r="M73" s="116"/>
    </row>
    <row r="74" ht="15.75" hidden="1" customHeight="1">
      <c r="A74" s="122" t="s">
        <v>112</v>
      </c>
      <c r="B74" s="123"/>
      <c r="C74" s="115"/>
      <c r="D74" s="116"/>
      <c r="E74" s="110"/>
      <c r="F74" s="117"/>
      <c r="G74" s="116"/>
      <c r="H74" s="116"/>
      <c r="I74" s="116"/>
      <c r="J74" s="116"/>
      <c r="K74" s="116"/>
      <c r="L74" s="116"/>
      <c r="M74" s="116"/>
    </row>
    <row r="75" ht="15.75" hidden="1" customHeight="1">
      <c r="A75" s="124" t="s">
        <v>125</v>
      </c>
      <c r="B75" s="123"/>
      <c r="C75" s="115"/>
      <c r="D75" s="116"/>
      <c r="E75" s="110"/>
      <c r="F75" s="117"/>
      <c r="G75" s="116"/>
      <c r="H75" s="116"/>
      <c r="I75" s="116"/>
      <c r="J75" s="116"/>
      <c r="K75" s="116"/>
      <c r="L75" s="116"/>
      <c r="M75" s="116"/>
    </row>
    <row r="76" ht="15.75" hidden="1" customHeight="1">
      <c r="A76" s="122" t="s">
        <v>109</v>
      </c>
      <c r="B76" s="123"/>
      <c r="C76" s="115"/>
      <c r="D76" s="116"/>
      <c r="E76" s="110"/>
      <c r="F76" s="117"/>
      <c r="G76" s="116"/>
      <c r="H76" s="116"/>
      <c r="I76" s="116"/>
      <c r="J76" s="116"/>
      <c r="K76" s="116"/>
      <c r="L76" s="116"/>
      <c r="M76" s="116"/>
    </row>
    <row r="77" ht="15.75" hidden="1" customHeight="1">
      <c r="A77" s="122" t="s">
        <v>110</v>
      </c>
      <c r="B77" s="123"/>
      <c r="C77" s="115"/>
      <c r="D77" s="116"/>
      <c r="E77" s="110"/>
      <c r="F77" s="117"/>
      <c r="G77" s="116"/>
      <c r="H77" s="116"/>
      <c r="I77" s="116"/>
      <c r="J77" s="116"/>
      <c r="K77" s="116"/>
      <c r="L77" s="116"/>
      <c r="M77" s="116"/>
    </row>
    <row r="78" ht="15.75" hidden="1" customHeight="1">
      <c r="A78" s="122" t="s">
        <v>111</v>
      </c>
      <c r="B78" s="123"/>
      <c r="C78" s="115"/>
      <c r="D78" s="116"/>
      <c r="E78" s="110"/>
      <c r="F78" s="117"/>
      <c r="G78" s="116"/>
      <c r="H78" s="116"/>
      <c r="I78" s="116"/>
      <c r="J78" s="116"/>
      <c r="K78" s="116"/>
      <c r="L78" s="116"/>
      <c r="M78" s="116"/>
    </row>
    <row r="79" ht="15.75" hidden="1" customHeight="1">
      <c r="A79" s="122" t="s">
        <v>112</v>
      </c>
      <c r="B79" s="123"/>
      <c r="C79" s="115"/>
      <c r="D79" s="116"/>
      <c r="E79" s="110"/>
      <c r="F79" s="117"/>
      <c r="G79" s="116"/>
      <c r="H79" s="116"/>
      <c r="I79" s="116"/>
      <c r="J79" s="116"/>
      <c r="K79" s="116"/>
      <c r="L79" s="116"/>
      <c r="M79" s="116"/>
    </row>
    <row r="80" ht="15.75" hidden="1" customHeight="1">
      <c r="A80" s="124" t="s">
        <v>126</v>
      </c>
      <c r="B80" s="123"/>
      <c r="C80" s="115"/>
      <c r="D80" s="116"/>
      <c r="E80" s="110"/>
      <c r="F80" s="117"/>
      <c r="G80" s="116"/>
      <c r="H80" s="116"/>
      <c r="I80" s="116"/>
      <c r="J80" s="116"/>
      <c r="K80" s="116"/>
      <c r="L80" s="116"/>
      <c r="M80" s="116"/>
    </row>
    <row r="81" ht="15.75" hidden="1" customHeight="1">
      <c r="A81" s="122" t="s">
        <v>109</v>
      </c>
      <c r="B81" s="123"/>
      <c r="C81" s="115"/>
      <c r="D81" s="116"/>
      <c r="E81" s="110"/>
      <c r="F81" s="117"/>
      <c r="G81" s="116"/>
      <c r="H81" s="116"/>
      <c r="I81" s="116"/>
      <c r="J81" s="116"/>
      <c r="K81" s="116"/>
      <c r="L81" s="116"/>
      <c r="M81" s="116"/>
    </row>
    <row r="82" ht="15.75" hidden="1" customHeight="1">
      <c r="A82" s="122" t="s">
        <v>110</v>
      </c>
      <c r="B82" s="123"/>
      <c r="C82" s="115"/>
      <c r="D82" s="116"/>
      <c r="E82" s="110"/>
      <c r="F82" s="117"/>
      <c r="G82" s="116"/>
      <c r="H82" s="116"/>
      <c r="I82" s="116"/>
      <c r="J82" s="116"/>
      <c r="K82" s="116"/>
      <c r="L82" s="116"/>
      <c r="M82" s="116"/>
    </row>
    <row r="83" ht="15.75" hidden="1" customHeight="1">
      <c r="A83" s="122" t="s">
        <v>111</v>
      </c>
      <c r="B83" s="123"/>
      <c r="C83" s="115"/>
      <c r="D83" s="116"/>
      <c r="E83" s="110"/>
      <c r="F83" s="117"/>
      <c r="G83" s="116"/>
      <c r="H83" s="116"/>
      <c r="I83" s="116"/>
      <c r="J83" s="116"/>
      <c r="K83" s="116"/>
      <c r="L83" s="116"/>
      <c r="M83" s="116"/>
    </row>
    <row r="84" ht="15.75" hidden="1" customHeight="1">
      <c r="A84" s="122" t="s">
        <v>112</v>
      </c>
      <c r="B84" s="123"/>
      <c r="C84" s="115"/>
      <c r="D84" s="116"/>
      <c r="E84" s="110"/>
      <c r="F84" s="117"/>
      <c r="G84" s="116"/>
      <c r="H84" s="116"/>
      <c r="I84" s="116"/>
      <c r="J84" s="116"/>
      <c r="K84" s="116"/>
      <c r="L84" s="116"/>
      <c r="M84" s="116"/>
    </row>
    <row r="85" ht="15.75" hidden="1" customHeight="1">
      <c r="A85" s="124" t="s">
        <v>127</v>
      </c>
      <c r="B85" s="123"/>
      <c r="C85" s="115"/>
      <c r="D85" s="116"/>
      <c r="E85" s="110"/>
      <c r="F85" s="117"/>
      <c r="G85" s="116"/>
      <c r="H85" s="116"/>
      <c r="I85" s="116"/>
      <c r="J85" s="116"/>
      <c r="K85" s="116"/>
      <c r="L85" s="116"/>
      <c r="M85" s="116"/>
    </row>
    <row r="86" ht="15.75" hidden="1" customHeight="1">
      <c r="A86" s="122" t="s">
        <v>109</v>
      </c>
      <c r="B86" s="123"/>
      <c r="C86" s="115"/>
      <c r="D86" s="116"/>
      <c r="E86" s="110"/>
      <c r="F86" s="117"/>
      <c r="G86" s="116"/>
      <c r="H86" s="116"/>
      <c r="I86" s="116"/>
      <c r="J86" s="116"/>
      <c r="K86" s="116"/>
      <c r="L86" s="116"/>
      <c r="M86" s="116"/>
    </row>
    <row r="87" ht="15.75" hidden="1" customHeight="1">
      <c r="A87" s="122" t="s">
        <v>110</v>
      </c>
      <c r="B87" s="123"/>
      <c r="C87" s="115"/>
      <c r="D87" s="116"/>
      <c r="E87" s="110"/>
      <c r="F87" s="117"/>
      <c r="G87" s="116"/>
      <c r="H87" s="116"/>
      <c r="I87" s="116"/>
      <c r="J87" s="116"/>
      <c r="K87" s="116"/>
      <c r="L87" s="116"/>
      <c r="M87" s="116"/>
    </row>
    <row r="88" ht="15.75" hidden="1" customHeight="1">
      <c r="A88" s="122" t="s">
        <v>111</v>
      </c>
      <c r="B88" s="123"/>
      <c r="C88" s="115"/>
      <c r="D88" s="116"/>
      <c r="E88" s="110"/>
      <c r="F88" s="117"/>
      <c r="G88" s="116"/>
      <c r="H88" s="116"/>
      <c r="I88" s="116"/>
      <c r="J88" s="116"/>
      <c r="K88" s="116"/>
      <c r="L88" s="116"/>
      <c r="M88" s="116"/>
    </row>
    <row r="89" ht="15.75" hidden="1" customHeight="1">
      <c r="A89" s="122" t="s">
        <v>112</v>
      </c>
      <c r="B89" s="123"/>
      <c r="C89" s="115"/>
      <c r="D89" s="116"/>
      <c r="E89" s="110"/>
      <c r="F89" s="117"/>
      <c r="G89" s="116"/>
      <c r="H89" s="116"/>
      <c r="I89" s="116"/>
      <c r="J89" s="116"/>
      <c r="K89" s="116"/>
      <c r="L89" s="116"/>
      <c r="M89" s="116"/>
    </row>
    <row r="90" ht="15.75" hidden="1" customHeight="1">
      <c r="A90" s="124" t="s">
        <v>128</v>
      </c>
      <c r="B90" s="123"/>
      <c r="C90" s="115"/>
      <c r="D90" s="116"/>
      <c r="E90" s="110"/>
      <c r="F90" s="117"/>
      <c r="G90" s="116"/>
      <c r="H90" s="116"/>
      <c r="I90" s="116"/>
      <c r="J90" s="116"/>
      <c r="K90" s="116"/>
      <c r="L90" s="116"/>
      <c r="M90" s="116"/>
    </row>
    <row r="91" ht="15.75" hidden="1" customHeight="1">
      <c r="A91" s="122" t="s">
        <v>109</v>
      </c>
      <c r="B91" s="123"/>
      <c r="C91" s="115"/>
      <c r="D91" s="116"/>
      <c r="E91" s="110"/>
      <c r="F91" s="117"/>
      <c r="G91" s="116"/>
      <c r="H91" s="116"/>
      <c r="I91" s="116"/>
      <c r="J91" s="116"/>
      <c r="K91" s="116"/>
      <c r="L91" s="116"/>
      <c r="M91" s="116"/>
    </row>
    <row r="92" ht="15.75" hidden="1" customHeight="1">
      <c r="A92" s="122" t="s">
        <v>110</v>
      </c>
      <c r="B92" s="123"/>
      <c r="C92" s="115"/>
      <c r="D92" s="116"/>
      <c r="E92" s="110"/>
      <c r="F92" s="117"/>
      <c r="G92" s="116"/>
      <c r="H92" s="116"/>
      <c r="I92" s="116"/>
      <c r="J92" s="116"/>
      <c r="K92" s="116"/>
      <c r="L92" s="116"/>
      <c r="M92" s="116"/>
    </row>
    <row r="93" ht="15.75" hidden="1" customHeight="1">
      <c r="A93" s="122" t="s">
        <v>111</v>
      </c>
      <c r="B93" s="123"/>
      <c r="C93" s="115"/>
      <c r="D93" s="116"/>
      <c r="E93" s="110"/>
      <c r="F93" s="117"/>
      <c r="G93" s="116"/>
      <c r="H93" s="116"/>
      <c r="I93" s="116"/>
      <c r="J93" s="116"/>
      <c r="K93" s="116"/>
      <c r="L93" s="116"/>
      <c r="M93" s="116"/>
    </row>
    <row r="94" ht="15.75" hidden="1" customHeight="1">
      <c r="A94" s="122" t="s">
        <v>112</v>
      </c>
      <c r="B94" s="123"/>
      <c r="C94" s="115"/>
      <c r="D94" s="116"/>
      <c r="E94" s="110"/>
      <c r="F94" s="117"/>
      <c r="G94" s="116"/>
      <c r="H94" s="116"/>
      <c r="I94" s="116"/>
      <c r="J94" s="116"/>
      <c r="K94" s="116"/>
      <c r="L94" s="116"/>
      <c r="M94" s="116"/>
    </row>
    <row r="95" ht="15.75" hidden="1" customHeight="1">
      <c r="A95" s="124" t="s">
        <v>129</v>
      </c>
      <c r="B95" s="123"/>
      <c r="C95" s="115"/>
      <c r="D95" s="116"/>
      <c r="E95" s="110"/>
      <c r="F95" s="117"/>
      <c r="G95" s="116"/>
      <c r="H95" s="116"/>
      <c r="I95" s="116"/>
      <c r="J95" s="116"/>
      <c r="K95" s="116"/>
      <c r="L95" s="116"/>
      <c r="M95" s="116"/>
    </row>
    <row r="96" ht="15.75" hidden="1" customHeight="1">
      <c r="A96" s="122" t="s">
        <v>109</v>
      </c>
      <c r="B96" s="123"/>
      <c r="C96" s="115"/>
      <c r="D96" s="116"/>
      <c r="E96" s="110"/>
      <c r="F96" s="117"/>
      <c r="G96" s="116"/>
      <c r="H96" s="116"/>
      <c r="I96" s="116"/>
      <c r="J96" s="116"/>
      <c r="K96" s="116"/>
      <c r="L96" s="116"/>
      <c r="M96" s="116"/>
    </row>
    <row r="97" ht="15.75" hidden="1" customHeight="1">
      <c r="A97" s="122" t="s">
        <v>110</v>
      </c>
      <c r="B97" s="123"/>
      <c r="C97" s="115"/>
      <c r="D97" s="116"/>
      <c r="E97" s="110"/>
      <c r="F97" s="117"/>
      <c r="G97" s="116"/>
      <c r="H97" s="116"/>
      <c r="I97" s="116"/>
      <c r="J97" s="116"/>
      <c r="K97" s="116"/>
      <c r="L97" s="116"/>
      <c r="M97" s="116"/>
    </row>
    <row r="98" ht="15.75" hidden="1" customHeight="1">
      <c r="A98" s="122" t="s">
        <v>111</v>
      </c>
      <c r="B98" s="123"/>
      <c r="C98" s="115"/>
      <c r="D98" s="116"/>
      <c r="E98" s="110"/>
      <c r="F98" s="117"/>
      <c r="G98" s="116"/>
      <c r="H98" s="116"/>
      <c r="I98" s="116"/>
      <c r="J98" s="116"/>
      <c r="K98" s="116"/>
      <c r="L98" s="116"/>
      <c r="M98" s="116"/>
    </row>
    <row r="99" ht="15.75" hidden="1" customHeight="1">
      <c r="A99" s="122" t="s">
        <v>112</v>
      </c>
      <c r="B99" s="123"/>
      <c r="C99" s="115"/>
      <c r="D99" s="116"/>
      <c r="E99" s="110"/>
      <c r="F99" s="117"/>
      <c r="G99" s="116"/>
      <c r="H99" s="116"/>
      <c r="I99" s="116"/>
      <c r="J99" s="116"/>
      <c r="K99" s="116"/>
      <c r="L99" s="116"/>
      <c r="M99" s="116"/>
    </row>
    <row r="100" ht="15.75" hidden="1" customHeight="1">
      <c r="A100" s="124" t="s">
        <v>130</v>
      </c>
      <c r="B100" s="123"/>
      <c r="C100" s="115"/>
      <c r="D100" s="116"/>
      <c r="E100" s="110"/>
      <c r="F100" s="117"/>
      <c r="G100" s="116"/>
      <c r="H100" s="116"/>
      <c r="I100" s="116"/>
      <c r="J100" s="116"/>
      <c r="K100" s="116"/>
      <c r="L100" s="116"/>
      <c r="M100" s="116"/>
    </row>
    <row r="101" ht="15.75" hidden="1" customHeight="1">
      <c r="A101" s="122" t="s">
        <v>109</v>
      </c>
      <c r="B101" s="123"/>
      <c r="C101" s="115"/>
      <c r="D101" s="116"/>
      <c r="E101" s="110"/>
      <c r="F101" s="117"/>
      <c r="G101" s="116"/>
      <c r="H101" s="116"/>
      <c r="I101" s="116"/>
      <c r="J101" s="116"/>
      <c r="K101" s="116"/>
      <c r="L101" s="116"/>
      <c r="M101" s="116"/>
    </row>
    <row r="102" ht="15.75" hidden="1" customHeight="1">
      <c r="A102" s="122" t="s">
        <v>110</v>
      </c>
      <c r="B102" s="123"/>
      <c r="C102" s="115"/>
      <c r="D102" s="116"/>
      <c r="E102" s="110"/>
      <c r="F102" s="117"/>
      <c r="G102" s="116"/>
      <c r="H102" s="116"/>
      <c r="I102" s="116"/>
      <c r="J102" s="116"/>
      <c r="K102" s="116"/>
      <c r="L102" s="116"/>
      <c r="M102" s="116"/>
    </row>
    <row r="103" ht="15.75" hidden="1" customHeight="1">
      <c r="A103" s="122" t="s">
        <v>111</v>
      </c>
      <c r="B103" s="123"/>
      <c r="C103" s="115"/>
      <c r="D103" s="116"/>
      <c r="E103" s="110"/>
      <c r="F103" s="117"/>
      <c r="G103" s="116"/>
      <c r="H103" s="116"/>
      <c r="I103" s="116"/>
      <c r="J103" s="116"/>
      <c r="K103" s="116"/>
      <c r="L103" s="116"/>
      <c r="M103" s="116"/>
    </row>
    <row r="104" ht="15.75" hidden="1" customHeight="1">
      <c r="A104" s="122" t="s">
        <v>112</v>
      </c>
      <c r="B104" s="123"/>
      <c r="C104" s="115"/>
      <c r="D104" s="116"/>
      <c r="E104" s="110"/>
      <c r="F104" s="117"/>
      <c r="G104" s="116"/>
      <c r="H104" s="116"/>
      <c r="I104" s="116"/>
      <c r="J104" s="116"/>
      <c r="K104" s="116"/>
      <c r="L104" s="116"/>
      <c r="M104" s="116"/>
    </row>
    <row r="105" ht="15.75" hidden="1" customHeight="1">
      <c r="A105" s="124"/>
      <c r="B105" s="123"/>
      <c r="C105" s="115"/>
      <c r="D105" s="116"/>
      <c r="E105" s="110"/>
      <c r="F105" s="117"/>
      <c r="G105" s="116"/>
      <c r="H105" s="116"/>
      <c r="I105" s="116"/>
      <c r="J105" s="116"/>
      <c r="K105" s="116"/>
      <c r="L105" s="116"/>
      <c r="M105" s="116"/>
    </row>
    <row r="106" ht="15.75" hidden="1" customHeight="1">
      <c r="A106" s="124" t="s">
        <v>131</v>
      </c>
      <c r="B106" s="123"/>
      <c r="C106" s="115"/>
      <c r="D106" s="116"/>
      <c r="E106" s="110"/>
      <c r="F106" s="117"/>
      <c r="G106" s="116"/>
      <c r="H106" s="116"/>
      <c r="I106" s="116"/>
      <c r="J106" s="116"/>
      <c r="K106" s="116"/>
      <c r="L106" s="116"/>
      <c r="M106" s="116"/>
    </row>
    <row r="107" ht="15.75" hidden="1" customHeight="1">
      <c r="A107" s="122" t="s">
        <v>109</v>
      </c>
      <c r="B107" s="123"/>
      <c r="C107" s="115"/>
      <c r="D107" s="116"/>
      <c r="E107" s="110"/>
      <c r="F107" s="117"/>
      <c r="G107" s="116"/>
      <c r="H107" s="116"/>
      <c r="I107" s="116"/>
      <c r="J107" s="116"/>
      <c r="K107" s="116"/>
      <c r="L107" s="116"/>
      <c r="M107" s="116"/>
    </row>
    <row r="108" ht="15.75" hidden="1" customHeight="1">
      <c r="A108" s="122" t="s">
        <v>110</v>
      </c>
      <c r="B108" s="123"/>
      <c r="C108" s="115"/>
      <c r="D108" s="116"/>
      <c r="E108" s="110"/>
      <c r="F108" s="117"/>
      <c r="G108" s="116"/>
      <c r="H108" s="116"/>
      <c r="I108" s="116"/>
      <c r="J108" s="116"/>
      <c r="K108" s="116"/>
      <c r="L108" s="116"/>
      <c r="M108" s="116"/>
    </row>
    <row r="109" ht="15.75" hidden="1" customHeight="1">
      <c r="A109" s="124" t="s">
        <v>124</v>
      </c>
      <c r="B109" s="123"/>
      <c r="C109" s="115"/>
      <c r="D109" s="116"/>
      <c r="E109" s="110"/>
      <c r="F109" s="117"/>
      <c r="G109" s="116"/>
      <c r="H109" s="116"/>
      <c r="I109" s="116"/>
      <c r="J109" s="116"/>
      <c r="K109" s="116"/>
      <c r="L109" s="116"/>
      <c r="M109" s="116"/>
    </row>
    <row r="110" ht="15.75" hidden="1" customHeight="1">
      <c r="A110" s="122" t="s">
        <v>109</v>
      </c>
      <c r="B110" s="123"/>
      <c r="C110" s="115"/>
      <c r="D110" s="116"/>
      <c r="E110" s="110"/>
      <c r="F110" s="117"/>
      <c r="G110" s="116"/>
      <c r="H110" s="116"/>
      <c r="I110" s="116"/>
      <c r="J110" s="116"/>
      <c r="K110" s="116"/>
      <c r="L110" s="116"/>
      <c r="M110" s="116"/>
    </row>
    <row r="111" ht="15.75" hidden="1" customHeight="1">
      <c r="A111" s="122" t="s">
        <v>110</v>
      </c>
      <c r="B111" s="123"/>
      <c r="C111" s="115"/>
      <c r="D111" s="116"/>
      <c r="E111" s="110"/>
      <c r="F111" s="117"/>
      <c r="G111" s="116"/>
      <c r="H111" s="116"/>
      <c r="I111" s="116"/>
      <c r="J111" s="116"/>
      <c r="K111" s="116"/>
      <c r="L111" s="116"/>
      <c r="M111" s="116"/>
    </row>
    <row r="112" ht="15.75" hidden="1" customHeight="1">
      <c r="A112" s="124" t="s">
        <v>125</v>
      </c>
      <c r="B112" s="123"/>
      <c r="C112" s="115"/>
      <c r="D112" s="116"/>
      <c r="E112" s="110"/>
      <c r="F112" s="117"/>
      <c r="G112" s="116"/>
      <c r="H112" s="116"/>
      <c r="I112" s="116"/>
      <c r="J112" s="116"/>
      <c r="K112" s="116"/>
      <c r="L112" s="116"/>
      <c r="M112" s="116"/>
    </row>
    <row r="113" ht="15.75" hidden="1" customHeight="1">
      <c r="A113" s="122" t="s">
        <v>109</v>
      </c>
      <c r="B113" s="123"/>
      <c r="C113" s="115"/>
      <c r="D113" s="116"/>
      <c r="E113" s="110"/>
      <c r="F113" s="117"/>
      <c r="G113" s="116"/>
      <c r="H113" s="116"/>
      <c r="I113" s="116"/>
      <c r="J113" s="116"/>
      <c r="K113" s="116"/>
      <c r="L113" s="116"/>
      <c r="M113" s="116"/>
    </row>
    <row r="114" ht="15.75" hidden="1" customHeight="1">
      <c r="A114" s="122" t="s">
        <v>110</v>
      </c>
      <c r="B114" s="123"/>
      <c r="C114" s="115"/>
      <c r="D114" s="116"/>
      <c r="E114" s="110"/>
      <c r="F114" s="117"/>
      <c r="G114" s="116"/>
      <c r="H114" s="116"/>
      <c r="I114" s="116"/>
      <c r="J114" s="116"/>
      <c r="K114" s="116"/>
      <c r="L114" s="116"/>
      <c r="M114" s="116"/>
    </row>
    <row r="115" ht="15.75" hidden="1" customHeight="1">
      <c r="A115" s="122"/>
      <c r="B115" s="123"/>
      <c r="C115" s="115"/>
      <c r="D115" s="116"/>
      <c r="E115" s="110"/>
      <c r="F115" s="117"/>
      <c r="G115" s="116"/>
      <c r="H115" s="116"/>
      <c r="I115" s="116"/>
      <c r="J115" s="116"/>
      <c r="K115" s="116"/>
      <c r="L115" s="116"/>
      <c r="M115" s="116"/>
    </row>
    <row r="116">
      <c r="A116" s="124" t="s">
        <v>132</v>
      </c>
      <c r="B116" s="123"/>
      <c r="C116" s="115"/>
      <c r="D116" s="116"/>
      <c r="E116" s="110"/>
      <c r="F116" s="117"/>
      <c r="G116" s="116"/>
      <c r="H116" s="116"/>
      <c r="I116" s="116"/>
      <c r="J116" s="116"/>
      <c r="K116" s="116"/>
      <c r="L116" s="116"/>
      <c r="M116" s="116"/>
    </row>
    <row r="117" ht="15.75" hidden="1" customHeight="1">
      <c r="A117" s="122" t="s">
        <v>109</v>
      </c>
      <c r="B117" s="123"/>
      <c r="C117" s="115"/>
      <c r="D117" s="116"/>
      <c r="E117" s="110"/>
      <c r="F117" s="117"/>
      <c r="G117" s="116"/>
      <c r="H117" s="116"/>
      <c r="I117" s="116"/>
      <c r="J117" s="116"/>
      <c r="K117" s="116"/>
      <c r="L117" s="116"/>
      <c r="M117" s="116"/>
    </row>
    <row r="118" ht="15.75" hidden="1" customHeight="1">
      <c r="A118" s="122" t="s">
        <v>110</v>
      </c>
      <c r="B118" s="123"/>
      <c r="C118" s="115"/>
      <c r="D118" s="116"/>
      <c r="E118" s="110"/>
      <c r="F118" s="117"/>
      <c r="G118" s="116"/>
      <c r="H118" s="116"/>
      <c r="I118" s="116"/>
      <c r="J118" s="116"/>
      <c r="K118" s="116"/>
      <c r="L118" s="116"/>
      <c r="M118" s="116"/>
    </row>
    <row r="119" ht="15.75" hidden="1" customHeight="1">
      <c r="A119" s="122" t="s">
        <v>111</v>
      </c>
      <c r="B119" s="123"/>
      <c r="C119" s="115"/>
      <c r="D119" s="116"/>
      <c r="E119" s="110"/>
      <c r="F119" s="117"/>
      <c r="G119" s="116"/>
      <c r="H119" s="116"/>
      <c r="I119" s="116"/>
      <c r="J119" s="116"/>
      <c r="K119" s="116"/>
      <c r="L119" s="116"/>
      <c r="M119" s="116"/>
    </row>
    <row r="120" ht="15.75" hidden="1" customHeight="1">
      <c r="A120" s="122" t="s">
        <v>112</v>
      </c>
      <c r="B120" s="123"/>
      <c r="C120" s="115"/>
      <c r="D120" s="116"/>
      <c r="E120" s="110"/>
      <c r="F120" s="117"/>
      <c r="G120" s="116"/>
      <c r="H120" s="116"/>
      <c r="I120" s="116"/>
      <c r="J120" s="116"/>
      <c r="K120" s="116"/>
      <c r="L120" s="116"/>
      <c r="M120" s="116"/>
    </row>
    <row r="121" ht="15.75" hidden="1" customHeight="1">
      <c r="A121" s="124" t="s">
        <v>133</v>
      </c>
      <c r="B121" s="123"/>
      <c r="C121" s="115"/>
      <c r="D121" s="116"/>
      <c r="E121" s="110"/>
      <c r="F121" s="117"/>
      <c r="G121" s="116"/>
      <c r="H121" s="116"/>
      <c r="I121" s="116"/>
      <c r="J121" s="116"/>
      <c r="K121" s="116"/>
      <c r="L121" s="116"/>
      <c r="M121" s="116"/>
    </row>
    <row r="122" ht="15.75" hidden="1" customHeight="1">
      <c r="A122" s="122" t="s">
        <v>109</v>
      </c>
      <c r="B122" s="123"/>
      <c r="C122" s="115"/>
      <c r="D122" s="116"/>
      <c r="E122" s="110"/>
      <c r="F122" s="117"/>
      <c r="G122" s="116"/>
      <c r="H122" s="116"/>
      <c r="I122" s="116"/>
      <c r="J122" s="116"/>
      <c r="K122" s="116"/>
      <c r="L122" s="116"/>
      <c r="M122" s="116"/>
    </row>
    <row r="123" ht="15.75" hidden="1" customHeight="1">
      <c r="A123" s="122" t="s">
        <v>110</v>
      </c>
      <c r="B123" s="123"/>
      <c r="C123" s="115"/>
      <c r="D123" s="116"/>
      <c r="E123" s="110"/>
      <c r="F123" s="117"/>
      <c r="G123" s="116"/>
      <c r="H123" s="116"/>
      <c r="I123" s="116"/>
      <c r="J123" s="116"/>
      <c r="K123" s="116"/>
      <c r="L123" s="116"/>
      <c r="M123" s="116"/>
    </row>
    <row r="124" ht="15.75" hidden="1" customHeight="1">
      <c r="A124" s="122" t="s">
        <v>111</v>
      </c>
      <c r="B124" s="123"/>
      <c r="C124" s="115"/>
      <c r="D124" s="116"/>
      <c r="E124" s="110"/>
      <c r="F124" s="117"/>
      <c r="G124" s="116"/>
      <c r="H124" s="116"/>
      <c r="I124" s="116"/>
      <c r="J124" s="116"/>
      <c r="K124" s="116"/>
      <c r="L124" s="116"/>
      <c r="M124" s="116"/>
    </row>
    <row r="125" ht="15.75" hidden="1" customHeight="1">
      <c r="A125" s="122" t="s">
        <v>112</v>
      </c>
      <c r="B125" s="123"/>
      <c r="C125" s="115"/>
      <c r="D125" s="116"/>
      <c r="E125" s="110"/>
      <c r="F125" s="117"/>
      <c r="G125" s="116"/>
      <c r="H125" s="116"/>
      <c r="I125" s="116"/>
      <c r="J125" s="116"/>
      <c r="K125" s="116"/>
      <c r="L125" s="116"/>
      <c r="M125" s="116"/>
    </row>
    <row r="126" ht="15.75" hidden="1" customHeight="1">
      <c r="A126" s="124" t="s">
        <v>126</v>
      </c>
      <c r="B126" s="123"/>
      <c r="C126" s="115"/>
      <c r="D126" s="116"/>
      <c r="E126" s="110"/>
      <c r="F126" s="117"/>
      <c r="G126" s="116"/>
      <c r="H126" s="116"/>
      <c r="I126" s="116"/>
      <c r="J126" s="116"/>
      <c r="K126" s="116"/>
      <c r="L126" s="116"/>
      <c r="M126" s="116"/>
    </row>
    <row r="127" ht="15.75" hidden="1" customHeight="1">
      <c r="A127" s="122" t="s">
        <v>109</v>
      </c>
      <c r="B127" s="123"/>
      <c r="C127" s="115"/>
      <c r="D127" s="116"/>
      <c r="E127" s="110"/>
      <c r="F127" s="117"/>
      <c r="G127" s="116"/>
      <c r="H127" s="116"/>
      <c r="I127" s="116"/>
      <c r="J127" s="116"/>
      <c r="K127" s="116"/>
      <c r="L127" s="116"/>
      <c r="M127" s="116"/>
    </row>
    <row r="128" ht="15.75" hidden="1" customHeight="1">
      <c r="A128" s="122" t="s">
        <v>110</v>
      </c>
      <c r="B128" s="123"/>
      <c r="C128" s="115"/>
      <c r="D128" s="116"/>
      <c r="E128" s="110"/>
      <c r="F128" s="117"/>
      <c r="G128" s="116"/>
      <c r="H128" s="116"/>
      <c r="I128" s="116"/>
      <c r="J128" s="116"/>
      <c r="K128" s="116"/>
      <c r="L128" s="116"/>
      <c r="M128" s="116"/>
    </row>
    <row r="129" ht="15.75" hidden="1" customHeight="1">
      <c r="A129" s="122" t="s">
        <v>111</v>
      </c>
      <c r="B129" s="123"/>
      <c r="C129" s="115"/>
      <c r="D129" s="116"/>
      <c r="E129" s="110"/>
      <c r="F129" s="117"/>
      <c r="G129" s="116"/>
      <c r="H129" s="116"/>
      <c r="I129" s="116"/>
      <c r="J129" s="116"/>
      <c r="K129" s="116"/>
      <c r="L129" s="116"/>
      <c r="M129" s="116"/>
    </row>
    <row r="130" ht="15.75" hidden="1" customHeight="1">
      <c r="A130" s="122" t="s">
        <v>112</v>
      </c>
      <c r="B130" s="123"/>
      <c r="C130" s="115"/>
      <c r="D130" s="116"/>
      <c r="E130" s="110"/>
      <c r="F130" s="117"/>
      <c r="G130" s="116"/>
      <c r="H130" s="116"/>
      <c r="I130" s="116"/>
      <c r="J130" s="116"/>
      <c r="K130" s="116"/>
      <c r="L130" s="116"/>
      <c r="M130" s="116"/>
    </row>
    <row r="131" ht="15.75" hidden="1" customHeight="1">
      <c r="A131" s="124" t="s">
        <v>134</v>
      </c>
      <c r="B131" s="123"/>
      <c r="C131" s="115"/>
      <c r="D131" s="116"/>
      <c r="E131" s="110"/>
      <c r="F131" s="117"/>
      <c r="G131" s="116"/>
      <c r="H131" s="116"/>
      <c r="I131" s="116"/>
      <c r="J131" s="116"/>
      <c r="K131" s="116"/>
      <c r="L131" s="116"/>
      <c r="M131" s="116"/>
    </row>
    <row r="132" ht="15.75" hidden="1" customHeight="1">
      <c r="A132" s="122" t="s">
        <v>109</v>
      </c>
      <c r="B132" s="123"/>
      <c r="C132" s="115"/>
      <c r="D132" s="116"/>
      <c r="E132" s="110"/>
      <c r="F132" s="117"/>
      <c r="G132" s="116"/>
      <c r="H132" s="116"/>
      <c r="I132" s="116"/>
      <c r="J132" s="116"/>
      <c r="K132" s="116"/>
      <c r="L132" s="116"/>
      <c r="M132" s="116"/>
    </row>
    <row r="133" ht="15.75" hidden="1" customHeight="1">
      <c r="A133" s="122" t="s">
        <v>110</v>
      </c>
      <c r="B133" s="123"/>
      <c r="C133" s="115"/>
      <c r="D133" s="116"/>
      <c r="E133" s="110"/>
      <c r="F133" s="117"/>
      <c r="G133" s="116"/>
      <c r="H133" s="116"/>
      <c r="I133" s="116"/>
      <c r="J133" s="116"/>
      <c r="K133" s="116"/>
      <c r="L133" s="116"/>
      <c r="M133" s="116"/>
    </row>
    <row r="134" ht="15.75" hidden="1" customHeight="1">
      <c r="A134" s="122" t="s">
        <v>111</v>
      </c>
      <c r="B134" s="123"/>
      <c r="C134" s="115"/>
      <c r="D134" s="116"/>
      <c r="E134" s="110"/>
      <c r="F134" s="117"/>
      <c r="G134" s="116"/>
      <c r="H134" s="116"/>
      <c r="I134" s="116"/>
      <c r="J134" s="116"/>
      <c r="K134" s="116"/>
      <c r="L134" s="116"/>
      <c r="M134" s="116"/>
    </row>
    <row r="135" ht="15.75" hidden="1" customHeight="1">
      <c r="A135" s="122" t="s">
        <v>112</v>
      </c>
      <c r="B135" s="123"/>
      <c r="C135" s="115"/>
      <c r="D135" s="116"/>
      <c r="E135" s="110"/>
      <c r="F135" s="117"/>
      <c r="G135" s="116"/>
      <c r="H135" s="116"/>
      <c r="I135" s="116"/>
      <c r="J135" s="116"/>
      <c r="K135" s="116"/>
      <c r="L135" s="116"/>
      <c r="M135" s="116"/>
    </row>
    <row r="136" ht="15.75" hidden="1" customHeight="1">
      <c r="A136" s="124" t="s">
        <v>135</v>
      </c>
      <c r="B136" s="123"/>
      <c r="C136" s="115"/>
      <c r="D136" s="116"/>
      <c r="E136" s="110"/>
      <c r="F136" s="117"/>
      <c r="G136" s="116"/>
      <c r="H136" s="116"/>
      <c r="I136" s="116"/>
      <c r="J136" s="116"/>
      <c r="K136" s="116"/>
      <c r="L136" s="116"/>
      <c r="M136" s="116"/>
    </row>
    <row r="137" ht="15.75" hidden="1" customHeight="1">
      <c r="A137" s="122" t="s">
        <v>109</v>
      </c>
      <c r="B137" s="123"/>
      <c r="C137" s="115"/>
      <c r="D137" s="116"/>
      <c r="E137" s="110"/>
      <c r="F137" s="117"/>
      <c r="G137" s="116"/>
      <c r="H137" s="116"/>
      <c r="I137" s="116"/>
      <c r="J137" s="116"/>
      <c r="K137" s="116"/>
      <c r="L137" s="116"/>
      <c r="M137" s="116"/>
    </row>
    <row r="138" ht="15.75" hidden="1" customHeight="1">
      <c r="A138" s="122" t="s">
        <v>110</v>
      </c>
      <c r="B138" s="123"/>
      <c r="C138" s="115"/>
      <c r="D138" s="116"/>
      <c r="E138" s="110"/>
      <c r="F138" s="117"/>
      <c r="G138" s="116"/>
      <c r="H138" s="116"/>
      <c r="I138" s="116"/>
      <c r="J138" s="116"/>
      <c r="K138" s="116"/>
      <c r="L138" s="116"/>
      <c r="M138" s="116"/>
    </row>
    <row r="139" ht="15.75" hidden="1" customHeight="1">
      <c r="A139" s="122" t="s">
        <v>111</v>
      </c>
      <c r="B139" s="123"/>
      <c r="C139" s="115"/>
      <c r="D139" s="116"/>
      <c r="E139" s="110"/>
      <c r="F139" s="117"/>
      <c r="G139" s="116"/>
      <c r="H139" s="116"/>
      <c r="I139" s="116"/>
      <c r="J139" s="116"/>
      <c r="K139" s="116"/>
      <c r="L139" s="116"/>
      <c r="M139" s="116"/>
    </row>
    <row r="140" ht="15.75" hidden="1" customHeight="1">
      <c r="A140" s="122" t="s">
        <v>112</v>
      </c>
      <c r="B140" s="123"/>
      <c r="C140" s="115"/>
      <c r="D140" s="116"/>
      <c r="E140" s="110"/>
      <c r="F140" s="117"/>
      <c r="G140" s="116"/>
      <c r="H140" s="116"/>
      <c r="I140" s="116"/>
      <c r="J140" s="116"/>
      <c r="K140" s="116"/>
      <c r="L140" s="116"/>
      <c r="M140" s="116"/>
    </row>
    <row r="141" ht="15.75" hidden="1" customHeight="1">
      <c r="A141" s="124" t="s">
        <v>136</v>
      </c>
      <c r="B141" s="123"/>
      <c r="C141" s="115"/>
      <c r="D141" s="116"/>
      <c r="E141" s="110"/>
      <c r="F141" s="117"/>
      <c r="G141" s="116"/>
      <c r="H141" s="116"/>
      <c r="I141" s="116"/>
      <c r="J141" s="116"/>
      <c r="K141" s="116"/>
      <c r="L141" s="116"/>
      <c r="M141" s="116"/>
    </row>
    <row r="142" ht="15.75" hidden="1" customHeight="1">
      <c r="A142" s="122" t="s">
        <v>109</v>
      </c>
      <c r="B142" s="123"/>
      <c r="C142" s="115"/>
      <c r="D142" s="116"/>
      <c r="E142" s="110"/>
      <c r="F142" s="117"/>
      <c r="G142" s="116"/>
      <c r="H142" s="116"/>
      <c r="I142" s="116"/>
      <c r="J142" s="116"/>
      <c r="K142" s="116"/>
      <c r="L142" s="116"/>
      <c r="M142" s="116"/>
    </row>
    <row r="143" ht="15.75" hidden="1" customHeight="1">
      <c r="A143" s="122" t="s">
        <v>110</v>
      </c>
      <c r="B143" s="123"/>
      <c r="C143" s="115"/>
      <c r="D143" s="116"/>
      <c r="E143" s="110"/>
      <c r="F143" s="117"/>
      <c r="G143" s="116"/>
      <c r="H143" s="116"/>
      <c r="I143" s="116"/>
      <c r="J143" s="116"/>
      <c r="K143" s="116"/>
      <c r="L143" s="116"/>
      <c r="M143" s="116"/>
    </row>
    <row r="144" ht="15.75" hidden="1" customHeight="1">
      <c r="A144" s="122" t="s">
        <v>111</v>
      </c>
      <c r="B144" s="123"/>
      <c r="C144" s="115"/>
      <c r="D144" s="116"/>
      <c r="E144" s="110"/>
      <c r="F144" s="117"/>
      <c r="G144" s="116"/>
      <c r="H144" s="116"/>
      <c r="I144" s="116"/>
      <c r="J144" s="116"/>
      <c r="K144" s="116"/>
      <c r="L144" s="116"/>
      <c r="M144" s="116"/>
    </row>
    <row r="145" ht="15.75" hidden="1" customHeight="1">
      <c r="A145" s="122" t="s">
        <v>112</v>
      </c>
      <c r="B145" s="123"/>
      <c r="C145" s="115"/>
      <c r="D145" s="116"/>
      <c r="E145" s="110"/>
      <c r="F145" s="117"/>
      <c r="G145" s="116"/>
      <c r="H145" s="116"/>
      <c r="I145" s="116"/>
      <c r="J145" s="116"/>
      <c r="K145" s="116"/>
      <c r="L145" s="116"/>
      <c r="M145" s="116"/>
    </row>
    <row r="146" ht="15.75" hidden="1" customHeight="1">
      <c r="A146" s="124" t="s">
        <v>137</v>
      </c>
      <c r="B146" s="123"/>
      <c r="C146" s="115"/>
      <c r="D146" s="116"/>
      <c r="E146" s="110"/>
      <c r="F146" s="117"/>
      <c r="G146" s="116"/>
      <c r="H146" s="116"/>
      <c r="I146" s="116"/>
      <c r="J146" s="116"/>
      <c r="K146" s="116"/>
      <c r="L146" s="116"/>
      <c r="M146" s="116"/>
    </row>
    <row r="147" ht="15.75" hidden="1" customHeight="1">
      <c r="A147" s="122" t="s">
        <v>109</v>
      </c>
      <c r="B147" s="123"/>
      <c r="C147" s="115"/>
      <c r="D147" s="116"/>
      <c r="E147" s="110"/>
      <c r="F147" s="117"/>
      <c r="G147" s="116"/>
      <c r="H147" s="116"/>
      <c r="I147" s="116"/>
      <c r="J147" s="116"/>
      <c r="K147" s="116"/>
      <c r="L147" s="116"/>
      <c r="M147" s="116"/>
    </row>
    <row r="148" ht="15.75" hidden="1" customHeight="1">
      <c r="A148" s="122" t="s">
        <v>110</v>
      </c>
      <c r="B148" s="123"/>
      <c r="C148" s="115"/>
      <c r="D148" s="116"/>
      <c r="E148" s="110"/>
      <c r="F148" s="117"/>
      <c r="G148" s="116"/>
      <c r="H148" s="116"/>
      <c r="I148" s="116"/>
      <c r="J148" s="116"/>
      <c r="K148" s="116"/>
      <c r="L148" s="116"/>
      <c r="M148" s="116"/>
    </row>
    <row r="149" ht="15.75" hidden="1" customHeight="1">
      <c r="A149" s="122" t="s">
        <v>111</v>
      </c>
      <c r="B149" s="123"/>
      <c r="C149" s="115"/>
      <c r="D149" s="116"/>
      <c r="E149" s="110"/>
      <c r="F149" s="117"/>
      <c r="G149" s="116"/>
      <c r="H149" s="116"/>
      <c r="I149" s="116"/>
      <c r="J149" s="116"/>
      <c r="K149" s="116"/>
      <c r="L149" s="116"/>
      <c r="M149" s="116"/>
    </row>
    <row r="150" ht="15.75" hidden="1" customHeight="1">
      <c r="A150" s="122" t="s">
        <v>112</v>
      </c>
      <c r="B150" s="123"/>
      <c r="C150" s="115"/>
      <c r="D150" s="116"/>
      <c r="E150" s="110"/>
      <c r="F150" s="117"/>
      <c r="G150" s="116"/>
      <c r="H150" s="116"/>
      <c r="I150" s="116"/>
      <c r="J150" s="116"/>
      <c r="K150" s="116"/>
      <c r="L150" s="116"/>
      <c r="M150" s="116"/>
    </row>
    <row r="151" ht="15.75" hidden="1" customHeight="1">
      <c r="A151" s="124" t="s">
        <v>138</v>
      </c>
      <c r="B151" s="123"/>
      <c r="C151" s="115"/>
      <c r="D151" s="116"/>
      <c r="E151" s="110"/>
      <c r="F151" s="117"/>
      <c r="G151" s="116"/>
      <c r="H151" s="116"/>
      <c r="I151" s="116"/>
      <c r="J151" s="116"/>
      <c r="K151" s="116"/>
      <c r="L151" s="116"/>
      <c r="M151" s="116"/>
    </row>
    <row r="152" ht="15.75" hidden="1" customHeight="1">
      <c r="A152" s="122" t="s">
        <v>109</v>
      </c>
      <c r="B152" s="123"/>
      <c r="C152" s="115"/>
      <c r="D152" s="116"/>
      <c r="E152" s="110"/>
      <c r="F152" s="117"/>
      <c r="G152" s="116"/>
      <c r="H152" s="116"/>
      <c r="I152" s="116"/>
      <c r="J152" s="116"/>
      <c r="K152" s="116"/>
      <c r="L152" s="116"/>
      <c r="M152" s="116"/>
    </row>
    <row r="153" ht="15.75" hidden="1" customHeight="1">
      <c r="A153" s="122" t="s">
        <v>110</v>
      </c>
      <c r="B153" s="123"/>
      <c r="C153" s="115"/>
      <c r="D153" s="116"/>
      <c r="E153" s="110"/>
      <c r="F153" s="117"/>
      <c r="G153" s="116"/>
      <c r="H153" s="116"/>
      <c r="I153" s="116"/>
      <c r="J153" s="116"/>
      <c r="K153" s="116"/>
      <c r="L153" s="116"/>
      <c r="M153" s="116"/>
    </row>
    <row r="154" ht="15.75" hidden="1" customHeight="1">
      <c r="A154" s="122" t="s">
        <v>111</v>
      </c>
      <c r="B154" s="123"/>
      <c r="C154" s="115"/>
      <c r="D154" s="116"/>
      <c r="E154" s="110"/>
      <c r="F154" s="117"/>
      <c r="G154" s="116"/>
      <c r="H154" s="116"/>
      <c r="I154" s="116"/>
      <c r="J154" s="116"/>
      <c r="K154" s="116"/>
      <c r="L154" s="116"/>
      <c r="M154" s="116"/>
    </row>
    <row r="155" ht="15.75" hidden="1" customHeight="1">
      <c r="A155" s="122" t="s">
        <v>112</v>
      </c>
      <c r="B155" s="123"/>
      <c r="C155" s="115"/>
      <c r="D155" s="116"/>
      <c r="E155" s="110"/>
      <c r="F155" s="117"/>
      <c r="G155" s="116"/>
      <c r="H155" s="116"/>
      <c r="I155" s="116"/>
      <c r="J155" s="116"/>
      <c r="K155" s="116"/>
      <c r="L155" s="116"/>
      <c r="M155" s="116"/>
    </row>
    <row r="156" ht="15.75" hidden="1" customHeight="1">
      <c r="A156" s="124" t="s">
        <v>139</v>
      </c>
      <c r="B156" s="123"/>
      <c r="C156" s="115"/>
      <c r="D156" s="116"/>
      <c r="E156" s="110"/>
      <c r="F156" s="117"/>
      <c r="G156" s="116"/>
      <c r="H156" s="116"/>
      <c r="I156" s="116"/>
      <c r="J156" s="116"/>
      <c r="K156" s="116"/>
      <c r="L156" s="116"/>
      <c r="M156" s="116"/>
    </row>
    <row r="157" ht="15.75" hidden="1" customHeight="1">
      <c r="A157" s="122" t="s">
        <v>109</v>
      </c>
      <c r="B157" s="123"/>
      <c r="C157" s="115"/>
      <c r="D157" s="116"/>
      <c r="E157" s="110"/>
      <c r="F157" s="117"/>
      <c r="G157" s="116"/>
      <c r="H157" s="116"/>
      <c r="I157" s="116"/>
      <c r="J157" s="116"/>
      <c r="K157" s="116"/>
      <c r="L157" s="116"/>
      <c r="M157" s="116"/>
    </row>
    <row r="158" ht="15.75" hidden="1" customHeight="1">
      <c r="A158" s="122" t="s">
        <v>110</v>
      </c>
      <c r="B158" s="123"/>
      <c r="C158" s="115"/>
      <c r="D158" s="116"/>
      <c r="E158" s="110"/>
      <c r="F158" s="117"/>
      <c r="G158" s="116"/>
      <c r="H158" s="116"/>
      <c r="I158" s="116"/>
      <c r="J158" s="116"/>
      <c r="K158" s="116"/>
      <c r="L158" s="116"/>
      <c r="M158" s="116"/>
    </row>
    <row r="159" ht="15.75" hidden="1" customHeight="1">
      <c r="A159" s="122" t="s">
        <v>111</v>
      </c>
      <c r="B159" s="123"/>
      <c r="C159" s="115"/>
      <c r="D159" s="116"/>
      <c r="E159" s="110"/>
      <c r="F159" s="117"/>
      <c r="G159" s="116"/>
      <c r="H159" s="116"/>
      <c r="I159" s="116"/>
      <c r="J159" s="116"/>
      <c r="K159" s="116"/>
      <c r="L159" s="116"/>
      <c r="M159" s="116"/>
    </row>
    <row r="160" ht="15.75" hidden="1" customHeight="1">
      <c r="A160" s="122" t="s">
        <v>112</v>
      </c>
      <c r="B160" s="123"/>
      <c r="C160" s="115"/>
      <c r="D160" s="116"/>
      <c r="E160" s="110"/>
      <c r="F160" s="117"/>
      <c r="G160" s="116"/>
      <c r="H160" s="116"/>
      <c r="I160" s="116"/>
      <c r="J160" s="116"/>
      <c r="K160" s="116"/>
      <c r="L160" s="116"/>
      <c r="M160" s="116"/>
    </row>
    <row r="161" ht="15.75" hidden="1" customHeight="1">
      <c r="A161" s="124" t="s">
        <v>140</v>
      </c>
      <c r="B161" s="123"/>
      <c r="C161" s="115"/>
      <c r="D161" s="116"/>
      <c r="E161" s="110"/>
      <c r="F161" s="117"/>
      <c r="G161" s="116"/>
      <c r="H161" s="116"/>
      <c r="I161" s="116"/>
      <c r="J161" s="116"/>
      <c r="K161" s="116"/>
      <c r="L161" s="116"/>
      <c r="M161" s="116"/>
    </row>
    <row r="162" ht="15.75" hidden="1" customHeight="1">
      <c r="A162" s="122" t="s">
        <v>109</v>
      </c>
      <c r="B162" s="123"/>
      <c r="C162" s="115"/>
      <c r="D162" s="116"/>
      <c r="E162" s="110"/>
      <c r="F162" s="117"/>
      <c r="G162" s="116"/>
      <c r="H162" s="116"/>
      <c r="I162" s="116"/>
      <c r="J162" s="116"/>
      <c r="K162" s="116"/>
      <c r="L162" s="116"/>
      <c r="M162" s="116"/>
    </row>
    <row r="163" ht="15.75" hidden="1" customHeight="1">
      <c r="A163" s="122" t="s">
        <v>110</v>
      </c>
      <c r="B163" s="123"/>
      <c r="C163" s="115"/>
      <c r="D163" s="116"/>
      <c r="E163" s="110"/>
      <c r="F163" s="117"/>
      <c r="G163" s="116"/>
      <c r="H163" s="116"/>
      <c r="I163" s="116"/>
      <c r="J163" s="116"/>
      <c r="K163" s="116"/>
      <c r="L163" s="116"/>
      <c r="M163" s="116"/>
    </row>
    <row r="164" ht="15.75" hidden="1" customHeight="1">
      <c r="A164" s="122" t="s">
        <v>111</v>
      </c>
      <c r="B164" s="123"/>
      <c r="C164" s="115"/>
      <c r="D164" s="116"/>
      <c r="E164" s="110"/>
      <c r="F164" s="117"/>
      <c r="G164" s="116"/>
      <c r="H164" s="116"/>
      <c r="I164" s="116"/>
      <c r="J164" s="116"/>
      <c r="K164" s="116"/>
      <c r="L164" s="116"/>
      <c r="M164" s="116"/>
    </row>
    <row r="165" ht="15.75" hidden="1" customHeight="1">
      <c r="A165" s="122" t="s">
        <v>112</v>
      </c>
      <c r="B165" s="123"/>
      <c r="C165" s="115"/>
      <c r="D165" s="116"/>
      <c r="E165" s="110"/>
      <c r="F165" s="117"/>
      <c r="G165" s="116"/>
      <c r="H165" s="116"/>
      <c r="I165" s="116"/>
      <c r="J165" s="116"/>
      <c r="K165" s="116"/>
      <c r="L165" s="116"/>
      <c r="M165" s="116"/>
    </row>
    <row r="166" ht="15.75" hidden="1" customHeight="1">
      <c r="A166" s="124" t="s">
        <v>141</v>
      </c>
      <c r="B166" s="123"/>
      <c r="C166" s="115"/>
      <c r="D166" s="116"/>
      <c r="E166" s="110"/>
      <c r="F166" s="117"/>
      <c r="G166" s="116"/>
      <c r="H166" s="116"/>
      <c r="I166" s="116"/>
      <c r="J166" s="116"/>
      <c r="K166" s="116"/>
      <c r="L166" s="116"/>
      <c r="M166" s="116"/>
    </row>
    <row r="167" ht="15.75" hidden="1" customHeight="1">
      <c r="A167" s="122" t="s">
        <v>109</v>
      </c>
      <c r="B167" s="123"/>
      <c r="C167" s="115"/>
      <c r="D167" s="116"/>
      <c r="E167" s="110"/>
      <c r="F167" s="117"/>
      <c r="G167" s="116"/>
      <c r="H167" s="116"/>
      <c r="I167" s="116"/>
      <c r="J167" s="116"/>
      <c r="K167" s="116"/>
      <c r="L167" s="116"/>
      <c r="M167" s="116"/>
    </row>
    <row r="168" ht="15.75" hidden="1" customHeight="1">
      <c r="A168" s="122" t="s">
        <v>110</v>
      </c>
      <c r="B168" s="123"/>
      <c r="C168" s="115"/>
      <c r="D168" s="116"/>
      <c r="E168" s="110"/>
      <c r="F168" s="117"/>
      <c r="G168" s="116"/>
      <c r="H168" s="116"/>
      <c r="I168" s="116"/>
      <c r="J168" s="116"/>
      <c r="K168" s="116"/>
      <c r="L168" s="116"/>
      <c r="M168" s="116"/>
    </row>
    <row r="169" ht="15.75" hidden="1" customHeight="1">
      <c r="A169" s="122" t="s">
        <v>111</v>
      </c>
      <c r="B169" s="123"/>
      <c r="C169" s="115"/>
      <c r="D169" s="116"/>
      <c r="E169" s="110"/>
      <c r="F169" s="117"/>
      <c r="G169" s="116"/>
      <c r="H169" s="116"/>
      <c r="I169" s="116"/>
      <c r="J169" s="116"/>
      <c r="K169" s="116"/>
      <c r="L169" s="116"/>
      <c r="M169" s="116"/>
    </row>
    <row r="170" ht="15.75" hidden="1" customHeight="1">
      <c r="A170" s="122" t="s">
        <v>112</v>
      </c>
      <c r="B170" s="123"/>
      <c r="C170" s="115"/>
      <c r="D170" s="116"/>
      <c r="E170" s="110"/>
      <c r="F170" s="117"/>
      <c r="G170" s="116"/>
      <c r="H170" s="116"/>
      <c r="I170" s="116"/>
      <c r="J170" s="116"/>
      <c r="K170" s="116"/>
      <c r="L170" s="116"/>
      <c r="M170" s="116"/>
    </row>
    <row r="171" ht="15.75" hidden="1" customHeight="1">
      <c r="A171" s="124" t="s">
        <v>142</v>
      </c>
      <c r="B171" s="123"/>
      <c r="C171" s="115"/>
      <c r="D171" s="116"/>
      <c r="E171" s="110"/>
      <c r="F171" s="117"/>
      <c r="G171" s="116"/>
      <c r="H171" s="116"/>
      <c r="I171" s="116"/>
      <c r="J171" s="116"/>
      <c r="K171" s="116"/>
      <c r="L171" s="116"/>
      <c r="M171" s="116"/>
    </row>
    <row r="172" ht="15.75" hidden="1" customHeight="1">
      <c r="A172" s="122" t="s">
        <v>109</v>
      </c>
      <c r="B172" s="123"/>
      <c r="C172" s="115"/>
      <c r="D172" s="116"/>
      <c r="E172" s="110"/>
      <c r="F172" s="117"/>
      <c r="G172" s="116"/>
      <c r="H172" s="116"/>
      <c r="I172" s="116"/>
      <c r="J172" s="116"/>
      <c r="K172" s="116"/>
      <c r="L172" s="116"/>
      <c r="M172" s="116"/>
    </row>
    <row r="173" ht="15.75" hidden="1" customHeight="1">
      <c r="A173" s="122" t="s">
        <v>110</v>
      </c>
      <c r="B173" s="123"/>
      <c r="C173" s="115"/>
      <c r="D173" s="116"/>
      <c r="E173" s="110"/>
      <c r="F173" s="117"/>
      <c r="G173" s="116"/>
      <c r="H173" s="116"/>
      <c r="I173" s="116"/>
      <c r="J173" s="116"/>
      <c r="K173" s="116"/>
      <c r="L173" s="116"/>
      <c r="M173" s="116"/>
    </row>
    <row r="174" ht="15.75" hidden="1" customHeight="1">
      <c r="A174" s="122" t="s">
        <v>111</v>
      </c>
      <c r="B174" s="123"/>
      <c r="C174" s="115"/>
      <c r="D174" s="116"/>
      <c r="E174" s="110"/>
      <c r="F174" s="117"/>
      <c r="G174" s="116"/>
      <c r="H174" s="116"/>
      <c r="I174" s="116"/>
      <c r="J174" s="116"/>
      <c r="K174" s="116"/>
      <c r="L174" s="116"/>
      <c r="M174" s="116"/>
    </row>
    <row r="175" ht="15.75" hidden="1" customHeight="1">
      <c r="A175" s="122" t="s">
        <v>112</v>
      </c>
      <c r="B175" s="123"/>
      <c r="C175" s="115"/>
      <c r="D175" s="116"/>
      <c r="E175" s="110"/>
      <c r="F175" s="117"/>
      <c r="G175" s="116"/>
      <c r="H175" s="116"/>
      <c r="I175" s="116"/>
      <c r="J175" s="116"/>
      <c r="K175" s="116"/>
      <c r="L175" s="116"/>
      <c r="M175" s="116"/>
    </row>
    <row r="176" ht="15.75" hidden="1" customHeight="1">
      <c r="A176" s="124" t="s">
        <v>143</v>
      </c>
      <c r="B176" s="123"/>
      <c r="C176" s="115"/>
      <c r="D176" s="116"/>
      <c r="E176" s="110"/>
      <c r="F176" s="117"/>
      <c r="G176" s="116"/>
      <c r="H176" s="116"/>
      <c r="I176" s="116"/>
      <c r="J176" s="116"/>
      <c r="K176" s="116"/>
      <c r="L176" s="116"/>
      <c r="M176" s="116"/>
    </row>
    <row r="177" ht="15.75" hidden="1" customHeight="1">
      <c r="A177" s="122" t="s">
        <v>109</v>
      </c>
      <c r="B177" s="123"/>
      <c r="C177" s="115"/>
      <c r="D177" s="116"/>
      <c r="E177" s="110"/>
      <c r="F177" s="117"/>
      <c r="G177" s="116"/>
      <c r="H177" s="116"/>
      <c r="I177" s="116"/>
      <c r="J177" s="116"/>
      <c r="K177" s="116"/>
      <c r="L177" s="116"/>
      <c r="M177" s="116"/>
    </row>
    <row r="178" ht="15.75" hidden="1" customHeight="1">
      <c r="A178" s="122" t="s">
        <v>110</v>
      </c>
      <c r="B178" s="123"/>
      <c r="C178" s="115"/>
      <c r="D178" s="116"/>
      <c r="E178" s="110"/>
      <c r="F178" s="117"/>
      <c r="G178" s="116"/>
      <c r="H178" s="116"/>
      <c r="I178" s="116"/>
      <c r="J178" s="116"/>
      <c r="K178" s="116"/>
      <c r="L178" s="116"/>
      <c r="M178" s="116"/>
    </row>
    <row r="179" ht="15.75" hidden="1" customHeight="1">
      <c r="A179" s="122" t="s">
        <v>111</v>
      </c>
      <c r="B179" s="123"/>
      <c r="C179" s="115"/>
      <c r="D179" s="116"/>
      <c r="E179" s="110"/>
      <c r="F179" s="117"/>
      <c r="G179" s="116"/>
      <c r="H179" s="116"/>
      <c r="I179" s="116"/>
      <c r="J179" s="116"/>
      <c r="K179" s="116"/>
      <c r="L179" s="116"/>
      <c r="M179" s="116"/>
    </row>
    <row r="180" ht="15.75" hidden="1" customHeight="1">
      <c r="A180" s="122" t="s">
        <v>112</v>
      </c>
      <c r="B180" s="123"/>
      <c r="C180" s="115"/>
      <c r="D180" s="116"/>
      <c r="E180" s="110"/>
      <c r="F180" s="117"/>
      <c r="G180" s="116"/>
      <c r="H180" s="116"/>
      <c r="I180" s="116"/>
      <c r="J180" s="116"/>
      <c r="K180" s="116"/>
      <c r="L180" s="116"/>
      <c r="M180" s="116"/>
    </row>
    <row r="181" ht="24.75" hidden="1" customHeight="1">
      <c r="A181" s="124" t="s">
        <v>144</v>
      </c>
      <c r="B181" s="123"/>
      <c r="C181" s="115"/>
      <c r="D181" s="116"/>
      <c r="E181" s="110"/>
      <c r="F181" s="117"/>
      <c r="G181" s="116"/>
      <c r="H181" s="116"/>
      <c r="I181" s="116"/>
      <c r="J181" s="116"/>
      <c r="K181" s="116"/>
      <c r="L181" s="116"/>
      <c r="M181" s="116"/>
    </row>
    <row r="182" ht="15.75" hidden="1" customHeight="1">
      <c r="A182" s="122" t="s">
        <v>109</v>
      </c>
      <c r="B182" s="123"/>
      <c r="C182" s="115"/>
      <c r="D182" s="116"/>
      <c r="E182" s="110"/>
      <c r="F182" s="117"/>
      <c r="G182" s="116"/>
      <c r="H182" s="116"/>
      <c r="I182" s="116"/>
      <c r="J182" s="116"/>
      <c r="K182" s="116"/>
      <c r="L182" s="116"/>
      <c r="M182" s="116"/>
    </row>
    <row r="183" ht="15.75" hidden="1" customHeight="1">
      <c r="A183" s="122" t="s">
        <v>110</v>
      </c>
      <c r="B183" s="123"/>
      <c r="C183" s="115"/>
      <c r="D183" s="116"/>
      <c r="E183" s="110"/>
      <c r="F183" s="117"/>
      <c r="G183" s="116"/>
      <c r="H183" s="116"/>
      <c r="I183" s="116"/>
      <c r="J183" s="116"/>
      <c r="K183" s="116"/>
      <c r="L183" s="116"/>
      <c r="M183" s="116"/>
    </row>
    <row r="184" ht="22.5" hidden="1" customHeight="1">
      <c r="A184" s="122" t="s">
        <v>111</v>
      </c>
      <c r="B184" s="125" t="s">
        <v>118</v>
      </c>
      <c r="C184" s="115"/>
      <c r="D184" s="116"/>
      <c r="E184" s="110"/>
      <c r="F184" s="117"/>
      <c r="G184" s="116"/>
      <c r="H184" s="116"/>
      <c r="I184" s="116"/>
      <c r="J184" s="116"/>
      <c r="K184" s="116"/>
      <c r="L184" s="116"/>
      <c r="M184" s="116"/>
    </row>
    <row r="185" ht="24.0" hidden="1" customHeight="1">
      <c r="A185" s="122" t="s">
        <v>112</v>
      </c>
      <c r="B185" s="125" t="s">
        <v>119</v>
      </c>
      <c r="C185" s="115"/>
      <c r="D185" s="116"/>
      <c r="E185" s="110"/>
      <c r="F185" s="117"/>
      <c r="G185" s="116"/>
      <c r="H185" s="116"/>
      <c r="I185" s="116"/>
      <c r="J185" s="116"/>
      <c r="K185" s="116"/>
      <c r="L185" s="116"/>
      <c r="M185" s="116"/>
    </row>
    <row r="186" ht="15.75" hidden="1" customHeight="1">
      <c r="A186" s="124" t="s">
        <v>145</v>
      </c>
      <c r="B186" s="123"/>
      <c r="C186" s="115"/>
      <c r="D186" s="116"/>
      <c r="E186" s="110"/>
      <c r="F186" s="117"/>
      <c r="G186" s="116"/>
      <c r="H186" s="116"/>
      <c r="I186" s="116"/>
      <c r="J186" s="116"/>
      <c r="K186" s="116"/>
      <c r="L186" s="116"/>
      <c r="M186" s="116"/>
    </row>
    <row r="187" ht="15.75" hidden="1" customHeight="1">
      <c r="A187" s="122" t="s">
        <v>109</v>
      </c>
      <c r="B187" s="123"/>
      <c r="C187" s="115"/>
      <c r="D187" s="116"/>
      <c r="E187" s="110"/>
      <c r="F187" s="117"/>
      <c r="G187" s="116"/>
      <c r="H187" s="116"/>
      <c r="I187" s="116"/>
      <c r="J187" s="116"/>
      <c r="K187" s="116"/>
      <c r="L187" s="116"/>
      <c r="M187" s="116"/>
    </row>
    <row r="188" ht="15.75" hidden="1" customHeight="1">
      <c r="A188" s="122" t="s">
        <v>110</v>
      </c>
      <c r="B188" s="123"/>
      <c r="C188" s="115"/>
      <c r="D188" s="116"/>
      <c r="E188" s="110"/>
      <c r="F188" s="117"/>
      <c r="G188" s="116"/>
      <c r="H188" s="116"/>
      <c r="I188" s="116"/>
      <c r="J188" s="116"/>
      <c r="K188" s="116"/>
      <c r="L188" s="116"/>
      <c r="M188" s="116"/>
    </row>
    <row r="189" ht="15.75" hidden="1" customHeight="1">
      <c r="A189" s="122" t="s">
        <v>111</v>
      </c>
      <c r="B189" s="123"/>
      <c r="C189" s="115"/>
      <c r="D189" s="116"/>
      <c r="E189" s="110"/>
      <c r="F189" s="117"/>
      <c r="G189" s="116"/>
      <c r="H189" s="116"/>
      <c r="I189" s="116"/>
      <c r="J189" s="116"/>
      <c r="K189" s="116"/>
      <c r="L189" s="116"/>
      <c r="M189" s="116"/>
    </row>
    <row r="190" ht="15.75" hidden="1" customHeight="1">
      <c r="A190" s="122" t="s">
        <v>112</v>
      </c>
      <c r="B190" s="123"/>
      <c r="C190" s="115"/>
      <c r="D190" s="116"/>
      <c r="E190" s="110"/>
      <c r="F190" s="117"/>
      <c r="G190" s="116"/>
      <c r="H190" s="116"/>
      <c r="I190" s="116"/>
      <c r="J190" s="116"/>
      <c r="K190" s="116"/>
      <c r="L190" s="116"/>
      <c r="M190" s="116"/>
    </row>
    <row r="191" ht="15.75" hidden="1" customHeight="1">
      <c r="A191" s="124" t="s">
        <v>146</v>
      </c>
      <c r="B191" s="123"/>
      <c r="C191" s="115"/>
      <c r="D191" s="116"/>
      <c r="E191" s="110"/>
      <c r="F191" s="117"/>
      <c r="G191" s="116"/>
      <c r="H191" s="116"/>
      <c r="I191" s="116"/>
      <c r="J191" s="116"/>
      <c r="K191" s="116"/>
      <c r="L191" s="116"/>
      <c r="M191" s="116"/>
    </row>
    <row r="192" ht="15.75" hidden="1" customHeight="1">
      <c r="A192" s="122" t="s">
        <v>109</v>
      </c>
      <c r="B192" s="123"/>
      <c r="C192" s="115"/>
      <c r="D192" s="116"/>
      <c r="E192" s="110"/>
      <c r="F192" s="117"/>
      <c r="G192" s="116"/>
      <c r="H192" s="116"/>
      <c r="I192" s="116"/>
      <c r="J192" s="116"/>
      <c r="K192" s="116"/>
      <c r="L192" s="116"/>
      <c r="M192" s="116"/>
    </row>
    <row r="193" ht="15.75" hidden="1" customHeight="1">
      <c r="A193" s="122" t="s">
        <v>110</v>
      </c>
      <c r="B193" s="123"/>
      <c r="C193" s="115"/>
      <c r="D193" s="116"/>
      <c r="E193" s="110"/>
      <c r="F193" s="117"/>
      <c r="G193" s="116"/>
      <c r="H193" s="116"/>
      <c r="I193" s="116"/>
      <c r="J193" s="116"/>
      <c r="K193" s="116"/>
      <c r="L193" s="116"/>
      <c r="M193" s="116"/>
    </row>
    <row r="194" ht="15.75" hidden="1" customHeight="1">
      <c r="A194" s="122" t="s">
        <v>111</v>
      </c>
      <c r="B194" s="123"/>
      <c r="C194" s="115"/>
      <c r="D194" s="116"/>
      <c r="E194" s="110"/>
      <c r="F194" s="117"/>
      <c r="G194" s="116"/>
      <c r="H194" s="116"/>
      <c r="I194" s="116"/>
      <c r="J194" s="116"/>
      <c r="K194" s="116"/>
      <c r="L194" s="116"/>
      <c r="M194" s="116"/>
    </row>
    <row r="195" ht="15.75" hidden="1" customHeight="1">
      <c r="A195" s="122" t="s">
        <v>112</v>
      </c>
      <c r="B195" s="123"/>
      <c r="C195" s="115"/>
      <c r="D195" s="116"/>
      <c r="E195" s="110"/>
      <c r="F195" s="117"/>
      <c r="G195" s="116"/>
      <c r="H195" s="116"/>
      <c r="I195" s="116"/>
      <c r="J195" s="116"/>
      <c r="K195" s="116"/>
      <c r="L195" s="116"/>
      <c r="M195" s="116"/>
    </row>
    <row r="196" ht="15.75" hidden="1" customHeight="1">
      <c r="A196" s="124" t="s">
        <v>147</v>
      </c>
      <c r="B196" s="123"/>
      <c r="C196" s="115"/>
      <c r="D196" s="116"/>
      <c r="E196" s="110"/>
      <c r="F196" s="117"/>
      <c r="G196" s="116"/>
      <c r="H196" s="116"/>
      <c r="I196" s="116"/>
      <c r="J196" s="116"/>
      <c r="K196" s="116"/>
      <c r="L196" s="116"/>
      <c r="M196" s="116"/>
    </row>
    <row r="197" ht="15.75" hidden="1" customHeight="1">
      <c r="A197" s="122" t="s">
        <v>109</v>
      </c>
      <c r="B197" s="123"/>
      <c r="C197" s="115"/>
      <c r="D197" s="116"/>
      <c r="E197" s="110"/>
      <c r="F197" s="117"/>
      <c r="G197" s="116"/>
      <c r="H197" s="116"/>
      <c r="I197" s="116"/>
      <c r="J197" s="116"/>
      <c r="K197" s="116"/>
      <c r="L197" s="116"/>
      <c r="M197" s="116"/>
    </row>
    <row r="198" ht="15.75" hidden="1" customHeight="1">
      <c r="A198" s="122" t="s">
        <v>110</v>
      </c>
      <c r="B198" s="123"/>
      <c r="C198" s="115"/>
      <c r="D198" s="116"/>
      <c r="E198" s="110"/>
      <c r="F198" s="117"/>
      <c r="G198" s="116"/>
      <c r="H198" s="116"/>
      <c r="I198" s="116"/>
      <c r="J198" s="116"/>
      <c r="K198" s="116"/>
      <c r="L198" s="116"/>
      <c r="M198" s="116"/>
    </row>
    <row r="199" ht="15.75" hidden="1" customHeight="1">
      <c r="A199" s="122" t="s">
        <v>111</v>
      </c>
      <c r="B199" s="123"/>
      <c r="C199" s="115"/>
      <c r="D199" s="116"/>
      <c r="E199" s="110"/>
      <c r="F199" s="117"/>
      <c r="G199" s="116"/>
      <c r="H199" s="116"/>
      <c r="I199" s="116"/>
      <c r="J199" s="116"/>
      <c r="K199" s="116"/>
      <c r="L199" s="116"/>
      <c r="M199" s="116"/>
    </row>
    <row r="200" ht="15.75" hidden="1" customHeight="1">
      <c r="A200" s="122" t="s">
        <v>112</v>
      </c>
      <c r="B200" s="123"/>
      <c r="C200" s="115"/>
      <c r="D200" s="116"/>
      <c r="E200" s="110"/>
      <c r="F200" s="117"/>
      <c r="G200" s="116"/>
      <c r="H200" s="116"/>
      <c r="I200" s="116"/>
      <c r="J200" s="116"/>
      <c r="K200" s="116"/>
      <c r="L200" s="116"/>
      <c r="M200" s="116"/>
    </row>
    <row r="201" ht="15.75" hidden="1" customHeight="1">
      <c r="A201" s="124" t="s">
        <v>148</v>
      </c>
      <c r="B201" s="123"/>
      <c r="C201" s="115"/>
      <c r="D201" s="116"/>
      <c r="E201" s="110"/>
      <c r="F201" s="117"/>
      <c r="G201" s="116"/>
      <c r="H201" s="116"/>
      <c r="I201" s="116"/>
      <c r="J201" s="116"/>
      <c r="K201" s="116"/>
      <c r="L201" s="116"/>
      <c r="M201" s="116"/>
    </row>
    <row r="202" ht="15.75" hidden="1" customHeight="1">
      <c r="A202" s="122" t="s">
        <v>109</v>
      </c>
      <c r="B202" s="123"/>
      <c r="C202" s="115"/>
      <c r="D202" s="116"/>
      <c r="E202" s="110"/>
      <c r="F202" s="117"/>
      <c r="G202" s="116"/>
      <c r="H202" s="116"/>
      <c r="I202" s="116"/>
      <c r="J202" s="116"/>
      <c r="K202" s="116"/>
      <c r="L202" s="116"/>
      <c r="M202" s="116"/>
    </row>
    <row r="203" ht="15.75" hidden="1" customHeight="1">
      <c r="A203" s="122" t="s">
        <v>110</v>
      </c>
      <c r="B203" s="123"/>
      <c r="C203" s="115"/>
      <c r="D203" s="116"/>
      <c r="E203" s="110"/>
      <c r="F203" s="117"/>
      <c r="G203" s="116"/>
      <c r="H203" s="116"/>
      <c r="I203" s="116"/>
      <c r="J203" s="116"/>
      <c r="K203" s="116"/>
      <c r="L203" s="116"/>
      <c r="M203" s="116"/>
    </row>
    <row r="204" ht="15.75" hidden="1" customHeight="1">
      <c r="A204" s="122" t="s">
        <v>111</v>
      </c>
      <c r="B204" s="123"/>
      <c r="C204" s="115"/>
      <c r="D204" s="116"/>
      <c r="E204" s="110"/>
      <c r="F204" s="117"/>
      <c r="G204" s="116"/>
      <c r="H204" s="116"/>
      <c r="I204" s="116"/>
      <c r="J204" s="116"/>
      <c r="K204" s="116"/>
      <c r="L204" s="116"/>
      <c r="M204" s="116"/>
    </row>
    <row r="205" ht="15.75" hidden="1" customHeight="1">
      <c r="A205" s="122" t="s">
        <v>112</v>
      </c>
      <c r="B205" s="123"/>
      <c r="C205" s="115"/>
      <c r="D205" s="116"/>
      <c r="E205" s="110"/>
      <c r="F205" s="117"/>
      <c r="G205" s="116"/>
      <c r="H205" s="116"/>
      <c r="I205" s="116"/>
      <c r="J205" s="116"/>
      <c r="K205" s="116"/>
      <c r="L205" s="116"/>
      <c r="M205" s="116"/>
    </row>
    <row r="206" ht="15.75" hidden="1" customHeight="1">
      <c r="A206" s="124" t="s">
        <v>149</v>
      </c>
      <c r="B206" s="123"/>
      <c r="C206" s="115"/>
      <c r="D206" s="116"/>
      <c r="E206" s="110"/>
      <c r="F206" s="117"/>
      <c r="G206" s="116"/>
      <c r="H206" s="116"/>
      <c r="I206" s="116"/>
      <c r="J206" s="116"/>
      <c r="K206" s="116"/>
      <c r="L206" s="116"/>
      <c r="M206" s="116"/>
    </row>
    <row r="207" ht="15.75" hidden="1" customHeight="1">
      <c r="A207" s="122" t="s">
        <v>109</v>
      </c>
      <c r="B207" s="123"/>
      <c r="C207" s="115"/>
      <c r="D207" s="116"/>
      <c r="E207" s="110"/>
      <c r="F207" s="117"/>
      <c r="G207" s="116"/>
      <c r="H207" s="116"/>
      <c r="I207" s="116"/>
      <c r="J207" s="116"/>
      <c r="K207" s="116"/>
      <c r="L207" s="116"/>
      <c r="M207" s="116"/>
    </row>
    <row r="208" ht="15.75" hidden="1" customHeight="1">
      <c r="A208" s="122" t="s">
        <v>110</v>
      </c>
      <c r="B208" s="123"/>
      <c r="C208" s="115"/>
      <c r="D208" s="116"/>
      <c r="E208" s="110"/>
      <c r="F208" s="117"/>
      <c r="G208" s="116"/>
      <c r="H208" s="116"/>
      <c r="I208" s="116"/>
      <c r="J208" s="116"/>
      <c r="K208" s="116"/>
      <c r="L208" s="116"/>
      <c r="M208" s="116"/>
    </row>
    <row r="209" ht="15.75" hidden="1" customHeight="1">
      <c r="A209" s="122" t="s">
        <v>111</v>
      </c>
      <c r="B209" s="123"/>
      <c r="C209" s="115"/>
      <c r="D209" s="116"/>
      <c r="E209" s="110"/>
      <c r="F209" s="117"/>
      <c r="G209" s="116"/>
      <c r="H209" s="116"/>
      <c r="I209" s="116"/>
      <c r="J209" s="116"/>
      <c r="K209" s="116"/>
      <c r="L209" s="116"/>
      <c r="M209" s="116"/>
    </row>
    <row r="210" ht="15.75" hidden="1" customHeight="1">
      <c r="A210" s="122" t="s">
        <v>112</v>
      </c>
      <c r="B210" s="123"/>
      <c r="C210" s="115"/>
      <c r="D210" s="116"/>
      <c r="E210" s="110"/>
      <c r="F210" s="117"/>
      <c r="G210" s="116"/>
      <c r="H210" s="116"/>
      <c r="I210" s="116"/>
      <c r="J210" s="116"/>
      <c r="K210" s="116"/>
      <c r="L210" s="116"/>
      <c r="M210" s="116"/>
    </row>
    <row r="211" ht="15.75" hidden="1" customHeight="1">
      <c r="A211" s="124" t="s">
        <v>150</v>
      </c>
      <c r="B211" s="123"/>
      <c r="C211" s="115"/>
      <c r="D211" s="116"/>
      <c r="E211" s="110"/>
      <c r="F211" s="117"/>
      <c r="G211" s="116"/>
      <c r="H211" s="116"/>
      <c r="I211" s="116"/>
      <c r="J211" s="116"/>
      <c r="K211" s="116"/>
      <c r="L211" s="116"/>
      <c r="M211" s="116"/>
    </row>
    <row r="212" ht="15.75" hidden="1" customHeight="1">
      <c r="A212" s="122" t="s">
        <v>109</v>
      </c>
      <c r="B212" s="123"/>
      <c r="C212" s="115"/>
      <c r="D212" s="116"/>
      <c r="E212" s="110"/>
      <c r="F212" s="117"/>
      <c r="G212" s="116"/>
      <c r="H212" s="116"/>
      <c r="I212" s="116"/>
      <c r="J212" s="116"/>
      <c r="K212" s="116"/>
      <c r="L212" s="116"/>
      <c r="M212" s="116"/>
    </row>
    <row r="213" ht="15.75" hidden="1" customHeight="1">
      <c r="A213" s="122" t="s">
        <v>110</v>
      </c>
      <c r="B213" s="123"/>
      <c r="C213" s="115"/>
      <c r="D213" s="116"/>
      <c r="E213" s="110"/>
      <c r="F213" s="117"/>
      <c r="G213" s="116"/>
      <c r="H213" s="116"/>
      <c r="I213" s="116"/>
      <c r="J213" s="116"/>
      <c r="K213" s="116"/>
      <c r="L213" s="116"/>
      <c r="M213" s="116"/>
    </row>
    <row r="214" ht="15.75" hidden="1" customHeight="1">
      <c r="A214" s="122" t="s">
        <v>111</v>
      </c>
      <c r="B214" s="123"/>
      <c r="C214" s="115"/>
      <c r="D214" s="116"/>
      <c r="E214" s="110"/>
      <c r="F214" s="117"/>
      <c r="G214" s="116"/>
      <c r="H214" s="116"/>
      <c r="I214" s="116"/>
      <c r="J214" s="116"/>
      <c r="K214" s="116"/>
      <c r="L214" s="116"/>
      <c r="M214" s="116"/>
    </row>
    <row r="215" ht="15.75" hidden="1" customHeight="1">
      <c r="A215" s="122" t="s">
        <v>112</v>
      </c>
      <c r="B215" s="123"/>
      <c r="C215" s="115"/>
      <c r="D215" s="116"/>
      <c r="E215" s="110"/>
      <c r="F215" s="117"/>
      <c r="G215" s="116"/>
      <c r="H215" s="116"/>
      <c r="I215" s="116"/>
      <c r="J215" s="116"/>
      <c r="K215" s="116"/>
      <c r="L215" s="116"/>
      <c r="M215" s="116"/>
    </row>
    <row r="216" ht="15.75" hidden="1" customHeight="1">
      <c r="A216" s="124" t="s">
        <v>151</v>
      </c>
      <c r="B216" s="123"/>
      <c r="C216" s="115"/>
      <c r="D216" s="116"/>
      <c r="E216" s="110"/>
      <c r="F216" s="117"/>
      <c r="G216" s="116"/>
      <c r="H216" s="116"/>
      <c r="I216" s="116"/>
      <c r="J216" s="116"/>
      <c r="K216" s="116"/>
      <c r="L216" s="116"/>
      <c r="M216" s="116"/>
    </row>
    <row r="217" ht="15.75" hidden="1" customHeight="1">
      <c r="A217" s="122" t="s">
        <v>109</v>
      </c>
      <c r="B217" s="123"/>
      <c r="C217" s="115"/>
      <c r="D217" s="116"/>
      <c r="E217" s="110"/>
      <c r="F217" s="117"/>
      <c r="G217" s="116"/>
      <c r="H217" s="116"/>
      <c r="I217" s="116"/>
      <c r="J217" s="116"/>
      <c r="K217" s="116"/>
      <c r="L217" s="116"/>
      <c r="M217" s="116"/>
    </row>
    <row r="218" ht="15.75" hidden="1" customHeight="1">
      <c r="A218" s="122" t="s">
        <v>110</v>
      </c>
      <c r="B218" s="123"/>
      <c r="C218" s="115"/>
      <c r="D218" s="116"/>
      <c r="E218" s="110"/>
      <c r="F218" s="117"/>
      <c r="G218" s="116"/>
      <c r="H218" s="116"/>
      <c r="I218" s="116"/>
      <c r="J218" s="116"/>
      <c r="K218" s="116"/>
      <c r="L218" s="116"/>
      <c r="M218" s="116"/>
    </row>
    <row r="219" ht="15.75" hidden="1" customHeight="1">
      <c r="A219" s="122" t="s">
        <v>111</v>
      </c>
      <c r="B219" s="123"/>
      <c r="C219" s="115"/>
      <c r="D219" s="116"/>
      <c r="E219" s="110"/>
      <c r="F219" s="117"/>
      <c r="G219" s="116"/>
      <c r="H219" s="116"/>
      <c r="I219" s="116"/>
      <c r="J219" s="116"/>
      <c r="K219" s="116"/>
      <c r="L219" s="116"/>
      <c r="M219" s="116"/>
    </row>
    <row r="220" ht="15.75" hidden="1" customHeight="1">
      <c r="A220" s="122" t="s">
        <v>112</v>
      </c>
      <c r="B220" s="123"/>
      <c r="C220" s="115"/>
      <c r="D220" s="116"/>
      <c r="E220" s="110"/>
      <c r="F220" s="117"/>
      <c r="G220" s="116"/>
      <c r="H220" s="116"/>
      <c r="I220" s="116"/>
      <c r="J220" s="116"/>
      <c r="K220" s="116"/>
      <c r="L220" s="116"/>
      <c r="M220" s="116"/>
    </row>
    <row r="221" ht="15.75" hidden="1" customHeight="1">
      <c r="A221" s="124" t="s">
        <v>152</v>
      </c>
      <c r="B221" s="123"/>
      <c r="C221" s="115"/>
      <c r="D221" s="116"/>
      <c r="E221" s="110"/>
      <c r="F221" s="117"/>
      <c r="G221" s="116"/>
      <c r="H221" s="116"/>
      <c r="I221" s="116"/>
      <c r="J221" s="116"/>
      <c r="K221" s="116"/>
      <c r="L221" s="116"/>
      <c r="M221" s="116"/>
    </row>
    <row r="222" ht="15.75" hidden="1" customHeight="1">
      <c r="A222" s="122" t="s">
        <v>109</v>
      </c>
      <c r="B222" s="123"/>
      <c r="C222" s="115"/>
      <c r="D222" s="116"/>
      <c r="E222" s="110"/>
      <c r="F222" s="117"/>
      <c r="G222" s="116"/>
      <c r="H222" s="116"/>
      <c r="I222" s="116"/>
      <c r="J222" s="116"/>
      <c r="K222" s="116"/>
      <c r="L222" s="116"/>
      <c r="M222" s="116"/>
    </row>
    <row r="223" ht="15.75" hidden="1" customHeight="1">
      <c r="A223" s="122" t="s">
        <v>110</v>
      </c>
      <c r="B223" s="123"/>
      <c r="C223" s="115"/>
      <c r="D223" s="116"/>
      <c r="E223" s="110"/>
      <c r="F223" s="117"/>
      <c r="G223" s="116"/>
      <c r="H223" s="116"/>
      <c r="I223" s="116"/>
      <c r="J223" s="116"/>
      <c r="K223" s="116"/>
      <c r="L223" s="116"/>
      <c r="M223" s="116"/>
    </row>
    <row r="224" ht="15.75" hidden="1" customHeight="1">
      <c r="A224" s="122" t="s">
        <v>111</v>
      </c>
      <c r="B224" s="123"/>
      <c r="C224" s="115"/>
      <c r="D224" s="116"/>
      <c r="E224" s="110"/>
      <c r="F224" s="117"/>
      <c r="G224" s="116"/>
      <c r="H224" s="116"/>
      <c r="I224" s="116"/>
      <c r="J224" s="116"/>
      <c r="K224" s="116"/>
      <c r="L224" s="116"/>
      <c r="M224" s="116"/>
    </row>
    <row r="225" ht="15.75" hidden="1" customHeight="1">
      <c r="A225" s="122" t="s">
        <v>112</v>
      </c>
      <c r="B225" s="123"/>
      <c r="C225" s="115"/>
      <c r="D225" s="116"/>
      <c r="E225" s="110"/>
      <c r="F225" s="117"/>
      <c r="G225" s="116"/>
      <c r="H225" s="116"/>
      <c r="I225" s="116"/>
      <c r="J225" s="116"/>
      <c r="K225" s="116"/>
      <c r="L225" s="116"/>
      <c r="M225" s="116"/>
    </row>
    <row r="226" ht="15.75" hidden="1" customHeight="1">
      <c r="A226" s="124" t="s">
        <v>153</v>
      </c>
      <c r="B226" s="123"/>
      <c r="C226" s="115"/>
      <c r="D226" s="116"/>
      <c r="E226" s="110"/>
      <c r="F226" s="117"/>
      <c r="G226" s="116"/>
      <c r="H226" s="116"/>
      <c r="I226" s="116"/>
      <c r="J226" s="116"/>
      <c r="K226" s="116"/>
      <c r="L226" s="116"/>
      <c r="M226" s="116"/>
    </row>
    <row r="227" ht="15.75" hidden="1" customHeight="1">
      <c r="A227" s="122" t="s">
        <v>109</v>
      </c>
      <c r="B227" s="123"/>
      <c r="C227" s="115"/>
      <c r="D227" s="116"/>
      <c r="E227" s="110"/>
      <c r="F227" s="117"/>
      <c r="G227" s="116"/>
      <c r="H227" s="116"/>
      <c r="I227" s="116"/>
      <c r="J227" s="116"/>
      <c r="K227" s="116"/>
      <c r="L227" s="116"/>
      <c r="M227" s="116"/>
    </row>
    <row r="228" ht="15.75" hidden="1" customHeight="1">
      <c r="A228" s="122" t="s">
        <v>110</v>
      </c>
      <c r="B228" s="123"/>
      <c r="C228" s="115"/>
      <c r="D228" s="116"/>
      <c r="E228" s="110"/>
      <c r="F228" s="117"/>
      <c r="G228" s="116"/>
      <c r="H228" s="116"/>
      <c r="I228" s="116"/>
      <c r="J228" s="116"/>
      <c r="K228" s="116"/>
      <c r="L228" s="116"/>
      <c r="M228" s="116"/>
    </row>
    <row r="229" ht="15.75" hidden="1" customHeight="1">
      <c r="A229" s="122" t="s">
        <v>111</v>
      </c>
      <c r="B229" s="123"/>
      <c r="C229" s="115"/>
      <c r="D229" s="116"/>
      <c r="E229" s="110"/>
      <c r="F229" s="117"/>
      <c r="G229" s="116"/>
      <c r="H229" s="116"/>
      <c r="I229" s="116"/>
      <c r="J229" s="116"/>
      <c r="K229" s="116"/>
      <c r="L229" s="116"/>
      <c r="M229" s="116"/>
    </row>
    <row r="230" ht="15.75" hidden="1" customHeight="1">
      <c r="A230" s="122" t="s">
        <v>112</v>
      </c>
      <c r="B230" s="123"/>
      <c r="C230" s="115"/>
      <c r="D230" s="116"/>
      <c r="E230" s="110"/>
      <c r="F230" s="117"/>
      <c r="G230" s="116"/>
      <c r="H230" s="116"/>
      <c r="I230" s="116"/>
      <c r="J230" s="116"/>
      <c r="K230" s="116"/>
      <c r="L230" s="116"/>
      <c r="M230" s="116"/>
    </row>
    <row r="231" ht="15.75" hidden="1" customHeight="1">
      <c r="A231" s="124" t="s">
        <v>154</v>
      </c>
      <c r="B231" s="123"/>
      <c r="C231" s="115"/>
      <c r="D231" s="116"/>
      <c r="E231" s="110"/>
      <c r="F231" s="117"/>
      <c r="G231" s="116"/>
      <c r="H231" s="116"/>
      <c r="I231" s="116"/>
      <c r="J231" s="116"/>
      <c r="K231" s="116"/>
      <c r="L231" s="116"/>
      <c r="M231" s="116"/>
    </row>
    <row r="232" ht="15.75" hidden="1" customHeight="1">
      <c r="A232" s="122" t="s">
        <v>109</v>
      </c>
      <c r="B232" s="123"/>
      <c r="C232" s="115"/>
      <c r="D232" s="116"/>
      <c r="E232" s="110"/>
      <c r="F232" s="117"/>
      <c r="G232" s="116"/>
      <c r="H232" s="116"/>
      <c r="I232" s="116"/>
      <c r="J232" s="116"/>
      <c r="K232" s="116"/>
      <c r="L232" s="116"/>
      <c r="M232" s="116"/>
    </row>
    <row r="233" ht="15.75" hidden="1" customHeight="1">
      <c r="A233" s="122" t="s">
        <v>110</v>
      </c>
      <c r="B233" s="123"/>
      <c r="C233" s="115"/>
      <c r="D233" s="116"/>
      <c r="E233" s="110"/>
      <c r="F233" s="117"/>
      <c r="G233" s="116"/>
      <c r="H233" s="116"/>
      <c r="I233" s="116"/>
      <c r="J233" s="116"/>
      <c r="K233" s="116"/>
      <c r="L233" s="116"/>
      <c r="M233" s="116"/>
    </row>
    <row r="234" ht="15.75" hidden="1" customHeight="1">
      <c r="A234" s="122" t="s">
        <v>111</v>
      </c>
      <c r="B234" s="123"/>
      <c r="C234" s="115"/>
      <c r="D234" s="116"/>
      <c r="E234" s="110"/>
      <c r="F234" s="117"/>
      <c r="G234" s="116"/>
      <c r="H234" s="116"/>
      <c r="I234" s="116"/>
      <c r="J234" s="116"/>
      <c r="K234" s="116"/>
      <c r="L234" s="116"/>
      <c r="M234" s="116"/>
    </row>
    <row r="235" ht="15.75" hidden="1" customHeight="1">
      <c r="A235" s="122" t="s">
        <v>112</v>
      </c>
      <c r="B235" s="123"/>
      <c r="C235" s="115"/>
      <c r="D235" s="116"/>
      <c r="E235" s="110"/>
      <c r="F235" s="117"/>
      <c r="G235" s="116"/>
      <c r="H235" s="116"/>
      <c r="I235" s="116"/>
      <c r="J235" s="116"/>
      <c r="K235" s="116"/>
      <c r="L235" s="116"/>
      <c r="M235" s="116"/>
    </row>
    <row r="236" ht="15.75" hidden="1" customHeight="1">
      <c r="A236" s="124" t="s">
        <v>155</v>
      </c>
      <c r="B236" s="123"/>
      <c r="C236" s="115"/>
      <c r="D236" s="116"/>
      <c r="E236" s="110"/>
      <c r="F236" s="117"/>
      <c r="G236" s="116"/>
      <c r="H236" s="116"/>
      <c r="I236" s="116"/>
      <c r="J236" s="116"/>
      <c r="K236" s="116"/>
      <c r="L236" s="116"/>
      <c r="M236" s="116"/>
    </row>
    <row r="237" ht="15.75" hidden="1" customHeight="1">
      <c r="A237" s="122" t="s">
        <v>109</v>
      </c>
      <c r="B237" s="123"/>
      <c r="C237" s="115"/>
      <c r="D237" s="116"/>
      <c r="E237" s="110"/>
      <c r="F237" s="117"/>
      <c r="G237" s="116"/>
      <c r="H237" s="116"/>
      <c r="I237" s="116"/>
      <c r="J237" s="116"/>
      <c r="K237" s="116"/>
      <c r="L237" s="116"/>
      <c r="M237" s="116"/>
    </row>
    <row r="238" ht="15.75" hidden="1" customHeight="1">
      <c r="A238" s="122" t="s">
        <v>110</v>
      </c>
      <c r="B238" s="123"/>
      <c r="C238" s="115"/>
      <c r="D238" s="116"/>
      <c r="E238" s="110"/>
      <c r="F238" s="117"/>
      <c r="G238" s="116"/>
      <c r="H238" s="116"/>
      <c r="I238" s="116"/>
      <c r="J238" s="116"/>
      <c r="K238" s="116"/>
      <c r="L238" s="116"/>
      <c r="M238" s="116"/>
    </row>
    <row r="239" ht="15.75" hidden="1" customHeight="1">
      <c r="A239" s="122" t="s">
        <v>111</v>
      </c>
      <c r="B239" s="123"/>
      <c r="C239" s="115"/>
      <c r="D239" s="116"/>
      <c r="E239" s="110"/>
      <c r="F239" s="117"/>
      <c r="G239" s="116"/>
      <c r="H239" s="116"/>
      <c r="I239" s="116"/>
      <c r="J239" s="116"/>
      <c r="K239" s="116"/>
      <c r="L239" s="116"/>
      <c r="M239" s="116"/>
    </row>
    <row r="240" ht="15.75" hidden="1" customHeight="1">
      <c r="A240" s="122" t="s">
        <v>112</v>
      </c>
      <c r="B240" s="123"/>
      <c r="C240" s="115"/>
      <c r="D240" s="116"/>
      <c r="E240" s="110"/>
      <c r="F240" s="117"/>
      <c r="G240" s="116"/>
      <c r="H240" s="116"/>
      <c r="I240" s="116"/>
      <c r="J240" s="116"/>
      <c r="K240" s="116"/>
      <c r="L240" s="116"/>
      <c r="M240" s="116"/>
    </row>
    <row r="241" ht="15.75" hidden="1" customHeight="1">
      <c r="A241" s="124" t="s">
        <v>156</v>
      </c>
      <c r="B241" s="123"/>
      <c r="C241" s="115"/>
      <c r="D241" s="116"/>
      <c r="E241" s="110"/>
      <c r="F241" s="117"/>
      <c r="G241" s="116"/>
      <c r="H241" s="116"/>
      <c r="I241" s="116"/>
      <c r="J241" s="116"/>
      <c r="K241" s="116"/>
      <c r="L241" s="116"/>
      <c r="M241" s="116"/>
    </row>
    <row r="242" ht="15.75" hidden="1" customHeight="1">
      <c r="A242" s="122" t="s">
        <v>109</v>
      </c>
      <c r="B242" s="123"/>
      <c r="C242" s="115"/>
      <c r="D242" s="116"/>
      <c r="E242" s="110"/>
      <c r="F242" s="117"/>
      <c r="G242" s="116"/>
      <c r="H242" s="116"/>
      <c r="I242" s="116"/>
      <c r="J242" s="116"/>
      <c r="K242" s="116"/>
      <c r="L242" s="116"/>
      <c r="M242" s="116"/>
    </row>
    <row r="243" ht="15.75" hidden="1" customHeight="1">
      <c r="A243" s="122" t="s">
        <v>110</v>
      </c>
      <c r="B243" s="123"/>
      <c r="C243" s="115"/>
      <c r="D243" s="116"/>
      <c r="E243" s="110"/>
      <c r="F243" s="117"/>
      <c r="G243" s="116"/>
      <c r="H243" s="116"/>
      <c r="I243" s="116"/>
      <c r="J243" s="116"/>
      <c r="K243" s="116"/>
      <c r="L243" s="116"/>
      <c r="M243" s="116"/>
    </row>
    <row r="244" ht="15.75" hidden="1" customHeight="1">
      <c r="A244" s="122" t="s">
        <v>111</v>
      </c>
      <c r="B244" s="123"/>
      <c r="C244" s="115"/>
      <c r="D244" s="116"/>
      <c r="E244" s="110"/>
      <c r="F244" s="117"/>
      <c r="G244" s="116"/>
      <c r="H244" s="116"/>
      <c r="I244" s="116"/>
      <c r="J244" s="116"/>
      <c r="K244" s="116"/>
      <c r="L244" s="116"/>
      <c r="M244" s="116"/>
    </row>
    <row r="245" ht="15.75" hidden="1" customHeight="1">
      <c r="A245" s="122" t="s">
        <v>112</v>
      </c>
      <c r="B245" s="123"/>
      <c r="C245" s="115"/>
      <c r="D245" s="116"/>
      <c r="E245" s="110"/>
      <c r="F245" s="117"/>
      <c r="G245" s="116"/>
      <c r="H245" s="116"/>
      <c r="I245" s="116"/>
      <c r="J245" s="116"/>
      <c r="K245" s="116"/>
      <c r="L245" s="116"/>
      <c r="M245" s="116"/>
    </row>
    <row r="246" ht="15.75" hidden="1" customHeight="1">
      <c r="A246" s="124" t="s">
        <v>157</v>
      </c>
      <c r="B246" s="123"/>
      <c r="C246" s="115"/>
      <c r="D246" s="116"/>
      <c r="E246" s="110"/>
      <c r="F246" s="117"/>
      <c r="G246" s="116"/>
      <c r="H246" s="116"/>
      <c r="I246" s="116"/>
      <c r="J246" s="116"/>
      <c r="K246" s="116"/>
      <c r="L246" s="116"/>
      <c r="M246" s="116"/>
    </row>
    <row r="247" ht="15.75" hidden="1" customHeight="1">
      <c r="A247" s="122" t="s">
        <v>109</v>
      </c>
      <c r="B247" s="123"/>
      <c r="C247" s="115"/>
      <c r="D247" s="116"/>
      <c r="E247" s="110"/>
      <c r="F247" s="117"/>
      <c r="G247" s="116"/>
      <c r="H247" s="116"/>
      <c r="I247" s="116"/>
      <c r="J247" s="116"/>
      <c r="K247" s="116"/>
      <c r="L247" s="116"/>
      <c r="M247" s="116"/>
    </row>
    <row r="248" ht="15.75" hidden="1" customHeight="1">
      <c r="A248" s="122" t="s">
        <v>110</v>
      </c>
      <c r="B248" s="123"/>
      <c r="C248" s="115"/>
      <c r="D248" s="116"/>
      <c r="E248" s="110"/>
      <c r="F248" s="117"/>
      <c r="G248" s="116"/>
      <c r="H248" s="116"/>
      <c r="I248" s="116"/>
      <c r="J248" s="116"/>
      <c r="K248" s="116"/>
      <c r="L248" s="116"/>
      <c r="M248" s="116"/>
    </row>
    <row r="249" ht="15.75" hidden="1" customHeight="1">
      <c r="A249" s="122" t="s">
        <v>111</v>
      </c>
      <c r="B249" s="123"/>
      <c r="C249" s="115"/>
      <c r="D249" s="116"/>
      <c r="E249" s="110"/>
      <c r="F249" s="117"/>
      <c r="G249" s="116"/>
      <c r="H249" s="116"/>
      <c r="I249" s="116"/>
      <c r="J249" s="116"/>
      <c r="K249" s="116"/>
      <c r="L249" s="116"/>
      <c r="M249" s="116"/>
    </row>
    <row r="250" ht="15.75" hidden="1" customHeight="1">
      <c r="A250" s="122" t="s">
        <v>112</v>
      </c>
      <c r="B250" s="123"/>
      <c r="C250" s="115"/>
      <c r="D250" s="116"/>
      <c r="E250" s="110"/>
      <c r="F250" s="117"/>
      <c r="G250" s="116"/>
      <c r="H250" s="116"/>
      <c r="I250" s="116"/>
      <c r="J250" s="116"/>
      <c r="K250" s="116"/>
      <c r="L250" s="116"/>
      <c r="M250" s="116"/>
    </row>
    <row r="251" ht="25.5" hidden="1" customHeight="1">
      <c r="A251" s="124" t="s">
        <v>158</v>
      </c>
      <c r="B251" s="123"/>
      <c r="C251" s="115"/>
      <c r="D251" s="116"/>
      <c r="E251" s="110"/>
      <c r="F251" s="117"/>
      <c r="G251" s="116"/>
      <c r="H251" s="116"/>
      <c r="I251" s="116"/>
      <c r="J251" s="116"/>
      <c r="K251" s="116"/>
      <c r="L251" s="116"/>
      <c r="M251" s="116"/>
    </row>
    <row r="252" ht="15.75" hidden="1" customHeight="1">
      <c r="A252" s="122" t="s">
        <v>109</v>
      </c>
      <c r="B252" s="123"/>
      <c r="C252" s="115"/>
      <c r="D252" s="116"/>
      <c r="E252" s="110"/>
      <c r="F252" s="117"/>
      <c r="G252" s="116"/>
      <c r="H252" s="116"/>
      <c r="I252" s="116"/>
      <c r="J252" s="116"/>
      <c r="K252" s="116"/>
      <c r="L252" s="116"/>
      <c r="M252" s="116"/>
    </row>
    <row r="253" ht="15.75" hidden="1" customHeight="1">
      <c r="A253" s="122" t="s">
        <v>110</v>
      </c>
      <c r="B253" s="123"/>
      <c r="C253" s="115"/>
      <c r="D253" s="116"/>
      <c r="E253" s="110"/>
      <c r="F253" s="117"/>
      <c r="G253" s="116"/>
      <c r="H253" s="116"/>
      <c r="I253" s="116"/>
      <c r="J253" s="116"/>
      <c r="K253" s="116"/>
      <c r="L253" s="116"/>
      <c r="M253" s="116"/>
    </row>
    <row r="254" ht="15.75" hidden="1" customHeight="1">
      <c r="A254" s="122" t="s">
        <v>111</v>
      </c>
      <c r="B254" s="123"/>
      <c r="C254" s="115"/>
      <c r="D254" s="116"/>
      <c r="E254" s="110"/>
      <c r="F254" s="117"/>
      <c r="G254" s="116"/>
      <c r="H254" s="116"/>
      <c r="I254" s="116"/>
      <c r="J254" s="116"/>
      <c r="K254" s="116"/>
      <c r="L254" s="116"/>
      <c r="M254" s="116"/>
    </row>
    <row r="255" ht="20.25" hidden="1" customHeight="1">
      <c r="A255" s="122" t="s">
        <v>112</v>
      </c>
      <c r="B255" s="123"/>
      <c r="C255" s="115"/>
      <c r="D255" s="116"/>
      <c r="E255" s="110"/>
      <c r="F255" s="117"/>
      <c r="G255" s="116"/>
      <c r="H255" s="116"/>
      <c r="I255" s="116"/>
      <c r="J255" s="116"/>
      <c r="K255" s="116"/>
      <c r="L255" s="116"/>
      <c r="M255" s="116"/>
    </row>
    <row r="256" ht="21.75" hidden="1" customHeight="1">
      <c r="A256" s="124" t="s">
        <v>159</v>
      </c>
      <c r="B256" s="123"/>
      <c r="C256" s="115"/>
      <c r="D256" s="116"/>
      <c r="E256" s="110"/>
      <c r="F256" s="117"/>
      <c r="G256" s="116"/>
      <c r="H256" s="116"/>
      <c r="I256" s="116"/>
      <c r="J256" s="116"/>
      <c r="K256" s="116"/>
      <c r="L256" s="116"/>
      <c r="M256" s="116"/>
    </row>
    <row r="257" ht="21.75" hidden="1" customHeight="1">
      <c r="A257" s="122" t="s">
        <v>109</v>
      </c>
      <c r="B257" s="125" t="s">
        <v>118</v>
      </c>
      <c r="C257" s="115"/>
      <c r="D257" s="116"/>
      <c r="E257" s="110"/>
      <c r="F257" s="117"/>
      <c r="G257" s="116"/>
      <c r="H257" s="116"/>
      <c r="I257" s="116"/>
      <c r="J257" s="116"/>
      <c r="K257" s="116"/>
      <c r="L257" s="116"/>
      <c r="M257" s="116"/>
    </row>
    <row r="258" ht="21.75" hidden="1" customHeight="1">
      <c r="A258" s="122" t="s">
        <v>110</v>
      </c>
      <c r="B258" s="125" t="s">
        <v>118</v>
      </c>
      <c r="C258" s="115"/>
      <c r="D258" s="116"/>
      <c r="E258" s="110"/>
      <c r="F258" s="117"/>
      <c r="G258" s="116"/>
      <c r="H258" s="116"/>
      <c r="I258" s="116"/>
      <c r="J258" s="116"/>
      <c r="K258" s="116"/>
      <c r="L258" s="116"/>
      <c r="M258" s="116"/>
    </row>
    <row r="259" ht="21.75" hidden="1" customHeight="1">
      <c r="A259" s="122" t="s">
        <v>111</v>
      </c>
      <c r="B259" s="125" t="s">
        <v>118</v>
      </c>
      <c r="C259" s="115"/>
      <c r="D259" s="116"/>
      <c r="E259" s="110"/>
      <c r="F259" s="117"/>
      <c r="G259" s="116"/>
      <c r="H259" s="116"/>
      <c r="I259" s="116"/>
      <c r="J259" s="116"/>
      <c r="K259" s="116"/>
      <c r="L259" s="116"/>
      <c r="M259" s="116"/>
    </row>
    <row r="260" ht="21.75" hidden="1" customHeight="1">
      <c r="A260" s="122" t="s">
        <v>112</v>
      </c>
      <c r="B260" s="125" t="s">
        <v>119</v>
      </c>
      <c r="C260" s="115"/>
      <c r="D260" s="116"/>
      <c r="E260" s="110"/>
      <c r="F260" s="117"/>
      <c r="G260" s="116"/>
      <c r="H260" s="116"/>
      <c r="I260" s="116"/>
      <c r="J260" s="116"/>
      <c r="K260" s="116"/>
      <c r="L260" s="116"/>
      <c r="M260" s="116"/>
    </row>
    <row r="261" ht="15.75" hidden="1" customHeight="1">
      <c r="A261" s="124" t="s">
        <v>160</v>
      </c>
      <c r="B261" s="123"/>
      <c r="C261" s="115"/>
      <c r="D261" s="116"/>
      <c r="E261" s="110"/>
      <c r="F261" s="117"/>
      <c r="G261" s="116"/>
      <c r="H261" s="116"/>
      <c r="I261" s="116"/>
      <c r="J261" s="116"/>
      <c r="K261" s="116"/>
      <c r="L261" s="116"/>
      <c r="M261" s="116"/>
    </row>
    <row r="262" ht="15.75" hidden="1" customHeight="1">
      <c r="A262" s="122" t="s">
        <v>109</v>
      </c>
      <c r="B262" s="123"/>
      <c r="C262" s="115"/>
      <c r="D262" s="116"/>
      <c r="E262" s="110"/>
      <c r="F262" s="117"/>
      <c r="G262" s="116"/>
      <c r="H262" s="116"/>
      <c r="I262" s="116"/>
      <c r="J262" s="116"/>
      <c r="K262" s="116"/>
      <c r="L262" s="116"/>
      <c r="M262" s="116"/>
    </row>
    <row r="263" ht="15.75" hidden="1" customHeight="1">
      <c r="A263" s="122" t="s">
        <v>110</v>
      </c>
      <c r="B263" s="123"/>
      <c r="C263" s="115"/>
      <c r="D263" s="116"/>
      <c r="E263" s="110"/>
      <c r="F263" s="117"/>
      <c r="G263" s="116"/>
      <c r="H263" s="116"/>
      <c r="I263" s="116"/>
      <c r="J263" s="116"/>
      <c r="K263" s="116"/>
      <c r="L263" s="116"/>
      <c r="M263" s="116"/>
    </row>
    <row r="264" ht="15.75" hidden="1" customHeight="1">
      <c r="A264" s="122" t="s">
        <v>111</v>
      </c>
      <c r="B264" s="123"/>
      <c r="C264" s="115"/>
      <c r="D264" s="116"/>
      <c r="E264" s="110"/>
      <c r="F264" s="117"/>
      <c r="G264" s="116"/>
      <c r="H264" s="116"/>
      <c r="I264" s="116"/>
      <c r="J264" s="116"/>
      <c r="K264" s="116"/>
      <c r="L264" s="116"/>
      <c r="M264" s="116"/>
    </row>
    <row r="265" ht="15.75" hidden="1" customHeight="1">
      <c r="A265" s="122" t="s">
        <v>112</v>
      </c>
      <c r="B265" s="123"/>
      <c r="C265" s="115"/>
      <c r="D265" s="116"/>
      <c r="E265" s="110"/>
      <c r="F265" s="117"/>
      <c r="G265" s="116"/>
      <c r="H265" s="116"/>
      <c r="I265" s="116"/>
      <c r="J265" s="116"/>
      <c r="K265" s="116"/>
      <c r="L265" s="116"/>
      <c r="M265" s="116"/>
    </row>
    <row r="266" ht="15.75" hidden="1" customHeight="1">
      <c r="A266" s="124" t="s">
        <v>161</v>
      </c>
      <c r="B266" s="123"/>
      <c r="C266" s="115"/>
      <c r="D266" s="116"/>
      <c r="E266" s="110"/>
      <c r="F266" s="117"/>
      <c r="G266" s="116"/>
      <c r="H266" s="116"/>
      <c r="I266" s="116"/>
      <c r="J266" s="116"/>
      <c r="K266" s="116"/>
      <c r="L266" s="116"/>
      <c r="M266" s="116"/>
    </row>
    <row r="267" ht="15.75" hidden="1" customHeight="1">
      <c r="A267" s="122" t="s">
        <v>109</v>
      </c>
      <c r="B267" s="123"/>
      <c r="C267" s="115"/>
      <c r="D267" s="116"/>
      <c r="E267" s="110"/>
      <c r="F267" s="117"/>
      <c r="G267" s="116"/>
      <c r="H267" s="116"/>
      <c r="I267" s="116"/>
      <c r="J267" s="116"/>
      <c r="K267" s="116"/>
      <c r="L267" s="116"/>
      <c r="M267" s="116"/>
    </row>
    <row r="268" ht="15.75" hidden="1" customHeight="1">
      <c r="A268" s="122" t="s">
        <v>110</v>
      </c>
      <c r="B268" s="123"/>
      <c r="C268" s="115"/>
      <c r="D268" s="116"/>
      <c r="E268" s="110"/>
      <c r="F268" s="117"/>
      <c r="G268" s="116"/>
      <c r="H268" s="116"/>
      <c r="I268" s="116"/>
      <c r="J268" s="116"/>
      <c r="K268" s="116"/>
      <c r="L268" s="116"/>
      <c r="M268" s="116"/>
    </row>
    <row r="269" ht="15.75" hidden="1" customHeight="1">
      <c r="A269" s="122" t="s">
        <v>111</v>
      </c>
      <c r="B269" s="123"/>
      <c r="C269" s="115"/>
      <c r="D269" s="116"/>
      <c r="E269" s="110"/>
      <c r="F269" s="117"/>
      <c r="G269" s="116"/>
      <c r="H269" s="116"/>
      <c r="I269" s="116"/>
      <c r="J269" s="116"/>
      <c r="K269" s="116"/>
      <c r="L269" s="116"/>
      <c r="M269" s="116"/>
    </row>
    <row r="270" ht="15.75" hidden="1" customHeight="1">
      <c r="A270" s="122" t="s">
        <v>112</v>
      </c>
      <c r="B270" s="123"/>
      <c r="C270" s="115"/>
      <c r="D270" s="116"/>
      <c r="E270" s="110"/>
      <c r="F270" s="117"/>
      <c r="G270" s="116"/>
      <c r="H270" s="116"/>
      <c r="I270" s="116"/>
      <c r="J270" s="116"/>
      <c r="K270" s="116"/>
      <c r="L270" s="116"/>
      <c r="M270" s="116"/>
    </row>
    <row r="271" ht="15.75" hidden="1" customHeight="1">
      <c r="A271" s="124" t="s">
        <v>162</v>
      </c>
      <c r="B271" s="123"/>
      <c r="C271" s="115"/>
      <c r="D271" s="116"/>
      <c r="E271" s="110"/>
      <c r="F271" s="117"/>
      <c r="G271" s="116"/>
      <c r="H271" s="116"/>
      <c r="I271" s="116"/>
      <c r="J271" s="116"/>
      <c r="K271" s="116"/>
      <c r="L271" s="116"/>
      <c r="M271" s="116"/>
    </row>
    <row r="272" ht="15.75" hidden="1" customHeight="1">
      <c r="A272" s="122" t="s">
        <v>109</v>
      </c>
      <c r="B272" s="123"/>
      <c r="C272" s="115"/>
      <c r="D272" s="116"/>
      <c r="E272" s="110"/>
      <c r="F272" s="117"/>
      <c r="G272" s="116"/>
      <c r="H272" s="116"/>
      <c r="I272" s="116"/>
      <c r="J272" s="116"/>
      <c r="K272" s="116"/>
      <c r="L272" s="116"/>
      <c r="M272" s="116"/>
    </row>
    <row r="273" ht="15.75" hidden="1" customHeight="1">
      <c r="A273" s="122" t="s">
        <v>110</v>
      </c>
      <c r="B273" s="123"/>
      <c r="C273" s="115"/>
      <c r="D273" s="116"/>
      <c r="E273" s="110"/>
      <c r="F273" s="117"/>
      <c r="G273" s="116"/>
      <c r="H273" s="116"/>
      <c r="I273" s="116"/>
      <c r="J273" s="116"/>
      <c r="K273" s="116"/>
      <c r="L273" s="116"/>
      <c r="M273" s="116"/>
    </row>
    <row r="274" ht="15.75" hidden="1" customHeight="1">
      <c r="A274" s="122" t="s">
        <v>111</v>
      </c>
      <c r="B274" s="123"/>
      <c r="C274" s="115"/>
      <c r="D274" s="116"/>
      <c r="E274" s="110"/>
      <c r="F274" s="117"/>
      <c r="G274" s="116"/>
      <c r="H274" s="116"/>
      <c r="I274" s="116"/>
      <c r="J274" s="116"/>
      <c r="K274" s="116"/>
      <c r="L274" s="116"/>
      <c r="M274" s="116"/>
    </row>
    <row r="275" ht="15.75" hidden="1" customHeight="1">
      <c r="A275" s="122" t="s">
        <v>112</v>
      </c>
      <c r="B275" s="123"/>
      <c r="C275" s="115"/>
      <c r="D275" s="116"/>
      <c r="E275" s="110"/>
      <c r="F275" s="117"/>
      <c r="G275" s="116"/>
      <c r="H275" s="116"/>
      <c r="I275" s="116"/>
      <c r="J275" s="116"/>
      <c r="K275" s="116"/>
      <c r="L275" s="116"/>
      <c r="M275" s="116"/>
    </row>
    <row r="276" ht="15.75" hidden="1" customHeight="1">
      <c r="A276" s="124" t="s">
        <v>163</v>
      </c>
      <c r="B276" s="123"/>
      <c r="C276" s="115"/>
      <c r="D276" s="116"/>
      <c r="E276" s="110"/>
      <c r="F276" s="117"/>
      <c r="G276" s="116"/>
      <c r="H276" s="116"/>
      <c r="I276" s="116"/>
      <c r="J276" s="116"/>
      <c r="K276" s="116"/>
      <c r="L276" s="116"/>
      <c r="M276" s="116"/>
    </row>
    <row r="277" ht="15.75" hidden="1" customHeight="1">
      <c r="A277" s="122" t="s">
        <v>109</v>
      </c>
      <c r="B277" s="123"/>
      <c r="C277" s="115"/>
      <c r="D277" s="116"/>
      <c r="E277" s="110"/>
      <c r="F277" s="117"/>
      <c r="G277" s="116"/>
      <c r="H277" s="116"/>
      <c r="I277" s="116"/>
      <c r="J277" s="116"/>
      <c r="K277" s="116"/>
      <c r="L277" s="116"/>
      <c r="M277" s="116"/>
    </row>
    <row r="278" ht="15.75" hidden="1" customHeight="1">
      <c r="A278" s="122" t="s">
        <v>110</v>
      </c>
      <c r="B278" s="123"/>
      <c r="C278" s="115"/>
      <c r="D278" s="116"/>
      <c r="E278" s="110"/>
      <c r="F278" s="117"/>
      <c r="G278" s="116"/>
      <c r="H278" s="116"/>
      <c r="I278" s="116"/>
      <c r="J278" s="116"/>
      <c r="K278" s="116"/>
      <c r="L278" s="116"/>
      <c r="M278" s="116"/>
    </row>
    <row r="279" ht="15.75" hidden="1" customHeight="1">
      <c r="A279" s="122" t="s">
        <v>111</v>
      </c>
      <c r="B279" s="123"/>
      <c r="C279" s="115"/>
      <c r="D279" s="116"/>
      <c r="E279" s="110"/>
      <c r="F279" s="117"/>
      <c r="G279" s="116"/>
      <c r="H279" s="116"/>
      <c r="I279" s="116"/>
      <c r="J279" s="116"/>
      <c r="K279" s="116"/>
      <c r="L279" s="116"/>
      <c r="M279" s="116"/>
    </row>
    <row r="280" ht="15.75" hidden="1" customHeight="1">
      <c r="A280" s="122" t="s">
        <v>112</v>
      </c>
      <c r="B280" s="123"/>
      <c r="C280" s="115"/>
      <c r="D280" s="116"/>
      <c r="E280" s="110"/>
      <c r="F280" s="117"/>
      <c r="G280" s="116"/>
      <c r="H280" s="116"/>
      <c r="I280" s="116"/>
      <c r="J280" s="116"/>
      <c r="K280" s="116"/>
      <c r="L280" s="116"/>
      <c r="M280" s="116"/>
    </row>
    <row r="281" ht="15.75" hidden="1" customHeight="1">
      <c r="A281" s="124" t="s">
        <v>115</v>
      </c>
      <c r="B281" s="123"/>
      <c r="C281" s="115"/>
      <c r="D281" s="116"/>
      <c r="E281" s="110"/>
      <c r="F281" s="117"/>
      <c r="G281" s="116"/>
      <c r="H281" s="116"/>
      <c r="I281" s="116"/>
      <c r="J281" s="116"/>
      <c r="K281" s="116"/>
      <c r="L281" s="116"/>
      <c r="M281" s="116"/>
    </row>
    <row r="282" ht="15.75" hidden="1" customHeight="1">
      <c r="A282" s="122" t="s">
        <v>109</v>
      </c>
      <c r="B282" s="123"/>
      <c r="C282" s="115"/>
      <c r="D282" s="116"/>
      <c r="E282" s="110"/>
      <c r="F282" s="117"/>
      <c r="G282" s="116"/>
      <c r="H282" s="116"/>
      <c r="I282" s="116"/>
      <c r="J282" s="116"/>
      <c r="K282" s="116"/>
      <c r="L282" s="116"/>
      <c r="M282" s="116"/>
    </row>
    <row r="283" ht="15.75" hidden="1" customHeight="1">
      <c r="A283" s="122" t="s">
        <v>110</v>
      </c>
      <c r="B283" s="123"/>
      <c r="C283" s="115"/>
      <c r="D283" s="116"/>
      <c r="E283" s="110"/>
      <c r="F283" s="117"/>
      <c r="G283" s="116"/>
      <c r="H283" s="116"/>
      <c r="I283" s="116"/>
      <c r="J283" s="116"/>
      <c r="K283" s="116"/>
      <c r="L283" s="116"/>
      <c r="M283" s="116"/>
    </row>
    <row r="284" ht="15.75" hidden="1" customHeight="1">
      <c r="A284" s="122" t="s">
        <v>111</v>
      </c>
      <c r="B284" s="123"/>
      <c r="C284" s="115"/>
      <c r="D284" s="116"/>
      <c r="E284" s="110"/>
      <c r="F284" s="117"/>
      <c r="G284" s="116"/>
      <c r="H284" s="116"/>
      <c r="I284" s="116"/>
      <c r="J284" s="116"/>
      <c r="K284" s="116"/>
      <c r="L284" s="116"/>
      <c r="M284" s="116"/>
    </row>
    <row r="285" ht="15.75" hidden="1" customHeight="1">
      <c r="A285" s="122" t="s">
        <v>112</v>
      </c>
      <c r="B285" s="123"/>
      <c r="C285" s="115"/>
      <c r="D285" s="116"/>
      <c r="E285" s="110"/>
      <c r="F285" s="117"/>
      <c r="G285" s="116"/>
      <c r="H285" s="116"/>
      <c r="I285" s="116"/>
      <c r="J285" s="116"/>
      <c r="K285" s="116"/>
      <c r="L285" s="116"/>
      <c r="M285" s="116"/>
    </row>
    <row r="286" ht="15.75" hidden="1" customHeight="1">
      <c r="A286" s="124" t="s">
        <v>164</v>
      </c>
      <c r="B286" s="123"/>
      <c r="C286" s="115"/>
      <c r="D286" s="116"/>
      <c r="E286" s="110"/>
      <c r="F286" s="117"/>
      <c r="G286" s="116"/>
      <c r="H286" s="116"/>
      <c r="I286" s="116"/>
      <c r="J286" s="116"/>
      <c r="K286" s="116"/>
      <c r="L286" s="116"/>
      <c r="M286" s="116"/>
    </row>
    <row r="287" ht="15.75" hidden="1" customHeight="1">
      <c r="A287" s="122" t="s">
        <v>109</v>
      </c>
      <c r="B287" s="123"/>
      <c r="C287" s="115"/>
      <c r="D287" s="116"/>
      <c r="E287" s="110"/>
      <c r="F287" s="117"/>
      <c r="G287" s="116"/>
      <c r="H287" s="116"/>
      <c r="I287" s="116"/>
      <c r="J287" s="116"/>
      <c r="K287" s="116"/>
      <c r="L287" s="116"/>
      <c r="M287" s="116"/>
    </row>
    <row r="288" ht="15.75" hidden="1" customHeight="1">
      <c r="A288" s="122" t="s">
        <v>110</v>
      </c>
      <c r="B288" s="123"/>
      <c r="C288" s="115"/>
      <c r="D288" s="116"/>
      <c r="E288" s="110"/>
      <c r="F288" s="117"/>
      <c r="G288" s="116"/>
      <c r="H288" s="116"/>
      <c r="I288" s="116"/>
      <c r="J288" s="116"/>
      <c r="K288" s="116"/>
      <c r="L288" s="116"/>
      <c r="M288" s="116"/>
    </row>
    <row r="289" ht="15.75" hidden="1" customHeight="1">
      <c r="A289" s="122" t="s">
        <v>111</v>
      </c>
      <c r="B289" s="123"/>
      <c r="C289" s="115"/>
      <c r="D289" s="116"/>
      <c r="E289" s="110"/>
      <c r="F289" s="117"/>
      <c r="G289" s="116"/>
      <c r="H289" s="116"/>
      <c r="I289" s="116"/>
      <c r="J289" s="116"/>
      <c r="K289" s="116"/>
      <c r="L289" s="116"/>
      <c r="M289" s="116"/>
    </row>
    <row r="290" ht="15.75" hidden="1" customHeight="1">
      <c r="A290" s="122" t="s">
        <v>112</v>
      </c>
      <c r="B290" s="123"/>
      <c r="C290" s="115"/>
      <c r="D290" s="116"/>
      <c r="E290" s="110"/>
      <c r="F290" s="117"/>
      <c r="G290" s="116"/>
      <c r="H290" s="116"/>
      <c r="I290" s="116"/>
      <c r="J290" s="116"/>
      <c r="K290" s="116"/>
      <c r="L290" s="116"/>
      <c r="M290" s="116"/>
    </row>
    <row r="291" ht="15.75" hidden="1" customHeight="1">
      <c r="A291" s="124" t="s">
        <v>165</v>
      </c>
      <c r="B291" s="123"/>
      <c r="C291" s="115"/>
      <c r="D291" s="116"/>
      <c r="E291" s="110"/>
      <c r="F291" s="117"/>
      <c r="G291" s="116"/>
      <c r="H291" s="116"/>
      <c r="I291" s="116"/>
      <c r="J291" s="116"/>
      <c r="K291" s="116"/>
      <c r="L291" s="116"/>
      <c r="M291" s="116"/>
    </row>
    <row r="292" ht="15.75" hidden="1" customHeight="1">
      <c r="A292" s="122" t="s">
        <v>109</v>
      </c>
      <c r="B292" s="123"/>
      <c r="C292" s="115"/>
      <c r="D292" s="116"/>
      <c r="E292" s="110"/>
      <c r="F292" s="117"/>
      <c r="G292" s="116"/>
      <c r="H292" s="116"/>
      <c r="I292" s="116"/>
      <c r="J292" s="116"/>
      <c r="K292" s="116"/>
      <c r="L292" s="116"/>
      <c r="M292" s="116"/>
    </row>
    <row r="293" ht="15.75" hidden="1" customHeight="1">
      <c r="A293" s="122" t="s">
        <v>110</v>
      </c>
      <c r="B293" s="123"/>
      <c r="C293" s="115"/>
      <c r="D293" s="116"/>
      <c r="E293" s="110"/>
      <c r="F293" s="117"/>
      <c r="G293" s="116"/>
      <c r="H293" s="116"/>
      <c r="I293" s="116"/>
      <c r="J293" s="116"/>
      <c r="K293" s="116"/>
      <c r="L293" s="116"/>
      <c r="M293" s="116"/>
    </row>
    <row r="294" ht="15.75" hidden="1" customHeight="1">
      <c r="A294" s="122" t="s">
        <v>111</v>
      </c>
      <c r="B294" s="123"/>
      <c r="C294" s="115"/>
      <c r="D294" s="116"/>
      <c r="E294" s="110"/>
      <c r="F294" s="117"/>
      <c r="G294" s="116"/>
      <c r="H294" s="116"/>
      <c r="I294" s="116"/>
      <c r="J294" s="116"/>
      <c r="K294" s="116"/>
      <c r="L294" s="116"/>
      <c r="M294" s="116"/>
    </row>
    <row r="295" ht="15.75" hidden="1" customHeight="1">
      <c r="A295" s="122" t="s">
        <v>112</v>
      </c>
      <c r="B295" s="123"/>
      <c r="C295" s="115"/>
      <c r="D295" s="116"/>
      <c r="E295" s="110"/>
      <c r="F295" s="117"/>
      <c r="G295" s="116"/>
      <c r="H295" s="116"/>
      <c r="I295" s="116"/>
      <c r="J295" s="116"/>
      <c r="K295" s="116"/>
      <c r="L295" s="116"/>
      <c r="M295" s="116"/>
    </row>
    <row r="296" ht="15.75" hidden="1" customHeight="1">
      <c r="A296" s="124" t="s">
        <v>166</v>
      </c>
      <c r="B296" s="123"/>
      <c r="C296" s="115"/>
      <c r="D296" s="116"/>
      <c r="E296" s="110"/>
      <c r="F296" s="117"/>
      <c r="G296" s="116"/>
      <c r="H296" s="116"/>
      <c r="I296" s="116"/>
      <c r="J296" s="116"/>
      <c r="K296" s="116"/>
      <c r="L296" s="116"/>
      <c r="M296" s="116"/>
    </row>
    <row r="297" ht="15.75" hidden="1" customHeight="1">
      <c r="A297" s="122" t="s">
        <v>109</v>
      </c>
      <c r="B297" s="123"/>
      <c r="C297" s="115"/>
      <c r="D297" s="116"/>
      <c r="E297" s="110"/>
      <c r="F297" s="117"/>
      <c r="G297" s="116"/>
      <c r="H297" s="116"/>
      <c r="I297" s="116"/>
      <c r="J297" s="116"/>
      <c r="K297" s="116"/>
      <c r="L297" s="116"/>
      <c r="M297" s="116"/>
    </row>
    <row r="298" ht="15.75" hidden="1" customHeight="1">
      <c r="A298" s="122" t="s">
        <v>110</v>
      </c>
      <c r="B298" s="123"/>
      <c r="C298" s="115"/>
      <c r="D298" s="116"/>
      <c r="E298" s="110"/>
      <c r="F298" s="117"/>
      <c r="G298" s="116"/>
      <c r="H298" s="116"/>
      <c r="I298" s="116"/>
      <c r="J298" s="116"/>
      <c r="K298" s="116"/>
      <c r="L298" s="116"/>
      <c r="M298" s="116"/>
    </row>
    <row r="299" ht="15.75" hidden="1" customHeight="1">
      <c r="A299" s="122" t="s">
        <v>111</v>
      </c>
      <c r="B299" s="123"/>
      <c r="C299" s="115"/>
      <c r="D299" s="116"/>
      <c r="E299" s="110"/>
      <c r="F299" s="117"/>
      <c r="G299" s="116"/>
      <c r="H299" s="116"/>
      <c r="I299" s="116"/>
      <c r="J299" s="116"/>
      <c r="K299" s="116"/>
      <c r="L299" s="116"/>
      <c r="M299" s="116"/>
    </row>
    <row r="300" ht="15.75" hidden="1" customHeight="1">
      <c r="A300" s="122" t="s">
        <v>112</v>
      </c>
      <c r="B300" s="123"/>
      <c r="C300" s="115"/>
      <c r="D300" s="116"/>
      <c r="E300" s="110"/>
      <c r="F300" s="117"/>
      <c r="G300" s="116"/>
      <c r="H300" s="116"/>
      <c r="I300" s="116"/>
      <c r="J300" s="116"/>
      <c r="K300" s="116"/>
      <c r="L300" s="116"/>
      <c r="M300" s="116"/>
    </row>
    <row r="301" ht="15.75" hidden="1" customHeight="1">
      <c r="A301" s="122"/>
      <c r="B301" s="123"/>
      <c r="C301" s="115"/>
      <c r="D301" s="116"/>
      <c r="E301" s="110"/>
      <c r="F301" s="117"/>
      <c r="G301" s="116"/>
      <c r="H301" s="116"/>
      <c r="I301" s="116"/>
      <c r="J301" s="116"/>
      <c r="K301" s="116"/>
      <c r="L301" s="116"/>
      <c r="M301" s="116"/>
    </row>
    <row r="302" ht="24.0" hidden="1" customHeight="1">
      <c r="A302" s="124" t="s">
        <v>167</v>
      </c>
      <c r="B302" s="123"/>
      <c r="C302" s="115"/>
      <c r="D302" s="116"/>
      <c r="E302" s="110"/>
      <c r="F302" s="117"/>
      <c r="G302" s="116"/>
      <c r="H302" s="116"/>
      <c r="I302" s="116"/>
      <c r="J302" s="116"/>
      <c r="K302" s="116"/>
      <c r="L302" s="116"/>
      <c r="M302" s="116"/>
    </row>
    <row r="303" ht="15.75" hidden="1" customHeight="1">
      <c r="A303" s="122" t="s">
        <v>168</v>
      </c>
      <c r="B303" s="123"/>
      <c r="C303" s="115"/>
      <c r="D303" s="116"/>
      <c r="E303" s="110"/>
      <c r="F303" s="117"/>
      <c r="G303" s="116"/>
      <c r="H303" s="116"/>
      <c r="I303" s="116"/>
      <c r="J303" s="116"/>
      <c r="K303" s="116"/>
      <c r="L303" s="116"/>
      <c r="M303" s="116"/>
    </row>
    <row r="304" ht="15.75" hidden="1" customHeight="1">
      <c r="A304" s="122" t="s">
        <v>168</v>
      </c>
      <c r="B304" s="123"/>
      <c r="C304" s="115"/>
      <c r="D304" s="116"/>
      <c r="E304" s="110"/>
      <c r="F304" s="117"/>
      <c r="G304" s="116"/>
      <c r="H304" s="116"/>
      <c r="I304" s="116"/>
      <c r="J304" s="116"/>
      <c r="K304" s="116"/>
      <c r="L304" s="116"/>
      <c r="M304" s="116"/>
    </row>
    <row r="305" ht="15.75" hidden="1" customHeight="1">
      <c r="A305" s="122" t="s">
        <v>169</v>
      </c>
      <c r="B305" s="123"/>
      <c r="C305" s="115"/>
      <c r="D305" s="116"/>
      <c r="E305" s="110"/>
      <c r="F305" s="117"/>
      <c r="G305" s="116"/>
      <c r="H305" s="116"/>
      <c r="I305" s="116"/>
      <c r="J305" s="116"/>
      <c r="K305" s="116"/>
      <c r="L305" s="116"/>
      <c r="M305" s="116"/>
    </row>
    <row r="306" ht="15.75" hidden="1" customHeight="1">
      <c r="A306" s="122" t="s">
        <v>170</v>
      </c>
      <c r="B306" s="123"/>
      <c r="C306" s="115"/>
      <c r="D306" s="116"/>
      <c r="E306" s="110"/>
      <c r="F306" s="117"/>
      <c r="G306" s="116"/>
      <c r="H306" s="116"/>
      <c r="I306" s="116"/>
      <c r="J306" s="116"/>
      <c r="K306" s="116"/>
      <c r="L306" s="116"/>
      <c r="M306" s="116"/>
    </row>
    <row r="307" ht="15.75" hidden="1" customHeight="1">
      <c r="A307" s="122" t="s">
        <v>171</v>
      </c>
      <c r="B307" s="123"/>
      <c r="C307" s="115"/>
      <c r="D307" s="116"/>
      <c r="E307" s="110"/>
      <c r="F307" s="117"/>
      <c r="G307" s="116"/>
      <c r="H307" s="116"/>
      <c r="I307" s="116"/>
      <c r="J307" s="116"/>
      <c r="K307" s="116"/>
      <c r="L307" s="116"/>
      <c r="M307" s="116"/>
    </row>
    <row r="308" ht="15.75" hidden="1" customHeight="1">
      <c r="A308" s="122" t="s">
        <v>172</v>
      </c>
      <c r="B308" s="123"/>
      <c r="C308" s="115"/>
      <c r="D308" s="116"/>
      <c r="E308" s="110"/>
      <c r="F308" s="117"/>
      <c r="G308" s="116"/>
      <c r="H308" s="116"/>
      <c r="I308" s="116"/>
      <c r="J308" s="116"/>
      <c r="K308" s="116"/>
      <c r="L308" s="116"/>
      <c r="M308" s="116"/>
    </row>
    <row r="309" ht="15.75" hidden="1" customHeight="1">
      <c r="A309" s="122" t="s">
        <v>173</v>
      </c>
      <c r="B309" s="123"/>
      <c r="C309" s="115"/>
      <c r="D309" s="116"/>
      <c r="E309" s="110"/>
      <c r="F309" s="117"/>
      <c r="G309" s="116"/>
      <c r="H309" s="116"/>
      <c r="I309" s="116"/>
      <c r="J309" s="116"/>
      <c r="K309" s="116"/>
      <c r="L309" s="116"/>
      <c r="M309" s="116"/>
    </row>
    <row r="310" ht="15.75" hidden="1" customHeight="1">
      <c r="A310" s="122" t="s">
        <v>174</v>
      </c>
      <c r="B310" s="123"/>
      <c r="C310" s="115"/>
      <c r="D310" s="116"/>
      <c r="E310" s="110"/>
      <c r="F310" s="117"/>
      <c r="G310" s="116"/>
      <c r="H310" s="116"/>
      <c r="I310" s="116"/>
      <c r="J310" s="116"/>
      <c r="K310" s="116"/>
      <c r="L310" s="116"/>
      <c r="M310" s="116"/>
    </row>
    <row r="311" ht="15.75" hidden="1" customHeight="1">
      <c r="A311" s="122" t="s">
        <v>175</v>
      </c>
      <c r="B311" s="123"/>
      <c r="C311" s="115"/>
      <c r="D311" s="116"/>
      <c r="E311" s="110"/>
      <c r="F311" s="117"/>
      <c r="G311" s="116"/>
      <c r="H311" s="116"/>
      <c r="I311" s="116"/>
      <c r="J311" s="116"/>
      <c r="K311" s="116"/>
      <c r="L311" s="116"/>
      <c r="M311" s="116"/>
    </row>
    <row r="312" ht="15.75" hidden="1" customHeight="1">
      <c r="A312" s="122" t="s">
        <v>176</v>
      </c>
      <c r="B312" s="123"/>
      <c r="C312" s="115"/>
      <c r="D312" s="116"/>
      <c r="E312" s="110"/>
      <c r="F312" s="117"/>
      <c r="G312" s="116"/>
      <c r="H312" s="116"/>
      <c r="I312" s="116"/>
      <c r="J312" s="116"/>
      <c r="K312" s="116"/>
      <c r="L312" s="116"/>
      <c r="M312" s="116"/>
    </row>
    <row r="313" ht="15.75" hidden="1" customHeight="1">
      <c r="A313" s="122" t="s">
        <v>177</v>
      </c>
      <c r="B313" s="123"/>
      <c r="C313" s="115"/>
      <c r="D313" s="116"/>
      <c r="E313" s="110"/>
      <c r="F313" s="117"/>
      <c r="G313" s="116"/>
      <c r="H313" s="116"/>
      <c r="I313" s="116"/>
      <c r="J313" s="116"/>
      <c r="K313" s="116"/>
      <c r="L313" s="116"/>
      <c r="M313" s="116"/>
    </row>
    <row r="314" ht="15.75" hidden="1" customHeight="1">
      <c r="A314" s="122" t="s">
        <v>178</v>
      </c>
      <c r="B314" s="123"/>
      <c r="C314" s="115"/>
      <c r="D314" s="116"/>
      <c r="E314" s="110"/>
      <c r="F314" s="117"/>
      <c r="G314" s="116"/>
      <c r="H314" s="116"/>
      <c r="I314" s="116"/>
      <c r="J314" s="116"/>
      <c r="K314" s="116"/>
      <c r="L314" s="116"/>
      <c r="M314" s="116"/>
    </row>
    <row r="315" ht="15.75" hidden="1" customHeight="1">
      <c r="A315" s="122" t="s">
        <v>179</v>
      </c>
      <c r="B315" s="123"/>
      <c r="C315" s="115"/>
      <c r="D315" s="116"/>
      <c r="E315" s="110"/>
      <c r="F315" s="117"/>
      <c r="G315" s="116"/>
      <c r="H315" s="116"/>
      <c r="I315" s="116"/>
      <c r="J315" s="116"/>
      <c r="K315" s="116"/>
      <c r="L315" s="116"/>
      <c r="M315" s="116"/>
    </row>
    <row r="316" ht="15.75" hidden="1" customHeight="1">
      <c r="A316" s="122" t="s">
        <v>180</v>
      </c>
      <c r="B316" s="123"/>
      <c r="C316" s="115"/>
      <c r="D316" s="116"/>
      <c r="E316" s="110"/>
      <c r="F316" s="117"/>
      <c r="G316" s="116"/>
      <c r="H316" s="116"/>
      <c r="I316" s="116"/>
      <c r="J316" s="116"/>
      <c r="K316" s="116"/>
      <c r="L316" s="116"/>
      <c r="M316" s="116"/>
    </row>
    <row r="317" ht="15.75" hidden="1" customHeight="1">
      <c r="A317" s="122" t="s">
        <v>181</v>
      </c>
      <c r="B317" s="123"/>
      <c r="C317" s="115"/>
      <c r="D317" s="116"/>
      <c r="E317" s="110"/>
      <c r="F317" s="117"/>
      <c r="G317" s="116"/>
      <c r="H317" s="116"/>
      <c r="I317" s="116"/>
      <c r="J317" s="116"/>
      <c r="K317" s="116"/>
      <c r="L317" s="116"/>
      <c r="M317" s="116"/>
    </row>
    <row r="318" ht="15.75" hidden="1" customHeight="1">
      <c r="A318" s="122" t="s">
        <v>182</v>
      </c>
      <c r="B318" s="123"/>
      <c r="C318" s="115"/>
      <c r="D318" s="116"/>
      <c r="E318" s="110"/>
      <c r="F318" s="117"/>
      <c r="G318" s="116"/>
      <c r="H318" s="116"/>
      <c r="I318" s="116"/>
      <c r="J318" s="116"/>
      <c r="K318" s="116"/>
      <c r="L318" s="116"/>
      <c r="M318" s="116"/>
    </row>
    <row r="319" ht="15.75" hidden="1" customHeight="1">
      <c r="A319" s="122" t="s">
        <v>183</v>
      </c>
      <c r="B319" s="123"/>
      <c r="C319" s="115"/>
      <c r="D319" s="116"/>
      <c r="E319" s="110"/>
      <c r="F319" s="117"/>
      <c r="G319" s="116"/>
      <c r="H319" s="116"/>
      <c r="I319" s="116"/>
      <c r="J319" s="116"/>
      <c r="K319" s="116"/>
      <c r="L319" s="116"/>
      <c r="M319" s="116"/>
    </row>
    <row r="320" ht="15.75" hidden="1" customHeight="1">
      <c r="A320" s="122" t="s">
        <v>184</v>
      </c>
      <c r="B320" s="123"/>
      <c r="C320" s="115"/>
      <c r="D320" s="116"/>
      <c r="E320" s="110"/>
      <c r="F320" s="117"/>
      <c r="G320" s="116"/>
      <c r="H320" s="116"/>
      <c r="I320" s="116"/>
      <c r="J320" s="116"/>
      <c r="K320" s="116"/>
      <c r="L320" s="116"/>
      <c r="M320" s="116"/>
    </row>
    <row r="321" ht="15.75" hidden="1" customHeight="1">
      <c r="A321" s="122" t="s">
        <v>185</v>
      </c>
      <c r="B321" s="123"/>
      <c r="C321" s="115"/>
      <c r="D321" s="116"/>
      <c r="E321" s="110"/>
      <c r="F321" s="117"/>
      <c r="G321" s="116"/>
      <c r="H321" s="116"/>
      <c r="I321" s="116"/>
      <c r="J321" s="116"/>
      <c r="K321" s="116"/>
      <c r="L321" s="116"/>
      <c r="M321" s="116"/>
    </row>
    <row r="322" ht="15.75" hidden="1" customHeight="1">
      <c r="A322" s="122" t="s">
        <v>186</v>
      </c>
      <c r="B322" s="123"/>
      <c r="C322" s="115"/>
      <c r="D322" s="116"/>
      <c r="E322" s="110"/>
      <c r="F322" s="117"/>
      <c r="G322" s="116"/>
      <c r="H322" s="116"/>
      <c r="I322" s="116"/>
      <c r="J322" s="116"/>
      <c r="K322" s="116"/>
      <c r="L322" s="116"/>
      <c r="M322" s="116"/>
    </row>
    <row r="323" ht="21.75" hidden="1" customHeight="1">
      <c r="A323" s="122" t="s">
        <v>187</v>
      </c>
      <c r="B323" s="125" t="s">
        <v>118</v>
      </c>
      <c r="C323" s="115"/>
      <c r="D323" s="116"/>
      <c r="E323" s="110"/>
      <c r="F323" s="117"/>
      <c r="G323" s="116"/>
      <c r="H323" s="116"/>
      <c r="I323" s="116"/>
      <c r="J323" s="116"/>
      <c r="K323" s="116"/>
      <c r="L323" s="116"/>
      <c r="M323" s="116"/>
    </row>
    <row r="324" ht="15.75" hidden="1" customHeight="1">
      <c r="A324" s="122"/>
      <c r="B324" s="123"/>
      <c r="C324" s="115"/>
      <c r="D324" s="116"/>
      <c r="E324" s="110"/>
      <c r="F324" s="117"/>
      <c r="G324" s="116"/>
      <c r="H324" s="116"/>
      <c r="I324" s="116"/>
      <c r="J324" s="116"/>
      <c r="K324" s="116"/>
      <c r="L324" s="116"/>
      <c r="M324" s="116"/>
    </row>
    <row r="325" ht="21.75" customHeight="1">
      <c r="A325" s="124" t="s">
        <v>188</v>
      </c>
      <c r="B325" s="123"/>
      <c r="C325" s="115"/>
      <c r="D325" s="116"/>
      <c r="E325" s="110"/>
      <c r="F325" s="117"/>
      <c r="G325" s="116"/>
      <c r="H325" s="116"/>
      <c r="I325" s="116"/>
      <c r="J325" s="116"/>
      <c r="K325" s="116"/>
      <c r="L325" s="116"/>
      <c r="M325" s="116"/>
    </row>
    <row r="326" ht="21.75" customHeight="1">
      <c r="A326" s="122" t="s">
        <v>189</v>
      </c>
      <c r="B326" s="125" t="s">
        <v>118</v>
      </c>
      <c r="C326" s="115">
        <v>2857.0</v>
      </c>
      <c r="D326" s="116">
        <v>114.29</v>
      </c>
      <c r="E326" s="110"/>
      <c r="F326" s="117"/>
      <c r="G326" s="116"/>
      <c r="H326" s="116"/>
      <c r="I326" s="116"/>
      <c r="J326" s="116"/>
      <c r="K326" s="116"/>
      <c r="L326" s="116"/>
      <c r="M326" s="116"/>
    </row>
    <row r="327" ht="21.75" customHeight="1">
      <c r="A327" s="122" t="s">
        <v>190</v>
      </c>
      <c r="B327" s="125" t="s">
        <v>118</v>
      </c>
      <c r="C327" s="115">
        <v>28571.0</v>
      </c>
      <c r="D327" s="116">
        <v>285.71</v>
      </c>
      <c r="E327" s="126">
        <v>857.14</v>
      </c>
      <c r="F327" s="127">
        <v>85.71</v>
      </c>
      <c r="G327" s="128">
        <f>G49*30</f>
        <v>1200</v>
      </c>
      <c r="H327" s="128">
        <f>G327*0.1</f>
        <v>120</v>
      </c>
      <c r="I327" s="116"/>
      <c r="J327" s="116"/>
      <c r="K327" s="128">
        <f>K49*30</f>
        <v>1200</v>
      </c>
      <c r="L327" s="128">
        <f>K327*0.1</f>
        <v>120</v>
      </c>
      <c r="M327" s="116"/>
    </row>
    <row r="328" ht="15.75" hidden="1" customHeight="1">
      <c r="A328" s="122" t="s">
        <v>191</v>
      </c>
      <c r="B328" s="123"/>
      <c r="C328" s="115">
        <v>86.0</v>
      </c>
      <c r="D328" s="116">
        <v>25.71</v>
      </c>
      <c r="E328" s="110"/>
      <c r="F328" s="117"/>
      <c r="G328" s="116"/>
      <c r="H328" s="116"/>
      <c r="I328" s="116"/>
      <c r="J328" s="116"/>
      <c r="K328" s="116"/>
      <c r="L328" s="116"/>
      <c r="M328" s="116"/>
    </row>
    <row r="329" ht="15.75" hidden="1" customHeight="1">
      <c r="A329" s="129" t="s">
        <v>191</v>
      </c>
      <c r="B329" s="123"/>
      <c r="C329" s="115"/>
      <c r="D329" s="116"/>
      <c r="E329" s="110"/>
      <c r="F329" s="117"/>
      <c r="G329" s="116"/>
      <c r="H329" s="116"/>
      <c r="I329" s="116"/>
      <c r="J329" s="116"/>
      <c r="K329" s="116"/>
      <c r="L329" s="116"/>
      <c r="M329" s="116"/>
    </row>
    <row r="330" ht="19.5" customHeight="1">
      <c r="A330" s="129" t="s">
        <v>192</v>
      </c>
      <c r="B330" s="123" t="s">
        <v>193</v>
      </c>
      <c r="C330" s="115">
        <v>86.0</v>
      </c>
      <c r="D330" s="116">
        <v>25.71</v>
      </c>
      <c r="E330" s="110"/>
      <c r="F330" s="117"/>
      <c r="G330" s="116"/>
      <c r="H330" s="116"/>
      <c r="I330" s="116"/>
      <c r="J330" s="116"/>
      <c r="K330" s="116"/>
      <c r="L330" s="116"/>
      <c r="M330" s="116"/>
    </row>
    <row r="331" ht="15.75" hidden="1" customHeight="1">
      <c r="A331" s="122"/>
      <c r="B331" s="123"/>
      <c r="C331" s="115"/>
      <c r="D331" s="116"/>
      <c r="E331" s="110"/>
      <c r="F331" s="117"/>
      <c r="G331" s="116"/>
      <c r="H331" s="116"/>
      <c r="I331" s="116"/>
      <c r="J331" s="116"/>
      <c r="K331" s="116"/>
      <c r="L331" s="116"/>
      <c r="M331" s="116"/>
    </row>
    <row r="332" ht="15.75" hidden="1" customHeight="1">
      <c r="A332" s="122"/>
      <c r="B332" s="123"/>
      <c r="C332" s="115"/>
      <c r="D332" s="116"/>
      <c r="E332" s="110"/>
      <c r="F332" s="117"/>
      <c r="G332" s="116"/>
      <c r="H332" s="116"/>
      <c r="I332" s="116"/>
      <c r="J332" s="116"/>
      <c r="K332" s="116"/>
      <c r="L332" s="116"/>
      <c r="M332" s="116"/>
    </row>
    <row r="333" ht="15.75" hidden="1" customHeight="1">
      <c r="A333" s="122"/>
      <c r="B333" s="123"/>
      <c r="C333" s="115"/>
      <c r="D333" s="116"/>
      <c r="E333" s="110"/>
      <c r="F333" s="117"/>
      <c r="G333" s="116"/>
      <c r="H333" s="116"/>
      <c r="I333" s="116"/>
      <c r="J333" s="116"/>
      <c r="K333" s="116"/>
      <c r="L333" s="116"/>
      <c r="M333" s="116"/>
    </row>
    <row r="334" ht="15.75" hidden="1" customHeight="1">
      <c r="A334" s="124" t="s">
        <v>194</v>
      </c>
      <c r="B334" s="123"/>
      <c r="C334" s="115"/>
      <c r="D334" s="116"/>
      <c r="E334" s="110"/>
      <c r="F334" s="117"/>
      <c r="G334" s="116"/>
      <c r="H334" s="116"/>
      <c r="I334" s="116"/>
      <c r="J334" s="116"/>
      <c r="K334" s="116"/>
      <c r="L334" s="116"/>
      <c r="M334" s="116"/>
    </row>
    <row r="335" ht="15.75" hidden="1" customHeight="1">
      <c r="A335" s="122" t="s">
        <v>195</v>
      </c>
      <c r="B335" s="123"/>
      <c r="C335" s="115"/>
      <c r="D335" s="116"/>
      <c r="E335" s="110"/>
      <c r="F335" s="117"/>
      <c r="G335" s="116"/>
      <c r="H335" s="116"/>
      <c r="I335" s="116"/>
      <c r="J335" s="116"/>
      <c r="K335" s="116"/>
      <c r="L335" s="116"/>
      <c r="M335" s="116"/>
    </row>
    <row r="336" ht="15.75" hidden="1" customHeight="1">
      <c r="A336" s="122" t="s">
        <v>196</v>
      </c>
      <c r="B336" s="123"/>
      <c r="C336" s="115"/>
      <c r="D336" s="116"/>
      <c r="E336" s="110"/>
      <c r="F336" s="117"/>
      <c r="G336" s="116"/>
      <c r="H336" s="116"/>
      <c r="I336" s="116"/>
      <c r="J336" s="116"/>
      <c r="K336" s="116"/>
      <c r="L336" s="116"/>
      <c r="M336" s="116"/>
    </row>
    <row r="337" ht="15.75" hidden="1" customHeight="1">
      <c r="A337" s="122" t="s">
        <v>197</v>
      </c>
      <c r="B337" s="123"/>
      <c r="C337" s="115"/>
      <c r="D337" s="116"/>
      <c r="E337" s="110"/>
      <c r="F337" s="117"/>
      <c r="G337" s="116"/>
      <c r="H337" s="116"/>
      <c r="I337" s="116"/>
      <c r="J337" s="116"/>
      <c r="K337" s="116"/>
      <c r="L337" s="116"/>
      <c r="M337" s="116"/>
    </row>
    <row r="338" ht="15.75" hidden="1" customHeight="1">
      <c r="A338" s="122" t="s">
        <v>198</v>
      </c>
      <c r="B338" s="123"/>
      <c r="C338" s="115"/>
      <c r="D338" s="116"/>
      <c r="E338" s="110"/>
      <c r="F338" s="117"/>
      <c r="G338" s="116"/>
      <c r="H338" s="116"/>
      <c r="I338" s="116"/>
      <c r="J338" s="116"/>
      <c r="K338" s="116"/>
      <c r="L338" s="116"/>
      <c r="M338" s="116"/>
    </row>
    <row r="339" ht="15.75" hidden="1" customHeight="1">
      <c r="A339" s="122" t="s">
        <v>199</v>
      </c>
      <c r="B339" s="123"/>
      <c r="C339" s="115"/>
      <c r="D339" s="116"/>
      <c r="E339" s="110"/>
      <c r="F339" s="117"/>
      <c r="G339" s="116"/>
      <c r="H339" s="116"/>
      <c r="I339" s="116"/>
      <c r="J339" s="116"/>
      <c r="K339" s="116"/>
      <c r="L339" s="116"/>
      <c r="M339" s="116"/>
    </row>
    <row r="340" ht="15.75" hidden="1" customHeight="1">
      <c r="A340" s="122" t="s">
        <v>200</v>
      </c>
      <c r="B340" s="123"/>
      <c r="C340" s="115"/>
      <c r="D340" s="116"/>
      <c r="E340" s="110"/>
      <c r="F340" s="117"/>
      <c r="G340" s="116"/>
      <c r="H340" s="116"/>
      <c r="I340" s="116"/>
      <c r="J340" s="116"/>
      <c r="K340" s="116"/>
      <c r="L340" s="116"/>
      <c r="M340" s="116"/>
    </row>
    <row r="341" ht="15.75" hidden="1" customHeight="1">
      <c r="A341" s="122"/>
      <c r="B341" s="123"/>
      <c r="C341" s="115"/>
      <c r="D341" s="116"/>
      <c r="E341" s="110"/>
      <c r="F341" s="117"/>
      <c r="G341" s="116"/>
      <c r="H341" s="116"/>
      <c r="I341" s="116"/>
      <c r="J341" s="116"/>
      <c r="K341" s="116"/>
      <c r="L341" s="116"/>
      <c r="M341" s="116"/>
    </row>
    <row r="342" ht="15.75" hidden="1" customHeight="1">
      <c r="A342" s="124" t="s">
        <v>201</v>
      </c>
      <c r="B342" s="123"/>
      <c r="C342" s="115"/>
      <c r="D342" s="116"/>
      <c r="E342" s="110"/>
      <c r="F342" s="117"/>
      <c r="G342" s="116"/>
      <c r="H342" s="116"/>
      <c r="I342" s="116"/>
      <c r="J342" s="116"/>
      <c r="K342" s="116"/>
      <c r="L342" s="116"/>
      <c r="M342" s="116"/>
    </row>
    <row r="343" ht="15.75" hidden="1" customHeight="1">
      <c r="A343" s="122" t="s">
        <v>202</v>
      </c>
      <c r="B343" s="123"/>
      <c r="C343" s="115"/>
      <c r="D343" s="116"/>
      <c r="E343" s="110"/>
      <c r="F343" s="117"/>
      <c r="G343" s="116"/>
      <c r="H343" s="116"/>
      <c r="I343" s="116"/>
      <c r="J343" s="116"/>
      <c r="K343" s="116"/>
      <c r="L343" s="116"/>
      <c r="M343" s="116"/>
    </row>
    <row r="344" ht="15.75" hidden="1" customHeight="1">
      <c r="A344" s="122" t="s">
        <v>203</v>
      </c>
      <c r="B344" s="123"/>
      <c r="C344" s="115"/>
      <c r="D344" s="116"/>
      <c r="E344" s="110"/>
      <c r="F344" s="117"/>
      <c r="G344" s="116"/>
      <c r="H344" s="116"/>
      <c r="I344" s="116"/>
      <c r="J344" s="116"/>
      <c r="K344" s="116"/>
      <c r="L344" s="116"/>
      <c r="M344" s="116"/>
    </row>
    <row r="345" ht="15.75" hidden="1" customHeight="1">
      <c r="A345" s="122" t="s">
        <v>204</v>
      </c>
      <c r="B345" s="123"/>
      <c r="C345" s="115"/>
      <c r="D345" s="116"/>
      <c r="E345" s="110"/>
      <c r="F345" s="117"/>
      <c r="G345" s="116"/>
      <c r="H345" s="116"/>
      <c r="I345" s="116"/>
      <c r="J345" s="116"/>
      <c r="K345" s="116"/>
      <c r="L345" s="116"/>
      <c r="M345" s="116"/>
    </row>
    <row r="346" ht="15.75" hidden="1" customHeight="1">
      <c r="A346" s="122" t="s">
        <v>205</v>
      </c>
      <c r="B346" s="123"/>
      <c r="C346" s="115"/>
      <c r="D346" s="116"/>
      <c r="E346" s="110"/>
      <c r="F346" s="117"/>
      <c r="G346" s="116"/>
      <c r="H346" s="116"/>
      <c r="I346" s="116"/>
      <c r="J346" s="116"/>
      <c r="K346" s="116"/>
      <c r="L346" s="116"/>
      <c r="M346" s="116"/>
    </row>
    <row r="347" ht="15.75" hidden="1" customHeight="1">
      <c r="A347" s="122" t="s">
        <v>206</v>
      </c>
      <c r="B347" s="123"/>
      <c r="C347" s="115"/>
      <c r="D347" s="116"/>
      <c r="E347" s="110"/>
      <c r="F347" s="117"/>
      <c r="G347" s="116"/>
      <c r="H347" s="116"/>
      <c r="I347" s="116"/>
      <c r="J347" s="116"/>
      <c r="K347" s="116"/>
      <c r="L347" s="116"/>
      <c r="M347" s="116"/>
    </row>
    <row r="348" ht="15.75" hidden="1" customHeight="1">
      <c r="A348" s="122"/>
      <c r="B348" s="123"/>
      <c r="C348" s="115"/>
      <c r="D348" s="116"/>
      <c r="E348" s="110"/>
      <c r="F348" s="117"/>
      <c r="G348" s="116"/>
      <c r="H348" s="116"/>
      <c r="I348" s="116"/>
      <c r="J348" s="116"/>
      <c r="K348" s="116"/>
      <c r="L348" s="116"/>
      <c r="M348" s="116"/>
    </row>
    <row r="349" ht="15.75" hidden="1" customHeight="1">
      <c r="A349" s="122"/>
      <c r="B349" s="123"/>
      <c r="C349" s="115"/>
      <c r="D349" s="116"/>
      <c r="E349" s="110"/>
      <c r="F349" s="117"/>
      <c r="G349" s="116"/>
      <c r="H349" s="116"/>
      <c r="I349" s="116"/>
      <c r="J349" s="116"/>
      <c r="K349" s="116"/>
      <c r="L349" s="116"/>
      <c r="M349" s="116"/>
    </row>
    <row r="350" ht="15.75" hidden="1" customHeight="1">
      <c r="A350" s="122"/>
      <c r="B350" s="123"/>
      <c r="C350" s="115"/>
      <c r="D350" s="116"/>
      <c r="E350" s="110"/>
      <c r="F350" s="117"/>
      <c r="G350" s="116"/>
      <c r="H350" s="116"/>
      <c r="I350" s="116"/>
      <c r="J350" s="116"/>
      <c r="K350" s="116"/>
      <c r="L350" s="116"/>
      <c r="M350" s="116"/>
    </row>
    <row r="351" ht="15.75" hidden="1" customHeight="1">
      <c r="A351" s="124" t="s">
        <v>207</v>
      </c>
      <c r="B351" s="123"/>
      <c r="C351" s="115"/>
      <c r="D351" s="116"/>
      <c r="E351" s="110"/>
      <c r="F351" s="117"/>
      <c r="G351" s="116"/>
      <c r="H351" s="116"/>
      <c r="I351" s="116"/>
      <c r="J351" s="116"/>
      <c r="K351" s="116"/>
      <c r="L351" s="116"/>
      <c r="M351" s="116"/>
    </row>
    <row r="352" ht="15.75" hidden="1" customHeight="1">
      <c r="A352" s="122" t="s">
        <v>208</v>
      </c>
      <c r="B352" s="123"/>
      <c r="C352" s="115"/>
      <c r="D352" s="116"/>
      <c r="E352" s="110"/>
      <c r="F352" s="117"/>
      <c r="G352" s="116"/>
      <c r="H352" s="116"/>
      <c r="I352" s="116"/>
      <c r="J352" s="116"/>
      <c r="K352" s="116"/>
      <c r="L352" s="116"/>
      <c r="M352" s="116"/>
    </row>
    <row r="353" ht="15.75" hidden="1" customHeight="1">
      <c r="A353" s="122" t="s">
        <v>209</v>
      </c>
      <c r="B353" s="123"/>
      <c r="C353" s="115"/>
      <c r="D353" s="116"/>
      <c r="E353" s="110"/>
      <c r="F353" s="117"/>
      <c r="G353" s="116"/>
      <c r="H353" s="116"/>
      <c r="I353" s="116"/>
      <c r="J353" s="116"/>
      <c r="K353" s="116"/>
      <c r="L353" s="116"/>
      <c r="M353" s="116"/>
    </row>
    <row r="354" ht="15.75" hidden="1" customHeight="1">
      <c r="A354" s="122" t="s">
        <v>210</v>
      </c>
      <c r="B354" s="123"/>
      <c r="C354" s="115"/>
      <c r="D354" s="116"/>
      <c r="E354" s="110"/>
      <c r="F354" s="117"/>
      <c r="G354" s="116"/>
      <c r="H354" s="116"/>
      <c r="I354" s="116"/>
      <c r="J354" s="116"/>
      <c r="K354" s="116"/>
      <c r="L354" s="116"/>
      <c r="M354" s="116"/>
    </row>
    <row r="355" ht="15.75" hidden="1" customHeight="1">
      <c r="A355" s="122"/>
      <c r="B355" s="123"/>
      <c r="C355" s="115"/>
      <c r="D355" s="116"/>
      <c r="E355" s="110"/>
      <c r="F355" s="117"/>
      <c r="G355" s="116"/>
      <c r="H355" s="116"/>
      <c r="I355" s="116"/>
      <c r="J355" s="116"/>
      <c r="K355" s="116"/>
      <c r="L355" s="116"/>
      <c r="M355" s="116"/>
    </row>
    <row r="356" ht="15.75" hidden="1" customHeight="1">
      <c r="A356" s="124" t="s">
        <v>211</v>
      </c>
      <c r="B356" s="123"/>
      <c r="C356" s="115"/>
      <c r="D356" s="116"/>
      <c r="E356" s="110"/>
      <c r="F356" s="117"/>
      <c r="G356" s="116"/>
      <c r="H356" s="116"/>
      <c r="I356" s="116"/>
      <c r="J356" s="116"/>
      <c r="K356" s="116"/>
      <c r="L356" s="116"/>
      <c r="M356" s="116"/>
    </row>
    <row r="357" ht="15.75" hidden="1" customHeight="1">
      <c r="A357" s="122" t="s">
        <v>212</v>
      </c>
      <c r="B357" s="123"/>
      <c r="C357" s="115"/>
      <c r="D357" s="116"/>
      <c r="E357" s="110"/>
      <c r="F357" s="117"/>
      <c r="G357" s="116"/>
      <c r="H357" s="116"/>
      <c r="I357" s="116"/>
      <c r="J357" s="116"/>
      <c r="K357" s="116"/>
      <c r="L357" s="116"/>
      <c r="M357" s="116"/>
    </row>
    <row r="358" ht="15.75" hidden="1" customHeight="1">
      <c r="A358" s="122" t="s">
        <v>213</v>
      </c>
      <c r="B358" s="123"/>
      <c r="C358" s="115"/>
      <c r="D358" s="116"/>
      <c r="E358" s="110"/>
      <c r="F358" s="117"/>
      <c r="G358" s="116"/>
      <c r="H358" s="116"/>
      <c r="I358" s="116"/>
      <c r="J358" s="116"/>
      <c r="K358" s="116"/>
      <c r="L358" s="116"/>
      <c r="M358" s="116"/>
    </row>
    <row r="359" ht="15.75" hidden="1" customHeight="1">
      <c r="A359" s="122" t="s">
        <v>214</v>
      </c>
      <c r="B359" s="123"/>
      <c r="C359" s="115"/>
      <c r="D359" s="116"/>
      <c r="E359" s="110"/>
      <c r="F359" s="117"/>
      <c r="G359" s="116"/>
      <c r="H359" s="116"/>
      <c r="I359" s="116"/>
      <c r="J359" s="116"/>
      <c r="K359" s="116"/>
      <c r="L359" s="116"/>
      <c r="M359" s="116"/>
    </row>
    <row r="360" ht="15.75" hidden="1" customHeight="1">
      <c r="A360" s="122" t="s">
        <v>215</v>
      </c>
      <c r="B360" s="123"/>
      <c r="C360" s="115"/>
      <c r="D360" s="116"/>
      <c r="E360" s="110"/>
      <c r="F360" s="117"/>
      <c r="G360" s="116"/>
      <c r="H360" s="116"/>
      <c r="I360" s="116"/>
      <c r="J360" s="116"/>
      <c r="K360" s="116"/>
      <c r="L360" s="116"/>
      <c r="M360" s="116"/>
    </row>
    <row r="361" ht="15.75" hidden="1" customHeight="1">
      <c r="A361" s="122"/>
      <c r="B361" s="123"/>
      <c r="C361" s="115"/>
      <c r="D361" s="116"/>
      <c r="E361" s="110"/>
      <c r="F361" s="117"/>
      <c r="G361" s="116"/>
      <c r="H361" s="116"/>
      <c r="I361" s="116"/>
      <c r="J361" s="116"/>
      <c r="K361" s="116"/>
      <c r="L361" s="116"/>
      <c r="M361" s="116"/>
    </row>
    <row r="362" ht="15.75" hidden="1" customHeight="1">
      <c r="A362" s="122"/>
      <c r="B362" s="123"/>
      <c r="C362" s="115"/>
      <c r="D362" s="116"/>
      <c r="E362" s="110"/>
      <c r="F362" s="117"/>
      <c r="G362" s="116"/>
      <c r="H362" s="116"/>
      <c r="I362" s="116"/>
      <c r="J362" s="116"/>
      <c r="K362" s="116"/>
      <c r="L362" s="116"/>
      <c r="M362" s="116"/>
    </row>
    <row r="363" ht="15.75" hidden="1" customHeight="1">
      <c r="A363" s="124" t="s">
        <v>216</v>
      </c>
      <c r="B363" s="123"/>
      <c r="C363" s="115"/>
      <c r="D363" s="116"/>
      <c r="E363" s="110"/>
      <c r="F363" s="117"/>
      <c r="G363" s="116"/>
      <c r="H363" s="116"/>
      <c r="I363" s="116"/>
      <c r="J363" s="116"/>
      <c r="K363" s="116"/>
      <c r="L363" s="116"/>
      <c r="M363" s="116"/>
    </row>
    <row r="364" ht="15.75" hidden="1" customHeight="1">
      <c r="A364" s="122" t="s">
        <v>217</v>
      </c>
      <c r="B364" s="123"/>
      <c r="C364" s="115"/>
      <c r="D364" s="116"/>
      <c r="E364" s="110"/>
      <c r="F364" s="117"/>
      <c r="G364" s="116"/>
      <c r="H364" s="116"/>
      <c r="I364" s="116"/>
      <c r="J364" s="116"/>
      <c r="K364" s="116"/>
      <c r="L364" s="116"/>
      <c r="M364" s="116"/>
    </row>
    <row r="365" ht="15.75" hidden="1" customHeight="1">
      <c r="A365" s="122"/>
      <c r="B365" s="123"/>
      <c r="C365" s="115"/>
      <c r="D365" s="116"/>
      <c r="E365" s="110"/>
      <c r="F365" s="117"/>
      <c r="G365" s="116"/>
      <c r="H365" s="116"/>
      <c r="I365" s="116"/>
      <c r="J365" s="116"/>
      <c r="K365" s="116"/>
      <c r="L365" s="116"/>
      <c r="M365" s="116"/>
    </row>
    <row r="366" ht="15.75" hidden="1" customHeight="1">
      <c r="A366" s="122"/>
      <c r="B366" s="123"/>
      <c r="C366" s="115"/>
      <c r="D366" s="116"/>
      <c r="E366" s="110"/>
      <c r="F366" s="117"/>
      <c r="G366" s="116"/>
      <c r="H366" s="116"/>
      <c r="I366" s="116"/>
      <c r="J366" s="116"/>
      <c r="K366" s="116"/>
      <c r="L366" s="116"/>
      <c r="M366" s="116"/>
    </row>
    <row r="367" ht="15.75" hidden="1" customHeight="1">
      <c r="A367" s="122"/>
      <c r="B367" s="123"/>
      <c r="C367" s="115"/>
      <c r="D367" s="116"/>
      <c r="E367" s="110"/>
      <c r="F367" s="117"/>
      <c r="G367" s="116"/>
      <c r="H367" s="116"/>
      <c r="I367" s="116"/>
      <c r="J367" s="116"/>
      <c r="K367" s="116"/>
      <c r="L367" s="116"/>
      <c r="M367" s="116"/>
    </row>
    <row r="368" ht="15.75" hidden="1" customHeight="1">
      <c r="A368" s="124" t="s">
        <v>218</v>
      </c>
      <c r="B368" s="123"/>
      <c r="C368" s="115"/>
      <c r="D368" s="116"/>
      <c r="E368" s="110"/>
      <c r="F368" s="117"/>
      <c r="G368" s="116"/>
      <c r="H368" s="116"/>
      <c r="I368" s="116"/>
      <c r="J368" s="116"/>
      <c r="K368" s="116"/>
      <c r="L368" s="116"/>
      <c r="M368" s="116"/>
    </row>
    <row r="369" ht="15.75" hidden="1" customHeight="1">
      <c r="A369" s="124" t="s">
        <v>219</v>
      </c>
      <c r="B369" s="123"/>
      <c r="C369" s="115"/>
      <c r="D369" s="116"/>
      <c r="E369" s="110"/>
      <c r="F369" s="117"/>
      <c r="G369" s="116"/>
      <c r="H369" s="116"/>
      <c r="I369" s="116"/>
      <c r="J369" s="116"/>
      <c r="K369" s="116"/>
      <c r="L369" s="116"/>
      <c r="M369" s="116"/>
    </row>
    <row r="370" ht="15.75" hidden="1" customHeight="1">
      <c r="A370" s="122" t="s">
        <v>220</v>
      </c>
      <c r="B370" s="123"/>
      <c r="C370" s="115"/>
      <c r="D370" s="116"/>
      <c r="E370" s="110"/>
      <c r="F370" s="117"/>
      <c r="G370" s="116"/>
      <c r="H370" s="116"/>
      <c r="I370" s="116"/>
      <c r="J370" s="116"/>
      <c r="K370" s="116"/>
      <c r="L370" s="116"/>
      <c r="M370" s="116"/>
    </row>
    <row r="371" ht="15.75" hidden="1" customHeight="1">
      <c r="A371" s="122" t="s">
        <v>221</v>
      </c>
      <c r="B371" s="123"/>
      <c r="C371" s="115"/>
      <c r="D371" s="116"/>
      <c r="E371" s="110"/>
      <c r="F371" s="117"/>
      <c r="G371" s="116"/>
      <c r="H371" s="116"/>
      <c r="I371" s="116"/>
      <c r="J371" s="116"/>
      <c r="K371" s="116"/>
      <c r="L371" s="116"/>
      <c r="M371" s="116"/>
    </row>
    <row r="372" ht="15.75" hidden="1" customHeight="1">
      <c r="A372" s="122" t="s">
        <v>222</v>
      </c>
      <c r="B372" s="123"/>
      <c r="C372" s="115"/>
      <c r="D372" s="116"/>
      <c r="E372" s="110"/>
      <c r="F372" s="117"/>
      <c r="G372" s="116"/>
      <c r="H372" s="116"/>
      <c r="I372" s="116"/>
      <c r="J372" s="116"/>
      <c r="K372" s="116"/>
      <c r="L372" s="116"/>
      <c r="M372" s="116"/>
    </row>
    <row r="373" ht="15.75" hidden="1" customHeight="1">
      <c r="A373" s="122" t="s">
        <v>223</v>
      </c>
      <c r="B373" s="123"/>
      <c r="C373" s="115"/>
      <c r="D373" s="116"/>
      <c r="E373" s="110"/>
      <c r="F373" s="117"/>
      <c r="G373" s="116"/>
      <c r="H373" s="116"/>
      <c r="I373" s="116"/>
      <c r="J373" s="116"/>
      <c r="K373" s="116"/>
      <c r="L373" s="116"/>
      <c r="M373" s="116"/>
    </row>
    <row r="374" ht="15.75" hidden="1" customHeight="1">
      <c r="A374" s="122" t="s">
        <v>224</v>
      </c>
      <c r="B374" s="123"/>
      <c r="C374" s="115"/>
      <c r="D374" s="116"/>
      <c r="E374" s="110"/>
      <c r="F374" s="117"/>
      <c r="G374" s="116"/>
      <c r="H374" s="116"/>
      <c r="I374" s="116"/>
      <c r="J374" s="116"/>
      <c r="K374" s="116"/>
      <c r="L374" s="116"/>
      <c r="M374" s="116"/>
    </row>
    <row r="375" ht="15.75" hidden="1" customHeight="1">
      <c r="A375" s="122" t="s">
        <v>225</v>
      </c>
      <c r="B375" s="123"/>
      <c r="C375" s="115"/>
      <c r="D375" s="116"/>
      <c r="E375" s="110"/>
      <c r="F375" s="117"/>
      <c r="G375" s="116"/>
      <c r="H375" s="116"/>
      <c r="I375" s="116"/>
      <c r="J375" s="116"/>
      <c r="K375" s="116"/>
      <c r="L375" s="116"/>
      <c r="M375" s="116"/>
    </row>
    <row r="376" ht="15.75" hidden="1" customHeight="1">
      <c r="A376" s="122" t="s">
        <v>226</v>
      </c>
      <c r="B376" s="123"/>
      <c r="C376" s="115"/>
      <c r="D376" s="116"/>
      <c r="E376" s="110"/>
      <c r="F376" s="117"/>
      <c r="G376" s="116"/>
      <c r="H376" s="116"/>
      <c r="I376" s="116"/>
      <c r="J376" s="116"/>
      <c r="K376" s="116"/>
      <c r="L376" s="116"/>
      <c r="M376" s="116"/>
    </row>
    <row r="377" ht="15.75" hidden="1" customHeight="1">
      <c r="A377" s="122" t="s">
        <v>227</v>
      </c>
      <c r="B377" s="123"/>
      <c r="C377" s="115"/>
      <c r="D377" s="116"/>
      <c r="E377" s="110"/>
      <c r="F377" s="117"/>
      <c r="G377" s="116"/>
      <c r="H377" s="116"/>
      <c r="I377" s="116"/>
      <c r="J377" s="116"/>
      <c r="K377" s="116"/>
      <c r="L377" s="116"/>
      <c r="M377" s="116"/>
    </row>
    <row r="378" ht="15.75" hidden="1" customHeight="1">
      <c r="A378" s="122" t="s">
        <v>228</v>
      </c>
      <c r="B378" s="123"/>
      <c r="C378" s="115"/>
      <c r="D378" s="116"/>
      <c r="E378" s="110"/>
      <c r="F378" s="117"/>
      <c r="G378" s="116"/>
      <c r="H378" s="116"/>
      <c r="I378" s="116"/>
      <c r="J378" s="116"/>
      <c r="K378" s="116"/>
      <c r="L378" s="116"/>
      <c r="M378" s="116"/>
    </row>
    <row r="379" ht="15.75" hidden="1" customHeight="1">
      <c r="A379" s="122" t="s">
        <v>229</v>
      </c>
      <c r="B379" s="123"/>
      <c r="C379" s="115"/>
      <c r="D379" s="116"/>
      <c r="E379" s="110"/>
      <c r="F379" s="117"/>
      <c r="G379" s="116"/>
      <c r="H379" s="116"/>
      <c r="I379" s="116"/>
      <c r="J379" s="116"/>
      <c r="K379" s="116"/>
      <c r="L379" s="116"/>
      <c r="M379" s="116"/>
    </row>
    <row r="380" ht="15.75" hidden="1" customHeight="1">
      <c r="A380" s="122" t="s">
        <v>230</v>
      </c>
      <c r="B380" s="123"/>
      <c r="C380" s="115"/>
      <c r="D380" s="116"/>
      <c r="E380" s="110"/>
      <c r="F380" s="117"/>
      <c r="G380" s="116"/>
      <c r="H380" s="116"/>
      <c r="I380" s="116"/>
      <c r="J380" s="116"/>
      <c r="K380" s="116"/>
      <c r="L380" s="116"/>
      <c r="M380" s="116"/>
    </row>
    <row r="381" ht="15.75" hidden="1" customHeight="1">
      <c r="A381" s="122" t="s">
        <v>231</v>
      </c>
      <c r="B381" s="123"/>
      <c r="C381" s="115"/>
      <c r="D381" s="116"/>
      <c r="E381" s="110"/>
      <c r="F381" s="117"/>
      <c r="G381" s="116"/>
      <c r="H381" s="116"/>
      <c r="I381" s="116"/>
      <c r="J381" s="116"/>
      <c r="K381" s="116"/>
      <c r="L381" s="116"/>
      <c r="M381" s="116"/>
    </row>
    <row r="382" ht="15.75" hidden="1" customHeight="1">
      <c r="A382" s="122"/>
      <c r="B382" s="123"/>
      <c r="C382" s="115"/>
      <c r="D382" s="116"/>
      <c r="E382" s="110"/>
      <c r="F382" s="117"/>
      <c r="G382" s="116"/>
      <c r="H382" s="116"/>
      <c r="I382" s="116"/>
      <c r="J382" s="116"/>
      <c r="K382" s="116"/>
      <c r="L382" s="116"/>
      <c r="M382" s="116"/>
    </row>
    <row r="383" ht="15.75" hidden="1" customHeight="1">
      <c r="A383" s="124" t="s">
        <v>232</v>
      </c>
      <c r="B383" s="123"/>
      <c r="C383" s="115"/>
      <c r="D383" s="116"/>
      <c r="E383" s="110"/>
      <c r="F383" s="117"/>
      <c r="G383" s="116"/>
      <c r="H383" s="116"/>
      <c r="I383" s="116"/>
      <c r="J383" s="116"/>
      <c r="K383" s="116"/>
      <c r="L383" s="116"/>
      <c r="M383" s="116"/>
    </row>
    <row r="384" ht="15.75" hidden="1" customHeight="1">
      <c r="A384" s="122" t="s">
        <v>220</v>
      </c>
      <c r="B384" s="123"/>
      <c r="C384" s="115"/>
      <c r="D384" s="116"/>
      <c r="E384" s="110"/>
      <c r="F384" s="117"/>
      <c r="G384" s="116"/>
      <c r="H384" s="116"/>
      <c r="I384" s="116"/>
      <c r="J384" s="116"/>
      <c r="K384" s="116"/>
      <c r="L384" s="116"/>
      <c r="M384" s="116"/>
    </row>
    <row r="385" ht="15.75" hidden="1" customHeight="1">
      <c r="A385" s="122" t="s">
        <v>221</v>
      </c>
      <c r="B385" s="123"/>
      <c r="C385" s="115"/>
      <c r="D385" s="116"/>
      <c r="E385" s="110"/>
      <c r="F385" s="117"/>
      <c r="G385" s="116"/>
      <c r="H385" s="116"/>
      <c r="I385" s="116"/>
      <c r="J385" s="116"/>
      <c r="K385" s="116"/>
      <c r="L385" s="116"/>
      <c r="M385" s="116"/>
    </row>
    <row r="386" ht="15.75" hidden="1" customHeight="1">
      <c r="A386" s="122" t="s">
        <v>222</v>
      </c>
      <c r="B386" s="123"/>
      <c r="C386" s="115"/>
      <c r="D386" s="116"/>
      <c r="E386" s="110"/>
      <c r="F386" s="117"/>
      <c r="G386" s="116"/>
      <c r="H386" s="116"/>
      <c r="I386" s="116"/>
      <c r="J386" s="116"/>
      <c r="K386" s="116"/>
      <c r="L386" s="116"/>
      <c r="M386" s="116"/>
    </row>
    <row r="387" ht="15.75" hidden="1" customHeight="1">
      <c r="A387" s="122" t="s">
        <v>223</v>
      </c>
      <c r="B387" s="123"/>
      <c r="C387" s="115"/>
      <c r="D387" s="116"/>
      <c r="E387" s="110"/>
      <c r="F387" s="117"/>
      <c r="G387" s="116"/>
      <c r="H387" s="116"/>
      <c r="I387" s="116"/>
      <c r="J387" s="116"/>
      <c r="K387" s="116"/>
      <c r="L387" s="116"/>
      <c r="M387" s="116"/>
    </row>
    <row r="388" ht="15.75" hidden="1" customHeight="1">
      <c r="A388" s="122" t="s">
        <v>224</v>
      </c>
      <c r="B388" s="123"/>
      <c r="C388" s="115"/>
      <c r="D388" s="116"/>
      <c r="E388" s="110"/>
      <c r="F388" s="117"/>
      <c r="G388" s="116"/>
      <c r="H388" s="116"/>
      <c r="I388" s="116"/>
      <c r="J388" s="116"/>
      <c r="K388" s="116"/>
      <c r="L388" s="116"/>
      <c r="M388" s="116"/>
    </row>
    <row r="389" ht="15.75" hidden="1" customHeight="1">
      <c r="A389" s="122" t="s">
        <v>225</v>
      </c>
      <c r="B389" s="123"/>
      <c r="C389" s="115"/>
      <c r="D389" s="116"/>
      <c r="E389" s="110"/>
      <c r="F389" s="117"/>
      <c r="G389" s="116"/>
      <c r="H389" s="116"/>
      <c r="I389" s="116"/>
      <c r="J389" s="116"/>
      <c r="K389" s="116"/>
      <c r="L389" s="116"/>
      <c r="M389" s="116"/>
    </row>
    <row r="390" ht="15.75" hidden="1" customHeight="1">
      <c r="A390" s="122" t="s">
        <v>226</v>
      </c>
      <c r="B390" s="123"/>
      <c r="C390" s="115"/>
      <c r="D390" s="116"/>
      <c r="E390" s="110"/>
      <c r="F390" s="117"/>
      <c r="G390" s="116"/>
      <c r="H390" s="116"/>
      <c r="I390" s="116"/>
      <c r="J390" s="116"/>
      <c r="K390" s="116"/>
      <c r="L390" s="116"/>
      <c r="M390" s="116"/>
    </row>
    <row r="391" ht="15.75" hidden="1" customHeight="1">
      <c r="A391" s="122" t="s">
        <v>227</v>
      </c>
      <c r="B391" s="123"/>
      <c r="C391" s="115"/>
      <c r="D391" s="116"/>
      <c r="E391" s="110"/>
      <c r="F391" s="117"/>
      <c r="G391" s="116"/>
      <c r="H391" s="116"/>
      <c r="I391" s="116"/>
      <c r="J391" s="116"/>
      <c r="K391" s="116"/>
      <c r="L391" s="116"/>
      <c r="M391" s="116"/>
    </row>
    <row r="392" ht="15.75" hidden="1" customHeight="1">
      <c r="A392" s="122" t="s">
        <v>228</v>
      </c>
      <c r="B392" s="123"/>
      <c r="C392" s="115"/>
      <c r="D392" s="116"/>
      <c r="E392" s="110"/>
      <c r="F392" s="117"/>
      <c r="G392" s="116"/>
      <c r="H392" s="116"/>
      <c r="I392" s="116"/>
      <c r="J392" s="116"/>
      <c r="K392" s="116"/>
      <c r="L392" s="116"/>
      <c r="M392" s="116"/>
    </row>
    <row r="393" ht="15.75" hidden="1" customHeight="1">
      <c r="A393" s="122" t="s">
        <v>233</v>
      </c>
      <c r="B393" s="123"/>
      <c r="C393" s="115"/>
      <c r="D393" s="116"/>
      <c r="E393" s="110"/>
      <c r="F393" s="117"/>
      <c r="G393" s="116"/>
      <c r="H393" s="116"/>
      <c r="I393" s="116"/>
      <c r="J393" s="116"/>
      <c r="K393" s="116"/>
      <c r="L393" s="116"/>
      <c r="M393" s="116"/>
    </row>
    <row r="394" ht="15.75" hidden="1" customHeight="1">
      <c r="A394" s="122" t="s">
        <v>234</v>
      </c>
      <c r="B394" s="123"/>
      <c r="C394" s="115"/>
      <c r="D394" s="116"/>
      <c r="E394" s="110"/>
      <c r="F394" s="117"/>
      <c r="G394" s="116"/>
      <c r="H394" s="116"/>
      <c r="I394" s="116"/>
      <c r="J394" s="116"/>
      <c r="K394" s="116"/>
      <c r="L394" s="116"/>
      <c r="M394" s="116"/>
    </row>
    <row r="395" ht="15.75" hidden="1" customHeight="1">
      <c r="A395" s="122" t="s">
        <v>235</v>
      </c>
      <c r="B395" s="123"/>
      <c r="C395" s="115"/>
      <c r="D395" s="116"/>
      <c r="E395" s="110"/>
      <c r="F395" s="117"/>
      <c r="G395" s="116"/>
      <c r="H395" s="116"/>
      <c r="I395" s="116"/>
      <c r="J395" s="116"/>
      <c r="K395" s="116"/>
      <c r="L395" s="116"/>
      <c r="M395" s="116"/>
    </row>
    <row r="396" ht="15.75" hidden="1" customHeight="1">
      <c r="A396" s="122" t="s">
        <v>236</v>
      </c>
      <c r="B396" s="123"/>
      <c r="C396" s="115"/>
      <c r="D396" s="116"/>
      <c r="E396" s="110"/>
      <c r="F396" s="117"/>
      <c r="G396" s="116"/>
      <c r="H396" s="116"/>
      <c r="I396" s="116"/>
      <c r="J396" s="116"/>
      <c r="K396" s="116"/>
      <c r="L396" s="116"/>
      <c r="M396" s="116"/>
    </row>
    <row r="397" ht="15.75" hidden="1" customHeight="1">
      <c r="A397" s="122" t="s">
        <v>237</v>
      </c>
      <c r="B397" s="123"/>
      <c r="C397" s="115"/>
      <c r="D397" s="116"/>
      <c r="E397" s="110"/>
      <c r="F397" s="117"/>
      <c r="G397" s="116"/>
      <c r="H397" s="116"/>
      <c r="I397" s="116"/>
      <c r="J397" s="116"/>
      <c r="K397" s="116"/>
      <c r="L397" s="116"/>
      <c r="M397" s="116"/>
    </row>
    <row r="398" ht="15.75" hidden="1" customHeight="1">
      <c r="A398" s="122" t="s">
        <v>238</v>
      </c>
      <c r="B398" s="123"/>
      <c r="C398" s="115"/>
      <c r="D398" s="116"/>
      <c r="E398" s="110"/>
      <c r="F398" s="117"/>
      <c r="G398" s="116"/>
      <c r="H398" s="116"/>
      <c r="I398" s="116"/>
      <c r="J398" s="116"/>
      <c r="K398" s="116"/>
      <c r="L398" s="116"/>
      <c r="M398" s="116"/>
    </row>
    <row r="399" ht="15.75" hidden="1" customHeight="1">
      <c r="A399" s="122"/>
      <c r="B399" s="123"/>
      <c r="C399" s="115"/>
      <c r="D399" s="116"/>
      <c r="E399" s="110"/>
      <c r="F399" s="117"/>
      <c r="G399" s="116"/>
      <c r="H399" s="116"/>
      <c r="I399" s="116"/>
      <c r="J399" s="116"/>
      <c r="K399" s="116"/>
      <c r="L399" s="116"/>
      <c r="M399" s="116"/>
    </row>
    <row r="400" ht="15.75" hidden="1" customHeight="1">
      <c r="A400" s="124" t="s">
        <v>239</v>
      </c>
      <c r="B400" s="123"/>
      <c r="C400" s="115"/>
      <c r="D400" s="116"/>
      <c r="E400" s="110"/>
      <c r="F400" s="117"/>
      <c r="G400" s="116"/>
      <c r="H400" s="116"/>
      <c r="I400" s="116"/>
      <c r="J400" s="116"/>
      <c r="K400" s="116"/>
      <c r="L400" s="116"/>
      <c r="M400" s="116"/>
    </row>
    <row r="401" ht="15.75" hidden="1" customHeight="1">
      <c r="A401" s="122" t="s">
        <v>220</v>
      </c>
      <c r="B401" s="123"/>
      <c r="C401" s="115"/>
      <c r="D401" s="116"/>
      <c r="E401" s="110"/>
      <c r="F401" s="117"/>
      <c r="G401" s="116"/>
      <c r="H401" s="116"/>
      <c r="I401" s="116"/>
      <c r="J401" s="116"/>
      <c r="K401" s="116"/>
      <c r="L401" s="116"/>
      <c r="M401" s="116"/>
    </row>
    <row r="402" ht="15.75" hidden="1" customHeight="1">
      <c r="A402" s="122" t="s">
        <v>221</v>
      </c>
      <c r="B402" s="123"/>
      <c r="C402" s="115"/>
      <c r="D402" s="116"/>
      <c r="E402" s="110"/>
      <c r="F402" s="117"/>
      <c r="G402" s="116"/>
      <c r="H402" s="116"/>
      <c r="I402" s="116"/>
      <c r="J402" s="116"/>
      <c r="K402" s="116"/>
      <c r="L402" s="116"/>
      <c r="M402" s="116"/>
    </row>
    <row r="403" ht="15.75" hidden="1" customHeight="1">
      <c r="A403" s="122" t="s">
        <v>222</v>
      </c>
      <c r="B403" s="123"/>
      <c r="C403" s="115"/>
      <c r="D403" s="116"/>
      <c r="E403" s="110"/>
      <c r="F403" s="117"/>
      <c r="G403" s="116"/>
      <c r="H403" s="116"/>
      <c r="I403" s="116"/>
      <c r="J403" s="116"/>
      <c r="K403" s="116"/>
      <c r="L403" s="116"/>
      <c r="M403" s="116"/>
    </row>
    <row r="404" ht="15.75" hidden="1" customHeight="1">
      <c r="A404" s="122" t="s">
        <v>223</v>
      </c>
      <c r="B404" s="123"/>
      <c r="C404" s="115"/>
      <c r="D404" s="116"/>
      <c r="E404" s="110"/>
      <c r="F404" s="117"/>
      <c r="G404" s="116"/>
      <c r="H404" s="116"/>
      <c r="I404" s="116"/>
      <c r="J404" s="116"/>
      <c r="K404" s="116"/>
      <c r="L404" s="116"/>
      <c r="M404" s="116"/>
    </row>
    <row r="405" ht="15.75" hidden="1" customHeight="1">
      <c r="A405" s="122" t="s">
        <v>224</v>
      </c>
      <c r="B405" s="123"/>
      <c r="C405" s="115"/>
      <c r="D405" s="116"/>
      <c r="E405" s="110"/>
      <c r="F405" s="117"/>
      <c r="G405" s="116"/>
      <c r="H405" s="116"/>
      <c r="I405" s="116"/>
      <c r="J405" s="116"/>
      <c r="K405" s="116"/>
      <c r="L405" s="116"/>
      <c r="M405" s="116"/>
    </row>
    <row r="406" ht="15.75" hidden="1" customHeight="1">
      <c r="A406" s="122" t="s">
        <v>225</v>
      </c>
      <c r="B406" s="123"/>
      <c r="C406" s="115"/>
      <c r="D406" s="116"/>
      <c r="E406" s="110"/>
      <c r="F406" s="117"/>
      <c r="G406" s="116"/>
      <c r="H406" s="116"/>
      <c r="I406" s="116"/>
      <c r="J406" s="116"/>
      <c r="K406" s="116"/>
      <c r="L406" s="116"/>
      <c r="M406" s="116"/>
    </row>
    <row r="407" ht="15.75" hidden="1" customHeight="1">
      <c r="A407" s="122" t="s">
        <v>240</v>
      </c>
      <c r="B407" s="123"/>
      <c r="C407" s="115"/>
      <c r="D407" s="116"/>
      <c r="E407" s="110"/>
      <c r="F407" s="117"/>
      <c r="G407" s="116"/>
      <c r="H407" s="116"/>
      <c r="I407" s="116"/>
      <c r="J407" s="116"/>
      <c r="K407" s="116"/>
      <c r="L407" s="116"/>
      <c r="M407" s="116"/>
    </row>
    <row r="408" ht="15.75" hidden="1" customHeight="1">
      <c r="A408" s="122" t="s">
        <v>228</v>
      </c>
      <c r="B408" s="123"/>
      <c r="C408" s="115"/>
      <c r="D408" s="116"/>
      <c r="E408" s="110"/>
      <c r="F408" s="117"/>
      <c r="G408" s="116"/>
      <c r="H408" s="116"/>
      <c r="I408" s="116"/>
      <c r="J408" s="116"/>
      <c r="K408" s="116"/>
      <c r="L408" s="116"/>
      <c r="M408" s="116"/>
    </row>
    <row r="409" ht="15.75" hidden="1" customHeight="1">
      <c r="A409" s="122" t="s">
        <v>241</v>
      </c>
      <c r="B409" s="123"/>
      <c r="C409" s="115"/>
      <c r="D409" s="116"/>
      <c r="E409" s="110"/>
      <c r="F409" s="117"/>
      <c r="G409" s="116"/>
      <c r="H409" s="116"/>
      <c r="I409" s="116"/>
      <c r="J409" s="116"/>
      <c r="K409" s="116"/>
      <c r="L409" s="116"/>
      <c r="M409" s="116"/>
    </row>
    <row r="410" ht="15.75" hidden="1" customHeight="1">
      <c r="A410" s="122" t="s">
        <v>231</v>
      </c>
      <c r="B410" s="123"/>
      <c r="C410" s="115"/>
      <c r="D410" s="116"/>
      <c r="E410" s="110"/>
      <c r="F410" s="117"/>
      <c r="G410" s="116"/>
      <c r="H410" s="116"/>
      <c r="I410" s="116"/>
      <c r="J410" s="116"/>
      <c r="K410" s="116"/>
      <c r="L410" s="116"/>
      <c r="M410" s="116"/>
    </row>
    <row r="411" ht="15.75" hidden="1" customHeight="1">
      <c r="A411" s="122" t="s">
        <v>242</v>
      </c>
      <c r="B411" s="123"/>
      <c r="C411" s="115"/>
      <c r="D411" s="116"/>
      <c r="E411" s="110"/>
      <c r="F411" s="117"/>
      <c r="G411" s="116"/>
      <c r="H411" s="116"/>
      <c r="I411" s="116"/>
      <c r="J411" s="116"/>
      <c r="K411" s="116"/>
      <c r="L411" s="116"/>
      <c r="M411" s="116"/>
    </row>
    <row r="412" ht="15.75" hidden="1" customHeight="1">
      <c r="A412" s="122"/>
      <c r="B412" s="123"/>
      <c r="C412" s="115"/>
      <c r="D412" s="116"/>
      <c r="E412" s="110"/>
      <c r="F412" s="117"/>
      <c r="G412" s="116"/>
      <c r="H412" s="116"/>
      <c r="I412" s="116"/>
      <c r="J412" s="116"/>
      <c r="K412" s="116"/>
      <c r="L412" s="116"/>
      <c r="M412" s="116"/>
    </row>
    <row r="413" ht="15.75" hidden="1" customHeight="1">
      <c r="A413" s="124" t="s">
        <v>243</v>
      </c>
      <c r="B413" s="123"/>
      <c r="C413" s="115"/>
      <c r="D413" s="116"/>
      <c r="E413" s="110"/>
      <c r="F413" s="117"/>
      <c r="G413" s="116"/>
      <c r="H413" s="116"/>
      <c r="I413" s="116"/>
      <c r="J413" s="116"/>
      <c r="K413" s="116"/>
      <c r="L413" s="116"/>
      <c r="M413" s="116"/>
    </row>
    <row r="414" ht="15.75" hidden="1" customHeight="1">
      <c r="A414" s="122" t="s">
        <v>244</v>
      </c>
      <c r="B414" s="123"/>
      <c r="C414" s="115"/>
      <c r="D414" s="116"/>
      <c r="E414" s="110"/>
      <c r="F414" s="117"/>
      <c r="G414" s="116"/>
      <c r="H414" s="116"/>
      <c r="I414" s="116"/>
      <c r="J414" s="116"/>
      <c r="K414" s="116"/>
      <c r="L414" s="116"/>
      <c r="M414" s="116"/>
    </row>
    <row r="415" ht="15.75" hidden="1" customHeight="1">
      <c r="A415" s="124"/>
      <c r="B415" s="123"/>
      <c r="C415" s="115"/>
      <c r="D415" s="116"/>
      <c r="E415" s="110"/>
      <c r="F415" s="117"/>
      <c r="G415" s="116"/>
      <c r="H415" s="116"/>
      <c r="I415" s="116"/>
      <c r="J415" s="116"/>
      <c r="K415" s="116"/>
      <c r="L415" s="116"/>
      <c r="M415" s="116"/>
    </row>
    <row r="416" ht="15.75" hidden="1" customHeight="1">
      <c r="A416" s="124"/>
      <c r="B416" s="123"/>
      <c r="C416" s="115"/>
      <c r="D416" s="116"/>
      <c r="E416" s="110"/>
      <c r="F416" s="117"/>
      <c r="G416" s="116"/>
      <c r="H416" s="116"/>
      <c r="I416" s="116"/>
      <c r="J416" s="116"/>
      <c r="K416" s="116"/>
      <c r="L416" s="116"/>
      <c r="M416" s="116"/>
    </row>
    <row r="417" ht="15.75" hidden="1" customHeight="1">
      <c r="A417" s="124"/>
      <c r="B417" s="123"/>
      <c r="C417" s="115"/>
      <c r="D417" s="116"/>
      <c r="E417" s="110"/>
      <c r="F417" s="117"/>
      <c r="G417" s="116"/>
      <c r="H417" s="116"/>
      <c r="I417" s="116"/>
      <c r="J417" s="116"/>
      <c r="K417" s="116"/>
      <c r="L417" s="116"/>
      <c r="M417" s="116"/>
    </row>
    <row r="418" ht="15.75" hidden="1" customHeight="1">
      <c r="A418" s="124" t="s">
        <v>245</v>
      </c>
      <c r="B418" s="123"/>
      <c r="C418" s="115"/>
      <c r="D418" s="116"/>
      <c r="E418" s="110"/>
      <c r="F418" s="117"/>
      <c r="G418" s="116"/>
      <c r="H418" s="116"/>
      <c r="I418" s="116"/>
      <c r="J418" s="116"/>
      <c r="K418" s="116"/>
      <c r="L418" s="116"/>
      <c r="M418" s="116"/>
    </row>
    <row r="419" ht="15.75" hidden="1" customHeight="1">
      <c r="A419" s="122" t="s">
        <v>224</v>
      </c>
      <c r="B419" s="123"/>
      <c r="C419" s="115"/>
      <c r="D419" s="116"/>
      <c r="E419" s="110"/>
      <c r="F419" s="117"/>
      <c r="G419" s="116"/>
      <c r="H419" s="116"/>
      <c r="I419" s="116"/>
      <c r="J419" s="116"/>
      <c r="K419" s="116"/>
      <c r="L419" s="116"/>
      <c r="M419" s="116"/>
    </row>
    <row r="420" ht="15.75" hidden="1" customHeight="1">
      <c r="A420" s="122" t="s">
        <v>225</v>
      </c>
      <c r="B420" s="123"/>
      <c r="C420" s="115"/>
      <c r="D420" s="116"/>
      <c r="E420" s="110"/>
      <c r="F420" s="117"/>
      <c r="G420" s="116"/>
      <c r="H420" s="116"/>
      <c r="I420" s="116"/>
      <c r="J420" s="116"/>
      <c r="K420" s="116"/>
      <c r="L420" s="116"/>
      <c r="M420" s="116"/>
    </row>
    <row r="421" ht="15.75" hidden="1" customHeight="1">
      <c r="A421" s="122" t="s">
        <v>246</v>
      </c>
      <c r="B421" s="123"/>
      <c r="C421" s="115"/>
      <c r="D421" s="116"/>
      <c r="E421" s="110"/>
      <c r="F421" s="117"/>
      <c r="G421" s="116"/>
      <c r="H421" s="116"/>
      <c r="I421" s="116"/>
      <c r="J421" s="116"/>
      <c r="K421" s="116"/>
      <c r="L421" s="116"/>
      <c r="M421" s="116"/>
    </row>
    <row r="422" ht="15.75" hidden="1" customHeight="1">
      <c r="A422" s="122"/>
      <c r="B422" s="123"/>
      <c r="C422" s="115"/>
      <c r="D422" s="116"/>
      <c r="E422" s="110"/>
      <c r="F422" s="117"/>
      <c r="G422" s="116"/>
      <c r="H422" s="116"/>
      <c r="I422" s="116"/>
      <c r="J422" s="116"/>
      <c r="K422" s="116"/>
      <c r="L422" s="116"/>
      <c r="M422" s="116"/>
    </row>
    <row r="423" ht="15.75" hidden="1" customHeight="1">
      <c r="A423" s="124" t="s">
        <v>247</v>
      </c>
      <c r="B423" s="123"/>
      <c r="C423" s="115"/>
      <c r="D423" s="116"/>
      <c r="E423" s="110"/>
      <c r="F423" s="117"/>
      <c r="G423" s="116"/>
      <c r="H423" s="116"/>
      <c r="I423" s="116"/>
      <c r="J423" s="116"/>
      <c r="K423" s="116"/>
      <c r="L423" s="116"/>
      <c r="M423" s="116"/>
    </row>
    <row r="424" ht="15.75" hidden="1" customHeight="1">
      <c r="A424" s="122" t="s">
        <v>226</v>
      </c>
      <c r="B424" s="123"/>
      <c r="C424" s="115"/>
      <c r="D424" s="116"/>
      <c r="E424" s="110"/>
      <c r="F424" s="117"/>
      <c r="G424" s="116"/>
      <c r="H424" s="116"/>
      <c r="I424" s="116"/>
      <c r="J424" s="116"/>
      <c r="K424" s="116"/>
      <c r="L424" s="116"/>
      <c r="M424" s="116"/>
    </row>
    <row r="425" ht="15.75" hidden="1" customHeight="1">
      <c r="A425" s="122" t="s">
        <v>227</v>
      </c>
      <c r="B425" s="123"/>
      <c r="C425" s="115"/>
      <c r="D425" s="116"/>
      <c r="E425" s="110"/>
      <c r="F425" s="117"/>
      <c r="G425" s="116"/>
      <c r="H425" s="116"/>
      <c r="I425" s="116"/>
      <c r="J425" s="116"/>
      <c r="K425" s="116"/>
      <c r="L425" s="116"/>
      <c r="M425" s="116"/>
    </row>
    <row r="426" ht="15.75" hidden="1" customHeight="1">
      <c r="A426" s="122" t="s">
        <v>228</v>
      </c>
      <c r="B426" s="123"/>
      <c r="C426" s="115"/>
      <c r="D426" s="116"/>
      <c r="E426" s="110"/>
      <c r="F426" s="117"/>
      <c r="G426" s="116"/>
      <c r="H426" s="116"/>
      <c r="I426" s="116"/>
      <c r="J426" s="116"/>
      <c r="K426" s="116"/>
      <c r="L426" s="116"/>
      <c r="M426" s="116"/>
    </row>
    <row r="427" ht="15.75" hidden="1" customHeight="1">
      <c r="A427" s="124"/>
      <c r="B427" s="123"/>
      <c r="C427" s="115"/>
      <c r="D427" s="116"/>
      <c r="E427" s="110"/>
      <c r="F427" s="117"/>
      <c r="G427" s="116"/>
      <c r="H427" s="116"/>
      <c r="I427" s="116"/>
      <c r="J427" s="116"/>
      <c r="K427" s="116"/>
      <c r="L427" s="116"/>
      <c r="M427" s="116"/>
    </row>
    <row r="428" ht="19.5" customHeight="1">
      <c r="A428" s="124" t="s">
        <v>248</v>
      </c>
      <c r="B428" s="123" t="s">
        <v>43</v>
      </c>
      <c r="C428" s="115"/>
      <c r="D428" s="116"/>
      <c r="E428" s="110"/>
      <c r="F428" s="117"/>
      <c r="G428" s="116"/>
      <c r="H428" s="116"/>
      <c r="I428" s="116"/>
      <c r="J428" s="116"/>
      <c r="K428" s="116"/>
      <c r="L428" s="116"/>
      <c r="M428" s="116"/>
    </row>
    <row r="429" ht="19.5" customHeight="1">
      <c r="A429" s="124" t="s">
        <v>249</v>
      </c>
      <c r="B429" s="123"/>
      <c r="C429" s="115"/>
      <c r="D429" s="116"/>
      <c r="E429" s="110"/>
      <c r="F429" s="117"/>
      <c r="G429" s="116"/>
      <c r="H429" s="116"/>
      <c r="I429" s="116"/>
      <c r="J429" s="116"/>
      <c r="K429" s="116"/>
      <c r="L429" s="116"/>
      <c r="M429" s="116"/>
    </row>
    <row r="430" ht="19.5" customHeight="1">
      <c r="A430" s="124" t="s">
        <v>250</v>
      </c>
      <c r="B430" s="123"/>
      <c r="C430" s="115"/>
      <c r="D430" s="116"/>
      <c r="E430" s="110"/>
      <c r="F430" s="117"/>
      <c r="G430" s="116"/>
      <c r="H430" s="116"/>
      <c r="I430" s="116"/>
      <c r="J430" s="116"/>
      <c r="K430" s="116"/>
      <c r="L430" s="116"/>
      <c r="M430" s="116"/>
    </row>
    <row r="431" ht="15.75" hidden="1" customHeight="1">
      <c r="A431" s="122" t="s">
        <v>251</v>
      </c>
      <c r="B431" s="123"/>
      <c r="C431" s="115"/>
      <c r="D431" s="116"/>
      <c r="E431" s="110"/>
      <c r="F431" s="117"/>
      <c r="G431" s="116"/>
      <c r="H431" s="116"/>
      <c r="I431" s="116"/>
      <c r="J431" s="116"/>
      <c r="K431" s="116"/>
      <c r="L431" s="116"/>
      <c r="M431" s="116"/>
    </row>
    <row r="432" ht="15.75" hidden="1" customHeight="1">
      <c r="A432" s="122" t="s">
        <v>252</v>
      </c>
      <c r="B432" s="123"/>
      <c r="C432" s="115"/>
      <c r="D432" s="116"/>
      <c r="E432" s="110"/>
      <c r="F432" s="117"/>
      <c r="G432" s="116"/>
      <c r="H432" s="116"/>
      <c r="I432" s="116"/>
      <c r="J432" s="116"/>
      <c r="K432" s="116"/>
      <c r="L432" s="116"/>
      <c r="M432" s="116"/>
    </row>
    <row r="433" ht="22.5" customHeight="1">
      <c r="A433" s="122" t="s">
        <v>253</v>
      </c>
      <c r="B433" s="123" t="s">
        <v>43</v>
      </c>
      <c r="C433" s="115">
        <v>6.0</v>
      </c>
      <c r="D433" s="116">
        <v>600.0</v>
      </c>
      <c r="E433" s="126">
        <v>6.0</v>
      </c>
      <c r="F433" s="127">
        <v>600.0</v>
      </c>
      <c r="G433" s="130">
        <v>6.0</v>
      </c>
      <c r="H433" s="128">
        <v>900.0</v>
      </c>
      <c r="I433" s="116"/>
      <c r="J433" s="116"/>
      <c r="K433" s="130">
        <v>6.0</v>
      </c>
      <c r="L433" s="128">
        <v>900.0</v>
      </c>
      <c r="M433" s="116"/>
    </row>
    <row r="434" ht="15.75" hidden="1" customHeight="1">
      <c r="A434" s="122"/>
      <c r="B434" s="123"/>
      <c r="C434" s="115"/>
      <c r="D434" s="116"/>
      <c r="E434" s="110"/>
      <c r="F434" s="117"/>
      <c r="G434" s="116"/>
      <c r="H434" s="116"/>
      <c r="I434" s="116"/>
      <c r="J434" s="116"/>
      <c r="K434" s="116"/>
      <c r="L434" s="116"/>
      <c r="M434" s="116"/>
    </row>
    <row r="435" ht="15.75" hidden="1" customHeight="1">
      <c r="A435" s="124" t="s">
        <v>254</v>
      </c>
      <c r="B435" s="123"/>
      <c r="C435" s="115"/>
      <c r="D435" s="116"/>
      <c r="E435" s="110"/>
      <c r="F435" s="117"/>
      <c r="G435" s="116"/>
      <c r="H435" s="116"/>
      <c r="I435" s="116"/>
      <c r="J435" s="116"/>
      <c r="K435" s="116"/>
      <c r="L435" s="116"/>
      <c r="M435" s="116"/>
    </row>
    <row r="436" ht="15.75" hidden="1" customHeight="1">
      <c r="A436" s="122" t="s">
        <v>255</v>
      </c>
      <c r="B436" s="123"/>
      <c r="C436" s="115"/>
      <c r="D436" s="116"/>
      <c r="E436" s="110"/>
      <c r="F436" s="117"/>
      <c r="G436" s="116"/>
      <c r="H436" s="116"/>
      <c r="I436" s="116"/>
      <c r="J436" s="116"/>
      <c r="K436" s="116"/>
      <c r="L436" s="116"/>
      <c r="M436" s="116"/>
    </row>
    <row r="437" ht="15.75" hidden="1" customHeight="1">
      <c r="A437" s="122" t="s">
        <v>256</v>
      </c>
      <c r="B437" s="123"/>
      <c r="C437" s="115"/>
      <c r="D437" s="116"/>
      <c r="E437" s="110"/>
      <c r="F437" s="117"/>
      <c r="G437" s="116"/>
      <c r="H437" s="116"/>
      <c r="I437" s="116"/>
      <c r="J437" s="116"/>
      <c r="K437" s="116"/>
      <c r="L437" s="116"/>
      <c r="M437" s="116"/>
    </row>
    <row r="438" ht="15.75" hidden="1" customHeight="1">
      <c r="A438" s="122" t="s">
        <v>257</v>
      </c>
      <c r="B438" s="123"/>
      <c r="C438" s="115"/>
      <c r="D438" s="116"/>
      <c r="E438" s="110"/>
      <c r="F438" s="117"/>
      <c r="G438" s="116"/>
      <c r="H438" s="116"/>
      <c r="I438" s="116"/>
      <c r="J438" s="116"/>
      <c r="K438" s="116"/>
      <c r="L438" s="116"/>
      <c r="M438" s="116"/>
    </row>
    <row r="439" ht="15.75" hidden="1" customHeight="1">
      <c r="A439" s="122" t="s">
        <v>258</v>
      </c>
      <c r="B439" s="123"/>
      <c r="C439" s="115"/>
      <c r="D439" s="116"/>
      <c r="E439" s="110"/>
      <c r="F439" s="117"/>
      <c r="G439" s="116"/>
      <c r="H439" s="116"/>
      <c r="I439" s="116"/>
      <c r="J439" s="116"/>
      <c r="K439" s="116"/>
      <c r="L439" s="116"/>
      <c r="M439" s="116"/>
    </row>
    <row r="440" ht="15.75" hidden="1" customHeight="1">
      <c r="A440" s="122" t="s">
        <v>259</v>
      </c>
      <c r="B440" s="123"/>
      <c r="C440" s="115"/>
      <c r="D440" s="116"/>
      <c r="E440" s="110"/>
      <c r="F440" s="117"/>
      <c r="G440" s="116"/>
      <c r="H440" s="116"/>
      <c r="I440" s="116"/>
      <c r="J440" s="116"/>
      <c r="K440" s="116"/>
      <c r="L440" s="116"/>
      <c r="M440" s="116"/>
    </row>
    <row r="441" ht="15.75" hidden="1" customHeight="1">
      <c r="A441" s="122" t="s">
        <v>260</v>
      </c>
      <c r="B441" s="123"/>
      <c r="C441" s="115"/>
      <c r="D441" s="116"/>
      <c r="E441" s="110"/>
      <c r="F441" s="117"/>
      <c r="G441" s="116"/>
      <c r="H441" s="116"/>
      <c r="I441" s="116"/>
      <c r="J441" s="116"/>
      <c r="K441" s="116"/>
      <c r="L441" s="116"/>
      <c r="M441" s="116"/>
    </row>
    <row r="442" ht="15.75" hidden="1" customHeight="1">
      <c r="A442" s="122" t="s">
        <v>261</v>
      </c>
      <c r="B442" s="123"/>
      <c r="C442" s="115"/>
      <c r="D442" s="116"/>
      <c r="E442" s="110"/>
      <c r="F442" s="117"/>
      <c r="G442" s="116"/>
      <c r="H442" s="116"/>
      <c r="I442" s="116"/>
      <c r="J442" s="116"/>
      <c r="K442" s="116"/>
      <c r="L442" s="116"/>
      <c r="M442" s="116"/>
    </row>
    <row r="443" ht="15.75" hidden="1" customHeight="1">
      <c r="A443" s="122" t="s">
        <v>262</v>
      </c>
      <c r="B443" s="123"/>
      <c r="C443" s="115"/>
      <c r="D443" s="116"/>
      <c r="E443" s="110"/>
      <c r="F443" s="117"/>
      <c r="G443" s="116"/>
      <c r="H443" s="116"/>
      <c r="I443" s="116"/>
      <c r="J443" s="116"/>
      <c r="K443" s="116"/>
      <c r="L443" s="116"/>
      <c r="M443" s="116"/>
    </row>
    <row r="444" ht="15.75" hidden="1" customHeight="1">
      <c r="A444" s="122" t="s">
        <v>263</v>
      </c>
      <c r="B444" s="123"/>
      <c r="C444" s="115"/>
      <c r="D444" s="116"/>
      <c r="E444" s="110"/>
      <c r="F444" s="117"/>
      <c r="G444" s="116"/>
      <c r="H444" s="116"/>
      <c r="I444" s="116"/>
      <c r="J444" s="116"/>
      <c r="K444" s="116"/>
      <c r="L444" s="116"/>
      <c r="M444" s="116"/>
    </row>
    <row r="445" ht="15.75" hidden="1" customHeight="1">
      <c r="A445" s="122" t="s">
        <v>264</v>
      </c>
      <c r="B445" s="123"/>
      <c r="C445" s="115"/>
      <c r="D445" s="116"/>
      <c r="E445" s="110"/>
      <c r="F445" s="117"/>
      <c r="G445" s="116"/>
      <c r="H445" s="116"/>
      <c r="I445" s="116"/>
      <c r="J445" s="116"/>
      <c r="K445" s="116"/>
      <c r="L445" s="116"/>
      <c r="M445" s="116"/>
    </row>
    <row r="446" ht="15.75" hidden="1" customHeight="1">
      <c r="A446" s="122" t="s">
        <v>265</v>
      </c>
      <c r="B446" s="123"/>
      <c r="C446" s="115"/>
      <c r="D446" s="116"/>
      <c r="E446" s="110"/>
      <c r="F446" s="117"/>
      <c r="G446" s="116"/>
      <c r="H446" s="116"/>
      <c r="I446" s="116"/>
      <c r="J446" s="116"/>
      <c r="K446" s="116"/>
      <c r="L446" s="116"/>
      <c r="M446" s="116"/>
    </row>
    <row r="447" ht="15.75" hidden="1" customHeight="1">
      <c r="A447" s="122" t="s">
        <v>266</v>
      </c>
      <c r="B447" s="123"/>
      <c r="C447" s="115"/>
      <c r="D447" s="116"/>
      <c r="E447" s="110"/>
      <c r="F447" s="117"/>
      <c r="G447" s="116"/>
      <c r="H447" s="116"/>
      <c r="I447" s="116"/>
      <c r="J447" s="116"/>
      <c r="K447" s="116"/>
      <c r="L447" s="116"/>
      <c r="M447" s="116"/>
    </row>
    <row r="448" ht="15.75" hidden="1" customHeight="1">
      <c r="A448" s="122" t="s">
        <v>267</v>
      </c>
      <c r="B448" s="123"/>
      <c r="C448" s="115"/>
      <c r="D448" s="116"/>
      <c r="E448" s="110"/>
      <c r="F448" s="117"/>
      <c r="G448" s="116"/>
      <c r="H448" s="116"/>
      <c r="I448" s="116"/>
      <c r="J448" s="116"/>
      <c r="K448" s="116"/>
      <c r="L448" s="116"/>
      <c r="M448" s="116"/>
    </row>
    <row r="449" ht="15.75" hidden="1" customHeight="1">
      <c r="A449" s="131" t="s">
        <v>268</v>
      </c>
      <c r="B449" s="123"/>
      <c r="C449" s="115"/>
      <c r="D449" s="116"/>
      <c r="E449" s="110"/>
      <c r="F449" s="117"/>
      <c r="G449" s="116"/>
      <c r="H449" s="116"/>
      <c r="I449" s="116"/>
      <c r="J449" s="116"/>
      <c r="K449" s="116"/>
      <c r="L449" s="116"/>
      <c r="M449" s="116"/>
    </row>
    <row r="450" ht="15.75" hidden="1" customHeight="1">
      <c r="A450" s="131" t="s">
        <v>269</v>
      </c>
      <c r="B450" s="123"/>
      <c r="C450" s="115"/>
      <c r="D450" s="116"/>
      <c r="E450" s="110"/>
      <c r="F450" s="117"/>
      <c r="G450" s="116"/>
      <c r="H450" s="116"/>
      <c r="I450" s="116"/>
      <c r="J450" s="116"/>
      <c r="K450" s="116"/>
      <c r="L450" s="116"/>
      <c r="M450" s="116"/>
    </row>
    <row r="451" ht="15.75" hidden="1" customHeight="1">
      <c r="A451" s="131" t="s">
        <v>270</v>
      </c>
      <c r="B451" s="123"/>
      <c r="C451" s="115"/>
      <c r="D451" s="116"/>
      <c r="E451" s="110"/>
      <c r="F451" s="117"/>
      <c r="G451" s="116"/>
      <c r="H451" s="116"/>
      <c r="I451" s="116"/>
      <c r="J451" s="116"/>
      <c r="K451" s="116"/>
      <c r="L451" s="116"/>
      <c r="M451" s="116"/>
    </row>
    <row r="452" ht="15.75" hidden="1" customHeight="1">
      <c r="A452" s="132"/>
      <c r="B452" s="123"/>
      <c r="C452" s="115"/>
      <c r="D452" s="116"/>
      <c r="E452" s="110"/>
      <c r="F452" s="117"/>
      <c r="G452" s="116"/>
      <c r="H452" s="116"/>
      <c r="I452" s="116"/>
      <c r="J452" s="116"/>
      <c r="K452" s="116"/>
      <c r="L452" s="116"/>
      <c r="M452" s="116"/>
    </row>
    <row r="453" ht="15.75" hidden="1" customHeight="1">
      <c r="A453" s="132"/>
      <c r="B453" s="123"/>
      <c r="C453" s="115"/>
      <c r="D453" s="116"/>
      <c r="E453" s="110"/>
      <c r="F453" s="117"/>
      <c r="G453" s="116"/>
      <c r="H453" s="116"/>
      <c r="I453" s="116"/>
      <c r="J453" s="116"/>
      <c r="K453" s="116"/>
      <c r="L453" s="116"/>
      <c r="M453" s="116"/>
    </row>
    <row r="454" ht="15.75" hidden="1" customHeight="1">
      <c r="A454" s="133" t="s">
        <v>271</v>
      </c>
      <c r="B454" s="123"/>
      <c r="C454" s="115"/>
      <c r="D454" s="116"/>
      <c r="E454" s="110"/>
      <c r="F454" s="117"/>
      <c r="G454" s="116"/>
      <c r="H454" s="116"/>
      <c r="I454" s="116"/>
      <c r="J454" s="116"/>
      <c r="K454" s="116"/>
      <c r="L454" s="116"/>
      <c r="M454" s="116"/>
    </row>
    <row r="455" ht="15.75" hidden="1" customHeight="1">
      <c r="A455" s="132" t="s">
        <v>272</v>
      </c>
      <c r="B455" s="123"/>
      <c r="C455" s="115"/>
      <c r="D455" s="116"/>
      <c r="E455" s="110"/>
      <c r="F455" s="117"/>
      <c r="G455" s="116"/>
      <c r="H455" s="116"/>
      <c r="I455" s="116"/>
      <c r="J455" s="116"/>
      <c r="K455" s="116"/>
      <c r="L455" s="116"/>
      <c r="M455" s="116"/>
    </row>
    <row r="456" ht="15.75" hidden="1" customHeight="1">
      <c r="A456" s="132" t="s">
        <v>273</v>
      </c>
      <c r="B456" s="123"/>
      <c r="C456" s="115"/>
      <c r="D456" s="116"/>
      <c r="E456" s="110"/>
      <c r="F456" s="117"/>
      <c r="G456" s="116"/>
      <c r="H456" s="116"/>
      <c r="I456" s="116"/>
      <c r="J456" s="116"/>
      <c r="K456" s="116"/>
      <c r="L456" s="116"/>
      <c r="M456" s="116"/>
    </row>
    <row r="457" ht="15.75" hidden="1" customHeight="1">
      <c r="A457" s="132" t="s">
        <v>274</v>
      </c>
      <c r="B457" s="123"/>
      <c r="C457" s="115"/>
      <c r="D457" s="116"/>
      <c r="E457" s="110"/>
      <c r="F457" s="117"/>
      <c r="G457" s="116"/>
      <c r="H457" s="116"/>
      <c r="I457" s="116"/>
      <c r="J457" s="116"/>
      <c r="K457" s="116"/>
      <c r="L457" s="116"/>
      <c r="M457" s="116"/>
    </row>
    <row r="458" ht="15.75" hidden="1" customHeight="1">
      <c r="A458" s="132" t="s">
        <v>275</v>
      </c>
      <c r="B458" s="123"/>
      <c r="C458" s="115"/>
      <c r="D458" s="116"/>
      <c r="E458" s="110"/>
      <c r="F458" s="117"/>
      <c r="G458" s="116"/>
      <c r="H458" s="116"/>
      <c r="I458" s="116"/>
      <c r="J458" s="116"/>
      <c r="K458" s="116"/>
      <c r="L458" s="116"/>
      <c r="M458" s="116"/>
    </row>
    <row r="459" ht="15.75" hidden="1" customHeight="1">
      <c r="A459" s="132" t="s">
        <v>276</v>
      </c>
      <c r="B459" s="123"/>
      <c r="C459" s="115"/>
      <c r="D459" s="116"/>
      <c r="E459" s="110"/>
      <c r="F459" s="117"/>
      <c r="G459" s="116"/>
      <c r="H459" s="116"/>
      <c r="I459" s="116"/>
      <c r="J459" s="116"/>
      <c r="K459" s="116"/>
      <c r="L459" s="116"/>
      <c r="M459" s="116"/>
    </row>
    <row r="460" ht="15.75" hidden="1" customHeight="1">
      <c r="A460" s="132" t="s">
        <v>277</v>
      </c>
      <c r="B460" s="123"/>
      <c r="C460" s="115"/>
      <c r="D460" s="116"/>
      <c r="E460" s="110"/>
      <c r="F460" s="117"/>
      <c r="G460" s="116"/>
      <c r="H460" s="116"/>
      <c r="I460" s="116"/>
      <c r="J460" s="116"/>
      <c r="K460" s="116"/>
      <c r="L460" s="116"/>
      <c r="M460" s="116"/>
    </row>
    <row r="461" ht="6.75" hidden="1" customHeight="1">
      <c r="A461" s="131" t="s">
        <v>278</v>
      </c>
      <c r="B461" s="123"/>
      <c r="C461" s="115"/>
      <c r="D461" s="116"/>
      <c r="E461" s="110"/>
      <c r="F461" s="117"/>
      <c r="G461" s="116"/>
      <c r="H461" s="116"/>
      <c r="I461" s="116"/>
      <c r="J461" s="116"/>
      <c r="K461" s="116"/>
      <c r="L461" s="116"/>
      <c r="M461" s="116"/>
    </row>
    <row r="462" ht="15.75" customHeight="1">
      <c r="A462" s="134"/>
      <c r="B462" s="123"/>
      <c r="C462" s="115"/>
      <c r="D462" s="116"/>
      <c r="E462" s="110"/>
      <c r="F462" s="117"/>
      <c r="G462" s="116"/>
      <c r="H462" s="116"/>
      <c r="I462" s="116"/>
      <c r="J462" s="116"/>
      <c r="K462" s="116"/>
      <c r="L462" s="116"/>
      <c r="M462" s="116"/>
    </row>
    <row r="463" ht="15.75" hidden="1" customHeight="1">
      <c r="A463" s="135" t="s">
        <v>279</v>
      </c>
      <c r="B463" s="123"/>
      <c r="C463" s="115"/>
      <c r="D463" s="116"/>
      <c r="E463" s="110"/>
      <c r="F463" s="117"/>
      <c r="G463" s="116"/>
      <c r="H463" s="116"/>
      <c r="I463" s="116"/>
      <c r="J463" s="116"/>
      <c r="K463" s="116"/>
      <c r="L463" s="116"/>
      <c r="M463" s="116"/>
    </row>
    <row r="464" ht="15.75" hidden="1" customHeight="1">
      <c r="A464" s="133" t="s">
        <v>102</v>
      </c>
      <c r="B464" s="123"/>
      <c r="C464" s="115"/>
      <c r="D464" s="116"/>
      <c r="E464" s="110"/>
      <c r="F464" s="117"/>
      <c r="G464" s="116"/>
      <c r="H464" s="116"/>
      <c r="I464" s="116"/>
      <c r="J464" s="116"/>
      <c r="K464" s="116"/>
      <c r="L464" s="116"/>
      <c r="M464" s="116"/>
    </row>
    <row r="465" ht="15.75" hidden="1" customHeight="1">
      <c r="A465" s="132" t="s">
        <v>280</v>
      </c>
      <c r="B465" s="123"/>
      <c r="C465" s="115"/>
      <c r="D465" s="116"/>
      <c r="E465" s="110"/>
      <c r="F465" s="117"/>
      <c r="G465" s="116"/>
      <c r="H465" s="116"/>
      <c r="I465" s="116"/>
      <c r="J465" s="116"/>
      <c r="K465" s="116"/>
      <c r="L465" s="116"/>
      <c r="M465" s="116"/>
    </row>
    <row r="466" ht="15.75" hidden="1" customHeight="1">
      <c r="A466" s="133" t="s">
        <v>105</v>
      </c>
      <c r="B466" s="123"/>
      <c r="C466" s="115"/>
      <c r="D466" s="116"/>
      <c r="E466" s="110"/>
      <c r="F466" s="117"/>
      <c r="G466" s="116"/>
      <c r="H466" s="116"/>
      <c r="I466" s="116"/>
      <c r="J466" s="116"/>
      <c r="K466" s="116"/>
      <c r="L466" s="116"/>
      <c r="M466" s="116"/>
    </row>
    <row r="467" ht="15.75" hidden="1" customHeight="1">
      <c r="A467" s="132" t="s">
        <v>281</v>
      </c>
      <c r="B467" s="123"/>
      <c r="C467" s="115"/>
      <c r="D467" s="116"/>
      <c r="E467" s="110"/>
      <c r="F467" s="117"/>
      <c r="G467" s="116"/>
      <c r="H467" s="116"/>
      <c r="I467" s="116"/>
      <c r="J467" s="116"/>
      <c r="K467" s="116"/>
      <c r="L467" s="116"/>
      <c r="M467" s="116"/>
    </row>
    <row r="468" ht="15.75" hidden="1" customHeight="1">
      <c r="A468" s="132" t="s">
        <v>282</v>
      </c>
      <c r="B468" s="123"/>
      <c r="C468" s="115"/>
      <c r="D468" s="116"/>
      <c r="E468" s="110"/>
      <c r="F468" s="117"/>
      <c r="G468" s="116"/>
      <c r="H468" s="116"/>
      <c r="I468" s="116"/>
      <c r="J468" s="116"/>
      <c r="K468" s="116"/>
      <c r="L468" s="116"/>
      <c r="M468" s="116"/>
    </row>
    <row r="469" ht="15.75" hidden="1" customHeight="1">
      <c r="A469" s="132" t="s">
        <v>283</v>
      </c>
      <c r="B469" s="123"/>
      <c r="C469" s="115"/>
      <c r="D469" s="116"/>
      <c r="E469" s="110"/>
      <c r="F469" s="117"/>
      <c r="G469" s="116"/>
      <c r="H469" s="116"/>
      <c r="I469" s="116"/>
      <c r="J469" s="116"/>
      <c r="K469" s="116"/>
      <c r="L469" s="116"/>
      <c r="M469" s="116"/>
    </row>
    <row r="470" ht="15.75" hidden="1" customHeight="1">
      <c r="A470" s="132" t="s">
        <v>284</v>
      </c>
      <c r="B470" s="123"/>
      <c r="C470" s="115"/>
      <c r="D470" s="116"/>
      <c r="E470" s="110"/>
      <c r="F470" s="117"/>
      <c r="G470" s="116"/>
      <c r="H470" s="116"/>
      <c r="I470" s="116"/>
      <c r="J470" s="116"/>
      <c r="K470" s="116"/>
      <c r="L470" s="116"/>
      <c r="M470" s="116"/>
    </row>
    <row r="471" ht="15.75" hidden="1" customHeight="1">
      <c r="A471" s="132" t="s">
        <v>282</v>
      </c>
      <c r="B471" s="123"/>
      <c r="C471" s="115"/>
      <c r="D471" s="116"/>
      <c r="E471" s="110"/>
      <c r="F471" s="117"/>
      <c r="G471" s="116"/>
      <c r="H471" s="116"/>
      <c r="I471" s="116"/>
      <c r="J471" s="116"/>
      <c r="K471" s="116"/>
      <c r="L471" s="116"/>
      <c r="M471" s="116"/>
    </row>
    <row r="472" ht="15.75" hidden="1" customHeight="1">
      <c r="A472" s="132" t="s">
        <v>283</v>
      </c>
      <c r="B472" s="123"/>
      <c r="C472" s="115"/>
      <c r="D472" s="116"/>
      <c r="E472" s="110"/>
      <c r="F472" s="117"/>
      <c r="G472" s="116"/>
      <c r="H472" s="116"/>
      <c r="I472" s="116"/>
      <c r="J472" s="116"/>
      <c r="K472" s="116"/>
      <c r="L472" s="116"/>
      <c r="M472" s="116"/>
    </row>
    <row r="473" ht="15.75" hidden="1" customHeight="1">
      <c r="A473" s="133" t="s">
        <v>107</v>
      </c>
      <c r="B473" s="123"/>
      <c r="C473" s="115"/>
      <c r="D473" s="116"/>
      <c r="E473" s="110"/>
      <c r="F473" s="117"/>
      <c r="G473" s="116"/>
      <c r="H473" s="116"/>
      <c r="I473" s="116"/>
      <c r="J473" s="116"/>
      <c r="K473" s="116"/>
      <c r="L473" s="116"/>
      <c r="M473" s="116"/>
    </row>
    <row r="474" ht="15.75" hidden="1" customHeight="1">
      <c r="A474" s="133" t="s">
        <v>285</v>
      </c>
      <c r="B474" s="123"/>
      <c r="C474" s="115"/>
      <c r="D474" s="116"/>
      <c r="E474" s="110"/>
      <c r="F474" s="117"/>
      <c r="G474" s="116"/>
      <c r="H474" s="116"/>
      <c r="I474" s="116"/>
      <c r="J474" s="116"/>
      <c r="K474" s="116"/>
      <c r="L474" s="116"/>
      <c r="M474" s="116"/>
    </row>
    <row r="475" ht="15.75" hidden="1" customHeight="1">
      <c r="A475" s="133" t="s">
        <v>286</v>
      </c>
      <c r="B475" s="123"/>
      <c r="C475" s="115"/>
      <c r="D475" s="116"/>
      <c r="E475" s="110"/>
      <c r="F475" s="117"/>
      <c r="G475" s="116"/>
      <c r="H475" s="116"/>
      <c r="I475" s="116"/>
      <c r="J475" s="116"/>
      <c r="K475" s="116"/>
      <c r="L475" s="116"/>
      <c r="M475" s="116"/>
    </row>
    <row r="476" ht="15.75" hidden="1" customHeight="1">
      <c r="A476" s="132" t="s">
        <v>287</v>
      </c>
      <c r="B476" s="123"/>
      <c r="C476" s="115"/>
      <c r="D476" s="116"/>
      <c r="E476" s="110"/>
      <c r="F476" s="117"/>
      <c r="G476" s="116"/>
      <c r="H476" s="116"/>
      <c r="I476" s="116"/>
      <c r="J476" s="116"/>
      <c r="K476" s="116"/>
      <c r="L476" s="116"/>
      <c r="M476" s="116"/>
    </row>
    <row r="477" ht="15.75" hidden="1" customHeight="1">
      <c r="A477" s="136" t="s">
        <v>282</v>
      </c>
      <c r="B477" s="123"/>
      <c r="C477" s="115"/>
      <c r="D477" s="116"/>
      <c r="E477" s="110"/>
      <c r="F477" s="117"/>
      <c r="G477" s="116"/>
      <c r="H477" s="116"/>
      <c r="I477" s="116"/>
      <c r="J477" s="116"/>
      <c r="K477" s="116"/>
      <c r="L477" s="116"/>
      <c r="M477" s="116"/>
    </row>
    <row r="478" ht="15.75" hidden="1" customHeight="1">
      <c r="A478" s="136" t="s">
        <v>283</v>
      </c>
      <c r="B478" s="123"/>
      <c r="C478" s="115"/>
      <c r="D478" s="116"/>
      <c r="E478" s="110"/>
      <c r="F478" s="117"/>
      <c r="G478" s="116"/>
      <c r="H478" s="116"/>
      <c r="I478" s="116"/>
      <c r="J478" s="116"/>
      <c r="K478" s="116"/>
      <c r="L478" s="116"/>
      <c r="M478" s="116"/>
    </row>
    <row r="479" ht="15.75" hidden="1" customHeight="1">
      <c r="A479" s="132" t="s">
        <v>288</v>
      </c>
      <c r="B479" s="123"/>
      <c r="C479" s="115"/>
      <c r="D479" s="116"/>
      <c r="E479" s="110"/>
      <c r="F479" s="117"/>
      <c r="G479" s="116"/>
      <c r="H479" s="116"/>
      <c r="I479" s="116"/>
      <c r="J479" s="116"/>
      <c r="K479" s="116"/>
      <c r="L479" s="116"/>
      <c r="M479" s="116"/>
    </row>
    <row r="480" ht="15.75" hidden="1" customHeight="1">
      <c r="A480" s="136" t="s">
        <v>282</v>
      </c>
      <c r="B480" s="123"/>
      <c r="C480" s="115"/>
      <c r="D480" s="116"/>
      <c r="E480" s="110"/>
      <c r="F480" s="117"/>
      <c r="G480" s="116"/>
      <c r="H480" s="116"/>
      <c r="I480" s="116"/>
      <c r="J480" s="116"/>
      <c r="K480" s="116"/>
      <c r="L480" s="116"/>
      <c r="M480" s="116"/>
    </row>
    <row r="481" ht="15.75" hidden="1" customHeight="1">
      <c r="A481" s="136" t="s">
        <v>283</v>
      </c>
      <c r="B481" s="123"/>
      <c r="C481" s="115"/>
      <c r="D481" s="116"/>
      <c r="E481" s="110"/>
      <c r="F481" s="117"/>
      <c r="G481" s="116"/>
      <c r="H481" s="116"/>
      <c r="I481" s="116"/>
      <c r="J481" s="116"/>
      <c r="K481" s="116"/>
      <c r="L481" s="116"/>
      <c r="M481" s="116"/>
    </row>
    <row r="482" ht="15.75" hidden="1" customHeight="1">
      <c r="A482" s="133" t="s">
        <v>289</v>
      </c>
      <c r="B482" s="123"/>
      <c r="C482" s="115"/>
      <c r="D482" s="116"/>
      <c r="E482" s="110"/>
      <c r="F482" s="117"/>
      <c r="G482" s="116"/>
      <c r="H482" s="116"/>
      <c r="I482" s="116"/>
      <c r="J482" s="116"/>
      <c r="K482" s="116"/>
      <c r="L482" s="116"/>
      <c r="M482" s="116"/>
    </row>
    <row r="483" ht="15.75" hidden="1" customHeight="1">
      <c r="A483" s="132" t="s">
        <v>290</v>
      </c>
      <c r="B483" s="123"/>
      <c r="C483" s="115"/>
      <c r="D483" s="116"/>
      <c r="E483" s="110"/>
      <c r="F483" s="117"/>
      <c r="G483" s="116"/>
      <c r="H483" s="116"/>
      <c r="I483" s="116"/>
      <c r="J483" s="116"/>
      <c r="K483" s="116"/>
      <c r="L483" s="116"/>
      <c r="M483" s="116"/>
    </row>
    <row r="484" ht="15.75" hidden="1" customHeight="1">
      <c r="A484" s="136" t="s">
        <v>282</v>
      </c>
      <c r="B484" s="123"/>
      <c r="C484" s="115"/>
      <c r="D484" s="116"/>
      <c r="E484" s="110"/>
      <c r="F484" s="117"/>
      <c r="G484" s="116"/>
      <c r="H484" s="116"/>
      <c r="I484" s="116"/>
      <c r="J484" s="116"/>
      <c r="K484" s="116"/>
      <c r="L484" s="116"/>
      <c r="M484" s="116"/>
    </row>
    <row r="485" ht="15.75" hidden="1" customHeight="1">
      <c r="A485" s="136" t="s">
        <v>283</v>
      </c>
      <c r="B485" s="123"/>
      <c r="C485" s="115"/>
      <c r="D485" s="116"/>
      <c r="E485" s="110"/>
      <c r="F485" s="117"/>
      <c r="G485" s="116"/>
      <c r="H485" s="116"/>
      <c r="I485" s="116"/>
      <c r="J485" s="116"/>
      <c r="K485" s="116"/>
      <c r="L485" s="116"/>
      <c r="M485" s="116"/>
    </row>
    <row r="486" ht="15.75" hidden="1" customHeight="1">
      <c r="A486" s="132" t="s">
        <v>288</v>
      </c>
      <c r="B486" s="123"/>
      <c r="C486" s="115"/>
      <c r="D486" s="116"/>
      <c r="E486" s="110"/>
      <c r="F486" s="117"/>
      <c r="G486" s="116"/>
      <c r="H486" s="116"/>
      <c r="I486" s="116"/>
      <c r="J486" s="116"/>
      <c r="K486" s="116"/>
      <c r="L486" s="116"/>
      <c r="M486" s="116"/>
    </row>
    <row r="487" ht="15.75" hidden="1" customHeight="1">
      <c r="A487" s="136" t="s">
        <v>282</v>
      </c>
      <c r="B487" s="123"/>
      <c r="C487" s="115"/>
      <c r="D487" s="116"/>
      <c r="E487" s="110"/>
      <c r="F487" s="117"/>
      <c r="G487" s="116"/>
      <c r="H487" s="116"/>
      <c r="I487" s="116"/>
      <c r="J487" s="116"/>
      <c r="K487" s="116"/>
      <c r="L487" s="116"/>
      <c r="M487" s="116"/>
    </row>
    <row r="488" ht="15.75" hidden="1" customHeight="1">
      <c r="A488" s="136" t="s">
        <v>283</v>
      </c>
      <c r="B488" s="123"/>
      <c r="C488" s="115"/>
      <c r="D488" s="116"/>
      <c r="E488" s="110"/>
      <c r="F488" s="117"/>
      <c r="G488" s="116"/>
      <c r="H488" s="116"/>
      <c r="I488" s="116"/>
      <c r="J488" s="116"/>
      <c r="K488" s="116"/>
      <c r="L488" s="116"/>
      <c r="M488" s="116"/>
    </row>
    <row r="489" ht="15.75" hidden="1" customHeight="1">
      <c r="A489" s="133" t="s">
        <v>291</v>
      </c>
      <c r="B489" s="123"/>
      <c r="C489" s="115"/>
      <c r="D489" s="116"/>
      <c r="E489" s="110"/>
      <c r="F489" s="117"/>
      <c r="G489" s="116"/>
      <c r="H489" s="116"/>
      <c r="I489" s="116"/>
      <c r="J489" s="116"/>
      <c r="K489" s="116"/>
      <c r="L489" s="116"/>
      <c r="M489" s="116"/>
    </row>
    <row r="490" ht="15.75" hidden="1" customHeight="1">
      <c r="A490" s="132" t="s">
        <v>290</v>
      </c>
      <c r="B490" s="123"/>
      <c r="C490" s="115"/>
      <c r="D490" s="116"/>
      <c r="E490" s="110"/>
      <c r="F490" s="117"/>
      <c r="G490" s="116"/>
      <c r="H490" s="116"/>
      <c r="I490" s="116"/>
      <c r="J490" s="116"/>
      <c r="K490" s="116"/>
      <c r="L490" s="116"/>
      <c r="M490" s="116"/>
    </row>
    <row r="491" ht="15.75" hidden="1" customHeight="1">
      <c r="A491" s="136" t="s">
        <v>282</v>
      </c>
      <c r="B491" s="123"/>
      <c r="C491" s="115"/>
      <c r="D491" s="116"/>
      <c r="E491" s="110"/>
      <c r="F491" s="117"/>
      <c r="G491" s="116"/>
      <c r="H491" s="116"/>
      <c r="I491" s="116"/>
      <c r="J491" s="116"/>
      <c r="K491" s="116"/>
      <c r="L491" s="116"/>
      <c r="M491" s="116"/>
    </row>
    <row r="492" ht="15.75" hidden="1" customHeight="1">
      <c r="A492" s="136" t="s">
        <v>283</v>
      </c>
      <c r="B492" s="123"/>
      <c r="C492" s="115"/>
      <c r="D492" s="116"/>
      <c r="E492" s="110"/>
      <c r="F492" s="117"/>
      <c r="G492" s="116"/>
      <c r="H492" s="116"/>
      <c r="I492" s="116"/>
      <c r="J492" s="116"/>
      <c r="K492" s="116"/>
      <c r="L492" s="116"/>
      <c r="M492" s="116"/>
    </row>
    <row r="493" ht="15.75" hidden="1" customHeight="1">
      <c r="A493" s="132" t="s">
        <v>288</v>
      </c>
      <c r="B493" s="123"/>
      <c r="C493" s="115"/>
      <c r="D493" s="116"/>
      <c r="E493" s="110"/>
      <c r="F493" s="117"/>
      <c r="G493" s="116"/>
      <c r="H493" s="116"/>
      <c r="I493" s="116"/>
      <c r="J493" s="116"/>
      <c r="K493" s="116"/>
      <c r="L493" s="116"/>
      <c r="M493" s="116"/>
    </row>
    <row r="494" ht="15.75" hidden="1" customHeight="1">
      <c r="A494" s="136" t="s">
        <v>282</v>
      </c>
      <c r="B494" s="123"/>
      <c r="C494" s="115"/>
      <c r="D494" s="116"/>
      <c r="E494" s="110"/>
      <c r="F494" s="117"/>
      <c r="G494" s="116"/>
      <c r="H494" s="116"/>
      <c r="I494" s="116"/>
      <c r="J494" s="116"/>
      <c r="K494" s="116"/>
      <c r="L494" s="116"/>
      <c r="M494" s="116"/>
    </row>
    <row r="495" ht="15.75" hidden="1" customHeight="1">
      <c r="A495" s="136" t="s">
        <v>283</v>
      </c>
      <c r="B495" s="123"/>
      <c r="C495" s="115"/>
      <c r="D495" s="116"/>
      <c r="E495" s="110"/>
      <c r="F495" s="117"/>
      <c r="G495" s="116"/>
      <c r="H495" s="116"/>
      <c r="I495" s="116"/>
      <c r="J495" s="116"/>
      <c r="K495" s="116"/>
      <c r="L495" s="116"/>
      <c r="M495" s="116"/>
    </row>
    <row r="496" ht="15.75" hidden="1" customHeight="1">
      <c r="A496" s="133" t="s">
        <v>292</v>
      </c>
      <c r="B496" s="123"/>
      <c r="C496" s="115"/>
      <c r="D496" s="116"/>
      <c r="E496" s="110"/>
      <c r="F496" s="117"/>
      <c r="G496" s="116"/>
      <c r="H496" s="116"/>
      <c r="I496" s="116"/>
      <c r="J496" s="116"/>
      <c r="K496" s="116"/>
      <c r="L496" s="116"/>
      <c r="M496" s="116"/>
    </row>
    <row r="497" ht="15.75" hidden="1" customHeight="1">
      <c r="A497" s="132" t="s">
        <v>290</v>
      </c>
      <c r="B497" s="123"/>
      <c r="C497" s="115"/>
      <c r="D497" s="116"/>
      <c r="E497" s="110"/>
      <c r="F497" s="117"/>
      <c r="G497" s="116"/>
      <c r="H497" s="116"/>
      <c r="I497" s="116"/>
      <c r="J497" s="116"/>
      <c r="K497" s="116"/>
      <c r="L497" s="116"/>
      <c r="M497" s="116"/>
    </row>
    <row r="498" ht="15.75" hidden="1" customHeight="1">
      <c r="A498" s="136" t="s">
        <v>282</v>
      </c>
      <c r="B498" s="123"/>
      <c r="C498" s="115"/>
      <c r="D498" s="116"/>
      <c r="E498" s="110"/>
      <c r="F498" s="117"/>
      <c r="G498" s="116"/>
      <c r="H498" s="116"/>
      <c r="I498" s="116"/>
      <c r="J498" s="116"/>
      <c r="K498" s="116"/>
      <c r="L498" s="116"/>
      <c r="M498" s="116"/>
    </row>
    <row r="499" ht="15.75" hidden="1" customHeight="1">
      <c r="A499" s="136" t="s">
        <v>283</v>
      </c>
      <c r="B499" s="123"/>
      <c r="C499" s="115"/>
      <c r="D499" s="116"/>
      <c r="E499" s="110"/>
      <c r="F499" s="117"/>
      <c r="G499" s="116"/>
      <c r="H499" s="116"/>
      <c r="I499" s="116"/>
      <c r="J499" s="116"/>
      <c r="K499" s="116"/>
      <c r="L499" s="116"/>
      <c r="M499" s="116"/>
    </row>
    <row r="500" ht="15.75" hidden="1" customHeight="1">
      <c r="A500" s="132" t="s">
        <v>288</v>
      </c>
      <c r="B500" s="123"/>
      <c r="C500" s="115"/>
      <c r="D500" s="116"/>
      <c r="E500" s="110"/>
      <c r="F500" s="117"/>
      <c r="G500" s="116"/>
      <c r="H500" s="116"/>
      <c r="I500" s="116"/>
      <c r="J500" s="116"/>
      <c r="K500" s="116"/>
      <c r="L500" s="116"/>
      <c r="M500" s="116"/>
    </row>
    <row r="501" ht="15.75" hidden="1" customHeight="1">
      <c r="A501" s="136" t="s">
        <v>282</v>
      </c>
      <c r="B501" s="123"/>
      <c r="C501" s="115"/>
      <c r="D501" s="116"/>
      <c r="E501" s="110"/>
      <c r="F501" s="117"/>
      <c r="G501" s="116"/>
      <c r="H501" s="116"/>
      <c r="I501" s="116"/>
      <c r="J501" s="116"/>
      <c r="K501" s="116"/>
      <c r="L501" s="116"/>
      <c r="M501" s="116"/>
    </row>
    <row r="502" ht="15.75" hidden="1" customHeight="1">
      <c r="A502" s="136" t="s">
        <v>283</v>
      </c>
      <c r="B502" s="123"/>
      <c r="C502" s="115"/>
      <c r="D502" s="116"/>
      <c r="E502" s="110"/>
      <c r="F502" s="117"/>
      <c r="G502" s="116"/>
      <c r="H502" s="116"/>
      <c r="I502" s="116"/>
      <c r="J502" s="116"/>
      <c r="K502" s="116"/>
      <c r="L502" s="116"/>
      <c r="M502" s="116"/>
    </row>
    <row r="503" ht="15.75" hidden="1" customHeight="1">
      <c r="A503" s="133" t="s">
        <v>293</v>
      </c>
      <c r="B503" s="123"/>
      <c r="C503" s="115"/>
      <c r="D503" s="116"/>
      <c r="E503" s="110"/>
      <c r="F503" s="117"/>
      <c r="G503" s="116"/>
      <c r="H503" s="116"/>
      <c r="I503" s="116"/>
      <c r="J503" s="116"/>
      <c r="K503" s="116"/>
      <c r="L503" s="116"/>
      <c r="M503" s="116"/>
    </row>
    <row r="504" ht="15.75" hidden="1" customHeight="1">
      <c r="A504" s="132" t="s">
        <v>287</v>
      </c>
      <c r="B504" s="123"/>
      <c r="C504" s="115"/>
      <c r="D504" s="116"/>
      <c r="E504" s="110"/>
      <c r="F504" s="117"/>
      <c r="G504" s="116"/>
      <c r="H504" s="116"/>
      <c r="I504" s="116"/>
      <c r="J504" s="116"/>
      <c r="K504" s="116"/>
      <c r="L504" s="116"/>
      <c r="M504" s="116"/>
    </row>
    <row r="505" ht="15.75" hidden="1" customHeight="1">
      <c r="A505" s="136" t="s">
        <v>282</v>
      </c>
      <c r="B505" s="123"/>
      <c r="C505" s="115"/>
      <c r="D505" s="116"/>
      <c r="E505" s="110"/>
      <c r="F505" s="117"/>
      <c r="G505" s="116"/>
      <c r="H505" s="116"/>
      <c r="I505" s="116"/>
      <c r="J505" s="116"/>
      <c r="K505" s="116"/>
      <c r="L505" s="116"/>
      <c r="M505" s="116"/>
    </row>
    <row r="506" ht="15.75" hidden="1" customHeight="1">
      <c r="A506" s="136" t="s">
        <v>283</v>
      </c>
      <c r="B506" s="123"/>
      <c r="C506" s="115"/>
      <c r="D506" s="116"/>
      <c r="E506" s="110"/>
      <c r="F506" s="117"/>
      <c r="G506" s="116"/>
      <c r="H506" s="116"/>
      <c r="I506" s="116"/>
      <c r="J506" s="116"/>
      <c r="K506" s="116"/>
      <c r="L506" s="116"/>
      <c r="M506" s="116"/>
    </row>
    <row r="507" ht="15.75" hidden="1" customHeight="1">
      <c r="A507" s="132" t="s">
        <v>288</v>
      </c>
      <c r="B507" s="123"/>
      <c r="C507" s="115"/>
      <c r="D507" s="116"/>
      <c r="E507" s="110"/>
      <c r="F507" s="117"/>
      <c r="G507" s="116"/>
      <c r="H507" s="116"/>
      <c r="I507" s="116"/>
      <c r="J507" s="116"/>
      <c r="K507" s="116"/>
      <c r="L507" s="116"/>
      <c r="M507" s="116"/>
    </row>
    <row r="508" ht="15.75" hidden="1" customHeight="1">
      <c r="A508" s="136" t="s">
        <v>282</v>
      </c>
      <c r="B508" s="123"/>
      <c r="C508" s="115"/>
      <c r="D508" s="116"/>
      <c r="E508" s="110"/>
      <c r="F508" s="117"/>
      <c r="G508" s="116"/>
      <c r="H508" s="116"/>
      <c r="I508" s="116"/>
      <c r="J508" s="116"/>
      <c r="K508" s="116"/>
      <c r="L508" s="116"/>
      <c r="M508" s="116"/>
    </row>
    <row r="509" ht="15.75" hidden="1" customHeight="1">
      <c r="A509" s="136" t="s">
        <v>283</v>
      </c>
      <c r="B509" s="123"/>
      <c r="C509" s="115"/>
      <c r="D509" s="116"/>
      <c r="E509" s="110"/>
      <c r="F509" s="117"/>
      <c r="G509" s="116"/>
      <c r="H509" s="116"/>
      <c r="I509" s="116"/>
      <c r="J509" s="116"/>
      <c r="K509" s="116"/>
      <c r="L509" s="116"/>
      <c r="M509" s="116"/>
    </row>
    <row r="510" ht="15.75" hidden="1" customHeight="1">
      <c r="A510" s="133" t="s">
        <v>294</v>
      </c>
      <c r="B510" s="123"/>
      <c r="C510" s="115"/>
      <c r="D510" s="116"/>
      <c r="E510" s="110"/>
      <c r="F510" s="117"/>
      <c r="G510" s="116"/>
      <c r="H510" s="116"/>
      <c r="I510" s="116"/>
      <c r="J510" s="116"/>
      <c r="K510" s="116"/>
      <c r="L510" s="116"/>
      <c r="M510" s="116"/>
    </row>
    <row r="511" ht="15.75" hidden="1" customHeight="1">
      <c r="A511" s="132" t="s">
        <v>287</v>
      </c>
      <c r="B511" s="123"/>
      <c r="C511" s="115"/>
      <c r="D511" s="116"/>
      <c r="E511" s="110"/>
      <c r="F511" s="117"/>
      <c r="G511" s="116"/>
      <c r="H511" s="116"/>
      <c r="I511" s="116"/>
      <c r="J511" s="116"/>
      <c r="K511" s="116"/>
      <c r="L511" s="116"/>
      <c r="M511" s="116"/>
    </row>
    <row r="512" ht="15.75" hidden="1" customHeight="1">
      <c r="A512" s="136" t="s">
        <v>282</v>
      </c>
      <c r="B512" s="123"/>
      <c r="C512" s="115"/>
      <c r="D512" s="116"/>
      <c r="E512" s="110"/>
      <c r="F512" s="117"/>
      <c r="G512" s="116"/>
      <c r="H512" s="116"/>
      <c r="I512" s="116"/>
      <c r="J512" s="116"/>
      <c r="K512" s="116"/>
      <c r="L512" s="116"/>
      <c r="M512" s="116"/>
    </row>
    <row r="513" ht="15.75" hidden="1" customHeight="1">
      <c r="A513" s="136" t="s">
        <v>283</v>
      </c>
      <c r="B513" s="123"/>
      <c r="C513" s="115"/>
      <c r="D513" s="116"/>
      <c r="E513" s="110"/>
      <c r="F513" s="117"/>
      <c r="G513" s="116"/>
      <c r="H513" s="116"/>
      <c r="I513" s="116"/>
      <c r="J513" s="116"/>
      <c r="K513" s="116"/>
      <c r="L513" s="116"/>
      <c r="M513" s="116"/>
    </row>
    <row r="514" ht="15.75" hidden="1" customHeight="1">
      <c r="A514" s="132" t="s">
        <v>288</v>
      </c>
      <c r="B514" s="123"/>
      <c r="C514" s="115"/>
      <c r="D514" s="116"/>
      <c r="E514" s="110"/>
      <c r="F514" s="117"/>
      <c r="G514" s="116"/>
      <c r="H514" s="116"/>
      <c r="I514" s="116"/>
      <c r="J514" s="116"/>
      <c r="K514" s="116"/>
      <c r="L514" s="116"/>
      <c r="M514" s="116"/>
    </row>
    <row r="515" ht="15.75" hidden="1" customHeight="1">
      <c r="A515" s="136" t="s">
        <v>282</v>
      </c>
      <c r="B515" s="123"/>
      <c r="C515" s="115"/>
      <c r="D515" s="116"/>
      <c r="E515" s="110"/>
      <c r="F515" s="117"/>
      <c r="G515" s="116"/>
      <c r="H515" s="116"/>
      <c r="I515" s="116"/>
      <c r="J515" s="116"/>
      <c r="K515" s="116"/>
      <c r="L515" s="116"/>
      <c r="M515" s="116"/>
    </row>
    <row r="516" ht="15.75" hidden="1" customHeight="1">
      <c r="A516" s="136" t="s">
        <v>283</v>
      </c>
      <c r="B516" s="123"/>
      <c r="C516" s="115"/>
      <c r="D516" s="116"/>
      <c r="E516" s="110"/>
      <c r="F516" s="117"/>
      <c r="G516" s="116"/>
      <c r="H516" s="116"/>
      <c r="I516" s="116"/>
      <c r="J516" s="116"/>
      <c r="K516" s="116"/>
      <c r="L516" s="116"/>
      <c r="M516" s="116"/>
    </row>
    <row r="517" ht="15.75" hidden="1" customHeight="1">
      <c r="A517" s="132"/>
      <c r="B517" s="123"/>
      <c r="C517" s="115"/>
      <c r="D517" s="116"/>
      <c r="E517" s="110"/>
      <c r="F517" s="117"/>
      <c r="G517" s="116"/>
      <c r="H517" s="116"/>
      <c r="I517" s="116"/>
      <c r="J517" s="116"/>
      <c r="K517" s="116"/>
      <c r="L517" s="116"/>
      <c r="M517" s="116"/>
    </row>
    <row r="518" ht="15.75" hidden="1" customHeight="1">
      <c r="A518" s="133" t="s">
        <v>295</v>
      </c>
      <c r="B518" s="123"/>
      <c r="C518" s="115"/>
      <c r="D518" s="116"/>
      <c r="E518" s="110"/>
      <c r="F518" s="117"/>
      <c r="G518" s="116"/>
      <c r="H518" s="116"/>
      <c r="I518" s="116"/>
      <c r="J518" s="116"/>
      <c r="K518" s="116"/>
      <c r="L518" s="116"/>
      <c r="M518" s="116"/>
    </row>
    <row r="519" ht="15.75" hidden="1" customHeight="1">
      <c r="A519" s="132" t="s">
        <v>296</v>
      </c>
      <c r="B519" s="123"/>
      <c r="C519" s="115"/>
      <c r="D519" s="116"/>
      <c r="E519" s="110"/>
      <c r="F519" s="117"/>
      <c r="G519" s="116"/>
      <c r="H519" s="116"/>
      <c r="I519" s="116"/>
      <c r="J519" s="116"/>
      <c r="K519" s="116"/>
      <c r="L519" s="116"/>
      <c r="M519" s="116"/>
    </row>
    <row r="520" ht="15.75" hidden="1" customHeight="1">
      <c r="A520" s="132" t="s">
        <v>297</v>
      </c>
      <c r="B520" s="123"/>
      <c r="C520" s="115"/>
      <c r="D520" s="116"/>
      <c r="E520" s="110"/>
      <c r="F520" s="117"/>
      <c r="G520" s="116"/>
      <c r="H520" s="116"/>
      <c r="I520" s="116"/>
      <c r="J520" s="116"/>
      <c r="K520" s="116"/>
      <c r="L520" s="116"/>
      <c r="M520" s="116"/>
    </row>
    <row r="521" ht="15.75" hidden="1" customHeight="1">
      <c r="A521" s="132" t="s">
        <v>298</v>
      </c>
      <c r="B521" s="123"/>
      <c r="C521" s="115"/>
      <c r="D521" s="116"/>
      <c r="E521" s="110"/>
      <c r="F521" s="117"/>
      <c r="G521" s="116"/>
      <c r="H521" s="116"/>
      <c r="I521" s="116"/>
      <c r="J521" s="116"/>
      <c r="K521" s="116"/>
      <c r="L521" s="116"/>
      <c r="M521" s="116"/>
    </row>
    <row r="522" ht="15.75" hidden="1" customHeight="1">
      <c r="A522" s="132" t="s">
        <v>299</v>
      </c>
      <c r="B522" s="123"/>
      <c r="C522" s="115"/>
      <c r="D522" s="116"/>
      <c r="E522" s="110"/>
      <c r="F522" s="117"/>
      <c r="G522" s="116"/>
      <c r="H522" s="116"/>
      <c r="I522" s="116"/>
      <c r="J522" s="116"/>
      <c r="K522" s="116"/>
      <c r="L522" s="116"/>
      <c r="M522" s="116"/>
    </row>
    <row r="523" ht="15.75" hidden="1" customHeight="1">
      <c r="A523" s="132" t="s">
        <v>300</v>
      </c>
      <c r="B523" s="123"/>
      <c r="C523" s="115"/>
      <c r="D523" s="116"/>
      <c r="E523" s="110"/>
      <c r="F523" s="117"/>
      <c r="G523" s="116"/>
      <c r="H523" s="116"/>
      <c r="I523" s="116"/>
      <c r="J523" s="116"/>
      <c r="K523" s="116"/>
      <c r="L523" s="116"/>
      <c r="M523" s="116"/>
    </row>
    <row r="524" ht="15.75" hidden="1" customHeight="1">
      <c r="A524" s="132" t="s">
        <v>301</v>
      </c>
      <c r="B524" s="123"/>
      <c r="C524" s="115"/>
      <c r="D524" s="116"/>
      <c r="E524" s="110"/>
      <c r="F524" s="117"/>
      <c r="G524" s="116"/>
      <c r="H524" s="116"/>
      <c r="I524" s="116"/>
      <c r="J524" s="116"/>
      <c r="K524" s="116"/>
      <c r="L524" s="116"/>
      <c r="M524" s="116"/>
    </row>
    <row r="525" ht="15.75" hidden="1" customHeight="1">
      <c r="A525" s="132" t="s">
        <v>302</v>
      </c>
      <c r="B525" s="123"/>
      <c r="C525" s="115"/>
      <c r="D525" s="116"/>
      <c r="E525" s="110"/>
      <c r="F525" s="117"/>
      <c r="G525" s="116"/>
      <c r="H525" s="116"/>
      <c r="I525" s="116"/>
      <c r="J525" s="116"/>
      <c r="K525" s="116"/>
      <c r="L525" s="116"/>
      <c r="M525" s="116"/>
    </row>
    <row r="526" ht="15.75" hidden="1" customHeight="1">
      <c r="A526" s="132" t="s">
        <v>303</v>
      </c>
      <c r="B526" s="123"/>
      <c r="C526" s="115"/>
      <c r="D526" s="116"/>
      <c r="E526" s="110"/>
      <c r="F526" s="117"/>
      <c r="G526" s="116"/>
      <c r="H526" s="116"/>
      <c r="I526" s="116"/>
      <c r="J526" s="116"/>
      <c r="K526" s="116"/>
      <c r="L526" s="116"/>
      <c r="M526" s="116"/>
    </row>
    <row r="527" ht="15.75" hidden="1" customHeight="1">
      <c r="A527" s="132"/>
      <c r="B527" s="123"/>
      <c r="C527" s="115"/>
      <c r="D527" s="116"/>
      <c r="E527" s="110"/>
      <c r="F527" s="117"/>
      <c r="G527" s="116"/>
      <c r="H527" s="116"/>
      <c r="I527" s="116"/>
      <c r="J527" s="116"/>
      <c r="K527" s="116"/>
      <c r="L527" s="116"/>
      <c r="M527" s="116"/>
    </row>
    <row r="528" ht="15.75" hidden="1" customHeight="1">
      <c r="A528" s="124" t="s">
        <v>304</v>
      </c>
      <c r="B528" s="123"/>
      <c r="C528" s="115"/>
      <c r="D528" s="116"/>
      <c r="E528" s="110"/>
      <c r="F528" s="117"/>
      <c r="G528" s="116"/>
      <c r="H528" s="116"/>
      <c r="I528" s="116"/>
      <c r="J528" s="116"/>
      <c r="K528" s="116"/>
      <c r="L528" s="116"/>
      <c r="M528" s="116"/>
    </row>
    <row r="529" ht="15.75" hidden="1" customHeight="1">
      <c r="A529" s="124" t="s">
        <v>305</v>
      </c>
      <c r="B529" s="123"/>
      <c r="C529" s="115"/>
      <c r="D529" s="116"/>
      <c r="E529" s="110"/>
      <c r="F529" s="117"/>
      <c r="G529" s="116"/>
      <c r="H529" s="116"/>
      <c r="I529" s="116"/>
      <c r="J529" s="116"/>
      <c r="K529" s="116"/>
      <c r="L529" s="116"/>
      <c r="M529" s="116"/>
    </row>
    <row r="530" ht="15.75" hidden="1" customHeight="1">
      <c r="A530" s="124" t="s">
        <v>306</v>
      </c>
      <c r="B530" s="123"/>
      <c r="C530" s="115"/>
      <c r="D530" s="116"/>
      <c r="E530" s="110"/>
      <c r="F530" s="117"/>
      <c r="G530" s="116"/>
      <c r="H530" s="116"/>
      <c r="I530" s="116"/>
      <c r="J530" s="116"/>
      <c r="K530" s="116"/>
      <c r="L530" s="116"/>
      <c r="M530" s="116"/>
    </row>
    <row r="531" ht="15.75" hidden="1" customHeight="1">
      <c r="A531" s="124" t="s">
        <v>155</v>
      </c>
      <c r="B531" s="123"/>
      <c r="C531" s="115"/>
      <c r="D531" s="116"/>
      <c r="E531" s="110"/>
      <c r="F531" s="117"/>
      <c r="G531" s="116"/>
      <c r="H531" s="116"/>
      <c r="I531" s="116"/>
      <c r="J531" s="116"/>
      <c r="K531" s="116"/>
      <c r="L531" s="116"/>
      <c r="M531" s="116"/>
    </row>
    <row r="532" ht="15.75" hidden="1" customHeight="1">
      <c r="A532" s="137" t="s">
        <v>307</v>
      </c>
      <c r="B532" s="123"/>
      <c r="C532" s="115"/>
      <c r="D532" s="116"/>
      <c r="E532" s="110"/>
      <c r="F532" s="117"/>
      <c r="G532" s="116"/>
      <c r="H532" s="116"/>
      <c r="I532" s="116"/>
      <c r="J532" s="116"/>
      <c r="K532" s="116"/>
      <c r="L532" s="116"/>
      <c r="M532" s="116"/>
    </row>
    <row r="533" ht="15.75" hidden="1" customHeight="1">
      <c r="A533" s="138" t="s">
        <v>308</v>
      </c>
      <c r="B533" s="123"/>
      <c r="C533" s="115"/>
      <c r="D533" s="116"/>
      <c r="E533" s="110"/>
      <c r="F533" s="117"/>
      <c r="G533" s="116"/>
      <c r="H533" s="116"/>
      <c r="I533" s="116"/>
      <c r="J533" s="116"/>
      <c r="K533" s="116"/>
      <c r="L533" s="116"/>
      <c r="M533" s="116"/>
    </row>
    <row r="534" ht="15.75" hidden="1" customHeight="1">
      <c r="A534" s="124" t="s">
        <v>156</v>
      </c>
      <c r="B534" s="123"/>
      <c r="C534" s="115"/>
      <c r="D534" s="116"/>
      <c r="E534" s="110"/>
      <c r="F534" s="117"/>
      <c r="G534" s="116"/>
      <c r="H534" s="116"/>
      <c r="I534" s="116"/>
      <c r="J534" s="116"/>
      <c r="K534" s="116"/>
      <c r="L534" s="116"/>
      <c r="M534" s="116"/>
    </row>
    <row r="535" ht="15.75" hidden="1" customHeight="1">
      <c r="A535" s="137" t="s">
        <v>307</v>
      </c>
      <c r="B535" s="123"/>
      <c r="C535" s="115"/>
      <c r="D535" s="116"/>
      <c r="E535" s="110"/>
      <c r="F535" s="117"/>
      <c r="G535" s="116"/>
      <c r="H535" s="116"/>
      <c r="I535" s="116"/>
      <c r="J535" s="116"/>
      <c r="K535" s="116"/>
      <c r="L535" s="116"/>
      <c r="M535" s="116"/>
    </row>
    <row r="536" ht="15.75" hidden="1" customHeight="1">
      <c r="A536" s="138" t="s">
        <v>308</v>
      </c>
      <c r="B536" s="123"/>
      <c r="C536" s="115"/>
      <c r="D536" s="116"/>
      <c r="E536" s="110"/>
      <c r="F536" s="117"/>
      <c r="G536" s="116"/>
      <c r="H536" s="116"/>
      <c r="I536" s="116"/>
      <c r="J536" s="116"/>
      <c r="K536" s="116"/>
      <c r="L536" s="116"/>
      <c r="M536" s="116"/>
    </row>
    <row r="537" ht="15.75" hidden="1" customHeight="1">
      <c r="A537" s="124" t="s">
        <v>138</v>
      </c>
      <c r="B537" s="123"/>
      <c r="C537" s="115"/>
      <c r="D537" s="116"/>
      <c r="E537" s="110"/>
      <c r="F537" s="117"/>
      <c r="G537" s="116"/>
      <c r="H537" s="116"/>
      <c r="I537" s="116"/>
      <c r="J537" s="116"/>
      <c r="K537" s="116"/>
      <c r="L537" s="116"/>
      <c r="M537" s="116"/>
    </row>
    <row r="538" ht="15.75" hidden="1" customHeight="1">
      <c r="A538" s="137" t="s">
        <v>307</v>
      </c>
      <c r="B538" s="123"/>
      <c r="C538" s="115"/>
      <c r="D538" s="116"/>
      <c r="E538" s="110"/>
      <c r="F538" s="117"/>
      <c r="G538" s="116"/>
      <c r="H538" s="116"/>
      <c r="I538" s="116"/>
      <c r="J538" s="116"/>
      <c r="K538" s="116"/>
      <c r="L538" s="116"/>
      <c r="M538" s="116"/>
    </row>
    <row r="539" ht="15.75" hidden="1" customHeight="1">
      <c r="A539" s="138" t="s">
        <v>308</v>
      </c>
      <c r="B539" s="123"/>
      <c r="C539" s="115"/>
      <c r="D539" s="116"/>
      <c r="E539" s="110"/>
      <c r="F539" s="117"/>
      <c r="G539" s="116"/>
      <c r="H539" s="116"/>
      <c r="I539" s="116"/>
      <c r="J539" s="116"/>
      <c r="K539" s="116"/>
      <c r="L539" s="116"/>
      <c r="M539" s="116"/>
    </row>
    <row r="540" ht="15.75" hidden="1" customHeight="1">
      <c r="A540" s="124" t="s">
        <v>142</v>
      </c>
      <c r="B540" s="123"/>
      <c r="C540" s="115"/>
      <c r="D540" s="116"/>
      <c r="E540" s="110"/>
      <c r="F540" s="117"/>
      <c r="G540" s="116"/>
      <c r="H540" s="116"/>
      <c r="I540" s="116"/>
      <c r="J540" s="116"/>
      <c r="K540" s="116"/>
      <c r="L540" s="116"/>
      <c r="M540" s="116"/>
    </row>
    <row r="541" ht="15.75" hidden="1" customHeight="1">
      <c r="A541" s="137" t="s">
        <v>307</v>
      </c>
      <c r="B541" s="123"/>
      <c r="C541" s="115"/>
      <c r="D541" s="116"/>
      <c r="E541" s="110"/>
      <c r="F541" s="117"/>
      <c r="G541" s="116"/>
      <c r="H541" s="116"/>
      <c r="I541" s="116"/>
      <c r="J541" s="116"/>
      <c r="K541" s="116"/>
      <c r="L541" s="116"/>
      <c r="M541" s="116"/>
    </row>
    <row r="542" ht="15.75" hidden="1" customHeight="1">
      <c r="A542" s="138" t="s">
        <v>308</v>
      </c>
      <c r="B542" s="123"/>
      <c r="C542" s="115"/>
      <c r="D542" s="116"/>
      <c r="E542" s="110"/>
      <c r="F542" s="117"/>
      <c r="G542" s="116"/>
      <c r="H542" s="116"/>
      <c r="I542" s="116"/>
      <c r="J542" s="116"/>
      <c r="K542" s="116"/>
      <c r="L542" s="116"/>
      <c r="M542" s="116"/>
    </row>
    <row r="543" ht="15.75" hidden="1" customHeight="1">
      <c r="A543" s="137" t="s">
        <v>143</v>
      </c>
      <c r="B543" s="123"/>
      <c r="C543" s="115"/>
      <c r="D543" s="116"/>
      <c r="E543" s="110"/>
      <c r="F543" s="117"/>
      <c r="G543" s="116"/>
      <c r="H543" s="116"/>
      <c r="I543" s="116"/>
      <c r="J543" s="116"/>
      <c r="K543" s="116"/>
      <c r="L543" s="116"/>
      <c r="M543" s="116"/>
    </row>
    <row r="544" ht="15.75" hidden="1" customHeight="1">
      <c r="A544" s="137" t="s">
        <v>307</v>
      </c>
      <c r="B544" s="123"/>
      <c r="C544" s="115"/>
      <c r="D544" s="116"/>
      <c r="E544" s="110"/>
      <c r="F544" s="117"/>
      <c r="G544" s="116"/>
      <c r="H544" s="116"/>
      <c r="I544" s="116"/>
      <c r="J544" s="116"/>
      <c r="K544" s="116"/>
      <c r="L544" s="116"/>
      <c r="M544" s="116"/>
    </row>
    <row r="545" ht="15.75" hidden="1" customHeight="1">
      <c r="A545" s="138" t="s">
        <v>308</v>
      </c>
      <c r="B545" s="123"/>
      <c r="C545" s="115"/>
      <c r="D545" s="116"/>
      <c r="E545" s="110"/>
      <c r="F545" s="117"/>
      <c r="G545" s="116"/>
      <c r="H545" s="116"/>
      <c r="I545" s="116"/>
      <c r="J545" s="116"/>
      <c r="K545" s="116"/>
      <c r="L545" s="116"/>
      <c r="M545" s="116"/>
    </row>
    <row r="546" ht="15.75" hidden="1" customHeight="1">
      <c r="A546" s="124" t="s">
        <v>309</v>
      </c>
      <c r="B546" s="123"/>
      <c r="C546" s="115"/>
      <c r="D546" s="116"/>
      <c r="E546" s="110"/>
      <c r="F546" s="117"/>
      <c r="G546" s="116"/>
      <c r="H546" s="116"/>
      <c r="I546" s="116"/>
      <c r="J546" s="116"/>
      <c r="K546" s="116"/>
      <c r="L546" s="116"/>
      <c r="M546" s="116"/>
    </row>
    <row r="547" ht="15.75" hidden="1" customHeight="1">
      <c r="A547" s="137" t="s">
        <v>307</v>
      </c>
      <c r="B547" s="123"/>
      <c r="C547" s="115"/>
      <c r="D547" s="116"/>
      <c r="E547" s="110"/>
      <c r="F547" s="117"/>
      <c r="G547" s="116"/>
      <c r="H547" s="116"/>
      <c r="I547" s="116"/>
      <c r="J547" s="116"/>
      <c r="K547" s="116"/>
      <c r="L547" s="116"/>
      <c r="M547" s="116"/>
    </row>
    <row r="548" ht="15.75" hidden="1" customHeight="1">
      <c r="A548" s="138" t="s">
        <v>308</v>
      </c>
      <c r="B548" s="123"/>
      <c r="C548" s="115"/>
      <c r="D548" s="116"/>
      <c r="E548" s="110"/>
      <c r="F548" s="117"/>
      <c r="G548" s="116"/>
      <c r="H548" s="116"/>
      <c r="I548" s="116"/>
      <c r="J548" s="116"/>
      <c r="K548" s="116"/>
      <c r="L548" s="116"/>
      <c r="M548" s="116"/>
    </row>
    <row r="549" ht="15.75" hidden="1" customHeight="1">
      <c r="A549" s="124" t="s">
        <v>144</v>
      </c>
      <c r="B549" s="123"/>
      <c r="C549" s="115"/>
      <c r="D549" s="116"/>
      <c r="E549" s="110"/>
      <c r="F549" s="117"/>
      <c r="G549" s="116"/>
      <c r="H549" s="116"/>
      <c r="I549" s="116"/>
      <c r="J549" s="116"/>
      <c r="K549" s="116"/>
      <c r="L549" s="116"/>
      <c r="M549" s="116"/>
    </row>
    <row r="550" ht="15.75" hidden="1" customHeight="1">
      <c r="A550" s="137" t="s">
        <v>307</v>
      </c>
      <c r="B550" s="123"/>
      <c r="C550" s="115"/>
      <c r="D550" s="116"/>
      <c r="E550" s="110"/>
      <c r="F550" s="117"/>
      <c r="G550" s="116"/>
      <c r="H550" s="116"/>
      <c r="I550" s="116"/>
      <c r="J550" s="116"/>
      <c r="K550" s="116"/>
      <c r="L550" s="116"/>
      <c r="M550" s="116"/>
    </row>
    <row r="551" ht="15.75" hidden="1" customHeight="1">
      <c r="A551" s="138" t="s">
        <v>308</v>
      </c>
      <c r="B551" s="123"/>
      <c r="C551" s="115"/>
      <c r="D551" s="116"/>
      <c r="E551" s="110"/>
      <c r="F551" s="117"/>
      <c r="G551" s="116"/>
      <c r="H551" s="116"/>
      <c r="I551" s="116"/>
      <c r="J551" s="116"/>
      <c r="K551" s="116"/>
      <c r="L551" s="116"/>
      <c r="M551" s="116"/>
    </row>
    <row r="552" ht="15.75" hidden="1" customHeight="1">
      <c r="A552" s="124" t="s">
        <v>157</v>
      </c>
      <c r="B552" s="123"/>
      <c r="C552" s="115"/>
      <c r="D552" s="116"/>
      <c r="E552" s="110"/>
      <c r="F552" s="117"/>
      <c r="G552" s="116"/>
      <c r="H552" s="116"/>
      <c r="I552" s="116"/>
      <c r="J552" s="116"/>
      <c r="K552" s="116"/>
      <c r="L552" s="116"/>
      <c r="M552" s="116"/>
    </row>
    <row r="553" ht="15.75" hidden="1" customHeight="1">
      <c r="A553" s="137" t="s">
        <v>307</v>
      </c>
      <c r="B553" s="123"/>
      <c r="C553" s="115"/>
      <c r="D553" s="116"/>
      <c r="E553" s="110"/>
      <c r="F553" s="117"/>
      <c r="G553" s="116"/>
      <c r="H553" s="116"/>
      <c r="I553" s="116"/>
      <c r="J553" s="116"/>
      <c r="K553" s="116"/>
      <c r="L553" s="116"/>
      <c r="M553" s="116"/>
    </row>
    <row r="554" ht="15.75" hidden="1" customHeight="1">
      <c r="A554" s="138" t="s">
        <v>308</v>
      </c>
      <c r="B554" s="123"/>
      <c r="C554" s="115"/>
      <c r="D554" s="116"/>
      <c r="E554" s="110"/>
      <c r="F554" s="117"/>
      <c r="G554" s="116"/>
      <c r="H554" s="116"/>
      <c r="I554" s="116"/>
      <c r="J554" s="116"/>
      <c r="K554" s="116"/>
      <c r="L554" s="116"/>
      <c r="M554" s="116"/>
    </row>
    <row r="555" ht="15.75" hidden="1" customHeight="1">
      <c r="A555" s="124" t="s">
        <v>141</v>
      </c>
      <c r="B555" s="123"/>
      <c r="C555" s="115"/>
      <c r="D555" s="116"/>
      <c r="E555" s="110"/>
      <c r="F555" s="117"/>
      <c r="G555" s="116"/>
      <c r="H555" s="116"/>
      <c r="I555" s="116"/>
      <c r="J555" s="116"/>
      <c r="K555" s="116"/>
      <c r="L555" s="116"/>
      <c r="M555" s="116"/>
    </row>
    <row r="556" ht="15.75" hidden="1" customHeight="1">
      <c r="A556" s="137" t="s">
        <v>307</v>
      </c>
      <c r="B556" s="123"/>
      <c r="C556" s="115"/>
      <c r="D556" s="116"/>
      <c r="E556" s="110"/>
      <c r="F556" s="117"/>
      <c r="G556" s="116"/>
      <c r="H556" s="116"/>
      <c r="I556" s="116"/>
      <c r="J556" s="116"/>
      <c r="K556" s="116"/>
      <c r="L556" s="116"/>
      <c r="M556" s="116"/>
    </row>
    <row r="557" ht="15.75" hidden="1" customHeight="1">
      <c r="A557" s="138" t="s">
        <v>308</v>
      </c>
      <c r="B557" s="123"/>
      <c r="C557" s="115"/>
      <c r="D557" s="116"/>
      <c r="E557" s="110"/>
      <c r="F557" s="117"/>
      <c r="G557" s="116"/>
      <c r="H557" s="116"/>
      <c r="I557" s="116"/>
      <c r="J557" s="116"/>
      <c r="K557" s="116"/>
      <c r="L557" s="116"/>
      <c r="M557" s="116"/>
    </row>
    <row r="558" ht="15.75" hidden="1" customHeight="1">
      <c r="A558" s="124" t="s">
        <v>140</v>
      </c>
      <c r="B558" s="123"/>
      <c r="C558" s="115"/>
      <c r="D558" s="116"/>
      <c r="E558" s="110"/>
      <c r="F558" s="117"/>
      <c r="G558" s="116"/>
      <c r="H558" s="116"/>
      <c r="I558" s="116"/>
      <c r="J558" s="116"/>
      <c r="K558" s="116"/>
      <c r="L558" s="116"/>
      <c r="M558" s="116"/>
    </row>
    <row r="559" ht="15.75" hidden="1" customHeight="1">
      <c r="A559" s="137" t="s">
        <v>307</v>
      </c>
      <c r="B559" s="123"/>
      <c r="C559" s="115"/>
      <c r="D559" s="116"/>
      <c r="E559" s="110"/>
      <c r="F559" s="117"/>
      <c r="G559" s="116"/>
      <c r="H559" s="116"/>
      <c r="I559" s="116"/>
      <c r="J559" s="116"/>
      <c r="K559" s="116"/>
      <c r="L559" s="116"/>
      <c r="M559" s="116"/>
    </row>
    <row r="560" ht="15.75" hidden="1" customHeight="1">
      <c r="A560" s="138" t="s">
        <v>308</v>
      </c>
      <c r="B560" s="123"/>
      <c r="C560" s="115"/>
      <c r="D560" s="116"/>
      <c r="E560" s="110"/>
      <c r="F560" s="117"/>
      <c r="G560" s="116"/>
      <c r="H560" s="116"/>
      <c r="I560" s="116"/>
      <c r="J560" s="116"/>
      <c r="K560" s="116"/>
      <c r="L560" s="116"/>
      <c r="M560" s="116"/>
    </row>
    <row r="561" ht="15.75" hidden="1" customHeight="1">
      <c r="A561" s="138"/>
      <c r="B561" s="123"/>
      <c r="C561" s="115"/>
      <c r="D561" s="116"/>
      <c r="E561" s="110"/>
      <c r="F561" s="117"/>
      <c r="G561" s="116"/>
      <c r="H561" s="116"/>
      <c r="I561" s="116"/>
      <c r="J561" s="116"/>
      <c r="K561" s="116"/>
      <c r="L561" s="116"/>
      <c r="M561" s="116"/>
    </row>
    <row r="562" ht="15.75" hidden="1" customHeight="1">
      <c r="A562" s="124" t="s">
        <v>310</v>
      </c>
      <c r="B562" s="123"/>
      <c r="C562" s="115"/>
      <c r="D562" s="116"/>
      <c r="E562" s="110"/>
      <c r="F562" s="117"/>
      <c r="G562" s="116"/>
      <c r="H562" s="116"/>
      <c r="I562" s="116"/>
      <c r="J562" s="116"/>
      <c r="K562" s="116"/>
      <c r="L562" s="116"/>
      <c r="M562" s="116"/>
    </row>
    <row r="563" ht="15.75" hidden="1" customHeight="1">
      <c r="A563" s="122" t="s">
        <v>311</v>
      </c>
      <c r="B563" s="123"/>
      <c r="C563" s="115"/>
      <c r="D563" s="116"/>
      <c r="E563" s="110"/>
      <c r="F563" s="117"/>
      <c r="G563" s="116"/>
      <c r="H563" s="116"/>
      <c r="I563" s="116"/>
      <c r="J563" s="116"/>
      <c r="K563" s="116"/>
      <c r="L563" s="116"/>
      <c r="M563" s="116"/>
    </row>
    <row r="564" ht="15.75" hidden="1" customHeight="1">
      <c r="A564" s="122" t="s">
        <v>312</v>
      </c>
      <c r="B564" s="123"/>
      <c r="C564" s="115"/>
      <c r="D564" s="116"/>
      <c r="E564" s="110"/>
      <c r="F564" s="117"/>
      <c r="G564" s="116"/>
      <c r="H564" s="116"/>
      <c r="I564" s="116"/>
      <c r="J564" s="116"/>
      <c r="K564" s="116"/>
      <c r="L564" s="116"/>
      <c r="M564" s="116"/>
    </row>
    <row r="565" ht="15.75" hidden="1" customHeight="1">
      <c r="A565" s="122"/>
      <c r="B565" s="123"/>
      <c r="C565" s="115"/>
      <c r="D565" s="116"/>
      <c r="E565" s="110"/>
      <c r="F565" s="117"/>
      <c r="G565" s="116"/>
      <c r="H565" s="116"/>
      <c r="I565" s="116"/>
      <c r="J565" s="116"/>
      <c r="K565" s="116"/>
      <c r="L565" s="116"/>
      <c r="M565" s="116"/>
    </row>
    <row r="566" ht="15.75" hidden="1" customHeight="1">
      <c r="A566" s="124" t="s">
        <v>313</v>
      </c>
      <c r="B566" s="123"/>
      <c r="C566" s="115"/>
      <c r="D566" s="116"/>
      <c r="E566" s="110"/>
      <c r="F566" s="117"/>
      <c r="G566" s="116"/>
      <c r="H566" s="116"/>
      <c r="I566" s="116"/>
      <c r="J566" s="116"/>
      <c r="K566" s="116"/>
      <c r="L566" s="116"/>
      <c r="M566" s="116"/>
    </row>
    <row r="567" ht="15.75" hidden="1" customHeight="1">
      <c r="A567" s="139" t="s">
        <v>314</v>
      </c>
      <c r="B567" s="123"/>
      <c r="C567" s="115"/>
      <c r="D567" s="116"/>
      <c r="E567" s="110"/>
      <c r="F567" s="117"/>
      <c r="G567" s="116"/>
      <c r="H567" s="116"/>
      <c r="I567" s="116"/>
      <c r="J567" s="116"/>
      <c r="K567" s="116"/>
      <c r="L567" s="116"/>
      <c r="M567" s="116"/>
    </row>
    <row r="568" ht="15.75" hidden="1" customHeight="1">
      <c r="A568" s="124" t="s">
        <v>315</v>
      </c>
      <c r="B568" s="123"/>
      <c r="C568" s="115"/>
      <c r="D568" s="116"/>
      <c r="E568" s="110"/>
      <c r="F568" s="117"/>
      <c r="G568" s="116"/>
      <c r="H568" s="116"/>
      <c r="I568" s="116"/>
      <c r="J568" s="116"/>
      <c r="K568" s="116"/>
      <c r="L568" s="116"/>
      <c r="M568" s="116"/>
    </row>
    <row r="569" ht="15.75" hidden="1" customHeight="1">
      <c r="A569" s="139" t="s">
        <v>316</v>
      </c>
      <c r="B569" s="123"/>
      <c r="C569" s="115"/>
      <c r="D569" s="116"/>
      <c r="E569" s="110"/>
      <c r="F569" s="117"/>
      <c r="G569" s="116"/>
      <c r="H569" s="116"/>
      <c r="I569" s="116"/>
      <c r="J569" s="116"/>
      <c r="K569" s="116"/>
      <c r="L569" s="116"/>
      <c r="M569" s="116"/>
    </row>
    <row r="570" ht="15.75" hidden="1" customHeight="1">
      <c r="A570" s="139" t="s">
        <v>317</v>
      </c>
      <c r="B570" s="123"/>
      <c r="C570" s="115"/>
      <c r="D570" s="116"/>
      <c r="E570" s="110"/>
      <c r="F570" s="117"/>
      <c r="G570" s="116"/>
      <c r="H570" s="116"/>
      <c r="I570" s="116"/>
      <c r="J570" s="116"/>
      <c r="K570" s="116"/>
      <c r="L570" s="116"/>
      <c r="M570" s="116"/>
    </row>
    <row r="571" ht="15.75" hidden="1" customHeight="1">
      <c r="A571" s="139" t="s">
        <v>318</v>
      </c>
      <c r="B571" s="123"/>
      <c r="C571" s="115"/>
      <c r="D571" s="116"/>
      <c r="E571" s="110"/>
      <c r="F571" s="117"/>
      <c r="G571" s="116"/>
      <c r="H571" s="116"/>
      <c r="I571" s="116"/>
      <c r="J571" s="116"/>
      <c r="K571" s="116"/>
      <c r="L571" s="116"/>
      <c r="M571" s="116"/>
    </row>
    <row r="572" ht="15.75" hidden="1" customHeight="1">
      <c r="A572" s="139" t="s">
        <v>319</v>
      </c>
      <c r="B572" s="123"/>
      <c r="C572" s="115"/>
      <c r="D572" s="116"/>
      <c r="E572" s="110"/>
      <c r="F572" s="117"/>
      <c r="G572" s="116"/>
      <c r="H572" s="116"/>
      <c r="I572" s="116"/>
      <c r="J572" s="116"/>
      <c r="K572" s="116"/>
      <c r="L572" s="116"/>
      <c r="M572" s="116"/>
    </row>
    <row r="573" ht="15.75" hidden="1" customHeight="1">
      <c r="A573" s="139" t="s">
        <v>320</v>
      </c>
      <c r="B573" s="123"/>
      <c r="C573" s="115"/>
      <c r="D573" s="116"/>
      <c r="E573" s="110"/>
      <c r="F573" s="117"/>
      <c r="G573" s="116"/>
      <c r="H573" s="116"/>
      <c r="I573" s="116"/>
      <c r="J573" s="116"/>
      <c r="K573" s="116"/>
      <c r="L573" s="116"/>
      <c r="M573" s="116"/>
    </row>
    <row r="574" ht="15.75" hidden="1" customHeight="1">
      <c r="A574" s="139"/>
      <c r="B574" s="123"/>
      <c r="C574" s="115"/>
      <c r="D574" s="116"/>
      <c r="E574" s="110"/>
      <c r="F574" s="117"/>
      <c r="G574" s="116"/>
      <c r="H574" s="116"/>
      <c r="I574" s="116"/>
      <c r="J574" s="116"/>
      <c r="K574" s="116"/>
      <c r="L574" s="116"/>
      <c r="M574" s="116"/>
    </row>
    <row r="575" ht="15.75" hidden="1" customHeight="1">
      <c r="A575" s="124" t="s">
        <v>321</v>
      </c>
      <c r="B575" s="123"/>
      <c r="C575" s="115"/>
      <c r="D575" s="116"/>
      <c r="E575" s="110"/>
      <c r="F575" s="117"/>
      <c r="G575" s="116"/>
      <c r="H575" s="116"/>
      <c r="I575" s="116"/>
      <c r="J575" s="116"/>
      <c r="K575" s="116"/>
      <c r="L575" s="116"/>
      <c r="M575" s="116"/>
    </row>
    <row r="576" ht="15.75" hidden="1" customHeight="1">
      <c r="A576" s="124" t="s">
        <v>322</v>
      </c>
      <c r="B576" s="123"/>
      <c r="C576" s="115"/>
      <c r="D576" s="116"/>
      <c r="E576" s="110"/>
      <c r="F576" s="117"/>
      <c r="G576" s="116"/>
      <c r="H576" s="116"/>
      <c r="I576" s="116"/>
      <c r="J576" s="116"/>
      <c r="K576" s="116"/>
      <c r="L576" s="116"/>
      <c r="M576" s="116"/>
    </row>
    <row r="577" ht="15.75" hidden="1" customHeight="1">
      <c r="A577" s="129" t="s">
        <v>323</v>
      </c>
      <c r="B577" s="123"/>
      <c r="C577" s="115"/>
      <c r="D577" s="116"/>
      <c r="E577" s="110"/>
      <c r="F577" s="117"/>
      <c r="G577" s="116"/>
      <c r="H577" s="116"/>
      <c r="I577" s="116"/>
      <c r="J577" s="116"/>
      <c r="K577" s="116"/>
      <c r="L577" s="116"/>
      <c r="M577" s="116"/>
    </row>
    <row r="578" ht="15.75" hidden="1" customHeight="1">
      <c r="A578" s="122" t="s">
        <v>324</v>
      </c>
      <c r="B578" s="123"/>
      <c r="C578" s="115"/>
      <c r="D578" s="116"/>
      <c r="E578" s="110"/>
      <c r="F578" s="117"/>
      <c r="G578" s="116"/>
      <c r="H578" s="116"/>
      <c r="I578" s="116"/>
      <c r="J578" s="116"/>
      <c r="K578" s="116"/>
      <c r="L578" s="116"/>
      <c r="M578" s="116"/>
    </row>
    <row r="579" ht="15.75" hidden="1" customHeight="1">
      <c r="A579" s="122" t="s">
        <v>325</v>
      </c>
      <c r="B579" s="123"/>
      <c r="C579" s="115"/>
      <c r="D579" s="116"/>
      <c r="E579" s="110"/>
      <c r="F579" s="117"/>
      <c r="G579" s="116"/>
      <c r="H579" s="116"/>
      <c r="I579" s="116"/>
      <c r="J579" s="116"/>
      <c r="K579" s="116"/>
      <c r="L579" s="116"/>
      <c r="M579" s="116"/>
    </row>
    <row r="580" ht="15.75" hidden="1" customHeight="1">
      <c r="A580" s="122" t="s">
        <v>326</v>
      </c>
      <c r="B580" s="123"/>
      <c r="C580" s="115"/>
      <c r="D580" s="116"/>
      <c r="E580" s="110"/>
      <c r="F580" s="117"/>
      <c r="G580" s="116"/>
      <c r="H580" s="116"/>
      <c r="I580" s="116"/>
      <c r="J580" s="116"/>
      <c r="K580" s="116"/>
      <c r="L580" s="116"/>
      <c r="M580" s="116"/>
    </row>
    <row r="581" ht="15.75" hidden="1" customHeight="1">
      <c r="A581" s="124" t="s">
        <v>327</v>
      </c>
      <c r="B581" s="123"/>
      <c r="C581" s="115"/>
      <c r="D581" s="116"/>
      <c r="E581" s="110"/>
      <c r="F581" s="117"/>
      <c r="G581" s="116"/>
      <c r="H581" s="116"/>
      <c r="I581" s="116"/>
      <c r="J581" s="116"/>
      <c r="K581" s="116"/>
      <c r="L581" s="116"/>
      <c r="M581" s="116"/>
    </row>
    <row r="582" ht="15.75" hidden="1" customHeight="1">
      <c r="A582" s="122" t="s">
        <v>328</v>
      </c>
      <c r="B582" s="123"/>
      <c r="C582" s="115"/>
      <c r="D582" s="116"/>
      <c r="E582" s="110"/>
      <c r="F582" s="117"/>
      <c r="G582" s="116"/>
      <c r="H582" s="116"/>
      <c r="I582" s="116"/>
      <c r="J582" s="116"/>
      <c r="K582" s="116"/>
      <c r="L582" s="116"/>
      <c r="M582" s="116"/>
    </row>
    <row r="583" ht="15.75" hidden="1" customHeight="1">
      <c r="A583" s="122" t="s">
        <v>329</v>
      </c>
      <c r="B583" s="123"/>
      <c r="C583" s="115"/>
      <c r="D583" s="116"/>
      <c r="E583" s="110"/>
      <c r="F583" s="117"/>
      <c r="G583" s="116"/>
      <c r="H583" s="116"/>
      <c r="I583" s="116"/>
      <c r="J583" s="116"/>
      <c r="K583" s="116"/>
      <c r="L583" s="116"/>
      <c r="M583" s="116"/>
    </row>
    <row r="584" ht="15.75" hidden="1" customHeight="1">
      <c r="A584" s="122" t="s">
        <v>330</v>
      </c>
      <c r="B584" s="123"/>
      <c r="C584" s="115"/>
      <c r="D584" s="116"/>
      <c r="E584" s="110"/>
      <c r="F584" s="117"/>
      <c r="G584" s="116"/>
      <c r="H584" s="116"/>
      <c r="I584" s="116"/>
      <c r="J584" s="116"/>
      <c r="K584" s="116"/>
      <c r="L584" s="116"/>
      <c r="M584" s="116"/>
    </row>
    <row r="585" ht="15.75" hidden="1" customHeight="1">
      <c r="A585" s="124" t="s">
        <v>331</v>
      </c>
      <c r="B585" s="123"/>
      <c r="C585" s="115"/>
      <c r="D585" s="116"/>
      <c r="E585" s="110"/>
      <c r="F585" s="117"/>
      <c r="G585" s="116"/>
      <c r="H585" s="116"/>
      <c r="I585" s="116"/>
      <c r="J585" s="116"/>
      <c r="K585" s="116"/>
      <c r="L585" s="116"/>
      <c r="M585" s="116"/>
    </row>
    <row r="586" ht="15.75" hidden="1" customHeight="1">
      <c r="A586" s="122" t="s">
        <v>332</v>
      </c>
      <c r="B586" s="123"/>
      <c r="C586" s="115"/>
      <c r="D586" s="116"/>
      <c r="E586" s="110"/>
      <c r="F586" s="117"/>
      <c r="G586" s="116"/>
      <c r="H586" s="116"/>
      <c r="I586" s="116"/>
      <c r="J586" s="116"/>
      <c r="K586" s="116"/>
      <c r="L586" s="116"/>
      <c r="M586" s="116"/>
    </row>
    <row r="587" ht="15.75" hidden="1" customHeight="1">
      <c r="A587" s="122" t="s">
        <v>333</v>
      </c>
      <c r="B587" s="123"/>
      <c r="C587" s="115"/>
      <c r="D587" s="116"/>
      <c r="E587" s="110"/>
      <c r="F587" s="117"/>
      <c r="G587" s="116"/>
      <c r="H587" s="116"/>
      <c r="I587" s="116"/>
      <c r="J587" s="116"/>
      <c r="K587" s="116"/>
      <c r="L587" s="116"/>
      <c r="M587" s="116"/>
    </row>
    <row r="588" ht="15.75" hidden="1" customHeight="1">
      <c r="A588" s="140"/>
      <c r="B588" s="123"/>
      <c r="C588" s="115"/>
      <c r="D588" s="116"/>
      <c r="E588" s="110"/>
      <c r="F588" s="117"/>
      <c r="G588" s="116"/>
      <c r="H588" s="116"/>
      <c r="I588" s="116"/>
      <c r="J588" s="116"/>
      <c r="K588" s="116"/>
      <c r="L588" s="116"/>
      <c r="M588" s="116"/>
    </row>
    <row r="589" ht="15.75" hidden="1" customHeight="1">
      <c r="A589" s="133" t="s">
        <v>334</v>
      </c>
      <c r="B589" s="123"/>
      <c r="C589" s="115"/>
      <c r="D589" s="116"/>
      <c r="E589" s="110"/>
      <c r="F589" s="117"/>
      <c r="G589" s="116"/>
      <c r="H589" s="116"/>
      <c r="I589" s="116"/>
      <c r="J589" s="116"/>
      <c r="K589" s="116"/>
      <c r="L589" s="116"/>
      <c r="M589" s="116"/>
    </row>
    <row r="590" ht="15.75" hidden="1" customHeight="1">
      <c r="A590" s="133" t="s">
        <v>335</v>
      </c>
      <c r="B590" s="123"/>
      <c r="C590" s="115"/>
      <c r="D590" s="116"/>
      <c r="E590" s="110"/>
      <c r="F590" s="117"/>
      <c r="G590" s="116"/>
      <c r="H590" s="116"/>
      <c r="I590" s="116"/>
      <c r="J590" s="116"/>
      <c r="K590" s="116"/>
      <c r="L590" s="116"/>
      <c r="M590" s="116"/>
    </row>
    <row r="591" ht="15.75" hidden="1" customHeight="1">
      <c r="A591" s="132" t="s">
        <v>336</v>
      </c>
      <c r="B591" s="123"/>
      <c r="C591" s="115"/>
      <c r="D591" s="116"/>
      <c r="E591" s="110"/>
      <c r="F591" s="117"/>
      <c r="G591" s="116"/>
      <c r="H591" s="116"/>
      <c r="I591" s="116"/>
      <c r="J591" s="116"/>
      <c r="K591" s="116"/>
      <c r="L591" s="116"/>
      <c r="M591" s="116"/>
    </row>
    <row r="592" ht="15.75" hidden="1" customHeight="1">
      <c r="A592" s="133" t="s">
        <v>105</v>
      </c>
      <c r="B592" s="123"/>
      <c r="C592" s="115"/>
      <c r="D592" s="116"/>
      <c r="E592" s="110"/>
      <c r="F592" s="117"/>
      <c r="G592" s="116"/>
      <c r="H592" s="116"/>
      <c r="I592" s="116"/>
      <c r="J592" s="116"/>
      <c r="K592" s="116"/>
      <c r="L592" s="116"/>
      <c r="M592" s="116"/>
    </row>
    <row r="593" ht="15.75" hidden="1" customHeight="1">
      <c r="A593" s="133" t="s">
        <v>337</v>
      </c>
      <c r="B593" s="123"/>
      <c r="C593" s="115"/>
      <c r="D593" s="116"/>
      <c r="E593" s="110"/>
      <c r="F593" s="117"/>
      <c r="G593" s="116"/>
      <c r="H593" s="116"/>
      <c r="I593" s="116"/>
      <c r="J593" s="116"/>
      <c r="K593" s="116"/>
      <c r="L593" s="116"/>
      <c r="M593" s="116"/>
    </row>
    <row r="594" ht="15.75" hidden="1" customHeight="1">
      <c r="A594" s="133" t="s">
        <v>338</v>
      </c>
      <c r="B594" s="123"/>
      <c r="C594" s="115"/>
      <c r="D594" s="116"/>
      <c r="E594" s="110"/>
      <c r="F594" s="117"/>
      <c r="G594" s="116"/>
      <c r="H594" s="116"/>
      <c r="I594" s="116"/>
      <c r="J594" s="116"/>
      <c r="K594" s="116"/>
      <c r="L594" s="116"/>
      <c r="M594" s="116"/>
    </row>
    <row r="595" ht="15.75" hidden="1" customHeight="1">
      <c r="A595" s="132" t="s">
        <v>339</v>
      </c>
      <c r="B595" s="123"/>
      <c r="C595" s="115"/>
      <c r="D595" s="116"/>
      <c r="E595" s="110"/>
      <c r="F595" s="117"/>
      <c r="G595" s="116"/>
      <c r="H595" s="116"/>
      <c r="I595" s="116"/>
      <c r="J595" s="116"/>
      <c r="K595" s="116"/>
      <c r="L595" s="116"/>
      <c r="M595" s="116"/>
    </row>
    <row r="596" ht="15.75" hidden="1" customHeight="1">
      <c r="A596" s="132" t="s">
        <v>340</v>
      </c>
      <c r="B596" s="123"/>
      <c r="C596" s="115"/>
      <c r="D596" s="116"/>
      <c r="E596" s="110"/>
      <c r="F596" s="117"/>
      <c r="G596" s="116"/>
      <c r="H596" s="116"/>
      <c r="I596" s="116"/>
      <c r="J596" s="116"/>
      <c r="K596" s="116"/>
      <c r="L596" s="116"/>
      <c r="M596" s="116"/>
    </row>
    <row r="597" ht="15.75" hidden="1" customHeight="1">
      <c r="A597" s="132" t="s">
        <v>341</v>
      </c>
      <c r="B597" s="123"/>
      <c r="C597" s="115"/>
      <c r="D597" s="116"/>
      <c r="E597" s="110"/>
      <c r="F597" s="117"/>
      <c r="G597" s="116"/>
      <c r="H597" s="116"/>
      <c r="I597" s="116"/>
      <c r="J597" s="116"/>
      <c r="K597" s="116"/>
      <c r="L597" s="116"/>
      <c r="M597" s="116"/>
    </row>
    <row r="598" ht="15.75" hidden="1" customHeight="1">
      <c r="A598" s="132" t="s">
        <v>342</v>
      </c>
      <c r="B598" s="123"/>
      <c r="C598" s="115"/>
      <c r="D598" s="116"/>
      <c r="E598" s="110"/>
      <c r="F598" s="117"/>
      <c r="G598" s="116"/>
      <c r="H598" s="116"/>
      <c r="I598" s="116"/>
      <c r="J598" s="116"/>
      <c r="K598" s="116"/>
      <c r="L598" s="116"/>
      <c r="M598" s="116"/>
    </row>
    <row r="599" ht="15.75" hidden="1" customHeight="1">
      <c r="A599" s="132" t="s">
        <v>343</v>
      </c>
      <c r="B599" s="123"/>
      <c r="C599" s="115"/>
      <c r="D599" s="116"/>
      <c r="E599" s="110"/>
      <c r="F599" s="117"/>
      <c r="G599" s="116"/>
      <c r="H599" s="116"/>
      <c r="I599" s="116"/>
      <c r="J599" s="116"/>
      <c r="K599" s="116"/>
      <c r="L599" s="116"/>
      <c r="M599" s="116"/>
    </row>
    <row r="600" ht="15.75" hidden="1" customHeight="1">
      <c r="A600" s="132" t="s">
        <v>344</v>
      </c>
      <c r="B600" s="123"/>
      <c r="C600" s="115"/>
      <c r="D600" s="116"/>
      <c r="E600" s="110"/>
      <c r="F600" s="117"/>
      <c r="G600" s="116"/>
      <c r="H600" s="116"/>
      <c r="I600" s="116"/>
      <c r="J600" s="116"/>
      <c r="K600" s="116"/>
      <c r="L600" s="116"/>
      <c r="M600" s="116"/>
    </row>
    <row r="601" ht="15.75" hidden="1" customHeight="1">
      <c r="A601" s="132" t="s">
        <v>345</v>
      </c>
      <c r="B601" s="123"/>
      <c r="C601" s="115"/>
      <c r="D601" s="116"/>
      <c r="E601" s="110"/>
      <c r="F601" s="117"/>
      <c r="G601" s="116"/>
      <c r="H601" s="116"/>
      <c r="I601" s="116"/>
      <c r="J601" s="116"/>
      <c r="K601" s="116"/>
      <c r="L601" s="116"/>
      <c r="M601" s="116"/>
    </row>
    <row r="602" ht="15.75" hidden="1" customHeight="1">
      <c r="A602" s="132" t="s">
        <v>346</v>
      </c>
      <c r="B602" s="123"/>
      <c r="C602" s="115"/>
      <c r="D602" s="116"/>
      <c r="E602" s="110"/>
      <c r="F602" s="117"/>
      <c r="G602" s="116"/>
      <c r="H602" s="116"/>
      <c r="I602" s="116"/>
      <c r="J602" s="116"/>
      <c r="K602" s="116"/>
      <c r="L602" s="116"/>
      <c r="M602" s="116"/>
    </row>
    <row r="603" ht="15.75" hidden="1" customHeight="1">
      <c r="A603" s="132" t="s">
        <v>340</v>
      </c>
      <c r="B603" s="123"/>
      <c r="C603" s="115"/>
      <c r="D603" s="116"/>
      <c r="E603" s="110"/>
      <c r="F603" s="117"/>
      <c r="G603" s="116"/>
      <c r="H603" s="116"/>
      <c r="I603" s="116"/>
      <c r="J603" s="116"/>
      <c r="K603" s="116"/>
      <c r="L603" s="116"/>
      <c r="M603" s="116"/>
    </row>
    <row r="604" ht="15.75" hidden="1" customHeight="1">
      <c r="A604" s="132" t="s">
        <v>347</v>
      </c>
      <c r="B604" s="123"/>
      <c r="C604" s="115"/>
      <c r="D604" s="116"/>
      <c r="E604" s="110"/>
      <c r="F604" s="117"/>
      <c r="G604" s="116"/>
      <c r="H604" s="116"/>
      <c r="I604" s="116"/>
      <c r="J604" s="116"/>
      <c r="K604" s="116"/>
      <c r="L604" s="116"/>
      <c r="M604" s="116"/>
    </row>
    <row r="605" ht="15.75" hidden="1" customHeight="1">
      <c r="A605" s="132" t="s">
        <v>348</v>
      </c>
      <c r="B605" s="123"/>
      <c r="C605" s="115"/>
      <c r="D605" s="116"/>
      <c r="E605" s="110"/>
      <c r="F605" s="117"/>
      <c r="G605" s="116"/>
      <c r="H605" s="116"/>
      <c r="I605" s="116"/>
      <c r="J605" s="116"/>
      <c r="K605" s="116"/>
      <c r="L605" s="116"/>
      <c r="M605" s="116"/>
    </row>
    <row r="606" ht="15.75" hidden="1" customHeight="1">
      <c r="A606" s="132" t="s">
        <v>343</v>
      </c>
      <c r="B606" s="123"/>
      <c r="C606" s="115"/>
      <c r="D606" s="116"/>
      <c r="E606" s="110"/>
      <c r="F606" s="117"/>
      <c r="G606" s="116"/>
      <c r="H606" s="116"/>
      <c r="I606" s="116"/>
      <c r="J606" s="116"/>
      <c r="K606" s="116"/>
      <c r="L606" s="116"/>
      <c r="M606" s="116"/>
    </row>
    <row r="607" ht="15.75" hidden="1" customHeight="1">
      <c r="A607" s="132" t="s">
        <v>349</v>
      </c>
      <c r="B607" s="123"/>
      <c r="C607" s="115"/>
      <c r="D607" s="116"/>
      <c r="E607" s="110"/>
      <c r="F607" s="117"/>
      <c r="G607" s="116"/>
      <c r="H607" s="116"/>
      <c r="I607" s="116"/>
      <c r="J607" s="116"/>
      <c r="K607" s="116"/>
      <c r="L607" s="116"/>
      <c r="M607" s="116"/>
    </row>
    <row r="608" ht="15.75" hidden="1" customHeight="1">
      <c r="A608" s="132" t="s">
        <v>350</v>
      </c>
      <c r="B608" s="123"/>
      <c r="C608" s="115"/>
      <c r="D608" s="116"/>
      <c r="E608" s="110"/>
      <c r="F608" s="117"/>
      <c r="G608" s="116"/>
      <c r="H608" s="116"/>
      <c r="I608" s="116"/>
      <c r="J608" s="116"/>
      <c r="K608" s="116"/>
      <c r="L608" s="116"/>
      <c r="M608" s="116"/>
    </row>
    <row r="609" ht="15.75" hidden="1" customHeight="1">
      <c r="A609" s="133" t="s">
        <v>351</v>
      </c>
      <c r="B609" s="123"/>
      <c r="C609" s="115"/>
      <c r="D609" s="116"/>
      <c r="E609" s="110"/>
      <c r="F609" s="117"/>
      <c r="G609" s="116"/>
      <c r="H609" s="116"/>
      <c r="I609" s="116"/>
      <c r="J609" s="116"/>
      <c r="K609" s="116"/>
      <c r="L609" s="116"/>
      <c r="M609" s="116"/>
    </row>
    <row r="610" ht="15.75" hidden="1" customHeight="1">
      <c r="A610" s="132" t="s">
        <v>339</v>
      </c>
      <c r="B610" s="123"/>
      <c r="C610" s="115"/>
      <c r="D610" s="116"/>
      <c r="E610" s="110"/>
      <c r="F610" s="117"/>
      <c r="G610" s="116"/>
      <c r="H610" s="116"/>
      <c r="I610" s="116"/>
      <c r="J610" s="116"/>
      <c r="K610" s="116"/>
      <c r="L610" s="116"/>
      <c r="M610" s="116"/>
    </row>
    <row r="611" ht="15.75" hidden="1" customHeight="1">
      <c r="A611" s="132" t="s">
        <v>340</v>
      </c>
      <c r="B611" s="123"/>
      <c r="C611" s="115"/>
      <c r="D611" s="116"/>
      <c r="E611" s="110"/>
      <c r="F611" s="117"/>
      <c r="G611" s="116"/>
      <c r="H611" s="116"/>
      <c r="I611" s="116"/>
      <c r="J611" s="116"/>
      <c r="K611" s="116"/>
      <c r="L611" s="116"/>
      <c r="M611" s="116"/>
    </row>
    <row r="612" ht="15.75" hidden="1" customHeight="1">
      <c r="A612" s="132" t="s">
        <v>341</v>
      </c>
      <c r="B612" s="123"/>
      <c r="C612" s="115"/>
      <c r="D612" s="116"/>
      <c r="E612" s="110"/>
      <c r="F612" s="117"/>
      <c r="G612" s="116"/>
      <c r="H612" s="116"/>
      <c r="I612" s="116"/>
      <c r="J612" s="116"/>
      <c r="K612" s="116"/>
      <c r="L612" s="116"/>
      <c r="M612" s="116"/>
    </row>
    <row r="613" ht="15.75" hidden="1" customHeight="1">
      <c r="A613" s="132" t="s">
        <v>342</v>
      </c>
      <c r="B613" s="123"/>
      <c r="C613" s="115"/>
      <c r="D613" s="116"/>
      <c r="E613" s="110"/>
      <c r="F613" s="117"/>
      <c r="G613" s="116"/>
      <c r="H613" s="116"/>
      <c r="I613" s="116"/>
      <c r="J613" s="116"/>
      <c r="K613" s="116"/>
      <c r="L613" s="116"/>
      <c r="M613" s="116"/>
    </row>
    <row r="614" ht="15.75" hidden="1" customHeight="1">
      <c r="A614" s="132" t="s">
        <v>343</v>
      </c>
      <c r="B614" s="123"/>
      <c r="C614" s="115"/>
      <c r="D614" s="116"/>
      <c r="E614" s="110"/>
      <c r="F614" s="117"/>
      <c r="G614" s="116"/>
      <c r="H614" s="116"/>
      <c r="I614" s="116"/>
      <c r="J614" s="116"/>
      <c r="K614" s="116"/>
      <c r="L614" s="116"/>
      <c r="M614" s="116"/>
    </row>
    <row r="615" ht="15.75" hidden="1" customHeight="1">
      <c r="A615" s="132" t="s">
        <v>344</v>
      </c>
      <c r="B615" s="123"/>
      <c r="C615" s="115"/>
      <c r="D615" s="116"/>
      <c r="E615" s="110"/>
      <c r="F615" s="117"/>
      <c r="G615" s="116"/>
      <c r="H615" s="116"/>
      <c r="I615" s="116"/>
      <c r="J615" s="116"/>
      <c r="K615" s="116"/>
      <c r="L615" s="116"/>
      <c r="M615" s="116"/>
    </row>
    <row r="616" ht="15.75" hidden="1" customHeight="1">
      <c r="A616" s="132" t="s">
        <v>345</v>
      </c>
      <c r="B616" s="123"/>
      <c r="C616" s="115"/>
      <c r="D616" s="116"/>
      <c r="E616" s="110"/>
      <c r="F616" s="117"/>
      <c r="G616" s="116"/>
      <c r="H616" s="116"/>
      <c r="I616" s="116"/>
      <c r="J616" s="116"/>
      <c r="K616" s="116"/>
      <c r="L616" s="116"/>
      <c r="M616" s="116"/>
    </row>
    <row r="617" ht="15.75" hidden="1" customHeight="1">
      <c r="A617" s="132" t="s">
        <v>346</v>
      </c>
      <c r="B617" s="123"/>
      <c r="C617" s="115"/>
      <c r="D617" s="116"/>
      <c r="E617" s="110"/>
      <c r="F617" s="117"/>
      <c r="G617" s="116"/>
      <c r="H617" s="116"/>
      <c r="I617" s="116"/>
      <c r="J617" s="116"/>
      <c r="K617" s="116"/>
      <c r="L617" s="116"/>
      <c r="M617" s="116"/>
    </row>
    <row r="618" ht="15.75" hidden="1" customHeight="1">
      <c r="A618" s="132" t="s">
        <v>340</v>
      </c>
      <c r="B618" s="123"/>
      <c r="C618" s="115"/>
      <c r="D618" s="116"/>
      <c r="E618" s="110"/>
      <c r="F618" s="117"/>
      <c r="G618" s="116"/>
      <c r="H618" s="116"/>
      <c r="I618" s="116"/>
      <c r="J618" s="116"/>
      <c r="K618" s="116"/>
      <c r="L618" s="116"/>
      <c r="M618" s="116"/>
    </row>
    <row r="619" ht="15.75" hidden="1" customHeight="1">
      <c r="A619" s="132" t="s">
        <v>347</v>
      </c>
      <c r="B619" s="123"/>
      <c r="C619" s="115"/>
      <c r="D619" s="116"/>
      <c r="E619" s="110"/>
      <c r="F619" s="117"/>
      <c r="G619" s="116"/>
      <c r="H619" s="116"/>
      <c r="I619" s="116"/>
      <c r="J619" s="116"/>
      <c r="K619" s="116"/>
      <c r="L619" s="116"/>
      <c r="M619" s="116"/>
    </row>
    <row r="620" ht="15.75" hidden="1" customHeight="1">
      <c r="A620" s="132" t="s">
        <v>348</v>
      </c>
      <c r="B620" s="123"/>
      <c r="C620" s="115"/>
      <c r="D620" s="116"/>
      <c r="E620" s="110"/>
      <c r="F620" s="117"/>
      <c r="G620" s="116"/>
      <c r="H620" s="116"/>
      <c r="I620" s="116"/>
      <c r="J620" s="116"/>
      <c r="K620" s="116"/>
      <c r="L620" s="116"/>
      <c r="M620" s="116"/>
    </row>
    <row r="621" ht="15.75" hidden="1" customHeight="1">
      <c r="A621" s="132" t="s">
        <v>343</v>
      </c>
      <c r="B621" s="123"/>
      <c r="C621" s="115"/>
      <c r="D621" s="116"/>
      <c r="E621" s="110"/>
      <c r="F621" s="117"/>
      <c r="G621" s="116"/>
      <c r="H621" s="116"/>
      <c r="I621" s="116"/>
      <c r="J621" s="116"/>
      <c r="K621" s="116"/>
      <c r="L621" s="116"/>
      <c r="M621" s="116"/>
    </row>
    <row r="622" ht="15.75" hidden="1" customHeight="1">
      <c r="A622" s="132" t="s">
        <v>349</v>
      </c>
      <c r="B622" s="123"/>
      <c r="C622" s="115"/>
      <c r="D622" s="116"/>
      <c r="E622" s="110"/>
      <c r="F622" s="117"/>
      <c r="G622" s="116"/>
      <c r="H622" s="116"/>
      <c r="I622" s="116"/>
      <c r="J622" s="116"/>
      <c r="K622" s="116"/>
      <c r="L622" s="116"/>
      <c r="M622" s="116"/>
    </row>
    <row r="623" ht="15.75" hidden="1" customHeight="1">
      <c r="A623" s="132" t="s">
        <v>350</v>
      </c>
      <c r="B623" s="123"/>
      <c r="C623" s="115"/>
      <c r="D623" s="116"/>
      <c r="E623" s="110"/>
      <c r="F623" s="117"/>
      <c r="G623" s="116"/>
      <c r="H623" s="116"/>
      <c r="I623" s="116"/>
      <c r="J623" s="116"/>
      <c r="K623" s="116"/>
      <c r="L623" s="116"/>
      <c r="M623" s="116"/>
    </row>
    <row r="624" ht="15.75" hidden="1" customHeight="1">
      <c r="A624" s="134"/>
      <c r="B624" s="123"/>
      <c r="C624" s="115"/>
      <c r="D624" s="116"/>
      <c r="E624" s="110"/>
      <c r="F624" s="117"/>
      <c r="G624" s="116"/>
      <c r="H624" s="116"/>
      <c r="I624" s="116"/>
      <c r="J624" s="116"/>
      <c r="K624" s="116"/>
      <c r="L624" s="116"/>
      <c r="M624" s="116"/>
    </row>
    <row r="625">
      <c r="A625" s="141" t="s">
        <v>352</v>
      </c>
      <c r="B625" s="142"/>
      <c r="C625" s="112">
        <f t="shared" ref="C625:D625" si="1">C626</f>
        <v>0</v>
      </c>
      <c r="D625" s="107">
        <f t="shared" si="1"/>
        <v>600</v>
      </c>
      <c r="E625" s="110"/>
      <c r="F625" s="111">
        <v>2000.0</v>
      </c>
      <c r="G625" s="107"/>
      <c r="H625" s="111">
        <f>H626</f>
        <v>0</v>
      </c>
      <c r="I625" s="107"/>
      <c r="J625" s="107"/>
      <c r="K625" s="107"/>
      <c r="L625" s="111">
        <f>L626</f>
        <v>0</v>
      </c>
      <c r="M625" s="107"/>
    </row>
    <row r="626">
      <c r="A626" s="141" t="s">
        <v>353</v>
      </c>
      <c r="B626" s="142"/>
      <c r="C626" s="112">
        <f>C698+C723+C726</f>
        <v>0</v>
      </c>
      <c r="D626" s="107">
        <f>D634</f>
        <v>600</v>
      </c>
      <c r="E626" s="110"/>
      <c r="F626" s="143">
        <f>F634</f>
        <v>2000</v>
      </c>
      <c r="G626" s="107"/>
      <c r="H626" s="144">
        <v>0.0</v>
      </c>
      <c r="I626" s="107"/>
      <c r="J626" s="107"/>
      <c r="K626" s="107"/>
      <c r="L626" s="144">
        <v>0.0</v>
      </c>
      <c r="M626" s="107"/>
    </row>
    <row r="627" ht="15.75" hidden="1" customHeight="1">
      <c r="A627" s="133" t="s">
        <v>102</v>
      </c>
      <c r="B627" s="123"/>
      <c r="C627" s="115"/>
      <c r="D627" s="116"/>
      <c r="E627" s="110"/>
      <c r="F627" s="117"/>
      <c r="G627" s="116"/>
      <c r="H627" s="116"/>
      <c r="I627" s="116"/>
      <c r="J627" s="116"/>
      <c r="K627" s="116"/>
      <c r="L627" s="116"/>
      <c r="M627" s="116"/>
    </row>
    <row r="628" ht="15.75" hidden="1" customHeight="1">
      <c r="A628" s="132" t="s">
        <v>354</v>
      </c>
      <c r="B628" s="123"/>
      <c r="C628" s="115"/>
      <c r="D628" s="116"/>
      <c r="E628" s="110"/>
      <c r="F628" s="117"/>
      <c r="G628" s="116"/>
      <c r="H628" s="116"/>
      <c r="I628" s="116"/>
      <c r="J628" s="116"/>
      <c r="K628" s="116"/>
      <c r="L628" s="116"/>
      <c r="M628" s="116"/>
    </row>
    <row r="629" ht="15.75" hidden="1" customHeight="1">
      <c r="A629" s="133" t="s">
        <v>105</v>
      </c>
      <c r="B629" s="123"/>
      <c r="C629" s="115"/>
      <c r="D629" s="116"/>
      <c r="E629" s="110"/>
      <c r="F629" s="117"/>
      <c r="G629" s="116"/>
      <c r="H629" s="116"/>
      <c r="I629" s="116"/>
      <c r="J629" s="116"/>
      <c r="K629" s="116"/>
      <c r="L629" s="116"/>
      <c r="M629" s="116"/>
    </row>
    <row r="630" ht="15.75" hidden="1" customHeight="1">
      <c r="A630" s="132" t="s">
        <v>355</v>
      </c>
      <c r="B630" s="123"/>
      <c r="C630" s="115"/>
      <c r="D630" s="116"/>
      <c r="E630" s="110"/>
      <c r="F630" s="117"/>
      <c r="G630" s="116"/>
      <c r="H630" s="116"/>
      <c r="I630" s="116"/>
      <c r="J630" s="116"/>
      <c r="K630" s="116"/>
      <c r="L630" s="116"/>
      <c r="M630" s="116"/>
    </row>
    <row r="631" ht="24.0" hidden="1" customHeight="1">
      <c r="A631" s="124" t="s">
        <v>107</v>
      </c>
      <c r="B631" s="123"/>
      <c r="C631" s="115"/>
      <c r="D631" s="116"/>
      <c r="E631" s="110"/>
      <c r="F631" s="117"/>
      <c r="G631" s="116"/>
      <c r="H631" s="116"/>
      <c r="I631" s="116"/>
      <c r="J631" s="116"/>
      <c r="K631" s="116"/>
      <c r="L631" s="116"/>
      <c r="M631" s="116"/>
    </row>
    <row r="632" ht="48.0" customHeight="1">
      <c r="A632" s="124" t="s">
        <v>356</v>
      </c>
      <c r="B632" s="123"/>
      <c r="C632" s="115"/>
      <c r="D632" s="116"/>
      <c r="E632" s="110"/>
      <c r="F632" s="117"/>
      <c r="G632" s="116"/>
      <c r="H632" s="116"/>
      <c r="I632" s="116"/>
      <c r="J632" s="116"/>
      <c r="K632" s="116"/>
      <c r="L632" s="116"/>
      <c r="M632" s="116"/>
    </row>
    <row r="633">
      <c r="A633" s="124" t="s">
        <v>357</v>
      </c>
      <c r="B633" s="123"/>
      <c r="C633" s="115"/>
      <c r="D633" s="116"/>
      <c r="E633" s="110"/>
      <c r="F633" s="117"/>
      <c r="G633" s="116"/>
      <c r="H633" s="116"/>
      <c r="I633" s="116"/>
      <c r="J633" s="116"/>
      <c r="K633" s="116"/>
      <c r="L633" s="116"/>
      <c r="M633" s="116"/>
    </row>
    <row r="634" ht="21.75" customHeight="1">
      <c r="A634" s="122" t="s">
        <v>358</v>
      </c>
      <c r="B634" s="123" t="s">
        <v>43</v>
      </c>
      <c r="C634" s="115">
        <v>3.0</v>
      </c>
      <c r="D634" s="116">
        <v>600.0</v>
      </c>
      <c r="E634" s="110">
        <v>1.0</v>
      </c>
      <c r="F634" s="117">
        <v>2000.0</v>
      </c>
      <c r="G634" s="116"/>
      <c r="H634" s="145">
        <v>0.0</v>
      </c>
      <c r="I634" s="116"/>
      <c r="J634" s="116"/>
      <c r="K634" s="116"/>
      <c r="L634" s="145">
        <v>0.0</v>
      </c>
      <c r="M634" s="116"/>
    </row>
    <row r="635" ht="15.75" hidden="1" customHeight="1">
      <c r="A635" s="122" t="s">
        <v>256</v>
      </c>
      <c r="B635" s="123"/>
      <c r="C635" s="115"/>
      <c r="D635" s="116"/>
      <c r="E635" s="110"/>
      <c r="F635" s="117"/>
      <c r="G635" s="116"/>
      <c r="H635" s="116"/>
      <c r="I635" s="116"/>
      <c r="J635" s="116"/>
      <c r="K635" s="116"/>
      <c r="L635" s="116"/>
      <c r="M635" s="116"/>
    </row>
    <row r="636" ht="15.75" hidden="1" customHeight="1">
      <c r="A636" s="129" t="s">
        <v>359</v>
      </c>
      <c r="B636" s="123"/>
      <c r="C636" s="115"/>
      <c r="D636" s="116"/>
      <c r="E636" s="110"/>
      <c r="F636" s="117"/>
      <c r="G636" s="116"/>
      <c r="H636" s="116"/>
      <c r="I636" s="116"/>
      <c r="J636" s="116"/>
      <c r="K636" s="116"/>
      <c r="L636" s="116"/>
      <c r="M636" s="116"/>
    </row>
    <row r="637" ht="15.75" hidden="1" customHeight="1">
      <c r="A637" s="129" t="s">
        <v>360</v>
      </c>
      <c r="B637" s="123"/>
      <c r="C637" s="115"/>
      <c r="D637" s="116"/>
      <c r="E637" s="110"/>
      <c r="F637" s="117"/>
      <c r="G637" s="116"/>
      <c r="H637" s="116"/>
      <c r="I637" s="116"/>
      <c r="J637" s="116"/>
      <c r="K637" s="116"/>
      <c r="L637" s="116"/>
      <c r="M637" s="116"/>
    </row>
    <row r="638" ht="15.75" hidden="1" customHeight="1">
      <c r="A638" s="122" t="s">
        <v>259</v>
      </c>
      <c r="B638" s="123"/>
      <c r="C638" s="115"/>
      <c r="D638" s="116"/>
      <c r="E638" s="110"/>
      <c r="F638" s="117"/>
      <c r="G638" s="116"/>
      <c r="H638" s="116"/>
      <c r="I638" s="116"/>
      <c r="J638" s="116"/>
      <c r="K638" s="116"/>
      <c r="L638" s="116"/>
      <c r="M638" s="116"/>
    </row>
    <row r="639" ht="15.75" hidden="1" customHeight="1">
      <c r="A639" s="122" t="s">
        <v>361</v>
      </c>
      <c r="B639" s="123"/>
      <c r="C639" s="115"/>
      <c r="D639" s="116"/>
      <c r="E639" s="110"/>
      <c r="F639" s="117"/>
      <c r="G639" s="116"/>
      <c r="H639" s="116"/>
      <c r="I639" s="116"/>
      <c r="J639" s="116"/>
      <c r="K639" s="116"/>
      <c r="L639" s="116"/>
      <c r="M639" s="116"/>
    </row>
    <row r="640" ht="15.75" hidden="1" customHeight="1">
      <c r="A640" s="122" t="s">
        <v>261</v>
      </c>
      <c r="B640" s="123"/>
      <c r="C640" s="115"/>
      <c r="D640" s="116"/>
      <c r="E640" s="110"/>
      <c r="F640" s="117"/>
      <c r="G640" s="116"/>
      <c r="H640" s="116"/>
      <c r="I640" s="116"/>
      <c r="J640" s="116"/>
      <c r="K640" s="116"/>
      <c r="L640" s="116"/>
      <c r="M640" s="116"/>
    </row>
    <row r="641" ht="15.75" hidden="1" customHeight="1">
      <c r="A641" s="122" t="s">
        <v>263</v>
      </c>
      <c r="B641" s="123"/>
      <c r="C641" s="115"/>
      <c r="D641" s="116"/>
      <c r="E641" s="110"/>
      <c r="F641" s="117"/>
      <c r="G641" s="116"/>
      <c r="H641" s="116"/>
      <c r="I641" s="116"/>
      <c r="J641" s="116"/>
      <c r="K641" s="116"/>
      <c r="L641" s="116"/>
      <c r="M641" s="116"/>
    </row>
    <row r="642" ht="15.75" hidden="1" customHeight="1">
      <c r="A642" s="122" t="s">
        <v>362</v>
      </c>
      <c r="B642" s="123"/>
      <c r="C642" s="115"/>
      <c r="D642" s="116"/>
      <c r="E642" s="110"/>
      <c r="F642" s="117"/>
      <c r="G642" s="116"/>
      <c r="H642" s="116"/>
      <c r="I642" s="116"/>
      <c r="J642" s="116"/>
      <c r="K642" s="116"/>
      <c r="L642" s="116"/>
      <c r="M642" s="116"/>
    </row>
    <row r="643" ht="15.75" hidden="1" customHeight="1">
      <c r="A643" s="122" t="s">
        <v>363</v>
      </c>
      <c r="B643" s="123"/>
      <c r="C643" s="115"/>
      <c r="D643" s="116"/>
      <c r="E643" s="110"/>
      <c r="F643" s="117"/>
      <c r="G643" s="116"/>
      <c r="H643" s="116"/>
      <c r="I643" s="116"/>
      <c r="J643" s="116"/>
      <c r="K643" s="116"/>
      <c r="L643" s="116"/>
      <c r="M643" s="116"/>
    </row>
    <row r="644" ht="15.75" hidden="1" customHeight="1">
      <c r="A644" s="122" t="s">
        <v>265</v>
      </c>
      <c r="B644" s="123"/>
      <c r="C644" s="115"/>
      <c r="D644" s="116"/>
      <c r="E644" s="110"/>
      <c r="F644" s="117"/>
      <c r="G644" s="116"/>
      <c r="H644" s="116"/>
      <c r="I644" s="116"/>
      <c r="J644" s="116"/>
      <c r="K644" s="116"/>
      <c r="L644" s="116"/>
      <c r="M644" s="116"/>
    </row>
    <row r="645" ht="15.75" hidden="1" customHeight="1">
      <c r="A645" s="122" t="s">
        <v>266</v>
      </c>
      <c r="B645" s="123"/>
      <c r="C645" s="115"/>
      <c r="D645" s="116"/>
      <c r="E645" s="110"/>
      <c r="F645" s="117"/>
      <c r="G645" s="116"/>
      <c r="H645" s="116"/>
      <c r="I645" s="116"/>
      <c r="J645" s="116"/>
      <c r="K645" s="116"/>
      <c r="L645" s="116"/>
      <c r="M645" s="116"/>
    </row>
    <row r="646" ht="15.75" hidden="1" customHeight="1">
      <c r="A646" s="122" t="s">
        <v>364</v>
      </c>
      <c r="B646" s="123"/>
      <c r="C646" s="115"/>
      <c r="D646" s="116"/>
      <c r="E646" s="110"/>
      <c r="F646" s="117"/>
      <c r="G646" s="116"/>
      <c r="H646" s="116"/>
      <c r="I646" s="116"/>
      <c r="J646" s="116"/>
      <c r="K646" s="116"/>
      <c r="L646" s="116"/>
      <c r="M646" s="116"/>
    </row>
    <row r="647" ht="15.75" hidden="1" customHeight="1">
      <c r="A647" s="122" t="s">
        <v>365</v>
      </c>
      <c r="B647" s="123"/>
      <c r="C647" s="115"/>
      <c r="D647" s="116"/>
      <c r="E647" s="110"/>
      <c r="F647" s="117"/>
      <c r="G647" s="116"/>
      <c r="H647" s="116"/>
      <c r="I647" s="116"/>
      <c r="J647" s="116"/>
      <c r="K647" s="116"/>
      <c r="L647" s="116"/>
      <c r="M647" s="116"/>
    </row>
    <row r="648" ht="15.75" hidden="1" customHeight="1">
      <c r="A648" s="129" t="s">
        <v>366</v>
      </c>
      <c r="B648" s="123"/>
      <c r="C648" s="115"/>
      <c r="D648" s="116"/>
      <c r="E648" s="110"/>
      <c r="F648" s="117"/>
      <c r="G648" s="116"/>
      <c r="H648" s="116"/>
      <c r="I648" s="116"/>
      <c r="J648" s="116"/>
      <c r="K648" s="116"/>
      <c r="L648" s="116"/>
      <c r="M648" s="116"/>
    </row>
    <row r="649" ht="15.75" hidden="1" customHeight="1">
      <c r="A649" s="122" t="s">
        <v>367</v>
      </c>
      <c r="B649" s="123"/>
      <c r="C649" s="115"/>
      <c r="D649" s="116"/>
      <c r="E649" s="110"/>
      <c r="F649" s="117"/>
      <c r="G649" s="116"/>
      <c r="H649" s="116"/>
      <c r="I649" s="116"/>
      <c r="J649" s="116"/>
      <c r="K649" s="116"/>
      <c r="L649" s="116"/>
      <c r="M649" s="116"/>
    </row>
    <row r="650" ht="15.75" hidden="1" customHeight="1">
      <c r="A650" s="140"/>
      <c r="B650" s="123"/>
      <c r="C650" s="115"/>
      <c r="D650" s="116"/>
      <c r="E650" s="110"/>
      <c r="F650" s="117"/>
      <c r="G650" s="116"/>
      <c r="H650" s="116"/>
      <c r="I650" s="116"/>
      <c r="J650" s="116"/>
      <c r="K650" s="116"/>
      <c r="L650" s="116"/>
      <c r="M650" s="116"/>
    </row>
    <row r="651" ht="15.75" hidden="1" customHeight="1">
      <c r="A651" s="140"/>
      <c r="B651" s="123"/>
      <c r="C651" s="115"/>
      <c r="D651" s="116"/>
      <c r="E651" s="110"/>
      <c r="F651" s="117"/>
      <c r="G651" s="116"/>
      <c r="H651" s="116"/>
      <c r="I651" s="116"/>
      <c r="J651" s="116"/>
      <c r="K651" s="116"/>
      <c r="L651" s="116"/>
      <c r="M651" s="116"/>
    </row>
    <row r="652" ht="15.75" hidden="1" customHeight="1">
      <c r="A652" s="140"/>
      <c r="B652" s="123"/>
      <c r="C652" s="115"/>
      <c r="D652" s="116"/>
      <c r="E652" s="110"/>
      <c r="F652" s="117"/>
      <c r="G652" s="116"/>
      <c r="H652" s="116"/>
      <c r="I652" s="116"/>
      <c r="J652" s="116"/>
      <c r="K652" s="116"/>
      <c r="L652" s="116"/>
      <c r="M652" s="116"/>
    </row>
    <row r="653" ht="15.75" hidden="1" customHeight="1">
      <c r="A653" s="124" t="s">
        <v>368</v>
      </c>
      <c r="B653" s="123"/>
      <c r="C653" s="115"/>
      <c r="D653" s="116"/>
      <c r="E653" s="110"/>
      <c r="F653" s="117"/>
      <c r="G653" s="116"/>
      <c r="H653" s="116"/>
      <c r="I653" s="116"/>
      <c r="J653" s="116"/>
      <c r="K653" s="116"/>
      <c r="L653" s="116"/>
      <c r="M653" s="116"/>
    </row>
    <row r="654" ht="15.75" hidden="1" customHeight="1">
      <c r="A654" s="124" t="s">
        <v>357</v>
      </c>
      <c r="B654" s="123"/>
      <c r="C654" s="115"/>
      <c r="D654" s="116"/>
      <c r="E654" s="110"/>
      <c r="F654" s="117"/>
      <c r="G654" s="116"/>
      <c r="H654" s="116"/>
      <c r="I654" s="116"/>
      <c r="J654" s="116"/>
      <c r="K654" s="116"/>
      <c r="L654" s="116"/>
      <c r="M654" s="116"/>
    </row>
    <row r="655" ht="15.75" hidden="1" customHeight="1">
      <c r="A655" s="122" t="s">
        <v>220</v>
      </c>
      <c r="B655" s="123"/>
      <c r="C655" s="115"/>
      <c r="D655" s="116"/>
      <c r="E655" s="110"/>
      <c r="F655" s="117"/>
      <c r="G655" s="116"/>
      <c r="H655" s="116"/>
      <c r="I655" s="116"/>
      <c r="J655" s="116"/>
      <c r="K655" s="116"/>
      <c r="L655" s="116"/>
      <c r="M655" s="116"/>
    </row>
    <row r="656" ht="15.75" hidden="1" customHeight="1">
      <c r="A656" s="122" t="s">
        <v>221</v>
      </c>
      <c r="B656" s="123"/>
      <c r="C656" s="115"/>
      <c r="D656" s="116"/>
      <c r="E656" s="110"/>
      <c r="F656" s="117"/>
      <c r="G656" s="116"/>
      <c r="H656" s="116"/>
      <c r="I656" s="116"/>
      <c r="J656" s="116"/>
      <c r="K656" s="116"/>
      <c r="L656" s="116"/>
      <c r="M656" s="116"/>
    </row>
    <row r="657" ht="15.75" hidden="1" customHeight="1">
      <c r="A657" s="122" t="s">
        <v>222</v>
      </c>
      <c r="B657" s="123"/>
      <c r="C657" s="115"/>
      <c r="D657" s="116"/>
      <c r="E657" s="110"/>
      <c r="F657" s="117"/>
      <c r="G657" s="116"/>
      <c r="H657" s="116"/>
      <c r="I657" s="116"/>
      <c r="J657" s="116"/>
      <c r="K657" s="116"/>
      <c r="L657" s="116"/>
      <c r="M657" s="116"/>
    </row>
    <row r="658" ht="15.75" hidden="1" customHeight="1">
      <c r="A658" s="122" t="s">
        <v>223</v>
      </c>
      <c r="B658" s="123"/>
      <c r="C658" s="115"/>
      <c r="D658" s="116"/>
      <c r="E658" s="110"/>
      <c r="F658" s="117"/>
      <c r="G658" s="116"/>
      <c r="H658" s="116"/>
      <c r="I658" s="116"/>
      <c r="J658" s="116"/>
      <c r="K658" s="116"/>
      <c r="L658" s="116"/>
      <c r="M658" s="116"/>
    </row>
    <row r="659" ht="15.75" hidden="1" customHeight="1">
      <c r="A659" s="122" t="s">
        <v>224</v>
      </c>
      <c r="B659" s="123"/>
      <c r="C659" s="115"/>
      <c r="D659" s="116"/>
      <c r="E659" s="110"/>
      <c r="F659" s="117"/>
      <c r="G659" s="116"/>
      <c r="H659" s="116"/>
      <c r="I659" s="116"/>
      <c r="J659" s="116"/>
      <c r="K659" s="116"/>
      <c r="L659" s="116"/>
      <c r="M659" s="116"/>
    </row>
    <row r="660" ht="15.75" hidden="1" customHeight="1">
      <c r="A660" s="122" t="s">
        <v>225</v>
      </c>
      <c r="B660" s="123"/>
      <c r="C660" s="115"/>
      <c r="D660" s="116"/>
      <c r="E660" s="110"/>
      <c r="F660" s="117"/>
      <c r="G660" s="116"/>
      <c r="H660" s="116"/>
      <c r="I660" s="116"/>
      <c r="J660" s="116"/>
      <c r="K660" s="116"/>
      <c r="L660" s="116"/>
      <c r="M660" s="116"/>
    </row>
    <row r="661" ht="15.75" hidden="1" customHeight="1">
      <c r="A661" s="122" t="s">
        <v>252</v>
      </c>
      <c r="B661" s="123"/>
      <c r="C661" s="115"/>
      <c r="D661" s="116"/>
      <c r="E661" s="110"/>
      <c r="F661" s="117"/>
      <c r="G661" s="116"/>
      <c r="H661" s="116"/>
      <c r="I661" s="116"/>
      <c r="J661" s="116"/>
      <c r="K661" s="116"/>
      <c r="L661" s="116"/>
      <c r="M661" s="116"/>
    </row>
    <row r="662" ht="15.75" hidden="1" customHeight="1">
      <c r="A662" s="122" t="s">
        <v>369</v>
      </c>
      <c r="B662" s="123"/>
      <c r="C662" s="115"/>
      <c r="D662" s="116"/>
      <c r="E662" s="110"/>
      <c r="F662" s="117"/>
      <c r="G662" s="116"/>
      <c r="H662" s="116"/>
      <c r="I662" s="116"/>
      <c r="J662" s="116"/>
      <c r="K662" s="116"/>
      <c r="L662" s="116"/>
      <c r="M662" s="116"/>
    </row>
    <row r="663" ht="15.75" hidden="1" customHeight="1">
      <c r="A663" s="122" t="s">
        <v>370</v>
      </c>
      <c r="B663" s="123"/>
      <c r="C663" s="115"/>
      <c r="D663" s="116"/>
      <c r="E663" s="110"/>
      <c r="F663" s="117"/>
      <c r="G663" s="116"/>
      <c r="H663" s="116"/>
      <c r="I663" s="116"/>
      <c r="J663" s="116"/>
      <c r="K663" s="116"/>
      <c r="L663" s="116"/>
      <c r="M663" s="116"/>
    </row>
    <row r="664" ht="15.75" hidden="1" customHeight="1">
      <c r="A664" s="122" t="s">
        <v>371</v>
      </c>
      <c r="B664" s="123"/>
      <c r="C664" s="115"/>
      <c r="D664" s="116"/>
      <c r="E664" s="110"/>
      <c r="F664" s="117"/>
      <c r="G664" s="116"/>
      <c r="H664" s="116"/>
      <c r="I664" s="116"/>
      <c r="J664" s="116"/>
      <c r="K664" s="116"/>
      <c r="L664" s="116"/>
      <c r="M664" s="116"/>
    </row>
    <row r="665" ht="15.75" hidden="1" customHeight="1">
      <c r="A665" s="140"/>
      <c r="B665" s="123"/>
      <c r="C665" s="115"/>
      <c r="D665" s="116"/>
      <c r="E665" s="110"/>
      <c r="F665" s="117"/>
      <c r="G665" s="116"/>
      <c r="H665" s="116"/>
      <c r="I665" s="116"/>
      <c r="J665" s="116"/>
      <c r="K665" s="116"/>
      <c r="L665" s="116"/>
      <c r="M665" s="116"/>
    </row>
    <row r="666" ht="48.0" hidden="1" customHeight="1">
      <c r="A666" s="124" t="s">
        <v>372</v>
      </c>
      <c r="B666" s="123"/>
      <c r="C666" s="115"/>
      <c r="D666" s="116"/>
      <c r="E666" s="110"/>
      <c r="F666" s="117"/>
      <c r="G666" s="116"/>
      <c r="H666" s="116"/>
      <c r="I666" s="116"/>
      <c r="J666" s="116"/>
      <c r="K666" s="116"/>
      <c r="L666" s="116"/>
      <c r="M666" s="116"/>
    </row>
    <row r="667" ht="15.75" hidden="1" customHeight="1">
      <c r="A667" s="124" t="s">
        <v>357</v>
      </c>
      <c r="B667" s="123"/>
      <c r="C667" s="115"/>
      <c r="D667" s="116"/>
      <c r="E667" s="110"/>
      <c r="F667" s="117"/>
      <c r="G667" s="116"/>
      <c r="H667" s="116"/>
      <c r="I667" s="116"/>
      <c r="J667" s="116"/>
      <c r="K667" s="116"/>
      <c r="L667" s="116"/>
      <c r="M667" s="116"/>
    </row>
    <row r="668" ht="15.75" hidden="1" customHeight="1">
      <c r="A668" s="122" t="s">
        <v>373</v>
      </c>
      <c r="B668" s="123"/>
      <c r="C668" s="115"/>
      <c r="D668" s="116"/>
      <c r="E668" s="110"/>
      <c r="F668" s="117"/>
      <c r="G668" s="116"/>
      <c r="H668" s="116"/>
      <c r="I668" s="116"/>
      <c r="J668" s="116"/>
      <c r="K668" s="116"/>
      <c r="L668" s="116"/>
      <c r="M668" s="116"/>
    </row>
    <row r="669" ht="15.75" hidden="1" customHeight="1">
      <c r="A669" s="122" t="s">
        <v>374</v>
      </c>
      <c r="B669" s="123"/>
      <c r="C669" s="115"/>
      <c r="D669" s="116"/>
      <c r="E669" s="110"/>
      <c r="F669" s="117"/>
      <c r="G669" s="116"/>
      <c r="H669" s="116"/>
      <c r="I669" s="116"/>
      <c r="J669" s="116"/>
      <c r="K669" s="116"/>
      <c r="L669" s="116"/>
      <c r="M669" s="116"/>
    </row>
    <row r="670" ht="15.75" hidden="1" customHeight="1">
      <c r="A670" s="122" t="s">
        <v>375</v>
      </c>
      <c r="B670" s="123"/>
      <c r="C670" s="115"/>
      <c r="D670" s="116"/>
      <c r="E670" s="110"/>
      <c r="F670" s="117"/>
      <c r="G670" s="116"/>
      <c r="H670" s="116"/>
      <c r="I670" s="116"/>
      <c r="J670" s="116"/>
      <c r="K670" s="116"/>
      <c r="L670" s="116"/>
      <c r="M670" s="116"/>
    </row>
    <row r="671" ht="15.75" hidden="1" customHeight="1">
      <c r="A671" s="122" t="s">
        <v>376</v>
      </c>
      <c r="B671" s="123"/>
      <c r="C671" s="115"/>
      <c r="D671" s="116"/>
      <c r="E671" s="110"/>
      <c r="F671" s="117"/>
      <c r="G671" s="116"/>
      <c r="H671" s="116"/>
      <c r="I671" s="116"/>
      <c r="J671" s="116"/>
      <c r="K671" s="116"/>
      <c r="L671" s="116"/>
      <c r="M671" s="116"/>
    </row>
    <row r="672" ht="15.75" hidden="1" customHeight="1">
      <c r="A672" s="122" t="s">
        <v>377</v>
      </c>
      <c r="B672" s="123"/>
      <c r="C672" s="115"/>
      <c r="D672" s="116"/>
      <c r="E672" s="110"/>
      <c r="F672" s="117"/>
      <c r="G672" s="116"/>
      <c r="H672" s="116"/>
      <c r="I672" s="116"/>
      <c r="J672" s="116"/>
      <c r="K672" s="116"/>
      <c r="L672" s="116"/>
      <c r="M672" s="116"/>
    </row>
    <row r="673" ht="15.75" hidden="1" customHeight="1">
      <c r="A673" s="122" t="s">
        <v>378</v>
      </c>
      <c r="B673" s="123"/>
      <c r="C673" s="115"/>
      <c r="D673" s="116"/>
      <c r="E673" s="110"/>
      <c r="F673" s="117"/>
      <c r="G673" s="116"/>
      <c r="H673" s="116"/>
      <c r="I673" s="116"/>
      <c r="J673" s="116"/>
      <c r="K673" s="116"/>
      <c r="L673" s="116"/>
      <c r="M673" s="116"/>
    </row>
    <row r="674" ht="15.75" hidden="1" customHeight="1">
      <c r="A674" s="122" t="s">
        <v>379</v>
      </c>
      <c r="B674" s="123"/>
      <c r="C674" s="115"/>
      <c r="D674" s="116"/>
      <c r="E674" s="110"/>
      <c r="F674" s="117"/>
      <c r="G674" s="116"/>
      <c r="H674" s="116"/>
      <c r="I674" s="116"/>
      <c r="J674" s="116"/>
      <c r="K674" s="116"/>
      <c r="L674" s="116"/>
      <c r="M674" s="116"/>
    </row>
    <row r="675" ht="15.75" hidden="1" customHeight="1">
      <c r="A675" s="122" t="s">
        <v>380</v>
      </c>
      <c r="B675" s="123"/>
      <c r="C675" s="115"/>
      <c r="D675" s="116"/>
      <c r="E675" s="110"/>
      <c r="F675" s="117"/>
      <c r="G675" s="116"/>
      <c r="H675" s="116"/>
      <c r="I675" s="116"/>
      <c r="J675" s="116"/>
      <c r="K675" s="116"/>
      <c r="L675" s="116"/>
      <c r="M675" s="116"/>
    </row>
    <row r="676" ht="15.75" hidden="1" customHeight="1">
      <c r="A676" s="122" t="s">
        <v>381</v>
      </c>
      <c r="B676" s="123"/>
      <c r="C676" s="115"/>
      <c r="D676" s="116"/>
      <c r="E676" s="110"/>
      <c r="F676" s="117"/>
      <c r="G676" s="116"/>
      <c r="H676" s="116"/>
      <c r="I676" s="116"/>
      <c r="J676" s="116"/>
      <c r="K676" s="116"/>
      <c r="L676" s="116"/>
      <c r="M676" s="116"/>
    </row>
    <row r="677" ht="15.75" hidden="1" customHeight="1">
      <c r="A677" s="122" t="s">
        <v>382</v>
      </c>
      <c r="B677" s="123"/>
      <c r="C677" s="115"/>
      <c r="D677" s="116"/>
      <c r="E677" s="110"/>
      <c r="F677" s="117"/>
      <c r="G677" s="116"/>
      <c r="H677" s="116"/>
      <c r="I677" s="116"/>
      <c r="J677" s="116"/>
      <c r="K677" s="116"/>
      <c r="L677" s="116"/>
      <c r="M677" s="116"/>
    </row>
    <row r="678" ht="15.75" hidden="1" customHeight="1">
      <c r="A678" s="122" t="s">
        <v>383</v>
      </c>
      <c r="B678" s="123"/>
      <c r="C678" s="115"/>
      <c r="D678" s="116"/>
      <c r="E678" s="110"/>
      <c r="F678" s="117"/>
      <c r="G678" s="116"/>
      <c r="H678" s="116"/>
      <c r="I678" s="116"/>
      <c r="J678" s="116"/>
      <c r="K678" s="116"/>
      <c r="L678" s="116"/>
      <c r="M678" s="116"/>
    </row>
    <row r="679" ht="15.75" hidden="1" customHeight="1">
      <c r="A679" s="122" t="s">
        <v>384</v>
      </c>
      <c r="B679" s="123"/>
      <c r="C679" s="115"/>
      <c r="D679" s="116"/>
      <c r="E679" s="110"/>
      <c r="F679" s="117"/>
      <c r="G679" s="116"/>
      <c r="H679" s="116"/>
      <c r="I679" s="116"/>
      <c r="J679" s="116"/>
      <c r="K679" s="116"/>
      <c r="L679" s="116"/>
      <c r="M679" s="116"/>
    </row>
    <row r="680" ht="15.75" hidden="1" customHeight="1">
      <c r="A680" s="122" t="s">
        <v>385</v>
      </c>
      <c r="B680" s="123"/>
      <c r="C680" s="115"/>
      <c r="D680" s="116"/>
      <c r="E680" s="110"/>
      <c r="F680" s="117"/>
      <c r="G680" s="116"/>
      <c r="H680" s="116"/>
      <c r="I680" s="116"/>
      <c r="J680" s="116"/>
      <c r="K680" s="116"/>
      <c r="L680" s="116"/>
      <c r="M680" s="116"/>
    </row>
    <row r="681" ht="15.75" hidden="1" customHeight="1">
      <c r="A681" s="122" t="s">
        <v>386</v>
      </c>
      <c r="B681" s="123"/>
      <c r="C681" s="115"/>
      <c r="D681" s="116"/>
      <c r="E681" s="110"/>
      <c r="F681" s="117"/>
      <c r="G681" s="116"/>
      <c r="H681" s="116"/>
      <c r="I681" s="116"/>
      <c r="J681" s="116"/>
      <c r="K681" s="116"/>
      <c r="L681" s="116"/>
      <c r="M681" s="116"/>
    </row>
    <row r="682" ht="15.75" hidden="1" customHeight="1">
      <c r="A682" s="122" t="s">
        <v>387</v>
      </c>
      <c r="B682" s="123"/>
      <c r="C682" s="115"/>
      <c r="D682" s="116"/>
      <c r="E682" s="110"/>
      <c r="F682" s="117"/>
      <c r="G682" s="116"/>
      <c r="H682" s="116"/>
      <c r="I682" s="116"/>
      <c r="J682" s="116"/>
      <c r="K682" s="116"/>
      <c r="L682" s="116"/>
      <c r="M682" s="116"/>
    </row>
    <row r="683" ht="15.75" hidden="1" customHeight="1">
      <c r="A683" s="122" t="s">
        <v>388</v>
      </c>
      <c r="B683" s="123"/>
      <c r="C683" s="115"/>
      <c r="D683" s="116"/>
      <c r="E683" s="110"/>
      <c r="F683" s="117"/>
      <c r="G683" s="116"/>
      <c r="H683" s="116"/>
      <c r="I683" s="116"/>
      <c r="J683" s="116"/>
      <c r="K683" s="116"/>
      <c r="L683" s="116"/>
      <c r="M683" s="116"/>
    </row>
    <row r="684" ht="15.75" hidden="1" customHeight="1">
      <c r="A684" s="122" t="s">
        <v>389</v>
      </c>
      <c r="B684" s="123"/>
      <c r="C684" s="115"/>
      <c r="D684" s="116"/>
      <c r="E684" s="110"/>
      <c r="F684" s="117"/>
      <c r="G684" s="116"/>
      <c r="H684" s="116"/>
      <c r="I684" s="116"/>
      <c r="J684" s="116"/>
      <c r="K684" s="116"/>
      <c r="L684" s="116"/>
      <c r="M684" s="116"/>
    </row>
    <row r="685" ht="15.75" hidden="1" customHeight="1">
      <c r="A685" s="122" t="s">
        <v>390</v>
      </c>
      <c r="B685" s="123"/>
      <c r="C685" s="115"/>
      <c r="D685" s="116"/>
      <c r="E685" s="110"/>
      <c r="F685" s="117"/>
      <c r="G685" s="116"/>
      <c r="H685" s="116"/>
      <c r="I685" s="116"/>
      <c r="J685" s="116"/>
      <c r="K685" s="116"/>
      <c r="L685" s="116"/>
      <c r="M685" s="116"/>
    </row>
    <row r="686" ht="15.75" hidden="1" customHeight="1">
      <c r="A686" s="122" t="s">
        <v>391</v>
      </c>
      <c r="B686" s="123"/>
      <c r="C686" s="115"/>
      <c r="D686" s="116"/>
      <c r="E686" s="110"/>
      <c r="F686" s="117"/>
      <c r="G686" s="116"/>
      <c r="H686" s="116"/>
      <c r="I686" s="116"/>
      <c r="J686" s="116"/>
      <c r="K686" s="116"/>
      <c r="L686" s="116"/>
      <c r="M686" s="116"/>
    </row>
    <row r="687" ht="15.75" hidden="1" customHeight="1">
      <c r="A687" s="122" t="s">
        <v>392</v>
      </c>
      <c r="B687" s="123"/>
      <c r="C687" s="115"/>
      <c r="D687" s="116"/>
      <c r="E687" s="110"/>
      <c r="F687" s="117"/>
      <c r="G687" s="116"/>
      <c r="H687" s="116"/>
      <c r="I687" s="116"/>
      <c r="J687" s="116"/>
      <c r="K687" s="116"/>
      <c r="L687" s="116"/>
      <c r="M687" s="116"/>
    </row>
    <row r="688" ht="15.75" hidden="1" customHeight="1">
      <c r="A688" s="122" t="s">
        <v>393</v>
      </c>
      <c r="B688" s="123"/>
      <c r="C688" s="115"/>
      <c r="D688" s="116"/>
      <c r="E688" s="110"/>
      <c r="F688" s="117"/>
      <c r="G688" s="116"/>
      <c r="H688" s="116"/>
      <c r="I688" s="116"/>
      <c r="J688" s="116"/>
      <c r="K688" s="116"/>
      <c r="L688" s="116"/>
      <c r="M688" s="116"/>
    </row>
    <row r="689" ht="15.75" hidden="1" customHeight="1">
      <c r="A689" s="122" t="s">
        <v>394</v>
      </c>
      <c r="B689" s="123"/>
      <c r="C689" s="115"/>
      <c r="D689" s="116"/>
      <c r="E689" s="110"/>
      <c r="F689" s="117"/>
      <c r="G689" s="116"/>
      <c r="H689" s="116"/>
      <c r="I689" s="116"/>
      <c r="J689" s="116"/>
      <c r="K689" s="116"/>
      <c r="L689" s="116"/>
      <c r="M689" s="116"/>
    </row>
    <row r="690" ht="15.75" hidden="1" customHeight="1">
      <c r="A690" s="122" t="s">
        <v>395</v>
      </c>
      <c r="B690" s="123"/>
      <c r="C690" s="115"/>
      <c r="D690" s="116"/>
      <c r="E690" s="110"/>
      <c r="F690" s="117"/>
      <c r="G690" s="116"/>
      <c r="H690" s="116"/>
      <c r="I690" s="116"/>
      <c r="J690" s="116"/>
      <c r="K690" s="116"/>
      <c r="L690" s="116"/>
      <c r="M690" s="116"/>
    </row>
    <row r="691" ht="15.75" hidden="1" customHeight="1">
      <c r="A691" s="122" t="s">
        <v>396</v>
      </c>
      <c r="B691" s="123"/>
      <c r="C691" s="115"/>
      <c r="D691" s="116"/>
      <c r="E691" s="110"/>
      <c r="F691" s="117"/>
      <c r="G691" s="116"/>
      <c r="H691" s="116"/>
      <c r="I691" s="116"/>
      <c r="J691" s="116"/>
      <c r="K691" s="116"/>
      <c r="L691" s="116"/>
      <c r="M691" s="116"/>
    </row>
    <row r="692" ht="15.75" hidden="1" customHeight="1">
      <c r="A692" s="122" t="s">
        <v>397</v>
      </c>
      <c r="B692" s="123"/>
      <c r="C692" s="115"/>
      <c r="D692" s="116"/>
      <c r="E692" s="110"/>
      <c r="F692" s="117"/>
      <c r="G692" s="116"/>
      <c r="H692" s="116"/>
      <c r="I692" s="116"/>
      <c r="J692" s="116"/>
      <c r="K692" s="116"/>
      <c r="L692" s="116"/>
      <c r="M692" s="116"/>
    </row>
    <row r="693" ht="15.75" hidden="1" customHeight="1">
      <c r="A693" s="122" t="s">
        <v>398</v>
      </c>
      <c r="B693" s="123"/>
      <c r="C693" s="115"/>
      <c r="D693" s="116"/>
      <c r="E693" s="110"/>
      <c r="F693" s="117"/>
      <c r="G693" s="116"/>
      <c r="H693" s="116"/>
      <c r="I693" s="116"/>
      <c r="J693" s="116"/>
      <c r="K693" s="116"/>
      <c r="L693" s="116"/>
      <c r="M693" s="116"/>
    </row>
    <row r="694" ht="15.75" hidden="1" customHeight="1">
      <c r="A694" s="122" t="s">
        <v>399</v>
      </c>
      <c r="B694" s="123"/>
      <c r="C694" s="115"/>
      <c r="D694" s="116"/>
      <c r="E694" s="110"/>
      <c r="F694" s="117"/>
      <c r="G694" s="116"/>
      <c r="H694" s="116"/>
      <c r="I694" s="116"/>
      <c r="J694" s="116"/>
      <c r="K694" s="116"/>
      <c r="L694" s="116"/>
      <c r="M694" s="116"/>
    </row>
    <row r="695" ht="15.75" hidden="1" customHeight="1">
      <c r="A695" s="122" t="s">
        <v>400</v>
      </c>
      <c r="B695" s="123"/>
      <c r="C695" s="115"/>
      <c r="D695" s="116"/>
      <c r="E695" s="110"/>
      <c r="F695" s="117"/>
      <c r="G695" s="116"/>
      <c r="H695" s="116"/>
      <c r="I695" s="116"/>
      <c r="J695" s="116"/>
      <c r="K695" s="116"/>
      <c r="L695" s="116"/>
      <c r="M695" s="116"/>
    </row>
    <row r="696" ht="15.75" hidden="1" customHeight="1">
      <c r="A696" s="122" t="s">
        <v>401</v>
      </c>
      <c r="B696" s="123"/>
      <c r="C696" s="115"/>
      <c r="D696" s="116"/>
      <c r="E696" s="110"/>
      <c r="F696" s="117"/>
      <c r="G696" s="116"/>
      <c r="H696" s="116"/>
      <c r="I696" s="116"/>
      <c r="J696" s="116"/>
      <c r="K696" s="116"/>
      <c r="L696" s="116"/>
      <c r="M696" s="116"/>
    </row>
    <row r="697" ht="15.75" hidden="1" customHeight="1">
      <c r="A697" s="122" t="s">
        <v>268</v>
      </c>
      <c r="B697" s="123"/>
      <c r="C697" s="115"/>
      <c r="D697" s="116"/>
      <c r="E697" s="110"/>
      <c r="F697" s="117"/>
      <c r="G697" s="116"/>
      <c r="H697" s="116"/>
      <c r="I697" s="116"/>
      <c r="J697" s="116"/>
      <c r="K697" s="116"/>
      <c r="L697" s="116"/>
      <c r="M697" s="116"/>
    </row>
    <row r="698" ht="15.75" hidden="1" customHeight="1">
      <c r="A698" s="122" t="s">
        <v>267</v>
      </c>
      <c r="B698" s="123" t="s">
        <v>43</v>
      </c>
      <c r="C698" s="115"/>
      <c r="D698" s="116"/>
      <c r="E698" s="110"/>
      <c r="F698" s="117"/>
      <c r="G698" s="116"/>
      <c r="H698" s="116"/>
      <c r="I698" s="116"/>
      <c r="J698" s="116"/>
      <c r="K698" s="116"/>
      <c r="L698" s="116"/>
      <c r="M698" s="116"/>
    </row>
    <row r="699" ht="15.75" hidden="1" customHeight="1">
      <c r="A699" s="122" t="s">
        <v>402</v>
      </c>
      <c r="B699" s="123"/>
      <c r="C699" s="115"/>
      <c r="D699" s="116"/>
      <c r="E699" s="110"/>
      <c r="F699" s="117"/>
      <c r="G699" s="116"/>
      <c r="H699" s="116"/>
      <c r="I699" s="116"/>
      <c r="J699" s="116"/>
      <c r="K699" s="116"/>
      <c r="L699" s="116"/>
      <c r="M699" s="116"/>
    </row>
    <row r="700" ht="21.0" hidden="1" customHeight="1">
      <c r="A700" s="122" t="s">
        <v>403</v>
      </c>
      <c r="B700" s="123"/>
      <c r="C700" s="115"/>
      <c r="D700" s="116"/>
      <c r="E700" s="110"/>
      <c r="F700" s="117"/>
      <c r="G700" s="116"/>
      <c r="H700" s="116"/>
      <c r="I700" s="116"/>
      <c r="J700" s="116"/>
      <c r="K700" s="116"/>
      <c r="L700" s="116"/>
      <c r="M700" s="116"/>
    </row>
    <row r="701" ht="15.75" hidden="1" customHeight="1">
      <c r="A701" s="122" t="s">
        <v>404</v>
      </c>
      <c r="B701" s="123" t="s">
        <v>43</v>
      </c>
      <c r="C701" s="115"/>
      <c r="D701" s="116"/>
      <c r="E701" s="110"/>
      <c r="F701" s="117"/>
      <c r="G701" s="116"/>
      <c r="H701" s="116"/>
      <c r="I701" s="116"/>
      <c r="J701" s="116"/>
      <c r="K701" s="116"/>
      <c r="L701" s="116"/>
      <c r="M701" s="116"/>
    </row>
    <row r="702" ht="15.75" hidden="1" customHeight="1">
      <c r="A702" s="122" t="s">
        <v>405</v>
      </c>
      <c r="B702" s="123"/>
      <c r="C702" s="115"/>
      <c r="D702" s="116"/>
      <c r="E702" s="110"/>
      <c r="F702" s="117"/>
      <c r="G702" s="116"/>
      <c r="H702" s="116"/>
      <c r="I702" s="116"/>
      <c r="J702" s="116"/>
      <c r="K702" s="116"/>
      <c r="L702" s="116"/>
      <c r="M702" s="116"/>
    </row>
    <row r="703" ht="15.75" hidden="1" customHeight="1">
      <c r="A703" s="122" t="s">
        <v>406</v>
      </c>
      <c r="B703" s="123"/>
      <c r="C703" s="115"/>
      <c r="D703" s="116"/>
      <c r="E703" s="110"/>
      <c r="F703" s="117"/>
      <c r="G703" s="116"/>
      <c r="H703" s="116"/>
      <c r="I703" s="116"/>
      <c r="J703" s="116"/>
      <c r="K703" s="116"/>
      <c r="L703" s="116"/>
      <c r="M703" s="116"/>
    </row>
    <row r="704" ht="15.75" hidden="1" customHeight="1">
      <c r="A704" s="122" t="s">
        <v>407</v>
      </c>
      <c r="B704" s="123"/>
      <c r="C704" s="115"/>
      <c r="D704" s="116"/>
      <c r="E704" s="110"/>
      <c r="F704" s="117"/>
      <c r="G704" s="116"/>
      <c r="H704" s="116"/>
      <c r="I704" s="116"/>
      <c r="J704" s="116"/>
      <c r="K704" s="116"/>
      <c r="L704" s="116"/>
      <c r="M704" s="116"/>
    </row>
    <row r="705" ht="15.75" hidden="1" customHeight="1">
      <c r="A705" s="122" t="s">
        <v>408</v>
      </c>
      <c r="B705" s="123"/>
      <c r="C705" s="115"/>
      <c r="D705" s="116"/>
      <c r="E705" s="110"/>
      <c r="F705" s="117"/>
      <c r="G705" s="116"/>
      <c r="H705" s="116"/>
      <c r="I705" s="116"/>
      <c r="J705" s="116"/>
      <c r="K705" s="116"/>
      <c r="L705" s="116"/>
      <c r="M705" s="116"/>
    </row>
    <row r="706" ht="15.75" hidden="1" customHeight="1">
      <c r="A706" s="122" t="s">
        <v>409</v>
      </c>
      <c r="B706" s="123"/>
      <c r="C706" s="115"/>
      <c r="D706" s="116"/>
      <c r="E706" s="110"/>
      <c r="F706" s="117"/>
      <c r="G706" s="116"/>
      <c r="H706" s="116"/>
      <c r="I706" s="116"/>
      <c r="J706" s="116"/>
      <c r="K706" s="116"/>
      <c r="L706" s="116"/>
      <c r="M706" s="116"/>
    </row>
    <row r="707" ht="15.75" hidden="1" customHeight="1">
      <c r="A707" s="122" t="s">
        <v>410</v>
      </c>
      <c r="B707" s="123"/>
      <c r="C707" s="115"/>
      <c r="D707" s="116"/>
      <c r="E707" s="110"/>
      <c r="F707" s="117"/>
      <c r="G707" s="116"/>
      <c r="H707" s="116"/>
      <c r="I707" s="116"/>
      <c r="J707" s="116"/>
      <c r="K707" s="116"/>
      <c r="L707" s="116"/>
      <c r="M707" s="116"/>
    </row>
    <row r="708" ht="15.75" hidden="1" customHeight="1">
      <c r="A708" s="122" t="s">
        <v>411</v>
      </c>
      <c r="B708" s="123"/>
      <c r="C708" s="115"/>
      <c r="D708" s="116"/>
      <c r="E708" s="110"/>
      <c r="F708" s="117"/>
      <c r="G708" s="116"/>
      <c r="H708" s="116"/>
      <c r="I708" s="116"/>
      <c r="J708" s="116"/>
      <c r="K708" s="116"/>
      <c r="L708" s="116"/>
      <c r="M708" s="116"/>
    </row>
    <row r="709" ht="15.75" hidden="1" customHeight="1">
      <c r="A709" s="122" t="s">
        <v>412</v>
      </c>
      <c r="B709" s="123"/>
      <c r="C709" s="115"/>
      <c r="D709" s="116"/>
      <c r="E709" s="110"/>
      <c r="F709" s="117"/>
      <c r="G709" s="116"/>
      <c r="H709" s="116"/>
      <c r="I709" s="116"/>
      <c r="J709" s="116"/>
      <c r="K709" s="116"/>
      <c r="L709" s="116"/>
      <c r="M709" s="116"/>
    </row>
    <row r="710" ht="15.75" hidden="1" customHeight="1">
      <c r="A710" s="122" t="s">
        <v>413</v>
      </c>
      <c r="B710" s="123"/>
      <c r="C710" s="115"/>
      <c r="D710" s="116"/>
      <c r="E710" s="110"/>
      <c r="F710" s="117"/>
      <c r="G710" s="116"/>
      <c r="H710" s="116"/>
      <c r="I710" s="116"/>
      <c r="J710" s="116"/>
      <c r="K710" s="116"/>
      <c r="L710" s="116"/>
      <c r="M710" s="116"/>
    </row>
    <row r="711" ht="15.75" hidden="1" customHeight="1">
      <c r="A711" s="122" t="s">
        <v>414</v>
      </c>
      <c r="B711" s="123"/>
      <c r="C711" s="115"/>
      <c r="D711" s="116"/>
      <c r="E711" s="110"/>
      <c r="F711" s="117"/>
      <c r="G711" s="116"/>
      <c r="H711" s="116"/>
      <c r="I711" s="116"/>
      <c r="J711" s="116"/>
      <c r="K711" s="116"/>
      <c r="L711" s="116"/>
      <c r="M711" s="116"/>
    </row>
    <row r="712" ht="15.75" hidden="1" customHeight="1">
      <c r="A712" s="122" t="s">
        <v>415</v>
      </c>
      <c r="B712" s="123"/>
      <c r="C712" s="115"/>
      <c r="D712" s="116"/>
      <c r="E712" s="110"/>
      <c r="F712" s="117"/>
      <c r="G712" s="116"/>
      <c r="H712" s="116"/>
      <c r="I712" s="116"/>
      <c r="J712" s="116"/>
      <c r="K712" s="116"/>
      <c r="L712" s="116"/>
      <c r="M712" s="116"/>
    </row>
    <row r="713" ht="15.75" hidden="1" customHeight="1">
      <c r="A713" s="122" t="s">
        <v>416</v>
      </c>
      <c r="B713" s="123"/>
      <c r="C713" s="115"/>
      <c r="D713" s="116"/>
      <c r="E713" s="110"/>
      <c r="F713" s="117"/>
      <c r="G713" s="116"/>
      <c r="H713" s="116"/>
      <c r="I713" s="116"/>
      <c r="J713" s="116"/>
      <c r="K713" s="116"/>
      <c r="L713" s="116"/>
      <c r="M713" s="116"/>
    </row>
    <row r="714" ht="15.75" hidden="1" customHeight="1">
      <c r="A714" s="122" t="s">
        <v>417</v>
      </c>
      <c r="B714" s="123"/>
      <c r="C714" s="115"/>
      <c r="D714" s="116"/>
      <c r="E714" s="110"/>
      <c r="F714" s="117"/>
      <c r="G714" s="116"/>
      <c r="H714" s="116"/>
      <c r="I714" s="116"/>
      <c r="J714" s="116"/>
      <c r="K714" s="116"/>
      <c r="L714" s="116"/>
      <c r="M714" s="116"/>
    </row>
    <row r="715" ht="15.75" hidden="1" customHeight="1">
      <c r="A715" s="122" t="s">
        <v>418</v>
      </c>
      <c r="B715" s="123"/>
      <c r="C715" s="115"/>
      <c r="D715" s="116"/>
      <c r="E715" s="110"/>
      <c r="F715" s="117"/>
      <c r="G715" s="116"/>
      <c r="H715" s="116"/>
      <c r="I715" s="116"/>
      <c r="J715" s="116"/>
      <c r="K715" s="116"/>
      <c r="L715" s="116"/>
      <c r="M715" s="116"/>
    </row>
    <row r="716" ht="15.75" hidden="1" customHeight="1">
      <c r="A716" s="122"/>
      <c r="B716" s="123"/>
      <c r="C716" s="115"/>
      <c r="D716" s="116"/>
      <c r="E716" s="110"/>
      <c r="F716" s="117"/>
      <c r="G716" s="116"/>
      <c r="H716" s="116"/>
      <c r="I716" s="116"/>
      <c r="J716" s="116"/>
      <c r="K716" s="116"/>
      <c r="L716" s="116"/>
      <c r="M716" s="116"/>
    </row>
    <row r="717" ht="15.75" hidden="1" customHeight="1">
      <c r="A717" s="140"/>
      <c r="B717" s="123"/>
      <c r="C717" s="115"/>
      <c r="D717" s="116"/>
      <c r="E717" s="110"/>
      <c r="F717" s="117"/>
      <c r="G717" s="116"/>
      <c r="H717" s="116"/>
      <c r="I717" s="116"/>
      <c r="J717" s="116"/>
      <c r="K717" s="116"/>
      <c r="L717" s="116"/>
      <c r="M717" s="116"/>
    </row>
    <row r="718" ht="15.75" hidden="1" customHeight="1">
      <c r="A718" s="124" t="s">
        <v>419</v>
      </c>
      <c r="B718" s="123"/>
      <c r="C718" s="115"/>
      <c r="D718" s="116"/>
      <c r="E718" s="110"/>
      <c r="F718" s="117"/>
      <c r="G718" s="116"/>
      <c r="H718" s="116"/>
      <c r="I718" s="116"/>
      <c r="J718" s="116"/>
      <c r="K718" s="116"/>
      <c r="L718" s="116"/>
      <c r="M718" s="116"/>
    </row>
    <row r="719" ht="15.75" hidden="1" customHeight="1">
      <c r="A719" s="124" t="s">
        <v>357</v>
      </c>
      <c r="B719" s="123"/>
      <c r="C719" s="115"/>
      <c r="D719" s="116"/>
      <c r="E719" s="110"/>
      <c r="F719" s="117"/>
      <c r="G719" s="116"/>
      <c r="H719" s="116"/>
      <c r="I719" s="116"/>
      <c r="J719" s="116"/>
      <c r="K719" s="116"/>
      <c r="L719" s="116"/>
      <c r="M719" s="116"/>
    </row>
    <row r="720" ht="15.75" hidden="1" customHeight="1">
      <c r="A720" s="122" t="s">
        <v>420</v>
      </c>
      <c r="B720" s="123"/>
      <c r="C720" s="115"/>
      <c r="D720" s="116"/>
      <c r="E720" s="110"/>
      <c r="F720" s="117"/>
      <c r="G720" s="116"/>
      <c r="H720" s="116"/>
      <c r="I720" s="116"/>
      <c r="J720" s="116"/>
      <c r="K720" s="116"/>
      <c r="L720" s="116"/>
      <c r="M720" s="116"/>
    </row>
    <row r="721" ht="15.75" hidden="1" customHeight="1">
      <c r="A721" s="122" t="s">
        <v>421</v>
      </c>
      <c r="B721" s="123"/>
      <c r="C721" s="115"/>
      <c r="D721" s="116"/>
      <c r="E721" s="110"/>
      <c r="F721" s="117"/>
      <c r="G721" s="116"/>
      <c r="H721" s="116"/>
      <c r="I721" s="116"/>
      <c r="J721" s="116"/>
      <c r="K721" s="116"/>
      <c r="L721" s="116"/>
      <c r="M721" s="116"/>
    </row>
    <row r="722" ht="15.75" hidden="1" customHeight="1">
      <c r="A722" s="129" t="s">
        <v>422</v>
      </c>
      <c r="B722" s="123"/>
      <c r="C722" s="115"/>
      <c r="D722" s="116"/>
      <c r="E722" s="110"/>
      <c r="F722" s="117"/>
      <c r="G722" s="116"/>
      <c r="H722" s="116"/>
      <c r="I722" s="116"/>
      <c r="J722" s="116"/>
      <c r="K722" s="116"/>
      <c r="L722" s="116"/>
      <c r="M722" s="116"/>
    </row>
    <row r="723" ht="15.75" hidden="1" customHeight="1">
      <c r="A723" s="122" t="s">
        <v>240</v>
      </c>
      <c r="B723" s="123" t="s">
        <v>43</v>
      </c>
      <c r="C723" s="115"/>
      <c r="D723" s="116"/>
      <c r="E723" s="110"/>
      <c r="F723" s="117"/>
      <c r="G723" s="116"/>
      <c r="H723" s="116"/>
      <c r="I723" s="116"/>
      <c r="J723" s="116"/>
      <c r="K723" s="116"/>
      <c r="L723" s="116"/>
      <c r="M723" s="116"/>
    </row>
    <row r="724" ht="15.75" hidden="1" customHeight="1">
      <c r="A724" s="122" t="s">
        <v>423</v>
      </c>
      <c r="B724" s="123"/>
      <c r="C724" s="115"/>
      <c r="D724" s="116"/>
      <c r="E724" s="110"/>
      <c r="F724" s="117"/>
      <c r="G724" s="116"/>
      <c r="H724" s="116"/>
      <c r="I724" s="116"/>
      <c r="J724" s="116"/>
      <c r="K724" s="116"/>
      <c r="L724" s="116"/>
      <c r="M724" s="116"/>
    </row>
    <row r="725" ht="15.75" hidden="1" customHeight="1">
      <c r="A725" s="122" t="s">
        <v>424</v>
      </c>
      <c r="B725" s="123"/>
      <c r="C725" s="115"/>
      <c r="D725" s="116"/>
      <c r="E725" s="110"/>
      <c r="F725" s="117"/>
      <c r="G725" s="116"/>
      <c r="H725" s="116"/>
      <c r="I725" s="116"/>
      <c r="J725" s="116"/>
      <c r="K725" s="116"/>
      <c r="L725" s="116"/>
      <c r="M725" s="116"/>
    </row>
    <row r="726" ht="15.75" hidden="1" customHeight="1">
      <c r="A726" s="122" t="s">
        <v>425</v>
      </c>
      <c r="B726" s="123" t="s">
        <v>43</v>
      </c>
      <c r="C726" s="115"/>
      <c r="D726" s="116"/>
      <c r="E726" s="110"/>
      <c r="F726" s="117"/>
      <c r="G726" s="116"/>
      <c r="H726" s="116"/>
      <c r="I726" s="116"/>
      <c r="J726" s="116"/>
      <c r="K726" s="116"/>
      <c r="L726" s="116"/>
      <c r="M726" s="116"/>
    </row>
    <row r="727" ht="15.75" hidden="1" customHeight="1">
      <c r="A727" s="122" t="s">
        <v>426</v>
      </c>
      <c r="B727" s="123"/>
      <c r="C727" s="115"/>
      <c r="D727" s="116"/>
      <c r="E727" s="110"/>
      <c r="F727" s="117"/>
      <c r="G727" s="116"/>
      <c r="H727" s="116"/>
      <c r="I727" s="116"/>
      <c r="J727" s="116"/>
      <c r="K727" s="116"/>
      <c r="L727" s="116"/>
      <c r="M727" s="116"/>
    </row>
    <row r="728" ht="15.75" hidden="1" customHeight="1">
      <c r="A728" s="122" t="s">
        <v>427</v>
      </c>
      <c r="B728" s="123"/>
      <c r="C728" s="115"/>
      <c r="D728" s="116"/>
      <c r="E728" s="110"/>
      <c r="F728" s="117"/>
      <c r="G728" s="116"/>
      <c r="H728" s="116"/>
      <c r="I728" s="116"/>
      <c r="J728" s="116"/>
      <c r="K728" s="116"/>
      <c r="L728" s="116"/>
      <c r="M728" s="116"/>
    </row>
    <row r="729" ht="15.75" hidden="1" customHeight="1">
      <c r="A729" s="122" t="s">
        <v>428</v>
      </c>
      <c r="B729" s="123"/>
      <c r="C729" s="115"/>
      <c r="D729" s="116"/>
      <c r="E729" s="110"/>
      <c r="F729" s="117"/>
      <c r="G729" s="116"/>
      <c r="H729" s="116"/>
      <c r="I729" s="116"/>
      <c r="J729" s="116"/>
      <c r="K729" s="116"/>
      <c r="L729" s="116"/>
      <c r="M729" s="116"/>
    </row>
    <row r="730" ht="15.75" hidden="1" customHeight="1">
      <c r="A730" s="122" t="s">
        <v>429</v>
      </c>
      <c r="B730" s="123"/>
      <c r="C730" s="115"/>
      <c r="D730" s="116"/>
      <c r="E730" s="110"/>
      <c r="F730" s="117"/>
      <c r="G730" s="116"/>
      <c r="H730" s="116"/>
      <c r="I730" s="116"/>
      <c r="J730" s="116"/>
      <c r="K730" s="116"/>
      <c r="L730" s="116"/>
      <c r="M730" s="116"/>
    </row>
    <row r="731" ht="15.75" hidden="1" customHeight="1">
      <c r="A731" s="122" t="s">
        <v>430</v>
      </c>
      <c r="B731" s="123"/>
      <c r="C731" s="115"/>
      <c r="D731" s="116"/>
      <c r="E731" s="110"/>
      <c r="F731" s="117"/>
      <c r="G731" s="116"/>
      <c r="H731" s="116"/>
      <c r="I731" s="116"/>
      <c r="J731" s="116"/>
      <c r="K731" s="116"/>
      <c r="L731" s="116"/>
      <c r="M731" s="116"/>
    </row>
    <row r="732" ht="15.75" hidden="1" customHeight="1">
      <c r="A732" s="122" t="s">
        <v>431</v>
      </c>
      <c r="B732" s="123"/>
      <c r="C732" s="115"/>
      <c r="D732" s="116"/>
      <c r="E732" s="110"/>
      <c r="F732" s="117"/>
      <c r="G732" s="116"/>
      <c r="H732" s="116"/>
      <c r="I732" s="116"/>
      <c r="J732" s="116"/>
      <c r="K732" s="116"/>
      <c r="L732" s="116"/>
      <c r="M732" s="116"/>
    </row>
    <row r="733" ht="15.75" hidden="1" customHeight="1">
      <c r="A733" s="122" t="s">
        <v>432</v>
      </c>
      <c r="B733" s="123"/>
      <c r="C733" s="115"/>
      <c r="D733" s="116"/>
      <c r="E733" s="110"/>
      <c r="F733" s="117"/>
      <c r="G733" s="116"/>
      <c r="H733" s="116"/>
      <c r="I733" s="116"/>
      <c r="J733" s="116"/>
      <c r="K733" s="116"/>
      <c r="L733" s="116"/>
      <c r="M733" s="116"/>
    </row>
    <row r="734" ht="15.75" hidden="1" customHeight="1">
      <c r="A734" s="140"/>
      <c r="B734" s="123"/>
      <c r="C734" s="115"/>
      <c r="D734" s="116"/>
      <c r="E734" s="110"/>
      <c r="F734" s="117"/>
      <c r="G734" s="116"/>
      <c r="H734" s="116"/>
      <c r="I734" s="116"/>
      <c r="J734" s="116"/>
      <c r="K734" s="116"/>
      <c r="L734" s="116"/>
      <c r="M734" s="116"/>
    </row>
    <row r="735" ht="37.5" hidden="1" customHeight="1">
      <c r="A735" s="124" t="s">
        <v>433</v>
      </c>
      <c r="B735" s="123"/>
      <c r="C735" s="115"/>
      <c r="D735" s="116"/>
      <c r="E735" s="110"/>
      <c r="F735" s="117"/>
      <c r="G735" s="116"/>
      <c r="H735" s="116"/>
      <c r="I735" s="116"/>
      <c r="J735" s="116"/>
      <c r="K735" s="116"/>
      <c r="L735" s="116"/>
      <c r="M735" s="116"/>
    </row>
    <row r="736" ht="15.75" hidden="1" customHeight="1">
      <c r="A736" s="124" t="s">
        <v>357</v>
      </c>
      <c r="B736" s="123"/>
      <c r="C736" s="115"/>
      <c r="D736" s="116"/>
      <c r="E736" s="110"/>
      <c r="F736" s="117"/>
      <c r="G736" s="116"/>
      <c r="H736" s="116"/>
      <c r="I736" s="116"/>
      <c r="J736" s="116"/>
      <c r="K736" s="116"/>
      <c r="L736" s="116"/>
      <c r="M736" s="116"/>
    </row>
    <row r="737" ht="15.75" hidden="1" customHeight="1">
      <c r="A737" s="122" t="s">
        <v>434</v>
      </c>
      <c r="B737" s="123"/>
      <c r="C737" s="115"/>
      <c r="D737" s="116"/>
      <c r="E737" s="110"/>
      <c r="F737" s="117"/>
      <c r="G737" s="116"/>
      <c r="H737" s="116"/>
      <c r="I737" s="116"/>
      <c r="J737" s="116"/>
      <c r="K737" s="116"/>
      <c r="L737" s="116"/>
      <c r="M737" s="116"/>
    </row>
    <row r="738" ht="15.75" hidden="1" customHeight="1">
      <c r="A738" s="122" t="s">
        <v>435</v>
      </c>
      <c r="B738" s="123"/>
      <c r="C738" s="115"/>
      <c r="D738" s="116"/>
      <c r="E738" s="110"/>
      <c r="F738" s="117"/>
      <c r="G738" s="116"/>
      <c r="H738" s="116"/>
      <c r="I738" s="116"/>
      <c r="J738" s="116"/>
      <c r="K738" s="116"/>
      <c r="L738" s="116"/>
      <c r="M738" s="116"/>
    </row>
    <row r="739" ht="15.75" hidden="1" customHeight="1">
      <c r="A739" s="122" t="s">
        <v>436</v>
      </c>
      <c r="B739" s="123"/>
      <c r="C739" s="115"/>
      <c r="D739" s="116"/>
      <c r="E739" s="110"/>
      <c r="F739" s="117"/>
      <c r="G739" s="116"/>
      <c r="H739" s="116"/>
      <c r="I739" s="116"/>
      <c r="J739" s="116"/>
      <c r="K739" s="116"/>
      <c r="L739" s="116"/>
      <c r="M739" s="116"/>
    </row>
    <row r="740" ht="15.75" hidden="1" customHeight="1">
      <c r="A740" s="122" t="s">
        <v>437</v>
      </c>
      <c r="B740" s="123"/>
      <c r="C740" s="115"/>
      <c r="D740" s="116"/>
      <c r="E740" s="110"/>
      <c r="F740" s="117"/>
      <c r="G740" s="116"/>
      <c r="H740" s="116"/>
      <c r="I740" s="116"/>
      <c r="J740" s="116"/>
      <c r="K740" s="116"/>
      <c r="L740" s="116"/>
      <c r="M740" s="116"/>
    </row>
    <row r="741" ht="15.75" hidden="1" customHeight="1">
      <c r="A741" s="122" t="s">
        <v>438</v>
      </c>
      <c r="B741" s="123"/>
      <c r="C741" s="115"/>
      <c r="D741" s="116"/>
      <c r="E741" s="110"/>
      <c r="F741" s="117"/>
      <c r="G741" s="116"/>
      <c r="H741" s="116"/>
      <c r="I741" s="116"/>
      <c r="J741" s="116"/>
      <c r="K741" s="116"/>
      <c r="L741" s="116"/>
      <c r="M741" s="116"/>
    </row>
    <row r="742" ht="15.75" hidden="1" customHeight="1">
      <c r="A742" s="122" t="s">
        <v>439</v>
      </c>
      <c r="B742" s="123"/>
      <c r="C742" s="115"/>
      <c r="D742" s="116"/>
      <c r="E742" s="110"/>
      <c r="F742" s="117"/>
      <c r="G742" s="116"/>
      <c r="H742" s="116"/>
      <c r="I742" s="116"/>
      <c r="J742" s="116"/>
      <c r="K742" s="116"/>
      <c r="L742" s="116"/>
      <c r="M742" s="116"/>
    </row>
    <row r="743" ht="15.75" hidden="1" customHeight="1">
      <c r="A743" s="122" t="s">
        <v>440</v>
      </c>
      <c r="B743" s="123"/>
      <c r="C743" s="115"/>
      <c r="D743" s="116"/>
      <c r="E743" s="110"/>
      <c r="F743" s="117"/>
      <c r="G743" s="116"/>
      <c r="H743" s="116"/>
      <c r="I743" s="116"/>
      <c r="J743" s="116"/>
      <c r="K743" s="116"/>
      <c r="L743" s="116"/>
      <c r="M743" s="116"/>
    </row>
    <row r="744" ht="15.75" hidden="1" customHeight="1">
      <c r="A744" s="122" t="s">
        <v>441</v>
      </c>
      <c r="B744" s="123"/>
      <c r="C744" s="115"/>
      <c r="D744" s="116"/>
      <c r="E744" s="110"/>
      <c r="F744" s="117"/>
      <c r="G744" s="116"/>
      <c r="H744" s="116"/>
      <c r="I744" s="116"/>
      <c r="J744" s="116"/>
      <c r="K744" s="116"/>
      <c r="L744" s="116"/>
      <c r="M744" s="116"/>
    </row>
    <row r="745" ht="15.75" hidden="1" customHeight="1">
      <c r="A745" s="122" t="s">
        <v>442</v>
      </c>
      <c r="B745" s="123"/>
      <c r="C745" s="115"/>
      <c r="D745" s="116"/>
      <c r="E745" s="110"/>
      <c r="F745" s="117"/>
      <c r="G745" s="116"/>
      <c r="H745" s="116"/>
      <c r="I745" s="116"/>
      <c r="J745" s="116"/>
      <c r="K745" s="116"/>
      <c r="L745" s="116"/>
      <c r="M745" s="116"/>
    </row>
    <row r="746" ht="15.75" hidden="1" customHeight="1">
      <c r="A746" s="122" t="s">
        <v>443</v>
      </c>
      <c r="B746" s="123"/>
      <c r="C746" s="115"/>
      <c r="D746" s="116"/>
      <c r="E746" s="110"/>
      <c r="F746" s="117"/>
      <c r="G746" s="116"/>
      <c r="H746" s="116"/>
      <c r="I746" s="116"/>
      <c r="J746" s="116"/>
      <c r="K746" s="116"/>
      <c r="L746" s="116"/>
      <c r="M746" s="116"/>
    </row>
    <row r="747" ht="15.75" hidden="1" customHeight="1">
      <c r="A747" s="122" t="s">
        <v>444</v>
      </c>
      <c r="B747" s="123"/>
      <c r="C747" s="115"/>
      <c r="D747" s="116"/>
      <c r="E747" s="110"/>
      <c r="F747" s="117"/>
      <c r="G747" s="116"/>
      <c r="H747" s="116"/>
      <c r="I747" s="116"/>
      <c r="J747" s="116"/>
      <c r="K747" s="116"/>
      <c r="L747" s="116"/>
      <c r="M747" s="116"/>
    </row>
    <row r="748" ht="15.75" hidden="1" customHeight="1">
      <c r="A748" s="122" t="s">
        <v>445</v>
      </c>
      <c r="B748" s="123"/>
      <c r="C748" s="115"/>
      <c r="D748" s="116"/>
      <c r="E748" s="110"/>
      <c r="F748" s="117"/>
      <c r="G748" s="116"/>
      <c r="H748" s="116"/>
      <c r="I748" s="116"/>
      <c r="J748" s="116"/>
      <c r="K748" s="116"/>
      <c r="L748" s="116"/>
      <c r="M748" s="116"/>
    </row>
    <row r="749" ht="15.75" hidden="1" customHeight="1">
      <c r="A749" s="122" t="s">
        <v>446</v>
      </c>
      <c r="B749" s="123"/>
      <c r="C749" s="115"/>
      <c r="D749" s="116"/>
      <c r="E749" s="110"/>
      <c r="F749" s="117"/>
      <c r="G749" s="116"/>
      <c r="H749" s="116"/>
      <c r="I749" s="116"/>
      <c r="J749" s="116"/>
      <c r="K749" s="116"/>
      <c r="L749" s="116"/>
      <c r="M749" s="116"/>
    </row>
    <row r="750" ht="15.75" hidden="1" customHeight="1">
      <c r="A750" s="122" t="s">
        <v>447</v>
      </c>
      <c r="B750" s="123"/>
      <c r="C750" s="115"/>
      <c r="D750" s="116"/>
      <c r="E750" s="110"/>
      <c r="F750" s="117"/>
      <c r="G750" s="116"/>
      <c r="H750" s="116"/>
      <c r="I750" s="116"/>
      <c r="J750" s="116"/>
      <c r="K750" s="116"/>
      <c r="L750" s="116"/>
      <c r="M750" s="116"/>
    </row>
    <row r="751" ht="15.75" hidden="1" customHeight="1">
      <c r="A751" s="122" t="s">
        <v>448</v>
      </c>
      <c r="B751" s="123"/>
      <c r="C751" s="115"/>
      <c r="D751" s="116"/>
      <c r="E751" s="110"/>
      <c r="F751" s="117"/>
      <c r="G751" s="116"/>
      <c r="H751" s="116"/>
      <c r="I751" s="116"/>
      <c r="J751" s="116"/>
      <c r="K751" s="116"/>
      <c r="L751" s="116"/>
      <c r="M751" s="116"/>
    </row>
    <row r="752" ht="15.75" hidden="1" customHeight="1">
      <c r="A752" s="122" t="s">
        <v>449</v>
      </c>
      <c r="B752" s="123"/>
      <c r="C752" s="115"/>
      <c r="D752" s="116"/>
      <c r="E752" s="110"/>
      <c r="F752" s="117"/>
      <c r="G752" s="116"/>
      <c r="H752" s="116"/>
      <c r="I752" s="116"/>
      <c r="J752" s="116"/>
      <c r="K752" s="116"/>
      <c r="L752" s="116"/>
      <c r="M752" s="116"/>
    </row>
    <row r="753" ht="15.75" hidden="1" customHeight="1">
      <c r="A753" s="122" t="s">
        <v>450</v>
      </c>
      <c r="B753" s="123"/>
      <c r="C753" s="115"/>
      <c r="D753" s="116"/>
      <c r="E753" s="110"/>
      <c r="F753" s="117"/>
      <c r="G753" s="116"/>
      <c r="H753" s="116"/>
      <c r="I753" s="116"/>
      <c r="J753" s="116"/>
      <c r="K753" s="116"/>
      <c r="L753" s="116"/>
      <c r="M753" s="116"/>
    </row>
    <row r="754" ht="15.75" hidden="1" customHeight="1">
      <c r="A754" s="122" t="s">
        <v>451</v>
      </c>
      <c r="B754" s="123"/>
      <c r="C754" s="115"/>
      <c r="D754" s="116"/>
      <c r="E754" s="110"/>
      <c r="F754" s="117"/>
      <c r="G754" s="116"/>
      <c r="H754" s="116"/>
      <c r="I754" s="116"/>
      <c r="J754" s="116"/>
      <c r="K754" s="116"/>
      <c r="L754" s="116"/>
      <c r="M754" s="116"/>
    </row>
    <row r="755" ht="15.75" hidden="1" customHeight="1">
      <c r="A755" s="122" t="s">
        <v>452</v>
      </c>
      <c r="B755" s="123"/>
      <c r="C755" s="115"/>
      <c r="D755" s="116"/>
      <c r="E755" s="110"/>
      <c r="F755" s="117"/>
      <c r="G755" s="116"/>
      <c r="H755" s="116"/>
      <c r="I755" s="116"/>
      <c r="J755" s="116"/>
      <c r="K755" s="116"/>
      <c r="L755" s="116"/>
      <c r="M755" s="116"/>
    </row>
    <row r="756" ht="21.75" hidden="1" customHeight="1">
      <c r="A756" s="122" t="s">
        <v>453</v>
      </c>
      <c r="B756" s="123" t="s">
        <v>43</v>
      </c>
      <c r="C756" s="115"/>
      <c r="D756" s="116"/>
      <c r="E756" s="110"/>
      <c r="F756" s="117"/>
      <c r="G756" s="116"/>
      <c r="H756" s="116"/>
      <c r="I756" s="116"/>
      <c r="J756" s="116"/>
      <c r="K756" s="116"/>
      <c r="L756" s="116"/>
      <c r="M756" s="116"/>
    </row>
    <row r="757" ht="15.75" hidden="1" customHeight="1">
      <c r="A757" s="122"/>
      <c r="B757" s="123"/>
      <c r="C757" s="115"/>
      <c r="D757" s="116"/>
      <c r="E757" s="110"/>
      <c r="F757" s="117"/>
      <c r="G757" s="116"/>
      <c r="H757" s="116"/>
      <c r="I757" s="116"/>
      <c r="J757" s="116"/>
      <c r="K757" s="116"/>
      <c r="L757" s="116"/>
      <c r="M757" s="116"/>
    </row>
    <row r="758" ht="15.75" hidden="1" customHeight="1">
      <c r="A758" s="141" t="s">
        <v>454</v>
      </c>
      <c r="B758" s="123"/>
      <c r="C758" s="115"/>
      <c r="D758" s="116"/>
      <c r="E758" s="110"/>
      <c r="F758" s="117"/>
      <c r="G758" s="116"/>
      <c r="H758" s="116"/>
      <c r="I758" s="116"/>
      <c r="J758" s="116"/>
      <c r="K758" s="116"/>
      <c r="L758" s="116"/>
      <c r="M758" s="116"/>
    </row>
    <row r="759" ht="15.75" hidden="1" customHeight="1">
      <c r="A759" s="133" t="s">
        <v>102</v>
      </c>
      <c r="B759" s="123"/>
      <c r="C759" s="115"/>
      <c r="D759" s="116"/>
      <c r="E759" s="110"/>
      <c r="F759" s="117"/>
      <c r="G759" s="116"/>
      <c r="H759" s="116"/>
      <c r="I759" s="116"/>
      <c r="J759" s="116"/>
      <c r="K759" s="116"/>
      <c r="L759" s="116"/>
      <c r="M759" s="116"/>
    </row>
    <row r="760" ht="15.75" hidden="1" customHeight="1">
      <c r="A760" s="132" t="s">
        <v>455</v>
      </c>
      <c r="B760" s="123"/>
      <c r="C760" s="115"/>
      <c r="D760" s="116"/>
      <c r="E760" s="110"/>
      <c r="F760" s="117"/>
      <c r="G760" s="116"/>
      <c r="H760" s="116"/>
      <c r="I760" s="116"/>
      <c r="J760" s="116"/>
      <c r="K760" s="116"/>
      <c r="L760" s="116"/>
      <c r="M760" s="116"/>
    </row>
    <row r="761" ht="15.75" hidden="1" customHeight="1">
      <c r="A761" s="133" t="s">
        <v>105</v>
      </c>
      <c r="B761" s="123"/>
      <c r="C761" s="115"/>
      <c r="D761" s="116"/>
      <c r="E761" s="110"/>
      <c r="F761" s="117"/>
      <c r="G761" s="116"/>
      <c r="H761" s="116"/>
      <c r="I761" s="116"/>
      <c r="J761" s="116"/>
      <c r="K761" s="116"/>
      <c r="L761" s="116"/>
      <c r="M761" s="116"/>
    </row>
    <row r="762" ht="15.75" hidden="1" customHeight="1">
      <c r="A762" s="132" t="s">
        <v>456</v>
      </c>
      <c r="B762" s="123"/>
      <c r="C762" s="115"/>
      <c r="D762" s="116"/>
      <c r="E762" s="110"/>
      <c r="F762" s="117"/>
      <c r="G762" s="116"/>
      <c r="H762" s="116"/>
      <c r="I762" s="116"/>
      <c r="J762" s="116"/>
      <c r="K762" s="116"/>
      <c r="L762" s="116"/>
      <c r="M762" s="116"/>
    </row>
    <row r="763" ht="15.75" hidden="1" customHeight="1">
      <c r="A763" s="133" t="s">
        <v>107</v>
      </c>
      <c r="B763" s="123"/>
      <c r="C763" s="115"/>
      <c r="D763" s="116"/>
      <c r="E763" s="110"/>
      <c r="F763" s="117"/>
      <c r="G763" s="116"/>
      <c r="H763" s="116"/>
      <c r="I763" s="116"/>
      <c r="J763" s="116"/>
      <c r="K763" s="116"/>
      <c r="L763" s="116"/>
      <c r="M763" s="116"/>
    </row>
    <row r="764" ht="15.75" hidden="1" customHeight="1">
      <c r="A764" s="133" t="s">
        <v>457</v>
      </c>
      <c r="B764" s="123"/>
      <c r="C764" s="115"/>
      <c r="D764" s="116"/>
      <c r="E764" s="110"/>
      <c r="F764" s="117"/>
      <c r="G764" s="116"/>
      <c r="H764" s="116"/>
      <c r="I764" s="116"/>
      <c r="J764" s="116"/>
      <c r="K764" s="116"/>
      <c r="L764" s="116"/>
      <c r="M764" s="116"/>
    </row>
    <row r="765" ht="15.75" hidden="1" customHeight="1">
      <c r="A765" s="122" t="s">
        <v>357</v>
      </c>
      <c r="B765" s="123"/>
      <c r="C765" s="115"/>
      <c r="D765" s="116"/>
      <c r="E765" s="110"/>
      <c r="F765" s="117"/>
      <c r="G765" s="116"/>
      <c r="H765" s="116"/>
      <c r="I765" s="116"/>
      <c r="J765" s="116"/>
      <c r="K765" s="116"/>
      <c r="L765" s="116"/>
      <c r="M765" s="116"/>
    </row>
    <row r="766" ht="15.75" hidden="1" customHeight="1">
      <c r="A766" s="122" t="s">
        <v>458</v>
      </c>
      <c r="B766" s="123"/>
      <c r="C766" s="115"/>
      <c r="D766" s="116"/>
      <c r="E766" s="110"/>
      <c r="F766" s="117"/>
      <c r="G766" s="116"/>
      <c r="H766" s="116"/>
      <c r="I766" s="116"/>
      <c r="J766" s="116"/>
      <c r="K766" s="116"/>
      <c r="L766" s="116"/>
      <c r="M766" s="116"/>
    </row>
    <row r="767" ht="15.75" hidden="1" customHeight="1">
      <c r="A767" s="124" t="s">
        <v>459</v>
      </c>
      <c r="B767" s="123"/>
      <c r="C767" s="115"/>
      <c r="D767" s="116"/>
      <c r="E767" s="110"/>
      <c r="F767" s="117"/>
      <c r="G767" s="116"/>
      <c r="H767" s="116"/>
      <c r="I767" s="116"/>
      <c r="J767" s="116"/>
      <c r="K767" s="116"/>
      <c r="L767" s="116"/>
      <c r="M767" s="116"/>
    </row>
    <row r="768" ht="15.75" hidden="1" customHeight="1">
      <c r="A768" s="122" t="s">
        <v>458</v>
      </c>
      <c r="B768" s="123"/>
      <c r="C768" s="115"/>
      <c r="D768" s="116"/>
      <c r="E768" s="110"/>
      <c r="F768" s="117"/>
      <c r="G768" s="116"/>
      <c r="H768" s="116"/>
      <c r="I768" s="116"/>
      <c r="J768" s="116"/>
      <c r="K768" s="116"/>
      <c r="L768" s="116"/>
      <c r="M768" s="116"/>
    </row>
    <row r="769" ht="15.75" hidden="1" customHeight="1">
      <c r="A769" s="124" t="s">
        <v>460</v>
      </c>
      <c r="B769" s="123"/>
      <c r="C769" s="115"/>
      <c r="D769" s="116"/>
      <c r="E769" s="110"/>
      <c r="F769" s="117"/>
      <c r="G769" s="116"/>
      <c r="H769" s="116"/>
      <c r="I769" s="116"/>
      <c r="J769" s="116"/>
      <c r="K769" s="116"/>
      <c r="L769" s="116"/>
      <c r="M769" s="116"/>
    </row>
    <row r="770" ht="15.75" hidden="1" customHeight="1">
      <c r="A770" s="122" t="s">
        <v>458</v>
      </c>
      <c r="B770" s="123"/>
      <c r="C770" s="115"/>
      <c r="D770" s="116"/>
      <c r="E770" s="110"/>
      <c r="F770" s="117"/>
      <c r="G770" s="116"/>
      <c r="H770" s="116"/>
      <c r="I770" s="116"/>
      <c r="J770" s="116"/>
      <c r="K770" s="116"/>
      <c r="L770" s="116"/>
      <c r="M770" s="116"/>
    </row>
    <row r="771" ht="15.75" hidden="1" customHeight="1">
      <c r="A771" s="124" t="s">
        <v>212</v>
      </c>
      <c r="B771" s="123"/>
      <c r="C771" s="115"/>
      <c r="D771" s="116"/>
      <c r="E771" s="110"/>
      <c r="F771" s="117"/>
      <c r="G771" s="116"/>
      <c r="H771" s="116"/>
      <c r="I771" s="116"/>
      <c r="J771" s="116"/>
      <c r="K771" s="116"/>
      <c r="L771" s="116"/>
      <c r="M771" s="116"/>
    </row>
    <row r="772" ht="15.75" hidden="1" customHeight="1">
      <c r="A772" s="122" t="s">
        <v>458</v>
      </c>
      <c r="B772" s="123"/>
      <c r="C772" s="115"/>
      <c r="D772" s="116"/>
      <c r="E772" s="110"/>
      <c r="F772" s="117"/>
      <c r="G772" s="116"/>
      <c r="H772" s="116"/>
      <c r="I772" s="116"/>
      <c r="J772" s="116"/>
      <c r="K772" s="116"/>
      <c r="L772" s="116"/>
      <c r="M772" s="116"/>
    </row>
    <row r="773" ht="15.75" hidden="1" customHeight="1">
      <c r="A773" s="124" t="s">
        <v>461</v>
      </c>
      <c r="B773" s="123"/>
      <c r="C773" s="115"/>
      <c r="D773" s="116"/>
      <c r="E773" s="110"/>
      <c r="F773" s="117"/>
      <c r="G773" s="116"/>
      <c r="H773" s="116"/>
      <c r="I773" s="116"/>
      <c r="J773" s="116"/>
      <c r="K773" s="116"/>
      <c r="L773" s="116"/>
      <c r="M773" s="116"/>
    </row>
    <row r="774" ht="15.75" hidden="1" customHeight="1">
      <c r="A774" s="122" t="s">
        <v>458</v>
      </c>
      <c r="B774" s="123"/>
      <c r="C774" s="115"/>
      <c r="D774" s="116"/>
      <c r="E774" s="110"/>
      <c r="F774" s="117"/>
      <c r="G774" s="116"/>
      <c r="H774" s="116"/>
      <c r="I774" s="116"/>
      <c r="J774" s="116"/>
      <c r="K774" s="116"/>
      <c r="L774" s="116"/>
      <c r="M774" s="116"/>
    </row>
    <row r="775" ht="15.75" hidden="1" customHeight="1">
      <c r="A775" s="124" t="s">
        <v>462</v>
      </c>
      <c r="B775" s="123"/>
      <c r="C775" s="115"/>
      <c r="D775" s="116"/>
      <c r="E775" s="110"/>
      <c r="F775" s="117"/>
      <c r="G775" s="116"/>
      <c r="H775" s="116"/>
      <c r="I775" s="116"/>
      <c r="J775" s="116"/>
      <c r="K775" s="116"/>
      <c r="L775" s="116"/>
      <c r="M775" s="116"/>
    </row>
    <row r="776" ht="15.75" hidden="1" customHeight="1">
      <c r="A776" s="122" t="s">
        <v>458</v>
      </c>
      <c r="B776" s="123"/>
      <c r="C776" s="115"/>
      <c r="D776" s="116"/>
      <c r="E776" s="110"/>
      <c r="F776" s="117"/>
      <c r="G776" s="116"/>
      <c r="H776" s="116"/>
      <c r="I776" s="116"/>
      <c r="J776" s="116"/>
      <c r="K776" s="116"/>
      <c r="L776" s="116"/>
      <c r="M776" s="116"/>
    </row>
    <row r="777" ht="15.75" hidden="1" customHeight="1">
      <c r="A777" s="124" t="s">
        <v>463</v>
      </c>
      <c r="B777" s="123"/>
      <c r="C777" s="115"/>
      <c r="D777" s="116"/>
      <c r="E777" s="110"/>
      <c r="F777" s="117"/>
      <c r="G777" s="116"/>
      <c r="H777" s="116"/>
      <c r="I777" s="116"/>
      <c r="J777" s="116"/>
      <c r="K777" s="116"/>
      <c r="L777" s="116"/>
      <c r="M777" s="116"/>
    </row>
    <row r="778" ht="15.75" hidden="1" customHeight="1">
      <c r="A778" s="122" t="s">
        <v>458</v>
      </c>
      <c r="B778" s="123"/>
      <c r="C778" s="115"/>
      <c r="D778" s="116"/>
      <c r="E778" s="110"/>
      <c r="F778" s="117"/>
      <c r="G778" s="116"/>
      <c r="H778" s="116"/>
      <c r="I778" s="116"/>
      <c r="J778" s="116"/>
      <c r="K778" s="116"/>
      <c r="L778" s="116"/>
      <c r="M778" s="116"/>
    </row>
    <row r="779" ht="15.75" hidden="1" customHeight="1">
      <c r="A779" s="124" t="s">
        <v>464</v>
      </c>
      <c r="B779" s="123"/>
      <c r="C779" s="115"/>
      <c r="D779" s="116"/>
      <c r="E779" s="110"/>
      <c r="F779" s="117"/>
      <c r="G779" s="116"/>
      <c r="H779" s="116"/>
      <c r="I779" s="116"/>
      <c r="J779" s="116"/>
      <c r="K779" s="116"/>
      <c r="L779" s="116"/>
      <c r="M779" s="116"/>
    </row>
    <row r="780" ht="15.75" hidden="1" customHeight="1">
      <c r="A780" s="122" t="s">
        <v>458</v>
      </c>
      <c r="B780" s="123"/>
      <c r="C780" s="115"/>
      <c r="D780" s="116"/>
      <c r="E780" s="110"/>
      <c r="F780" s="117"/>
      <c r="G780" s="116"/>
      <c r="H780" s="116"/>
      <c r="I780" s="116"/>
      <c r="J780" s="116"/>
      <c r="K780" s="116"/>
      <c r="L780" s="116"/>
      <c r="M780" s="116"/>
    </row>
    <row r="781" ht="15.75" hidden="1" customHeight="1">
      <c r="A781" s="124" t="s">
        <v>465</v>
      </c>
      <c r="B781" s="123"/>
      <c r="C781" s="115"/>
      <c r="D781" s="116"/>
      <c r="E781" s="110"/>
      <c r="F781" s="117"/>
      <c r="G781" s="116"/>
      <c r="H781" s="116"/>
      <c r="I781" s="116"/>
      <c r="J781" s="116"/>
      <c r="K781" s="116"/>
      <c r="L781" s="116"/>
      <c r="M781" s="116"/>
    </row>
    <row r="782" ht="15.75" hidden="1" customHeight="1">
      <c r="A782" s="122" t="s">
        <v>458</v>
      </c>
      <c r="B782" s="123"/>
      <c r="C782" s="115"/>
      <c r="D782" s="116"/>
      <c r="E782" s="110"/>
      <c r="F782" s="117"/>
      <c r="G782" s="116"/>
      <c r="H782" s="116"/>
      <c r="I782" s="116"/>
      <c r="J782" s="116"/>
      <c r="K782" s="116"/>
      <c r="L782" s="116"/>
      <c r="M782" s="116"/>
    </row>
    <row r="783" ht="15.75" hidden="1" customHeight="1">
      <c r="A783" s="133" t="s">
        <v>213</v>
      </c>
      <c r="B783" s="123"/>
      <c r="C783" s="115"/>
      <c r="D783" s="116"/>
      <c r="E783" s="110"/>
      <c r="F783" s="117"/>
      <c r="G783" s="116"/>
      <c r="H783" s="116"/>
      <c r="I783" s="116"/>
      <c r="J783" s="116"/>
      <c r="K783" s="116"/>
      <c r="L783" s="116"/>
      <c r="M783" s="116"/>
    </row>
    <row r="784" ht="15.75" hidden="1" customHeight="1">
      <c r="A784" s="132" t="s">
        <v>458</v>
      </c>
      <c r="B784" s="123"/>
      <c r="C784" s="115"/>
      <c r="D784" s="116"/>
      <c r="E784" s="110"/>
      <c r="F784" s="117"/>
      <c r="G784" s="116"/>
      <c r="H784" s="116"/>
      <c r="I784" s="116"/>
      <c r="J784" s="116"/>
      <c r="K784" s="116"/>
      <c r="L784" s="116"/>
      <c r="M784" s="116"/>
    </row>
    <row r="785" ht="15.75" hidden="1" customHeight="1">
      <c r="A785" s="133" t="s">
        <v>130</v>
      </c>
      <c r="B785" s="123"/>
      <c r="C785" s="115"/>
      <c r="D785" s="116"/>
      <c r="E785" s="110"/>
      <c r="F785" s="117"/>
      <c r="G785" s="116"/>
      <c r="H785" s="116"/>
      <c r="I785" s="116"/>
      <c r="J785" s="116"/>
      <c r="K785" s="116"/>
      <c r="L785" s="116"/>
      <c r="M785" s="116"/>
    </row>
    <row r="786" ht="15.75" hidden="1" customHeight="1">
      <c r="A786" s="132" t="s">
        <v>458</v>
      </c>
      <c r="B786" s="123"/>
      <c r="C786" s="115"/>
      <c r="D786" s="116"/>
      <c r="E786" s="110"/>
      <c r="F786" s="117"/>
      <c r="G786" s="116"/>
      <c r="H786" s="116"/>
      <c r="I786" s="116"/>
      <c r="J786" s="116"/>
      <c r="K786" s="116"/>
      <c r="L786" s="116"/>
      <c r="M786" s="116"/>
    </row>
    <row r="787" ht="15.75" hidden="1" customHeight="1">
      <c r="A787" s="133" t="s">
        <v>130</v>
      </c>
      <c r="B787" s="123"/>
      <c r="C787" s="115"/>
      <c r="D787" s="116"/>
      <c r="E787" s="110"/>
      <c r="F787" s="117"/>
      <c r="G787" s="116"/>
      <c r="H787" s="116"/>
      <c r="I787" s="116"/>
      <c r="J787" s="116"/>
      <c r="K787" s="116"/>
      <c r="L787" s="116"/>
      <c r="M787" s="116"/>
    </row>
    <row r="788" ht="15.75" hidden="1" customHeight="1">
      <c r="A788" s="132" t="s">
        <v>458</v>
      </c>
      <c r="B788" s="123"/>
      <c r="C788" s="115"/>
      <c r="D788" s="116"/>
      <c r="E788" s="110"/>
      <c r="F788" s="117"/>
      <c r="G788" s="116"/>
      <c r="H788" s="116"/>
      <c r="I788" s="116"/>
      <c r="J788" s="116"/>
      <c r="K788" s="116"/>
      <c r="L788" s="116"/>
      <c r="M788" s="116"/>
    </row>
    <row r="789" ht="15.75" hidden="1" customHeight="1">
      <c r="A789" s="134"/>
      <c r="B789" s="123"/>
      <c r="C789" s="115"/>
      <c r="D789" s="116"/>
      <c r="E789" s="110"/>
      <c r="F789" s="117"/>
      <c r="G789" s="116"/>
      <c r="H789" s="116"/>
      <c r="I789" s="116"/>
      <c r="J789" s="116"/>
      <c r="K789" s="116"/>
      <c r="L789" s="116"/>
      <c r="M789" s="116"/>
    </row>
    <row r="790" ht="15.75" hidden="1" customHeight="1">
      <c r="A790" s="134"/>
      <c r="B790" s="123"/>
      <c r="C790" s="115"/>
      <c r="D790" s="116"/>
      <c r="E790" s="110"/>
      <c r="F790" s="117"/>
      <c r="G790" s="116"/>
      <c r="H790" s="116"/>
      <c r="I790" s="116"/>
      <c r="J790" s="116"/>
      <c r="K790" s="116"/>
      <c r="L790" s="116"/>
      <c r="M790" s="116"/>
    </row>
    <row r="791" ht="15.75" customHeight="1">
      <c r="A791" s="134"/>
      <c r="B791" s="123"/>
      <c r="C791" s="115"/>
      <c r="D791" s="116"/>
      <c r="E791" s="110"/>
      <c r="F791" s="117"/>
      <c r="G791" s="116"/>
      <c r="H791" s="116"/>
      <c r="I791" s="116"/>
      <c r="J791" s="116"/>
      <c r="K791" s="116"/>
      <c r="L791" s="116"/>
      <c r="M791" s="116"/>
    </row>
    <row r="792" ht="31.5" hidden="1" customHeight="1">
      <c r="A792" s="134"/>
      <c r="B792" s="123"/>
      <c r="C792" s="115"/>
      <c r="D792" s="116"/>
      <c r="E792" s="110"/>
      <c r="F792" s="117"/>
      <c r="G792" s="116"/>
      <c r="H792" s="116"/>
      <c r="I792" s="116"/>
      <c r="J792" s="116"/>
      <c r="K792" s="116"/>
      <c r="L792" s="116"/>
      <c r="M792" s="116"/>
    </row>
    <row r="793" ht="27.0" customHeight="1">
      <c r="A793" s="146" t="s">
        <v>76</v>
      </c>
      <c r="B793" s="123"/>
      <c r="C793" s="115">
        <f t="shared" ref="C793:D793" si="2">C12+C625</f>
        <v>0</v>
      </c>
      <c r="D793" s="107">
        <f t="shared" si="2"/>
        <v>5625.71</v>
      </c>
      <c r="E793" s="110"/>
      <c r="F793" s="111">
        <f>F12+F625</f>
        <v>11435.71</v>
      </c>
      <c r="G793" s="107"/>
      <c r="H793" s="111">
        <f>H12+H625</f>
        <v>8020</v>
      </c>
      <c r="I793" s="107"/>
      <c r="J793" s="111">
        <f>J12+J625</f>
        <v>0</v>
      </c>
      <c r="K793" s="107"/>
      <c r="L793" s="111">
        <f>L12+L625</f>
        <v>8020</v>
      </c>
      <c r="M793" s="107"/>
    </row>
    <row r="794" ht="23.25" customHeight="1">
      <c r="A794" s="147"/>
      <c r="B794" s="148"/>
      <c r="C794" s="149"/>
      <c r="D794" s="84"/>
      <c r="E794" s="84"/>
      <c r="F794" s="84"/>
      <c r="G794" s="84"/>
      <c r="H794" s="84"/>
      <c r="I794" s="84"/>
      <c r="J794" s="84"/>
      <c r="K794" s="84"/>
      <c r="L794" s="84"/>
      <c r="M794" s="84"/>
    </row>
    <row r="795" ht="22.5" customHeight="1">
      <c r="A795" s="147" t="s">
        <v>77</v>
      </c>
      <c r="B795" s="150"/>
      <c r="C795" s="151"/>
      <c r="D795" s="152"/>
      <c r="E795" s="153" t="s">
        <v>466</v>
      </c>
      <c r="F795" s="154"/>
      <c r="G795" s="154"/>
      <c r="H795" s="154"/>
      <c r="I795" s="154"/>
      <c r="J795" s="154"/>
      <c r="K795" s="154"/>
      <c r="L795" s="155" t="s">
        <v>467</v>
      </c>
      <c r="M795" s="154"/>
    </row>
    <row r="796" ht="15.75" customHeight="1">
      <c r="A796" s="68"/>
      <c r="B796" s="150"/>
      <c r="C796" s="151"/>
      <c r="D796" s="152"/>
      <c r="E796" s="151"/>
      <c r="F796" s="154"/>
      <c r="G796" s="154"/>
      <c r="H796" s="154"/>
      <c r="I796" s="154"/>
      <c r="J796" s="154"/>
      <c r="K796" s="154"/>
      <c r="L796" s="156"/>
      <c r="M796" s="154"/>
    </row>
    <row r="797" ht="15.75" customHeight="1">
      <c r="A797" s="68"/>
      <c r="B797" s="150"/>
      <c r="C797" s="151"/>
      <c r="D797" s="152"/>
      <c r="E797" s="151"/>
      <c r="F797" s="154"/>
      <c r="G797" s="154"/>
      <c r="H797" s="154"/>
      <c r="I797" s="154"/>
      <c r="J797" s="154"/>
      <c r="K797" s="154"/>
      <c r="L797" s="156"/>
      <c r="M797" s="154"/>
    </row>
    <row r="798" ht="15.75" customHeight="1">
      <c r="A798" s="152"/>
      <c r="B798" s="150"/>
      <c r="C798" s="151"/>
      <c r="D798" s="152"/>
      <c r="E798" s="151"/>
      <c r="F798" s="150"/>
      <c r="G798" s="150"/>
      <c r="H798" s="150"/>
      <c r="I798" s="154"/>
      <c r="J798" s="150"/>
      <c r="K798" s="150"/>
      <c r="L798" s="156"/>
      <c r="M798" s="150"/>
    </row>
    <row r="799">
      <c r="A799" s="68"/>
      <c r="B799" s="150"/>
      <c r="C799" s="151"/>
      <c r="D799" s="152"/>
      <c r="E799" s="151"/>
      <c r="F799" s="150"/>
      <c r="G799" s="150"/>
      <c r="H799" s="150"/>
      <c r="I799" s="154"/>
      <c r="J799" s="150"/>
      <c r="K799" s="150"/>
      <c r="L799" s="156"/>
      <c r="M799" s="150"/>
    </row>
    <row r="800" ht="21.0" customHeight="1">
      <c r="A800" s="157" t="s">
        <v>82</v>
      </c>
      <c r="B800" s="150"/>
      <c r="C800" s="151"/>
      <c r="D800" s="152"/>
      <c r="E800" s="158" t="s">
        <v>83</v>
      </c>
      <c r="F800" s="150"/>
      <c r="G800" s="150"/>
      <c r="H800" s="150"/>
      <c r="I800" s="154"/>
      <c r="J800" s="150"/>
      <c r="K800" s="150"/>
      <c r="L800" s="159" t="s">
        <v>84</v>
      </c>
      <c r="M800" s="150"/>
    </row>
    <row r="801" ht="15.75" customHeight="1">
      <c r="A801" s="160" t="s">
        <v>468</v>
      </c>
      <c r="B801" s="150"/>
      <c r="C801" s="151"/>
      <c r="D801" s="152"/>
      <c r="E801" s="153" t="s">
        <v>87</v>
      </c>
      <c r="F801" s="150"/>
      <c r="G801" s="150"/>
      <c r="H801" s="150"/>
      <c r="I801" s="154"/>
      <c r="J801" s="150"/>
      <c r="K801" s="150"/>
      <c r="L801" s="161" t="s">
        <v>88</v>
      </c>
      <c r="M801" s="150"/>
    </row>
    <row r="802" ht="18.75" customHeight="1">
      <c r="A802" s="162"/>
      <c r="B802" s="163"/>
      <c r="C802" s="164"/>
      <c r="D802" s="164"/>
      <c r="E802" s="164"/>
      <c r="F802" s="84"/>
      <c r="G802" s="84"/>
      <c r="H802" s="84"/>
      <c r="I802" s="84"/>
      <c r="J802" s="84"/>
      <c r="K802" s="84"/>
      <c r="L802" s="84"/>
      <c r="M802" s="84"/>
    </row>
    <row r="803" ht="15.75" customHeight="1">
      <c r="A803" s="149"/>
      <c r="B803" s="84"/>
      <c r="C803" s="165"/>
      <c r="D803" s="165"/>
      <c r="E803" s="165"/>
      <c r="F803" s="165"/>
      <c r="G803" s="165"/>
      <c r="H803" s="165"/>
      <c r="I803" s="165"/>
      <c r="J803" s="165"/>
      <c r="K803" s="165"/>
      <c r="L803" s="165"/>
      <c r="M803" s="165"/>
    </row>
    <row r="804" ht="15.75" customHeight="1">
      <c r="A804" s="84"/>
      <c r="B804" s="84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</row>
    <row r="805" ht="15.75" customHeight="1">
      <c r="A805" s="89"/>
      <c r="B805" s="166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</row>
    <row r="806" ht="15.75" customHeight="1">
      <c r="A806" s="89"/>
      <c r="B806" s="166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</row>
    <row r="807" ht="15.75" customHeight="1">
      <c r="A807" s="84"/>
      <c r="B807" s="84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</row>
    <row r="808" ht="15.75" customHeight="1">
      <c r="A808" s="84"/>
      <c r="B808" s="84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</row>
    <row r="809" ht="15.75" customHeight="1">
      <c r="A809" s="84"/>
      <c r="B809" s="84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</row>
    <row r="810" ht="15.75" customHeight="1">
      <c r="A810" s="84"/>
      <c r="B810" s="84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</row>
    <row r="811" ht="15.75" customHeight="1">
      <c r="A811" s="84"/>
      <c r="B811" s="84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</row>
    <row r="812" ht="15.75" customHeight="1">
      <c r="A812" s="84"/>
      <c r="B812" s="84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</row>
    <row r="813" ht="15.75" customHeight="1">
      <c r="A813" s="84"/>
      <c r="B813" s="84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</row>
    <row r="814" ht="15.75" customHeight="1">
      <c r="A814" s="167"/>
      <c r="B814" s="168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</row>
    <row r="815" ht="15.75" customHeight="1">
      <c r="A815" s="89"/>
      <c r="B815" s="166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</row>
    <row r="816" ht="15.75" customHeight="1">
      <c r="A816" s="89"/>
      <c r="B816" s="166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</row>
    <row r="817" ht="15.75" customHeight="1">
      <c r="A817" s="89"/>
      <c r="B817" s="166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</row>
    <row r="818" ht="15.75" customHeight="1">
      <c r="A818" s="89"/>
      <c r="B818" s="166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</row>
    <row r="819" ht="15.75" customHeight="1">
      <c r="A819" s="89"/>
      <c r="B819" s="166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</row>
    <row r="820" ht="15.75" customHeight="1">
      <c r="A820" s="89"/>
      <c r="B820" s="166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</row>
    <row r="821" ht="15.75" customHeight="1">
      <c r="A821" s="89"/>
      <c r="B821" s="166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</row>
    <row r="822" ht="15.75" customHeight="1">
      <c r="A822" s="89"/>
      <c r="B822" s="166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</row>
    <row r="823" ht="15.75" customHeight="1">
      <c r="A823" s="89"/>
      <c r="B823" s="166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</row>
    <row r="824" ht="15.75" customHeight="1">
      <c r="A824" s="89"/>
      <c r="B824" s="166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</row>
    <row r="825" ht="15.75" customHeight="1">
      <c r="A825" s="89"/>
      <c r="B825" s="166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</row>
    <row r="826" ht="15.75" customHeight="1">
      <c r="A826" s="89"/>
      <c r="B826" s="166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</row>
    <row r="827" ht="15.75" customHeight="1">
      <c r="A827" s="89"/>
      <c r="B827" s="166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</row>
    <row r="828" ht="15.75" customHeight="1">
      <c r="A828" s="89"/>
      <c r="B828" s="166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</row>
    <row r="829" ht="15.75" customHeight="1">
      <c r="A829" s="89"/>
      <c r="B829" s="166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</row>
    <row r="830" ht="15.75" customHeight="1">
      <c r="A830" s="89"/>
      <c r="B830" s="166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</row>
    <row r="831" ht="15.75" customHeight="1">
      <c r="A831" s="89"/>
      <c r="B831" s="166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</row>
    <row r="832" ht="15.75" customHeight="1">
      <c r="A832" s="89"/>
      <c r="B832" s="166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</row>
    <row r="833" ht="15.75" customHeight="1">
      <c r="A833" s="89"/>
      <c r="B833" s="166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</row>
    <row r="834" ht="15.75" customHeight="1">
      <c r="A834" s="89"/>
      <c r="B834" s="166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</row>
    <row r="835" ht="15.75" customHeight="1">
      <c r="A835" s="89"/>
      <c r="B835" s="166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</row>
    <row r="836" ht="15.75" customHeight="1">
      <c r="A836" s="89"/>
      <c r="B836" s="166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</row>
    <row r="837" ht="15.75" customHeight="1">
      <c r="A837" s="89"/>
      <c r="B837" s="166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</row>
    <row r="838" ht="15.75" customHeight="1">
      <c r="A838" s="89"/>
      <c r="B838" s="166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</row>
    <row r="839" ht="15.75" customHeight="1">
      <c r="A839" s="89"/>
      <c r="B839" s="166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</row>
    <row r="840" ht="15.75" customHeight="1">
      <c r="A840" s="89"/>
      <c r="B840" s="166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</row>
    <row r="841" ht="15.75" customHeight="1">
      <c r="A841" s="89"/>
      <c r="B841" s="166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</row>
    <row r="842" ht="15.75" customHeight="1">
      <c r="A842" s="89"/>
      <c r="B842" s="166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</row>
    <row r="843" ht="15.75" customHeight="1">
      <c r="A843" s="89"/>
      <c r="B843" s="166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</row>
    <row r="844" ht="15.75" customHeight="1">
      <c r="A844" s="89"/>
      <c r="B844" s="166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</row>
    <row r="845" ht="15.75" customHeight="1">
      <c r="A845" s="89"/>
      <c r="B845" s="166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</row>
    <row r="846" ht="15.75" customHeight="1">
      <c r="A846" s="89"/>
      <c r="B846" s="166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</row>
    <row r="847" ht="15.75" customHeight="1">
      <c r="A847" s="89"/>
      <c r="B847" s="166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</row>
    <row r="848" ht="15.75" customHeight="1">
      <c r="A848" s="89"/>
      <c r="B848" s="166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</row>
    <row r="849" ht="15.75" customHeight="1">
      <c r="A849" s="89"/>
      <c r="B849" s="166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</row>
    <row r="850" ht="15.75" customHeight="1">
      <c r="A850" s="89"/>
      <c r="B850" s="166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</row>
    <row r="851" ht="15.75" customHeight="1">
      <c r="A851" s="89"/>
      <c r="B851" s="166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</row>
    <row r="852" ht="15.75" customHeight="1">
      <c r="A852" s="89"/>
      <c r="B852" s="166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</row>
    <row r="853" ht="15.75" customHeight="1">
      <c r="A853" s="89"/>
      <c r="B853" s="166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</row>
    <row r="854" ht="15.75" customHeight="1">
      <c r="A854" s="89"/>
      <c r="B854" s="166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</row>
    <row r="855" ht="15.75" customHeight="1">
      <c r="A855" s="89"/>
      <c r="B855" s="166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</row>
    <row r="856" ht="15.75" customHeight="1">
      <c r="A856" s="89"/>
      <c r="B856" s="166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</row>
    <row r="857" ht="15.75" customHeight="1">
      <c r="A857" s="89"/>
      <c r="B857" s="166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</row>
    <row r="858" ht="15.75" customHeight="1">
      <c r="A858" s="89"/>
      <c r="B858" s="166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</row>
    <row r="859" ht="15.75" customHeight="1">
      <c r="A859" s="89"/>
      <c r="B859" s="166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</row>
    <row r="860" ht="15.75" customHeight="1">
      <c r="A860" s="89"/>
      <c r="B860" s="166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</row>
    <row r="861" ht="15.75" customHeight="1">
      <c r="A861" s="89"/>
      <c r="B861" s="166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</row>
    <row r="862" ht="15.75" customHeight="1">
      <c r="A862" s="89"/>
      <c r="B862" s="166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</row>
    <row r="863" ht="15.75" customHeight="1">
      <c r="A863" s="89"/>
      <c r="B863" s="166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</row>
    <row r="864" ht="15.75" customHeight="1">
      <c r="A864" s="89"/>
      <c r="B864" s="166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</row>
    <row r="865" ht="15.75" customHeight="1">
      <c r="A865" s="89"/>
      <c r="B865" s="166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</row>
    <row r="866" ht="15.75" customHeight="1">
      <c r="A866" s="89"/>
      <c r="B866" s="166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</row>
    <row r="867" ht="15.75" customHeight="1">
      <c r="A867" s="89"/>
      <c r="B867" s="166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</row>
    <row r="868" ht="15.75" customHeight="1">
      <c r="A868" s="89"/>
      <c r="B868" s="166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</row>
    <row r="869" ht="15.75" customHeight="1">
      <c r="A869" s="89"/>
      <c r="B869" s="166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</row>
    <row r="870" ht="15.75" customHeight="1">
      <c r="A870" s="89"/>
      <c r="B870" s="166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</row>
    <row r="871" ht="15.75" customHeight="1">
      <c r="A871" s="89"/>
      <c r="B871" s="166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</row>
    <row r="872" ht="15.75" customHeight="1">
      <c r="A872" s="89"/>
      <c r="B872" s="166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</row>
    <row r="873" ht="15.75" customHeight="1">
      <c r="A873" s="89"/>
      <c r="B873" s="166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</row>
    <row r="874" ht="15.75" customHeight="1">
      <c r="A874" s="169"/>
      <c r="B874" s="16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</row>
    <row r="875" ht="15.75" customHeight="1">
      <c r="A875" s="169"/>
      <c r="B875" s="16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</row>
    <row r="876" ht="15.75" customHeight="1">
      <c r="A876" s="169"/>
      <c r="B876" s="16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</row>
    <row r="877" ht="15.75" customHeight="1">
      <c r="A877" s="169"/>
      <c r="B877" s="16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</row>
    <row r="878" ht="15.75" customHeight="1">
      <c r="A878" s="169"/>
      <c r="B878" s="16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</row>
    <row r="879" ht="15.75" customHeight="1">
      <c r="A879" s="169"/>
      <c r="B879" s="16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</row>
    <row r="880" ht="15.75" customHeight="1">
      <c r="A880" s="169"/>
      <c r="B880" s="16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</row>
    <row r="881" ht="15.75" customHeight="1">
      <c r="A881" s="169"/>
      <c r="B881" s="16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</row>
    <row r="882" ht="15.75" customHeight="1">
      <c r="A882" s="169"/>
      <c r="B882" s="16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</row>
    <row r="883" ht="15.75" customHeight="1">
      <c r="A883" s="169"/>
      <c r="B883" s="16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</row>
    <row r="884" ht="15.75" customHeight="1">
      <c r="A884" s="169"/>
      <c r="B884" s="16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</row>
    <row r="885" ht="15.75" customHeight="1">
      <c r="A885" s="169"/>
      <c r="B885" s="16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</row>
    <row r="886" ht="15.75" customHeight="1">
      <c r="A886" s="169"/>
      <c r="B886" s="16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</row>
    <row r="887" ht="15.75" customHeight="1">
      <c r="A887" s="169"/>
      <c r="B887" s="16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</row>
    <row r="888" ht="15.75" customHeight="1">
      <c r="A888" s="169"/>
      <c r="B888" s="16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</row>
    <row r="889" ht="15.75" customHeight="1">
      <c r="A889" s="169"/>
      <c r="B889" s="16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</row>
    <row r="890" ht="15.75" customHeight="1">
      <c r="A890" s="169"/>
      <c r="B890" s="16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</row>
    <row r="891" ht="15.75" customHeight="1">
      <c r="A891" s="169"/>
      <c r="B891" s="16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</row>
    <row r="892" ht="15.75" customHeight="1">
      <c r="A892" s="169"/>
      <c r="B892" s="16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</row>
    <row r="893" ht="15.75" customHeight="1">
      <c r="A893" s="169"/>
      <c r="B893" s="16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</row>
    <row r="894" ht="15.75" customHeight="1">
      <c r="A894" s="169"/>
      <c r="B894" s="16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</row>
    <row r="895" ht="15.75" customHeight="1">
      <c r="A895" s="169"/>
      <c r="B895" s="16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</row>
    <row r="896" ht="15.75" customHeight="1">
      <c r="A896" s="169"/>
      <c r="B896" s="16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</row>
    <row r="897" ht="15.75" customHeight="1">
      <c r="A897" s="169"/>
      <c r="B897" s="16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</row>
    <row r="898" ht="15.75" customHeight="1">
      <c r="A898" s="169"/>
      <c r="B898" s="16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</row>
    <row r="899" ht="15.75" customHeight="1">
      <c r="A899" s="169"/>
      <c r="B899" s="16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</row>
    <row r="900" ht="15.75" customHeight="1">
      <c r="A900" s="169"/>
      <c r="B900" s="16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</row>
    <row r="901" ht="15.75" customHeight="1">
      <c r="A901" s="169"/>
      <c r="B901" s="16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</row>
    <row r="902" ht="15.75" customHeight="1">
      <c r="A902" s="169"/>
      <c r="B902" s="16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</row>
    <row r="903" ht="15.75" customHeight="1">
      <c r="A903" s="169"/>
      <c r="B903" s="16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</row>
    <row r="904" ht="15.75" customHeight="1">
      <c r="A904" s="169"/>
      <c r="B904" s="16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</row>
    <row r="905" ht="15.75" customHeight="1">
      <c r="A905" s="169"/>
      <c r="B905" s="16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</row>
    <row r="906" ht="15.75" customHeight="1">
      <c r="A906" s="169"/>
      <c r="B906" s="16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</row>
    <row r="907" ht="15.75" customHeight="1">
      <c r="A907" s="169"/>
      <c r="B907" s="16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</row>
    <row r="908" ht="15.75" customHeight="1">
      <c r="A908" s="169"/>
      <c r="B908" s="16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</row>
    <row r="909" ht="15.75" customHeight="1">
      <c r="A909" s="169"/>
      <c r="B909" s="16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</row>
    <row r="910" ht="15.75" customHeight="1">
      <c r="A910" s="169"/>
      <c r="B910" s="16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</row>
    <row r="911" ht="15.75" customHeight="1">
      <c r="A911" s="169"/>
      <c r="B911" s="16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</row>
    <row r="912" ht="15.75" customHeight="1">
      <c r="A912" s="169"/>
      <c r="B912" s="16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</row>
    <row r="913" ht="15.75" customHeight="1">
      <c r="A913" s="169"/>
      <c r="B913" s="16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</row>
    <row r="914" ht="15.75" customHeight="1">
      <c r="A914" s="169"/>
      <c r="B914" s="16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</row>
    <row r="915" ht="15.75" customHeight="1">
      <c r="A915" s="169"/>
      <c r="B915" s="16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</row>
    <row r="916" ht="15.75" customHeight="1">
      <c r="A916" s="169"/>
      <c r="B916" s="16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</row>
    <row r="917" ht="15.75" customHeight="1">
      <c r="A917" s="169"/>
      <c r="B917" s="16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</row>
    <row r="918" ht="15.75" customHeight="1">
      <c r="A918" s="169"/>
      <c r="B918" s="16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</row>
    <row r="919" ht="15.75" customHeight="1">
      <c r="A919" s="169"/>
      <c r="B919" s="16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</row>
    <row r="920" ht="15.75" customHeight="1">
      <c r="A920" s="169"/>
      <c r="B920" s="16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</row>
    <row r="921" ht="15.75" customHeight="1">
      <c r="A921" s="169"/>
      <c r="B921" s="16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</row>
    <row r="922" ht="15.75" customHeight="1">
      <c r="A922" s="169"/>
      <c r="B922" s="16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</row>
    <row r="923" ht="15.75" customHeight="1">
      <c r="A923" s="169"/>
      <c r="B923" s="16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</row>
    <row r="924" ht="15.75" customHeight="1">
      <c r="A924" s="169"/>
      <c r="B924" s="16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</row>
    <row r="925" ht="15.75" customHeight="1">
      <c r="A925" s="169"/>
      <c r="B925" s="16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</row>
    <row r="926" ht="15.75" customHeight="1">
      <c r="A926" s="169"/>
      <c r="B926" s="16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</row>
    <row r="927" ht="15.75" customHeight="1">
      <c r="A927" s="169"/>
      <c r="B927" s="16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</row>
    <row r="928" ht="15.75" customHeight="1">
      <c r="A928" s="169"/>
      <c r="B928" s="16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</row>
    <row r="929" ht="15.75" customHeight="1">
      <c r="A929" s="169"/>
      <c r="B929" s="16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</row>
    <row r="930" ht="15.75" customHeight="1">
      <c r="A930" s="169"/>
      <c r="B930" s="16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</row>
    <row r="931" ht="15.75" customHeight="1">
      <c r="A931" s="169"/>
      <c r="B931" s="16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</row>
    <row r="932" ht="15.75" customHeight="1">
      <c r="A932" s="169"/>
      <c r="B932" s="16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</row>
    <row r="933" ht="15.75" customHeight="1">
      <c r="A933" s="169"/>
      <c r="B933" s="16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</row>
    <row r="934" ht="15.75" customHeight="1">
      <c r="A934" s="169"/>
      <c r="B934" s="16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</row>
    <row r="935" ht="15.75" customHeight="1">
      <c r="A935" s="169"/>
      <c r="B935" s="16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</row>
    <row r="936" ht="15.75" customHeight="1">
      <c r="A936" s="169"/>
      <c r="B936" s="16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</row>
    <row r="937" ht="15.75" customHeight="1">
      <c r="A937" s="169"/>
      <c r="B937" s="16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</row>
    <row r="938" ht="15.75" customHeight="1">
      <c r="A938" s="169"/>
      <c r="B938" s="16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</row>
    <row r="939" ht="15.75" customHeight="1">
      <c r="A939" s="169"/>
      <c r="B939" s="16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</row>
    <row r="940" ht="15.75" customHeight="1">
      <c r="A940" s="169"/>
      <c r="B940" s="16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</row>
    <row r="941" ht="15.75" customHeight="1">
      <c r="A941" s="169"/>
      <c r="B941" s="16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</row>
    <row r="942" ht="15.75" customHeight="1">
      <c r="A942" s="169"/>
      <c r="B942" s="16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</row>
    <row r="943" ht="15.75" customHeight="1">
      <c r="A943" s="169"/>
      <c r="B943" s="16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</row>
    <row r="944" ht="15.75" customHeight="1">
      <c r="A944" s="169"/>
      <c r="B944" s="16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</row>
    <row r="945" ht="15.75" customHeight="1">
      <c r="A945" s="169"/>
      <c r="B945" s="16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</row>
    <row r="946" ht="15.75" customHeight="1">
      <c r="A946" s="169"/>
      <c r="B946" s="16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</row>
    <row r="947" ht="15.75" customHeight="1">
      <c r="A947" s="169"/>
      <c r="B947" s="16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</row>
    <row r="948" ht="15.75" customHeight="1">
      <c r="A948" s="169"/>
      <c r="B948" s="16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</row>
    <row r="949" ht="15.75" customHeight="1">
      <c r="A949" s="169"/>
      <c r="B949" s="16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</row>
    <row r="950" ht="15.75" customHeight="1">
      <c r="A950" s="169"/>
      <c r="B950" s="16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</row>
    <row r="951" ht="15.75" customHeight="1">
      <c r="A951" s="169"/>
      <c r="B951" s="16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</row>
    <row r="952" ht="15.75" customHeight="1">
      <c r="A952" s="169"/>
      <c r="B952" s="16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</row>
    <row r="953" ht="15.75" customHeight="1">
      <c r="A953" s="169"/>
      <c r="B953" s="16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</row>
    <row r="954" ht="15.75" customHeight="1">
      <c r="A954" s="169"/>
      <c r="B954" s="16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</row>
    <row r="955" ht="15.75" customHeight="1">
      <c r="A955" s="169"/>
      <c r="B955" s="16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</row>
    <row r="956" ht="15.75" customHeight="1">
      <c r="A956" s="169"/>
      <c r="B956" s="16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</row>
    <row r="957" ht="15.75" customHeight="1">
      <c r="A957" s="169"/>
      <c r="B957" s="16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</row>
    <row r="958" ht="15.75" customHeight="1">
      <c r="A958" s="169"/>
      <c r="B958" s="16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</row>
    <row r="959" ht="15.75" customHeight="1">
      <c r="A959" s="169"/>
      <c r="B959" s="16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</row>
    <row r="960" ht="15.75" customHeight="1">
      <c r="A960" s="169"/>
      <c r="B960" s="16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</row>
    <row r="961" ht="15.75" customHeight="1">
      <c r="A961" s="169"/>
      <c r="B961" s="16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</row>
    <row r="962" ht="15.75" customHeight="1">
      <c r="A962" s="169"/>
      <c r="B962" s="16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</row>
    <row r="963" ht="15.75" customHeight="1">
      <c r="A963" s="169"/>
      <c r="B963" s="16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</row>
    <row r="964" ht="15.75" customHeight="1">
      <c r="A964" s="169"/>
      <c r="B964" s="16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</row>
    <row r="965" ht="15.75" customHeight="1">
      <c r="A965" s="169"/>
      <c r="B965" s="16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</row>
    <row r="966" ht="15.75" customHeight="1">
      <c r="A966" s="169"/>
      <c r="B966" s="16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</row>
    <row r="967" ht="15.75" customHeight="1">
      <c r="A967" s="169"/>
      <c r="B967" s="16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</row>
    <row r="968" ht="15.75" customHeight="1">
      <c r="A968" s="169"/>
      <c r="B968" s="16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</row>
    <row r="969" ht="15.75" customHeight="1">
      <c r="A969" s="169"/>
      <c r="B969" s="16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</row>
    <row r="970" ht="15.75" customHeight="1">
      <c r="A970" s="169"/>
      <c r="B970" s="16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</row>
    <row r="971" ht="15.75" customHeight="1">
      <c r="A971" s="169"/>
      <c r="B971" s="16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</row>
    <row r="972" ht="15.75" customHeight="1">
      <c r="A972" s="169"/>
      <c r="B972" s="16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</row>
    <row r="973" ht="15.75" customHeight="1">
      <c r="A973" s="169"/>
      <c r="B973" s="16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</row>
    <row r="974" ht="15.75" customHeight="1">
      <c r="A974" s="169"/>
      <c r="B974" s="16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</row>
    <row r="975" ht="15.75" customHeight="1">
      <c r="A975" s="169"/>
      <c r="B975" s="16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</row>
    <row r="976" ht="15.75" customHeight="1">
      <c r="A976" s="169"/>
      <c r="B976" s="16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</row>
    <row r="977" ht="15.75" customHeight="1">
      <c r="A977" s="169"/>
      <c r="B977" s="16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</row>
    <row r="978" ht="15.75" customHeight="1">
      <c r="A978" s="169"/>
      <c r="B978" s="16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</row>
    <row r="979" ht="15.75" customHeight="1">
      <c r="A979" s="169"/>
      <c r="B979" s="16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</row>
    <row r="980" ht="15.75" customHeight="1">
      <c r="A980" s="169"/>
      <c r="B980" s="16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</row>
    <row r="981" ht="15.75" customHeight="1">
      <c r="A981" s="169"/>
      <c r="B981" s="16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</row>
    <row r="982" ht="15.75" customHeight="1">
      <c r="A982" s="169"/>
      <c r="B982" s="16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</row>
    <row r="983" ht="15.75" customHeight="1">
      <c r="A983" s="169"/>
      <c r="B983" s="16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</row>
    <row r="984" ht="15.75" customHeight="1">
      <c r="A984" s="169"/>
      <c r="B984" s="16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</row>
    <row r="985" ht="15.75" customHeight="1">
      <c r="A985" s="169"/>
      <c r="B985" s="16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</row>
    <row r="986" ht="15.75" customHeight="1">
      <c r="A986" s="169"/>
      <c r="B986" s="16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</row>
    <row r="987" ht="15.75" customHeight="1">
      <c r="A987" s="169"/>
      <c r="B987" s="16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</row>
    <row r="988" ht="15.75" customHeight="1">
      <c r="A988" s="169"/>
      <c r="B988" s="16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</row>
    <row r="989" ht="15.75" customHeight="1">
      <c r="A989" s="169"/>
      <c r="B989" s="16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</row>
    <row r="990" ht="15.75" customHeight="1">
      <c r="A990" s="169"/>
      <c r="B990" s="16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</row>
    <row r="991" ht="15.75" customHeight="1">
      <c r="A991" s="169"/>
      <c r="B991" s="16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</row>
    <row r="992" ht="15.75" customHeight="1">
      <c r="A992" s="169"/>
      <c r="B992" s="16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</row>
    <row r="993" ht="15.75" customHeight="1">
      <c r="A993" s="169"/>
      <c r="B993" s="16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</row>
    <row r="994" ht="15.75" customHeight="1">
      <c r="A994" s="169"/>
      <c r="B994" s="16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</row>
    <row r="995" ht="15.75" customHeight="1">
      <c r="A995" s="169"/>
      <c r="B995" s="16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</row>
    <row r="996" ht="15.75" customHeight="1">
      <c r="A996" s="169"/>
      <c r="B996" s="16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</row>
    <row r="997" ht="15.75" customHeight="1">
      <c r="A997" s="169"/>
      <c r="B997" s="16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</row>
    <row r="998" ht="15.75" customHeight="1">
      <c r="A998" s="169"/>
      <c r="B998" s="16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</row>
    <row r="999" ht="15.75" customHeight="1">
      <c r="A999" s="169"/>
      <c r="B999" s="16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</row>
    <row r="1000" ht="15.75" customHeight="1">
      <c r="A1000" s="169"/>
      <c r="B1000" s="16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</row>
    <row r="1001" ht="15.75" customHeight="1">
      <c r="A1001" s="169"/>
      <c r="B1001" s="16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36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EDED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29"/>
    <col customWidth="1" min="2" max="2" width="19.57"/>
    <col customWidth="1" min="3" max="3" width="23.29"/>
    <col customWidth="1" min="4" max="4" width="26.0"/>
    <col customWidth="1" min="5" max="6" width="22.71"/>
    <col customWidth="1" min="7" max="7" width="21.29"/>
    <col customWidth="1" min="8" max="8" width="20.0"/>
    <col customWidth="1" min="9" max="9" width="19.86"/>
    <col customWidth="1" min="10" max="10" width="20.86"/>
    <col customWidth="1" min="11" max="11" width="19.86"/>
    <col customWidth="1" min="12" max="12" width="21.71"/>
    <col customWidth="1" min="13" max="13" width="23.14"/>
  </cols>
  <sheetData>
    <row r="1">
      <c r="A1" s="170" t="s">
        <v>0</v>
      </c>
      <c r="B1" s="171"/>
      <c r="C1" s="172"/>
      <c r="D1" s="172"/>
      <c r="E1" s="173"/>
      <c r="F1" s="173"/>
      <c r="G1" s="172"/>
      <c r="H1" s="172"/>
      <c r="I1" s="172"/>
      <c r="J1" s="172"/>
      <c r="K1" s="172"/>
      <c r="L1" s="172"/>
      <c r="M1" s="172"/>
    </row>
    <row r="2">
      <c r="A2" s="174" t="s">
        <v>90</v>
      </c>
      <c r="B2" s="171"/>
      <c r="C2" s="172"/>
      <c r="D2" s="172"/>
      <c r="E2" s="173"/>
      <c r="F2" s="173"/>
      <c r="G2" s="172"/>
      <c r="H2" s="172"/>
      <c r="I2" s="86"/>
      <c r="L2" s="172"/>
      <c r="M2" s="172"/>
    </row>
    <row r="3">
      <c r="A3" s="175" t="s">
        <v>469</v>
      </c>
      <c r="B3" s="171"/>
      <c r="C3" s="172"/>
      <c r="D3" s="172"/>
      <c r="E3" s="173"/>
      <c r="F3" s="173"/>
      <c r="G3" s="172"/>
      <c r="H3" s="172"/>
      <c r="L3" s="172"/>
      <c r="M3" s="172"/>
    </row>
    <row r="4">
      <c r="A4" s="175" t="s">
        <v>3</v>
      </c>
      <c r="B4" s="171"/>
      <c r="C4" s="172"/>
      <c r="D4" s="172"/>
      <c r="E4" s="173"/>
      <c r="F4" s="173"/>
      <c r="G4" s="172"/>
      <c r="H4" s="172"/>
      <c r="L4" s="172"/>
      <c r="M4" s="172"/>
    </row>
    <row r="5">
      <c r="A5" s="175" t="s">
        <v>4</v>
      </c>
      <c r="B5" s="171"/>
      <c r="C5" s="172"/>
      <c r="D5" s="172"/>
      <c r="E5" s="173"/>
      <c r="F5" s="173"/>
      <c r="G5" s="172"/>
      <c r="H5" s="172"/>
      <c r="I5" s="172"/>
      <c r="J5" s="172"/>
      <c r="K5" s="172"/>
      <c r="L5" s="172"/>
      <c r="M5" s="172"/>
    </row>
    <row r="6">
      <c r="A6" s="90"/>
      <c r="B6" s="90"/>
      <c r="C6" s="89"/>
      <c r="D6" s="89"/>
      <c r="E6" s="176"/>
      <c r="F6" s="176"/>
      <c r="G6" s="89"/>
      <c r="H6" s="89"/>
      <c r="I6" s="89"/>
      <c r="J6" s="89"/>
      <c r="K6" s="89"/>
      <c r="L6" s="89"/>
      <c r="M6" s="89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470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102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>
      <c r="A11" s="177" t="s">
        <v>100</v>
      </c>
      <c r="B11" s="178"/>
      <c r="C11" s="179"/>
      <c r="D11" s="107">
        <f>D12</f>
        <v>194.94733</v>
      </c>
      <c r="E11" s="179"/>
      <c r="F11" s="180">
        <f>F12</f>
        <v>30</v>
      </c>
      <c r="G11" s="181"/>
      <c r="H11" s="181"/>
      <c r="I11" s="181"/>
      <c r="J11" s="181"/>
      <c r="K11" s="181"/>
      <c r="L11" s="181"/>
      <c r="M11" s="182" t="s">
        <v>471</v>
      </c>
    </row>
    <row r="12">
      <c r="A12" s="177" t="s">
        <v>101</v>
      </c>
      <c r="B12" s="178"/>
      <c r="C12" s="179"/>
      <c r="D12" s="107">
        <f>SUM(D14:D32)</f>
        <v>194.94733</v>
      </c>
      <c r="E12" s="179"/>
      <c r="F12" s="180">
        <f>SUM(F14:F32)</f>
        <v>30</v>
      </c>
      <c r="G12" s="183"/>
      <c r="H12" s="183"/>
      <c r="I12" s="183"/>
      <c r="J12" s="183"/>
      <c r="K12" s="183"/>
      <c r="L12" s="183"/>
      <c r="M12" s="18"/>
    </row>
    <row r="13">
      <c r="A13" s="177" t="s">
        <v>472</v>
      </c>
      <c r="B13" s="184"/>
      <c r="C13" s="179"/>
      <c r="D13" s="185"/>
      <c r="E13" s="179"/>
      <c r="F13" s="185"/>
      <c r="G13" s="183"/>
      <c r="H13" s="183"/>
      <c r="I13" s="183"/>
      <c r="J13" s="183"/>
      <c r="K13" s="183"/>
      <c r="L13" s="183"/>
      <c r="M13" s="18"/>
    </row>
    <row r="14" ht="36.75" customHeight="1">
      <c r="A14" s="186" t="s">
        <v>124</v>
      </c>
      <c r="B14" s="123" t="s">
        <v>473</v>
      </c>
      <c r="C14" s="187">
        <v>4.0</v>
      </c>
      <c r="D14" s="188">
        <v>51.28204</v>
      </c>
      <c r="E14" s="189"/>
      <c r="F14" s="190"/>
      <c r="G14" s="183"/>
      <c r="H14" s="183"/>
      <c r="I14" s="183"/>
      <c r="J14" s="183"/>
      <c r="K14" s="183"/>
      <c r="L14" s="183"/>
      <c r="M14" s="18"/>
    </row>
    <row r="15">
      <c r="A15" s="186" t="s">
        <v>474</v>
      </c>
      <c r="B15" s="123" t="s">
        <v>473</v>
      </c>
      <c r="C15" s="187">
        <v>4.0</v>
      </c>
      <c r="D15" s="188">
        <v>51.28204</v>
      </c>
      <c r="E15" s="189"/>
      <c r="F15" s="190"/>
      <c r="G15" s="183"/>
      <c r="H15" s="183"/>
      <c r="I15" s="183"/>
      <c r="J15" s="183"/>
      <c r="K15" s="183"/>
      <c r="L15" s="183"/>
      <c r="M15" s="18"/>
    </row>
    <row r="16">
      <c r="A16" s="177" t="s">
        <v>475</v>
      </c>
      <c r="B16" s="184"/>
      <c r="C16" s="179"/>
      <c r="D16" s="185"/>
      <c r="E16" s="179"/>
      <c r="F16" s="185"/>
      <c r="G16" s="183"/>
      <c r="H16" s="183"/>
      <c r="I16" s="183"/>
      <c r="J16" s="183"/>
      <c r="K16" s="183"/>
      <c r="L16" s="183"/>
      <c r="M16" s="18"/>
    </row>
    <row r="17">
      <c r="A17" s="186" t="s">
        <v>476</v>
      </c>
      <c r="B17" s="123" t="s">
        <v>34</v>
      </c>
      <c r="C17" s="115"/>
      <c r="D17" s="116"/>
      <c r="E17" s="179"/>
      <c r="F17" s="185"/>
      <c r="G17" s="183"/>
      <c r="H17" s="183"/>
      <c r="I17" s="183"/>
      <c r="J17" s="183"/>
      <c r="K17" s="183"/>
      <c r="L17" s="183"/>
      <c r="M17" s="18"/>
    </row>
    <row r="18">
      <c r="A18" s="186" t="s">
        <v>477</v>
      </c>
      <c r="B18" s="123" t="s">
        <v>34</v>
      </c>
      <c r="C18" s="187">
        <v>50.0</v>
      </c>
      <c r="D18" s="188">
        <v>3.8095</v>
      </c>
      <c r="E18" s="179"/>
      <c r="F18" s="185"/>
      <c r="G18" s="183"/>
      <c r="H18" s="183"/>
      <c r="I18" s="183"/>
      <c r="J18" s="183"/>
      <c r="K18" s="183"/>
      <c r="L18" s="183"/>
      <c r="M18" s="18"/>
    </row>
    <row r="19" ht="40.5" hidden="1" customHeight="1">
      <c r="A19" s="191" t="s">
        <v>123</v>
      </c>
      <c r="B19" s="123"/>
      <c r="C19" s="187"/>
      <c r="D19" s="188"/>
      <c r="E19" s="189"/>
      <c r="F19" s="190"/>
      <c r="G19" s="183"/>
      <c r="H19" s="183"/>
      <c r="I19" s="183"/>
      <c r="J19" s="183"/>
      <c r="K19" s="183"/>
      <c r="L19" s="183"/>
      <c r="M19" s="18"/>
    </row>
    <row r="20" ht="40.5" hidden="1" customHeight="1">
      <c r="A20" s="191" t="s">
        <v>138</v>
      </c>
      <c r="B20" s="123"/>
      <c r="C20" s="187"/>
      <c r="D20" s="188"/>
      <c r="E20" s="189"/>
      <c r="F20" s="190"/>
      <c r="G20" s="183"/>
      <c r="H20" s="183"/>
      <c r="I20" s="183"/>
      <c r="J20" s="183"/>
      <c r="K20" s="183"/>
      <c r="L20" s="183"/>
      <c r="M20" s="18"/>
    </row>
    <row r="21">
      <c r="A21" s="177" t="s">
        <v>478</v>
      </c>
      <c r="B21" s="184"/>
      <c r="C21" s="179"/>
      <c r="D21" s="185"/>
      <c r="E21" s="179"/>
      <c r="F21" s="185"/>
      <c r="G21" s="183"/>
      <c r="H21" s="183"/>
      <c r="I21" s="183"/>
      <c r="J21" s="183"/>
      <c r="K21" s="183"/>
      <c r="L21" s="183"/>
      <c r="M21" s="18"/>
    </row>
    <row r="22" ht="24.75" customHeight="1">
      <c r="A22" s="186" t="s">
        <v>479</v>
      </c>
      <c r="B22" s="123" t="s">
        <v>473</v>
      </c>
      <c r="C22" s="187">
        <v>1500.0</v>
      </c>
      <c r="D22" s="188">
        <v>19.05</v>
      </c>
      <c r="E22" s="189">
        <v>60.0</v>
      </c>
      <c r="F22" s="190">
        <v>30.0</v>
      </c>
      <c r="G22" s="183"/>
      <c r="H22" s="183"/>
      <c r="I22" s="183"/>
      <c r="J22" s="183"/>
      <c r="K22" s="183"/>
      <c r="L22" s="183"/>
      <c r="M22" s="18"/>
    </row>
    <row r="23" ht="24.0" customHeight="1">
      <c r="A23" s="186" t="s">
        <v>480</v>
      </c>
      <c r="B23" s="123" t="s">
        <v>473</v>
      </c>
      <c r="C23" s="187">
        <v>1125.0</v>
      </c>
      <c r="D23" s="188">
        <v>16.66665</v>
      </c>
      <c r="E23" s="189"/>
      <c r="F23" s="190"/>
      <c r="G23" s="183"/>
      <c r="H23" s="183"/>
      <c r="I23" s="183"/>
      <c r="J23" s="183"/>
      <c r="K23" s="183"/>
      <c r="L23" s="183"/>
      <c r="M23" s="18"/>
    </row>
    <row r="24" ht="33.0" hidden="1" customHeight="1">
      <c r="A24" s="191" t="s">
        <v>191</v>
      </c>
      <c r="B24" s="123"/>
      <c r="C24" s="187"/>
      <c r="D24" s="188"/>
      <c r="E24" s="189"/>
      <c r="F24" s="190"/>
      <c r="G24" s="183"/>
      <c r="H24" s="183"/>
      <c r="I24" s="183"/>
      <c r="J24" s="183"/>
      <c r="K24" s="183"/>
      <c r="L24" s="183"/>
      <c r="M24" s="18"/>
    </row>
    <row r="25">
      <c r="A25" s="177" t="s">
        <v>481</v>
      </c>
      <c r="B25" s="184"/>
      <c r="C25" s="179"/>
      <c r="D25" s="185"/>
      <c r="E25" s="179"/>
      <c r="F25" s="185"/>
      <c r="G25" s="183"/>
      <c r="H25" s="183"/>
      <c r="I25" s="183"/>
      <c r="J25" s="183"/>
      <c r="K25" s="183"/>
      <c r="L25" s="183"/>
      <c r="M25" s="18"/>
    </row>
    <row r="26" ht="15.75" hidden="1" customHeight="1">
      <c r="A26" s="186" t="s">
        <v>482</v>
      </c>
      <c r="B26" s="123" t="s">
        <v>34</v>
      </c>
      <c r="C26" s="115"/>
      <c r="D26" s="116"/>
      <c r="E26" s="179"/>
      <c r="F26" s="185"/>
      <c r="G26" s="183"/>
      <c r="H26" s="183"/>
      <c r="I26" s="183"/>
      <c r="J26" s="183"/>
      <c r="K26" s="183"/>
      <c r="L26" s="183"/>
      <c r="M26" s="18"/>
    </row>
    <row r="27" ht="15.75" hidden="1" customHeight="1">
      <c r="A27" s="186" t="s">
        <v>483</v>
      </c>
      <c r="B27" s="123" t="s">
        <v>34</v>
      </c>
      <c r="C27" s="192"/>
      <c r="D27" s="116"/>
      <c r="E27" s="189"/>
      <c r="F27" s="190"/>
      <c r="G27" s="183"/>
      <c r="H27" s="183"/>
      <c r="I27" s="183"/>
      <c r="J27" s="183"/>
      <c r="K27" s="183"/>
      <c r="L27" s="183"/>
      <c r="M27" s="18"/>
    </row>
    <row r="28">
      <c r="A28" s="186" t="s">
        <v>484</v>
      </c>
      <c r="B28" s="123" t="s">
        <v>34</v>
      </c>
      <c r="C28" s="187">
        <v>10.0</v>
      </c>
      <c r="D28" s="188">
        <v>38.0952</v>
      </c>
      <c r="E28" s="179"/>
      <c r="F28" s="185"/>
      <c r="G28" s="183"/>
      <c r="H28" s="183"/>
      <c r="I28" s="183"/>
      <c r="J28" s="183"/>
      <c r="K28" s="183"/>
      <c r="L28" s="183"/>
      <c r="M28" s="18"/>
    </row>
    <row r="29" ht="15.75" hidden="1" customHeight="1">
      <c r="A29" s="186" t="s">
        <v>485</v>
      </c>
      <c r="B29" s="123" t="s">
        <v>43</v>
      </c>
      <c r="C29" s="115"/>
      <c r="D29" s="116"/>
      <c r="E29" s="179"/>
      <c r="F29" s="185"/>
      <c r="G29" s="183"/>
      <c r="H29" s="183"/>
      <c r="I29" s="183"/>
      <c r="J29" s="183"/>
      <c r="K29" s="183"/>
      <c r="L29" s="183"/>
      <c r="M29" s="18"/>
    </row>
    <row r="30" ht="15.75" hidden="1" customHeight="1">
      <c r="A30" s="186" t="s">
        <v>486</v>
      </c>
      <c r="B30" s="123" t="s">
        <v>43</v>
      </c>
      <c r="C30" s="115"/>
      <c r="D30" s="116"/>
      <c r="E30" s="179"/>
      <c r="F30" s="185"/>
      <c r="G30" s="183"/>
      <c r="H30" s="183"/>
      <c r="I30" s="183"/>
      <c r="J30" s="183"/>
      <c r="K30" s="183"/>
      <c r="L30" s="183"/>
      <c r="M30" s="18"/>
    </row>
    <row r="31" ht="15.75" hidden="1" customHeight="1">
      <c r="A31" s="186" t="s">
        <v>487</v>
      </c>
      <c r="B31" s="123" t="s">
        <v>43</v>
      </c>
      <c r="C31" s="179"/>
      <c r="D31" s="185"/>
      <c r="E31" s="179"/>
      <c r="F31" s="185"/>
      <c r="G31" s="183"/>
      <c r="H31" s="183"/>
      <c r="I31" s="183"/>
      <c r="J31" s="183"/>
      <c r="K31" s="183"/>
      <c r="L31" s="183"/>
      <c r="M31" s="18"/>
    </row>
    <row r="32">
      <c r="A32" s="186" t="s">
        <v>181</v>
      </c>
      <c r="B32" s="123" t="s">
        <v>43</v>
      </c>
      <c r="C32" s="187">
        <v>5.0</v>
      </c>
      <c r="D32" s="188">
        <v>14.7619</v>
      </c>
      <c r="E32" s="179"/>
      <c r="F32" s="185"/>
      <c r="G32" s="183"/>
      <c r="H32" s="183"/>
      <c r="I32" s="183"/>
      <c r="J32" s="183"/>
      <c r="K32" s="183"/>
      <c r="L32" s="183"/>
      <c r="M32" s="18"/>
    </row>
    <row r="33" ht="15.75" hidden="1" customHeight="1">
      <c r="A33" s="193" t="s">
        <v>488</v>
      </c>
      <c r="B33" s="184"/>
      <c r="C33" s="179"/>
      <c r="D33" s="185"/>
      <c r="E33" s="179"/>
      <c r="F33" s="185"/>
      <c r="G33" s="183"/>
      <c r="H33" s="183"/>
      <c r="I33" s="183"/>
      <c r="J33" s="183"/>
      <c r="K33" s="183"/>
      <c r="L33" s="183"/>
      <c r="M33" s="18"/>
    </row>
    <row r="34" ht="15.75" customHeight="1">
      <c r="A34" s="184"/>
      <c r="B34" s="184"/>
      <c r="C34" s="179"/>
      <c r="D34" s="185"/>
      <c r="E34" s="179"/>
      <c r="F34" s="185"/>
      <c r="G34" s="183"/>
      <c r="H34" s="183"/>
      <c r="I34" s="183"/>
      <c r="J34" s="183"/>
      <c r="K34" s="183"/>
      <c r="L34" s="183"/>
      <c r="M34" s="18"/>
    </row>
    <row r="35" ht="43.5" customHeight="1">
      <c r="A35" s="177" t="s">
        <v>352</v>
      </c>
      <c r="B35" s="184"/>
      <c r="C35" s="179"/>
      <c r="D35" s="107">
        <f>D36</f>
        <v>0</v>
      </c>
      <c r="E35" s="179"/>
      <c r="F35" s="180">
        <f>F36</f>
        <v>2762</v>
      </c>
      <c r="G35" s="183"/>
      <c r="H35" s="183"/>
      <c r="I35" s="183"/>
      <c r="J35" s="183"/>
      <c r="K35" s="183"/>
      <c r="L35" s="183"/>
      <c r="M35" s="18"/>
    </row>
    <row r="36">
      <c r="A36" s="177" t="s">
        <v>353</v>
      </c>
      <c r="B36" s="184"/>
      <c r="C36" s="179"/>
      <c r="D36" s="107">
        <f>SUM(D37:D45)</f>
        <v>0</v>
      </c>
      <c r="E36" s="179"/>
      <c r="F36" s="180">
        <f>SUM(F38:F45)</f>
        <v>2762</v>
      </c>
      <c r="G36" s="183"/>
      <c r="H36" s="183"/>
      <c r="I36" s="183"/>
      <c r="J36" s="183"/>
      <c r="K36" s="183"/>
      <c r="L36" s="183"/>
      <c r="M36" s="18"/>
    </row>
    <row r="37">
      <c r="A37" s="177" t="s">
        <v>489</v>
      </c>
      <c r="B37" s="184"/>
      <c r="C37" s="179"/>
      <c r="D37" s="185"/>
      <c r="E37" s="179"/>
      <c r="F37" s="185"/>
      <c r="G37" s="183"/>
      <c r="H37" s="183"/>
      <c r="I37" s="183"/>
      <c r="J37" s="183"/>
      <c r="K37" s="183"/>
      <c r="L37" s="183"/>
      <c r="M37" s="18"/>
    </row>
    <row r="38">
      <c r="A38" s="186" t="s">
        <v>264</v>
      </c>
      <c r="B38" s="123" t="s">
        <v>43</v>
      </c>
      <c r="C38" s="115"/>
      <c r="D38" s="116"/>
      <c r="E38" s="189">
        <v>1.0</v>
      </c>
      <c r="F38" s="190">
        <v>47.0</v>
      </c>
      <c r="G38" s="183"/>
      <c r="H38" s="183"/>
      <c r="I38" s="183"/>
      <c r="J38" s="183"/>
      <c r="K38" s="183"/>
      <c r="L38" s="183"/>
      <c r="M38" s="18"/>
    </row>
    <row r="39">
      <c r="A39" s="186" t="s">
        <v>490</v>
      </c>
      <c r="B39" s="123" t="s">
        <v>43</v>
      </c>
      <c r="C39" s="115"/>
      <c r="D39" s="116"/>
      <c r="E39" s="189"/>
      <c r="F39" s="190"/>
      <c r="G39" s="183"/>
      <c r="H39" s="183"/>
      <c r="I39" s="183"/>
      <c r="J39" s="183"/>
      <c r="K39" s="183"/>
      <c r="L39" s="183"/>
      <c r="M39" s="18"/>
    </row>
    <row r="40">
      <c r="A40" s="194" t="s">
        <v>491</v>
      </c>
      <c r="B40" s="184"/>
      <c r="C40" s="179"/>
      <c r="D40" s="185"/>
      <c r="E40" s="189">
        <v>1.0</v>
      </c>
      <c r="F40" s="190">
        <v>100.0</v>
      </c>
      <c r="G40" s="183"/>
      <c r="H40" s="183"/>
      <c r="I40" s="183"/>
      <c r="J40" s="183"/>
      <c r="K40" s="183"/>
      <c r="L40" s="183"/>
      <c r="M40" s="18"/>
    </row>
    <row r="41">
      <c r="A41" s="177" t="s">
        <v>492</v>
      </c>
      <c r="B41" s="184"/>
      <c r="C41" s="179"/>
      <c r="D41" s="185"/>
      <c r="E41" s="179"/>
      <c r="F41" s="185"/>
      <c r="G41" s="183"/>
      <c r="H41" s="183"/>
      <c r="I41" s="183"/>
      <c r="J41" s="183"/>
      <c r="K41" s="183"/>
      <c r="L41" s="183"/>
      <c r="M41" s="18"/>
    </row>
    <row r="42">
      <c r="A42" s="186" t="s">
        <v>493</v>
      </c>
      <c r="B42" s="123" t="s">
        <v>43</v>
      </c>
      <c r="C42" s="115"/>
      <c r="D42" s="116"/>
      <c r="E42" s="189">
        <v>1.0</v>
      </c>
      <c r="F42" s="190">
        <v>315.0</v>
      </c>
      <c r="G42" s="183"/>
      <c r="H42" s="183"/>
      <c r="I42" s="183"/>
      <c r="J42" s="183"/>
      <c r="K42" s="183"/>
      <c r="L42" s="183"/>
      <c r="M42" s="18"/>
    </row>
    <row r="43">
      <c r="A43" s="186" t="s">
        <v>494</v>
      </c>
      <c r="B43" s="123" t="s">
        <v>43</v>
      </c>
      <c r="C43" s="115"/>
      <c r="D43" s="116"/>
      <c r="E43" s="189">
        <v>1.0</v>
      </c>
      <c r="F43" s="190">
        <v>300.0</v>
      </c>
      <c r="G43" s="183"/>
      <c r="H43" s="183"/>
      <c r="I43" s="183"/>
      <c r="J43" s="183"/>
      <c r="K43" s="183"/>
      <c r="L43" s="183"/>
      <c r="M43" s="18"/>
    </row>
    <row r="44">
      <c r="A44" s="186" t="s">
        <v>495</v>
      </c>
      <c r="B44" s="123" t="s">
        <v>43</v>
      </c>
      <c r="C44" s="115"/>
      <c r="D44" s="116"/>
      <c r="E44" s="189">
        <v>1.0</v>
      </c>
      <c r="F44" s="190">
        <v>2000.0</v>
      </c>
      <c r="G44" s="183"/>
      <c r="H44" s="183"/>
      <c r="I44" s="183"/>
      <c r="J44" s="183"/>
      <c r="K44" s="183"/>
      <c r="L44" s="183"/>
      <c r="M44" s="18"/>
    </row>
    <row r="45">
      <c r="A45" s="186" t="s">
        <v>223</v>
      </c>
      <c r="B45" s="123" t="s">
        <v>43</v>
      </c>
      <c r="C45" s="115"/>
      <c r="D45" s="116"/>
      <c r="E45" s="179"/>
      <c r="F45" s="185"/>
      <c r="G45" s="183"/>
      <c r="H45" s="183"/>
      <c r="I45" s="183"/>
      <c r="J45" s="183"/>
      <c r="K45" s="183"/>
      <c r="L45" s="183"/>
      <c r="M45" s="18"/>
    </row>
    <row r="46" ht="15.75" hidden="1" customHeight="1">
      <c r="A46" s="193" t="s">
        <v>496</v>
      </c>
      <c r="B46" s="184"/>
      <c r="C46" s="179"/>
      <c r="D46" s="185"/>
      <c r="E46" s="179"/>
      <c r="F46" s="185"/>
      <c r="G46" s="183"/>
      <c r="H46" s="183"/>
      <c r="I46" s="183"/>
      <c r="J46" s="183"/>
      <c r="K46" s="183"/>
      <c r="L46" s="183"/>
      <c r="M46" s="18"/>
    </row>
    <row r="47" ht="15.75" customHeight="1">
      <c r="A47" s="193"/>
      <c r="B47" s="184"/>
      <c r="C47" s="179"/>
      <c r="D47" s="185"/>
      <c r="E47" s="179"/>
      <c r="F47" s="185"/>
      <c r="G47" s="183"/>
      <c r="H47" s="183"/>
      <c r="I47" s="183"/>
      <c r="J47" s="183"/>
      <c r="K47" s="183"/>
      <c r="L47" s="183"/>
      <c r="M47" s="25"/>
    </row>
    <row r="48">
      <c r="A48" s="146" t="s">
        <v>76</v>
      </c>
      <c r="B48" s="184"/>
      <c r="C48" s="179"/>
      <c r="D48" s="107">
        <f>D35+D11</f>
        <v>194.94733</v>
      </c>
      <c r="E48" s="107"/>
      <c r="F48" s="107">
        <f>F35+F11</f>
        <v>2792</v>
      </c>
      <c r="G48" s="107"/>
      <c r="H48" s="107">
        <f>H35+H11</f>
        <v>0</v>
      </c>
      <c r="I48" s="107"/>
      <c r="J48" s="107">
        <f>J35+J11</f>
        <v>0</v>
      </c>
      <c r="K48" s="107"/>
      <c r="L48" s="107">
        <f>L35+L11</f>
        <v>0</v>
      </c>
      <c r="M48" s="107"/>
    </row>
    <row r="49" ht="15.75" customHeight="1">
      <c r="A49" s="89"/>
      <c r="B49" s="89"/>
      <c r="C49" s="89"/>
      <c r="D49" s="89"/>
      <c r="E49" s="176"/>
      <c r="F49" s="176"/>
      <c r="G49" s="89"/>
      <c r="H49" s="89"/>
      <c r="I49" s="89"/>
      <c r="J49" s="89"/>
      <c r="K49" s="89"/>
      <c r="L49" s="89"/>
      <c r="M49" s="89"/>
    </row>
    <row r="50" ht="22.5" customHeight="1">
      <c r="A50" s="147" t="s">
        <v>77</v>
      </c>
      <c r="B50" s="150"/>
      <c r="C50" s="151"/>
      <c r="D50" s="152"/>
      <c r="E50" s="153" t="s">
        <v>466</v>
      </c>
      <c r="F50" s="154"/>
      <c r="G50" s="154"/>
      <c r="H50" s="154"/>
      <c r="I50" s="154"/>
      <c r="J50" s="154"/>
      <c r="K50" s="154"/>
      <c r="L50" s="155" t="s">
        <v>467</v>
      </c>
      <c r="M50" s="154"/>
    </row>
    <row r="51" ht="15.75" customHeight="1">
      <c r="A51" s="68"/>
      <c r="B51" s="150"/>
      <c r="C51" s="151"/>
      <c r="D51" s="152"/>
      <c r="E51" s="151"/>
      <c r="F51" s="154"/>
      <c r="G51" s="154"/>
      <c r="H51" s="154"/>
      <c r="I51" s="154"/>
      <c r="J51" s="154"/>
      <c r="K51" s="154"/>
      <c r="L51" s="156"/>
      <c r="M51" s="154"/>
    </row>
    <row r="52" ht="15.75" customHeight="1">
      <c r="A52" s="68"/>
      <c r="B52" s="150"/>
      <c r="C52" s="151"/>
      <c r="D52" s="152"/>
      <c r="E52" s="151"/>
      <c r="F52" s="154"/>
      <c r="G52" s="154"/>
      <c r="H52" s="154"/>
      <c r="I52" s="154"/>
      <c r="J52" s="154"/>
      <c r="K52" s="154"/>
      <c r="L52" s="156"/>
      <c r="M52" s="154"/>
    </row>
    <row r="53" ht="15.75" customHeight="1">
      <c r="A53" s="152"/>
      <c r="B53" s="150"/>
      <c r="C53" s="151"/>
      <c r="D53" s="152"/>
      <c r="E53" s="151"/>
      <c r="F53" s="150"/>
      <c r="G53" s="150"/>
      <c r="H53" s="150"/>
      <c r="I53" s="154"/>
      <c r="J53" s="150"/>
      <c r="K53" s="150"/>
      <c r="L53" s="156"/>
      <c r="M53" s="150"/>
    </row>
    <row r="54">
      <c r="A54" s="68"/>
      <c r="B54" s="150"/>
      <c r="C54" s="151"/>
      <c r="D54" s="152"/>
      <c r="E54" s="151"/>
      <c r="F54" s="150"/>
      <c r="G54" s="150"/>
      <c r="H54" s="150"/>
      <c r="I54" s="154"/>
      <c r="J54" s="150"/>
      <c r="K54" s="150"/>
      <c r="L54" s="156"/>
      <c r="M54" s="150"/>
    </row>
    <row r="55" ht="21.0" customHeight="1">
      <c r="A55" s="157" t="s">
        <v>82</v>
      </c>
      <c r="B55" s="150"/>
      <c r="C55" s="151"/>
      <c r="D55" s="152"/>
      <c r="E55" s="158" t="s">
        <v>83</v>
      </c>
      <c r="F55" s="150"/>
      <c r="G55" s="150"/>
      <c r="H55" s="150"/>
      <c r="I55" s="154"/>
      <c r="J55" s="150"/>
      <c r="K55" s="150"/>
      <c r="L55" s="159" t="s">
        <v>84</v>
      </c>
      <c r="M55" s="150"/>
    </row>
    <row r="56">
      <c r="A56" s="160" t="s">
        <v>468</v>
      </c>
      <c r="B56" s="150"/>
      <c r="C56" s="151"/>
      <c r="D56" s="152"/>
      <c r="E56" s="153" t="s">
        <v>87</v>
      </c>
      <c r="F56" s="150"/>
      <c r="G56" s="150"/>
      <c r="H56" s="150"/>
      <c r="I56" s="154"/>
      <c r="J56" s="150"/>
      <c r="K56" s="150"/>
      <c r="L56" s="161" t="s">
        <v>88</v>
      </c>
      <c r="M56" s="150"/>
    </row>
    <row r="57" ht="21.0" customHeight="1">
      <c r="A57" s="162"/>
      <c r="B57" s="163"/>
      <c r="C57" s="164"/>
      <c r="D57" s="164"/>
      <c r="E57" s="195"/>
      <c r="F57" s="195"/>
      <c r="G57" s="150"/>
      <c r="H57" s="150"/>
      <c r="I57" s="150"/>
      <c r="J57" s="150"/>
      <c r="K57" s="150"/>
      <c r="L57" s="150"/>
      <c r="M57" s="150"/>
    </row>
    <row r="58" ht="15.75" customHeight="1">
      <c r="A58" s="89"/>
      <c r="B58" s="89"/>
      <c r="C58" s="89"/>
      <c r="D58" s="89"/>
      <c r="E58" s="176"/>
      <c r="F58" s="176"/>
      <c r="G58" s="64"/>
      <c r="H58" s="89"/>
      <c r="I58" s="89"/>
      <c r="J58" s="89"/>
      <c r="K58" s="89"/>
      <c r="L58" s="89"/>
      <c r="M58" s="89"/>
    </row>
    <row r="59" ht="15.75" customHeight="1">
      <c r="B59" s="150"/>
      <c r="C59" s="89"/>
      <c r="D59" s="89"/>
      <c r="E59" s="176"/>
      <c r="F59" s="176"/>
      <c r="G59" s="89"/>
      <c r="H59" s="89"/>
      <c r="I59" s="89"/>
      <c r="J59" s="89"/>
      <c r="K59" s="89"/>
      <c r="L59" s="89"/>
      <c r="M59" s="89"/>
    </row>
    <row r="60" ht="15.75" customHeight="1">
      <c r="B60" s="196"/>
      <c r="C60" s="89"/>
      <c r="D60" s="89"/>
      <c r="E60" s="176"/>
      <c r="F60" s="176"/>
      <c r="G60" s="89"/>
      <c r="H60" s="89"/>
      <c r="I60" s="89"/>
      <c r="J60" s="89"/>
      <c r="K60" s="89"/>
      <c r="L60" s="89"/>
      <c r="M60" s="89"/>
    </row>
    <row r="61" ht="15.75" customHeight="1">
      <c r="B61" s="196"/>
      <c r="C61" s="89"/>
      <c r="D61" s="89"/>
      <c r="E61" s="176"/>
      <c r="F61" s="176"/>
      <c r="G61" s="89"/>
      <c r="H61" s="89"/>
      <c r="I61" s="89"/>
      <c r="J61" s="89"/>
      <c r="K61" s="89"/>
      <c r="L61" s="89"/>
      <c r="M61" s="89"/>
    </row>
    <row r="62" ht="15.75" customHeight="1">
      <c r="B62" s="196"/>
      <c r="C62" s="89"/>
      <c r="D62" s="89"/>
      <c r="E62" s="176"/>
      <c r="F62" s="176"/>
      <c r="G62" s="89"/>
      <c r="H62" s="89"/>
      <c r="I62" s="89"/>
      <c r="J62" s="89"/>
      <c r="K62" s="89"/>
      <c r="L62" s="89"/>
      <c r="M62" s="89"/>
    </row>
    <row r="63" ht="15.75" customHeight="1">
      <c r="B63" s="196"/>
      <c r="C63" s="89"/>
      <c r="D63" s="89"/>
      <c r="E63" s="176"/>
      <c r="F63" s="176"/>
      <c r="G63" s="89"/>
      <c r="H63" s="89"/>
      <c r="I63" s="89"/>
      <c r="J63" s="89"/>
      <c r="K63" s="89"/>
      <c r="L63" s="89"/>
      <c r="M63" s="89"/>
    </row>
    <row r="64" ht="15.75" customHeight="1">
      <c r="B64" s="150"/>
      <c r="C64" s="89"/>
      <c r="D64" s="89"/>
      <c r="E64" s="176"/>
      <c r="F64" s="176"/>
      <c r="G64" s="89"/>
      <c r="H64" s="89"/>
      <c r="I64" s="89"/>
      <c r="J64" s="89"/>
      <c r="K64" s="89"/>
      <c r="L64" s="89"/>
      <c r="M64" s="89"/>
    </row>
    <row r="65" ht="15.75" customHeight="1">
      <c r="B65" s="150"/>
      <c r="C65" s="89"/>
      <c r="D65" s="89"/>
      <c r="E65" s="176"/>
      <c r="F65" s="176"/>
      <c r="G65" s="89"/>
      <c r="H65" s="89"/>
      <c r="I65" s="89"/>
      <c r="J65" s="89"/>
      <c r="K65" s="89"/>
      <c r="L65" s="89"/>
      <c r="M65" s="89"/>
    </row>
    <row r="66" ht="15.75" customHeight="1">
      <c r="A66" s="89"/>
      <c r="B66" s="89"/>
      <c r="C66" s="89"/>
      <c r="D66" s="89"/>
      <c r="E66" s="176"/>
      <c r="F66" s="176"/>
      <c r="G66" s="89"/>
      <c r="H66" s="89"/>
      <c r="I66" s="89"/>
      <c r="J66" s="89"/>
      <c r="K66" s="89"/>
      <c r="L66" s="89"/>
      <c r="M66" s="89"/>
    </row>
    <row r="67" ht="15.75" customHeight="1">
      <c r="A67" s="89"/>
      <c r="B67" s="89"/>
      <c r="C67" s="89"/>
      <c r="D67" s="89"/>
      <c r="E67" s="176"/>
      <c r="F67" s="176"/>
      <c r="G67" s="89"/>
      <c r="H67" s="89"/>
      <c r="I67" s="89"/>
      <c r="J67" s="89"/>
      <c r="K67" s="89"/>
      <c r="L67" s="89"/>
      <c r="M67" s="89"/>
    </row>
    <row r="68" ht="15.75" customHeight="1">
      <c r="A68" s="89"/>
      <c r="B68" s="89"/>
      <c r="C68" s="89"/>
      <c r="D68" s="89"/>
      <c r="E68" s="176"/>
      <c r="F68" s="176"/>
      <c r="G68" s="89"/>
      <c r="H68" s="89"/>
      <c r="I68" s="89"/>
      <c r="J68" s="89"/>
      <c r="K68" s="89"/>
      <c r="L68" s="89"/>
      <c r="M68" s="89"/>
    </row>
    <row r="69" ht="15.75" customHeight="1">
      <c r="A69" s="89"/>
      <c r="B69" s="89"/>
      <c r="C69" s="89"/>
      <c r="D69" s="89"/>
      <c r="E69" s="176"/>
      <c r="F69" s="176"/>
      <c r="G69" s="89"/>
      <c r="H69" s="89"/>
      <c r="I69" s="89"/>
      <c r="J69" s="89"/>
      <c r="K69" s="89"/>
      <c r="L69" s="89"/>
      <c r="M69" s="89"/>
    </row>
    <row r="70" ht="15.75" customHeight="1">
      <c r="A70" s="89"/>
      <c r="B70" s="89"/>
      <c r="C70" s="89"/>
      <c r="D70" s="89"/>
      <c r="E70" s="176"/>
      <c r="F70" s="176"/>
      <c r="G70" s="89"/>
      <c r="H70" s="89"/>
      <c r="I70" s="89"/>
      <c r="J70" s="89"/>
      <c r="K70" s="89"/>
      <c r="L70" s="89"/>
      <c r="M70" s="89"/>
    </row>
    <row r="71" ht="15.75" customHeight="1">
      <c r="A71" s="89"/>
      <c r="B71" s="89"/>
      <c r="C71" s="89"/>
      <c r="D71" s="89"/>
      <c r="E71" s="176"/>
      <c r="F71" s="176"/>
      <c r="G71" s="89"/>
      <c r="H71" s="89"/>
      <c r="I71" s="89"/>
      <c r="J71" s="89"/>
      <c r="K71" s="89"/>
      <c r="L71" s="89"/>
      <c r="M71" s="89"/>
    </row>
    <row r="72" ht="15.75" customHeight="1">
      <c r="A72" s="89"/>
      <c r="B72" s="89"/>
      <c r="C72" s="89"/>
      <c r="D72" s="89"/>
      <c r="E72" s="176"/>
      <c r="F72" s="176"/>
      <c r="G72" s="89"/>
      <c r="H72" s="89"/>
      <c r="I72" s="89"/>
      <c r="J72" s="89"/>
      <c r="K72" s="89"/>
      <c r="L72" s="89"/>
      <c r="M72" s="89"/>
    </row>
    <row r="73" ht="15.75" customHeight="1">
      <c r="A73" s="89"/>
      <c r="B73" s="89"/>
      <c r="C73" s="89"/>
      <c r="D73" s="89"/>
      <c r="E73" s="176"/>
      <c r="F73" s="176"/>
      <c r="G73" s="89"/>
      <c r="H73" s="89"/>
      <c r="I73" s="89"/>
      <c r="J73" s="89"/>
      <c r="K73" s="89"/>
      <c r="L73" s="89"/>
      <c r="M73" s="89"/>
    </row>
    <row r="74" ht="15.75" customHeight="1">
      <c r="A74" s="89"/>
      <c r="B74" s="89"/>
      <c r="C74" s="89"/>
      <c r="D74" s="89"/>
      <c r="E74" s="176"/>
      <c r="F74" s="176"/>
      <c r="G74" s="89"/>
      <c r="H74" s="89"/>
      <c r="I74" s="89"/>
      <c r="J74" s="89"/>
      <c r="K74" s="89"/>
      <c r="L74" s="89"/>
      <c r="M74" s="89"/>
    </row>
    <row r="75" ht="15.75" customHeight="1">
      <c r="A75" s="89"/>
      <c r="B75" s="89"/>
      <c r="C75" s="89"/>
      <c r="D75" s="89"/>
      <c r="E75" s="176"/>
      <c r="F75" s="176"/>
      <c r="G75" s="89"/>
      <c r="H75" s="89"/>
      <c r="I75" s="89"/>
      <c r="J75" s="89"/>
      <c r="K75" s="89"/>
      <c r="L75" s="89"/>
      <c r="M75" s="89"/>
    </row>
    <row r="76" ht="15.75" customHeight="1">
      <c r="A76" s="89"/>
      <c r="B76" s="89"/>
      <c r="C76" s="89"/>
      <c r="D76" s="89"/>
      <c r="E76" s="176"/>
      <c r="F76" s="176"/>
      <c r="G76" s="89"/>
      <c r="H76" s="89"/>
      <c r="I76" s="89"/>
      <c r="J76" s="89"/>
      <c r="K76" s="89"/>
      <c r="L76" s="89"/>
      <c r="M76" s="89"/>
    </row>
    <row r="77" ht="15.75" customHeight="1">
      <c r="A77" s="89"/>
      <c r="B77" s="89"/>
      <c r="C77" s="89"/>
      <c r="D77" s="89"/>
      <c r="E77" s="176"/>
      <c r="F77" s="176"/>
      <c r="G77" s="89"/>
      <c r="H77" s="89"/>
      <c r="I77" s="89"/>
      <c r="J77" s="89"/>
      <c r="K77" s="89"/>
      <c r="L77" s="89"/>
      <c r="M77" s="89"/>
    </row>
    <row r="78" ht="15.75" customHeight="1">
      <c r="A78" s="89"/>
      <c r="B78" s="89"/>
      <c r="C78" s="89"/>
      <c r="D78" s="89"/>
      <c r="E78" s="176"/>
      <c r="F78" s="176"/>
      <c r="G78" s="89"/>
      <c r="H78" s="89"/>
      <c r="I78" s="89"/>
      <c r="J78" s="89"/>
      <c r="K78" s="89"/>
      <c r="L78" s="89"/>
      <c r="M78" s="89"/>
    </row>
    <row r="79" ht="15.75" customHeight="1">
      <c r="A79" s="89"/>
      <c r="B79" s="89"/>
      <c r="C79" s="89"/>
      <c r="D79" s="89"/>
      <c r="E79" s="176"/>
      <c r="F79" s="176"/>
      <c r="G79" s="89"/>
      <c r="H79" s="89"/>
      <c r="I79" s="89"/>
      <c r="J79" s="89"/>
      <c r="K79" s="89"/>
      <c r="L79" s="89"/>
      <c r="M79" s="89"/>
    </row>
    <row r="80" ht="15.75" customHeight="1">
      <c r="A80" s="89"/>
      <c r="B80" s="89"/>
      <c r="C80" s="89"/>
      <c r="D80" s="89"/>
      <c r="E80" s="176"/>
      <c r="F80" s="176"/>
      <c r="G80" s="89"/>
      <c r="H80" s="89"/>
      <c r="I80" s="89"/>
      <c r="J80" s="89"/>
      <c r="K80" s="89"/>
      <c r="L80" s="89"/>
      <c r="M80" s="89"/>
    </row>
    <row r="81" ht="15.75" customHeight="1">
      <c r="A81" s="89"/>
      <c r="B81" s="89"/>
      <c r="C81" s="89"/>
      <c r="D81" s="89"/>
      <c r="E81" s="176"/>
      <c r="F81" s="176"/>
      <c r="G81" s="89"/>
      <c r="H81" s="89"/>
      <c r="I81" s="89"/>
      <c r="J81" s="89"/>
      <c r="K81" s="89"/>
      <c r="L81" s="89"/>
      <c r="M81" s="89"/>
    </row>
    <row r="82" ht="15.75" customHeight="1">
      <c r="A82" s="89"/>
      <c r="B82" s="89"/>
      <c r="C82" s="89"/>
      <c r="D82" s="89"/>
      <c r="E82" s="176"/>
      <c r="F82" s="176"/>
      <c r="G82" s="89"/>
      <c r="H82" s="89"/>
      <c r="I82" s="89"/>
      <c r="J82" s="89"/>
      <c r="K82" s="89"/>
      <c r="L82" s="89"/>
      <c r="M82" s="89"/>
    </row>
    <row r="83" ht="15.75" customHeight="1">
      <c r="A83" s="89"/>
      <c r="B83" s="89"/>
      <c r="C83" s="89"/>
      <c r="D83" s="89"/>
      <c r="E83" s="176"/>
      <c r="F83" s="176"/>
      <c r="G83" s="89"/>
      <c r="H83" s="89"/>
      <c r="I83" s="89"/>
      <c r="J83" s="89"/>
      <c r="K83" s="89"/>
      <c r="L83" s="89"/>
      <c r="M83" s="89"/>
    </row>
    <row r="84" ht="15.75" customHeight="1">
      <c r="A84" s="89"/>
      <c r="B84" s="89"/>
      <c r="C84" s="89"/>
      <c r="D84" s="89"/>
      <c r="E84" s="176"/>
      <c r="F84" s="176"/>
      <c r="G84" s="89"/>
      <c r="H84" s="89"/>
      <c r="I84" s="89"/>
      <c r="J84" s="89"/>
      <c r="K84" s="89"/>
      <c r="L84" s="89"/>
      <c r="M84" s="89"/>
    </row>
    <row r="85" ht="15.75" customHeight="1">
      <c r="A85" s="89"/>
      <c r="B85" s="89"/>
      <c r="C85" s="89"/>
      <c r="D85" s="89"/>
      <c r="E85" s="176"/>
      <c r="F85" s="176"/>
      <c r="G85" s="89"/>
      <c r="H85" s="89"/>
      <c r="I85" s="89"/>
      <c r="J85" s="89"/>
      <c r="K85" s="89"/>
      <c r="L85" s="89"/>
      <c r="M85" s="89"/>
    </row>
    <row r="86" ht="15.75" customHeight="1">
      <c r="A86" s="89"/>
      <c r="B86" s="89"/>
      <c r="C86" s="89"/>
      <c r="D86" s="89"/>
      <c r="E86" s="176"/>
      <c r="F86" s="176"/>
      <c r="G86" s="89"/>
      <c r="H86" s="89"/>
      <c r="I86" s="89"/>
      <c r="J86" s="89"/>
      <c r="K86" s="89"/>
      <c r="L86" s="89"/>
      <c r="M86" s="89"/>
    </row>
    <row r="87" ht="15.75" customHeight="1">
      <c r="A87" s="89"/>
      <c r="B87" s="89"/>
      <c r="C87" s="89"/>
      <c r="D87" s="89"/>
      <c r="E87" s="176"/>
      <c r="F87" s="176"/>
      <c r="G87" s="89"/>
      <c r="H87" s="89"/>
      <c r="I87" s="89"/>
      <c r="J87" s="89"/>
      <c r="K87" s="89"/>
      <c r="L87" s="89"/>
      <c r="M87" s="89"/>
    </row>
    <row r="88" ht="15.75" customHeight="1">
      <c r="A88" s="89"/>
      <c r="B88" s="89"/>
      <c r="C88" s="89"/>
      <c r="D88" s="89"/>
      <c r="E88" s="176"/>
      <c r="F88" s="176"/>
      <c r="G88" s="89"/>
      <c r="H88" s="89"/>
      <c r="I88" s="89"/>
      <c r="J88" s="89"/>
      <c r="K88" s="89"/>
      <c r="L88" s="89"/>
      <c r="M88" s="89"/>
    </row>
    <row r="89" ht="15.75" customHeight="1">
      <c r="A89" s="89"/>
      <c r="B89" s="89"/>
      <c r="C89" s="89"/>
      <c r="D89" s="89"/>
      <c r="E89" s="176"/>
      <c r="F89" s="176"/>
      <c r="G89" s="89"/>
      <c r="H89" s="89"/>
      <c r="I89" s="89"/>
      <c r="J89" s="89"/>
      <c r="K89" s="89"/>
      <c r="L89" s="89"/>
      <c r="M89" s="89"/>
    </row>
    <row r="90" ht="15.75" customHeight="1">
      <c r="A90" s="89"/>
      <c r="B90" s="89"/>
      <c r="C90" s="89"/>
      <c r="D90" s="89"/>
      <c r="E90" s="176"/>
      <c r="F90" s="176"/>
      <c r="G90" s="89"/>
      <c r="H90" s="89"/>
      <c r="I90" s="89"/>
      <c r="J90" s="89"/>
      <c r="K90" s="89"/>
      <c r="L90" s="89"/>
      <c r="M90" s="89"/>
    </row>
    <row r="91" ht="15.75" customHeight="1">
      <c r="A91" s="89"/>
      <c r="B91" s="89"/>
      <c r="C91" s="89"/>
      <c r="D91" s="89"/>
      <c r="E91" s="176"/>
      <c r="F91" s="176"/>
      <c r="G91" s="89"/>
      <c r="H91" s="89"/>
      <c r="I91" s="89"/>
      <c r="J91" s="89"/>
      <c r="K91" s="89"/>
      <c r="L91" s="89"/>
      <c r="M91" s="89"/>
    </row>
    <row r="92" ht="15.75" customHeight="1">
      <c r="A92" s="89"/>
      <c r="B92" s="89"/>
      <c r="C92" s="89"/>
      <c r="D92" s="89"/>
      <c r="E92" s="176"/>
      <c r="F92" s="176"/>
      <c r="G92" s="89"/>
      <c r="H92" s="89"/>
      <c r="I92" s="89"/>
      <c r="J92" s="89"/>
      <c r="K92" s="89"/>
      <c r="L92" s="89"/>
      <c r="M92" s="89"/>
    </row>
    <row r="93" ht="15.75" customHeight="1">
      <c r="A93" s="89"/>
      <c r="B93" s="89"/>
      <c r="C93" s="89"/>
      <c r="D93" s="89"/>
      <c r="E93" s="176"/>
      <c r="F93" s="176"/>
      <c r="G93" s="89"/>
      <c r="H93" s="89"/>
      <c r="I93" s="89"/>
      <c r="J93" s="89"/>
      <c r="K93" s="89"/>
      <c r="L93" s="89"/>
      <c r="M93" s="89"/>
    </row>
    <row r="94" ht="15.75" customHeight="1">
      <c r="A94" s="89"/>
      <c r="B94" s="89"/>
      <c r="C94" s="89"/>
      <c r="D94" s="89"/>
      <c r="E94" s="176"/>
      <c r="F94" s="176"/>
      <c r="G94" s="89"/>
      <c r="H94" s="89"/>
      <c r="I94" s="89"/>
      <c r="J94" s="89"/>
      <c r="K94" s="89"/>
      <c r="L94" s="89"/>
      <c r="M94" s="89"/>
    </row>
    <row r="95" ht="15.75" customHeight="1">
      <c r="A95" s="89"/>
      <c r="B95" s="89"/>
      <c r="C95" s="89"/>
      <c r="D95" s="89"/>
      <c r="E95" s="176"/>
      <c r="F95" s="176"/>
      <c r="G95" s="89"/>
      <c r="H95" s="89"/>
      <c r="I95" s="89"/>
      <c r="J95" s="89"/>
      <c r="K95" s="89"/>
      <c r="L95" s="89"/>
      <c r="M95" s="89"/>
    </row>
    <row r="96" ht="15.75" customHeight="1">
      <c r="A96" s="89"/>
      <c r="B96" s="89"/>
      <c r="C96" s="89"/>
      <c r="D96" s="89"/>
      <c r="E96" s="176"/>
      <c r="F96" s="176"/>
      <c r="G96" s="89"/>
      <c r="H96" s="89"/>
      <c r="I96" s="89"/>
      <c r="J96" s="89"/>
      <c r="K96" s="89"/>
      <c r="L96" s="89"/>
      <c r="M96" s="89"/>
    </row>
    <row r="97" ht="15.75" customHeight="1">
      <c r="A97" s="89"/>
      <c r="B97" s="89"/>
      <c r="C97" s="89"/>
      <c r="D97" s="89"/>
      <c r="E97" s="176"/>
      <c r="F97" s="176"/>
      <c r="G97" s="89"/>
      <c r="H97" s="89"/>
      <c r="I97" s="89"/>
      <c r="J97" s="89"/>
      <c r="K97" s="89"/>
      <c r="L97" s="89"/>
      <c r="M97" s="89"/>
    </row>
    <row r="98" ht="15.75" customHeight="1">
      <c r="A98" s="89"/>
      <c r="B98" s="89"/>
      <c r="C98" s="89"/>
      <c r="D98" s="89"/>
      <c r="E98" s="176"/>
      <c r="F98" s="176"/>
      <c r="G98" s="89"/>
      <c r="H98" s="89"/>
      <c r="I98" s="89"/>
      <c r="J98" s="89"/>
      <c r="K98" s="89"/>
      <c r="L98" s="89"/>
      <c r="M98" s="89"/>
    </row>
    <row r="99" ht="15.75" customHeight="1">
      <c r="A99" s="89"/>
      <c r="B99" s="89"/>
      <c r="C99" s="89"/>
      <c r="D99" s="89"/>
      <c r="E99" s="176"/>
      <c r="F99" s="176"/>
      <c r="G99" s="89"/>
      <c r="H99" s="89"/>
      <c r="I99" s="89"/>
      <c r="J99" s="89"/>
      <c r="K99" s="89"/>
      <c r="L99" s="89"/>
      <c r="M99" s="89"/>
    </row>
    <row r="100" ht="15.75" customHeight="1">
      <c r="A100" s="89"/>
      <c r="B100" s="89"/>
      <c r="C100" s="89"/>
      <c r="D100" s="89"/>
      <c r="E100" s="176"/>
      <c r="F100" s="176"/>
      <c r="G100" s="89"/>
      <c r="H100" s="89"/>
      <c r="I100" s="89"/>
      <c r="J100" s="89"/>
      <c r="K100" s="89"/>
      <c r="L100" s="89"/>
      <c r="M100" s="89"/>
    </row>
    <row r="101" ht="15.75" customHeight="1">
      <c r="A101" s="89"/>
      <c r="B101" s="89"/>
      <c r="C101" s="89"/>
      <c r="D101" s="89"/>
      <c r="E101" s="176"/>
      <c r="F101" s="176"/>
      <c r="G101" s="89"/>
      <c r="H101" s="89"/>
      <c r="I101" s="89"/>
      <c r="J101" s="89"/>
      <c r="K101" s="89"/>
      <c r="L101" s="89"/>
      <c r="M101" s="89"/>
    </row>
    <row r="102" ht="15.75" customHeight="1">
      <c r="A102" s="89"/>
      <c r="B102" s="89"/>
      <c r="C102" s="89"/>
      <c r="D102" s="89"/>
      <c r="E102" s="176"/>
      <c r="F102" s="176"/>
      <c r="G102" s="89"/>
      <c r="H102" s="89"/>
      <c r="I102" s="89"/>
      <c r="J102" s="89"/>
      <c r="K102" s="89"/>
      <c r="L102" s="89"/>
      <c r="M102" s="89"/>
    </row>
    <row r="103" ht="15.75" customHeight="1">
      <c r="A103" s="89"/>
      <c r="B103" s="89"/>
      <c r="C103" s="89"/>
      <c r="D103" s="89"/>
      <c r="E103" s="176"/>
      <c r="F103" s="176"/>
      <c r="G103" s="89"/>
      <c r="H103" s="89"/>
      <c r="I103" s="89"/>
      <c r="J103" s="89"/>
      <c r="K103" s="89"/>
      <c r="L103" s="89"/>
      <c r="M103" s="89"/>
    </row>
    <row r="104" ht="15.75" customHeight="1">
      <c r="A104" s="89"/>
      <c r="B104" s="89"/>
      <c r="C104" s="89"/>
      <c r="D104" s="89"/>
      <c r="E104" s="176"/>
      <c r="F104" s="176"/>
      <c r="G104" s="89"/>
      <c r="H104" s="89"/>
      <c r="I104" s="89"/>
      <c r="J104" s="89"/>
      <c r="K104" s="89"/>
      <c r="L104" s="89"/>
      <c r="M104" s="89"/>
    </row>
    <row r="105" ht="15.75" customHeight="1">
      <c r="A105" s="89"/>
      <c r="B105" s="89"/>
      <c r="C105" s="89"/>
      <c r="D105" s="89"/>
      <c r="E105" s="176"/>
      <c r="F105" s="176"/>
      <c r="G105" s="89"/>
      <c r="H105" s="89"/>
      <c r="I105" s="89"/>
      <c r="J105" s="89"/>
      <c r="K105" s="89"/>
      <c r="L105" s="89"/>
      <c r="M105" s="89"/>
    </row>
    <row r="106" ht="15.75" customHeight="1">
      <c r="A106" s="89"/>
      <c r="B106" s="89"/>
      <c r="C106" s="89"/>
      <c r="D106" s="89"/>
      <c r="E106" s="176"/>
      <c r="F106" s="176"/>
      <c r="G106" s="89"/>
      <c r="H106" s="89"/>
      <c r="I106" s="89"/>
      <c r="J106" s="89"/>
      <c r="K106" s="89"/>
      <c r="L106" s="89"/>
      <c r="M106" s="89"/>
    </row>
    <row r="107" ht="15.75" customHeight="1">
      <c r="A107" s="89"/>
      <c r="B107" s="89"/>
      <c r="C107" s="89"/>
      <c r="D107" s="89"/>
      <c r="E107" s="176"/>
      <c r="F107" s="176"/>
      <c r="G107" s="89"/>
      <c r="H107" s="89"/>
      <c r="I107" s="89"/>
      <c r="J107" s="89"/>
      <c r="K107" s="89"/>
      <c r="L107" s="89"/>
      <c r="M107" s="89"/>
    </row>
    <row r="108" ht="15.75" customHeight="1">
      <c r="A108" s="89"/>
      <c r="B108" s="89"/>
      <c r="C108" s="89"/>
      <c r="D108" s="89"/>
      <c r="E108" s="176"/>
      <c r="F108" s="176"/>
      <c r="G108" s="89"/>
      <c r="H108" s="89"/>
      <c r="I108" s="89"/>
      <c r="J108" s="89"/>
      <c r="K108" s="89"/>
      <c r="L108" s="89"/>
      <c r="M108" s="89"/>
    </row>
    <row r="109" ht="15.75" customHeight="1">
      <c r="A109" s="89"/>
      <c r="B109" s="89"/>
      <c r="C109" s="89"/>
      <c r="D109" s="89"/>
      <c r="E109" s="176"/>
      <c r="F109" s="176"/>
      <c r="G109" s="89"/>
      <c r="H109" s="89"/>
      <c r="I109" s="89"/>
      <c r="J109" s="89"/>
      <c r="K109" s="89"/>
      <c r="L109" s="89"/>
      <c r="M109" s="89"/>
    </row>
    <row r="110" ht="15.75" customHeight="1">
      <c r="A110" s="89"/>
      <c r="B110" s="89"/>
      <c r="C110" s="89"/>
      <c r="D110" s="89"/>
      <c r="E110" s="176"/>
      <c r="F110" s="176"/>
      <c r="G110" s="89"/>
      <c r="H110" s="89"/>
      <c r="I110" s="89"/>
      <c r="J110" s="89"/>
      <c r="K110" s="89"/>
      <c r="L110" s="89"/>
      <c r="M110" s="89"/>
    </row>
    <row r="111" ht="15.75" customHeight="1">
      <c r="A111" s="89"/>
      <c r="B111" s="89"/>
      <c r="C111" s="89"/>
      <c r="D111" s="89"/>
      <c r="E111" s="176"/>
      <c r="F111" s="176"/>
      <c r="G111" s="89"/>
      <c r="H111" s="89"/>
      <c r="I111" s="89"/>
      <c r="J111" s="89"/>
      <c r="K111" s="89"/>
      <c r="L111" s="89"/>
      <c r="M111" s="89"/>
    </row>
    <row r="112" ht="15.75" customHeight="1">
      <c r="A112" s="89"/>
      <c r="B112" s="89"/>
      <c r="C112" s="89"/>
      <c r="D112" s="89"/>
      <c r="E112" s="176"/>
      <c r="F112" s="176"/>
      <c r="G112" s="89"/>
      <c r="H112" s="89"/>
      <c r="I112" s="89"/>
      <c r="J112" s="89"/>
      <c r="K112" s="89"/>
      <c r="L112" s="89"/>
      <c r="M112" s="89"/>
    </row>
    <row r="113" ht="15.75" customHeight="1">
      <c r="A113" s="89"/>
      <c r="B113" s="89"/>
      <c r="C113" s="89"/>
      <c r="D113" s="89"/>
      <c r="E113" s="176"/>
      <c r="F113" s="176"/>
      <c r="G113" s="89"/>
      <c r="H113" s="89"/>
      <c r="I113" s="89"/>
      <c r="J113" s="89"/>
      <c r="K113" s="89"/>
      <c r="L113" s="89"/>
      <c r="M113" s="89"/>
    </row>
    <row r="114" ht="15.75" customHeight="1">
      <c r="A114" s="89"/>
      <c r="B114" s="89"/>
      <c r="C114" s="89"/>
      <c r="D114" s="89"/>
      <c r="E114" s="176"/>
      <c r="F114" s="176"/>
      <c r="G114" s="89"/>
      <c r="H114" s="89"/>
      <c r="I114" s="89"/>
      <c r="J114" s="89"/>
      <c r="K114" s="89"/>
      <c r="L114" s="89"/>
      <c r="M114" s="89"/>
    </row>
    <row r="115" ht="15.75" customHeight="1">
      <c r="A115" s="89"/>
      <c r="B115" s="89"/>
      <c r="C115" s="89"/>
      <c r="D115" s="89"/>
      <c r="E115" s="176"/>
      <c r="F115" s="176"/>
      <c r="G115" s="89"/>
      <c r="H115" s="89"/>
      <c r="I115" s="89"/>
      <c r="J115" s="89"/>
      <c r="K115" s="89"/>
      <c r="L115" s="89"/>
      <c r="M115" s="89"/>
    </row>
    <row r="116" ht="15.75" customHeight="1">
      <c r="A116" s="89"/>
      <c r="B116" s="89"/>
      <c r="C116" s="89"/>
      <c r="D116" s="89"/>
      <c r="E116" s="176"/>
      <c r="F116" s="176"/>
      <c r="G116" s="89"/>
      <c r="H116" s="89"/>
      <c r="I116" s="89"/>
      <c r="J116" s="89"/>
      <c r="K116" s="89"/>
      <c r="L116" s="89"/>
      <c r="M116" s="89"/>
    </row>
    <row r="117" ht="15.75" customHeight="1">
      <c r="A117" s="89"/>
      <c r="B117" s="89"/>
      <c r="C117" s="89"/>
      <c r="D117" s="89"/>
      <c r="E117" s="176"/>
      <c r="F117" s="176"/>
      <c r="G117" s="89"/>
      <c r="H117" s="89"/>
      <c r="I117" s="89"/>
      <c r="J117" s="89"/>
      <c r="K117" s="89"/>
      <c r="L117" s="89"/>
      <c r="M117" s="89"/>
    </row>
    <row r="118" ht="15.75" customHeight="1">
      <c r="A118" s="89"/>
      <c r="B118" s="89"/>
      <c r="C118" s="89"/>
      <c r="D118" s="89"/>
      <c r="E118" s="176"/>
      <c r="F118" s="176"/>
      <c r="G118" s="89"/>
      <c r="H118" s="89"/>
      <c r="I118" s="89"/>
      <c r="J118" s="89"/>
      <c r="K118" s="89"/>
      <c r="L118" s="89"/>
      <c r="M118" s="89"/>
    </row>
    <row r="119" ht="15.75" customHeight="1">
      <c r="A119" s="89"/>
      <c r="B119" s="89"/>
      <c r="C119" s="89"/>
      <c r="D119" s="89"/>
      <c r="E119" s="176"/>
      <c r="F119" s="176"/>
      <c r="G119" s="89"/>
      <c r="H119" s="89"/>
      <c r="I119" s="89"/>
      <c r="J119" s="89"/>
      <c r="K119" s="89"/>
      <c r="L119" s="89"/>
      <c r="M119" s="89"/>
    </row>
    <row r="120" ht="15.75" customHeight="1">
      <c r="A120" s="89"/>
      <c r="B120" s="89"/>
      <c r="C120" s="89"/>
      <c r="D120" s="89"/>
      <c r="E120" s="176"/>
      <c r="F120" s="176"/>
      <c r="G120" s="89"/>
      <c r="H120" s="89"/>
      <c r="I120" s="89"/>
      <c r="J120" s="89"/>
      <c r="K120" s="89"/>
      <c r="L120" s="89"/>
      <c r="M120" s="89"/>
    </row>
    <row r="121" ht="15.75" customHeight="1">
      <c r="A121" s="89"/>
      <c r="B121" s="89"/>
      <c r="C121" s="89"/>
      <c r="D121" s="89"/>
      <c r="E121" s="176"/>
      <c r="F121" s="176"/>
      <c r="G121" s="89"/>
      <c r="H121" s="89"/>
      <c r="I121" s="89"/>
      <c r="J121" s="89"/>
      <c r="K121" s="89"/>
      <c r="L121" s="89"/>
      <c r="M121" s="89"/>
    </row>
    <row r="122" ht="15.75" customHeight="1">
      <c r="A122" s="89"/>
      <c r="B122" s="89"/>
      <c r="C122" s="89"/>
      <c r="D122" s="89"/>
      <c r="E122" s="176"/>
      <c r="F122" s="176"/>
      <c r="G122" s="89"/>
      <c r="H122" s="89"/>
      <c r="I122" s="89"/>
      <c r="J122" s="89"/>
      <c r="K122" s="89"/>
      <c r="L122" s="89"/>
      <c r="M122" s="89"/>
    </row>
    <row r="123" ht="15.75" customHeight="1">
      <c r="A123" s="89"/>
      <c r="B123" s="89"/>
      <c r="C123" s="89"/>
      <c r="D123" s="89"/>
      <c r="E123" s="176"/>
      <c r="F123" s="176"/>
      <c r="G123" s="89"/>
      <c r="H123" s="89"/>
      <c r="I123" s="89"/>
      <c r="J123" s="89"/>
      <c r="K123" s="89"/>
      <c r="L123" s="89"/>
      <c r="M123" s="89"/>
    </row>
    <row r="124" ht="15.75" customHeight="1">
      <c r="A124" s="89"/>
      <c r="B124" s="89"/>
      <c r="C124" s="89"/>
      <c r="D124" s="89"/>
      <c r="E124" s="176"/>
      <c r="F124" s="176"/>
      <c r="G124" s="89"/>
      <c r="H124" s="89"/>
      <c r="I124" s="89"/>
      <c r="J124" s="89"/>
      <c r="K124" s="89"/>
      <c r="L124" s="89"/>
      <c r="M124" s="89"/>
    </row>
    <row r="125" ht="15.75" customHeight="1">
      <c r="A125" s="89"/>
      <c r="B125" s="89"/>
      <c r="C125" s="89"/>
      <c r="D125" s="89"/>
      <c r="E125" s="176"/>
      <c r="F125" s="176"/>
      <c r="G125" s="89"/>
      <c r="H125" s="89"/>
      <c r="I125" s="89"/>
      <c r="J125" s="89"/>
      <c r="K125" s="89"/>
      <c r="L125" s="89"/>
      <c r="M125" s="89"/>
    </row>
    <row r="126" ht="15.75" customHeight="1">
      <c r="A126" s="89"/>
      <c r="B126" s="89"/>
      <c r="C126" s="89"/>
      <c r="D126" s="89"/>
      <c r="E126" s="176"/>
      <c r="F126" s="176"/>
      <c r="G126" s="89"/>
      <c r="H126" s="89"/>
      <c r="I126" s="89"/>
      <c r="J126" s="89"/>
      <c r="K126" s="89"/>
      <c r="L126" s="89"/>
      <c r="M126" s="89"/>
    </row>
    <row r="127" ht="15.75" customHeight="1">
      <c r="A127" s="89"/>
      <c r="B127" s="89"/>
      <c r="C127" s="89"/>
      <c r="D127" s="89"/>
      <c r="E127" s="176"/>
      <c r="F127" s="176"/>
      <c r="G127" s="89"/>
      <c r="H127" s="89"/>
      <c r="I127" s="89"/>
      <c r="J127" s="89"/>
      <c r="K127" s="89"/>
      <c r="L127" s="89"/>
      <c r="M127" s="89"/>
    </row>
    <row r="128" ht="15.75" customHeight="1">
      <c r="A128" s="89"/>
      <c r="B128" s="89"/>
      <c r="C128" s="89"/>
      <c r="D128" s="89"/>
      <c r="E128" s="176"/>
      <c r="F128" s="176"/>
      <c r="G128" s="89"/>
      <c r="H128" s="89"/>
      <c r="I128" s="89"/>
      <c r="J128" s="89"/>
      <c r="K128" s="89"/>
      <c r="L128" s="89"/>
      <c r="M128" s="89"/>
    </row>
    <row r="129" ht="15.75" customHeight="1">
      <c r="A129" s="89"/>
      <c r="B129" s="89"/>
      <c r="C129" s="89"/>
      <c r="D129" s="89"/>
      <c r="E129" s="176"/>
      <c r="F129" s="176"/>
      <c r="G129" s="89"/>
      <c r="H129" s="89"/>
      <c r="I129" s="89"/>
      <c r="J129" s="89"/>
      <c r="K129" s="89"/>
      <c r="L129" s="89"/>
      <c r="M129" s="89"/>
    </row>
    <row r="130" ht="15.75" customHeight="1">
      <c r="A130" s="89"/>
      <c r="B130" s="89"/>
      <c r="C130" s="89"/>
      <c r="D130" s="89"/>
      <c r="E130" s="176"/>
      <c r="F130" s="176"/>
      <c r="G130" s="89"/>
      <c r="H130" s="89"/>
      <c r="I130" s="89"/>
      <c r="J130" s="89"/>
      <c r="K130" s="89"/>
      <c r="L130" s="89"/>
      <c r="M130" s="89"/>
    </row>
    <row r="131" ht="15.75" customHeight="1">
      <c r="A131" s="89"/>
      <c r="B131" s="89"/>
      <c r="C131" s="89"/>
      <c r="D131" s="89"/>
      <c r="E131" s="176"/>
      <c r="F131" s="176"/>
      <c r="G131" s="89"/>
      <c r="H131" s="89"/>
      <c r="I131" s="89"/>
      <c r="J131" s="89"/>
      <c r="K131" s="89"/>
      <c r="L131" s="89"/>
      <c r="M131" s="89"/>
    </row>
    <row r="132" ht="15.75" customHeight="1">
      <c r="A132" s="89"/>
      <c r="B132" s="89"/>
      <c r="C132" s="89"/>
      <c r="D132" s="89"/>
      <c r="E132" s="176"/>
      <c r="F132" s="176"/>
      <c r="G132" s="89"/>
      <c r="H132" s="89"/>
      <c r="I132" s="89"/>
      <c r="J132" s="89"/>
      <c r="K132" s="89"/>
      <c r="L132" s="89"/>
      <c r="M132" s="89"/>
    </row>
    <row r="133" ht="15.75" customHeight="1">
      <c r="A133" s="89"/>
      <c r="B133" s="89"/>
      <c r="C133" s="89"/>
      <c r="D133" s="89"/>
      <c r="E133" s="176"/>
      <c r="F133" s="176"/>
      <c r="G133" s="89"/>
      <c r="H133" s="89"/>
      <c r="I133" s="89"/>
      <c r="J133" s="89"/>
      <c r="K133" s="89"/>
      <c r="L133" s="89"/>
      <c r="M133" s="89"/>
    </row>
    <row r="134" ht="15.75" customHeight="1">
      <c r="A134" s="89"/>
      <c r="B134" s="89"/>
      <c r="C134" s="89"/>
      <c r="D134" s="89"/>
      <c r="E134" s="176"/>
      <c r="F134" s="176"/>
      <c r="G134" s="89"/>
      <c r="H134" s="89"/>
      <c r="I134" s="89"/>
      <c r="J134" s="89"/>
      <c r="K134" s="89"/>
      <c r="L134" s="89"/>
      <c r="M134" s="89"/>
    </row>
    <row r="135" ht="15.75" customHeight="1">
      <c r="A135" s="89"/>
      <c r="B135" s="89"/>
      <c r="C135" s="89"/>
      <c r="D135" s="89"/>
      <c r="E135" s="176"/>
      <c r="F135" s="176"/>
      <c r="G135" s="89"/>
      <c r="H135" s="89"/>
      <c r="I135" s="89"/>
      <c r="J135" s="89"/>
      <c r="K135" s="89"/>
      <c r="L135" s="89"/>
      <c r="M135" s="89"/>
    </row>
    <row r="136" ht="15.75" customHeight="1">
      <c r="A136" s="89"/>
      <c r="B136" s="89"/>
      <c r="C136" s="89"/>
      <c r="D136" s="89"/>
      <c r="E136" s="176"/>
      <c r="F136" s="176"/>
      <c r="G136" s="89"/>
      <c r="H136" s="89"/>
      <c r="I136" s="89"/>
      <c r="J136" s="89"/>
      <c r="K136" s="89"/>
      <c r="L136" s="89"/>
      <c r="M136" s="89"/>
    </row>
    <row r="137" ht="15.75" customHeight="1">
      <c r="A137" s="89"/>
      <c r="B137" s="89"/>
      <c r="C137" s="89"/>
      <c r="D137" s="89"/>
      <c r="E137" s="176"/>
      <c r="F137" s="176"/>
      <c r="G137" s="89"/>
      <c r="H137" s="89"/>
      <c r="I137" s="89"/>
      <c r="J137" s="89"/>
      <c r="K137" s="89"/>
      <c r="L137" s="89"/>
      <c r="M137" s="89"/>
    </row>
    <row r="138" ht="15.75" customHeight="1">
      <c r="A138" s="89"/>
      <c r="B138" s="89"/>
      <c r="C138" s="89"/>
      <c r="D138" s="89"/>
      <c r="E138" s="176"/>
      <c r="F138" s="176"/>
      <c r="G138" s="89"/>
      <c r="H138" s="89"/>
      <c r="I138" s="89"/>
      <c r="J138" s="89"/>
      <c r="K138" s="89"/>
      <c r="L138" s="89"/>
      <c r="M138" s="89"/>
    </row>
    <row r="139" ht="15.75" customHeight="1">
      <c r="A139" s="89"/>
      <c r="B139" s="89"/>
      <c r="C139" s="89"/>
      <c r="D139" s="89"/>
      <c r="E139" s="176"/>
      <c r="F139" s="176"/>
      <c r="G139" s="89"/>
      <c r="H139" s="89"/>
      <c r="I139" s="89"/>
      <c r="J139" s="89"/>
      <c r="K139" s="89"/>
      <c r="L139" s="89"/>
      <c r="M139" s="89"/>
    </row>
    <row r="140" ht="15.75" customHeight="1">
      <c r="A140" s="89"/>
      <c r="B140" s="89"/>
      <c r="C140" s="89"/>
      <c r="D140" s="89"/>
      <c r="E140" s="176"/>
      <c r="F140" s="176"/>
      <c r="G140" s="89"/>
      <c r="H140" s="89"/>
      <c r="I140" s="89"/>
      <c r="J140" s="89"/>
      <c r="K140" s="89"/>
      <c r="L140" s="89"/>
      <c r="M140" s="89"/>
    </row>
    <row r="141" ht="15.75" customHeight="1">
      <c r="A141" s="89"/>
      <c r="B141" s="89"/>
      <c r="C141" s="89"/>
      <c r="D141" s="89"/>
      <c r="E141" s="176"/>
      <c r="F141" s="176"/>
      <c r="G141" s="89"/>
      <c r="H141" s="89"/>
      <c r="I141" s="89"/>
      <c r="J141" s="89"/>
      <c r="K141" s="89"/>
      <c r="L141" s="89"/>
      <c r="M141" s="89"/>
    </row>
    <row r="142" ht="15.75" customHeight="1">
      <c r="A142" s="89"/>
      <c r="B142" s="89"/>
      <c r="C142" s="89"/>
      <c r="D142" s="89"/>
      <c r="E142" s="176"/>
      <c r="F142" s="176"/>
      <c r="G142" s="89"/>
      <c r="H142" s="89"/>
      <c r="I142" s="89"/>
      <c r="J142" s="89"/>
      <c r="K142" s="89"/>
      <c r="L142" s="89"/>
      <c r="M142" s="89"/>
    </row>
    <row r="143" ht="15.75" customHeight="1">
      <c r="A143" s="89"/>
      <c r="B143" s="89"/>
      <c r="C143" s="89"/>
      <c r="D143" s="89"/>
      <c r="E143" s="176"/>
      <c r="F143" s="176"/>
      <c r="G143" s="89"/>
      <c r="H143" s="89"/>
      <c r="I143" s="89"/>
      <c r="J143" s="89"/>
      <c r="K143" s="89"/>
      <c r="L143" s="89"/>
      <c r="M143" s="89"/>
    </row>
    <row r="144" ht="15.75" customHeight="1">
      <c r="A144" s="89"/>
      <c r="B144" s="89"/>
      <c r="C144" s="89"/>
      <c r="D144" s="89"/>
      <c r="E144" s="176"/>
      <c r="F144" s="176"/>
      <c r="G144" s="89"/>
      <c r="H144" s="89"/>
      <c r="I144" s="89"/>
      <c r="J144" s="89"/>
      <c r="K144" s="89"/>
      <c r="L144" s="89"/>
      <c r="M144" s="89"/>
    </row>
    <row r="145" ht="15.75" customHeight="1">
      <c r="A145" s="89"/>
      <c r="B145" s="89"/>
      <c r="C145" s="89"/>
      <c r="D145" s="89"/>
      <c r="E145" s="176"/>
      <c r="F145" s="176"/>
      <c r="G145" s="89"/>
      <c r="H145" s="89"/>
      <c r="I145" s="89"/>
      <c r="J145" s="89"/>
      <c r="K145" s="89"/>
      <c r="L145" s="89"/>
      <c r="M145" s="89"/>
    </row>
    <row r="146" ht="15.75" customHeight="1">
      <c r="A146" s="89"/>
      <c r="B146" s="89"/>
      <c r="C146" s="89"/>
      <c r="D146" s="89"/>
      <c r="E146" s="176"/>
      <c r="F146" s="176"/>
      <c r="G146" s="89"/>
      <c r="H146" s="89"/>
      <c r="I146" s="89"/>
      <c r="J146" s="89"/>
      <c r="K146" s="89"/>
      <c r="L146" s="89"/>
      <c r="M146" s="89"/>
    </row>
    <row r="147" ht="15.75" customHeight="1">
      <c r="A147" s="89"/>
      <c r="B147" s="89"/>
      <c r="C147" s="89"/>
      <c r="D147" s="89"/>
      <c r="E147" s="176"/>
      <c r="F147" s="176"/>
      <c r="G147" s="89"/>
      <c r="H147" s="89"/>
      <c r="I147" s="89"/>
      <c r="J147" s="89"/>
      <c r="K147" s="89"/>
      <c r="L147" s="89"/>
      <c r="M147" s="89"/>
    </row>
    <row r="148" ht="15.75" customHeight="1">
      <c r="A148" s="89"/>
      <c r="B148" s="89"/>
      <c r="C148" s="89"/>
      <c r="D148" s="89"/>
      <c r="E148" s="176"/>
      <c r="F148" s="176"/>
      <c r="G148" s="89"/>
      <c r="H148" s="89"/>
      <c r="I148" s="89"/>
      <c r="J148" s="89"/>
      <c r="K148" s="89"/>
      <c r="L148" s="89"/>
      <c r="M148" s="89"/>
    </row>
    <row r="149" ht="15.75" customHeight="1">
      <c r="A149" s="89"/>
      <c r="B149" s="89"/>
      <c r="C149" s="89"/>
      <c r="D149" s="89"/>
      <c r="E149" s="176"/>
      <c r="F149" s="176"/>
      <c r="G149" s="89"/>
      <c r="H149" s="89"/>
      <c r="I149" s="89"/>
      <c r="J149" s="89"/>
      <c r="K149" s="89"/>
      <c r="L149" s="89"/>
      <c r="M149" s="89"/>
    </row>
    <row r="150" ht="15.75" customHeight="1">
      <c r="A150" s="89"/>
      <c r="B150" s="89"/>
      <c r="C150" s="89"/>
      <c r="D150" s="89"/>
      <c r="E150" s="176"/>
      <c r="F150" s="176"/>
      <c r="G150" s="89"/>
      <c r="H150" s="89"/>
      <c r="I150" s="89"/>
      <c r="J150" s="89"/>
      <c r="K150" s="89"/>
      <c r="L150" s="89"/>
      <c r="M150" s="89"/>
    </row>
    <row r="151" ht="15.75" customHeight="1">
      <c r="A151" s="89"/>
      <c r="B151" s="89"/>
      <c r="C151" s="89"/>
      <c r="D151" s="89"/>
      <c r="E151" s="176"/>
      <c r="F151" s="176"/>
      <c r="G151" s="89"/>
      <c r="H151" s="89"/>
      <c r="I151" s="89"/>
      <c r="J151" s="89"/>
      <c r="K151" s="89"/>
      <c r="L151" s="89"/>
      <c r="M151" s="89"/>
    </row>
    <row r="152" ht="15.75" customHeight="1">
      <c r="A152" s="89"/>
      <c r="B152" s="89"/>
      <c r="C152" s="89"/>
      <c r="D152" s="89"/>
      <c r="E152" s="176"/>
      <c r="F152" s="176"/>
      <c r="G152" s="89"/>
      <c r="H152" s="89"/>
      <c r="I152" s="89"/>
      <c r="J152" s="89"/>
      <c r="K152" s="89"/>
      <c r="L152" s="89"/>
      <c r="M152" s="89"/>
    </row>
    <row r="153" ht="15.75" customHeight="1">
      <c r="A153" s="89"/>
      <c r="B153" s="89"/>
      <c r="C153" s="89"/>
      <c r="D153" s="89"/>
      <c r="E153" s="176"/>
      <c r="F153" s="176"/>
      <c r="G153" s="89"/>
      <c r="H153" s="89"/>
      <c r="I153" s="89"/>
      <c r="J153" s="89"/>
      <c r="K153" s="89"/>
      <c r="L153" s="89"/>
      <c r="M153" s="89"/>
    </row>
    <row r="154" ht="15.75" customHeight="1">
      <c r="A154" s="89"/>
      <c r="B154" s="89"/>
      <c r="C154" s="89"/>
      <c r="D154" s="89"/>
      <c r="E154" s="176"/>
      <c r="F154" s="176"/>
      <c r="G154" s="89"/>
      <c r="H154" s="89"/>
      <c r="I154" s="89"/>
      <c r="J154" s="89"/>
      <c r="K154" s="89"/>
      <c r="L154" s="89"/>
      <c r="M154" s="89"/>
    </row>
    <row r="155" ht="15.75" customHeight="1">
      <c r="A155" s="89"/>
      <c r="B155" s="89"/>
      <c r="C155" s="89"/>
      <c r="D155" s="89"/>
      <c r="E155" s="176"/>
      <c r="F155" s="176"/>
      <c r="G155" s="89"/>
      <c r="H155" s="89"/>
      <c r="I155" s="89"/>
      <c r="J155" s="89"/>
      <c r="K155" s="89"/>
      <c r="L155" s="89"/>
      <c r="M155" s="89"/>
    </row>
    <row r="156" ht="15.75" customHeight="1">
      <c r="A156" s="89"/>
      <c r="B156" s="89"/>
      <c r="C156" s="89"/>
      <c r="D156" s="89"/>
      <c r="E156" s="176"/>
      <c r="F156" s="176"/>
      <c r="G156" s="89"/>
      <c r="H156" s="89"/>
      <c r="I156" s="89"/>
      <c r="J156" s="89"/>
      <c r="K156" s="89"/>
      <c r="L156" s="89"/>
      <c r="M156" s="89"/>
    </row>
    <row r="157" ht="15.75" customHeight="1">
      <c r="A157" s="89"/>
      <c r="B157" s="89"/>
      <c r="C157" s="89"/>
      <c r="D157" s="89"/>
      <c r="E157" s="176"/>
      <c r="F157" s="176"/>
      <c r="G157" s="89"/>
      <c r="H157" s="89"/>
      <c r="I157" s="89"/>
      <c r="J157" s="89"/>
      <c r="K157" s="89"/>
      <c r="L157" s="89"/>
      <c r="M157" s="89"/>
    </row>
    <row r="158" ht="15.75" customHeight="1">
      <c r="A158" s="89"/>
      <c r="B158" s="89"/>
      <c r="C158" s="89"/>
      <c r="D158" s="89"/>
      <c r="E158" s="176"/>
      <c r="F158" s="176"/>
      <c r="G158" s="89"/>
      <c r="H158" s="89"/>
      <c r="I158" s="89"/>
      <c r="J158" s="89"/>
      <c r="K158" s="89"/>
      <c r="L158" s="89"/>
      <c r="M158" s="89"/>
    </row>
    <row r="159" ht="15.75" customHeight="1">
      <c r="A159" s="89"/>
      <c r="B159" s="89"/>
      <c r="C159" s="89"/>
      <c r="D159" s="89"/>
      <c r="E159" s="176"/>
      <c r="F159" s="176"/>
      <c r="G159" s="89"/>
      <c r="H159" s="89"/>
      <c r="I159" s="89"/>
      <c r="J159" s="89"/>
      <c r="K159" s="89"/>
      <c r="L159" s="89"/>
      <c r="M159" s="89"/>
    </row>
    <row r="160" ht="15.75" customHeight="1">
      <c r="A160" s="89"/>
      <c r="B160" s="89"/>
      <c r="C160" s="89"/>
      <c r="D160" s="89"/>
      <c r="E160" s="176"/>
      <c r="F160" s="176"/>
      <c r="G160" s="89"/>
      <c r="H160" s="89"/>
      <c r="I160" s="89"/>
      <c r="J160" s="89"/>
      <c r="K160" s="89"/>
      <c r="L160" s="89"/>
      <c r="M160" s="89"/>
    </row>
    <row r="161" ht="15.75" customHeight="1">
      <c r="A161" s="89"/>
      <c r="B161" s="89"/>
      <c r="C161" s="89"/>
      <c r="D161" s="89"/>
      <c r="E161" s="176"/>
      <c r="F161" s="176"/>
      <c r="G161" s="89"/>
      <c r="H161" s="89"/>
      <c r="I161" s="89"/>
      <c r="J161" s="89"/>
      <c r="K161" s="89"/>
      <c r="L161" s="89"/>
      <c r="M161" s="89"/>
    </row>
    <row r="162" ht="15.75" customHeight="1">
      <c r="A162" s="89"/>
      <c r="B162" s="89"/>
      <c r="C162" s="89"/>
      <c r="D162" s="89"/>
      <c r="E162" s="176"/>
      <c r="F162" s="176"/>
      <c r="G162" s="89"/>
      <c r="H162" s="89"/>
      <c r="I162" s="89"/>
      <c r="J162" s="89"/>
      <c r="K162" s="89"/>
      <c r="L162" s="89"/>
      <c r="M162" s="89"/>
    </row>
    <row r="163" ht="15.75" customHeight="1">
      <c r="A163" s="89"/>
      <c r="B163" s="89"/>
      <c r="C163" s="89"/>
      <c r="D163" s="89"/>
      <c r="E163" s="176"/>
      <c r="F163" s="176"/>
      <c r="G163" s="89"/>
      <c r="H163" s="89"/>
      <c r="I163" s="89"/>
      <c r="J163" s="89"/>
      <c r="K163" s="89"/>
      <c r="L163" s="89"/>
      <c r="M163" s="89"/>
    </row>
    <row r="164" ht="15.75" customHeight="1">
      <c r="A164" s="89"/>
      <c r="B164" s="89"/>
      <c r="C164" s="89"/>
      <c r="D164" s="89"/>
      <c r="E164" s="176"/>
      <c r="F164" s="176"/>
      <c r="G164" s="89"/>
      <c r="H164" s="89"/>
      <c r="I164" s="89"/>
      <c r="J164" s="89"/>
      <c r="K164" s="89"/>
      <c r="L164" s="89"/>
      <c r="M164" s="89"/>
    </row>
    <row r="165" ht="15.75" customHeight="1">
      <c r="A165" s="89"/>
      <c r="B165" s="89"/>
      <c r="C165" s="89"/>
      <c r="D165" s="89"/>
      <c r="E165" s="176"/>
      <c r="F165" s="176"/>
      <c r="G165" s="89"/>
      <c r="H165" s="89"/>
      <c r="I165" s="89"/>
      <c r="J165" s="89"/>
      <c r="K165" s="89"/>
      <c r="L165" s="89"/>
      <c r="M165" s="89"/>
    </row>
    <row r="166" ht="15.75" customHeight="1">
      <c r="A166" s="89"/>
      <c r="B166" s="89"/>
      <c r="C166" s="89"/>
      <c r="D166" s="89"/>
      <c r="E166" s="176"/>
      <c r="F166" s="176"/>
      <c r="G166" s="89"/>
      <c r="H166" s="89"/>
      <c r="I166" s="89"/>
      <c r="J166" s="89"/>
      <c r="K166" s="89"/>
      <c r="L166" s="89"/>
      <c r="M166" s="89"/>
    </row>
    <row r="167" ht="15.75" customHeight="1">
      <c r="A167" s="89"/>
      <c r="B167" s="89"/>
      <c r="C167" s="89"/>
      <c r="D167" s="89"/>
      <c r="E167" s="176"/>
      <c r="F167" s="176"/>
      <c r="G167" s="89"/>
      <c r="H167" s="89"/>
      <c r="I167" s="89"/>
      <c r="J167" s="89"/>
      <c r="K167" s="89"/>
      <c r="L167" s="89"/>
      <c r="M167" s="89"/>
    </row>
    <row r="168" ht="15.75" customHeight="1">
      <c r="A168" s="89"/>
      <c r="B168" s="89"/>
      <c r="C168" s="89"/>
      <c r="D168" s="89"/>
      <c r="E168" s="176"/>
      <c r="F168" s="176"/>
      <c r="G168" s="89"/>
      <c r="H168" s="89"/>
      <c r="I168" s="89"/>
      <c r="J168" s="89"/>
      <c r="K168" s="89"/>
      <c r="L168" s="89"/>
      <c r="M168" s="89"/>
    </row>
    <row r="169" ht="15.75" customHeight="1">
      <c r="A169" s="89"/>
      <c r="B169" s="89"/>
      <c r="C169" s="89"/>
      <c r="D169" s="89"/>
      <c r="E169" s="176"/>
      <c r="F169" s="176"/>
      <c r="G169" s="89"/>
      <c r="H169" s="89"/>
      <c r="I169" s="89"/>
      <c r="J169" s="89"/>
      <c r="K169" s="89"/>
      <c r="L169" s="89"/>
      <c r="M169" s="89"/>
    </row>
    <row r="170" ht="15.75" customHeight="1">
      <c r="A170" s="89"/>
      <c r="B170" s="89"/>
      <c r="C170" s="89"/>
      <c r="D170" s="89"/>
      <c r="E170" s="176"/>
      <c r="F170" s="176"/>
      <c r="G170" s="89"/>
      <c r="H170" s="89"/>
      <c r="I170" s="89"/>
      <c r="J170" s="89"/>
      <c r="K170" s="89"/>
      <c r="L170" s="89"/>
      <c r="M170" s="89"/>
    </row>
    <row r="171" ht="15.75" customHeight="1">
      <c r="A171" s="89"/>
      <c r="B171" s="89"/>
      <c r="C171" s="89"/>
      <c r="D171" s="89"/>
      <c r="E171" s="176"/>
      <c r="F171" s="176"/>
      <c r="G171" s="89"/>
      <c r="H171" s="89"/>
      <c r="I171" s="89"/>
      <c r="J171" s="89"/>
      <c r="K171" s="89"/>
      <c r="L171" s="89"/>
      <c r="M171" s="89"/>
    </row>
    <row r="172" ht="15.75" customHeight="1">
      <c r="A172" s="89"/>
      <c r="B172" s="89"/>
      <c r="C172" s="89"/>
      <c r="D172" s="89"/>
      <c r="E172" s="176"/>
      <c r="F172" s="176"/>
      <c r="G172" s="89"/>
      <c r="H172" s="89"/>
      <c r="I172" s="89"/>
      <c r="J172" s="89"/>
      <c r="K172" s="89"/>
      <c r="L172" s="89"/>
      <c r="M172" s="89"/>
    </row>
    <row r="173" ht="15.75" customHeight="1">
      <c r="A173" s="89"/>
      <c r="B173" s="89"/>
      <c r="C173" s="89"/>
      <c r="D173" s="89"/>
      <c r="E173" s="176"/>
      <c r="F173" s="176"/>
      <c r="G173" s="89"/>
      <c r="H173" s="89"/>
      <c r="I173" s="89"/>
      <c r="J173" s="89"/>
      <c r="K173" s="89"/>
      <c r="L173" s="89"/>
      <c r="M173" s="89"/>
    </row>
    <row r="174" ht="15.75" customHeight="1">
      <c r="A174" s="89"/>
      <c r="B174" s="89"/>
      <c r="C174" s="89"/>
      <c r="D174" s="89"/>
      <c r="E174" s="176"/>
      <c r="F174" s="176"/>
      <c r="G174" s="89"/>
      <c r="H174" s="89"/>
      <c r="I174" s="89"/>
      <c r="J174" s="89"/>
      <c r="K174" s="89"/>
      <c r="L174" s="89"/>
      <c r="M174" s="89"/>
    </row>
    <row r="175" ht="15.75" customHeight="1">
      <c r="A175" s="89"/>
      <c r="B175" s="89"/>
      <c r="C175" s="89"/>
      <c r="D175" s="89"/>
      <c r="E175" s="176"/>
      <c r="F175" s="176"/>
      <c r="G175" s="89"/>
      <c r="H175" s="89"/>
      <c r="I175" s="89"/>
      <c r="J175" s="89"/>
      <c r="K175" s="89"/>
      <c r="L175" s="89"/>
      <c r="M175" s="89"/>
    </row>
    <row r="176" ht="15.75" customHeight="1">
      <c r="A176" s="89"/>
      <c r="B176" s="89"/>
      <c r="C176" s="89"/>
      <c r="D176" s="89"/>
      <c r="E176" s="176"/>
      <c r="F176" s="176"/>
      <c r="G176" s="89"/>
      <c r="H176" s="89"/>
      <c r="I176" s="89"/>
      <c r="J176" s="89"/>
      <c r="K176" s="89"/>
      <c r="L176" s="89"/>
      <c r="M176" s="89"/>
    </row>
    <row r="177" ht="15.75" customHeight="1">
      <c r="A177" s="89"/>
      <c r="B177" s="89"/>
      <c r="C177" s="89"/>
      <c r="D177" s="89"/>
      <c r="E177" s="176"/>
      <c r="F177" s="176"/>
      <c r="G177" s="89"/>
      <c r="H177" s="89"/>
      <c r="I177" s="89"/>
      <c r="J177" s="89"/>
      <c r="K177" s="89"/>
      <c r="L177" s="89"/>
      <c r="M177" s="89"/>
    </row>
    <row r="178" ht="15.75" customHeight="1">
      <c r="A178" s="89"/>
      <c r="B178" s="89"/>
      <c r="C178" s="89"/>
      <c r="D178" s="89"/>
      <c r="E178" s="176"/>
      <c r="F178" s="176"/>
      <c r="G178" s="89"/>
      <c r="H178" s="89"/>
      <c r="I178" s="89"/>
      <c r="J178" s="89"/>
      <c r="K178" s="89"/>
      <c r="L178" s="89"/>
      <c r="M178" s="89"/>
    </row>
    <row r="179" ht="15.75" customHeight="1">
      <c r="A179" s="89"/>
      <c r="B179" s="89"/>
      <c r="C179" s="89"/>
      <c r="D179" s="89"/>
      <c r="E179" s="176"/>
      <c r="F179" s="176"/>
      <c r="G179" s="89"/>
      <c r="H179" s="89"/>
      <c r="I179" s="89"/>
      <c r="J179" s="89"/>
      <c r="K179" s="89"/>
      <c r="L179" s="89"/>
      <c r="M179" s="89"/>
    </row>
    <row r="180" ht="15.75" customHeight="1">
      <c r="A180" s="89"/>
      <c r="B180" s="89"/>
      <c r="C180" s="89"/>
      <c r="D180" s="89"/>
      <c r="E180" s="176"/>
      <c r="F180" s="176"/>
      <c r="G180" s="89"/>
      <c r="H180" s="89"/>
      <c r="I180" s="89"/>
      <c r="J180" s="89"/>
      <c r="K180" s="89"/>
      <c r="L180" s="89"/>
      <c r="M180" s="89"/>
    </row>
    <row r="181" ht="15.75" customHeight="1">
      <c r="A181" s="89"/>
      <c r="B181" s="89"/>
      <c r="C181" s="89"/>
      <c r="D181" s="89"/>
      <c r="E181" s="176"/>
      <c r="F181" s="176"/>
      <c r="G181" s="89"/>
      <c r="H181" s="89"/>
      <c r="I181" s="89"/>
      <c r="J181" s="89"/>
      <c r="K181" s="89"/>
      <c r="L181" s="89"/>
      <c r="M181" s="89"/>
    </row>
    <row r="182" ht="15.75" customHeight="1">
      <c r="A182" s="89"/>
      <c r="B182" s="89"/>
      <c r="C182" s="89"/>
      <c r="D182" s="89"/>
      <c r="E182" s="176"/>
      <c r="F182" s="176"/>
      <c r="G182" s="89"/>
      <c r="H182" s="89"/>
      <c r="I182" s="89"/>
      <c r="J182" s="89"/>
      <c r="K182" s="89"/>
      <c r="L182" s="89"/>
      <c r="M182" s="89"/>
    </row>
    <row r="183" ht="15.75" customHeight="1">
      <c r="A183" s="89"/>
      <c r="B183" s="89"/>
      <c r="C183" s="89"/>
      <c r="D183" s="89"/>
      <c r="E183" s="176"/>
      <c r="F183" s="176"/>
      <c r="G183" s="89"/>
      <c r="H183" s="89"/>
      <c r="I183" s="89"/>
      <c r="J183" s="89"/>
      <c r="K183" s="89"/>
      <c r="L183" s="89"/>
      <c r="M183" s="89"/>
    </row>
    <row r="184" ht="15.75" customHeight="1">
      <c r="A184" s="89"/>
      <c r="B184" s="89"/>
      <c r="C184" s="89"/>
      <c r="D184" s="89"/>
      <c r="E184" s="176"/>
      <c r="F184" s="176"/>
      <c r="G184" s="89"/>
      <c r="H184" s="89"/>
      <c r="I184" s="89"/>
      <c r="J184" s="89"/>
      <c r="K184" s="89"/>
      <c r="L184" s="89"/>
      <c r="M184" s="89"/>
    </row>
    <row r="185" ht="15.75" customHeight="1">
      <c r="A185" s="89"/>
      <c r="B185" s="89"/>
      <c r="C185" s="89"/>
      <c r="D185" s="89"/>
      <c r="E185" s="176"/>
      <c r="F185" s="176"/>
      <c r="G185" s="89"/>
      <c r="H185" s="89"/>
      <c r="I185" s="89"/>
      <c r="J185" s="89"/>
      <c r="K185" s="89"/>
      <c r="L185" s="89"/>
      <c r="M185" s="89"/>
    </row>
    <row r="186" ht="15.75" customHeight="1">
      <c r="A186" s="89"/>
      <c r="B186" s="89"/>
      <c r="C186" s="89"/>
      <c r="D186" s="89"/>
      <c r="E186" s="176"/>
      <c r="F186" s="176"/>
      <c r="G186" s="89"/>
      <c r="H186" s="89"/>
      <c r="I186" s="89"/>
      <c r="J186" s="89"/>
      <c r="K186" s="89"/>
      <c r="L186" s="89"/>
      <c r="M186" s="89"/>
    </row>
    <row r="187" ht="15.75" customHeight="1">
      <c r="A187" s="89"/>
      <c r="B187" s="89"/>
      <c r="C187" s="89"/>
      <c r="D187" s="89"/>
      <c r="E187" s="176"/>
      <c r="F187" s="176"/>
      <c r="G187" s="89"/>
      <c r="H187" s="89"/>
      <c r="I187" s="89"/>
      <c r="J187" s="89"/>
      <c r="K187" s="89"/>
      <c r="L187" s="89"/>
      <c r="M187" s="89"/>
    </row>
    <row r="188" ht="15.75" customHeight="1">
      <c r="A188" s="89"/>
      <c r="B188" s="89"/>
      <c r="C188" s="89"/>
      <c r="D188" s="89"/>
      <c r="E188" s="176"/>
      <c r="F188" s="176"/>
      <c r="G188" s="89"/>
      <c r="H188" s="89"/>
      <c r="I188" s="89"/>
      <c r="J188" s="89"/>
      <c r="K188" s="89"/>
      <c r="L188" s="89"/>
      <c r="M188" s="89"/>
    </row>
    <row r="189" ht="15.75" customHeight="1">
      <c r="A189" s="89"/>
      <c r="B189" s="89"/>
      <c r="C189" s="89"/>
      <c r="D189" s="89"/>
      <c r="E189" s="176"/>
      <c r="F189" s="176"/>
      <c r="G189" s="89"/>
      <c r="H189" s="89"/>
      <c r="I189" s="89"/>
      <c r="J189" s="89"/>
      <c r="K189" s="89"/>
      <c r="L189" s="89"/>
      <c r="M189" s="89"/>
    </row>
    <row r="190" ht="15.75" customHeight="1">
      <c r="A190" s="89"/>
      <c r="B190" s="89"/>
      <c r="C190" s="89"/>
      <c r="D190" s="89"/>
      <c r="E190" s="176"/>
      <c r="F190" s="176"/>
      <c r="G190" s="89"/>
      <c r="H190" s="89"/>
      <c r="I190" s="89"/>
      <c r="J190" s="89"/>
      <c r="K190" s="89"/>
      <c r="L190" s="89"/>
      <c r="M190" s="89"/>
    </row>
    <row r="191" ht="15.75" customHeight="1">
      <c r="A191" s="89"/>
      <c r="B191" s="89"/>
      <c r="C191" s="89"/>
      <c r="D191" s="89"/>
      <c r="E191" s="176"/>
      <c r="F191" s="176"/>
      <c r="G191" s="89"/>
      <c r="H191" s="89"/>
      <c r="I191" s="89"/>
      <c r="J191" s="89"/>
      <c r="K191" s="89"/>
      <c r="L191" s="89"/>
      <c r="M191" s="89"/>
    </row>
    <row r="192" ht="15.75" customHeight="1">
      <c r="A192" s="89"/>
      <c r="B192" s="89"/>
      <c r="C192" s="89"/>
      <c r="D192" s="89"/>
      <c r="E192" s="176"/>
      <c r="F192" s="176"/>
      <c r="G192" s="89"/>
      <c r="H192" s="89"/>
      <c r="I192" s="89"/>
      <c r="J192" s="89"/>
      <c r="K192" s="89"/>
      <c r="L192" s="89"/>
      <c r="M192" s="89"/>
    </row>
    <row r="193" ht="15.75" customHeight="1">
      <c r="A193" s="89"/>
      <c r="B193" s="89"/>
      <c r="C193" s="89"/>
      <c r="D193" s="89"/>
      <c r="E193" s="176"/>
      <c r="F193" s="176"/>
      <c r="G193" s="89"/>
      <c r="H193" s="89"/>
      <c r="I193" s="89"/>
      <c r="J193" s="89"/>
      <c r="K193" s="89"/>
      <c r="L193" s="89"/>
      <c r="M193" s="89"/>
    </row>
    <row r="194" ht="15.75" customHeight="1">
      <c r="A194" s="89"/>
      <c r="B194" s="89"/>
      <c r="C194" s="89"/>
      <c r="D194" s="89"/>
      <c r="E194" s="176"/>
      <c r="F194" s="176"/>
      <c r="G194" s="89"/>
      <c r="H194" s="89"/>
      <c r="I194" s="89"/>
      <c r="J194" s="89"/>
      <c r="K194" s="89"/>
      <c r="L194" s="89"/>
      <c r="M194" s="89"/>
    </row>
    <row r="195" ht="15.75" customHeight="1">
      <c r="A195" s="89"/>
      <c r="B195" s="89"/>
      <c r="C195" s="89"/>
      <c r="D195" s="89"/>
      <c r="E195" s="176"/>
      <c r="F195" s="176"/>
      <c r="G195" s="89"/>
      <c r="H195" s="89"/>
      <c r="I195" s="89"/>
      <c r="J195" s="89"/>
      <c r="K195" s="89"/>
      <c r="L195" s="89"/>
      <c r="M195" s="89"/>
    </row>
    <row r="196" ht="15.75" customHeight="1">
      <c r="A196" s="89"/>
      <c r="B196" s="89"/>
      <c r="C196" s="89"/>
      <c r="D196" s="89"/>
      <c r="E196" s="176"/>
      <c r="F196" s="176"/>
      <c r="G196" s="89"/>
      <c r="H196" s="89"/>
      <c r="I196" s="89"/>
      <c r="J196" s="89"/>
      <c r="K196" s="89"/>
      <c r="L196" s="89"/>
      <c r="M196" s="89"/>
    </row>
    <row r="197" ht="15.75" customHeight="1">
      <c r="A197" s="89"/>
      <c r="B197" s="89"/>
      <c r="C197" s="89"/>
      <c r="D197" s="89"/>
      <c r="E197" s="176"/>
      <c r="F197" s="176"/>
      <c r="G197" s="89"/>
      <c r="H197" s="89"/>
      <c r="I197" s="89"/>
      <c r="J197" s="89"/>
      <c r="K197" s="89"/>
      <c r="L197" s="89"/>
      <c r="M197" s="89"/>
    </row>
    <row r="198" ht="15.75" customHeight="1">
      <c r="A198" s="89"/>
      <c r="B198" s="89"/>
      <c r="C198" s="89"/>
      <c r="D198" s="89"/>
      <c r="E198" s="176"/>
      <c r="F198" s="176"/>
      <c r="G198" s="89"/>
      <c r="H198" s="89"/>
      <c r="I198" s="89"/>
      <c r="J198" s="89"/>
      <c r="K198" s="89"/>
      <c r="L198" s="89"/>
      <c r="M198" s="89"/>
    </row>
    <row r="199" ht="15.75" customHeight="1">
      <c r="A199" s="89"/>
      <c r="B199" s="89"/>
      <c r="C199" s="89"/>
      <c r="D199" s="89"/>
      <c r="E199" s="176"/>
      <c r="F199" s="176"/>
      <c r="G199" s="89"/>
      <c r="H199" s="89"/>
      <c r="I199" s="89"/>
      <c r="J199" s="89"/>
      <c r="K199" s="89"/>
      <c r="L199" s="89"/>
      <c r="M199" s="89"/>
    </row>
    <row r="200" ht="15.75" customHeight="1">
      <c r="A200" s="89"/>
      <c r="B200" s="89"/>
      <c r="C200" s="89"/>
      <c r="D200" s="89"/>
      <c r="E200" s="176"/>
      <c r="F200" s="176"/>
      <c r="G200" s="89"/>
      <c r="H200" s="89"/>
      <c r="I200" s="89"/>
      <c r="J200" s="89"/>
      <c r="K200" s="89"/>
      <c r="L200" s="89"/>
      <c r="M200" s="89"/>
    </row>
    <row r="201" ht="15.75" customHeight="1">
      <c r="A201" s="89"/>
      <c r="B201" s="89"/>
      <c r="C201" s="89"/>
      <c r="D201" s="89"/>
      <c r="E201" s="176"/>
      <c r="F201" s="176"/>
      <c r="G201" s="89"/>
      <c r="H201" s="89"/>
      <c r="I201" s="89"/>
      <c r="J201" s="89"/>
      <c r="K201" s="89"/>
      <c r="L201" s="89"/>
      <c r="M201" s="89"/>
    </row>
    <row r="202" ht="15.75" customHeight="1">
      <c r="A202" s="89"/>
      <c r="B202" s="89"/>
      <c r="C202" s="89"/>
      <c r="D202" s="89"/>
      <c r="E202" s="176"/>
      <c r="F202" s="176"/>
      <c r="G202" s="89"/>
      <c r="H202" s="89"/>
      <c r="I202" s="89"/>
      <c r="J202" s="89"/>
      <c r="K202" s="89"/>
      <c r="L202" s="89"/>
      <c r="M202" s="89"/>
    </row>
    <row r="203" ht="15.75" customHeight="1">
      <c r="A203" s="89"/>
      <c r="B203" s="89"/>
      <c r="C203" s="89"/>
      <c r="D203" s="89"/>
      <c r="E203" s="176"/>
      <c r="F203" s="176"/>
      <c r="G203" s="89"/>
      <c r="H203" s="89"/>
      <c r="I203" s="89"/>
      <c r="J203" s="89"/>
      <c r="K203" s="89"/>
      <c r="L203" s="89"/>
      <c r="M203" s="89"/>
    </row>
    <row r="204" ht="15.75" customHeight="1">
      <c r="A204" s="89"/>
      <c r="B204" s="89"/>
      <c r="C204" s="89"/>
      <c r="D204" s="89"/>
      <c r="E204" s="176"/>
      <c r="F204" s="176"/>
      <c r="G204" s="89"/>
      <c r="H204" s="89"/>
      <c r="I204" s="89"/>
      <c r="J204" s="89"/>
      <c r="K204" s="89"/>
      <c r="L204" s="89"/>
      <c r="M204" s="89"/>
    </row>
    <row r="205" ht="15.75" customHeight="1">
      <c r="A205" s="89"/>
      <c r="B205" s="89"/>
      <c r="C205" s="89"/>
      <c r="D205" s="89"/>
      <c r="E205" s="176"/>
      <c r="F205" s="176"/>
      <c r="G205" s="89"/>
      <c r="H205" s="89"/>
      <c r="I205" s="89"/>
      <c r="J205" s="89"/>
      <c r="K205" s="89"/>
      <c r="L205" s="89"/>
      <c r="M205" s="89"/>
    </row>
    <row r="206" ht="15.75" customHeight="1">
      <c r="A206" s="89"/>
      <c r="B206" s="89"/>
      <c r="C206" s="89"/>
      <c r="D206" s="89"/>
      <c r="E206" s="176"/>
      <c r="F206" s="176"/>
      <c r="G206" s="89"/>
      <c r="H206" s="89"/>
      <c r="I206" s="89"/>
      <c r="J206" s="89"/>
      <c r="K206" s="89"/>
      <c r="L206" s="89"/>
      <c r="M206" s="89"/>
    </row>
    <row r="207" ht="15.75" customHeight="1">
      <c r="A207" s="89"/>
      <c r="B207" s="89"/>
      <c r="C207" s="89"/>
      <c r="D207" s="89"/>
      <c r="E207" s="176"/>
      <c r="F207" s="176"/>
      <c r="G207" s="89"/>
      <c r="H207" s="89"/>
      <c r="I207" s="89"/>
      <c r="J207" s="89"/>
      <c r="K207" s="89"/>
      <c r="L207" s="89"/>
      <c r="M207" s="89"/>
    </row>
    <row r="208" ht="15.75" customHeight="1">
      <c r="A208" s="89"/>
      <c r="B208" s="89"/>
      <c r="C208" s="89"/>
      <c r="D208" s="89"/>
      <c r="E208" s="176"/>
      <c r="F208" s="176"/>
      <c r="G208" s="89"/>
      <c r="H208" s="89"/>
      <c r="I208" s="89"/>
      <c r="J208" s="89"/>
      <c r="K208" s="89"/>
      <c r="L208" s="89"/>
      <c r="M208" s="89"/>
    </row>
    <row r="209" ht="15.75" customHeight="1">
      <c r="A209" s="89"/>
      <c r="B209" s="89"/>
      <c r="C209" s="89"/>
      <c r="D209" s="89"/>
      <c r="E209" s="176"/>
      <c r="F209" s="176"/>
      <c r="G209" s="89"/>
      <c r="H209" s="89"/>
      <c r="I209" s="89"/>
      <c r="J209" s="89"/>
      <c r="K209" s="89"/>
      <c r="L209" s="89"/>
      <c r="M209" s="89"/>
    </row>
    <row r="210" ht="15.75" customHeight="1">
      <c r="A210" s="89"/>
      <c r="B210" s="89"/>
      <c r="C210" s="89"/>
      <c r="D210" s="89"/>
      <c r="E210" s="176"/>
      <c r="F210" s="176"/>
      <c r="G210" s="89"/>
      <c r="H210" s="89"/>
      <c r="I210" s="89"/>
      <c r="J210" s="89"/>
      <c r="K210" s="89"/>
      <c r="L210" s="89"/>
      <c r="M210" s="89"/>
    </row>
    <row r="211" ht="15.75" customHeight="1">
      <c r="A211" s="89"/>
      <c r="B211" s="89"/>
      <c r="C211" s="89"/>
      <c r="D211" s="89"/>
      <c r="E211" s="176"/>
      <c r="F211" s="176"/>
      <c r="G211" s="89"/>
      <c r="H211" s="89"/>
      <c r="I211" s="89"/>
      <c r="J211" s="89"/>
      <c r="K211" s="89"/>
      <c r="L211" s="89"/>
      <c r="M211" s="89"/>
    </row>
    <row r="212" ht="15.75" customHeight="1">
      <c r="A212" s="89"/>
      <c r="B212" s="89"/>
      <c r="C212" s="89"/>
      <c r="D212" s="89"/>
      <c r="E212" s="176"/>
      <c r="F212" s="176"/>
      <c r="G212" s="89"/>
      <c r="H212" s="89"/>
      <c r="I212" s="89"/>
      <c r="J212" s="89"/>
      <c r="K212" s="89"/>
      <c r="L212" s="89"/>
      <c r="M212" s="89"/>
    </row>
    <row r="213" ht="15.75" customHeight="1">
      <c r="A213" s="89"/>
      <c r="B213" s="89"/>
      <c r="C213" s="89"/>
      <c r="D213" s="89"/>
      <c r="E213" s="176"/>
      <c r="F213" s="176"/>
      <c r="G213" s="89"/>
      <c r="H213" s="89"/>
      <c r="I213" s="89"/>
      <c r="J213" s="89"/>
      <c r="K213" s="89"/>
      <c r="L213" s="89"/>
      <c r="M213" s="89"/>
    </row>
    <row r="214" ht="15.75" customHeight="1">
      <c r="A214" s="89"/>
      <c r="B214" s="89"/>
      <c r="C214" s="89"/>
      <c r="D214" s="89"/>
      <c r="E214" s="176"/>
      <c r="F214" s="176"/>
      <c r="G214" s="89"/>
      <c r="H214" s="89"/>
      <c r="I214" s="89"/>
      <c r="J214" s="89"/>
      <c r="K214" s="89"/>
      <c r="L214" s="89"/>
      <c r="M214" s="89"/>
    </row>
    <row r="215" ht="15.75" customHeight="1">
      <c r="A215" s="89"/>
      <c r="B215" s="89"/>
      <c r="C215" s="89"/>
      <c r="D215" s="89"/>
      <c r="E215" s="176"/>
      <c r="F215" s="176"/>
      <c r="G215" s="89"/>
      <c r="H215" s="89"/>
      <c r="I215" s="89"/>
      <c r="J215" s="89"/>
      <c r="K215" s="89"/>
      <c r="L215" s="89"/>
      <c r="M215" s="89"/>
    </row>
    <row r="216" ht="15.75" customHeight="1">
      <c r="A216" s="89"/>
      <c r="B216" s="89"/>
      <c r="C216" s="89"/>
      <c r="D216" s="89"/>
      <c r="E216" s="176"/>
      <c r="F216" s="176"/>
      <c r="G216" s="89"/>
      <c r="H216" s="89"/>
      <c r="I216" s="89"/>
      <c r="J216" s="89"/>
      <c r="K216" s="89"/>
      <c r="L216" s="89"/>
      <c r="M216" s="89"/>
    </row>
    <row r="217" ht="15.75" customHeight="1">
      <c r="A217" s="89"/>
      <c r="B217" s="89"/>
      <c r="C217" s="89"/>
      <c r="D217" s="89"/>
      <c r="E217" s="176"/>
      <c r="F217" s="176"/>
      <c r="G217" s="89"/>
      <c r="H217" s="89"/>
      <c r="I217" s="89"/>
      <c r="J217" s="89"/>
      <c r="K217" s="89"/>
      <c r="L217" s="89"/>
      <c r="M217" s="89"/>
    </row>
    <row r="218" ht="15.75" customHeight="1">
      <c r="A218" s="89"/>
      <c r="B218" s="89"/>
      <c r="C218" s="89"/>
      <c r="D218" s="89"/>
      <c r="E218" s="176"/>
      <c r="F218" s="176"/>
      <c r="G218" s="89"/>
      <c r="H218" s="89"/>
      <c r="I218" s="89"/>
      <c r="J218" s="89"/>
      <c r="K218" s="89"/>
      <c r="L218" s="89"/>
      <c r="M218" s="89"/>
    </row>
    <row r="219" ht="15.75" customHeight="1">
      <c r="A219" s="89"/>
      <c r="B219" s="89"/>
      <c r="C219" s="89"/>
      <c r="D219" s="89"/>
      <c r="E219" s="176"/>
      <c r="F219" s="176"/>
      <c r="G219" s="89"/>
      <c r="H219" s="89"/>
      <c r="I219" s="89"/>
      <c r="J219" s="89"/>
      <c r="K219" s="89"/>
      <c r="L219" s="89"/>
      <c r="M219" s="89"/>
    </row>
    <row r="220" ht="15.75" customHeight="1">
      <c r="A220" s="89"/>
      <c r="B220" s="89"/>
      <c r="C220" s="89"/>
      <c r="D220" s="89"/>
      <c r="E220" s="176"/>
      <c r="F220" s="176"/>
      <c r="G220" s="89"/>
      <c r="H220" s="89"/>
      <c r="I220" s="89"/>
      <c r="J220" s="89"/>
      <c r="K220" s="89"/>
      <c r="L220" s="89"/>
      <c r="M220" s="89"/>
    </row>
    <row r="221" ht="15.75" customHeight="1">
      <c r="A221" s="89"/>
      <c r="B221" s="89"/>
      <c r="C221" s="89"/>
      <c r="D221" s="89"/>
      <c r="E221" s="176"/>
      <c r="F221" s="176"/>
      <c r="G221" s="89"/>
      <c r="H221" s="89"/>
      <c r="I221" s="89"/>
      <c r="J221" s="89"/>
      <c r="K221" s="89"/>
      <c r="L221" s="89"/>
      <c r="M221" s="89"/>
    </row>
    <row r="222" ht="15.75" customHeight="1">
      <c r="A222" s="89"/>
      <c r="B222" s="89"/>
      <c r="C222" s="89"/>
      <c r="D222" s="89"/>
      <c r="E222" s="176"/>
      <c r="F222" s="176"/>
      <c r="G222" s="89"/>
      <c r="H222" s="89"/>
      <c r="I222" s="89"/>
      <c r="J222" s="89"/>
      <c r="K222" s="89"/>
      <c r="L222" s="89"/>
      <c r="M222" s="89"/>
    </row>
    <row r="223" ht="15.75" customHeight="1">
      <c r="A223" s="89"/>
      <c r="B223" s="89"/>
      <c r="C223" s="89"/>
      <c r="D223" s="89"/>
      <c r="E223" s="176"/>
      <c r="F223" s="176"/>
      <c r="G223" s="89"/>
      <c r="H223" s="89"/>
      <c r="I223" s="89"/>
      <c r="J223" s="89"/>
      <c r="K223" s="89"/>
      <c r="L223" s="89"/>
      <c r="M223" s="89"/>
    </row>
    <row r="224" ht="15.75" customHeight="1">
      <c r="A224" s="89"/>
      <c r="B224" s="89"/>
      <c r="C224" s="89"/>
      <c r="D224" s="89"/>
      <c r="E224" s="176"/>
      <c r="F224" s="176"/>
      <c r="G224" s="89"/>
      <c r="H224" s="89"/>
      <c r="I224" s="89"/>
      <c r="J224" s="89"/>
      <c r="K224" s="89"/>
      <c r="L224" s="89"/>
      <c r="M224" s="89"/>
    </row>
    <row r="225" ht="15.75" customHeight="1">
      <c r="A225" s="89"/>
      <c r="B225" s="89"/>
      <c r="C225" s="89"/>
      <c r="D225" s="89"/>
      <c r="E225" s="176"/>
      <c r="F225" s="176"/>
      <c r="G225" s="89"/>
      <c r="H225" s="89"/>
      <c r="I225" s="89"/>
      <c r="J225" s="89"/>
      <c r="K225" s="89"/>
      <c r="L225" s="89"/>
      <c r="M225" s="89"/>
    </row>
    <row r="226" ht="15.75" customHeight="1">
      <c r="A226" s="89"/>
      <c r="B226" s="89"/>
      <c r="C226" s="89"/>
      <c r="D226" s="89"/>
      <c r="E226" s="176"/>
      <c r="F226" s="176"/>
      <c r="G226" s="89"/>
      <c r="H226" s="89"/>
      <c r="I226" s="89"/>
      <c r="J226" s="89"/>
      <c r="K226" s="89"/>
      <c r="L226" s="89"/>
      <c r="M226" s="89"/>
    </row>
    <row r="227" ht="15.75" customHeight="1">
      <c r="A227" s="89"/>
      <c r="B227" s="89"/>
      <c r="C227" s="89"/>
      <c r="D227" s="89"/>
      <c r="E227" s="176"/>
      <c r="F227" s="176"/>
      <c r="G227" s="89"/>
      <c r="H227" s="89"/>
      <c r="I227" s="89"/>
      <c r="J227" s="89"/>
      <c r="K227" s="89"/>
      <c r="L227" s="89"/>
      <c r="M227" s="89"/>
    </row>
    <row r="228" ht="15.75" customHeight="1">
      <c r="A228" s="89"/>
      <c r="B228" s="89"/>
      <c r="C228" s="89"/>
      <c r="D228" s="89"/>
      <c r="E228" s="176"/>
      <c r="F228" s="176"/>
      <c r="G228" s="89"/>
      <c r="H228" s="89"/>
      <c r="I228" s="89"/>
      <c r="J228" s="89"/>
      <c r="K228" s="89"/>
      <c r="L228" s="89"/>
      <c r="M228" s="89"/>
    </row>
    <row r="229" ht="15.75" customHeight="1">
      <c r="A229" s="89"/>
      <c r="B229" s="89"/>
      <c r="C229" s="89"/>
      <c r="D229" s="89"/>
      <c r="E229" s="176"/>
      <c r="F229" s="176"/>
      <c r="G229" s="89"/>
      <c r="H229" s="89"/>
      <c r="I229" s="89"/>
      <c r="J229" s="89"/>
      <c r="K229" s="89"/>
      <c r="L229" s="89"/>
      <c r="M229" s="89"/>
    </row>
    <row r="230" ht="15.75" customHeight="1">
      <c r="A230" s="89"/>
      <c r="B230" s="89"/>
      <c r="C230" s="89"/>
      <c r="D230" s="89"/>
      <c r="E230" s="176"/>
      <c r="F230" s="176"/>
      <c r="G230" s="89"/>
      <c r="H230" s="89"/>
      <c r="I230" s="89"/>
      <c r="J230" s="89"/>
      <c r="K230" s="89"/>
      <c r="L230" s="89"/>
      <c r="M230" s="89"/>
    </row>
    <row r="231" ht="15.75" customHeight="1">
      <c r="A231" s="89"/>
      <c r="B231" s="89"/>
      <c r="C231" s="89"/>
      <c r="D231" s="89"/>
      <c r="E231" s="176"/>
      <c r="F231" s="176"/>
      <c r="G231" s="89"/>
      <c r="H231" s="89"/>
      <c r="I231" s="89"/>
      <c r="J231" s="89"/>
      <c r="K231" s="89"/>
      <c r="L231" s="89"/>
      <c r="M231" s="89"/>
    </row>
    <row r="232" ht="15.75" customHeight="1">
      <c r="A232" s="89"/>
      <c r="B232" s="89"/>
      <c r="C232" s="89"/>
      <c r="D232" s="89"/>
      <c r="E232" s="176"/>
      <c r="F232" s="176"/>
      <c r="G232" s="89"/>
      <c r="H232" s="89"/>
      <c r="I232" s="89"/>
      <c r="J232" s="89"/>
      <c r="K232" s="89"/>
      <c r="L232" s="89"/>
      <c r="M232" s="89"/>
    </row>
    <row r="233" ht="15.75" customHeight="1">
      <c r="A233" s="89"/>
      <c r="B233" s="89"/>
      <c r="C233" s="89"/>
      <c r="D233" s="89"/>
      <c r="E233" s="176"/>
      <c r="F233" s="176"/>
      <c r="G233" s="89"/>
      <c r="H233" s="89"/>
      <c r="I233" s="89"/>
      <c r="J233" s="89"/>
      <c r="K233" s="89"/>
      <c r="L233" s="89"/>
      <c r="M233" s="89"/>
    </row>
    <row r="234" ht="15.75" customHeight="1">
      <c r="A234" s="89"/>
      <c r="B234" s="89"/>
      <c r="C234" s="89"/>
      <c r="D234" s="89"/>
      <c r="E234" s="176"/>
      <c r="F234" s="176"/>
      <c r="G234" s="89"/>
      <c r="H234" s="89"/>
      <c r="I234" s="89"/>
      <c r="J234" s="89"/>
      <c r="K234" s="89"/>
      <c r="L234" s="89"/>
      <c r="M234" s="89"/>
    </row>
    <row r="235" ht="15.75" customHeight="1">
      <c r="A235" s="89"/>
      <c r="B235" s="89"/>
      <c r="C235" s="89"/>
      <c r="D235" s="89"/>
      <c r="E235" s="176"/>
      <c r="F235" s="176"/>
      <c r="G235" s="89"/>
      <c r="H235" s="89"/>
      <c r="I235" s="89"/>
      <c r="J235" s="89"/>
      <c r="K235" s="89"/>
      <c r="L235" s="89"/>
      <c r="M235" s="89"/>
    </row>
    <row r="236" ht="15.75" customHeight="1">
      <c r="A236" s="89"/>
      <c r="B236" s="89"/>
      <c r="C236" s="89"/>
      <c r="D236" s="89"/>
      <c r="E236" s="176"/>
      <c r="F236" s="176"/>
      <c r="G236" s="89"/>
      <c r="H236" s="89"/>
      <c r="I236" s="89"/>
      <c r="J236" s="89"/>
      <c r="K236" s="89"/>
      <c r="L236" s="89"/>
      <c r="M236" s="89"/>
    </row>
    <row r="237" ht="15.75" customHeight="1">
      <c r="A237" s="89"/>
      <c r="B237" s="89"/>
      <c r="C237" s="89"/>
      <c r="D237" s="89"/>
      <c r="E237" s="176"/>
      <c r="F237" s="176"/>
      <c r="G237" s="89"/>
      <c r="H237" s="89"/>
      <c r="I237" s="89"/>
      <c r="J237" s="89"/>
      <c r="K237" s="89"/>
      <c r="L237" s="89"/>
      <c r="M237" s="89"/>
    </row>
    <row r="238" ht="15.75" customHeight="1">
      <c r="A238" s="89"/>
      <c r="B238" s="89"/>
      <c r="C238" s="89"/>
      <c r="D238" s="89"/>
      <c r="E238" s="176"/>
      <c r="F238" s="176"/>
      <c r="G238" s="89"/>
      <c r="H238" s="89"/>
      <c r="I238" s="89"/>
      <c r="J238" s="89"/>
      <c r="K238" s="89"/>
      <c r="L238" s="89"/>
      <c r="M238" s="89"/>
    </row>
    <row r="239" ht="15.75" customHeight="1">
      <c r="A239" s="89"/>
      <c r="B239" s="89"/>
      <c r="C239" s="89"/>
      <c r="D239" s="89"/>
      <c r="E239" s="176"/>
      <c r="F239" s="176"/>
      <c r="G239" s="89"/>
      <c r="H239" s="89"/>
      <c r="I239" s="89"/>
      <c r="J239" s="89"/>
      <c r="K239" s="89"/>
      <c r="L239" s="89"/>
      <c r="M239" s="89"/>
    </row>
    <row r="240" ht="15.75" customHeight="1">
      <c r="A240" s="89"/>
      <c r="B240" s="89"/>
      <c r="C240" s="89"/>
      <c r="D240" s="89"/>
      <c r="E240" s="176"/>
      <c r="F240" s="176"/>
      <c r="G240" s="89"/>
      <c r="H240" s="89"/>
      <c r="I240" s="89"/>
      <c r="J240" s="89"/>
      <c r="K240" s="89"/>
      <c r="L240" s="89"/>
      <c r="M240" s="89"/>
    </row>
    <row r="241" ht="15.75" customHeight="1">
      <c r="A241" s="89"/>
      <c r="B241" s="89"/>
      <c r="C241" s="89"/>
      <c r="D241" s="89"/>
      <c r="E241" s="176"/>
      <c r="F241" s="176"/>
      <c r="G241" s="89"/>
      <c r="H241" s="89"/>
      <c r="I241" s="89"/>
      <c r="J241" s="89"/>
      <c r="K241" s="89"/>
      <c r="L241" s="89"/>
      <c r="M241" s="89"/>
    </row>
    <row r="242" ht="15.75" customHeight="1">
      <c r="A242" s="89"/>
      <c r="B242" s="89"/>
      <c r="C242" s="89"/>
      <c r="D242" s="89"/>
      <c r="E242" s="176"/>
      <c r="F242" s="176"/>
      <c r="G242" s="89"/>
      <c r="H242" s="89"/>
      <c r="I242" s="89"/>
      <c r="J242" s="89"/>
      <c r="K242" s="89"/>
      <c r="L242" s="89"/>
      <c r="M242" s="89"/>
    </row>
    <row r="243" ht="15.75" customHeight="1">
      <c r="A243" s="89"/>
      <c r="B243" s="89"/>
      <c r="C243" s="89"/>
      <c r="D243" s="89"/>
      <c r="E243" s="176"/>
      <c r="F243" s="176"/>
      <c r="G243" s="89"/>
      <c r="H243" s="89"/>
      <c r="I243" s="89"/>
      <c r="J243" s="89"/>
      <c r="K243" s="89"/>
      <c r="L243" s="89"/>
      <c r="M243" s="89"/>
    </row>
    <row r="244" ht="15.75" customHeight="1">
      <c r="A244" s="89"/>
      <c r="B244" s="89"/>
      <c r="C244" s="89"/>
      <c r="D244" s="89"/>
      <c r="E244" s="176"/>
      <c r="F244" s="176"/>
      <c r="G244" s="89"/>
      <c r="H244" s="89"/>
      <c r="I244" s="89"/>
      <c r="J244" s="89"/>
      <c r="K244" s="89"/>
      <c r="L244" s="89"/>
      <c r="M244" s="89"/>
    </row>
    <row r="245" ht="15.75" customHeight="1">
      <c r="A245" s="89"/>
      <c r="B245" s="89"/>
      <c r="C245" s="89"/>
      <c r="D245" s="89"/>
      <c r="E245" s="176"/>
      <c r="F245" s="176"/>
      <c r="G245" s="89"/>
      <c r="H245" s="89"/>
      <c r="I245" s="89"/>
      <c r="J245" s="89"/>
      <c r="K245" s="89"/>
      <c r="L245" s="89"/>
      <c r="M245" s="89"/>
    </row>
    <row r="246" ht="15.75" customHeight="1">
      <c r="A246" s="89"/>
      <c r="B246" s="89"/>
      <c r="C246" s="89"/>
      <c r="D246" s="89"/>
      <c r="E246" s="176"/>
      <c r="F246" s="176"/>
      <c r="G246" s="89"/>
      <c r="H246" s="89"/>
      <c r="I246" s="89"/>
      <c r="J246" s="89"/>
      <c r="K246" s="89"/>
      <c r="L246" s="89"/>
      <c r="M246" s="89"/>
    </row>
    <row r="247" ht="15.75" customHeight="1">
      <c r="A247" s="89"/>
      <c r="B247" s="89"/>
      <c r="C247" s="89"/>
      <c r="D247" s="89"/>
      <c r="E247" s="176"/>
      <c r="F247" s="176"/>
      <c r="G247" s="89"/>
      <c r="H247" s="89"/>
      <c r="I247" s="89"/>
      <c r="J247" s="89"/>
      <c r="K247" s="89"/>
      <c r="L247" s="89"/>
      <c r="M247" s="89"/>
    </row>
    <row r="248" ht="15.75" customHeight="1">
      <c r="A248" s="89"/>
      <c r="B248" s="89"/>
      <c r="C248" s="89"/>
      <c r="D248" s="89"/>
      <c r="E248" s="176"/>
      <c r="F248" s="176"/>
      <c r="G248" s="89"/>
      <c r="H248" s="89"/>
      <c r="I248" s="89"/>
      <c r="J248" s="89"/>
      <c r="K248" s="89"/>
      <c r="L248" s="89"/>
      <c r="M248" s="89"/>
    </row>
    <row r="249" ht="15.75" customHeight="1">
      <c r="A249" s="89"/>
      <c r="B249" s="89"/>
      <c r="C249" s="89"/>
      <c r="D249" s="89"/>
      <c r="E249" s="176"/>
      <c r="F249" s="176"/>
      <c r="G249" s="89"/>
      <c r="H249" s="89"/>
      <c r="I249" s="89"/>
      <c r="J249" s="89"/>
      <c r="K249" s="89"/>
      <c r="L249" s="89"/>
      <c r="M249" s="89"/>
    </row>
    <row r="250" ht="15.75" customHeight="1">
      <c r="A250" s="89"/>
      <c r="B250" s="89"/>
      <c r="C250" s="89"/>
      <c r="D250" s="89"/>
      <c r="E250" s="176"/>
      <c r="F250" s="176"/>
      <c r="G250" s="89"/>
      <c r="H250" s="89"/>
      <c r="I250" s="89"/>
      <c r="J250" s="89"/>
      <c r="K250" s="89"/>
      <c r="L250" s="89"/>
      <c r="M250" s="89"/>
    </row>
    <row r="251" ht="15.75" customHeight="1">
      <c r="A251" s="89"/>
      <c r="B251" s="89"/>
      <c r="C251" s="89"/>
      <c r="D251" s="89"/>
      <c r="E251" s="176"/>
      <c r="F251" s="176"/>
      <c r="G251" s="89"/>
      <c r="H251" s="89"/>
      <c r="I251" s="89"/>
      <c r="J251" s="89"/>
      <c r="K251" s="89"/>
      <c r="L251" s="89"/>
      <c r="M251" s="89"/>
    </row>
    <row r="252" ht="15.75" customHeight="1">
      <c r="A252" s="89"/>
      <c r="B252" s="89"/>
      <c r="C252" s="89"/>
      <c r="D252" s="89"/>
      <c r="E252" s="176"/>
      <c r="F252" s="176"/>
      <c r="G252" s="89"/>
      <c r="H252" s="89"/>
      <c r="I252" s="89"/>
      <c r="J252" s="89"/>
      <c r="K252" s="89"/>
      <c r="L252" s="89"/>
      <c r="M252" s="89"/>
    </row>
    <row r="253" ht="15.75" customHeight="1">
      <c r="A253" s="89"/>
      <c r="B253" s="89"/>
      <c r="C253" s="89"/>
      <c r="D253" s="89"/>
      <c r="E253" s="176"/>
      <c r="F253" s="176"/>
      <c r="G253" s="89"/>
      <c r="H253" s="89"/>
      <c r="I253" s="89"/>
      <c r="J253" s="89"/>
      <c r="K253" s="89"/>
      <c r="L253" s="89"/>
      <c r="M253" s="89"/>
    </row>
    <row r="254" ht="15.75" customHeight="1">
      <c r="A254" s="89"/>
      <c r="B254" s="89"/>
      <c r="C254" s="89"/>
      <c r="D254" s="89"/>
      <c r="E254" s="176"/>
      <c r="F254" s="176"/>
      <c r="G254" s="89"/>
      <c r="H254" s="89"/>
      <c r="I254" s="89"/>
      <c r="J254" s="89"/>
      <c r="K254" s="89"/>
      <c r="L254" s="89"/>
      <c r="M254" s="89"/>
    </row>
    <row r="255" ht="15.75" customHeight="1">
      <c r="A255" s="89"/>
      <c r="B255" s="89"/>
      <c r="C255" s="89"/>
      <c r="D255" s="89"/>
      <c r="E255" s="176"/>
      <c r="F255" s="176"/>
      <c r="G255" s="89"/>
      <c r="H255" s="89"/>
      <c r="I255" s="89"/>
      <c r="J255" s="89"/>
      <c r="K255" s="89"/>
      <c r="L255" s="89"/>
      <c r="M255" s="89"/>
    </row>
    <row r="256" ht="15.75" customHeight="1">
      <c r="A256" s="89"/>
      <c r="B256" s="89"/>
      <c r="C256" s="89"/>
      <c r="D256" s="89"/>
      <c r="E256" s="176"/>
      <c r="F256" s="176"/>
      <c r="G256" s="89"/>
      <c r="H256" s="89"/>
      <c r="I256" s="89"/>
      <c r="J256" s="89"/>
      <c r="K256" s="89"/>
      <c r="L256" s="89"/>
      <c r="M256" s="89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M11:M47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55" footer="0.0" header="0.0" left="0.2362204724409449" right="0.2362204724409449" top="0.63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EDED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3.71"/>
    <col customWidth="1" min="2" max="2" width="22.29"/>
    <col customWidth="1" min="3" max="4" width="24.14"/>
    <col customWidth="1" min="5" max="6" width="26.43"/>
    <col customWidth="1" min="7" max="7" width="20.71"/>
    <col customWidth="1" min="8" max="8" width="17.0"/>
    <col customWidth="1" min="9" max="9" width="21.0"/>
    <col customWidth="1" min="10" max="10" width="18.29"/>
    <col customWidth="1" min="11" max="11" width="20.14"/>
    <col customWidth="1" min="12" max="12" width="20.57"/>
    <col customWidth="1" min="13" max="13" width="27.29"/>
  </cols>
  <sheetData>
    <row r="1" ht="21.75" customHeight="1">
      <c r="A1" s="197" t="s">
        <v>0</v>
      </c>
      <c r="B1" s="170" t="s">
        <v>0</v>
      </c>
      <c r="C1" s="150"/>
      <c r="D1" s="150"/>
      <c r="E1" s="150"/>
      <c r="F1" s="150"/>
      <c r="G1" s="150"/>
      <c r="H1" s="150"/>
    </row>
    <row r="2" ht="21.75" customHeight="1">
      <c r="A2" s="198" t="s">
        <v>90</v>
      </c>
      <c r="B2" s="170"/>
      <c r="C2" s="150"/>
      <c r="D2" s="150"/>
      <c r="E2" s="150"/>
      <c r="F2" s="150"/>
      <c r="G2" s="150"/>
      <c r="H2" s="150"/>
      <c r="I2" s="199"/>
    </row>
    <row r="3">
      <c r="A3" s="200" t="s">
        <v>497</v>
      </c>
      <c r="B3" s="201"/>
      <c r="C3" s="201"/>
      <c r="D3" s="201"/>
      <c r="E3" s="201"/>
      <c r="F3" s="201"/>
      <c r="G3" s="201"/>
      <c r="H3" s="201"/>
      <c r="L3" s="201"/>
      <c r="M3" s="201"/>
    </row>
    <row r="4">
      <c r="A4" s="200" t="s">
        <v>498</v>
      </c>
      <c r="B4" s="201"/>
      <c r="C4" s="201"/>
      <c r="D4" s="201"/>
      <c r="E4" s="201"/>
      <c r="F4" s="201"/>
      <c r="G4" s="201"/>
      <c r="H4" s="201"/>
      <c r="L4" s="201"/>
      <c r="M4" s="201"/>
    </row>
    <row r="5">
      <c r="A5" s="200" t="s">
        <v>499</v>
      </c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</row>
    <row r="6">
      <c r="A6" s="202"/>
      <c r="B6" s="202"/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</row>
    <row r="7" ht="29.25" customHeight="1">
      <c r="A7" s="91" t="s">
        <v>5</v>
      </c>
      <c r="B7" s="91" t="s">
        <v>6</v>
      </c>
      <c r="C7" s="92" t="s">
        <v>93</v>
      </c>
      <c r="D7" s="93"/>
      <c r="E7" s="203" t="s">
        <v>94</v>
      </c>
      <c r="F7" s="93"/>
      <c r="G7" s="204" t="s">
        <v>95</v>
      </c>
      <c r="H7" s="16"/>
      <c r="I7" s="16"/>
      <c r="J7" s="16"/>
      <c r="K7" s="16"/>
      <c r="L7" s="15"/>
      <c r="M7" s="205" t="s">
        <v>500</v>
      </c>
    </row>
    <row r="8" ht="21.0" customHeight="1">
      <c r="A8" s="18"/>
      <c r="B8" s="18"/>
      <c r="C8" s="97"/>
      <c r="D8" s="98"/>
      <c r="E8" s="97"/>
      <c r="F8" s="98"/>
      <c r="G8" s="204" t="s">
        <v>13</v>
      </c>
      <c r="H8" s="15"/>
      <c r="I8" s="204" t="s">
        <v>14</v>
      </c>
      <c r="J8" s="15"/>
      <c r="K8" s="204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203" t="s">
        <v>10</v>
      </c>
      <c r="F9" s="93"/>
      <c r="G9" s="206" t="s">
        <v>18</v>
      </c>
      <c r="H9" s="207" t="s">
        <v>98</v>
      </c>
      <c r="I9" s="206" t="s">
        <v>18</v>
      </c>
      <c r="J9" s="207" t="s">
        <v>98</v>
      </c>
      <c r="K9" s="206" t="s">
        <v>18</v>
      </c>
      <c r="L9" s="207" t="s">
        <v>98</v>
      </c>
      <c r="M9" s="18"/>
    </row>
    <row r="10" ht="73.5" customHeight="1">
      <c r="A10" s="25"/>
      <c r="B10" s="25"/>
      <c r="C10" s="25"/>
      <c r="D10" s="25"/>
      <c r="E10" s="208" t="s">
        <v>18</v>
      </c>
      <c r="F10" s="207" t="s">
        <v>98</v>
      </c>
      <c r="G10" s="25"/>
      <c r="H10" s="25"/>
      <c r="I10" s="25"/>
      <c r="J10" s="25"/>
      <c r="K10" s="25"/>
      <c r="L10" s="25"/>
      <c r="M10" s="25"/>
    </row>
    <row r="11">
      <c r="A11" s="209" t="s">
        <v>100</v>
      </c>
      <c r="B11" s="134"/>
      <c r="C11" s="210"/>
      <c r="D11" s="211">
        <v>405.46</v>
      </c>
      <c r="E11" s="212"/>
      <c r="F11" s="212">
        <f>F12</f>
        <v>405.46</v>
      </c>
      <c r="G11" s="212"/>
      <c r="H11" s="212">
        <f>H12</f>
        <v>1630</v>
      </c>
      <c r="I11" s="213"/>
      <c r="J11" s="213"/>
      <c r="K11" s="212"/>
      <c r="L11" s="212">
        <f>L12</f>
        <v>1630</v>
      </c>
      <c r="M11" s="213"/>
    </row>
    <row r="12">
      <c r="A12" s="209" t="s">
        <v>101</v>
      </c>
      <c r="B12" s="134"/>
      <c r="C12" s="210"/>
      <c r="D12" s="211">
        <v>405.46</v>
      </c>
      <c r="E12" s="134"/>
      <c r="F12" s="214">
        <f>SUM(F15:F17)</f>
        <v>405.46</v>
      </c>
      <c r="G12" s="214"/>
      <c r="H12" s="214">
        <f>SUM(H15:H24)</f>
        <v>1630</v>
      </c>
      <c r="I12" s="213"/>
      <c r="J12" s="213"/>
      <c r="K12" s="214"/>
      <c r="L12" s="214">
        <f>SUM(L15:L24)</f>
        <v>1630</v>
      </c>
      <c r="M12" s="213"/>
    </row>
    <row r="13">
      <c r="A13" s="209" t="s">
        <v>501</v>
      </c>
      <c r="B13" s="134"/>
      <c r="C13" s="134"/>
      <c r="D13" s="215"/>
      <c r="E13" s="134"/>
      <c r="F13" s="215"/>
      <c r="G13" s="215"/>
      <c r="H13" s="215"/>
      <c r="I13" s="215"/>
      <c r="J13" s="215"/>
      <c r="K13" s="215"/>
      <c r="L13" s="215"/>
      <c r="M13" s="215"/>
    </row>
    <row r="14" ht="25.5" customHeight="1">
      <c r="A14" s="209" t="s">
        <v>502</v>
      </c>
      <c r="B14" s="134"/>
      <c r="C14" s="134"/>
      <c r="D14" s="215"/>
      <c r="E14" s="134"/>
      <c r="F14" s="215"/>
      <c r="G14" s="215"/>
      <c r="H14" s="215"/>
      <c r="I14" s="215"/>
      <c r="J14" s="215"/>
      <c r="K14" s="215"/>
      <c r="L14" s="215"/>
      <c r="M14" s="215"/>
    </row>
    <row r="15">
      <c r="A15" s="134" t="s">
        <v>503</v>
      </c>
      <c r="B15" s="125" t="s">
        <v>43</v>
      </c>
      <c r="C15" s="216">
        <v>425.0</v>
      </c>
      <c r="D15" s="217">
        <v>405.46</v>
      </c>
      <c r="E15" s="218">
        <v>425.0</v>
      </c>
      <c r="F15" s="219">
        <v>405.46</v>
      </c>
      <c r="G15" s="220">
        <v>250.0</v>
      </c>
      <c r="H15" s="221">
        <f>250*0.5</f>
        <v>125</v>
      </c>
      <c r="I15" s="221"/>
      <c r="J15" s="221"/>
      <c r="K15" s="220">
        <v>250.0</v>
      </c>
      <c r="L15" s="221">
        <f>250*0.5</f>
        <v>125</v>
      </c>
      <c r="M15" s="221"/>
    </row>
    <row r="16">
      <c r="A16" s="134" t="s">
        <v>504</v>
      </c>
      <c r="B16" s="125" t="s">
        <v>43</v>
      </c>
      <c r="C16" s="222"/>
      <c r="D16" s="223"/>
      <c r="E16" s="224"/>
      <c r="F16" s="221"/>
      <c r="G16" s="221"/>
      <c r="H16" s="221"/>
      <c r="I16" s="221"/>
      <c r="J16" s="221"/>
      <c r="K16" s="221"/>
      <c r="L16" s="221"/>
      <c r="M16" s="221"/>
    </row>
    <row r="17" hidden="1">
      <c r="A17" s="209" t="s">
        <v>505</v>
      </c>
      <c r="B17" s="134"/>
      <c r="C17" s="134"/>
      <c r="D17" s="215"/>
      <c r="E17" s="134"/>
      <c r="F17" s="215"/>
      <c r="G17" s="221"/>
      <c r="H17" s="221"/>
      <c r="I17" s="221"/>
      <c r="J17" s="221"/>
      <c r="K17" s="221"/>
      <c r="L17" s="221"/>
      <c r="M17" s="221"/>
    </row>
    <row r="18" hidden="1">
      <c r="A18" s="134" t="s">
        <v>506</v>
      </c>
      <c r="B18" s="125" t="s">
        <v>43</v>
      </c>
      <c r="C18" s="134"/>
      <c r="D18" s="215"/>
      <c r="E18" s="134"/>
      <c r="F18" s="215"/>
      <c r="G18" s="221"/>
      <c r="H18" s="221"/>
      <c r="I18" s="221"/>
      <c r="J18" s="221"/>
      <c r="K18" s="221"/>
      <c r="L18" s="221"/>
      <c r="M18" s="221"/>
    </row>
    <row r="19">
      <c r="A19" s="134"/>
      <c r="B19" s="134"/>
      <c r="C19" s="134"/>
      <c r="D19" s="215"/>
      <c r="E19" s="134"/>
      <c r="F19" s="215"/>
      <c r="G19" s="221"/>
      <c r="H19" s="221"/>
      <c r="I19" s="221"/>
      <c r="J19" s="221"/>
      <c r="K19" s="221"/>
      <c r="L19" s="221"/>
      <c r="M19" s="221"/>
    </row>
    <row r="20" ht="31.5" customHeight="1">
      <c r="A20" s="209" t="s">
        <v>507</v>
      </c>
      <c r="B20" s="134"/>
      <c r="C20" s="134"/>
      <c r="D20" s="215"/>
      <c r="E20" s="134"/>
      <c r="F20" s="215"/>
      <c r="G20" s="221"/>
      <c r="H20" s="221"/>
      <c r="I20" s="221"/>
      <c r="J20" s="221"/>
      <c r="K20" s="221"/>
      <c r="L20" s="221"/>
      <c r="M20" s="221"/>
    </row>
    <row r="21" ht="19.5" customHeight="1">
      <c r="A21" s="134" t="s">
        <v>508</v>
      </c>
      <c r="B21" s="125" t="s">
        <v>43</v>
      </c>
      <c r="C21" s="134"/>
      <c r="D21" s="215"/>
      <c r="E21" s="134"/>
      <c r="F21" s="215"/>
      <c r="G21" s="220">
        <v>70000.0</v>
      </c>
      <c r="H21" s="221">
        <f>G21*15/1000</f>
        <v>1050</v>
      </c>
      <c r="I21" s="221"/>
      <c r="J21" s="221"/>
      <c r="K21" s="220">
        <v>70000.0</v>
      </c>
      <c r="L21" s="221">
        <f>K21*15/1000</f>
        <v>1050</v>
      </c>
      <c r="M21" s="221"/>
    </row>
    <row r="22" ht="19.5" customHeight="1">
      <c r="A22" s="225" t="s">
        <v>505</v>
      </c>
      <c r="B22" s="134"/>
      <c r="C22" s="134"/>
      <c r="D22" s="215"/>
      <c r="E22" s="134"/>
      <c r="F22" s="215"/>
      <c r="G22" s="221"/>
      <c r="H22" s="221"/>
      <c r="I22" s="221"/>
      <c r="J22" s="221"/>
      <c r="K22" s="221"/>
      <c r="L22" s="221"/>
      <c r="M22" s="221"/>
    </row>
    <row r="23" ht="19.5" customHeight="1">
      <c r="A23" s="226" t="s">
        <v>509</v>
      </c>
      <c r="B23" s="134"/>
      <c r="C23" s="134"/>
      <c r="D23" s="215"/>
      <c r="E23" s="134"/>
      <c r="F23" s="215"/>
      <c r="G23" s="220">
        <v>660.0</v>
      </c>
      <c r="H23" s="221">
        <f t="shared" ref="H23:H24" si="1">G23*0.5</f>
        <v>330</v>
      </c>
      <c r="I23" s="221"/>
      <c r="J23" s="221"/>
      <c r="K23" s="220">
        <v>660.0</v>
      </c>
      <c r="L23" s="221">
        <f t="shared" ref="L23:L24" si="2">K23*0.5</f>
        <v>330</v>
      </c>
      <c r="M23" s="221"/>
    </row>
    <row r="24" ht="19.5" customHeight="1">
      <c r="A24" s="226" t="s">
        <v>510</v>
      </c>
      <c r="B24" s="134"/>
      <c r="C24" s="134"/>
      <c r="D24" s="215"/>
      <c r="E24" s="134"/>
      <c r="F24" s="215"/>
      <c r="G24" s="220">
        <v>250.0</v>
      </c>
      <c r="H24" s="221">
        <f t="shared" si="1"/>
        <v>125</v>
      </c>
      <c r="I24" s="221"/>
      <c r="J24" s="221"/>
      <c r="K24" s="220">
        <v>250.0</v>
      </c>
      <c r="L24" s="221">
        <f t="shared" si="2"/>
        <v>125</v>
      </c>
      <c r="M24" s="221"/>
    </row>
    <row r="25" ht="44.25" hidden="1" customHeight="1">
      <c r="A25" s="227" t="s">
        <v>511</v>
      </c>
      <c r="B25" s="134"/>
      <c r="C25" s="134"/>
      <c r="D25" s="215"/>
      <c r="E25" s="134"/>
      <c r="F25" s="215"/>
      <c r="G25" s="221"/>
      <c r="H25" s="221"/>
      <c r="I25" s="221"/>
      <c r="J25" s="221"/>
      <c r="K25" s="221"/>
      <c r="L25" s="221"/>
      <c r="M25" s="221"/>
    </row>
    <row r="26" ht="15.75" hidden="1" customHeight="1">
      <c r="A26" s="134" t="s">
        <v>512</v>
      </c>
      <c r="B26" s="125" t="s">
        <v>513</v>
      </c>
      <c r="C26" s="134"/>
      <c r="D26" s="215"/>
      <c r="E26" s="134"/>
      <c r="F26" s="215"/>
      <c r="G26" s="215"/>
      <c r="H26" s="215"/>
      <c r="I26" s="215"/>
      <c r="J26" s="215"/>
      <c r="K26" s="215"/>
      <c r="L26" s="215"/>
      <c r="M26" s="215"/>
    </row>
    <row r="27" ht="15.75" hidden="1" customHeight="1">
      <c r="A27" s="134"/>
      <c r="B27" s="134"/>
      <c r="C27" s="134"/>
      <c r="D27" s="215"/>
      <c r="E27" s="134"/>
      <c r="F27" s="215"/>
      <c r="G27" s="215"/>
      <c r="H27" s="215"/>
      <c r="I27" s="215"/>
      <c r="J27" s="215"/>
      <c r="K27" s="215"/>
      <c r="L27" s="215"/>
      <c r="M27" s="215"/>
    </row>
    <row r="28" ht="46.5" customHeight="1">
      <c r="A28" s="209" t="s">
        <v>352</v>
      </c>
      <c r="B28" s="134"/>
      <c r="C28" s="210"/>
      <c r="D28" s="211">
        <f>D29</f>
        <v>3800</v>
      </c>
      <c r="E28" s="134"/>
      <c r="F28" s="214">
        <f>F29</f>
        <v>0</v>
      </c>
      <c r="G28" s="228"/>
      <c r="H28" s="228"/>
      <c r="I28" s="228"/>
      <c r="J28" s="228"/>
      <c r="K28" s="228"/>
      <c r="L28" s="228"/>
      <c r="M28" s="228"/>
    </row>
    <row r="29" ht="44.25" customHeight="1">
      <c r="A29" s="209" t="s">
        <v>353</v>
      </c>
      <c r="B29" s="134"/>
      <c r="C29" s="210"/>
      <c r="D29" s="211">
        <f>D33</f>
        <v>3800</v>
      </c>
      <c r="E29" s="134"/>
      <c r="F29" s="214">
        <f>SUM(F32:F36)</f>
        <v>0</v>
      </c>
      <c r="G29" s="228"/>
      <c r="H29" s="228"/>
      <c r="I29" s="228"/>
      <c r="J29" s="228"/>
      <c r="K29" s="228"/>
      <c r="L29" s="228"/>
      <c r="M29" s="228"/>
    </row>
    <row r="30" ht="43.5" customHeight="1">
      <c r="A30" s="134" t="s">
        <v>514</v>
      </c>
      <c r="B30" s="125" t="s">
        <v>515</v>
      </c>
      <c r="C30" s="134"/>
      <c r="D30" s="215"/>
      <c r="E30" s="134"/>
      <c r="F30" s="215"/>
      <c r="G30" s="215"/>
      <c r="H30" s="215"/>
      <c r="I30" s="215"/>
      <c r="J30" s="215"/>
      <c r="K30" s="215"/>
      <c r="L30" s="215"/>
      <c r="M30" s="215"/>
    </row>
    <row r="31" ht="22.5" customHeight="1">
      <c r="A31" s="134" t="s">
        <v>516</v>
      </c>
      <c r="B31" s="125" t="s">
        <v>515</v>
      </c>
      <c r="C31" s="134"/>
      <c r="D31" s="215"/>
      <c r="E31" s="134"/>
      <c r="F31" s="215"/>
      <c r="G31" s="215"/>
      <c r="H31" s="215"/>
      <c r="I31" s="215"/>
      <c r="J31" s="215"/>
      <c r="K31" s="215"/>
      <c r="L31" s="215"/>
      <c r="M31" s="215"/>
    </row>
    <row r="32" ht="22.5" customHeight="1">
      <c r="A32" s="132" t="s">
        <v>517</v>
      </c>
      <c r="B32" s="125" t="s">
        <v>515</v>
      </c>
      <c r="C32" s="134"/>
      <c r="D32" s="215"/>
      <c r="E32" s="134"/>
      <c r="F32" s="215"/>
      <c r="G32" s="221"/>
      <c r="H32" s="221"/>
      <c r="I32" s="221"/>
      <c r="J32" s="221"/>
      <c r="K32" s="221"/>
      <c r="L32" s="221"/>
      <c r="M32" s="221"/>
    </row>
    <row r="33" ht="22.5" customHeight="1">
      <c r="A33" s="132" t="s">
        <v>518</v>
      </c>
      <c r="B33" s="125" t="s">
        <v>515</v>
      </c>
      <c r="C33" s="216">
        <v>1.0</v>
      </c>
      <c r="D33" s="217">
        <v>3800.0</v>
      </c>
      <c r="E33" s="218"/>
      <c r="F33" s="219"/>
      <c r="G33" s="221"/>
      <c r="H33" s="221"/>
      <c r="I33" s="221"/>
      <c r="J33" s="221"/>
      <c r="K33" s="221"/>
      <c r="L33" s="221"/>
      <c r="M33" s="221"/>
    </row>
    <row r="34" ht="22.5" hidden="1" customHeight="1">
      <c r="A34" s="132" t="s">
        <v>519</v>
      </c>
      <c r="B34" s="125" t="s">
        <v>515</v>
      </c>
      <c r="C34" s="222"/>
      <c r="D34" s="223"/>
      <c r="E34" s="229"/>
      <c r="F34" s="230"/>
      <c r="G34" s="221"/>
      <c r="H34" s="221"/>
      <c r="I34" s="221"/>
      <c r="J34" s="221"/>
      <c r="K34" s="221"/>
      <c r="L34" s="221"/>
      <c r="M34" s="221"/>
    </row>
    <row r="35" ht="22.5" hidden="1" customHeight="1">
      <c r="A35" s="132" t="s">
        <v>520</v>
      </c>
      <c r="B35" s="125" t="s">
        <v>515</v>
      </c>
      <c r="C35" s="222"/>
      <c r="D35" s="223"/>
      <c r="E35" s="218"/>
      <c r="F35" s="219"/>
      <c r="G35" s="221"/>
      <c r="H35" s="221"/>
      <c r="I35" s="221"/>
      <c r="J35" s="221"/>
      <c r="K35" s="221"/>
      <c r="L35" s="221"/>
      <c r="M35" s="221"/>
    </row>
    <row r="36" ht="22.5" customHeight="1">
      <c r="A36" s="132" t="s">
        <v>521</v>
      </c>
      <c r="B36" s="125" t="s">
        <v>515</v>
      </c>
      <c r="C36" s="222"/>
      <c r="D36" s="223"/>
      <c r="E36" s="229"/>
      <c r="F36" s="230"/>
      <c r="G36" s="221"/>
      <c r="H36" s="221"/>
      <c r="I36" s="221"/>
      <c r="J36" s="221"/>
      <c r="K36" s="221"/>
      <c r="L36" s="221"/>
      <c r="M36" s="221"/>
    </row>
    <row r="37" ht="15.75" hidden="1" customHeight="1">
      <c r="A37" s="134" t="s">
        <v>522</v>
      </c>
      <c r="B37" s="134"/>
      <c r="C37" s="134"/>
      <c r="D37" s="215"/>
      <c r="E37" s="134"/>
      <c r="F37" s="215"/>
      <c r="G37" s="221"/>
      <c r="H37" s="221"/>
      <c r="I37" s="221"/>
      <c r="J37" s="221"/>
      <c r="K37" s="221"/>
      <c r="L37" s="221"/>
      <c r="M37" s="221"/>
    </row>
    <row r="38" ht="15.75" hidden="1" customHeight="1">
      <c r="A38" s="134" t="s">
        <v>523</v>
      </c>
      <c r="B38" s="134"/>
      <c r="C38" s="134"/>
      <c r="D38" s="215"/>
      <c r="E38" s="134"/>
      <c r="F38" s="215"/>
      <c r="G38" s="221"/>
      <c r="H38" s="221"/>
      <c r="I38" s="221"/>
      <c r="J38" s="221"/>
      <c r="K38" s="221"/>
      <c r="L38" s="221"/>
      <c r="M38" s="221"/>
    </row>
    <row r="39" ht="15.75" hidden="1" customHeight="1">
      <c r="A39" s="134" t="s">
        <v>524</v>
      </c>
      <c r="B39" s="134"/>
      <c r="C39" s="134"/>
      <c r="D39" s="215"/>
      <c r="E39" s="134"/>
      <c r="F39" s="215"/>
      <c r="G39" s="221"/>
      <c r="H39" s="221"/>
      <c r="I39" s="221"/>
      <c r="J39" s="221"/>
      <c r="K39" s="221"/>
      <c r="L39" s="221"/>
      <c r="M39" s="221"/>
    </row>
    <row r="40" ht="15.75" customHeight="1">
      <c r="A40" s="134"/>
      <c r="B40" s="134"/>
      <c r="C40" s="134"/>
      <c r="D40" s="215"/>
      <c r="E40" s="134"/>
      <c r="F40" s="215"/>
      <c r="G40" s="221"/>
      <c r="H40" s="221"/>
      <c r="I40" s="221"/>
      <c r="J40" s="221"/>
      <c r="K40" s="221"/>
      <c r="L40" s="221"/>
      <c r="M40" s="221"/>
    </row>
    <row r="41" ht="21.75" customHeight="1">
      <c r="A41" s="231" t="s">
        <v>76</v>
      </c>
      <c r="B41" s="134"/>
      <c r="C41" s="210"/>
      <c r="D41" s="232">
        <f>D11+D28</f>
        <v>4205.46</v>
      </c>
      <c r="E41" s="134"/>
      <c r="F41" s="214">
        <f>F28+F12</f>
        <v>405.46</v>
      </c>
      <c r="G41" s="228"/>
      <c r="H41" s="232">
        <f>H11+H28</f>
        <v>1630</v>
      </c>
      <c r="I41" s="228"/>
      <c r="J41" s="232">
        <f>J11+J28</f>
        <v>0</v>
      </c>
      <c r="K41" s="228"/>
      <c r="L41" s="232">
        <f>L11+L28</f>
        <v>1630</v>
      </c>
      <c r="M41" s="228"/>
    </row>
    <row r="42" ht="15.75" customHeight="1">
      <c r="A42" s="202"/>
      <c r="B42" s="202"/>
      <c r="C42" s="202"/>
      <c r="D42" s="233"/>
      <c r="E42" s="202"/>
      <c r="F42" s="202"/>
      <c r="G42" s="202"/>
      <c r="H42" s="202"/>
      <c r="I42" s="202"/>
      <c r="J42" s="202"/>
      <c r="K42" s="202"/>
      <c r="L42" s="202"/>
      <c r="M42" s="202"/>
    </row>
    <row r="43" ht="22.5" customHeight="1">
      <c r="A43" s="147" t="s">
        <v>77</v>
      </c>
      <c r="B43" s="150"/>
      <c r="C43" s="151"/>
      <c r="D43" s="152"/>
      <c r="E43" s="153" t="s">
        <v>466</v>
      </c>
      <c r="F43" s="154"/>
      <c r="G43" s="154"/>
      <c r="H43" s="154"/>
      <c r="I43" s="154"/>
      <c r="J43" s="154"/>
      <c r="K43" s="154"/>
      <c r="L43" s="155" t="s">
        <v>467</v>
      </c>
      <c r="M43" s="154"/>
    </row>
    <row r="44" ht="15.75" customHeight="1">
      <c r="A44" s="68"/>
      <c r="B44" s="150"/>
      <c r="C44" s="151"/>
      <c r="D44" s="152"/>
      <c r="E44" s="151"/>
      <c r="F44" s="154"/>
      <c r="G44" s="154"/>
      <c r="H44" s="154"/>
      <c r="I44" s="154"/>
      <c r="J44" s="154"/>
      <c r="K44" s="154"/>
      <c r="L44" s="156"/>
      <c r="M44" s="154"/>
    </row>
    <row r="45" ht="15.75" customHeight="1">
      <c r="A45" s="68"/>
      <c r="B45" s="150"/>
      <c r="C45" s="151"/>
      <c r="D45" s="152"/>
      <c r="E45" s="151"/>
      <c r="F45" s="154"/>
      <c r="G45" s="154"/>
      <c r="H45" s="154"/>
      <c r="I45" s="154"/>
      <c r="J45" s="154"/>
      <c r="K45" s="154"/>
      <c r="L45" s="156"/>
      <c r="M45" s="154"/>
    </row>
    <row r="46" ht="15.75" customHeight="1">
      <c r="A46" s="152"/>
      <c r="B46" s="150"/>
      <c r="C46" s="151"/>
      <c r="D46" s="152"/>
      <c r="E46" s="151"/>
      <c r="F46" s="150"/>
      <c r="G46" s="150"/>
      <c r="H46" s="150"/>
      <c r="I46" s="154"/>
      <c r="J46" s="150"/>
      <c r="K46" s="150"/>
      <c r="L46" s="156"/>
      <c r="M46" s="150"/>
    </row>
    <row r="47" ht="15.75" customHeight="1">
      <c r="A47" s="68"/>
      <c r="B47" s="150"/>
      <c r="C47" s="151"/>
      <c r="D47" s="152"/>
      <c r="E47" s="151"/>
      <c r="F47" s="150"/>
      <c r="G47" s="150"/>
      <c r="H47" s="150"/>
      <c r="I47" s="154"/>
      <c r="J47" s="150"/>
      <c r="K47" s="150"/>
      <c r="L47" s="156"/>
      <c r="M47" s="150"/>
    </row>
    <row r="48" ht="21.0" customHeight="1">
      <c r="A48" s="157" t="s">
        <v>82</v>
      </c>
      <c r="B48" s="150"/>
      <c r="C48" s="151"/>
      <c r="D48" s="152"/>
      <c r="E48" s="158" t="s">
        <v>83</v>
      </c>
      <c r="F48" s="150"/>
      <c r="G48" s="150"/>
      <c r="H48" s="150"/>
      <c r="I48" s="154"/>
      <c r="J48" s="150"/>
      <c r="K48" s="150"/>
      <c r="L48" s="159" t="s">
        <v>84</v>
      </c>
      <c r="M48" s="150"/>
    </row>
    <row r="49">
      <c r="A49" s="160" t="s">
        <v>468</v>
      </c>
      <c r="B49" s="150"/>
      <c r="C49" s="151"/>
      <c r="D49" s="152"/>
      <c r="E49" s="153" t="s">
        <v>87</v>
      </c>
      <c r="F49" s="150"/>
      <c r="G49" s="150"/>
      <c r="H49" s="150"/>
      <c r="I49" s="154"/>
      <c r="J49" s="150"/>
      <c r="K49" s="150"/>
      <c r="L49" s="161" t="s">
        <v>88</v>
      </c>
      <c r="M49" s="150"/>
    </row>
    <row r="50" ht="15.75" customHeight="1">
      <c r="A50" s="162"/>
      <c r="B50" s="163"/>
      <c r="C50" s="164"/>
      <c r="D50" s="164"/>
      <c r="E50" s="150"/>
      <c r="F50" s="150"/>
      <c r="G50" s="150"/>
      <c r="H50" s="150"/>
      <c r="I50" s="150"/>
      <c r="J50" s="150"/>
      <c r="K50" s="150"/>
      <c r="L50" s="150"/>
      <c r="M50" s="150"/>
    </row>
    <row r="51" ht="15.75" customHeight="1">
      <c r="A51" s="68"/>
      <c r="B51" s="68"/>
      <c r="C51" s="68"/>
      <c r="D51" s="195"/>
      <c r="E51" s="150"/>
      <c r="F51" s="150"/>
      <c r="G51" s="150"/>
      <c r="H51" s="150"/>
      <c r="I51" s="150"/>
      <c r="J51" s="150"/>
      <c r="K51" s="150"/>
      <c r="L51" s="150"/>
      <c r="M51" s="150"/>
    </row>
    <row r="52" ht="15.75" customHeight="1">
      <c r="A52" s="157"/>
      <c r="B52" s="157"/>
      <c r="C52" s="157"/>
      <c r="D52" s="150"/>
      <c r="E52" s="150"/>
      <c r="F52" s="150"/>
      <c r="G52" s="150"/>
      <c r="H52" s="150"/>
      <c r="I52" s="150"/>
      <c r="J52" s="150"/>
      <c r="K52" s="150"/>
      <c r="L52" s="150"/>
      <c r="M52" s="150"/>
    </row>
    <row r="53" ht="15.75" customHeight="1">
      <c r="A53" s="234"/>
      <c r="B53" s="160"/>
      <c r="C53" s="160"/>
      <c r="D53" s="150"/>
      <c r="E53" s="150"/>
      <c r="F53" s="150"/>
      <c r="G53" s="150"/>
      <c r="H53" s="150"/>
      <c r="I53" s="150"/>
      <c r="J53" s="150"/>
      <c r="K53" s="150"/>
      <c r="L53" s="150"/>
      <c r="M53" s="150"/>
    </row>
    <row r="54" ht="15.75" customHeight="1">
      <c r="A54" s="235"/>
      <c r="B54" s="64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</row>
    <row r="55" ht="15.75" customHeight="1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</row>
    <row r="56" ht="15.75" customHeight="1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</row>
    <row r="57" ht="15.75" customHeight="1">
      <c r="B57" s="150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</row>
    <row r="58" ht="15.75" customHeight="1">
      <c r="B58" s="236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</row>
    <row r="59" ht="15.75" customHeight="1">
      <c r="B59" s="236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</row>
    <row r="60" ht="15.75" customHeight="1">
      <c r="B60" s="236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</row>
    <row r="61" ht="15.75" customHeight="1">
      <c r="B61" s="236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</row>
    <row r="62" ht="15.75" customHeight="1">
      <c r="B62" s="150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</row>
    <row r="63" ht="15.75" customHeight="1">
      <c r="B63" s="150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</row>
    <row r="64" ht="15.75" customHeight="1">
      <c r="A64" s="237"/>
      <c r="B64" s="238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</row>
    <row r="65" ht="15.75" customHeight="1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</row>
    <row r="66" ht="15.75" customHeight="1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</row>
    <row r="67" ht="15.75" customHeight="1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</row>
    <row r="68" ht="15.75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</row>
    <row r="69" ht="15.75" customHeight="1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</row>
    <row r="70" ht="15.75" customHeight="1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</row>
    <row r="71" ht="15.75" customHeight="1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</row>
    <row r="72" ht="15.75" customHeight="1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</row>
    <row r="73" ht="15.75" customHeight="1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</row>
    <row r="74" ht="15.75" customHeight="1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</row>
    <row r="75" ht="15.75" customHeight="1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</row>
    <row r="76" ht="15.75" customHeight="1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</row>
    <row r="77" ht="15.75" customHeight="1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</row>
    <row r="78" ht="15.75" customHeight="1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</row>
    <row r="79" ht="15.75" customHeight="1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</row>
    <row r="80" ht="15.75" customHeight="1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</row>
    <row r="81" ht="15.75" customHeight="1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</row>
    <row r="82" ht="15.75" customHeight="1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</row>
    <row r="83" ht="15.75" customHeight="1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</row>
    <row r="84" ht="15.75" customHeight="1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</row>
    <row r="85" ht="15.75" customHeight="1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</row>
    <row r="86" ht="15.75" customHeight="1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</row>
    <row r="87" ht="15.75" customHeight="1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</row>
    <row r="88" ht="15.75" customHeight="1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</row>
    <row r="89" ht="15.75" customHeight="1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</row>
    <row r="90" ht="15.75" customHeight="1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</row>
    <row r="91" ht="15.75" customHeight="1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</row>
    <row r="92" ht="15.75" customHeight="1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</row>
    <row r="93" ht="15.75" customHeight="1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</row>
    <row r="94" ht="15.75" customHeight="1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</row>
    <row r="95" ht="15.75" customHeight="1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</row>
    <row r="96" ht="15.75" customHeight="1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</row>
    <row r="97" ht="15.75" customHeight="1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</row>
    <row r="98" ht="15.75" customHeight="1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</row>
    <row r="99" ht="15.75" customHeight="1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</row>
    <row r="100" ht="15.75" customHeight="1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</row>
    <row r="101" ht="15.75" customHeight="1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</row>
    <row r="102" ht="15.75" customHeight="1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</row>
    <row r="103" ht="15.75" customHeight="1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</row>
    <row r="104" ht="15.75" customHeight="1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</row>
    <row r="105" ht="15.75" customHeight="1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</row>
    <row r="106" ht="15.75" customHeight="1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</row>
    <row r="107" ht="15.75" customHeight="1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</row>
    <row r="108" ht="15.75" customHeight="1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</row>
    <row r="109" ht="15.75" customHeight="1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</row>
    <row r="110" ht="15.75" customHeight="1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</row>
    <row r="111" ht="15.75" customHeight="1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</row>
    <row r="112" ht="15.75" customHeight="1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</row>
    <row r="113" ht="15.75" customHeight="1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</row>
    <row r="114" ht="15.75" customHeight="1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</row>
    <row r="115" ht="15.75" customHeight="1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</row>
    <row r="116" ht="15.75" customHeight="1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</row>
    <row r="117" ht="15.75" customHeight="1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</row>
    <row r="118" ht="15.75" customHeight="1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</row>
    <row r="119" ht="15.75" customHeight="1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</row>
    <row r="120" ht="15.75" customHeight="1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</row>
    <row r="121" ht="15.75" customHeight="1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</row>
    <row r="122" ht="15.75" customHeight="1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</row>
    <row r="123" ht="15.75" customHeight="1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</row>
    <row r="124" ht="15.75" customHeight="1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</row>
    <row r="125" ht="15.75" customHeight="1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</row>
    <row r="126" ht="15.75" customHeight="1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</row>
    <row r="127" ht="15.75" customHeight="1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</row>
    <row r="128" ht="15.75" customHeight="1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</row>
    <row r="129" ht="15.75" customHeight="1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</row>
    <row r="130" ht="15.75" customHeight="1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</row>
    <row r="131" ht="15.75" customHeight="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</row>
    <row r="132" ht="15.75" customHeight="1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</row>
    <row r="133" ht="15.75" customHeight="1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</row>
    <row r="134" ht="15.75" customHeight="1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</row>
    <row r="135" ht="15.75" customHeight="1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</row>
    <row r="136" ht="15.7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</row>
    <row r="137" ht="15.75" customHeight="1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</row>
    <row r="138" ht="15.75" customHeight="1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</row>
    <row r="139" ht="15.75" customHeight="1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</row>
    <row r="140" ht="15.75" customHeight="1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</row>
    <row r="141" ht="15.75" customHeight="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</row>
    <row r="142" ht="15.75" customHeight="1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</row>
    <row r="143" ht="15.75" customHeight="1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</row>
    <row r="144" ht="15.75" customHeight="1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</row>
    <row r="145" ht="15.75" customHeight="1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</row>
    <row r="146" ht="15.75" customHeight="1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</row>
    <row r="147" ht="15.75" customHeight="1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</row>
    <row r="148" ht="15.75" customHeight="1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</row>
    <row r="149" ht="15.75" customHeight="1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</row>
    <row r="150" ht="15.75" customHeight="1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</row>
    <row r="151" ht="15.75" customHeight="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</row>
    <row r="152" ht="15.75" customHeight="1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</row>
    <row r="153" ht="15.75" customHeight="1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</row>
    <row r="154" ht="15.75" customHeight="1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</row>
    <row r="155" ht="15.75" customHeight="1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</row>
    <row r="156" ht="15.75" customHeight="1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</row>
    <row r="157" ht="15.75" customHeight="1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</row>
    <row r="158" ht="15.75" customHeight="1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</row>
    <row r="159" ht="15.75" customHeight="1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</row>
    <row r="160" ht="15.75" customHeight="1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</row>
    <row r="161" ht="15.75" customHeight="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</row>
    <row r="162" ht="15.75" customHeight="1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</row>
    <row r="163" ht="15.75" customHeight="1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</row>
    <row r="164" ht="15.75" customHeight="1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</row>
    <row r="165" ht="15.75" customHeight="1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</row>
    <row r="166" ht="15.75" customHeight="1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</row>
    <row r="167" ht="15.75" customHeight="1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</row>
    <row r="168" ht="15.75" customHeight="1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</row>
    <row r="169" ht="15.75" customHeight="1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</row>
    <row r="170" ht="15.75" customHeight="1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</row>
    <row r="171" ht="15.75" customHeight="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</row>
    <row r="172" ht="15.75" customHeight="1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</row>
    <row r="173" ht="15.75" customHeight="1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</row>
    <row r="174" ht="15.75" customHeight="1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</row>
    <row r="175" ht="15.75" customHeight="1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</row>
    <row r="176" ht="15.75" customHeight="1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</row>
    <row r="177" ht="15.75" customHeight="1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</row>
    <row r="178" ht="15.75" customHeight="1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</row>
    <row r="179" ht="15.75" customHeight="1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</row>
    <row r="180" ht="15.75" customHeight="1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</row>
    <row r="181" ht="15.75" customHeight="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</row>
    <row r="182" ht="15.75" customHeight="1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</row>
    <row r="183" ht="15.75" customHeight="1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</row>
    <row r="184" ht="15.75" customHeight="1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</row>
    <row r="185" ht="15.75" customHeight="1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</row>
    <row r="186" ht="15.75" customHeight="1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</row>
    <row r="187" ht="15.75" customHeight="1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</row>
    <row r="188" ht="15.75" customHeight="1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</row>
    <row r="189" ht="15.75" customHeight="1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</row>
    <row r="190" ht="15.75" customHeight="1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</row>
    <row r="191" ht="15.75" customHeight="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</row>
    <row r="192" ht="15.75" customHeight="1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</row>
    <row r="193" ht="15.75" customHeight="1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</row>
    <row r="194" ht="15.75" customHeight="1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</row>
    <row r="195" ht="15.75" customHeight="1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</row>
    <row r="196" ht="15.75" customHeight="1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</row>
    <row r="197" ht="15.75" customHeight="1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</row>
    <row r="198" ht="15.75" customHeight="1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</row>
    <row r="199" ht="15.75" customHeight="1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</row>
    <row r="200" ht="15.75" customHeight="1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</row>
    <row r="201" ht="15.75" customHeight="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</row>
    <row r="202" ht="15.75" customHeight="1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</row>
    <row r="203" ht="15.75" customHeight="1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</row>
    <row r="204" ht="15.75" customHeight="1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</row>
    <row r="205" ht="15.75" customHeight="1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</row>
    <row r="206" ht="15.75" customHeight="1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</row>
    <row r="207" ht="15.75" customHeight="1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</row>
    <row r="208" ht="15.75" customHeight="1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</row>
    <row r="209" ht="15.75" customHeight="1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</row>
    <row r="210" ht="15.75" customHeight="1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</row>
    <row r="211" ht="15.75" customHeight="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</row>
    <row r="212" ht="15.75" customHeight="1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</row>
    <row r="213" ht="15.75" customHeight="1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</row>
    <row r="214" ht="15.75" customHeight="1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</row>
    <row r="215" ht="15.75" customHeight="1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</row>
    <row r="216" ht="15.75" customHeight="1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</row>
    <row r="217" ht="15.75" customHeight="1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</row>
    <row r="218" ht="15.75" customHeight="1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</row>
    <row r="219" ht="15.75" customHeight="1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</row>
    <row r="220" ht="15.75" customHeight="1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</row>
    <row r="221" ht="15.75" customHeight="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</row>
    <row r="222" ht="15.75" customHeight="1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</row>
    <row r="223" ht="15.75" customHeight="1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</row>
    <row r="224" ht="15.75" customHeight="1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</row>
    <row r="225" ht="15.75" customHeight="1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</row>
    <row r="226" ht="15.75" customHeight="1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</row>
    <row r="227" ht="15.75" customHeight="1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</row>
    <row r="228" ht="15.75" customHeight="1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</row>
    <row r="229" ht="15.75" customHeight="1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</row>
    <row r="230" ht="15.75" customHeight="1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</row>
    <row r="231" ht="15.75" customHeight="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</row>
    <row r="232" ht="15.75" customHeight="1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</row>
    <row r="233" ht="15.75" customHeight="1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</row>
    <row r="234" ht="15.75" customHeight="1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</row>
    <row r="235" ht="15.75" customHeight="1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</row>
    <row r="236" ht="15.75" customHeight="1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</row>
    <row r="237" ht="15.75" customHeight="1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</row>
    <row r="238" ht="15.75" customHeight="1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</row>
    <row r="239" ht="15.75" customHeight="1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</row>
    <row r="240" ht="15.75" customHeight="1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</row>
    <row r="241" ht="15.75" customHeight="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</row>
    <row r="242" ht="15.75" customHeight="1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</row>
    <row r="243" ht="15.75" customHeight="1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</row>
    <row r="244" ht="15.75" customHeight="1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</row>
    <row r="245" ht="15.75" customHeight="1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</row>
    <row r="246" ht="15.75" customHeight="1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</row>
    <row r="247" ht="15.75" customHeight="1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</row>
    <row r="248" ht="15.75" customHeight="1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</row>
    <row r="249" ht="15.75" customHeight="1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8.86"/>
    <col customWidth="1" min="2" max="2" width="20.14"/>
    <col customWidth="1" min="3" max="4" width="20.71"/>
    <col customWidth="1" min="5" max="6" width="25.86"/>
    <col customWidth="1" min="7" max="7" width="23.71"/>
    <col customWidth="1" min="8" max="8" width="23.57"/>
    <col customWidth="1" min="9" max="9" width="25.0"/>
    <col customWidth="1" min="10" max="10" width="20.86"/>
    <col customWidth="1" min="11" max="11" width="22.86"/>
    <col customWidth="1" min="12" max="12" width="23.43"/>
    <col customWidth="1" min="13" max="13" width="24.29"/>
  </cols>
  <sheetData>
    <row r="1">
      <c r="A1" s="239" t="s">
        <v>0</v>
      </c>
      <c r="H1" s="240"/>
    </row>
    <row r="2" ht="21.0" customHeight="1">
      <c r="A2" s="241" t="s">
        <v>90</v>
      </c>
      <c r="B2" s="89"/>
      <c r="C2" s="89"/>
      <c r="D2" s="89"/>
      <c r="E2" s="89"/>
      <c r="F2" s="86"/>
      <c r="I2" s="89"/>
      <c r="J2" s="89"/>
      <c r="K2" s="89"/>
      <c r="L2" s="89"/>
      <c r="M2" s="89"/>
    </row>
    <row r="3" ht="21.75" customHeight="1">
      <c r="A3" s="239" t="s">
        <v>525</v>
      </c>
      <c r="B3" s="166"/>
      <c r="C3" s="84"/>
      <c r="D3" s="84"/>
      <c r="E3" s="84"/>
      <c r="I3" s="84"/>
      <c r="J3" s="84"/>
      <c r="K3" s="84"/>
      <c r="L3" s="84"/>
      <c r="M3" s="84"/>
    </row>
    <row r="4" ht="20.25" customHeight="1">
      <c r="A4" s="239" t="s">
        <v>3</v>
      </c>
      <c r="B4" s="166"/>
      <c r="C4" s="84"/>
      <c r="D4" s="84"/>
      <c r="E4" s="84"/>
      <c r="I4" s="84"/>
      <c r="J4" s="84"/>
      <c r="K4" s="84"/>
      <c r="L4" s="84"/>
      <c r="M4" s="84"/>
    </row>
    <row r="5" ht="21.0" customHeight="1">
      <c r="A5" s="239" t="s">
        <v>526</v>
      </c>
      <c r="B5" s="166"/>
      <c r="C5" s="84"/>
      <c r="D5" s="84"/>
      <c r="E5" s="84"/>
      <c r="F5" s="84"/>
      <c r="G5" s="84"/>
      <c r="H5" s="242"/>
      <c r="I5" s="84"/>
      <c r="J5" s="84"/>
      <c r="K5" s="84"/>
      <c r="L5" s="84"/>
      <c r="M5" s="84"/>
    </row>
    <row r="6" ht="15.75" customHeight="1">
      <c r="A6" s="243"/>
      <c r="B6" s="244"/>
      <c r="C6" s="84"/>
      <c r="D6" s="84"/>
      <c r="E6" s="84"/>
      <c r="F6" s="84"/>
      <c r="G6" s="84"/>
      <c r="H6" s="242"/>
      <c r="I6" s="84"/>
      <c r="J6" s="84"/>
      <c r="K6" s="84"/>
      <c r="L6" s="84"/>
      <c r="M6" s="84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527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245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>
      <c r="A11" s="246" t="s">
        <v>99</v>
      </c>
      <c r="B11" s="142"/>
      <c r="C11" s="246"/>
      <c r="D11" s="247">
        <f t="shared" ref="D11:D12" si="1">D12</f>
        <v>1450</v>
      </c>
      <c r="E11" s="246"/>
      <c r="F11" s="247">
        <f t="shared" ref="F11:F12" si="2">F12</f>
        <v>750</v>
      </c>
      <c r="G11" s="248"/>
      <c r="H11" s="248">
        <f t="shared" ref="H11:H12" si="3">H12</f>
        <v>2100</v>
      </c>
      <c r="I11" s="248"/>
      <c r="J11" s="248"/>
      <c r="K11" s="248"/>
      <c r="L11" s="248">
        <f t="shared" ref="L11:L12" si="4">L12</f>
        <v>2100</v>
      </c>
      <c r="M11" s="193"/>
    </row>
    <row r="12">
      <c r="A12" s="246" t="s">
        <v>528</v>
      </c>
      <c r="B12" s="142"/>
      <c r="C12" s="246"/>
      <c r="D12" s="247">
        <f t="shared" si="1"/>
        <v>1450</v>
      </c>
      <c r="E12" s="246"/>
      <c r="F12" s="247">
        <f t="shared" si="2"/>
        <v>750</v>
      </c>
      <c r="G12" s="248"/>
      <c r="H12" s="248">
        <f t="shared" si="3"/>
        <v>2100</v>
      </c>
      <c r="I12" s="248"/>
      <c r="J12" s="248"/>
      <c r="K12" s="248"/>
      <c r="L12" s="248">
        <f t="shared" si="4"/>
        <v>2100</v>
      </c>
      <c r="M12" s="193"/>
    </row>
    <row r="13">
      <c r="A13" s="246" t="s">
        <v>529</v>
      </c>
      <c r="B13" s="123"/>
      <c r="C13" s="246"/>
      <c r="D13" s="247">
        <f>D20+D27+D35</f>
        <v>1450</v>
      </c>
      <c r="E13" s="246"/>
      <c r="F13" s="247">
        <f>F20+F27+F35</f>
        <v>750</v>
      </c>
      <c r="G13" s="249"/>
      <c r="H13" s="248">
        <f>H20+H27+H37</f>
        <v>2100</v>
      </c>
      <c r="I13" s="249"/>
      <c r="J13" s="249"/>
      <c r="K13" s="249"/>
      <c r="L13" s="248">
        <f>L20+L27+L37</f>
        <v>2100</v>
      </c>
      <c r="M13" s="250"/>
    </row>
    <row r="14">
      <c r="A14" s="246" t="s">
        <v>530</v>
      </c>
      <c r="B14" s="123"/>
      <c r="C14" s="251"/>
      <c r="D14" s="251"/>
      <c r="E14" s="251"/>
      <c r="F14" s="252"/>
      <c r="G14" s="249"/>
      <c r="H14" s="249"/>
      <c r="I14" s="249"/>
      <c r="J14" s="249"/>
      <c r="K14" s="249"/>
      <c r="L14" s="249"/>
      <c r="M14" s="250"/>
    </row>
    <row r="15">
      <c r="A15" s="246" t="s">
        <v>531</v>
      </c>
      <c r="B15" s="123" t="s">
        <v>43</v>
      </c>
      <c r="C15" s="251"/>
      <c r="D15" s="251"/>
      <c r="E15" s="251"/>
      <c r="F15" s="253"/>
      <c r="G15" s="250"/>
      <c r="H15" s="254"/>
      <c r="I15" s="250"/>
      <c r="J15" s="250"/>
      <c r="K15" s="250"/>
      <c r="L15" s="254"/>
      <c r="M15" s="250"/>
    </row>
    <row r="16">
      <c r="A16" s="246" t="s">
        <v>532</v>
      </c>
      <c r="B16" s="123" t="s">
        <v>43</v>
      </c>
      <c r="C16" s="251"/>
      <c r="D16" s="251"/>
      <c r="E16" s="251"/>
      <c r="F16" s="253"/>
      <c r="G16" s="250"/>
      <c r="H16" s="254"/>
      <c r="I16" s="250"/>
      <c r="J16" s="250"/>
      <c r="K16" s="250"/>
      <c r="L16" s="254"/>
      <c r="M16" s="250"/>
    </row>
    <row r="17">
      <c r="A17" s="251" t="s">
        <v>283</v>
      </c>
      <c r="B17" s="123" t="s">
        <v>43</v>
      </c>
      <c r="C17" s="255">
        <v>15.0</v>
      </c>
      <c r="D17" s="251"/>
      <c r="E17" s="251"/>
      <c r="F17" s="253"/>
      <c r="G17" s="250"/>
      <c r="H17" s="254"/>
      <c r="I17" s="250"/>
      <c r="J17" s="250"/>
      <c r="K17" s="250"/>
      <c r="L17" s="254"/>
      <c r="M17" s="250"/>
    </row>
    <row r="18">
      <c r="A18" s="256" t="s">
        <v>282</v>
      </c>
      <c r="B18" s="123" t="s">
        <v>43</v>
      </c>
      <c r="C18" s="255">
        <v>15.0</v>
      </c>
      <c r="D18" s="251"/>
      <c r="E18" s="251"/>
      <c r="F18" s="253"/>
      <c r="G18" s="250"/>
      <c r="H18" s="254"/>
      <c r="I18" s="250"/>
      <c r="J18" s="250"/>
      <c r="K18" s="250"/>
      <c r="L18" s="254"/>
      <c r="M18" s="250"/>
    </row>
    <row r="19">
      <c r="A19" s="251" t="s">
        <v>533</v>
      </c>
      <c r="B19" s="123" t="s">
        <v>534</v>
      </c>
      <c r="C19" s="255">
        <v>1.0</v>
      </c>
      <c r="D19" s="251"/>
      <c r="E19" s="255">
        <v>6.0</v>
      </c>
      <c r="F19" s="253"/>
      <c r="G19" s="257">
        <v>5.0</v>
      </c>
      <c r="H19" s="254"/>
      <c r="I19" s="250"/>
      <c r="J19" s="250"/>
      <c r="K19" s="257">
        <v>5.0</v>
      </c>
      <c r="L19" s="254"/>
      <c r="M19" s="250"/>
    </row>
    <row r="20" ht="21.0" customHeight="1">
      <c r="A20" s="256" t="s">
        <v>535</v>
      </c>
      <c r="B20" s="123"/>
      <c r="C20" s="255">
        <v>35.0</v>
      </c>
      <c r="D20" s="251">
        <v>500.0</v>
      </c>
      <c r="E20" s="255">
        <v>30.0</v>
      </c>
      <c r="F20" s="253">
        <v>400.0</v>
      </c>
      <c r="G20" s="257">
        <v>50.0</v>
      </c>
      <c r="H20" s="258">
        <v>600.0</v>
      </c>
      <c r="I20" s="250"/>
      <c r="J20" s="250"/>
      <c r="K20" s="257">
        <v>50.0</v>
      </c>
      <c r="L20" s="258">
        <v>600.0</v>
      </c>
      <c r="M20" s="250"/>
    </row>
    <row r="21" ht="24.75" customHeight="1">
      <c r="A21" s="246"/>
      <c r="B21" s="123" t="s">
        <v>534</v>
      </c>
      <c r="C21" s="251"/>
      <c r="D21" s="251"/>
      <c r="E21" s="251"/>
      <c r="F21" s="253"/>
      <c r="G21" s="250"/>
      <c r="H21" s="254"/>
      <c r="I21" s="250"/>
      <c r="J21" s="250"/>
      <c r="K21" s="250"/>
      <c r="L21" s="254"/>
      <c r="M21" s="250"/>
    </row>
    <row r="22" ht="37.5" customHeight="1">
      <c r="A22" s="259" t="s">
        <v>536</v>
      </c>
      <c r="B22" s="123" t="s">
        <v>43</v>
      </c>
      <c r="C22" s="251"/>
      <c r="D22" s="251"/>
      <c r="E22" s="251"/>
      <c r="F22" s="253"/>
      <c r="G22" s="250"/>
      <c r="H22" s="254"/>
      <c r="I22" s="250"/>
      <c r="J22" s="250"/>
      <c r="K22" s="250"/>
      <c r="L22" s="254"/>
      <c r="M22" s="250"/>
    </row>
    <row r="23" ht="21.0" customHeight="1">
      <c r="A23" s="259" t="s">
        <v>537</v>
      </c>
      <c r="B23" s="123" t="s">
        <v>43</v>
      </c>
      <c r="C23" s="251"/>
      <c r="D23" s="251"/>
      <c r="E23" s="251"/>
      <c r="F23" s="253"/>
      <c r="G23" s="250"/>
      <c r="H23" s="254"/>
      <c r="I23" s="250"/>
      <c r="J23" s="250"/>
      <c r="K23" s="250"/>
      <c r="L23" s="254"/>
      <c r="M23" s="250"/>
    </row>
    <row r="24" ht="21.0" customHeight="1">
      <c r="A24" s="256" t="s">
        <v>283</v>
      </c>
      <c r="B24" s="123" t="s">
        <v>43</v>
      </c>
      <c r="C24" s="255">
        <v>10.0</v>
      </c>
      <c r="D24" s="251"/>
      <c r="E24" s="251"/>
      <c r="F24" s="253"/>
      <c r="G24" s="250"/>
      <c r="H24" s="254"/>
      <c r="I24" s="250"/>
      <c r="J24" s="250"/>
      <c r="K24" s="250"/>
      <c r="L24" s="254"/>
      <c r="M24" s="250"/>
    </row>
    <row r="25" ht="21.0" customHeight="1">
      <c r="A25" s="256" t="s">
        <v>282</v>
      </c>
      <c r="B25" s="123" t="s">
        <v>43</v>
      </c>
      <c r="C25" s="255">
        <v>10.0</v>
      </c>
      <c r="D25" s="251"/>
      <c r="E25" s="251"/>
      <c r="F25" s="253"/>
      <c r="G25" s="250"/>
      <c r="H25" s="254"/>
      <c r="I25" s="250"/>
      <c r="J25" s="250"/>
      <c r="K25" s="250"/>
      <c r="L25" s="254"/>
      <c r="M25" s="250"/>
    </row>
    <row r="26" ht="15.75" hidden="1" customHeight="1">
      <c r="A26" s="251" t="s">
        <v>533</v>
      </c>
      <c r="B26" s="123"/>
      <c r="C26" s="255">
        <v>1.0</v>
      </c>
      <c r="D26" s="251"/>
      <c r="E26" s="255">
        <v>6.0</v>
      </c>
      <c r="F26" s="253"/>
      <c r="G26" s="250"/>
      <c r="H26" s="254"/>
      <c r="I26" s="250"/>
      <c r="J26" s="250"/>
      <c r="K26" s="250"/>
      <c r="L26" s="254"/>
      <c r="M26" s="250"/>
    </row>
    <row r="27" ht="24.75" customHeight="1">
      <c r="A27" s="259" t="s">
        <v>538</v>
      </c>
      <c r="B27" s="123"/>
      <c r="C27" s="255">
        <v>750.0</v>
      </c>
      <c r="D27" s="251">
        <v>500.0</v>
      </c>
      <c r="E27" s="255">
        <v>750.0</v>
      </c>
      <c r="F27" s="253">
        <v>350.0</v>
      </c>
      <c r="G27" s="257">
        <v>2000.0</v>
      </c>
      <c r="H27" s="258">
        <v>1000.0</v>
      </c>
      <c r="I27" s="250"/>
      <c r="J27" s="250"/>
      <c r="K27" s="257">
        <v>2000.0</v>
      </c>
      <c r="L27" s="258">
        <v>1000.0</v>
      </c>
      <c r="M27" s="250"/>
    </row>
    <row r="28" ht="21.0" customHeight="1">
      <c r="A28" s="246"/>
      <c r="B28" s="123" t="s">
        <v>534</v>
      </c>
      <c r="C28" s="251"/>
      <c r="D28" s="251"/>
      <c r="E28" s="251"/>
      <c r="F28" s="253"/>
      <c r="G28" s="250"/>
      <c r="H28" s="254"/>
      <c r="I28" s="250"/>
      <c r="J28" s="250"/>
      <c r="K28" s="250"/>
      <c r="L28" s="254"/>
      <c r="M28" s="250"/>
    </row>
    <row r="29" ht="15.75" customHeight="1">
      <c r="A29" s="259" t="s">
        <v>539</v>
      </c>
      <c r="B29" s="123" t="s">
        <v>43</v>
      </c>
      <c r="C29" s="251"/>
      <c r="D29" s="251"/>
      <c r="E29" s="251"/>
      <c r="F29" s="253"/>
      <c r="G29" s="250"/>
      <c r="H29" s="254"/>
      <c r="I29" s="250"/>
      <c r="J29" s="250"/>
      <c r="K29" s="250"/>
      <c r="L29" s="254"/>
      <c r="M29" s="250"/>
    </row>
    <row r="30" ht="15.75" customHeight="1">
      <c r="A30" s="259" t="s">
        <v>540</v>
      </c>
      <c r="B30" s="123" t="s">
        <v>43</v>
      </c>
      <c r="C30" s="251"/>
      <c r="D30" s="251"/>
      <c r="E30" s="251"/>
      <c r="F30" s="253"/>
      <c r="G30" s="250"/>
      <c r="H30" s="254"/>
      <c r="I30" s="250"/>
      <c r="J30" s="250"/>
      <c r="K30" s="250"/>
      <c r="L30" s="254"/>
      <c r="M30" s="250"/>
    </row>
    <row r="31" ht="15.75" customHeight="1">
      <c r="A31" s="256" t="s">
        <v>283</v>
      </c>
      <c r="B31" s="123" t="s">
        <v>43</v>
      </c>
      <c r="C31" s="255">
        <v>10.0</v>
      </c>
      <c r="D31" s="251"/>
      <c r="E31" s="251"/>
      <c r="F31" s="253"/>
      <c r="G31" s="250"/>
      <c r="H31" s="254"/>
      <c r="I31" s="250"/>
      <c r="J31" s="250"/>
      <c r="K31" s="250"/>
      <c r="L31" s="254"/>
      <c r="M31" s="250"/>
    </row>
    <row r="32" ht="15.75" customHeight="1">
      <c r="A32" s="256" t="s">
        <v>282</v>
      </c>
      <c r="B32" s="123" t="s">
        <v>43</v>
      </c>
      <c r="C32" s="255">
        <v>10.0</v>
      </c>
      <c r="D32" s="251"/>
      <c r="E32" s="251"/>
      <c r="F32" s="253"/>
      <c r="G32" s="250"/>
      <c r="H32" s="254"/>
      <c r="I32" s="250"/>
      <c r="J32" s="250"/>
      <c r="K32" s="250"/>
      <c r="L32" s="254"/>
      <c r="M32" s="250"/>
    </row>
    <row r="33" ht="15.75" hidden="1" customHeight="1">
      <c r="A33" s="251" t="s">
        <v>533</v>
      </c>
      <c r="B33" s="123"/>
      <c r="C33" s="255">
        <v>1.0</v>
      </c>
      <c r="D33" s="251"/>
      <c r="E33" s="251"/>
      <c r="F33" s="253"/>
      <c r="G33" s="250"/>
      <c r="H33" s="254"/>
      <c r="I33" s="250"/>
      <c r="J33" s="250"/>
      <c r="K33" s="250"/>
      <c r="L33" s="254"/>
      <c r="M33" s="250"/>
    </row>
    <row r="34" ht="15.75" customHeight="1">
      <c r="A34" s="246"/>
      <c r="B34" s="123" t="s">
        <v>534</v>
      </c>
      <c r="C34" s="251"/>
      <c r="D34" s="251"/>
      <c r="E34" s="251"/>
      <c r="F34" s="253"/>
      <c r="G34" s="250"/>
      <c r="H34" s="254"/>
      <c r="I34" s="250"/>
      <c r="J34" s="250"/>
      <c r="K34" s="250"/>
      <c r="L34" s="254"/>
      <c r="M34" s="250"/>
    </row>
    <row r="35" ht="15.75" customHeight="1">
      <c r="A35" s="259" t="s">
        <v>541</v>
      </c>
      <c r="B35" s="123"/>
      <c r="C35" s="255">
        <v>500.0</v>
      </c>
      <c r="D35" s="251">
        <v>450.0</v>
      </c>
      <c r="E35" s="251"/>
      <c r="F35" s="253"/>
      <c r="G35" s="250"/>
      <c r="H35" s="254"/>
      <c r="I35" s="250"/>
      <c r="J35" s="250"/>
      <c r="K35" s="250"/>
      <c r="L35" s="254"/>
      <c r="M35" s="250"/>
    </row>
    <row r="36" ht="15.75" customHeight="1">
      <c r="A36" s="259"/>
      <c r="B36" s="123"/>
      <c r="C36" s="255"/>
      <c r="D36" s="251"/>
      <c r="E36" s="251"/>
      <c r="F36" s="253"/>
      <c r="G36" s="250"/>
      <c r="H36" s="254"/>
      <c r="I36" s="250"/>
      <c r="J36" s="250"/>
      <c r="K36" s="250"/>
      <c r="L36" s="254"/>
      <c r="M36" s="250"/>
    </row>
    <row r="37" ht="22.5" customHeight="1">
      <c r="A37" s="260" t="s">
        <v>542</v>
      </c>
      <c r="B37" s="123"/>
      <c r="C37" s="255"/>
      <c r="D37" s="251"/>
      <c r="E37" s="251"/>
      <c r="F37" s="253"/>
      <c r="G37" s="257">
        <v>200.0</v>
      </c>
      <c r="H37" s="258">
        <v>500.0</v>
      </c>
      <c r="I37" s="250"/>
      <c r="J37" s="250"/>
      <c r="K37" s="257">
        <v>200.0</v>
      </c>
      <c r="L37" s="258">
        <v>500.0</v>
      </c>
      <c r="M37" s="250"/>
    </row>
    <row r="38" ht="15.75" customHeight="1">
      <c r="A38" s="259"/>
      <c r="B38" s="123"/>
      <c r="C38" s="255"/>
      <c r="D38" s="251"/>
      <c r="E38" s="251"/>
      <c r="F38" s="253"/>
      <c r="G38" s="250"/>
      <c r="H38" s="254"/>
      <c r="I38" s="250"/>
      <c r="J38" s="250"/>
      <c r="K38" s="250"/>
      <c r="L38" s="254"/>
      <c r="M38" s="250"/>
    </row>
    <row r="39" ht="15.75" hidden="1" customHeight="1">
      <c r="A39" s="259"/>
      <c r="B39" s="123"/>
      <c r="C39" s="255"/>
      <c r="D39" s="251"/>
      <c r="E39" s="251"/>
      <c r="F39" s="253"/>
      <c r="G39" s="250"/>
      <c r="H39" s="254"/>
      <c r="I39" s="250"/>
      <c r="J39" s="250"/>
      <c r="K39" s="250"/>
      <c r="L39" s="254"/>
      <c r="M39" s="250"/>
    </row>
    <row r="40" ht="15.75" hidden="1" customHeight="1">
      <c r="A40" s="259"/>
      <c r="B40" s="123"/>
      <c r="C40" s="255"/>
      <c r="D40" s="251"/>
      <c r="E40" s="251"/>
      <c r="F40" s="253"/>
      <c r="G40" s="250"/>
      <c r="H40" s="254"/>
      <c r="I40" s="250"/>
      <c r="J40" s="250"/>
      <c r="K40" s="250"/>
      <c r="L40" s="254"/>
      <c r="M40" s="250"/>
    </row>
    <row r="41" ht="15.75" hidden="1" customHeight="1">
      <c r="A41" s="259"/>
      <c r="B41" s="123"/>
      <c r="C41" s="255"/>
      <c r="D41" s="251"/>
      <c r="E41" s="251"/>
      <c r="F41" s="253"/>
      <c r="G41" s="250"/>
      <c r="H41" s="254"/>
      <c r="I41" s="250"/>
      <c r="J41" s="250"/>
      <c r="K41" s="250"/>
      <c r="L41" s="254"/>
      <c r="M41" s="250"/>
    </row>
    <row r="42" ht="15.75" hidden="1" customHeight="1">
      <c r="A42" s="259"/>
      <c r="B42" s="123"/>
      <c r="C42" s="255"/>
      <c r="D42" s="251"/>
      <c r="E42" s="251"/>
      <c r="F42" s="253"/>
      <c r="G42" s="250"/>
      <c r="H42" s="254"/>
      <c r="I42" s="250"/>
      <c r="J42" s="250"/>
      <c r="K42" s="250"/>
      <c r="L42" s="254"/>
      <c r="M42" s="250"/>
    </row>
    <row r="43" ht="15.75" hidden="1" customHeight="1">
      <c r="A43" s="246"/>
      <c r="B43" s="261"/>
      <c r="C43" s="251"/>
      <c r="D43" s="251"/>
      <c r="E43" s="251"/>
      <c r="F43" s="253"/>
      <c r="G43" s="250"/>
      <c r="H43" s="254"/>
      <c r="I43" s="250"/>
      <c r="J43" s="250"/>
      <c r="K43" s="250"/>
      <c r="L43" s="254"/>
      <c r="M43" s="250"/>
    </row>
    <row r="44" ht="15.75" hidden="1" customHeight="1">
      <c r="A44" s="246" t="s">
        <v>543</v>
      </c>
      <c r="B44" s="262" t="s">
        <v>544</v>
      </c>
      <c r="C44" s="251"/>
      <c r="D44" s="251"/>
      <c r="E44" s="251"/>
      <c r="F44" s="253"/>
      <c r="G44" s="250"/>
      <c r="H44" s="254"/>
      <c r="I44" s="250"/>
      <c r="J44" s="250"/>
      <c r="K44" s="250"/>
      <c r="L44" s="254"/>
      <c r="M44" s="250"/>
    </row>
    <row r="45" ht="15.75" hidden="1" customHeight="1">
      <c r="A45" s="251" t="s">
        <v>545</v>
      </c>
      <c r="B45" s="262" t="s">
        <v>546</v>
      </c>
      <c r="C45" s="251"/>
      <c r="D45" s="251"/>
      <c r="E45" s="251"/>
      <c r="F45" s="253"/>
      <c r="G45" s="250"/>
      <c r="H45" s="254"/>
      <c r="I45" s="250"/>
      <c r="J45" s="250"/>
      <c r="K45" s="250"/>
      <c r="L45" s="254"/>
      <c r="M45" s="250"/>
    </row>
    <row r="46" ht="15.75" hidden="1" customHeight="1">
      <c r="A46" s="251" t="s">
        <v>547</v>
      </c>
      <c r="B46" s="123"/>
      <c r="C46" s="251"/>
      <c r="D46" s="251"/>
      <c r="E46" s="251"/>
      <c r="F46" s="253"/>
      <c r="G46" s="250"/>
      <c r="H46" s="254"/>
      <c r="I46" s="250"/>
      <c r="J46" s="250"/>
      <c r="K46" s="250"/>
      <c r="L46" s="254"/>
      <c r="M46" s="250"/>
    </row>
    <row r="47" ht="15.75" hidden="1" customHeight="1">
      <c r="A47" s="246"/>
      <c r="B47" s="123" t="s">
        <v>43</v>
      </c>
      <c r="C47" s="251"/>
      <c r="D47" s="251"/>
      <c r="E47" s="251"/>
      <c r="F47" s="253"/>
      <c r="G47" s="250"/>
      <c r="H47" s="254"/>
      <c r="I47" s="250"/>
      <c r="J47" s="250"/>
      <c r="K47" s="250"/>
      <c r="L47" s="254"/>
      <c r="M47" s="250"/>
    </row>
    <row r="48" ht="15.75" hidden="1" customHeight="1">
      <c r="A48" s="246" t="s">
        <v>548</v>
      </c>
      <c r="B48" s="142"/>
      <c r="C48" s="251"/>
      <c r="D48" s="251"/>
      <c r="E48" s="251"/>
      <c r="F48" s="253"/>
      <c r="G48" s="193"/>
      <c r="H48" s="263"/>
      <c r="I48" s="193"/>
      <c r="J48" s="193"/>
      <c r="K48" s="193"/>
      <c r="L48" s="263"/>
      <c r="M48" s="193"/>
    </row>
    <row r="49" ht="47.25" hidden="1" customHeight="1">
      <c r="A49" s="246"/>
      <c r="B49" s="123" t="s">
        <v>43</v>
      </c>
      <c r="C49" s="246"/>
      <c r="D49" s="246"/>
      <c r="E49" s="246"/>
      <c r="F49" s="264"/>
      <c r="G49" s="193"/>
      <c r="H49" s="263"/>
      <c r="I49" s="193"/>
      <c r="J49" s="193"/>
      <c r="K49" s="193"/>
      <c r="L49" s="263"/>
      <c r="M49" s="193"/>
    </row>
    <row r="50" ht="15.75" hidden="1" customHeight="1">
      <c r="A50" s="246" t="s">
        <v>549</v>
      </c>
      <c r="B50" s="123" t="s">
        <v>43</v>
      </c>
      <c r="C50" s="246"/>
      <c r="D50" s="246" t="s">
        <v>550</v>
      </c>
      <c r="E50" s="246"/>
      <c r="F50" s="264" t="s">
        <v>550</v>
      </c>
      <c r="G50" s="193"/>
      <c r="H50" s="263"/>
      <c r="I50" s="193"/>
      <c r="J50" s="193"/>
      <c r="K50" s="193"/>
      <c r="L50" s="263"/>
      <c r="M50" s="193"/>
    </row>
    <row r="51" ht="15.75" hidden="1" customHeight="1">
      <c r="A51" s="246" t="s">
        <v>551</v>
      </c>
      <c r="B51" s="123" t="s">
        <v>43</v>
      </c>
      <c r="C51" s="246"/>
      <c r="D51" s="246" t="s">
        <v>550</v>
      </c>
      <c r="E51" s="246"/>
      <c r="F51" s="264" t="s">
        <v>550</v>
      </c>
      <c r="G51" s="193"/>
      <c r="H51" s="263"/>
      <c r="I51" s="193"/>
      <c r="J51" s="193"/>
      <c r="K51" s="193"/>
      <c r="L51" s="263"/>
      <c r="M51" s="193"/>
    </row>
    <row r="52" ht="15.75" hidden="1" customHeight="1">
      <c r="A52" s="259" t="s">
        <v>552</v>
      </c>
      <c r="B52" s="123" t="s">
        <v>43</v>
      </c>
      <c r="C52" s="246"/>
      <c r="D52" s="246"/>
      <c r="E52" s="246"/>
      <c r="F52" s="264"/>
      <c r="G52" s="193"/>
      <c r="H52" s="263"/>
      <c r="I52" s="193"/>
      <c r="J52" s="193"/>
      <c r="K52" s="193"/>
      <c r="L52" s="263"/>
      <c r="M52" s="193"/>
    </row>
    <row r="53" ht="15.75" hidden="1" customHeight="1">
      <c r="A53" s="259" t="s">
        <v>553</v>
      </c>
      <c r="B53" s="123" t="s">
        <v>43</v>
      </c>
      <c r="C53" s="246"/>
      <c r="D53" s="246"/>
      <c r="E53" s="246"/>
      <c r="F53" s="264"/>
      <c r="G53" s="193"/>
      <c r="H53" s="263"/>
      <c r="I53" s="193"/>
      <c r="J53" s="193"/>
      <c r="K53" s="193"/>
      <c r="L53" s="263"/>
      <c r="M53" s="193"/>
    </row>
    <row r="54" ht="15.75" hidden="1" customHeight="1">
      <c r="A54" s="259" t="s">
        <v>554</v>
      </c>
      <c r="B54" s="123" t="s">
        <v>43</v>
      </c>
      <c r="C54" s="246"/>
      <c r="D54" s="246"/>
      <c r="E54" s="246"/>
      <c r="F54" s="264"/>
      <c r="G54" s="193"/>
      <c r="H54" s="263"/>
      <c r="I54" s="193"/>
      <c r="J54" s="193"/>
      <c r="K54" s="193"/>
      <c r="L54" s="263"/>
      <c r="M54" s="193"/>
    </row>
    <row r="55" ht="15.75" hidden="1" customHeight="1">
      <c r="A55" s="259" t="s">
        <v>555</v>
      </c>
      <c r="B55" s="142"/>
      <c r="C55" s="246"/>
      <c r="D55" s="246"/>
      <c r="E55" s="246"/>
      <c r="F55" s="264"/>
      <c r="G55" s="193"/>
      <c r="H55" s="263"/>
      <c r="I55" s="193"/>
      <c r="J55" s="193"/>
      <c r="K55" s="193"/>
      <c r="L55" s="263"/>
      <c r="M55" s="193"/>
    </row>
    <row r="56" ht="15.75" hidden="1" customHeight="1">
      <c r="A56" s="246"/>
      <c r="B56" s="123" t="s">
        <v>43</v>
      </c>
      <c r="C56" s="246"/>
      <c r="D56" s="246"/>
      <c r="E56" s="246"/>
      <c r="F56" s="264"/>
      <c r="G56" s="193"/>
      <c r="H56" s="263"/>
      <c r="I56" s="193"/>
      <c r="J56" s="193"/>
      <c r="K56" s="193"/>
      <c r="L56" s="263"/>
      <c r="M56" s="193"/>
    </row>
    <row r="57" ht="15.75" hidden="1" customHeight="1">
      <c r="A57" s="246" t="s">
        <v>556</v>
      </c>
      <c r="B57" s="262" t="s">
        <v>43</v>
      </c>
      <c r="C57" s="246"/>
      <c r="D57" s="246"/>
      <c r="E57" s="246"/>
      <c r="F57" s="246"/>
      <c r="G57" s="250"/>
      <c r="H57" s="254"/>
      <c r="I57" s="250"/>
      <c r="J57" s="250"/>
      <c r="K57" s="250"/>
      <c r="L57" s="254"/>
      <c r="M57" s="250"/>
    </row>
    <row r="58" ht="15.75" hidden="1" customHeight="1">
      <c r="A58" s="251" t="s">
        <v>557</v>
      </c>
      <c r="B58" s="265"/>
      <c r="C58" s="251"/>
      <c r="D58" s="251"/>
      <c r="E58" s="251"/>
      <c r="F58" s="251"/>
      <c r="G58" s="250"/>
      <c r="H58" s="254"/>
      <c r="I58" s="250"/>
      <c r="J58" s="250"/>
      <c r="K58" s="250"/>
      <c r="L58" s="254"/>
      <c r="M58" s="250"/>
    </row>
    <row r="59" ht="15.75" hidden="1" customHeight="1">
      <c r="A59" s="266"/>
      <c r="B59" s="265"/>
      <c r="C59" s="186"/>
      <c r="D59" s="186"/>
      <c r="E59" s="251"/>
      <c r="F59" s="251"/>
      <c r="G59" s="250"/>
      <c r="H59" s="254"/>
      <c r="I59" s="250"/>
      <c r="J59" s="250"/>
      <c r="K59" s="250"/>
      <c r="L59" s="254"/>
      <c r="M59" s="250"/>
    </row>
    <row r="60" ht="33.0" customHeight="1">
      <c r="A60" s="142" t="s">
        <v>76</v>
      </c>
      <c r="B60" s="142"/>
      <c r="C60" s="250"/>
      <c r="D60" s="107">
        <f>D11</f>
        <v>1450</v>
      </c>
      <c r="E60" s="267"/>
      <c r="F60" s="107">
        <f>F11</f>
        <v>750</v>
      </c>
      <c r="G60" s="193"/>
      <c r="H60" s="107">
        <f>H11</f>
        <v>2100</v>
      </c>
      <c r="I60" s="193"/>
      <c r="J60" s="268">
        <v>0.0</v>
      </c>
      <c r="K60" s="193"/>
      <c r="L60" s="107">
        <f>L11</f>
        <v>2100</v>
      </c>
      <c r="M60" s="193"/>
    </row>
    <row r="61" ht="15.75" customHeight="1">
      <c r="A61" s="147"/>
      <c r="B61" s="269"/>
      <c r="C61" s="149"/>
      <c r="D61" s="84"/>
      <c r="E61" s="89"/>
      <c r="F61" s="89"/>
      <c r="G61" s="89"/>
      <c r="H61" s="270"/>
      <c r="I61" s="89"/>
      <c r="J61" s="89"/>
      <c r="K61" s="89"/>
      <c r="L61" s="89"/>
      <c r="M61" s="89"/>
    </row>
    <row r="62" ht="22.5" customHeight="1">
      <c r="A62" s="147" t="s">
        <v>77</v>
      </c>
      <c r="B62" s="150"/>
      <c r="C62" s="151"/>
      <c r="D62" s="152"/>
      <c r="E62" s="153" t="s">
        <v>466</v>
      </c>
      <c r="F62" s="154"/>
      <c r="G62" s="154"/>
      <c r="H62" s="271"/>
      <c r="I62" s="154"/>
      <c r="J62" s="154"/>
      <c r="K62" s="154"/>
      <c r="L62" s="155" t="s">
        <v>467</v>
      </c>
      <c r="M62" s="154"/>
    </row>
    <row r="63" ht="15.75" customHeight="1">
      <c r="A63" s="68"/>
      <c r="B63" s="150"/>
      <c r="C63" s="151"/>
      <c r="D63" s="152"/>
      <c r="E63" s="151"/>
      <c r="F63" s="154"/>
      <c r="G63" s="154"/>
      <c r="H63" s="271"/>
      <c r="I63" s="154"/>
      <c r="J63" s="154"/>
      <c r="K63" s="154"/>
      <c r="L63" s="156"/>
      <c r="M63" s="154"/>
    </row>
    <row r="64" ht="15.75" customHeight="1">
      <c r="A64" s="68"/>
      <c r="B64" s="150"/>
      <c r="C64" s="151"/>
      <c r="D64" s="152"/>
      <c r="E64" s="151"/>
      <c r="F64" s="154"/>
      <c r="G64" s="154"/>
      <c r="H64" s="271"/>
      <c r="I64" s="154"/>
      <c r="J64" s="154"/>
      <c r="K64" s="154"/>
      <c r="L64" s="156"/>
      <c r="M64" s="154"/>
    </row>
    <row r="65" ht="15.75" customHeight="1">
      <c r="A65" s="152"/>
      <c r="B65" s="150"/>
      <c r="C65" s="151"/>
      <c r="D65" s="152"/>
      <c r="E65" s="151"/>
      <c r="F65" s="150"/>
      <c r="G65" s="150"/>
      <c r="H65" s="272"/>
      <c r="I65" s="154"/>
      <c r="J65" s="150"/>
      <c r="K65" s="150"/>
      <c r="L65" s="156"/>
      <c r="M65" s="150"/>
    </row>
    <row r="66" ht="15.75" customHeight="1">
      <c r="A66" s="68"/>
      <c r="B66" s="150"/>
      <c r="C66" s="151"/>
      <c r="D66" s="152"/>
      <c r="E66" s="151"/>
      <c r="F66" s="150"/>
      <c r="G66" s="150"/>
      <c r="H66" s="272"/>
      <c r="I66" s="154"/>
      <c r="J66" s="150"/>
      <c r="K66" s="150"/>
      <c r="L66" s="156"/>
      <c r="M66" s="150"/>
    </row>
    <row r="67" ht="21.0" customHeight="1">
      <c r="A67" s="157" t="s">
        <v>82</v>
      </c>
      <c r="B67" s="150"/>
      <c r="C67" s="151"/>
      <c r="D67" s="152"/>
      <c r="E67" s="158" t="s">
        <v>83</v>
      </c>
      <c r="F67" s="150"/>
      <c r="G67" s="150"/>
      <c r="H67" s="272"/>
      <c r="I67" s="154"/>
      <c r="J67" s="150"/>
      <c r="K67" s="150"/>
      <c r="L67" s="159" t="s">
        <v>84</v>
      </c>
      <c r="M67" s="150"/>
    </row>
    <row r="68">
      <c r="A68" s="160" t="s">
        <v>468</v>
      </c>
      <c r="B68" s="150"/>
      <c r="C68" s="151"/>
      <c r="D68" s="152"/>
      <c r="E68" s="153" t="s">
        <v>87</v>
      </c>
      <c r="F68" s="150"/>
      <c r="G68" s="150"/>
      <c r="H68" s="272"/>
      <c r="I68" s="154"/>
      <c r="J68" s="150"/>
      <c r="K68" s="150"/>
      <c r="L68" s="161" t="s">
        <v>88</v>
      </c>
      <c r="M68" s="150"/>
    </row>
    <row r="69" ht="20.25" customHeight="1">
      <c r="A69" s="162"/>
      <c r="B69" s="163"/>
      <c r="C69" s="164"/>
      <c r="D69" s="164"/>
      <c r="E69" s="84"/>
      <c r="F69" s="84"/>
      <c r="G69" s="273"/>
      <c r="H69" s="242"/>
      <c r="I69" s="273"/>
      <c r="J69" s="273"/>
      <c r="K69" s="273"/>
      <c r="L69" s="273"/>
      <c r="M69" s="273"/>
    </row>
    <row r="70" ht="15.75" customHeight="1">
      <c r="A70" s="84"/>
      <c r="B70" s="84"/>
      <c r="C70" s="84"/>
      <c r="D70" s="84"/>
      <c r="E70" s="84"/>
      <c r="F70" s="84"/>
      <c r="G70" s="273"/>
      <c r="H70" s="242"/>
      <c r="I70" s="273"/>
      <c r="J70" s="273"/>
      <c r="K70" s="273"/>
      <c r="L70" s="273"/>
      <c r="M70" s="273"/>
    </row>
    <row r="71" ht="15.75" customHeight="1">
      <c r="A71" s="84"/>
      <c r="B71" s="84"/>
      <c r="C71" s="84"/>
      <c r="D71" s="84"/>
      <c r="E71" s="89"/>
      <c r="F71" s="89"/>
      <c r="G71" s="89"/>
      <c r="H71" s="270"/>
      <c r="I71" s="89"/>
      <c r="J71" s="89"/>
      <c r="K71" s="89"/>
      <c r="L71" s="89"/>
      <c r="M71" s="89"/>
    </row>
    <row r="72" ht="15.75" customHeight="1">
      <c r="A72" s="84"/>
      <c r="B72" s="84"/>
      <c r="C72" s="84"/>
      <c r="D72" s="84"/>
      <c r="E72" s="89"/>
      <c r="F72" s="89"/>
      <c r="G72" s="89"/>
      <c r="H72" s="270"/>
      <c r="I72" s="89"/>
      <c r="J72" s="89"/>
      <c r="K72" s="89"/>
      <c r="L72" s="89"/>
      <c r="M72" s="89"/>
    </row>
    <row r="73" ht="15.75" customHeight="1">
      <c r="A73" s="84"/>
      <c r="B73" s="84"/>
      <c r="C73" s="84"/>
      <c r="D73" s="84"/>
      <c r="E73" s="89"/>
      <c r="F73" s="89"/>
      <c r="G73" s="89"/>
      <c r="H73" s="270"/>
      <c r="I73" s="89"/>
      <c r="J73" s="89"/>
      <c r="K73" s="89"/>
      <c r="L73" s="89"/>
      <c r="M73" s="89"/>
    </row>
    <row r="74" ht="15.75" customHeight="1">
      <c r="A74" s="84"/>
      <c r="B74" s="84"/>
      <c r="C74" s="89"/>
      <c r="D74" s="89"/>
      <c r="E74" s="89"/>
      <c r="F74" s="89"/>
      <c r="G74" s="89"/>
      <c r="H74" s="270"/>
      <c r="I74" s="89"/>
      <c r="J74" s="89"/>
      <c r="K74" s="89"/>
      <c r="L74" s="89"/>
      <c r="M74" s="89"/>
    </row>
    <row r="75" ht="15.75" customHeight="1">
      <c r="A75" s="84"/>
      <c r="B75" s="274"/>
      <c r="C75" s="89"/>
      <c r="D75" s="89"/>
      <c r="E75" s="89"/>
      <c r="F75" s="89"/>
      <c r="G75" s="89"/>
      <c r="H75" s="270"/>
      <c r="I75" s="89"/>
      <c r="J75" s="89"/>
      <c r="K75" s="89"/>
      <c r="L75" s="89"/>
      <c r="M75" s="89"/>
    </row>
    <row r="76" ht="15.75" customHeight="1">
      <c r="A76" s="84"/>
      <c r="B76" s="274"/>
      <c r="C76" s="89"/>
      <c r="D76" s="89"/>
      <c r="E76" s="89"/>
      <c r="F76" s="89"/>
      <c r="G76" s="89"/>
      <c r="H76" s="270"/>
      <c r="I76" s="89"/>
      <c r="J76" s="89"/>
      <c r="K76" s="89"/>
      <c r="L76" s="89"/>
      <c r="M76" s="89"/>
    </row>
    <row r="77" ht="15.75" customHeight="1">
      <c r="A77" s="84"/>
      <c r="B77" s="274"/>
      <c r="C77" s="89"/>
      <c r="D77" s="89"/>
      <c r="E77" s="89"/>
      <c r="F77" s="89"/>
      <c r="G77" s="89"/>
      <c r="H77" s="270"/>
      <c r="I77" s="89"/>
      <c r="J77" s="89"/>
      <c r="K77" s="89"/>
      <c r="L77" s="89"/>
      <c r="M77" s="89"/>
    </row>
    <row r="78" ht="15.75" customHeight="1">
      <c r="A78" s="84"/>
      <c r="B78" s="274"/>
      <c r="C78" s="89"/>
      <c r="D78" s="89"/>
      <c r="E78" s="89"/>
      <c r="F78" s="89"/>
      <c r="G78" s="89"/>
      <c r="H78" s="270"/>
      <c r="I78" s="89"/>
      <c r="J78" s="89"/>
      <c r="K78" s="89"/>
      <c r="L78" s="89"/>
      <c r="M78" s="89"/>
    </row>
    <row r="79" ht="15.75" customHeight="1">
      <c r="A79" s="84"/>
      <c r="B79" s="84"/>
      <c r="C79" s="89"/>
      <c r="D79" s="89"/>
      <c r="E79" s="89"/>
      <c r="F79" s="89"/>
      <c r="G79" s="89"/>
      <c r="H79" s="270"/>
      <c r="I79" s="89"/>
      <c r="J79" s="89"/>
      <c r="K79" s="89"/>
      <c r="L79" s="89"/>
      <c r="M79" s="89"/>
    </row>
    <row r="80" ht="15.75" customHeight="1">
      <c r="A80" s="84"/>
      <c r="B80" s="84"/>
      <c r="C80" s="89"/>
      <c r="D80" s="89"/>
      <c r="E80" s="89"/>
      <c r="F80" s="89"/>
      <c r="G80" s="89"/>
      <c r="H80" s="270"/>
      <c r="I80" s="89"/>
      <c r="J80" s="89"/>
      <c r="K80" s="89"/>
      <c r="L80" s="89"/>
      <c r="M80" s="89"/>
    </row>
    <row r="81" ht="15.75" customHeight="1">
      <c r="A81" s="275"/>
      <c r="B81" s="275"/>
      <c r="C81" s="89"/>
      <c r="D81" s="89"/>
      <c r="E81" s="89"/>
      <c r="F81" s="89"/>
      <c r="G81" s="89"/>
      <c r="H81" s="270"/>
      <c r="I81" s="89"/>
      <c r="J81" s="89"/>
      <c r="K81" s="89"/>
      <c r="L81" s="89"/>
      <c r="M81" s="89"/>
    </row>
    <row r="82" ht="15.75" customHeight="1">
      <c r="A82" s="276"/>
      <c r="B82" s="244"/>
      <c r="C82" s="89"/>
      <c r="D82" s="89"/>
      <c r="E82" s="89"/>
      <c r="F82" s="89"/>
      <c r="G82" s="89"/>
      <c r="H82" s="270"/>
      <c r="I82" s="89"/>
      <c r="J82" s="89"/>
      <c r="K82" s="89"/>
      <c r="L82" s="89"/>
      <c r="M82" s="89"/>
    </row>
    <row r="83" ht="15.75" customHeight="1">
      <c r="A83" s="276"/>
      <c r="B83" s="244"/>
      <c r="C83" s="89"/>
      <c r="D83" s="89"/>
      <c r="E83" s="89"/>
      <c r="F83" s="89"/>
      <c r="G83" s="89"/>
      <c r="H83" s="270"/>
      <c r="I83" s="89"/>
      <c r="J83" s="89"/>
      <c r="K83" s="89"/>
      <c r="L83" s="89"/>
      <c r="M83" s="89"/>
    </row>
    <row r="84" ht="15.75" customHeight="1">
      <c r="A84" s="276"/>
      <c r="B84" s="244"/>
      <c r="C84" s="89"/>
      <c r="D84" s="89"/>
      <c r="E84" s="89"/>
      <c r="F84" s="89"/>
      <c r="G84" s="89"/>
      <c r="H84" s="270"/>
      <c r="I84" s="89"/>
      <c r="J84" s="89"/>
      <c r="K84" s="89"/>
      <c r="L84" s="89"/>
      <c r="M84" s="89"/>
    </row>
    <row r="85" ht="15.75" customHeight="1">
      <c r="A85" s="276"/>
      <c r="B85" s="244"/>
      <c r="C85" s="89"/>
      <c r="D85" s="89"/>
      <c r="E85" s="89"/>
      <c r="F85" s="89"/>
      <c r="G85" s="89"/>
      <c r="H85" s="270"/>
      <c r="I85" s="89"/>
      <c r="J85" s="89"/>
      <c r="K85" s="89"/>
      <c r="L85" s="89"/>
      <c r="M85" s="89"/>
    </row>
    <row r="86" ht="15.75" customHeight="1">
      <c r="A86" s="276"/>
      <c r="B86" s="244"/>
      <c r="C86" s="89"/>
      <c r="D86" s="89"/>
      <c r="E86" s="89"/>
      <c r="F86" s="89"/>
      <c r="G86" s="89"/>
      <c r="H86" s="270"/>
      <c r="I86" s="89"/>
      <c r="J86" s="89"/>
      <c r="K86" s="89"/>
      <c r="L86" s="89"/>
      <c r="M86" s="89"/>
    </row>
    <row r="87" ht="15.75" customHeight="1">
      <c r="A87" s="276"/>
      <c r="B87" s="244"/>
      <c r="C87" s="89"/>
      <c r="D87" s="89"/>
      <c r="E87" s="89"/>
      <c r="F87" s="89"/>
      <c r="G87" s="89"/>
      <c r="H87" s="270"/>
      <c r="I87" s="89"/>
      <c r="J87" s="89"/>
      <c r="K87" s="89"/>
      <c r="L87" s="89"/>
      <c r="M87" s="89"/>
    </row>
    <row r="88" ht="15.75" customHeight="1">
      <c r="A88" s="276"/>
      <c r="B88" s="244"/>
      <c r="C88" s="89"/>
      <c r="D88" s="89"/>
      <c r="E88" s="89"/>
      <c r="F88" s="89"/>
      <c r="G88" s="89"/>
      <c r="H88" s="270"/>
      <c r="I88" s="89"/>
      <c r="J88" s="89"/>
      <c r="K88" s="89"/>
      <c r="L88" s="89"/>
      <c r="M88" s="89"/>
    </row>
    <row r="89" ht="15.75" customHeight="1">
      <c r="A89" s="276"/>
      <c r="B89" s="244"/>
      <c r="C89" s="89"/>
      <c r="D89" s="89"/>
      <c r="E89" s="89"/>
      <c r="F89" s="89"/>
      <c r="G89" s="89"/>
      <c r="H89" s="270"/>
      <c r="I89" s="89"/>
      <c r="J89" s="89"/>
      <c r="K89" s="89"/>
      <c r="L89" s="89"/>
      <c r="M89" s="89"/>
    </row>
    <row r="90" ht="15.75" customHeight="1">
      <c r="A90" s="276"/>
      <c r="B90" s="244"/>
      <c r="C90" s="89"/>
      <c r="D90" s="89"/>
      <c r="E90" s="89"/>
      <c r="F90" s="89"/>
      <c r="G90" s="89"/>
      <c r="H90" s="270"/>
      <c r="I90" s="89"/>
      <c r="J90" s="89"/>
      <c r="K90" s="89"/>
      <c r="L90" s="89"/>
      <c r="M90" s="89"/>
    </row>
    <row r="91" ht="15.75" customHeight="1">
      <c r="A91" s="277"/>
      <c r="B91" s="244"/>
      <c r="C91" s="84"/>
      <c r="D91" s="84"/>
      <c r="E91" s="84"/>
      <c r="F91" s="84"/>
      <c r="G91" s="84"/>
      <c r="H91" s="242"/>
      <c r="I91" s="84"/>
      <c r="J91" s="84"/>
      <c r="K91" s="84"/>
      <c r="L91" s="84"/>
      <c r="M91" s="84"/>
    </row>
    <row r="92" ht="15.75" customHeight="1">
      <c r="A92" s="277"/>
      <c r="B92" s="244"/>
      <c r="C92" s="84"/>
      <c r="D92" s="84"/>
      <c r="E92" s="84"/>
      <c r="F92" s="84"/>
      <c r="G92" s="84"/>
      <c r="H92" s="242"/>
      <c r="I92" s="84"/>
      <c r="J92" s="84"/>
      <c r="K92" s="84"/>
      <c r="L92" s="84"/>
      <c r="M92" s="84"/>
    </row>
    <row r="93" ht="15.75" customHeight="1">
      <c r="A93" s="277"/>
      <c r="B93" s="244"/>
      <c r="C93" s="84"/>
      <c r="D93" s="84"/>
      <c r="E93" s="84"/>
      <c r="F93" s="84"/>
      <c r="G93" s="84"/>
      <c r="H93" s="242"/>
      <c r="I93" s="84"/>
      <c r="J93" s="84"/>
      <c r="K93" s="84"/>
      <c r="L93" s="84"/>
      <c r="M93" s="84"/>
    </row>
    <row r="94" ht="15.75" customHeight="1">
      <c r="A94" s="277"/>
      <c r="B94" s="244"/>
      <c r="C94" s="84"/>
      <c r="D94" s="84"/>
      <c r="E94" s="84"/>
      <c r="F94" s="84"/>
      <c r="G94" s="84"/>
      <c r="H94" s="242"/>
      <c r="I94" s="84"/>
      <c r="J94" s="84"/>
      <c r="K94" s="84"/>
      <c r="L94" s="84"/>
      <c r="M94" s="84"/>
    </row>
    <row r="95" ht="15.75" customHeight="1">
      <c r="A95" s="277"/>
      <c r="B95" s="244"/>
      <c r="C95" s="84"/>
      <c r="D95" s="84"/>
      <c r="E95" s="84"/>
      <c r="F95" s="84"/>
      <c r="G95" s="84"/>
      <c r="H95" s="242"/>
      <c r="I95" s="84"/>
      <c r="J95" s="84"/>
      <c r="K95" s="84"/>
      <c r="L95" s="84"/>
      <c r="M95" s="84"/>
    </row>
    <row r="96" ht="15.75" customHeight="1">
      <c r="A96" s="277"/>
      <c r="B96" s="244"/>
      <c r="C96" s="84"/>
      <c r="D96" s="84"/>
      <c r="E96" s="84"/>
      <c r="F96" s="84"/>
      <c r="G96" s="84"/>
      <c r="H96" s="242"/>
      <c r="I96" s="84"/>
      <c r="J96" s="84"/>
      <c r="K96" s="84"/>
      <c r="L96" s="84"/>
      <c r="M96" s="84"/>
    </row>
    <row r="97" ht="15.75" customHeight="1">
      <c r="A97" s="277"/>
      <c r="B97" s="244"/>
      <c r="C97" s="84"/>
      <c r="D97" s="84"/>
      <c r="E97" s="84"/>
      <c r="F97" s="84"/>
      <c r="G97" s="84"/>
      <c r="H97" s="242"/>
      <c r="I97" s="84"/>
      <c r="J97" s="84"/>
      <c r="K97" s="84"/>
      <c r="L97" s="84"/>
      <c r="M97" s="84"/>
    </row>
    <row r="98" ht="15.75" customHeight="1">
      <c r="A98" s="277"/>
      <c r="B98" s="244"/>
      <c r="C98" s="84"/>
      <c r="D98" s="84"/>
      <c r="E98" s="84"/>
      <c r="F98" s="84"/>
      <c r="G98" s="84"/>
      <c r="H98" s="242"/>
      <c r="I98" s="84"/>
      <c r="J98" s="84"/>
      <c r="K98" s="84"/>
      <c r="L98" s="84"/>
      <c r="M98" s="84"/>
    </row>
    <row r="99" ht="15.75" customHeight="1">
      <c r="A99" s="277"/>
      <c r="B99" s="244"/>
      <c r="C99" s="84"/>
      <c r="D99" s="84"/>
      <c r="E99" s="84"/>
      <c r="F99" s="84"/>
      <c r="G99" s="84"/>
      <c r="H99" s="242"/>
      <c r="I99" s="84"/>
      <c r="J99" s="84"/>
      <c r="K99" s="84"/>
      <c r="L99" s="84"/>
      <c r="M99" s="84"/>
    </row>
    <row r="100" ht="15.75" customHeight="1">
      <c r="A100" s="277"/>
      <c r="B100" s="244"/>
      <c r="C100" s="84"/>
      <c r="D100" s="84"/>
      <c r="E100" s="84"/>
      <c r="F100" s="84"/>
      <c r="G100" s="84"/>
      <c r="H100" s="242"/>
      <c r="I100" s="84"/>
      <c r="J100" s="84"/>
      <c r="K100" s="84"/>
      <c r="L100" s="84"/>
      <c r="M100" s="84"/>
    </row>
    <row r="101" ht="15.75" customHeight="1">
      <c r="A101" s="277"/>
      <c r="B101" s="244"/>
      <c r="C101" s="84"/>
      <c r="D101" s="84"/>
      <c r="E101" s="84"/>
      <c r="F101" s="84"/>
      <c r="G101" s="84"/>
      <c r="H101" s="242"/>
      <c r="I101" s="84"/>
      <c r="J101" s="84"/>
      <c r="K101" s="84"/>
      <c r="L101" s="84"/>
      <c r="M101" s="84"/>
    </row>
    <row r="102" ht="15.75" customHeight="1">
      <c r="A102" s="277"/>
      <c r="B102" s="244"/>
      <c r="C102" s="84"/>
      <c r="D102" s="84"/>
      <c r="E102" s="84"/>
      <c r="F102" s="84"/>
      <c r="G102" s="84"/>
      <c r="H102" s="242"/>
      <c r="I102" s="84"/>
      <c r="J102" s="84"/>
      <c r="K102" s="84"/>
      <c r="L102" s="84"/>
      <c r="M102" s="84"/>
    </row>
    <row r="103" ht="15.75" customHeight="1">
      <c r="A103" s="277"/>
      <c r="B103" s="244"/>
      <c r="C103" s="84"/>
      <c r="D103" s="84"/>
      <c r="E103" s="84"/>
      <c r="F103" s="84"/>
      <c r="G103" s="84"/>
      <c r="H103" s="242"/>
      <c r="I103" s="84"/>
      <c r="J103" s="84"/>
      <c r="K103" s="84"/>
      <c r="L103" s="84"/>
      <c r="M103" s="84"/>
    </row>
    <row r="104" ht="15.75" customHeight="1">
      <c r="A104" s="277"/>
      <c r="B104" s="244"/>
      <c r="C104" s="84"/>
      <c r="D104" s="84"/>
      <c r="E104" s="84"/>
      <c r="F104" s="84"/>
      <c r="G104" s="84"/>
      <c r="H104" s="242"/>
      <c r="I104" s="84"/>
      <c r="J104" s="84"/>
      <c r="K104" s="84"/>
      <c r="L104" s="84"/>
      <c r="M104" s="84"/>
    </row>
    <row r="105" ht="15.75" customHeight="1">
      <c r="A105" s="277"/>
      <c r="B105" s="244"/>
      <c r="C105" s="84"/>
      <c r="D105" s="84"/>
      <c r="E105" s="84"/>
      <c r="F105" s="84"/>
      <c r="G105" s="84"/>
      <c r="H105" s="242"/>
      <c r="I105" s="84"/>
      <c r="J105" s="84"/>
      <c r="K105" s="84"/>
      <c r="L105" s="84"/>
      <c r="M105" s="84"/>
    </row>
    <row r="106" ht="15.75" customHeight="1">
      <c r="A106" s="277"/>
      <c r="B106" s="244"/>
      <c r="C106" s="84"/>
      <c r="D106" s="84"/>
      <c r="E106" s="84"/>
      <c r="F106" s="84"/>
      <c r="G106" s="84"/>
      <c r="H106" s="242"/>
      <c r="I106" s="84"/>
      <c r="J106" s="84"/>
      <c r="K106" s="84"/>
      <c r="L106" s="84"/>
      <c r="M106" s="84"/>
    </row>
    <row r="107" ht="15.75" customHeight="1">
      <c r="A107" s="277"/>
      <c r="B107" s="244"/>
      <c r="C107" s="84"/>
      <c r="D107" s="84"/>
      <c r="E107" s="84"/>
      <c r="F107" s="84"/>
      <c r="G107" s="84"/>
      <c r="H107" s="242"/>
      <c r="I107" s="84"/>
      <c r="J107" s="84"/>
      <c r="K107" s="84"/>
      <c r="L107" s="84"/>
      <c r="M107" s="84"/>
    </row>
    <row r="108" ht="15.75" customHeight="1">
      <c r="A108" s="277"/>
      <c r="B108" s="244"/>
      <c r="C108" s="84"/>
      <c r="D108" s="84"/>
      <c r="E108" s="84"/>
      <c r="F108" s="84"/>
      <c r="G108" s="84"/>
      <c r="H108" s="242"/>
      <c r="I108" s="84"/>
      <c r="J108" s="84"/>
      <c r="K108" s="84"/>
      <c r="L108" s="84"/>
      <c r="M108" s="84"/>
    </row>
    <row r="109" ht="15.75" customHeight="1">
      <c r="A109" s="277"/>
      <c r="B109" s="244"/>
      <c r="C109" s="84"/>
      <c r="D109" s="84"/>
      <c r="E109" s="84"/>
      <c r="F109" s="84"/>
      <c r="G109" s="84"/>
      <c r="H109" s="242"/>
      <c r="I109" s="84"/>
      <c r="J109" s="84"/>
      <c r="K109" s="84"/>
      <c r="L109" s="84"/>
      <c r="M109" s="84"/>
    </row>
    <row r="110" ht="15.75" customHeight="1">
      <c r="A110" s="277"/>
      <c r="B110" s="244"/>
      <c r="C110" s="84"/>
      <c r="D110" s="84"/>
      <c r="E110" s="84"/>
      <c r="F110" s="84"/>
      <c r="G110" s="84"/>
      <c r="H110" s="242"/>
      <c r="I110" s="84"/>
      <c r="J110" s="84"/>
      <c r="K110" s="84"/>
      <c r="L110" s="84"/>
      <c r="M110" s="84"/>
    </row>
    <row r="111" ht="15.75" customHeight="1">
      <c r="A111" s="277"/>
      <c r="B111" s="244"/>
      <c r="C111" s="84"/>
      <c r="D111" s="84"/>
      <c r="E111" s="84"/>
      <c r="F111" s="84"/>
      <c r="G111" s="84"/>
      <c r="H111" s="242"/>
      <c r="I111" s="84"/>
      <c r="J111" s="84"/>
      <c r="K111" s="84"/>
      <c r="L111" s="84"/>
      <c r="M111" s="84"/>
    </row>
    <row r="112" ht="15.75" customHeight="1">
      <c r="A112" s="277"/>
      <c r="B112" s="244"/>
      <c r="C112" s="84"/>
      <c r="D112" s="84"/>
      <c r="E112" s="84"/>
      <c r="F112" s="84"/>
      <c r="G112" s="84"/>
      <c r="H112" s="242"/>
      <c r="I112" s="84"/>
      <c r="J112" s="84"/>
      <c r="K112" s="84"/>
      <c r="L112" s="84"/>
      <c r="M112" s="84"/>
    </row>
    <row r="113" ht="15.75" customHeight="1">
      <c r="A113" s="277"/>
      <c r="B113" s="244"/>
      <c r="C113" s="84"/>
      <c r="D113" s="84"/>
      <c r="E113" s="84"/>
      <c r="F113" s="84"/>
      <c r="G113" s="84"/>
      <c r="H113" s="242"/>
      <c r="I113" s="84"/>
      <c r="J113" s="84"/>
      <c r="K113" s="84"/>
      <c r="L113" s="84"/>
      <c r="M113" s="84"/>
    </row>
    <row r="114" ht="15.75" customHeight="1">
      <c r="A114" s="277"/>
      <c r="B114" s="244"/>
      <c r="C114" s="84"/>
      <c r="D114" s="84"/>
      <c r="E114" s="84"/>
      <c r="F114" s="84"/>
      <c r="G114" s="84"/>
      <c r="H114" s="242"/>
      <c r="I114" s="84"/>
      <c r="J114" s="84"/>
      <c r="K114" s="84"/>
      <c r="L114" s="84"/>
      <c r="M114" s="84"/>
    </row>
    <row r="115" ht="15.75" customHeight="1">
      <c r="A115" s="277"/>
      <c r="B115" s="244"/>
      <c r="C115" s="84"/>
      <c r="D115" s="84"/>
      <c r="E115" s="84"/>
      <c r="F115" s="84"/>
      <c r="G115" s="84"/>
      <c r="H115" s="242"/>
      <c r="I115" s="84"/>
      <c r="J115" s="84"/>
      <c r="K115" s="84"/>
      <c r="L115" s="84"/>
      <c r="M115" s="84"/>
    </row>
    <row r="116" ht="15.75" customHeight="1">
      <c r="A116" s="277"/>
      <c r="B116" s="244"/>
      <c r="C116" s="84"/>
      <c r="D116" s="84"/>
      <c r="E116" s="84"/>
      <c r="F116" s="84"/>
      <c r="G116" s="84"/>
      <c r="H116" s="242"/>
      <c r="I116" s="84"/>
      <c r="J116" s="84"/>
      <c r="K116" s="84"/>
      <c r="L116" s="84"/>
      <c r="M116" s="84"/>
    </row>
    <row r="117" ht="15.75" customHeight="1">
      <c r="A117" s="277"/>
      <c r="B117" s="244"/>
      <c r="C117" s="84"/>
      <c r="D117" s="84"/>
      <c r="E117" s="84"/>
      <c r="F117" s="84"/>
      <c r="G117" s="84"/>
      <c r="H117" s="242"/>
      <c r="I117" s="84"/>
      <c r="J117" s="84"/>
      <c r="K117" s="84"/>
      <c r="L117" s="84"/>
      <c r="M117" s="84"/>
    </row>
    <row r="118" ht="15.75" customHeight="1">
      <c r="A118" s="277"/>
      <c r="B118" s="244"/>
      <c r="C118" s="84"/>
      <c r="D118" s="84"/>
      <c r="E118" s="84"/>
      <c r="F118" s="84"/>
      <c r="G118" s="84"/>
      <c r="H118" s="242"/>
      <c r="I118" s="84"/>
      <c r="J118" s="84"/>
      <c r="K118" s="84"/>
      <c r="L118" s="84"/>
      <c r="M118" s="84"/>
    </row>
    <row r="119" ht="15.75" customHeight="1">
      <c r="A119" s="277"/>
      <c r="B119" s="244"/>
      <c r="C119" s="84"/>
      <c r="D119" s="84"/>
      <c r="E119" s="84"/>
      <c r="F119" s="84"/>
      <c r="G119" s="84"/>
      <c r="H119" s="242"/>
      <c r="I119" s="84"/>
      <c r="J119" s="84"/>
      <c r="K119" s="84"/>
      <c r="L119" s="84"/>
      <c r="M119" s="84"/>
    </row>
    <row r="120" ht="15.75" customHeight="1">
      <c r="A120" s="277"/>
      <c r="B120" s="244"/>
      <c r="C120" s="84"/>
      <c r="D120" s="84"/>
      <c r="E120" s="84"/>
      <c r="F120" s="84"/>
      <c r="G120" s="84"/>
      <c r="H120" s="242"/>
      <c r="I120" s="84"/>
      <c r="J120" s="84"/>
      <c r="K120" s="84"/>
      <c r="L120" s="84"/>
      <c r="M120" s="84"/>
    </row>
    <row r="121" ht="15.75" customHeight="1">
      <c r="A121" s="277"/>
      <c r="B121" s="244"/>
      <c r="C121" s="84"/>
      <c r="D121" s="84"/>
      <c r="E121" s="84"/>
      <c r="F121" s="84"/>
      <c r="G121" s="84"/>
      <c r="H121" s="242"/>
      <c r="I121" s="84"/>
      <c r="J121" s="84"/>
      <c r="K121" s="84"/>
      <c r="L121" s="84"/>
      <c r="M121" s="84"/>
    </row>
    <row r="122" ht="15.75" customHeight="1">
      <c r="A122" s="277"/>
      <c r="B122" s="244"/>
      <c r="C122" s="84"/>
      <c r="D122" s="84"/>
      <c r="E122" s="84"/>
      <c r="F122" s="84"/>
      <c r="G122" s="84"/>
      <c r="H122" s="242"/>
      <c r="I122" s="84"/>
      <c r="J122" s="84"/>
      <c r="K122" s="84"/>
      <c r="L122" s="84"/>
      <c r="M122" s="84"/>
    </row>
    <row r="123" ht="15.75" customHeight="1">
      <c r="A123" s="277"/>
      <c r="B123" s="244"/>
      <c r="C123" s="84"/>
      <c r="D123" s="84"/>
      <c r="E123" s="84"/>
      <c r="F123" s="84"/>
      <c r="G123" s="84"/>
      <c r="H123" s="242"/>
      <c r="I123" s="84"/>
      <c r="J123" s="84"/>
      <c r="K123" s="84"/>
      <c r="L123" s="84"/>
      <c r="M123" s="84"/>
    </row>
    <row r="124" ht="15.75" customHeight="1">
      <c r="A124" s="277"/>
      <c r="B124" s="244"/>
      <c r="C124" s="84"/>
      <c r="D124" s="84"/>
      <c r="E124" s="84"/>
      <c r="F124" s="84"/>
      <c r="G124" s="84"/>
      <c r="H124" s="242"/>
      <c r="I124" s="84"/>
      <c r="J124" s="84"/>
      <c r="K124" s="84"/>
      <c r="L124" s="84"/>
      <c r="M124" s="84"/>
    </row>
    <row r="125" ht="15.75" customHeight="1">
      <c r="A125" s="277"/>
      <c r="B125" s="244"/>
      <c r="C125" s="84"/>
      <c r="D125" s="84"/>
      <c r="E125" s="84"/>
      <c r="F125" s="84"/>
      <c r="G125" s="84"/>
      <c r="H125" s="242"/>
      <c r="I125" s="84"/>
      <c r="J125" s="84"/>
      <c r="K125" s="84"/>
      <c r="L125" s="84"/>
      <c r="M125" s="84"/>
    </row>
    <row r="126" ht="15.75" customHeight="1">
      <c r="A126" s="277"/>
      <c r="B126" s="244"/>
      <c r="C126" s="84"/>
      <c r="D126" s="84"/>
      <c r="E126" s="84"/>
      <c r="F126" s="84"/>
      <c r="G126" s="84"/>
      <c r="H126" s="242"/>
      <c r="I126" s="84"/>
      <c r="J126" s="84"/>
      <c r="K126" s="84"/>
      <c r="L126" s="84"/>
      <c r="M126" s="84"/>
    </row>
    <row r="127" ht="15.75" customHeight="1">
      <c r="A127" s="277"/>
      <c r="B127" s="244"/>
      <c r="C127" s="84"/>
      <c r="D127" s="84"/>
      <c r="E127" s="84"/>
      <c r="F127" s="84"/>
      <c r="G127" s="84"/>
      <c r="H127" s="242"/>
      <c r="I127" s="84"/>
      <c r="J127" s="84"/>
      <c r="K127" s="84"/>
      <c r="L127" s="84"/>
      <c r="M127" s="84"/>
    </row>
    <row r="128" ht="15.75" customHeight="1">
      <c r="A128" s="277"/>
      <c r="B128" s="244"/>
      <c r="C128" s="84"/>
      <c r="D128" s="84"/>
      <c r="E128" s="84"/>
      <c r="F128" s="84"/>
      <c r="G128" s="84"/>
      <c r="H128" s="242"/>
      <c r="I128" s="84"/>
      <c r="J128" s="84"/>
      <c r="K128" s="84"/>
      <c r="L128" s="84"/>
      <c r="M128" s="84"/>
    </row>
    <row r="129" ht="15.75" customHeight="1">
      <c r="A129" s="277"/>
      <c r="B129" s="244"/>
      <c r="C129" s="84"/>
      <c r="D129" s="84"/>
      <c r="E129" s="84"/>
      <c r="F129" s="84"/>
      <c r="G129" s="84"/>
      <c r="H129" s="242"/>
      <c r="I129" s="84"/>
      <c r="J129" s="84"/>
      <c r="K129" s="84"/>
      <c r="L129" s="84"/>
      <c r="M129" s="84"/>
    </row>
    <row r="130" ht="15.75" customHeight="1">
      <c r="A130" s="277"/>
      <c r="B130" s="244"/>
      <c r="C130" s="84"/>
      <c r="D130" s="84"/>
      <c r="E130" s="84"/>
      <c r="F130" s="84"/>
      <c r="G130" s="84"/>
      <c r="H130" s="242"/>
      <c r="I130" s="84"/>
      <c r="J130" s="84"/>
      <c r="K130" s="84"/>
      <c r="L130" s="84"/>
      <c r="M130" s="84"/>
    </row>
    <row r="131" ht="15.75" customHeight="1">
      <c r="A131" s="277"/>
      <c r="B131" s="244"/>
      <c r="C131" s="84"/>
      <c r="D131" s="84"/>
      <c r="E131" s="84"/>
      <c r="F131" s="84"/>
      <c r="G131" s="84"/>
      <c r="H131" s="242"/>
      <c r="I131" s="84"/>
      <c r="J131" s="84"/>
      <c r="K131" s="84"/>
      <c r="L131" s="84"/>
      <c r="M131" s="84"/>
    </row>
    <row r="132" ht="15.75" customHeight="1">
      <c r="A132" s="277"/>
      <c r="B132" s="244"/>
      <c r="C132" s="84"/>
      <c r="D132" s="84"/>
      <c r="E132" s="84"/>
      <c r="F132" s="84"/>
      <c r="G132" s="84"/>
      <c r="H132" s="242"/>
      <c r="I132" s="84"/>
      <c r="J132" s="84"/>
      <c r="K132" s="84"/>
      <c r="L132" s="84"/>
      <c r="M132" s="84"/>
    </row>
    <row r="133" ht="15.75" customHeight="1">
      <c r="A133" s="277"/>
      <c r="B133" s="244"/>
      <c r="C133" s="84"/>
      <c r="D133" s="84"/>
      <c r="E133" s="84"/>
      <c r="F133" s="84"/>
      <c r="G133" s="84"/>
      <c r="H133" s="242"/>
      <c r="I133" s="84"/>
      <c r="J133" s="84"/>
      <c r="K133" s="84"/>
      <c r="L133" s="84"/>
      <c r="M133" s="84"/>
    </row>
    <row r="134" ht="15.75" customHeight="1">
      <c r="A134" s="277"/>
      <c r="B134" s="244"/>
      <c r="C134" s="84"/>
      <c r="D134" s="84"/>
      <c r="E134" s="84"/>
      <c r="F134" s="84"/>
      <c r="G134" s="84"/>
      <c r="H134" s="242"/>
      <c r="I134" s="84"/>
      <c r="J134" s="84"/>
      <c r="K134" s="84"/>
      <c r="L134" s="84"/>
      <c r="M134" s="84"/>
    </row>
    <row r="135" ht="15.75" customHeight="1">
      <c r="A135" s="277"/>
      <c r="B135" s="244"/>
      <c r="C135" s="84"/>
      <c r="D135" s="84"/>
      <c r="E135" s="84"/>
      <c r="F135" s="84"/>
      <c r="G135" s="84"/>
      <c r="H135" s="242"/>
      <c r="I135" s="84"/>
      <c r="J135" s="84"/>
      <c r="K135" s="84"/>
      <c r="L135" s="84"/>
      <c r="M135" s="84"/>
    </row>
    <row r="136" ht="15.75" customHeight="1">
      <c r="A136" s="277"/>
      <c r="B136" s="244"/>
      <c r="C136" s="84"/>
      <c r="D136" s="84"/>
      <c r="E136" s="84"/>
      <c r="F136" s="84"/>
      <c r="G136" s="84"/>
      <c r="H136" s="242"/>
      <c r="I136" s="84"/>
      <c r="J136" s="84"/>
      <c r="K136" s="84"/>
      <c r="L136" s="84"/>
      <c r="M136" s="84"/>
    </row>
    <row r="137" ht="15.75" customHeight="1">
      <c r="A137" s="277"/>
      <c r="B137" s="244"/>
      <c r="C137" s="84"/>
      <c r="D137" s="84"/>
      <c r="E137" s="84"/>
      <c r="F137" s="84"/>
      <c r="G137" s="84"/>
      <c r="H137" s="242"/>
      <c r="I137" s="84"/>
      <c r="J137" s="84"/>
      <c r="K137" s="84"/>
      <c r="L137" s="84"/>
      <c r="M137" s="84"/>
    </row>
    <row r="138" ht="15.75" customHeight="1">
      <c r="A138" s="277"/>
      <c r="B138" s="244"/>
      <c r="C138" s="84"/>
      <c r="D138" s="84"/>
      <c r="E138" s="84"/>
      <c r="F138" s="84"/>
      <c r="G138" s="84"/>
      <c r="H138" s="242"/>
      <c r="I138" s="84"/>
      <c r="J138" s="84"/>
      <c r="K138" s="84"/>
      <c r="L138" s="84"/>
      <c r="M138" s="84"/>
    </row>
    <row r="139" ht="15.75" customHeight="1">
      <c r="A139" s="277"/>
      <c r="B139" s="244"/>
      <c r="C139" s="84"/>
      <c r="D139" s="84"/>
      <c r="E139" s="84"/>
      <c r="F139" s="84"/>
      <c r="G139" s="84"/>
      <c r="H139" s="242"/>
      <c r="I139" s="84"/>
      <c r="J139" s="84"/>
      <c r="K139" s="84"/>
      <c r="L139" s="84"/>
      <c r="M139" s="84"/>
    </row>
    <row r="140" ht="15.75" customHeight="1">
      <c r="A140" s="277"/>
      <c r="B140" s="244"/>
      <c r="C140" s="84"/>
      <c r="D140" s="84"/>
      <c r="E140" s="84"/>
      <c r="F140" s="84"/>
      <c r="G140" s="84"/>
      <c r="H140" s="242"/>
      <c r="I140" s="84"/>
      <c r="J140" s="84"/>
      <c r="K140" s="84"/>
      <c r="L140" s="84"/>
      <c r="M140" s="84"/>
    </row>
    <row r="141" ht="15.75" customHeight="1">
      <c r="A141" s="277"/>
      <c r="B141" s="244"/>
      <c r="C141" s="84"/>
      <c r="D141" s="84"/>
      <c r="E141" s="84"/>
      <c r="F141" s="84"/>
      <c r="G141" s="84"/>
      <c r="H141" s="242"/>
      <c r="I141" s="84"/>
      <c r="J141" s="84"/>
      <c r="K141" s="84"/>
      <c r="L141" s="84"/>
      <c r="M141" s="84"/>
    </row>
    <row r="142" ht="15.75" customHeight="1">
      <c r="A142" s="277"/>
      <c r="B142" s="244"/>
      <c r="C142" s="84"/>
      <c r="D142" s="84"/>
      <c r="E142" s="84"/>
      <c r="F142" s="84"/>
      <c r="G142" s="84"/>
      <c r="H142" s="242"/>
      <c r="I142" s="84"/>
      <c r="J142" s="84"/>
      <c r="K142" s="84"/>
      <c r="L142" s="84"/>
      <c r="M142" s="84"/>
    </row>
    <row r="143" ht="15.75" customHeight="1">
      <c r="A143" s="277"/>
      <c r="B143" s="244"/>
      <c r="C143" s="84"/>
      <c r="D143" s="84"/>
      <c r="E143" s="84"/>
      <c r="F143" s="84"/>
      <c r="G143" s="84"/>
      <c r="H143" s="242"/>
      <c r="I143" s="84"/>
      <c r="J143" s="84"/>
      <c r="K143" s="84"/>
      <c r="L143" s="84"/>
      <c r="M143" s="84"/>
    </row>
    <row r="144" ht="15.75" customHeight="1">
      <c r="A144" s="277"/>
      <c r="B144" s="244"/>
      <c r="C144" s="84"/>
      <c r="D144" s="84"/>
      <c r="E144" s="84"/>
      <c r="F144" s="84"/>
      <c r="G144" s="84"/>
      <c r="H144" s="242"/>
      <c r="I144" s="84"/>
      <c r="J144" s="84"/>
      <c r="K144" s="84"/>
      <c r="L144" s="84"/>
      <c r="M144" s="84"/>
    </row>
    <row r="145" ht="15.75" customHeight="1">
      <c r="A145" s="277"/>
      <c r="B145" s="244"/>
      <c r="C145" s="84"/>
      <c r="D145" s="84"/>
      <c r="E145" s="84"/>
      <c r="F145" s="84"/>
      <c r="G145" s="84"/>
      <c r="H145" s="242"/>
      <c r="I145" s="84"/>
      <c r="J145" s="84"/>
      <c r="K145" s="84"/>
      <c r="L145" s="84"/>
      <c r="M145" s="84"/>
    </row>
    <row r="146" ht="15.75" customHeight="1">
      <c r="A146" s="277"/>
      <c r="B146" s="244"/>
      <c r="C146" s="84"/>
      <c r="D146" s="84"/>
      <c r="E146" s="84"/>
      <c r="F146" s="84"/>
      <c r="G146" s="84"/>
      <c r="H146" s="242"/>
      <c r="I146" s="84"/>
      <c r="J146" s="84"/>
      <c r="K146" s="84"/>
      <c r="L146" s="84"/>
      <c r="M146" s="84"/>
    </row>
    <row r="147" ht="15.75" customHeight="1">
      <c r="A147" s="277"/>
      <c r="B147" s="244"/>
      <c r="C147" s="84"/>
      <c r="D147" s="84"/>
      <c r="E147" s="84"/>
      <c r="F147" s="84"/>
      <c r="G147" s="84"/>
      <c r="H147" s="242"/>
      <c r="I147" s="84"/>
      <c r="J147" s="84"/>
      <c r="K147" s="84"/>
      <c r="L147" s="84"/>
      <c r="M147" s="84"/>
    </row>
    <row r="148" ht="15.75" customHeight="1">
      <c r="A148" s="277"/>
      <c r="B148" s="244"/>
      <c r="C148" s="84"/>
      <c r="D148" s="84"/>
      <c r="E148" s="84"/>
      <c r="F148" s="84"/>
      <c r="G148" s="84"/>
      <c r="H148" s="242"/>
      <c r="I148" s="84"/>
      <c r="J148" s="84"/>
      <c r="K148" s="84"/>
      <c r="L148" s="84"/>
      <c r="M148" s="84"/>
    </row>
    <row r="149" ht="15.75" customHeight="1">
      <c r="A149" s="277"/>
      <c r="B149" s="244"/>
      <c r="C149" s="84"/>
      <c r="D149" s="84"/>
      <c r="E149" s="84"/>
      <c r="F149" s="84"/>
      <c r="G149" s="84"/>
      <c r="H149" s="242"/>
      <c r="I149" s="84"/>
      <c r="J149" s="84"/>
      <c r="K149" s="84"/>
      <c r="L149" s="84"/>
      <c r="M149" s="84"/>
    </row>
    <row r="150" ht="15.75" customHeight="1">
      <c r="A150" s="277"/>
      <c r="B150" s="244"/>
      <c r="C150" s="84"/>
      <c r="D150" s="84"/>
      <c r="E150" s="84"/>
      <c r="F150" s="84"/>
      <c r="G150" s="84"/>
      <c r="H150" s="242"/>
      <c r="I150" s="84"/>
      <c r="J150" s="84"/>
      <c r="K150" s="84"/>
      <c r="L150" s="84"/>
      <c r="M150" s="84"/>
    </row>
    <row r="151" ht="15.75" customHeight="1">
      <c r="A151" s="277"/>
      <c r="B151" s="244"/>
      <c r="C151" s="84"/>
      <c r="D151" s="84"/>
      <c r="E151" s="84"/>
      <c r="F151" s="84"/>
      <c r="G151" s="84"/>
      <c r="H151" s="242"/>
      <c r="I151" s="84"/>
      <c r="J151" s="84"/>
      <c r="K151" s="84"/>
      <c r="L151" s="84"/>
      <c r="M151" s="84"/>
    </row>
    <row r="152" ht="15.75" customHeight="1">
      <c r="A152" s="277"/>
      <c r="B152" s="244"/>
      <c r="C152" s="84"/>
      <c r="D152" s="84"/>
      <c r="E152" s="84"/>
      <c r="F152" s="84"/>
      <c r="G152" s="84"/>
      <c r="H152" s="242"/>
      <c r="I152" s="84"/>
      <c r="J152" s="84"/>
      <c r="K152" s="84"/>
      <c r="L152" s="84"/>
      <c r="M152" s="84"/>
    </row>
    <row r="153" ht="15.75" customHeight="1">
      <c r="A153" s="277"/>
      <c r="B153" s="244"/>
      <c r="C153" s="84"/>
      <c r="D153" s="84"/>
      <c r="E153" s="84"/>
      <c r="F153" s="84"/>
      <c r="G153" s="84"/>
      <c r="H153" s="242"/>
      <c r="I153" s="84"/>
      <c r="J153" s="84"/>
      <c r="K153" s="84"/>
      <c r="L153" s="84"/>
      <c r="M153" s="84"/>
    </row>
    <row r="154" ht="15.75" customHeight="1">
      <c r="A154" s="277"/>
      <c r="B154" s="244"/>
      <c r="C154" s="84"/>
      <c r="D154" s="84"/>
      <c r="E154" s="84"/>
      <c r="F154" s="84"/>
      <c r="G154" s="84"/>
      <c r="H154" s="242"/>
      <c r="I154" s="84"/>
      <c r="J154" s="84"/>
      <c r="K154" s="84"/>
      <c r="L154" s="84"/>
      <c r="M154" s="84"/>
    </row>
    <row r="155" ht="15.75" customHeight="1">
      <c r="A155" s="277"/>
      <c r="B155" s="244"/>
      <c r="C155" s="84"/>
      <c r="D155" s="84"/>
      <c r="E155" s="84"/>
      <c r="F155" s="84"/>
      <c r="G155" s="84"/>
      <c r="H155" s="242"/>
      <c r="I155" s="84"/>
      <c r="J155" s="84"/>
      <c r="K155" s="84"/>
      <c r="L155" s="84"/>
      <c r="M155" s="84"/>
    </row>
    <row r="156" ht="15.75" customHeight="1">
      <c r="A156" s="277"/>
      <c r="B156" s="244"/>
      <c r="C156" s="84"/>
      <c r="D156" s="84"/>
      <c r="E156" s="84"/>
      <c r="F156" s="84"/>
      <c r="G156" s="84"/>
      <c r="H156" s="242"/>
      <c r="I156" s="84"/>
      <c r="J156" s="84"/>
      <c r="K156" s="84"/>
      <c r="L156" s="84"/>
      <c r="M156" s="84"/>
    </row>
    <row r="157" ht="15.75" customHeight="1">
      <c r="A157" s="277"/>
      <c r="B157" s="244"/>
      <c r="C157" s="84"/>
      <c r="D157" s="84"/>
      <c r="E157" s="84"/>
      <c r="F157" s="84"/>
      <c r="G157" s="84"/>
      <c r="H157" s="242"/>
      <c r="I157" s="84"/>
      <c r="J157" s="84"/>
      <c r="K157" s="84"/>
      <c r="L157" s="84"/>
      <c r="M157" s="84"/>
    </row>
    <row r="158" ht="15.75" customHeight="1">
      <c r="A158" s="277"/>
      <c r="B158" s="244"/>
      <c r="C158" s="84"/>
      <c r="D158" s="84"/>
      <c r="E158" s="84"/>
      <c r="F158" s="84"/>
      <c r="G158" s="84"/>
      <c r="H158" s="242"/>
      <c r="I158" s="84"/>
      <c r="J158" s="84"/>
      <c r="K158" s="84"/>
      <c r="L158" s="84"/>
      <c r="M158" s="84"/>
    </row>
    <row r="159" ht="15.75" customHeight="1">
      <c r="A159" s="277"/>
      <c r="B159" s="244"/>
      <c r="C159" s="84"/>
      <c r="D159" s="84"/>
      <c r="E159" s="84"/>
      <c r="F159" s="84"/>
      <c r="G159" s="84"/>
      <c r="H159" s="242"/>
      <c r="I159" s="84"/>
      <c r="J159" s="84"/>
      <c r="K159" s="84"/>
      <c r="L159" s="84"/>
      <c r="M159" s="84"/>
    </row>
    <row r="160" ht="15.75" customHeight="1">
      <c r="A160" s="277"/>
      <c r="B160" s="244"/>
      <c r="C160" s="84"/>
      <c r="D160" s="84"/>
      <c r="E160" s="84"/>
      <c r="F160" s="84"/>
      <c r="G160" s="84"/>
      <c r="H160" s="242"/>
      <c r="I160" s="84"/>
      <c r="J160" s="84"/>
      <c r="K160" s="84"/>
      <c r="L160" s="84"/>
      <c r="M160" s="84"/>
    </row>
    <row r="161" ht="15.75" customHeight="1">
      <c r="A161" s="277"/>
      <c r="B161" s="244"/>
      <c r="C161" s="84"/>
      <c r="D161" s="84"/>
      <c r="E161" s="84"/>
      <c r="F161" s="84"/>
      <c r="G161" s="84"/>
      <c r="H161" s="242"/>
      <c r="I161" s="84"/>
      <c r="J161" s="84"/>
      <c r="K161" s="84"/>
      <c r="L161" s="84"/>
      <c r="M161" s="84"/>
    </row>
    <row r="162" ht="15.75" customHeight="1">
      <c r="A162" s="277"/>
      <c r="B162" s="244"/>
      <c r="C162" s="84"/>
      <c r="D162" s="84"/>
      <c r="E162" s="84"/>
      <c r="F162" s="84"/>
      <c r="G162" s="84"/>
      <c r="H162" s="242"/>
      <c r="I162" s="84"/>
      <c r="J162" s="84"/>
      <c r="K162" s="84"/>
      <c r="L162" s="84"/>
      <c r="M162" s="84"/>
    </row>
    <row r="163" ht="15.75" customHeight="1">
      <c r="A163" s="277"/>
      <c r="B163" s="244"/>
      <c r="C163" s="84"/>
      <c r="D163" s="84"/>
      <c r="E163" s="84"/>
      <c r="F163" s="84"/>
      <c r="G163" s="84"/>
      <c r="H163" s="242"/>
      <c r="I163" s="84"/>
      <c r="J163" s="84"/>
      <c r="K163" s="84"/>
      <c r="L163" s="84"/>
      <c r="M163" s="84"/>
    </row>
    <row r="164" ht="15.75" customHeight="1">
      <c r="A164" s="277"/>
      <c r="B164" s="244"/>
      <c r="C164" s="84"/>
      <c r="D164" s="84"/>
      <c r="E164" s="84"/>
      <c r="F164" s="84"/>
      <c r="G164" s="84"/>
      <c r="H164" s="242"/>
      <c r="I164" s="84"/>
      <c r="J164" s="84"/>
      <c r="K164" s="84"/>
      <c r="L164" s="84"/>
      <c r="M164" s="84"/>
    </row>
    <row r="165" ht="15.75" customHeight="1">
      <c r="A165" s="277"/>
      <c r="B165" s="244"/>
      <c r="C165" s="84"/>
      <c r="D165" s="84"/>
      <c r="E165" s="84"/>
      <c r="F165" s="84"/>
      <c r="G165" s="84"/>
      <c r="H165" s="242"/>
      <c r="I165" s="84"/>
      <c r="J165" s="84"/>
      <c r="K165" s="84"/>
      <c r="L165" s="84"/>
      <c r="M165" s="84"/>
    </row>
    <row r="166" ht="15.75" customHeight="1">
      <c r="A166" s="277"/>
      <c r="B166" s="244"/>
      <c r="C166" s="84"/>
      <c r="D166" s="84"/>
      <c r="E166" s="84"/>
      <c r="F166" s="84"/>
      <c r="G166" s="84"/>
      <c r="H166" s="242"/>
      <c r="I166" s="84"/>
      <c r="J166" s="84"/>
      <c r="K166" s="84"/>
      <c r="L166" s="84"/>
      <c r="M166" s="84"/>
    </row>
    <row r="167" ht="15.75" customHeight="1">
      <c r="A167" s="277"/>
      <c r="B167" s="244"/>
      <c r="C167" s="84"/>
      <c r="D167" s="84"/>
      <c r="E167" s="84"/>
      <c r="F167" s="84"/>
      <c r="G167" s="84"/>
      <c r="H167" s="242"/>
      <c r="I167" s="84"/>
      <c r="J167" s="84"/>
      <c r="K167" s="84"/>
      <c r="L167" s="84"/>
      <c r="M167" s="84"/>
    </row>
    <row r="168" ht="15.75" customHeight="1">
      <c r="A168" s="277"/>
      <c r="B168" s="244"/>
      <c r="C168" s="84"/>
      <c r="D168" s="84"/>
      <c r="E168" s="84"/>
      <c r="F168" s="84"/>
      <c r="G168" s="84"/>
      <c r="H168" s="242"/>
      <c r="I168" s="84"/>
      <c r="J168" s="84"/>
      <c r="K168" s="84"/>
      <c r="L168" s="84"/>
      <c r="M168" s="84"/>
    </row>
    <row r="169" ht="15.75" customHeight="1">
      <c r="A169" s="277"/>
      <c r="B169" s="244"/>
      <c r="C169" s="84"/>
      <c r="D169" s="84"/>
      <c r="E169" s="84"/>
      <c r="F169" s="84"/>
      <c r="G169" s="84"/>
      <c r="H169" s="242"/>
      <c r="I169" s="84"/>
      <c r="J169" s="84"/>
      <c r="K169" s="84"/>
      <c r="L169" s="84"/>
      <c r="M169" s="84"/>
    </row>
    <row r="170" ht="15.75" customHeight="1">
      <c r="A170" s="277"/>
      <c r="B170" s="244"/>
      <c r="C170" s="84"/>
      <c r="D170" s="84"/>
      <c r="E170" s="84"/>
      <c r="F170" s="84"/>
      <c r="G170" s="84"/>
      <c r="H170" s="242"/>
      <c r="I170" s="84"/>
      <c r="J170" s="84"/>
      <c r="K170" s="84"/>
      <c r="L170" s="84"/>
      <c r="M170" s="84"/>
    </row>
    <row r="171" ht="15.75" customHeight="1">
      <c r="A171" s="277"/>
      <c r="B171" s="244"/>
      <c r="C171" s="84"/>
      <c r="D171" s="84"/>
      <c r="E171" s="84"/>
      <c r="F171" s="84"/>
      <c r="G171" s="84"/>
      <c r="H171" s="242"/>
      <c r="I171" s="84"/>
      <c r="J171" s="84"/>
      <c r="K171" s="84"/>
      <c r="L171" s="84"/>
      <c r="M171" s="84"/>
    </row>
    <row r="172" ht="15.75" customHeight="1">
      <c r="A172" s="277"/>
      <c r="B172" s="244"/>
      <c r="C172" s="84"/>
      <c r="D172" s="84"/>
      <c r="E172" s="84"/>
      <c r="F172" s="84"/>
      <c r="G172" s="84"/>
      <c r="H172" s="242"/>
      <c r="I172" s="84"/>
      <c r="J172" s="84"/>
      <c r="K172" s="84"/>
      <c r="L172" s="84"/>
      <c r="M172" s="84"/>
    </row>
    <row r="173" ht="15.75" customHeight="1">
      <c r="A173" s="277"/>
      <c r="B173" s="244"/>
      <c r="C173" s="84"/>
      <c r="D173" s="84"/>
      <c r="E173" s="84"/>
      <c r="F173" s="84"/>
      <c r="G173" s="84"/>
      <c r="H173" s="242"/>
      <c r="I173" s="84"/>
      <c r="J173" s="84"/>
      <c r="K173" s="84"/>
      <c r="L173" s="84"/>
      <c r="M173" s="84"/>
    </row>
    <row r="174" ht="15.75" customHeight="1">
      <c r="A174" s="277"/>
      <c r="B174" s="244"/>
      <c r="C174" s="84"/>
      <c r="D174" s="84"/>
      <c r="E174" s="84"/>
      <c r="F174" s="84"/>
      <c r="G174" s="84"/>
      <c r="H174" s="242"/>
      <c r="I174" s="84"/>
      <c r="J174" s="84"/>
      <c r="K174" s="84"/>
      <c r="L174" s="84"/>
      <c r="M174" s="84"/>
    </row>
    <row r="175" ht="15.75" customHeight="1">
      <c r="A175" s="277"/>
      <c r="B175" s="244"/>
      <c r="C175" s="84"/>
      <c r="D175" s="84"/>
      <c r="E175" s="84"/>
      <c r="F175" s="84"/>
      <c r="G175" s="84"/>
      <c r="H175" s="242"/>
      <c r="I175" s="84"/>
      <c r="J175" s="84"/>
      <c r="K175" s="84"/>
      <c r="L175" s="84"/>
      <c r="M175" s="84"/>
    </row>
    <row r="176" ht="15.75" customHeight="1">
      <c r="A176" s="277"/>
      <c r="B176" s="244"/>
      <c r="C176" s="84"/>
      <c r="D176" s="84"/>
      <c r="E176" s="84"/>
      <c r="F176" s="84"/>
      <c r="G176" s="84"/>
      <c r="H176" s="242"/>
      <c r="I176" s="84"/>
      <c r="J176" s="84"/>
      <c r="K176" s="84"/>
      <c r="L176" s="84"/>
      <c r="M176" s="84"/>
    </row>
    <row r="177" ht="15.75" customHeight="1">
      <c r="A177" s="277"/>
      <c r="B177" s="244"/>
      <c r="C177" s="84"/>
      <c r="D177" s="84"/>
      <c r="E177" s="84"/>
      <c r="F177" s="84"/>
      <c r="G177" s="84"/>
      <c r="H177" s="242"/>
      <c r="I177" s="84"/>
      <c r="J177" s="84"/>
      <c r="K177" s="84"/>
      <c r="L177" s="84"/>
      <c r="M177" s="84"/>
    </row>
    <row r="178" ht="15.75" customHeight="1">
      <c r="A178" s="277"/>
      <c r="B178" s="244"/>
      <c r="C178" s="84"/>
      <c r="D178" s="84"/>
      <c r="E178" s="84"/>
      <c r="F178" s="84"/>
      <c r="G178" s="84"/>
      <c r="H178" s="242"/>
      <c r="I178" s="84"/>
      <c r="J178" s="84"/>
      <c r="K178" s="84"/>
      <c r="L178" s="84"/>
      <c r="M178" s="84"/>
    </row>
    <row r="179" ht="15.75" customHeight="1">
      <c r="A179" s="277"/>
      <c r="B179" s="244"/>
      <c r="C179" s="84"/>
      <c r="D179" s="84"/>
      <c r="E179" s="84"/>
      <c r="F179" s="84"/>
      <c r="G179" s="84"/>
      <c r="H179" s="242"/>
      <c r="I179" s="84"/>
      <c r="J179" s="84"/>
      <c r="K179" s="84"/>
      <c r="L179" s="84"/>
      <c r="M179" s="84"/>
    </row>
    <row r="180" ht="15.75" customHeight="1">
      <c r="A180" s="277"/>
      <c r="B180" s="244"/>
      <c r="C180" s="84"/>
      <c r="D180" s="84"/>
      <c r="E180" s="84"/>
      <c r="F180" s="84"/>
      <c r="G180" s="84"/>
      <c r="H180" s="242"/>
      <c r="I180" s="84"/>
      <c r="J180" s="84"/>
      <c r="K180" s="84"/>
      <c r="L180" s="84"/>
      <c r="M180" s="84"/>
    </row>
    <row r="181" ht="15.75" customHeight="1">
      <c r="A181" s="277"/>
      <c r="B181" s="244"/>
      <c r="C181" s="84"/>
      <c r="D181" s="84"/>
      <c r="E181" s="84"/>
      <c r="F181" s="84"/>
      <c r="G181" s="84"/>
      <c r="H181" s="242"/>
      <c r="I181" s="84"/>
      <c r="J181" s="84"/>
      <c r="K181" s="84"/>
      <c r="L181" s="84"/>
      <c r="M181" s="84"/>
    </row>
    <row r="182" ht="15.75" customHeight="1">
      <c r="A182" s="277"/>
      <c r="B182" s="244"/>
      <c r="C182" s="84"/>
      <c r="D182" s="84"/>
      <c r="E182" s="84"/>
      <c r="F182" s="84"/>
      <c r="G182" s="84"/>
      <c r="H182" s="242"/>
      <c r="I182" s="84"/>
      <c r="J182" s="84"/>
      <c r="K182" s="84"/>
      <c r="L182" s="84"/>
      <c r="M182" s="84"/>
    </row>
    <row r="183" ht="15.75" customHeight="1">
      <c r="A183" s="277"/>
      <c r="B183" s="244"/>
      <c r="C183" s="84"/>
      <c r="D183" s="84"/>
      <c r="E183" s="84"/>
      <c r="F183" s="84"/>
      <c r="G183" s="84"/>
      <c r="H183" s="242"/>
      <c r="I183" s="84"/>
      <c r="J183" s="84"/>
      <c r="K183" s="84"/>
      <c r="L183" s="84"/>
      <c r="M183" s="84"/>
    </row>
    <row r="184" ht="15.75" customHeight="1">
      <c r="A184" s="277"/>
      <c r="B184" s="244"/>
      <c r="C184" s="84"/>
      <c r="D184" s="84"/>
      <c r="E184" s="84"/>
      <c r="F184" s="84"/>
      <c r="G184" s="84"/>
      <c r="H184" s="242"/>
      <c r="I184" s="84"/>
      <c r="J184" s="84"/>
      <c r="K184" s="84"/>
      <c r="L184" s="84"/>
      <c r="M184" s="84"/>
    </row>
    <row r="185" ht="15.75" customHeight="1">
      <c r="A185" s="277"/>
      <c r="B185" s="244"/>
      <c r="C185" s="84"/>
      <c r="D185" s="84"/>
      <c r="E185" s="84"/>
      <c r="F185" s="84"/>
      <c r="G185" s="84"/>
      <c r="H185" s="242"/>
      <c r="I185" s="84"/>
      <c r="J185" s="84"/>
      <c r="K185" s="84"/>
      <c r="L185" s="84"/>
      <c r="M185" s="84"/>
    </row>
    <row r="186" ht="15.75" customHeight="1">
      <c r="A186" s="277"/>
      <c r="B186" s="244"/>
      <c r="C186" s="84"/>
      <c r="D186" s="84"/>
      <c r="E186" s="84"/>
      <c r="F186" s="84"/>
      <c r="G186" s="84"/>
      <c r="H186" s="242"/>
      <c r="I186" s="84"/>
      <c r="J186" s="84"/>
      <c r="K186" s="84"/>
      <c r="L186" s="84"/>
      <c r="M186" s="84"/>
    </row>
    <row r="187" ht="15.75" customHeight="1">
      <c r="A187" s="277"/>
      <c r="B187" s="244"/>
      <c r="C187" s="84"/>
      <c r="D187" s="84"/>
      <c r="E187" s="84"/>
      <c r="F187" s="84"/>
      <c r="G187" s="84"/>
      <c r="H187" s="242"/>
      <c r="I187" s="84"/>
      <c r="J187" s="84"/>
      <c r="K187" s="84"/>
      <c r="L187" s="84"/>
      <c r="M187" s="84"/>
    </row>
    <row r="188" ht="15.75" customHeight="1">
      <c r="A188" s="277"/>
      <c r="B188" s="244"/>
      <c r="C188" s="84"/>
      <c r="D188" s="84"/>
      <c r="E188" s="84"/>
      <c r="F188" s="84"/>
      <c r="G188" s="84"/>
      <c r="H188" s="242"/>
      <c r="I188" s="84"/>
      <c r="J188" s="84"/>
      <c r="K188" s="84"/>
      <c r="L188" s="84"/>
      <c r="M188" s="84"/>
    </row>
    <row r="189" ht="15.75" customHeight="1">
      <c r="A189" s="277"/>
      <c r="B189" s="244"/>
      <c r="C189" s="84"/>
      <c r="D189" s="84"/>
      <c r="E189" s="84"/>
      <c r="F189" s="84"/>
      <c r="G189" s="84"/>
      <c r="H189" s="242"/>
      <c r="I189" s="84"/>
      <c r="J189" s="84"/>
      <c r="K189" s="84"/>
      <c r="L189" s="84"/>
      <c r="M189" s="84"/>
    </row>
    <row r="190" ht="15.75" customHeight="1">
      <c r="A190" s="277"/>
      <c r="B190" s="244"/>
      <c r="C190" s="84"/>
      <c r="D190" s="84"/>
      <c r="E190" s="84"/>
      <c r="F190" s="84"/>
      <c r="G190" s="84"/>
      <c r="H190" s="242"/>
      <c r="I190" s="84"/>
      <c r="J190" s="84"/>
      <c r="K190" s="84"/>
      <c r="L190" s="84"/>
      <c r="M190" s="84"/>
    </row>
    <row r="191" ht="15.75" customHeight="1">
      <c r="A191" s="277"/>
      <c r="B191" s="244"/>
      <c r="C191" s="84"/>
      <c r="D191" s="84"/>
      <c r="E191" s="84"/>
      <c r="F191" s="84"/>
      <c r="G191" s="84"/>
      <c r="H191" s="242"/>
      <c r="I191" s="84"/>
      <c r="J191" s="84"/>
      <c r="K191" s="84"/>
      <c r="L191" s="84"/>
      <c r="M191" s="84"/>
    </row>
    <row r="192" ht="15.75" customHeight="1">
      <c r="A192" s="277"/>
      <c r="B192" s="244"/>
      <c r="C192" s="84"/>
      <c r="D192" s="84"/>
      <c r="E192" s="84"/>
      <c r="F192" s="84"/>
      <c r="G192" s="84"/>
      <c r="H192" s="242"/>
      <c r="I192" s="84"/>
      <c r="J192" s="84"/>
      <c r="K192" s="84"/>
      <c r="L192" s="84"/>
      <c r="M192" s="84"/>
    </row>
    <row r="193" ht="15.75" customHeight="1">
      <c r="A193" s="277"/>
      <c r="B193" s="244"/>
      <c r="C193" s="84"/>
      <c r="D193" s="84"/>
      <c r="E193" s="84"/>
      <c r="F193" s="84"/>
      <c r="G193" s="84"/>
      <c r="H193" s="242"/>
      <c r="I193" s="84"/>
      <c r="J193" s="84"/>
      <c r="K193" s="84"/>
      <c r="L193" s="84"/>
      <c r="M193" s="84"/>
    </row>
    <row r="194" ht="15.75" customHeight="1">
      <c r="A194" s="277"/>
      <c r="B194" s="244"/>
      <c r="C194" s="84"/>
      <c r="D194" s="84"/>
      <c r="E194" s="84"/>
      <c r="F194" s="84"/>
      <c r="G194" s="84"/>
      <c r="H194" s="242"/>
      <c r="I194" s="84"/>
      <c r="J194" s="84"/>
      <c r="K194" s="84"/>
      <c r="L194" s="84"/>
      <c r="M194" s="84"/>
    </row>
    <row r="195" ht="15.75" customHeight="1">
      <c r="A195" s="277"/>
      <c r="B195" s="244"/>
      <c r="C195" s="84"/>
      <c r="D195" s="84"/>
      <c r="E195" s="84"/>
      <c r="F195" s="84"/>
      <c r="G195" s="84"/>
      <c r="H195" s="242"/>
      <c r="I195" s="84"/>
      <c r="J195" s="84"/>
      <c r="K195" s="84"/>
      <c r="L195" s="84"/>
      <c r="M195" s="84"/>
    </row>
    <row r="196" ht="15.75" customHeight="1">
      <c r="A196" s="277"/>
      <c r="B196" s="244"/>
      <c r="C196" s="84"/>
      <c r="D196" s="84"/>
      <c r="E196" s="84"/>
      <c r="F196" s="84"/>
      <c r="G196" s="84"/>
      <c r="H196" s="242"/>
      <c r="I196" s="84"/>
      <c r="J196" s="84"/>
      <c r="K196" s="84"/>
      <c r="L196" s="84"/>
      <c r="M196" s="84"/>
    </row>
    <row r="197" ht="15.75" customHeight="1">
      <c r="A197" s="277"/>
      <c r="B197" s="244"/>
      <c r="C197" s="84"/>
      <c r="D197" s="84"/>
      <c r="E197" s="84"/>
      <c r="F197" s="84"/>
      <c r="G197" s="84"/>
      <c r="H197" s="242"/>
      <c r="I197" s="84"/>
      <c r="J197" s="84"/>
      <c r="K197" s="84"/>
      <c r="L197" s="84"/>
      <c r="M197" s="84"/>
    </row>
    <row r="198" ht="15.75" customHeight="1">
      <c r="A198" s="277"/>
      <c r="B198" s="244"/>
      <c r="C198" s="84"/>
      <c r="D198" s="84"/>
      <c r="E198" s="84"/>
      <c r="F198" s="84"/>
      <c r="G198" s="84"/>
      <c r="H198" s="242"/>
      <c r="I198" s="84"/>
      <c r="J198" s="84"/>
      <c r="K198" s="84"/>
      <c r="L198" s="84"/>
      <c r="M198" s="84"/>
    </row>
    <row r="199" ht="15.75" customHeight="1">
      <c r="A199" s="277"/>
      <c r="B199" s="244"/>
      <c r="C199" s="84"/>
      <c r="D199" s="84"/>
      <c r="E199" s="84"/>
      <c r="F199" s="84"/>
      <c r="G199" s="84"/>
      <c r="H199" s="242"/>
      <c r="I199" s="84"/>
      <c r="J199" s="84"/>
      <c r="K199" s="84"/>
      <c r="L199" s="84"/>
      <c r="M199" s="84"/>
    </row>
    <row r="200" ht="15.75" customHeight="1">
      <c r="A200" s="277"/>
      <c r="B200" s="244"/>
      <c r="C200" s="84"/>
      <c r="D200" s="84"/>
      <c r="E200" s="84"/>
      <c r="F200" s="84"/>
      <c r="G200" s="84"/>
      <c r="H200" s="242"/>
      <c r="I200" s="84"/>
      <c r="J200" s="84"/>
      <c r="K200" s="84"/>
      <c r="L200" s="84"/>
      <c r="M200" s="84"/>
    </row>
    <row r="201" ht="15.75" customHeight="1">
      <c r="A201" s="277"/>
      <c r="B201" s="244"/>
      <c r="C201" s="84"/>
      <c r="D201" s="84"/>
      <c r="E201" s="84"/>
      <c r="F201" s="84"/>
      <c r="G201" s="84"/>
      <c r="H201" s="242"/>
      <c r="I201" s="84"/>
      <c r="J201" s="84"/>
      <c r="K201" s="84"/>
      <c r="L201" s="84"/>
      <c r="M201" s="84"/>
    </row>
    <row r="202" ht="15.75" customHeight="1">
      <c r="A202" s="277"/>
      <c r="B202" s="244"/>
      <c r="C202" s="84"/>
      <c r="D202" s="84"/>
      <c r="E202" s="84"/>
      <c r="F202" s="84"/>
      <c r="G202" s="84"/>
      <c r="H202" s="242"/>
      <c r="I202" s="84"/>
      <c r="J202" s="84"/>
      <c r="K202" s="84"/>
      <c r="L202" s="84"/>
      <c r="M202" s="84"/>
    </row>
    <row r="203" ht="15.75" customHeight="1">
      <c r="A203" s="277"/>
      <c r="B203" s="244"/>
      <c r="C203" s="84"/>
      <c r="D203" s="84"/>
      <c r="E203" s="84"/>
      <c r="F203" s="84"/>
      <c r="G203" s="84"/>
      <c r="H203" s="242"/>
      <c r="I203" s="84"/>
      <c r="J203" s="84"/>
      <c r="K203" s="84"/>
      <c r="L203" s="84"/>
      <c r="M203" s="84"/>
    </row>
    <row r="204" ht="15.75" customHeight="1">
      <c r="A204" s="277"/>
      <c r="B204" s="244"/>
      <c r="C204" s="84"/>
      <c r="D204" s="84"/>
      <c r="E204" s="84"/>
      <c r="F204" s="84"/>
      <c r="G204" s="84"/>
      <c r="H204" s="242"/>
      <c r="I204" s="84"/>
      <c r="J204" s="84"/>
      <c r="K204" s="84"/>
      <c r="L204" s="84"/>
      <c r="M204" s="84"/>
    </row>
    <row r="205" ht="15.75" customHeight="1">
      <c r="A205" s="277"/>
      <c r="B205" s="244"/>
      <c r="C205" s="84"/>
      <c r="D205" s="84"/>
      <c r="E205" s="84"/>
      <c r="F205" s="84"/>
      <c r="G205" s="84"/>
      <c r="H205" s="242"/>
      <c r="I205" s="84"/>
      <c r="J205" s="84"/>
      <c r="K205" s="84"/>
      <c r="L205" s="84"/>
      <c r="M205" s="84"/>
    </row>
    <row r="206" ht="15.75" customHeight="1">
      <c r="A206" s="277"/>
      <c r="B206" s="244"/>
      <c r="C206" s="84"/>
      <c r="D206" s="84"/>
      <c r="E206" s="84"/>
      <c r="F206" s="84"/>
      <c r="G206" s="84"/>
      <c r="H206" s="242"/>
      <c r="I206" s="84"/>
      <c r="J206" s="84"/>
      <c r="K206" s="84"/>
      <c r="L206" s="84"/>
      <c r="M206" s="84"/>
    </row>
    <row r="207" ht="15.75" customHeight="1">
      <c r="A207" s="277"/>
      <c r="B207" s="244"/>
      <c r="C207" s="84"/>
      <c r="D207" s="84"/>
      <c r="E207" s="84"/>
      <c r="F207" s="84"/>
      <c r="G207" s="84"/>
      <c r="H207" s="242"/>
      <c r="I207" s="84"/>
      <c r="J207" s="84"/>
      <c r="K207" s="84"/>
      <c r="L207" s="84"/>
      <c r="M207" s="84"/>
    </row>
    <row r="208" ht="15.75" customHeight="1">
      <c r="A208" s="277"/>
      <c r="B208" s="244"/>
      <c r="C208" s="84"/>
      <c r="D208" s="84"/>
      <c r="E208" s="84"/>
      <c r="F208" s="84"/>
      <c r="G208" s="84"/>
      <c r="H208" s="242"/>
      <c r="I208" s="84"/>
      <c r="J208" s="84"/>
      <c r="K208" s="84"/>
      <c r="L208" s="84"/>
      <c r="M208" s="84"/>
    </row>
    <row r="209" ht="15.75" customHeight="1">
      <c r="A209" s="277"/>
      <c r="B209" s="244"/>
      <c r="C209" s="84"/>
      <c r="D209" s="84"/>
      <c r="E209" s="84"/>
      <c r="F209" s="84"/>
      <c r="G209" s="84"/>
      <c r="H209" s="242"/>
      <c r="I209" s="84"/>
      <c r="J209" s="84"/>
      <c r="K209" s="84"/>
      <c r="L209" s="84"/>
      <c r="M209" s="84"/>
    </row>
    <row r="210" ht="15.75" customHeight="1">
      <c r="A210" s="277"/>
      <c r="B210" s="244"/>
      <c r="C210" s="84"/>
      <c r="D210" s="84"/>
      <c r="E210" s="84"/>
      <c r="F210" s="84"/>
      <c r="G210" s="84"/>
      <c r="H210" s="242"/>
      <c r="I210" s="84"/>
      <c r="J210" s="84"/>
      <c r="K210" s="84"/>
      <c r="L210" s="84"/>
      <c r="M210" s="84"/>
    </row>
    <row r="211" ht="15.75" customHeight="1">
      <c r="A211" s="277"/>
      <c r="B211" s="244"/>
      <c r="C211" s="84"/>
      <c r="D211" s="84"/>
      <c r="E211" s="84"/>
      <c r="F211" s="84"/>
      <c r="G211" s="84"/>
      <c r="H211" s="242"/>
      <c r="I211" s="84"/>
      <c r="J211" s="84"/>
      <c r="K211" s="84"/>
      <c r="L211" s="84"/>
      <c r="M211" s="84"/>
    </row>
    <row r="212" ht="15.75" customHeight="1">
      <c r="A212" s="277"/>
      <c r="B212" s="244"/>
      <c r="C212" s="84"/>
      <c r="D212" s="84"/>
      <c r="E212" s="84"/>
      <c r="F212" s="84"/>
      <c r="G212" s="84"/>
      <c r="H212" s="242"/>
      <c r="I212" s="84"/>
      <c r="J212" s="84"/>
      <c r="K212" s="84"/>
      <c r="L212" s="84"/>
      <c r="M212" s="84"/>
    </row>
    <row r="213" ht="15.75" customHeight="1">
      <c r="A213" s="277"/>
      <c r="B213" s="244"/>
      <c r="C213" s="84"/>
      <c r="D213" s="84"/>
      <c r="E213" s="84"/>
      <c r="F213" s="84"/>
      <c r="G213" s="84"/>
      <c r="H213" s="242"/>
      <c r="I213" s="84"/>
      <c r="J213" s="84"/>
      <c r="K213" s="84"/>
      <c r="L213" s="84"/>
      <c r="M213" s="84"/>
    </row>
    <row r="214" ht="15.75" customHeight="1">
      <c r="A214" s="277"/>
      <c r="B214" s="244"/>
      <c r="C214" s="84"/>
      <c r="D214" s="84"/>
      <c r="E214" s="84"/>
      <c r="F214" s="84"/>
      <c r="G214" s="84"/>
      <c r="H214" s="242"/>
      <c r="I214" s="84"/>
      <c r="J214" s="84"/>
      <c r="K214" s="84"/>
      <c r="L214" s="84"/>
      <c r="M214" s="84"/>
    </row>
    <row r="215" ht="15.75" customHeight="1">
      <c r="A215" s="277"/>
      <c r="B215" s="244"/>
      <c r="C215" s="84"/>
      <c r="D215" s="84"/>
      <c r="E215" s="84"/>
      <c r="F215" s="84"/>
      <c r="G215" s="84"/>
      <c r="H215" s="242"/>
      <c r="I215" s="84"/>
      <c r="J215" s="84"/>
      <c r="K215" s="84"/>
      <c r="L215" s="84"/>
      <c r="M215" s="84"/>
    </row>
    <row r="216" ht="15.75" customHeight="1">
      <c r="A216" s="277"/>
      <c r="B216" s="244"/>
      <c r="C216" s="84"/>
      <c r="D216" s="84"/>
      <c r="E216" s="84"/>
      <c r="F216" s="84"/>
      <c r="G216" s="84"/>
      <c r="H216" s="242"/>
      <c r="I216" s="84"/>
      <c r="J216" s="84"/>
      <c r="K216" s="84"/>
      <c r="L216" s="84"/>
      <c r="M216" s="84"/>
    </row>
    <row r="217" ht="15.75" customHeight="1">
      <c r="A217" s="277"/>
      <c r="B217" s="244"/>
      <c r="C217" s="84"/>
      <c r="D217" s="84"/>
      <c r="E217" s="84"/>
      <c r="F217" s="84"/>
      <c r="G217" s="84"/>
      <c r="H217" s="242"/>
      <c r="I217" s="84"/>
      <c r="J217" s="84"/>
      <c r="K217" s="84"/>
      <c r="L217" s="84"/>
      <c r="M217" s="84"/>
    </row>
    <row r="218" ht="15.75" customHeight="1">
      <c r="A218" s="277"/>
      <c r="B218" s="244"/>
      <c r="C218" s="84"/>
      <c r="D218" s="84"/>
      <c r="E218" s="84"/>
      <c r="F218" s="84"/>
      <c r="G218" s="84"/>
      <c r="H218" s="242"/>
      <c r="I218" s="84"/>
      <c r="J218" s="84"/>
      <c r="K218" s="84"/>
      <c r="L218" s="84"/>
      <c r="M218" s="84"/>
    </row>
    <row r="219" ht="15.75" customHeight="1">
      <c r="A219" s="277"/>
      <c r="B219" s="244"/>
      <c r="C219" s="84"/>
      <c r="D219" s="84"/>
      <c r="E219" s="84"/>
      <c r="F219" s="84"/>
      <c r="G219" s="84"/>
      <c r="H219" s="242"/>
      <c r="I219" s="84"/>
      <c r="J219" s="84"/>
      <c r="K219" s="84"/>
      <c r="L219" s="84"/>
      <c r="M219" s="84"/>
    </row>
    <row r="220" ht="15.75" customHeight="1">
      <c r="A220" s="277"/>
      <c r="B220" s="244"/>
      <c r="C220" s="84"/>
      <c r="D220" s="84"/>
      <c r="E220" s="84"/>
      <c r="F220" s="84"/>
      <c r="G220" s="84"/>
      <c r="H220" s="242"/>
      <c r="I220" s="84"/>
      <c r="J220" s="84"/>
      <c r="K220" s="84"/>
      <c r="L220" s="84"/>
      <c r="M220" s="84"/>
    </row>
    <row r="221" ht="15.75" customHeight="1">
      <c r="A221" s="277"/>
      <c r="B221" s="244"/>
      <c r="C221" s="84"/>
      <c r="D221" s="84"/>
      <c r="E221" s="84"/>
      <c r="F221" s="84"/>
      <c r="G221" s="84"/>
      <c r="H221" s="242"/>
      <c r="I221" s="84"/>
      <c r="J221" s="84"/>
      <c r="K221" s="84"/>
      <c r="L221" s="84"/>
      <c r="M221" s="84"/>
    </row>
    <row r="222" ht="15.75" customHeight="1">
      <c r="A222" s="277"/>
      <c r="B222" s="244"/>
      <c r="C222" s="84"/>
      <c r="D222" s="84"/>
      <c r="E222" s="84"/>
      <c r="F222" s="84"/>
      <c r="G222" s="84"/>
      <c r="H222" s="242"/>
      <c r="I222" s="84"/>
      <c r="J222" s="84"/>
      <c r="K222" s="84"/>
      <c r="L222" s="84"/>
      <c r="M222" s="84"/>
    </row>
    <row r="223" ht="15.75" customHeight="1">
      <c r="A223" s="277"/>
      <c r="B223" s="244"/>
      <c r="C223" s="84"/>
      <c r="D223" s="84"/>
      <c r="E223" s="84"/>
      <c r="F223" s="84"/>
      <c r="G223" s="84"/>
      <c r="H223" s="242"/>
      <c r="I223" s="84"/>
      <c r="J223" s="84"/>
      <c r="K223" s="84"/>
      <c r="L223" s="84"/>
      <c r="M223" s="84"/>
    </row>
    <row r="224" ht="15.75" customHeight="1">
      <c r="A224" s="277"/>
      <c r="B224" s="244"/>
      <c r="C224" s="84"/>
      <c r="D224" s="84"/>
      <c r="E224" s="84"/>
      <c r="F224" s="84"/>
      <c r="G224" s="84"/>
      <c r="H224" s="242"/>
      <c r="I224" s="84"/>
      <c r="J224" s="84"/>
      <c r="K224" s="84"/>
      <c r="L224" s="84"/>
      <c r="M224" s="84"/>
    </row>
    <row r="225" ht="15.75" customHeight="1">
      <c r="A225" s="277"/>
      <c r="B225" s="244"/>
      <c r="C225" s="84"/>
      <c r="D225" s="84"/>
      <c r="E225" s="84"/>
      <c r="F225" s="84"/>
      <c r="G225" s="84"/>
      <c r="H225" s="242"/>
      <c r="I225" s="84"/>
      <c r="J225" s="84"/>
      <c r="K225" s="84"/>
      <c r="L225" s="84"/>
      <c r="M225" s="84"/>
    </row>
    <row r="226" ht="15.75" customHeight="1">
      <c r="A226" s="277"/>
      <c r="B226" s="244"/>
      <c r="C226" s="84"/>
      <c r="D226" s="84"/>
      <c r="E226" s="84"/>
      <c r="F226" s="84"/>
      <c r="G226" s="84"/>
      <c r="H226" s="242"/>
      <c r="I226" s="84"/>
      <c r="J226" s="84"/>
      <c r="K226" s="84"/>
      <c r="L226" s="84"/>
      <c r="M226" s="84"/>
    </row>
    <row r="227" ht="15.75" customHeight="1">
      <c r="A227" s="277"/>
      <c r="B227" s="244"/>
      <c r="C227" s="84"/>
      <c r="D227" s="84"/>
      <c r="E227" s="84"/>
      <c r="F227" s="84"/>
      <c r="G227" s="84"/>
      <c r="H227" s="242"/>
      <c r="I227" s="84"/>
      <c r="J227" s="84"/>
      <c r="K227" s="84"/>
      <c r="L227" s="84"/>
      <c r="M227" s="84"/>
    </row>
    <row r="228" ht="15.75" customHeight="1">
      <c r="A228" s="277"/>
      <c r="B228" s="244"/>
      <c r="C228" s="84"/>
      <c r="D228" s="84"/>
      <c r="E228" s="84"/>
      <c r="F228" s="84"/>
      <c r="G228" s="84"/>
      <c r="H228" s="242"/>
      <c r="I228" s="84"/>
      <c r="J228" s="84"/>
      <c r="K228" s="84"/>
      <c r="L228" s="84"/>
      <c r="M228" s="84"/>
    </row>
    <row r="229" ht="15.75" customHeight="1">
      <c r="A229" s="277"/>
      <c r="B229" s="244"/>
      <c r="C229" s="84"/>
      <c r="D229" s="84"/>
      <c r="E229" s="84"/>
      <c r="F229" s="84"/>
      <c r="G229" s="84"/>
      <c r="H229" s="242"/>
      <c r="I229" s="84"/>
      <c r="J229" s="84"/>
      <c r="K229" s="84"/>
      <c r="L229" s="84"/>
      <c r="M229" s="84"/>
    </row>
    <row r="230" ht="15.75" customHeight="1">
      <c r="A230" s="277"/>
      <c r="B230" s="244"/>
      <c r="C230" s="84"/>
      <c r="D230" s="84"/>
      <c r="E230" s="84"/>
      <c r="F230" s="84"/>
      <c r="G230" s="84"/>
      <c r="H230" s="242"/>
      <c r="I230" s="84"/>
      <c r="J230" s="84"/>
      <c r="K230" s="84"/>
      <c r="L230" s="84"/>
      <c r="M230" s="84"/>
    </row>
    <row r="231" ht="15.75" customHeight="1">
      <c r="A231" s="277"/>
      <c r="B231" s="244"/>
      <c r="C231" s="84"/>
      <c r="D231" s="84"/>
      <c r="E231" s="84"/>
      <c r="F231" s="84"/>
      <c r="G231" s="84"/>
      <c r="H231" s="242"/>
      <c r="I231" s="84"/>
      <c r="J231" s="84"/>
      <c r="K231" s="84"/>
      <c r="L231" s="84"/>
      <c r="M231" s="84"/>
    </row>
    <row r="232" ht="15.75" customHeight="1">
      <c r="A232" s="277"/>
      <c r="B232" s="244"/>
      <c r="C232" s="84"/>
      <c r="D232" s="84"/>
      <c r="E232" s="84"/>
      <c r="F232" s="84"/>
      <c r="G232" s="84"/>
      <c r="H232" s="242"/>
      <c r="I232" s="84"/>
      <c r="J232" s="84"/>
      <c r="K232" s="84"/>
      <c r="L232" s="84"/>
      <c r="M232" s="84"/>
    </row>
    <row r="233" ht="15.75" customHeight="1">
      <c r="A233" s="277"/>
      <c r="B233" s="244"/>
      <c r="C233" s="84"/>
      <c r="D233" s="84"/>
      <c r="E233" s="84"/>
      <c r="F233" s="84"/>
      <c r="G233" s="84"/>
      <c r="H233" s="242"/>
      <c r="I233" s="84"/>
      <c r="J233" s="84"/>
      <c r="K233" s="84"/>
      <c r="L233" s="84"/>
      <c r="M233" s="84"/>
    </row>
    <row r="234" ht="15.75" customHeight="1">
      <c r="A234" s="277"/>
      <c r="B234" s="244"/>
      <c r="C234" s="84"/>
      <c r="D234" s="84"/>
      <c r="E234" s="84"/>
      <c r="F234" s="84"/>
      <c r="G234" s="84"/>
      <c r="H234" s="242"/>
      <c r="I234" s="84"/>
      <c r="J234" s="84"/>
      <c r="K234" s="84"/>
      <c r="L234" s="84"/>
      <c r="M234" s="84"/>
    </row>
    <row r="235" ht="15.75" customHeight="1">
      <c r="A235" s="277"/>
      <c r="B235" s="244"/>
      <c r="C235" s="84"/>
      <c r="D235" s="84"/>
      <c r="E235" s="84"/>
      <c r="F235" s="84"/>
      <c r="G235" s="84"/>
      <c r="H235" s="242"/>
      <c r="I235" s="84"/>
      <c r="J235" s="84"/>
      <c r="K235" s="84"/>
      <c r="L235" s="84"/>
      <c r="M235" s="84"/>
    </row>
    <row r="236" ht="15.75" customHeight="1">
      <c r="A236" s="277"/>
      <c r="B236" s="244"/>
      <c r="C236" s="84"/>
      <c r="D236" s="84"/>
      <c r="E236" s="84"/>
      <c r="F236" s="84"/>
      <c r="G236" s="84"/>
      <c r="H236" s="242"/>
      <c r="I236" s="84"/>
      <c r="J236" s="84"/>
      <c r="K236" s="84"/>
      <c r="L236" s="84"/>
      <c r="M236" s="84"/>
    </row>
    <row r="237" ht="15.75" customHeight="1">
      <c r="A237" s="277"/>
      <c r="B237" s="244"/>
      <c r="C237" s="84"/>
      <c r="D237" s="84"/>
      <c r="E237" s="84"/>
      <c r="F237" s="84"/>
      <c r="G237" s="84"/>
      <c r="H237" s="242"/>
      <c r="I237" s="84"/>
      <c r="J237" s="84"/>
      <c r="K237" s="84"/>
      <c r="L237" s="84"/>
      <c r="M237" s="84"/>
    </row>
    <row r="238" ht="15.75" customHeight="1">
      <c r="A238" s="277"/>
      <c r="B238" s="244"/>
      <c r="C238" s="84"/>
      <c r="D238" s="84"/>
      <c r="E238" s="84"/>
      <c r="F238" s="84"/>
      <c r="G238" s="84"/>
      <c r="H238" s="242"/>
      <c r="I238" s="84"/>
      <c r="J238" s="84"/>
      <c r="K238" s="84"/>
      <c r="L238" s="84"/>
      <c r="M238" s="84"/>
    </row>
    <row r="239" ht="15.75" customHeight="1">
      <c r="A239" s="277"/>
      <c r="B239" s="244"/>
      <c r="C239" s="84"/>
      <c r="D239" s="84"/>
      <c r="E239" s="84"/>
      <c r="F239" s="84"/>
      <c r="G239" s="84"/>
      <c r="H239" s="242"/>
      <c r="I239" s="84"/>
      <c r="J239" s="84"/>
      <c r="K239" s="84"/>
      <c r="L239" s="84"/>
      <c r="M239" s="84"/>
    </row>
    <row r="240" ht="15.75" customHeight="1">
      <c r="A240" s="277"/>
      <c r="B240" s="244"/>
      <c r="C240" s="84"/>
      <c r="D240" s="84"/>
      <c r="E240" s="84"/>
      <c r="F240" s="84"/>
      <c r="G240" s="84"/>
      <c r="H240" s="242"/>
      <c r="I240" s="84"/>
      <c r="J240" s="84"/>
      <c r="K240" s="84"/>
      <c r="L240" s="84"/>
      <c r="M240" s="84"/>
    </row>
    <row r="241" ht="15.75" customHeight="1">
      <c r="A241" s="277"/>
      <c r="B241" s="244"/>
      <c r="C241" s="84"/>
      <c r="D241" s="84"/>
      <c r="E241" s="84"/>
      <c r="F241" s="84"/>
      <c r="G241" s="84"/>
      <c r="H241" s="242"/>
      <c r="I241" s="84"/>
      <c r="J241" s="84"/>
      <c r="K241" s="84"/>
      <c r="L241" s="84"/>
      <c r="M241" s="84"/>
    </row>
    <row r="242" ht="15.75" customHeight="1">
      <c r="A242" s="277"/>
      <c r="B242" s="244"/>
      <c r="C242" s="84"/>
      <c r="D242" s="84"/>
      <c r="E242" s="84"/>
      <c r="F242" s="84"/>
      <c r="G242" s="84"/>
      <c r="H242" s="242"/>
      <c r="I242" s="84"/>
      <c r="J242" s="84"/>
      <c r="K242" s="84"/>
      <c r="L242" s="84"/>
      <c r="M242" s="84"/>
    </row>
    <row r="243" ht="15.75" customHeight="1">
      <c r="A243" s="277"/>
      <c r="B243" s="244"/>
      <c r="C243" s="84"/>
      <c r="D243" s="84"/>
      <c r="E243" s="84"/>
      <c r="F243" s="84"/>
      <c r="G243" s="84"/>
      <c r="H243" s="242"/>
      <c r="I243" s="84"/>
      <c r="J243" s="84"/>
      <c r="K243" s="84"/>
      <c r="L243" s="84"/>
      <c r="M243" s="84"/>
    </row>
    <row r="244" ht="15.75" customHeight="1">
      <c r="A244" s="277"/>
      <c r="B244" s="244"/>
      <c r="C244" s="84"/>
      <c r="D244" s="84"/>
      <c r="E244" s="84"/>
      <c r="F244" s="84"/>
      <c r="G244" s="84"/>
      <c r="H244" s="242"/>
      <c r="I244" s="84"/>
      <c r="J244" s="84"/>
      <c r="K244" s="84"/>
      <c r="L244" s="84"/>
      <c r="M244" s="84"/>
    </row>
    <row r="245" ht="15.75" customHeight="1">
      <c r="A245" s="277"/>
      <c r="B245" s="244"/>
      <c r="C245" s="84"/>
      <c r="D245" s="84"/>
      <c r="E245" s="84"/>
      <c r="F245" s="84"/>
      <c r="G245" s="84"/>
      <c r="H245" s="242"/>
      <c r="I245" s="84"/>
      <c r="J245" s="84"/>
      <c r="K245" s="84"/>
      <c r="L245" s="84"/>
      <c r="M245" s="84"/>
    </row>
    <row r="246" ht="15.75" customHeight="1">
      <c r="A246" s="277"/>
      <c r="B246" s="244"/>
      <c r="C246" s="84"/>
      <c r="D246" s="84"/>
      <c r="E246" s="84"/>
      <c r="F246" s="84"/>
      <c r="G246" s="84"/>
      <c r="H246" s="242"/>
      <c r="I246" s="84"/>
      <c r="J246" s="84"/>
      <c r="K246" s="84"/>
      <c r="L246" s="84"/>
      <c r="M246" s="84"/>
    </row>
    <row r="247" ht="15.75" customHeight="1">
      <c r="A247" s="277"/>
      <c r="B247" s="244"/>
      <c r="C247" s="84"/>
      <c r="D247" s="84"/>
      <c r="E247" s="84"/>
      <c r="F247" s="84"/>
      <c r="G247" s="84"/>
      <c r="H247" s="242"/>
      <c r="I247" s="84"/>
      <c r="J247" s="84"/>
      <c r="K247" s="84"/>
      <c r="L247" s="84"/>
      <c r="M247" s="84"/>
    </row>
    <row r="248" ht="15.75" customHeight="1">
      <c r="A248" s="277"/>
      <c r="B248" s="244"/>
      <c r="C248" s="84"/>
      <c r="D248" s="84"/>
      <c r="E248" s="84"/>
      <c r="F248" s="84"/>
      <c r="G248" s="84"/>
      <c r="H248" s="242"/>
      <c r="I248" s="84"/>
      <c r="J248" s="84"/>
      <c r="K248" s="84"/>
      <c r="L248" s="84"/>
      <c r="M248" s="84"/>
    </row>
    <row r="249" ht="15.75" customHeight="1">
      <c r="A249" s="277"/>
      <c r="B249" s="244"/>
      <c r="C249" s="84"/>
      <c r="D249" s="84"/>
      <c r="E249" s="84"/>
      <c r="F249" s="84"/>
      <c r="G249" s="84"/>
      <c r="H249" s="242"/>
      <c r="I249" s="84"/>
      <c r="J249" s="84"/>
      <c r="K249" s="84"/>
      <c r="L249" s="84"/>
      <c r="M249" s="84"/>
    </row>
    <row r="250" ht="15.75" customHeight="1">
      <c r="A250" s="277"/>
      <c r="B250" s="244"/>
      <c r="C250" s="84"/>
      <c r="D250" s="84"/>
      <c r="E250" s="84"/>
      <c r="F250" s="84"/>
      <c r="G250" s="84"/>
      <c r="H250" s="242"/>
      <c r="I250" s="84"/>
      <c r="J250" s="84"/>
      <c r="K250" s="84"/>
      <c r="L250" s="84"/>
      <c r="M250" s="84"/>
    </row>
    <row r="251" ht="15.75" customHeight="1">
      <c r="A251" s="277"/>
      <c r="B251" s="244"/>
      <c r="C251" s="84"/>
      <c r="D251" s="84"/>
      <c r="E251" s="84"/>
      <c r="F251" s="84"/>
      <c r="G251" s="84"/>
      <c r="H251" s="242"/>
      <c r="I251" s="84"/>
      <c r="J251" s="84"/>
      <c r="K251" s="84"/>
      <c r="L251" s="84"/>
      <c r="M251" s="84"/>
    </row>
    <row r="252" ht="15.75" customHeight="1">
      <c r="A252" s="277"/>
      <c r="B252" s="244"/>
      <c r="C252" s="84"/>
      <c r="D252" s="84"/>
      <c r="E252" s="84"/>
      <c r="F252" s="84"/>
      <c r="G252" s="84"/>
      <c r="H252" s="242"/>
      <c r="I252" s="84"/>
      <c r="J252" s="84"/>
      <c r="K252" s="84"/>
      <c r="L252" s="84"/>
      <c r="M252" s="84"/>
    </row>
    <row r="253" ht="15.75" customHeight="1">
      <c r="A253" s="277"/>
      <c r="B253" s="244"/>
      <c r="C253" s="84"/>
      <c r="D253" s="84"/>
      <c r="E253" s="84"/>
      <c r="F253" s="84"/>
      <c r="G253" s="84"/>
      <c r="H253" s="242"/>
      <c r="I253" s="84"/>
      <c r="J253" s="84"/>
      <c r="K253" s="84"/>
      <c r="L253" s="84"/>
      <c r="M253" s="84"/>
    </row>
    <row r="254" ht="15.75" customHeight="1">
      <c r="A254" s="277"/>
      <c r="B254" s="244"/>
      <c r="C254" s="84"/>
      <c r="D254" s="84"/>
      <c r="E254" s="84"/>
      <c r="F254" s="84"/>
      <c r="G254" s="84"/>
      <c r="H254" s="242"/>
      <c r="I254" s="84"/>
      <c r="J254" s="84"/>
      <c r="K254" s="84"/>
      <c r="L254" s="84"/>
      <c r="M254" s="84"/>
    </row>
    <row r="255" ht="15.75" customHeight="1">
      <c r="A255" s="277"/>
      <c r="B255" s="244"/>
      <c r="C255" s="84"/>
      <c r="D255" s="84"/>
      <c r="E255" s="84"/>
      <c r="F255" s="84"/>
      <c r="G255" s="84"/>
      <c r="H255" s="242"/>
      <c r="I255" s="84"/>
      <c r="J255" s="84"/>
      <c r="K255" s="84"/>
      <c r="L255" s="84"/>
      <c r="M255" s="84"/>
    </row>
    <row r="256" ht="15.75" customHeight="1">
      <c r="A256" s="277"/>
      <c r="B256" s="244"/>
      <c r="C256" s="84"/>
      <c r="D256" s="84"/>
      <c r="E256" s="84"/>
      <c r="F256" s="84"/>
      <c r="G256" s="84"/>
      <c r="H256" s="242"/>
      <c r="I256" s="84"/>
      <c r="J256" s="84"/>
      <c r="K256" s="84"/>
      <c r="L256" s="84"/>
      <c r="M256" s="84"/>
    </row>
    <row r="257" ht="15.75" customHeight="1">
      <c r="A257" s="277"/>
      <c r="B257" s="244"/>
      <c r="C257" s="84"/>
      <c r="D257" s="84"/>
      <c r="E257" s="84"/>
      <c r="F257" s="84"/>
      <c r="G257" s="84"/>
      <c r="H257" s="242"/>
      <c r="I257" s="84"/>
      <c r="J257" s="84"/>
      <c r="K257" s="84"/>
      <c r="L257" s="84"/>
      <c r="M257" s="84"/>
    </row>
    <row r="258" ht="15.75" customHeight="1">
      <c r="A258" s="277"/>
      <c r="B258" s="244"/>
      <c r="C258" s="84"/>
      <c r="D258" s="84"/>
      <c r="E258" s="84"/>
      <c r="F258" s="84"/>
      <c r="G258" s="84"/>
      <c r="H258" s="242"/>
      <c r="I258" s="84"/>
      <c r="J258" s="84"/>
      <c r="K258" s="84"/>
      <c r="L258" s="84"/>
      <c r="M258" s="84"/>
    </row>
    <row r="259" ht="15.75" customHeight="1">
      <c r="A259" s="277"/>
      <c r="B259" s="244"/>
      <c r="C259" s="84"/>
      <c r="D259" s="84"/>
      <c r="E259" s="84"/>
      <c r="F259" s="84"/>
      <c r="G259" s="84"/>
      <c r="H259" s="242"/>
      <c r="I259" s="84"/>
      <c r="J259" s="84"/>
      <c r="K259" s="84"/>
      <c r="L259" s="84"/>
      <c r="M259" s="84"/>
    </row>
    <row r="260" ht="15.75" customHeight="1">
      <c r="A260" s="277"/>
      <c r="B260" s="244"/>
      <c r="C260" s="84"/>
      <c r="D260" s="84"/>
      <c r="E260" s="84"/>
      <c r="F260" s="84"/>
      <c r="G260" s="84"/>
      <c r="H260" s="242"/>
      <c r="I260" s="84"/>
      <c r="J260" s="84"/>
      <c r="K260" s="84"/>
      <c r="L260" s="84"/>
      <c r="M260" s="84"/>
    </row>
    <row r="261" ht="15.75" customHeight="1">
      <c r="A261" s="277"/>
      <c r="B261" s="244"/>
      <c r="C261" s="84"/>
      <c r="D261" s="84"/>
      <c r="E261" s="84"/>
      <c r="F261" s="84"/>
      <c r="G261" s="84"/>
      <c r="H261" s="242"/>
      <c r="I261" s="84"/>
      <c r="J261" s="84"/>
      <c r="K261" s="84"/>
      <c r="L261" s="84"/>
      <c r="M261" s="84"/>
    </row>
    <row r="262" ht="15.75" customHeight="1">
      <c r="A262" s="277"/>
      <c r="B262" s="244"/>
      <c r="C262" s="84"/>
      <c r="D262" s="84"/>
      <c r="E262" s="84"/>
      <c r="F262" s="84"/>
      <c r="G262" s="84"/>
      <c r="H262" s="242"/>
      <c r="I262" s="84"/>
      <c r="J262" s="84"/>
      <c r="K262" s="84"/>
      <c r="L262" s="84"/>
      <c r="M262" s="84"/>
    </row>
    <row r="263" ht="15.75" customHeight="1">
      <c r="A263" s="277"/>
      <c r="B263" s="244"/>
      <c r="C263" s="84"/>
      <c r="D263" s="84"/>
      <c r="E263" s="84"/>
      <c r="F263" s="84"/>
      <c r="G263" s="84"/>
      <c r="H263" s="242"/>
      <c r="I263" s="84"/>
      <c r="J263" s="84"/>
      <c r="K263" s="84"/>
      <c r="L263" s="84"/>
      <c r="M263" s="84"/>
    </row>
    <row r="264" ht="15.75" customHeight="1">
      <c r="A264" s="277"/>
      <c r="B264" s="244"/>
      <c r="C264" s="84"/>
      <c r="D264" s="84"/>
      <c r="E264" s="84"/>
      <c r="F264" s="84"/>
      <c r="G264" s="84"/>
      <c r="H264" s="242"/>
      <c r="I264" s="84"/>
      <c r="J264" s="84"/>
      <c r="K264" s="84"/>
      <c r="L264" s="84"/>
      <c r="M264" s="84"/>
    </row>
    <row r="265" ht="15.75" customHeight="1">
      <c r="A265" s="277"/>
      <c r="B265" s="244"/>
      <c r="C265" s="84"/>
      <c r="D265" s="84"/>
      <c r="E265" s="84"/>
      <c r="F265" s="84"/>
      <c r="G265" s="84"/>
      <c r="H265" s="242"/>
      <c r="I265" s="84"/>
      <c r="J265" s="84"/>
      <c r="K265" s="84"/>
      <c r="L265" s="84"/>
      <c r="M265" s="84"/>
    </row>
    <row r="266" ht="15.75" customHeight="1">
      <c r="A266" s="277"/>
      <c r="B266" s="244"/>
      <c r="C266" s="84"/>
      <c r="D266" s="84"/>
      <c r="E266" s="84"/>
      <c r="F266" s="84"/>
      <c r="G266" s="84"/>
      <c r="H266" s="242"/>
      <c r="I266" s="84"/>
      <c r="J266" s="84"/>
      <c r="K266" s="84"/>
      <c r="L266" s="84"/>
      <c r="M266" s="84"/>
    </row>
    <row r="267" ht="15.75" customHeight="1">
      <c r="A267" s="277"/>
      <c r="B267" s="244"/>
      <c r="C267" s="84"/>
      <c r="D267" s="84"/>
      <c r="E267" s="84"/>
      <c r="F267" s="84"/>
      <c r="G267" s="84"/>
      <c r="H267" s="242"/>
      <c r="I267" s="84"/>
      <c r="J267" s="84"/>
      <c r="K267" s="84"/>
      <c r="L267" s="84"/>
      <c r="M267" s="84"/>
    </row>
    <row r="268" ht="15.75" customHeight="1">
      <c r="A268" s="277"/>
      <c r="B268" s="244"/>
      <c r="C268" s="84"/>
      <c r="D268" s="84"/>
      <c r="E268" s="84"/>
      <c r="F268" s="84"/>
      <c r="G268" s="84"/>
      <c r="H268" s="242"/>
      <c r="I268" s="84"/>
      <c r="J268" s="84"/>
      <c r="K268" s="84"/>
      <c r="L268" s="84"/>
      <c r="M268" s="84"/>
    </row>
    <row r="269" ht="15.75" customHeight="1">
      <c r="H269" s="240"/>
    </row>
    <row r="270" ht="15.75" customHeight="1">
      <c r="H270" s="240"/>
    </row>
    <row r="271" ht="15.75" customHeight="1">
      <c r="H271" s="240"/>
    </row>
    <row r="272" ht="15.75" customHeight="1">
      <c r="H272" s="240"/>
    </row>
    <row r="273" ht="15.75" customHeight="1">
      <c r="H273" s="240"/>
    </row>
    <row r="274" ht="15.75" customHeight="1">
      <c r="H274" s="240"/>
    </row>
    <row r="275" ht="15.75" customHeight="1">
      <c r="H275" s="240"/>
    </row>
    <row r="276" ht="15.75" customHeight="1">
      <c r="H276" s="240"/>
    </row>
    <row r="277" ht="15.75" customHeight="1">
      <c r="H277" s="240"/>
    </row>
    <row r="278" ht="15.75" customHeight="1">
      <c r="H278" s="240"/>
    </row>
    <row r="279" ht="15.75" customHeight="1">
      <c r="H279" s="240"/>
    </row>
    <row r="280" ht="15.75" customHeight="1">
      <c r="H280" s="240"/>
    </row>
    <row r="281" ht="15.75" customHeight="1">
      <c r="H281" s="240"/>
    </row>
    <row r="282" ht="15.75" customHeight="1">
      <c r="H282" s="240"/>
    </row>
    <row r="283" ht="15.75" customHeight="1">
      <c r="H283" s="240"/>
    </row>
    <row r="284" ht="15.75" customHeight="1">
      <c r="H284" s="240"/>
    </row>
    <row r="285" ht="15.75" customHeight="1">
      <c r="H285" s="240"/>
    </row>
    <row r="286" ht="15.75" customHeight="1">
      <c r="H286" s="240"/>
    </row>
    <row r="287" ht="15.75" customHeight="1">
      <c r="H287" s="240"/>
    </row>
    <row r="288" ht="15.75" customHeight="1">
      <c r="H288" s="240"/>
    </row>
    <row r="289" ht="15.75" customHeight="1">
      <c r="H289" s="240"/>
    </row>
    <row r="290" ht="15.75" customHeight="1">
      <c r="H290" s="240"/>
    </row>
    <row r="291" ht="15.75" customHeight="1">
      <c r="H291" s="240"/>
    </row>
    <row r="292" ht="15.75" customHeight="1">
      <c r="H292" s="240"/>
    </row>
    <row r="293" ht="15.75" customHeight="1">
      <c r="H293" s="240"/>
    </row>
    <row r="294" ht="15.75" customHeight="1">
      <c r="H294" s="240"/>
    </row>
    <row r="295" ht="15.75" customHeight="1">
      <c r="H295" s="240"/>
    </row>
    <row r="296" ht="15.75" customHeight="1">
      <c r="H296" s="240"/>
    </row>
    <row r="297" ht="15.75" customHeight="1">
      <c r="H297" s="240"/>
    </row>
    <row r="298" ht="15.75" customHeight="1">
      <c r="H298" s="240"/>
    </row>
    <row r="299" ht="15.75" customHeight="1">
      <c r="H299" s="240"/>
    </row>
    <row r="300" ht="15.75" customHeight="1">
      <c r="H300" s="240"/>
    </row>
    <row r="301" ht="15.75" customHeight="1">
      <c r="H301" s="240"/>
    </row>
    <row r="302" ht="15.75" customHeight="1">
      <c r="H302" s="240"/>
    </row>
    <row r="303" ht="15.75" customHeight="1">
      <c r="H303" s="240"/>
    </row>
    <row r="304" ht="15.75" customHeight="1">
      <c r="H304" s="240"/>
    </row>
    <row r="305" ht="15.75" customHeight="1">
      <c r="H305" s="240"/>
    </row>
    <row r="306" ht="15.75" customHeight="1">
      <c r="H306" s="240"/>
    </row>
    <row r="307" ht="15.75" customHeight="1">
      <c r="H307" s="240"/>
    </row>
    <row r="308" ht="15.75" customHeight="1">
      <c r="H308" s="240"/>
    </row>
    <row r="309" ht="15.75" customHeight="1">
      <c r="H309" s="240"/>
    </row>
    <row r="310" ht="15.75" customHeight="1">
      <c r="H310" s="240"/>
    </row>
    <row r="311" ht="15.75" customHeight="1">
      <c r="H311" s="240"/>
    </row>
    <row r="312" ht="15.75" customHeight="1">
      <c r="H312" s="240"/>
    </row>
    <row r="313" ht="15.75" customHeight="1">
      <c r="H313" s="240"/>
    </row>
    <row r="314" ht="15.75" customHeight="1">
      <c r="H314" s="240"/>
    </row>
    <row r="315" ht="15.75" customHeight="1">
      <c r="H315" s="240"/>
    </row>
    <row r="316" ht="15.75" customHeight="1">
      <c r="H316" s="240"/>
    </row>
    <row r="317" ht="15.75" customHeight="1">
      <c r="H317" s="240"/>
    </row>
    <row r="318" ht="15.75" customHeight="1">
      <c r="H318" s="240"/>
    </row>
    <row r="319" ht="15.75" customHeight="1">
      <c r="H319" s="240"/>
    </row>
    <row r="320" ht="15.75" customHeight="1">
      <c r="H320" s="240"/>
    </row>
    <row r="321" ht="15.75" customHeight="1">
      <c r="H321" s="240"/>
    </row>
    <row r="322" ht="15.75" customHeight="1">
      <c r="H322" s="240"/>
    </row>
    <row r="323" ht="15.75" customHeight="1">
      <c r="H323" s="240"/>
    </row>
    <row r="324" ht="15.75" customHeight="1">
      <c r="H324" s="240"/>
    </row>
    <row r="325" ht="15.75" customHeight="1">
      <c r="H325" s="240"/>
    </row>
    <row r="326" ht="15.75" customHeight="1">
      <c r="H326" s="240"/>
    </row>
    <row r="327" ht="15.75" customHeight="1">
      <c r="H327" s="240"/>
    </row>
    <row r="328" ht="15.75" customHeight="1">
      <c r="H328" s="240"/>
    </row>
    <row r="329" ht="15.75" customHeight="1">
      <c r="H329" s="240"/>
    </row>
    <row r="330" ht="15.75" customHeight="1">
      <c r="H330" s="240"/>
    </row>
    <row r="331" ht="15.75" customHeight="1">
      <c r="H331" s="240"/>
    </row>
    <row r="332" ht="15.75" customHeight="1">
      <c r="H332" s="240"/>
    </row>
    <row r="333" ht="15.75" customHeight="1">
      <c r="H333" s="240"/>
    </row>
    <row r="334" ht="15.75" customHeight="1">
      <c r="H334" s="240"/>
    </row>
    <row r="335" ht="15.75" customHeight="1">
      <c r="H335" s="240"/>
    </row>
    <row r="336" ht="15.75" customHeight="1">
      <c r="H336" s="240"/>
    </row>
    <row r="337" ht="15.75" customHeight="1">
      <c r="H337" s="240"/>
    </row>
    <row r="338" ht="15.75" customHeight="1">
      <c r="H338" s="240"/>
    </row>
    <row r="339" ht="15.75" customHeight="1">
      <c r="H339" s="240"/>
    </row>
    <row r="340" ht="15.75" customHeight="1">
      <c r="H340" s="240"/>
    </row>
    <row r="341" ht="15.75" customHeight="1">
      <c r="H341" s="240"/>
    </row>
    <row r="342" ht="15.75" customHeight="1">
      <c r="H342" s="240"/>
    </row>
    <row r="343" ht="15.75" customHeight="1">
      <c r="H343" s="240"/>
    </row>
    <row r="344" ht="15.75" customHeight="1">
      <c r="H344" s="240"/>
    </row>
    <row r="345" ht="15.75" customHeight="1">
      <c r="H345" s="240"/>
    </row>
    <row r="346" ht="15.75" customHeight="1">
      <c r="H346" s="240"/>
    </row>
    <row r="347" ht="15.75" customHeight="1">
      <c r="H347" s="240"/>
    </row>
    <row r="348" ht="15.75" customHeight="1">
      <c r="H348" s="240"/>
    </row>
    <row r="349" ht="15.75" customHeight="1">
      <c r="H349" s="240"/>
    </row>
    <row r="350" ht="15.75" customHeight="1">
      <c r="H350" s="240"/>
    </row>
    <row r="351" ht="15.75" customHeight="1">
      <c r="H351" s="240"/>
    </row>
    <row r="352" ht="15.75" customHeight="1">
      <c r="H352" s="240"/>
    </row>
    <row r="353" ht="15.75" customHeight="1">
      <c r="H353" s="240"/>
    </row>
    <row r="354" ht="15.75" customHeight="1">
      <c r="H354" s="240"/>
    </row>
    <row r="355" ht="15.75" customHeight="1">
      <c r="H355" s="240"/>
    </row>
    <row r="356" ht="15.75" customHeight="1">
      <c r="H356" s="240"/>
    </row>
    <row r="357" ht="15.75" customHeight="1">
      <c r="H357" s="240"/>
    </row>
    <row r="358" ht="15.75" customHeight="1">
      <c r="H358" s="240"/>
    </row>
    <row r="359" ht="15.75" customHeight="1">
      <c r="H359" s="240"/>
    </row>
    <row r="360" ht="15.75" customHeight="1">
      <c r="H360" s="240"/>
    </row>
    <row r="361" ht="15.75" customHeight="1">
      <c r="H361" s="240"/>
    </row>
    <row r="362" ht="15.75" customHeight="1">
      <c r="H362" s="240"/>
    </row>
    <row r="363" ht="15.75" customHeight="1">
      <c r="H363" s="240"/>
    </row>
    <row r="364" ht="15.75" customHeight="1">
      <c r="H364" s="240"/>
    </row>
    <row r="365" ht="15.75" customHeight="1">
      <c r="H365" s="240"/>
    </row>
    <row r="366" ht="15.75" customHeight="1">
      <c r="H366" s="240"/>
    </row>
    <row r="367" ht="15.75" customHeight="1">
      <c r="H367" s="240"/>
    </row>
    <row r="368" ht="15.75" customHeight="1">
      <c r="H368" s="240"/>
    </row>
    <row r="369" ht="15.75" customHeight="1">
      <c r="H369" s="240"/>
    </row>
    <row r="370" ht="15.75" customHeight="1">
      <c r="H370" s="240"/>
    </row>
    <row r="371" ht="15.75" customHeight="1">
      <c r="H371" s="240"/>
    </row>
    <row r="372" ht="15.75" customHeight="1">
      <c r="H372" s="240"/>
    </row>
    <row r="373" ht="15.75" customHeight="1">
      <c r="H373" s="240"/>
    </row>
    <row r="374" ht="15.75" customHeight="1">
      <c r="H374" s="240"/>
    </row>
    <row r="375" ht="15.75" customHeight="1">
      <c r="H375" s="240"/>
    </row>
    <row r="376" ht="15.75" customHeight="1">
      <c r="H376" s="240"/>
    </row>
    <row r="377" ht="15.75" customHeight="1">
      <c r="H377" s="240"/>
    </row>
    <row r="378" ht="15.75" customHeight="1">
      <c r="H378" s="240"/>
    </row>
    <row r="379" ht="15.75" customHeight="1">
      <c r="H379" s="240"/>
    </row>
    <row r="380" ht="15.75" customHeight="1">
      <c r="H380" s="240"/>
    </row>
    <row r="381" ht="15.75" customHeight="1">
      <c r="H381" s="240"/>
    </row>
    <row r="382" ht="15.75" customHeight="1">
      <c r="H382" s="240"/>
    </row>
    <row r="383" ht="15.75" customHeight="1">
      <c r="H383" s="240"/>
    </row>
    <row r="384" ht="15.75" customHeight="1">
      <c r="H384" s="240"/>
    </row>
    <row r="385" ht="15.75" customHeight="1">
      <c r="H385" s="240"/>
    </row>
    <row r="386" ht="15.75" customHeight="1">
      <c r="H386" s="240"/>
    </row>
    <row r="387" ht="15.75" customHeight="1">
      <c r="H387" s="240"/>
    </row>
    <row r="388" ht="15.75" customHeight="1">
      <c r="H388" s="240"/>
    </row>
    <row r="389" ht="15.75" customHeight="1">
      <c r="H389" s="240"/>
    </row>
    <row r="390" ht="15.75" customHeight="1">
      <c r="H390" s="240"/>
    </row>
    <row r="391" ht="15.75" customHeight="1">
      <c r="H391" s="240"/>
    </row>
    <row r="392" ht="15.75" customHeight="1">
      <c r="H392" s="240"/>
    </row>
    <row r="393" ht="15.75" customHeight="1">
      <c r="H393" s="240"/>
    </row>
    <row r="394" ht="15.75" customHeight="1">
      <c r="H394" s="240"/>
    </row>
    <row r="395" ht="15.75" customHeight="1">
      <c r="H395" s="240"/>
    </row>
    <row r="396" ht="15.75" customHeight="1">
      <c r="H396" s="240"/>
    </row>
    <row r="397" ht="15.75" customHeight="1">
      <c r="H397" s="240"/>
    </row>
    <row r="398" ht="15.75" customHeight="1">
      <c r="H398" s="240"/>
    </row>
    <row r="399" ht="15.75" customHeight="1">
      <c r="H399" s="240"/>
    </row>
    <row r="400" ht="15.75" customHeight="1">
      <c r="H400" s="240"/>
    </row>
    <row r="401" ht="15.75" customHeight="1">
      <c r="H401" s="240"/>
    </row>
    <row r="402" ht="15.75" customHeight="1">
      <c r="H402" s="240"/>
    </row>
    <row r="403" ht="15.75" customHeight="1">
      <c r="H403" s="240"/>
    </row>
    <row r="404" ht="15.75" customHeight="1">
      <c r="H404" s="240"/>
    </row>
    <row r="405" ht="15.75" customHeight="1">
      <c r="H405" s="240"/>
    </row>
    <row r="406" ht="15.75" customHeight="1">
      <c r="H406" s="240"/>
    </row>
    <row r="407" ht="15.75" customHeight="1">
      <c r="H407" s="240"/>
    </row>
    <row r="408" ht="15.75" customHeight="1">
      <c r="H408" s="240"/>
    </row>
    <row r="409" ht="15.75" customHeight="1">
      <c r="H409" s="240"/>
    </row>
    <row r="410" ht="15.75" customHeight="1">
      <c r="H410" s="240"/>
    </row>
    <row r="411" ht="15.75" customHeight="1">
      <c r="H411" s="240"/>
    </row>
    <row r="412" ht="15.75" customHeight="1">
      <c r="H412" s="240"/>
    </row>
    <row r="413" ht="15.75" customHeight="1">
      <c r="H413" s="240"/>
    </row>
    <row r="414" ht="15.75" customHeight="1">
      <c r="H414" s="240"/>
    </row>
    <row r="415" ht="15.75" customHeight="1">
      <c r="H415" s="240"/>
    </row>
    <row r="416" ht="15.75" customHeight="1">
      <c r="H416" s="240"/>
    </row>
    <row r="417" ht="15.75" customHeight="1">
      <c r="H417" s="240"/>
    </row>
    <row r="418" ht="15.75" customHeight="1">
      <c r="H418" s="240"/>
    </row>
    <row r="419" ht="15.75" customHeight="1">
      <c r="H419" s="240"/>
    </row>
    <row r="420" ht="15.75" customHeight="1">
      <c r="H420" s="240"/>
    </row>
    <row r="421" ht="15.75" customHeight="1">
      <c r="H421" s="240"/>
    </row>
    <row r="422" ht="15.75" customHeight="1">
      <c r="H422" s="240"/>
    </row>
    <row r="423" ht="15.75" customHeight="1">
      <c r="H423" s="240"/>
    </row>
    <row r="424" ht="15.75" customHeight="1">
      <c r="H424" s="240"/>
    </row>
    <row r="425" ht="15.75" customHeight="1">
      <c r="H425" s="240"/>
    </row>
    <row r="426" ht="15.75" customHeight="1">
      <c r="H426" s="240"/>
    </row>
    <row r="427" ht="15.75" customHeight="1">
      <c r="H427" s="240"/>
    </row>
    <row r="428" ht="15.75" customHeight="1">
      <c r="H428" s="240"/>
    </row>
    <row r="429" ht="15.75" customHeight="1">
      <c r="H429" s="240"/>
    </row>
    <row r="430" ht="15.75" customHeight="1">
      <c r="H430" s="240"/>
    </row>
    <row r="431" ht="15.75" customHeight="1">
      <c r="H431" s="240"/>
    </row>
    <row r="432" ht="15.75" customHeight="1">
      <c r="H432" s="240"/>
    </row>
    <row r="433" ht="15.75" customHeight="1">
      <c r="H433" s="240"/>
    </row>
    <row r="434" ht="15.75" customHeight="1">
      <c r="H434" s="240"/>
    </row>
    <row r="435" ht="15.75" customHeight="1">
      <c r="H435" s="240"/>
    </row>
    <row r="436" ht="15.75" customHeight="1">
      <c r="H436" s="240"/>
    </row>
    <row r="437" ht="15.75" customHeight="1">
      <c r="H437" s="240"/>
    </row>
    <row r="438" ht="15.75" customHeight="1">
      <c r="H438" s="240"/>
    </row>
    <row r="439" ht="15.75" customHeight="1">
      <c r="H439" s="240"/>
    </row>
    <row r="440" ht="15.75" customHeight="1">
      <c r="H440" s="240"/>
    </row>
    <row r="441" ht="15.75" customHeight="1">
      <c r="H441" s="240"/>
    </row>
    <row r="442" ht="15.75" customHeight="1">
      <c r="H442" s="240"/>
    </row>
    <row r="443" ht="15.75" customHeight="1">
      <c r="H443" s="240"/>
    </row>
    <row r="444" ht="15.75" customHeight="1">
      <c r="H444" s="240"/>
    </row>
    <row r="445" ht="15.75" customHeight="1">
      <c r="H445" s="240"/>
    </row>
    <row r="446" ht="15.75" customHeight="1">
      <c r="H446" s="240"/>
    </row>
    <row r="447" ht="15.75" customHeight="1">
      <c r="H447" s="240"/>
    </row>
    <row r="448" ht="15.75" customHeight="1">
      <c r="H448" s="240"/>
    </row>
    <row r="449" ht="15.75" customHeight="1">
      <c r="H449" s="240"/>
    </row>
    <row r="450" ht="15.75" customHeight="1">
      <c r="H450" s="240"/>
    </row>
    <row r="451" ht="15.75" customHeight="1">
      <c r="H451" s="240"/>
    </row>
    <row r="452" ht="15.75" customHeight="1">
      <c r="H452" s="240"/>
    </row>
    <row r="453" ht="15.75" customHeight="1">
      <c r="H453" s="240"/>
    </row>
    <row r="454" ht="15.75" customHeight="1">
      <c r="H454" s="240"/>
    </row>
    <row r="455" ht="15.75" customHeight="1">
      <c r="H455" s="240"/>
    </row>
    <row r="456" ht="15.75" customHeight="1">
      <c r="H456" s="240"/>
    </row>
    <row r="457" ht="15.75" customHeight="1">
      <c r="H457" s="240"/>
    </row>
    <row r="458" ht="15.75" customHeight="1">
      <c r="H458" s="240"/>
    </row>
    <row r="459" ht="15.75" customHeight="1">
      <c r="H459" s="240"/>
    </row>
    <row r="460" ht="15.75" customHeight="1">
      <c r="H460" s="240"/>
    </row>
    <row r="461" ht="15.75" customHeight="1">
      <c r="H461" s="240"/>
    </row>
    <row r="462" ht="15.75" customHeight="1">
      <c r="H462" s="240"/>
    </row>
    <row r="463" ht="15.75" customHeight="1">
      <c r="H463" s="240"/>
    </row>
    <row r="464" ht="15.75" customHeight="1">
      <c r="H464" s="240"/>
    </row>
    <row r="465" ht="15.75" customHeight="1">
      <c r="H465" s="240"/>
    </row>
    <row r="466" ht="15.75" customHeight="1">
      <c r="H466" s="240"/>
    </row>
    <row r="467" ht="15.75" customHeight="1">
      <c r="H467" s="240"/>
    </row>
    <row r="468" ht="15.75" customHeight="1">
      <c r="H468" s="240"/>
    </row>
    <row r="469" ht="15.75" customHeight="1">
      <c r="H469" s="240"/>
    </row>
    <row r="470" ht="15.75" customHeight="1">
      <c r="H470" s="240"/>
    </row>
    <row r="471" ht="15.75" customHeight="1">
      <c r="H471" s="240"/>
    </row>
    <row r="472" ht="15.75" customHeight="1">
      <c r="H472" s="240"/>
    </row>
    <row r="473" ht="15.75" customHeight="1">
      <c r="H473" s="240"/>
    </row>
    <row r="474" ht="15.75" customHeight="1">
      <c r="H474" s="240"/>
    </row>
    <row r="475" ht="15.75" customHeight="1">
      <c r="H475" s="240"/>
    </row>
    <row r="476" ht="15.75" customHeight="1">
      <c r="H476" s="240"/>
    </row>
    <row r="477" ht="15.75" customHeight="1">
      <c r="H477" s="240"/>
    </row>
    <row r="478" ht="15.75" customHeight="1">
      <c r="H478" s="240"/>
    </row>
    <row r="479" ht="15.75" customHeight="1">
      <c r="H479" s="240"/>
    </row>
    <row r="480" ht="15.75" customHeight="1">
      <c r="H480" s="240"/>
    </row>
    <row r="481" ht="15.75" customHeight="1">
      <c r="H481" s="240"/>
    </row>
    <row r="482" ht="15.75" customHeight="1">
      <c r="H482" s="240"/>
    </row>
    <row r="483" ht="15.75" customHeight="1">
      <c r="H483" s="240"/>
    </row>
    <row r="484" ht="15.75" customHeight="1">
      <c r="H484" s="240"/>
    </row>
    <row r="485" ht="15.75" customHeight="1">
      <c r="H485" s="240"/>
    </row>
    <row r="486" ht="15.75" customHeight="1">
      <c r="H486" s="240"/>
    </row>
    <row r="487" ht="15.75" customHeight="1">
      <c r="H487" s="240"/>
    </row>
    <row r="488" ht="15.75" customHeight="1">
      <c r="H488" s="240"/>
    </row>
    <row r="489" ht="15.75" customHeight="1">
      <c r="H489" s="240"/>
    </row>
    <row r="490" ht="15.75" customHeight="1">
      <c r="H490" s="240"/>
    </row>
    <row r="491" ht="15.75" customHeight="1">
      <c r="H491" s="240"/>
    </row>
    <row r="492" ht="15.75" customHeight="1">
      <c r="H492" s="240"/>
    </row>
    <row r="493" ht="15.75" customHeight="1">
      <c r="H493" s="240"/>
    </row>
    <row r="494" ht="15.75" customHeight="1">
      <c r="H494" s="240"/>
    </row>
    <row r="495" ht="15.75" customHeight="1">
      <c r="H495" s="240"/>
    </row>
    <row r="496" ht="15.75" customHeight="1">
      <c r="H496" s="240"/>
    </row>
    <row r="497" ht="15.75" customHeight="1">
      <c r="H497" s="240"/>
    </row>
    <row r="498" ht="15.75" customHeight="1">
      <c r="H498" s="240"/>
    </row>
    <row r="499" ht="15.75" customHeight="1">
      <c r="H499" s="240"/>
    </row>
    <row r="500" ht="15.75" customHeight="1">
      <c r="H500" s="240"/>
    </row>
    <row r="501" ht="15.75" customHeight="1">
      <c r="H501" s="240"/>
    </row>
    <row r="502" ht="15.75" customHeight="1">
      <c r="H502" s="240"/>
    </row>
    <row r="503" ht="15.75" customHeight="1">
      <c r="H503" s="240"/>
    </row>
    <row r="504" ht="15.75" customHeight="1">
      <c r="H504" s="240"/>
    </row>
    <row r="505" ht="15.75" customHeight="1">
      <c r="H505" s="240"/>
    </row>
    <row r="506" ht="15.75" customHeight="1">
      <c r="H506" s="240"/>
    </row>
    <row r="507" ht="15.75" customHeight="1">
      <c r="H507" s="240"/>
    </row>
    <row r="508" ht="15.75" customHeight="1">
      <c r="H508" s="240"/>
    </row>
    <row r="509" ht="15.75" customHeight="1">
      <c r="H509" s="240"/>
    </row>
    <row r="510" ht="15.75" customHeight="1">
      <c r="H510" s="240"/>
    </row>
    <row r="511" ht="15.75" customHeight="1">
      <c r="H511" s="240"/>
    </row>
    <row r="512" ht="15.75" customHeight="1">
      <c r="H512" s="240"/>
    </row>
    <row r="513" ht="15.75" customHeight="1">
      <c r="H513" s="240"/>
    </row>
    <row r="514" ht="15.75" customHeight="1">
      <c r="H514" s="240"/>
    </row>
    <row r="515" ht="15.75" customHeight="1">
      <c r="H515" s="240"/>
    </row>
    <row r="516" ht="15.75" customHeight="1">
      <c r="H516" s="240"/>
    </row>
    <row r="517" ht="15.75" customHeight="1">
      <c r="H517" s="240"/>
    </row>
    <row r="518" ht="15.75" customHeight="1">
      <c r="H518" s="240"/>
    </row>
    <row r="519" ht="15.75" customHeight="1">
      <c r="H519" s="240"/>
    </row>
    <row r="520" ht="15.75" customHeight="1">
      <c r="H520" s="240"/>
    </row>
    <row r="521" ht="15.75" customHeight="1">
      <c r="H521" s="240"/>
    </row>
    <row r="522" ht="15.75" customHeight="1">
      <c r="H522" s="240"/>
    </row>
    <row r="523" ht="15.75" customHeight="1">
      <c r="H523" s="240"/>
    </row>
    <row r="524" ht="15.75" customHeight="1">
      <c r="H524" s="240"/>
    </row>
    <row r="525" ht="15.75" customHeight="1">
      <c r="H525" s="240"/>
    </row>
    <row r="526" ht="15.75" customHeight="1">
      <c r="H526" s="240"/>
    </row>
    <row r="527" ht="15.75" customHeight="1">
      <c r="H527" s="240"/>
    </row>
    <row r="528" ht="15.75" customHeight="1">
      <c r="H528" s="240"/>
    </row>
    <row r="529" ht="15.75" customHeight="1">
      <c r="H529" s="240"/>
    </row>
    <row r="530" ht="15.75" customHeight="1">
      <c r="H530" s="240"/>
    </row>
    <row r="531" ht="15.75" customHeight="1">
      <c r="H531" s="240"/>
    </row>
    <row r="532" ht="15.75" customHeight="1">
      <c r="H532" s="240"/>
    </row>
    <row r="533" ht="15.75" customHeight="1">
      <c r="H533" s="240"/>
    </row>
    <row r="534" ht="15.75" customHeight="1">
      <c r="H534" s="240"/>
    </row>
    <row r="535" ht="15.75" customHeight="1">
      <c r="H535" s="240"/>
    </row>
    <row r="536" ht="15.75" customHeight="1">
      <c r="H536" s="240"/>
    </row>
    <row r="537" ht="15.75" customHeight="1">
      <c r="H537" s="240"/>
    </row>
    <row r="538" ht="15.75" customHeight="1">
      <c r="H538" s="240"/>
    </row>
    <row r="539" ht="15.75" customHeight="1">
      <c r="H539" s="240"/>
    </row>
    <row r="540" ht="15.75" customHeight="1">
      <c r="H540" s="240"/>
    </row>
    <row r="541" ht="15.75" customHeight="1">
      <c r="H541" s="240"/>
    </row>
    <row r="542" ht="15.75" customHeight="1">
      <c r="H542" s="240"/>
    </row>
    <row r="543" ht="15.75" customHeight="1">
      <c r="H543" s="240"/>
    </row>
    <row r="544" ht="15.75" customHeight="1">
      <c r="H544" s="240"/>
    </row>
    <row r="545" ht="15.75" customHeight="1">
      <c r="H545" s="240"/>
    </row>
    <row r="546" ht="15.75" customHeight="1">
      <c r="H546" s="240"/>
    </row>
    <row r="547" ht="15.75" customHeight="1">
      <c r="H547" s="240"/>
    </row>
    <row r="548" ht="15.75" customHeight="1">
      <c r="H548" s="240"/>
    </row>
    <row r="549" ht="15.75" customHeight="1">
      <c r="H549" s="240"/>
    </row>
    <row r="550" ht="15.75" customHeight="1">
      <c r="H550" s="240"/>
    </row>
    <row r="551" ht="15.75" customHeight="1">
      <c r="H551" s="240"/>
    </row>
    <row r="552" ht="15.75" customHeight="1">
      <c r="H552" s="240"/>
    </row>
    <row r="553" ht="15.75" customHeight="1">
      <c r="H553" s="240"/>
    </row>
    <row r="554" ht="15.75" customHeight="1">
      <c r="H554" s="240"/>
    </row>
    <row r="555" ht="15.75" customHeight="1">
      <c r="H555" s="240"/>
    </row>
    <row r="556" ht="15.75" customHeight="1">
      <c r="H556" s="240"/>
    </row>
    <row r="557" ht="15.75" customHeight="1">
      <c r="H557" s="240"/>
    </row>
    <row r="558" ht="15.75" customHeight="1">
      <c r="H558" s="240"/>
    </row>
    <row r="559" ht="15.75" customHeight="1">
      <c r="H559" s="240"/>
    </row>
    <row r="560" ht="15.75" customHeight="1">
      <c r="H560" s="240"/>
    </row>
    <row r="561" ht="15.75" customHeight="1">
      <c r="H561" s="240"/>
    </row>
    <row r="562" ht="15.75" customHeight="1">
      <c r="H562" s="240"/>
    </row>
    <row r="563" ht="15.75" customHeight="1">
      <c r="H563" s="240"/>
    </row>
    <row r="564" ht="15.75" customHeight="1">
      <c r="H564" s="240"/>
    </row>
    <row r="565" ht="15.75" customHeight="1">
      <c r="H565" s="240"/>
    </row>
    <row r="566" ht="15.75" customHeight="1">
      <c r="H566" s="240"/>
    </row>
    <row r="567" ht="15.75" customHeight="1">
      <c r="H567" s="240"/>
    </row>
    <row r="568" ht="15.75" customHeight="1">
      <c r="H568" s="240"/>
    </row>
    <row r="569" ht="15.75" customHeight="1">
      <c r="H569" s="240"/>
    </row>
    <row r="570" ht="15.75" customHeight="1">
      <c r="H570" s="240"/>
    </row>
    <row r="571" ht="15.75" customHeight="1">
      <c r="H571" s="240"/>
    </row>
    <row r="572" ht="15.75" customHeight="1">
      <c r="H572" s="240"/>
    </row>
    <row r="573" ht="15.75" customHeight="1">
      <c r="H573" s="240"/>
    </row>
    <row r="574" ht="15.75" customHeight="1">
      <c r="H574" s="240"/>
    </row>
    <row r="575" ht="15.75" customHeight="1">
      <c r="H575" s="240"/>
    </row>
    <row r="576" ht="15.75" customHeight="1">
      <c r="H576" s="240"/>
    </row>
    <row r="577" ht="15.75" customHeight="1">
      <c r="H577" s="240"/>
    </row>
    <row r="578" ht="15.75" customHeight="1">
      <c r="H578" s="240"/>
    </row>
    <row r="579" ht="15.75" customHeight="1">
      <c r="H579" s="240"/>
    </row>
    <row r="580" ht="15.75" customHeight="1">
      <c r="H580" s="240"/>
    </row>
    <row r="581" ht="15.75" customHeight="1">
      <c r="H581" s="240"/>
    </row>
    <row r="582" ht="15.75" customHeight="1">
      <c r="H582" s="240"/>
    </row>
    <row r="583" ht="15.75" customHeight="1">
      <c r="H583" s="240"/>
    </row>
    <row r="584" ht="15.75" customHeight="1">
      <c r="H584" s="240"/>
    </row>
    <row r="585" ht="15.75" customHeight="1">
      <c r="H585" s="240"/>
    </row>
    <row r="586" ht="15.75" customHeight="1">
      <c r="H586" s="240"/>
    </row>
    <row r="587" ht="15.75" customHeight="1">
      <c r="H587" s="240"/>
    </row>
    <row r="588" ht="15.75" customHeight="1">
      <c r="H588" s="240"/>
    </row>
    <row r="589" ht="15.75" customHeight="1">
      <c r="H589" s="240"/>
    </row>
    <row r="590" ht="15.75" customHeight="1">
      <c r="H590" s="240"/>
    </row>
    <row r="591" ht="15.75" customHeight="1">
      <c r="H591" s="240"/>
    </row>
    <row r="592" ht="15.75" customHeight="1">
      <c r="H592" s="240"/>
    </row>
    <row r="593" ht="15.75" customHeight="1">
      <c r="H593" s="240"/>
    </row>
    <row r="594" ht="15.75" customHeight="1">
      <c r="H594" s="240"/>
    </row>
    <row r="595" ht="15.75" customHeight="1">
      <c r="H595" s="240"/>
    </row>
    <row r="596" ht="15.75" customHeight="1">
      <c r="H596" s="240"/>
    </row>
    <row r="597" ht="15.75" customHeight="1">
      <c r="H597" s="240"/>
    </row>
    <row r="598" ht="15.75" customHeight="1">
      <c r="H598" s="240"/>
    </row>
    <row r="599" ht="15.75" customHeight="1">
      <c r="H599" s="240"/>
    </row>
    <row r="600" ht="15.75" customHeight="1">
      <c r="H600" s="240"/>
    </row>
    <row r="601" ht="15.75" customHeight="1">
      <c r="H601" s="240"/>
    </row>
    <row r="602" ht="15.75" customHeight="1">
      <c r="H602" s="240"/>
    </row>
    <row r="603" ht="15.75" customHeight="1">
      <c r="H603" s="240"/>
    </row>
    <row r="604" ht="15.75" customHeight="1">
      <c r="H604" s="240"/>
    </row>
    <row r="605" ht="15.75" customHeight="1">
      <c r="H605" s="240"/>
    </row>
    <row r="606" ht="15.75" customHeight="1">
      <c r="H606" s="240"/>
    </row>
    <row r="607" ht="15.75" customHeight="1">
      <c r="H607" s="240"/>
    </row>
    <row r="608" ht="15.75" customHeight="1">
      <c r="H608" s="240"/>
    </row>
    <row r="609" ht="15.75" customHeight="1">
      <c r="H609" s="240"/>
    </row>
    <row r="610" ht="15.75" customHeight="1">
      <c r="H610" s="240"/>
    </row>
    <row r="611" ht="15.75" customHeight="1">
      <c r="H611" s="240"/>
    </row>
    <row r="612" ht="15.75" customHeight="1">
      <c r="H612" s="240"/>
    </row>
    <row r="613" ht="15.75" customHeight="1">
      <c r="H613" s="240"/>
    </row>
    <row r="614" ht="15.75" customHeight="1">
      <c r="H614" s="240"/>
    </row>
    <row r="615" ht="15.75" customHeight="1">
      <c r="H615" s="240"/>
    </row>
    <row r="616" ht="15.75" customHeight="1">
      <c r="H616" s="240"/>
    </row>
    <row r="617" ht="15.75" customHeight="1">
      <c r="H617" s="240"/>
    </row>
    <row r="618" ht="15.75" customHeight="1">
      <c r="H618" s="240"/>
    </row>
    <row r="619" ht="15.75" customHeight="1">
      <c r="H619" s="240"/>
    </row>
    <row r="620" ht="15.75" customHeight="1">
      <c r="H620" s="240"/>
    </row>
    <row r="621" ht="15.75" customHeight="1">
      <c r="H621" s="240"/>
    </row>
    <row r="622" ht="15.75" customHeight="1">
      <c r="H622" s="240"/>
    </row>
    <row r="623" ht="15.75" customHeight="1">
      <c r="H623" s="240"/>
    </row>
    <row r="624" ht="15.75" customHeight="1">
      <c r="H624" s="240"/>
    </row>
    <row r="625" ht="15.75" customHeight="1">
      <c r="H625" s="240"/>
    </row>
    <row r="626" ht="15.75" customHeight="1">
      <c r="H626" s="240"/>
    </row>
    <row r="627" ht="15.75" customHeight="1">
      <c r="H627" s="240"/>
    </row>
    <row r="628" ht="15.75" customHeight="1">
      <c r="H628" s="240"/>
    </row>
    <row r="629" ht="15.75" customHeight="1">
      <c r="H629" s="240"/>
    </row>
    <row r="630" ht="15.75" customHeight="1">
      <c r="H630" s="240"/>
    </row>
    <row r="631" ht="15.75" customHeight="1">
      <c r="H631" s="240"/>
    </row>
    <row r="632" ht="15.75" customHeight="1">
      <c r="H632" s="240"/>
    </row>
    <row r="633" ht="15.75" customHeight="1">
      <c r="H633" s="240"/>
    </row>
    <row r="634" ht="15.75" customHeight="1">
      <c r="H634" s="240"/>
    </row>
    <row r="635" ht="15.75" customHeight="1">
      <c r="H635" s="240"/>
    </row>
    <row r="636" ht="15.75" customHeight="1">
      <c r="H636" s="240"/>
    </row>
    <row r="637" ht="15.75" customHeight="1">
      <c r="H637" s="240"/>
    </row>
    <row r="638" ht="15.75" customHeight="1">
      <c r="H638" s="240"/>
    </row>
    <row r="639" ht="15.75" customHeight="1">
      <c r="H639" s="240"/>
    </row>
    <row r="640" ht="15.75" customHeight="1">
      <c r="H640" s="240"/>
    </row>
    <row r="641" ht="15.75" customHeight="1">
      <c r="H641" s="240"/>
    </row>
    <row r="642" ht="15.75" customHeight="1">
      <c r="H642" s="240"/>
    </row>
    <row r="643" ht="15.75" customHeight="1">
      <c r="H643" s="240"/>
    </row>
    <row r="644" ht="15.75" customHeight="1">
      <c r="H644" s="240"/>
    </row>
    <row r="645" ht="15.75" customHeight="1">
      <c r="H645" s="240"/>
    </row>
    <row r="646" ht="15.75" customHeight="1">
      <c r="H646" s="240"/>
    </row>
    <row r="647" ht="15.75" customHeight="1">
      <c r="H647" s="240"/>
    </row>
    <row r="648" ht="15.75" customHeight="1">
      <c r="H648" s="240"/>
    </row>
    <row r="649" ht="15.75" customHeight="1">
      <c r="H649" s="240"/>
    </row>
    <row r="650" ht="15.75" customHeight="1">
      <c r="H650" s="240"/>
    </row>
    <row r="651" ht="15.75" customHeight="1">
      <c r="H651" s="240"/>
    </row>
    <row r="652" ht="15.75" customHeight="1">
      <c r="H652" s="240"/>
    </row>
    <row r="653" ht="15.75" customHeight="1">
      <c r="H653" s="240"/>
    </row>
    <row r="654" ht="15.75" customHeight="1">
      <c r="H654" s="240"/>
    </row>
    <row r="655" ht="15.75" customHeight="1">
      <c r="H655" s="240"/>
    </row>
    <row r="656" ht="15.75" customHeight="1">
      <c r="H656" s="240"/>
    </row>
    <row r="657" ht="15.75" customHeight="1">
      <c r="H657" s="240"/>
    </row>
    <row r="658" ht="15.75" customHeight="1">
      <c r="H658" s="240"/>
    </row>
    <row r="659" ht="15.75" customHeight="1">
      <c r="H659" s="240"/>
    </row>
    <row r="660" ht="15.75" customHeight="1">
      <c r="H660" s="240"/>
    </row>
    <row r="661" ht="15.75" customHeight="1">
      <c r="H661" s="240"/>
    </row>
    <row r="662" ht="15.75" customHeight="1">
      <c r="H662" s="240"/>
    </row>
    <row r="663" ht="15.75" customHeight="1">
      <c r="H663" s="240"/>
    </row>
    <row r="664" ht="15.75" customHeight="1">
      <c r="H664" s="240"/>
    </row>
    <row r="665" ht="15.75" customHeight="1">
      <c r="H665" s="240"/>
    </row>
    <row r="666" ht="15.75" customHeight="1">
      <c r="H666" s="240"/>
    </row>
    <row r="667" ht="15.75" customHeight="1">
      <c r="H667" s="240"/>
    </row>
    <row r="668" ht="15.75" customHeight="1">
      <c r="H668" s="240"/>
    </row>
    <row r="669" ht="15.75" customHeight="1">
      <c r="H669" s="240"/>
    </row>
    <row r="670" ht="15.75" customHeight="1">
      <c r="H670" s="240"/>
    </row>
    <row r="671" ht="15.75" customHeight="1">
      <c r="H671" s="240"/>
    </row>
    <row r="672" ht="15.75" customHeight="1">
      <c r="H672" s="240"/>
    </row>
    <row r="673" ht="15.75" customHeight="1">
      <c r="H673" s="240"/>
    </row>
    <row r="674" ht="15.75" customHeight="1">
      <c r="H674" s="240"/>
    </row>
    <row r="675" ht="15.75" customHeight="1">
      <c r="H675" s="240"/>
    </row>
    <row r="676" ht="15.75" customHeight="1">
      <c r="H676" s="240"/>
    </row>
    <row r="677" ht="15.75" customHeight="1">
      <c r="H677" s="240"/>
    </row>
    <row r="678" ht="15.75" customHeight="1">
      <c r="H678" s="240"/>
    </row>
    <row r="679" ht="15.75" customHeight="1">
      <c r="H679" s="240"/>
    </row>
    <row r="680" ht="15.75" customHeight="1">
      <c r="H680" s="240"/>
    </row>
    <row r="681" ht="15.75" customHeight="1">
      <c r="H681" s="240"/>
    </row>
    <row r="682" ht="15.75" customHeight="1">
      <c r="H682" s="240"/>
    </row>
    <row r="683" ht="15.75" customHeight="1">
      <c r="H683" s="240"/>
    </row>
    <row r="684" ht="15.75" customHeight="1">
      <c r="H684" s="240"/>
    </row>
    <row r="685" ht="15.75" customHeight="1">
      <c r="H685" s="240"/>
    </row>
    <row r="686" ht="15.75" customHeight="1">
      <c r="H686" s="240"/>
    </row>
    <row r="687" ht="15.75" customHeight="1">
      <c r="H687" s="240"/>
    </row>
    <row r="688" ht="15.75" customHeight="1">
      <c r="H688" s="240"/>
    </row>
    <row r="689" ht="15.75" customHeight="1">
      <c r="H689" s="240"/>
    </row>
    <row r="690" ht="15.75" customHeight="1">
      <c r="H690" s="240"/>
    </row>
    <row r="691" ht="15.75" customHeight="1">
      <c r="H691" s="240"/>
    </row>
    <row r="692" ht="15.75" customHeight="1">
      <c r="H692" s="240"/>
    </row>
    <row r="693" ht="15.75" customHeight="1">
      <c r="H693" s="240"/>
    </row>
    <row r="694" ht="15.75" customHeight="1">
      <c r="H694" s="240"/>
    </row>
    <row r="695" ht="15.75" customHeight="1">
      <c r="H695" s="240"/>
    </row>
    <row r="696" ht="15.75" customHeight="1">
      <c r="H696" s="240"/>
    </row>
    <row r="697" ht="15.75" customHeight="1">
      <c r="H697" s="240"/>
    </row>
    <row r="698" ht="15.75" customHeight="1">
      <c r="H698" s="240"/>
    </row>
    <row r="699" ht="15.75" customHeight="1">
      <c r="H699" s="240"/>
    </row>
    <row r="700" ht="15.75" customHeight="1">
      <c r="H700" s="240"/>
    </row>
    <row r="701" ht="15.75" customHeight="1">
      <c r="H701" s="240"/>
    </row>
    <row r="702" ht="15.75" customHeight="1">
      <c r="H702" s="240"/>
    </row>
    <row r="703" ht="15.75" customHeight="1">
      <c r="H703" s="240"/>
    </row>
    <row r="704" ht="15.75" customHeight="1">
      <c r="H704" s="240"/>
    </row>
    <row r="705" ht="15.75" customHeight="1">
      <c r="H705" s="240"/>
    </row>
    <row r="706" ht="15.75" customHeight="1">
      <c r="H706" s="240"/>
    </row>
    <row r="707" ht="15.75" customHeight="1">
      <c r="H707" s="240"/>
    </row>
    <row r="708" ht="15.75" customHeight="1">
      <c r="H708" s="240"/>
    </row>
    <row r="709" ht="15.75" customHeight="1">
      <c r="H709" s="240"/>
    </row>
    <row r="710" ht="15.75" customHeight="1">
      <c r="H710" s="240"/>
    </row>
    <row r="711" ht="15.75" customHeight="1">
      <c r="H711" s="240"/>
    </row>
    <row r="712" ht="15.75" customHeight="1">
      <c r="H712" s="240"/>
    </row>
    <row r="713" ht="15.75" customHeight="1">
      <c r="H713" s="240"/>
    </row>
    <row r="714" ht="15.75" customHeight="1">
      <c r="H714" s="240"/>
    </row>
    <row r="715" ht="15.75" customHeight="1">
      <c r="H715" s="240"/>
    </row>
    <row r="716" ht="15.75" customHeight="1">
      <c r="H716" s="240"/>
    </row>
    <row r="717" ht="15.75" customHeight="1">
      <c r="H717" s="240"/>
    </row>
    <row r="718" ht="15.75" customHeight="1">
      <c r="H718" s="240"/>
    </row>
    <row r="719" ht="15.75" customHeight="1">
      <c r="H719" s="240"/>
    </row>
    <row r="720" ht="15.75" customHeight="1">
      <c r="H720" s="240"/>
    </row>
    <row r="721" ht="15.75" customHeight="1">
      <c r="H721" s="240"/>
    </row>
    <row r="722" ht="15.75" customHeight="1">
      <c r="H722" s="240"/>
    </row>
    <row r="723" ht="15.75" customHeight="1">
      <c r="H723" s="240"/>
    </row>
    <row r="724" ht="15.75" customHeight="1">
      <c r="H724" s="240"/>
    </row>
    <row r="725" ht="15.75" customHeight="1">
      <c r="H725" s="240"/>
    </row>
    <row r="726" ht="15.75" customHeight="1">
      <c r="H726" s="240"/>
    </row>
    <row r="727" ht="15.75" customHeight="1">
      <c r="H727" s="240"/>
    </row>
    <row r="728" ht="15.75" customHeight="1">
      <c r="H728" s="240"/>
    </row>
    <row r="729" ht="15.75" customHeight="1">
      <c r="H729" s="240"/>
    </row>
    <row r="730" ht="15.75" customHeight="1">
      <c r="H730" s="240"/>
    </row>
    <row r="731" ht="15.75" customHeight="1">
      <c r="H731" s="240"/>
    </row>
    <row r="732" ht="15.75" customHeight="1">
      <c r="H732" s="240"/>
    </row>
    <row r="733" ht="15.75" customHeight="1">
      <c r="H733" s="240"/>
    </row>
    <row r="734" ht="15.75" customHeight="1">
      <c r="H734" s="240"/>
    </row>
    <row r="735" ht="15.75" customHeight="1">
      <c r="H735" s="240"/>
    </row>
    <row r="736" ht="15.75" customHeight="1">
      <c r="H736" s="240"/>
    </row>
    <row r="737" ht="15.75" customHeight="1">
      <c r="H737" s="240"/>
    </row>
    <row r="738" ht="15.75" customHeight="1">
      <c r="H738" s="240"/>
    </row>
    <row r="739" ht="15.75" customHeight="1">
      <c r="H739" s="240"/>
    </row>
    <row r="740" ht="15.75" customHeight="1">
      <c r="H740" s="240"/>
    </row>
    <row r="741" ht="15.75" customHeight="1">
      <c r="H741" s="240"/>
    </row>
    <row r="742" ht="15.75" customHeight="1">
      <c r="H742" s="240"/>
    </row>
    <row r="743" ht="15.75" customHeight="1">
      <c r="H743" s="240"/>
    </row>
    <row r="744" ht="15.75" customHeight="1">
      <c r="H744" s="240"/>
    </row>
    <row r="745" ht="15.75" customHeight="1">
      <c r="H745" s="240"/>
    </row>
    <row r="746" ht="15.75" customHeight="1">
      <c r="H746" s="240"/>
    </row>
    <row r="747" ht="15.75" customHeight="1">
      <c r="H747" s="240"/>
    </row>
    <row r="748" ht="15.75" customHeight="1">
      <c r="H748" s="240"/>
    </row>
    <row r="749" ht="15.75" customHeight="1">
      <c r="H749" s="240"/>
    </row>
    <row r="750" ht="15.75" customHeight="1">
      <c r="H750" s="240"/>
    </row>
    <row r="751" ht="15.75" customHeight="1">
      <c r="H751" s="240"/>
    </row>
    <row r="752" ht="15.75" customHeight="1">
      <c r="H752" s="240"/>
    </row>
    <row r="753" ht="15.75" customHeight="1">
      <c r="H753" s="240"/>
    </row>
    <row r="754" ht="15.75" customHeight="1">
      <c r="H754" s="240"/>
    </row>
    <row r="755" ht="15.75" customHeight="1">
      <c r="H755" s="240"/>
    </row>
    <row r="756" ht="15.75" customHeight="1">
      <c r="H756" s="240"/>
    </row>
    <row r="757" ht="15.75" customHeight="1">
      <c r="H757" s="240"/>
    </row>
    <row r="758" ht="15.75" customHeight="1">
      <c r="H758" s="240"/>
    </row>
    <row r="759" ht="15.75" customHeight="1">
      <c r="H759" s="240"/>
    </row>
    <row r="760" ht="15.75" customHeight="1">
      <c r="H760" s="240"/>
    </row>
    <row r="761" ht="15.75" customHeight="1">
      <c r="H761" s="240"/>
    </row>
    <row r="762" ht="15.75" customHeight="1">
      <c r="H762" s="240"/>
    </row>
    <row r="763" ht="15.75" customHeight="1">
      <c r="H763" s="240"/>
    </row>
    <row r="764" ht="15.75" customHeight="1">
      <c r="H764" s="240"/>
    </row>
    <row r="765" ht="15.75" customHeight="1">
      <c r="H765" s="240"/>
    </row>
    <row r="766" ht="15.75" customHeight="1">
      <c r="H766" s="240"/>
    </row>
    <row r="767" ht="15.75" customHeight="1">
      <c r="H767" s="240"/>
    </row>
    <row r="768" ht="15.75" customHeight="1">
      <c r="H768" s="240"/>
    </row>
    <row r="769" ht="15.75" customHeight="1">
      <c r="H769" s="240"/>
    </row>
    <row r="770" ht="15.75" customHeight="1">
      <c r="H770" s="240"/>
    </row>
    <row r="771" ht="15.75" customHeight="1">
      <c r="H771" s="240"/>
    </row>
    <row r="772" ht="15.75" customHeight="1">
      <c r="H772" s="240"/>
    </row>
    <row r="773" ht="15.75" customHeight="1">
      <c r="H773" s="240"/>
    </row>
    <row r="774" ht="15.75" customHeight="1">
      <c r="H774" s="240"/>
    </row>
    <row r="775" ht="15.75" customHeight="1">
      <c r="H775" s="240"/>
    </row>
    <row r="776" ht="15.75" customHeight="1">
      <c r="H776" s="240"/>
    </row>
    <row r="777" ht="15.75" customHeight="1">
      <c r="H777" s="240"/>
    </row>
    <row r="778" ht="15.75" customHeight="1">
      <c r="H778" s="240"/>
    </row>
    <row r="779" ht="15.75" customHeight="1">
      <c r="H779" s="240"/>
    </row>
    <row r="780" ht="15.75" customHeight="1">
      <c r="H780" s="240"/>
    </row>
    <row r="781" ht="15.75" customHeight="1">
      <c r="H781" s="240"/>
    </row>
    <row r="782" ht="15.75" customHeight="1">
      <c r="H782" s="240"/>
    </row>
    <row r="783" ht="15.75" customHeight="1">
      <c r="H783" s="240"/>
    </row>
    <row r="784" ht="15.75" customHeight="1">
      <c r="H784" s="240"/>
    </row>
    <row r="785" ht="15.75" customHeight="1">
      <c r="H785" s="240"/>
    </row>
    <row r="786" ht="15.75" customHeight="1">
      <c r="H786" s="240"/>
    </row>
    <row r="787" ht="15.75" customHeight="1">
      <c r="H787" s="240"/>
    </row>
    <row r="788" ht="15.75" customHeight="1">
      <c r="H788" s="240"/>
    </row>
    <row r="789" ht="15.75" customHeight="1">
      <c r="H789" s="240"/>
    </row>
    <row r="790" ht="15.75" customHeight="1">
      <c r="H790" s="240"/>
    </row>
    <row r="791" ht="15.75" customHeight="1">
      <c r="H791" s="240"/>
    </row>
    <row r="792" ht="15.75" customHeight="1">
      <c r="H792" s="240"/>
    </row>
    <row r="793" ht="15.75" customHeight="1">
      <c r="H793" s="240"/>
    </row>
    <row r="794" ht="15.75" customHeight="1">
      <c r="H794" s="240"/>
    </row>
    <row r="795" ht="15.75" customHeight="1">
      <c r="H795" s="240"/>
    </row>
    <row r="796" ht="15.75" customHeight="1">
      <c r="H796" s="240"/>
    </row>
    <row r="797" ht="15.75" customHeight="1">
      <c r="H797" s="240"/>
    </row>
    <row r="798" ht="15.75" customHeight="1">
      <c r="H798" s="240"/>
    </row>
    <row r="799" ht="15.75" customHeight="1">
      <c r="H799" s="240"/>
    </row>
    <row r="800" ht="15.75" customHeight="1">
      <c r="H800" s="240"/>
    </row>
    <row r="801" ht="15.75" customHeight="1">
      <c r="H801" s="240"/>
    </row>
    <row r="802" ht="15.75" customHeight="1">
      <c r="H802" s="240"/>
    </row>
    <row r="803" ht="15.75" customHeight="1">
      <c r="H803" s="240"/>
    </row>
    <row r="804" ht="15.75" customHeight="1">
      <c r="H804" s="240"/>
    </row>
    <row r="805" ht="15.75" customHeight="1">
      <c r="H805" s="240"/>
    </row>
    <row r="806" ht="15.75" customHeight="1">
      <c r="H806" s="240"/>
    </row>
    <row r="807" ht="15.75" customHeight="1">
      <c r="H807" s="240"/>
    </row>
    <row r="808" ht="15.75" customHeight="1">
      <c r="H808" s="240"/>
    </row>
    <row r="809" ht="15.75" customHeight="1">
      <c r="H809" s="240"/>
    </row>
    <row r="810" ht="15.75" customHeight="1">
      <c r="H810" s="240"/>
    </row>
    <row r="811" ht="15.75" customHeight="1">
      <c r="H811" s="240"/>
    </row>
    <row r="812" ht="15.75" customHeight="1">
      <c r="H812" s="240"/>
    </row>
    <row r="813" ht="15.75" customHeight="1">
      <c r="H813" s="240"/>
    </row>
    <row r="814" ht="15.75" customHeight="1">
      <c r="H814" s="240"/>
    </row>
    <row r="815" ht="15.75" customHeight="1">
      <c r="H815" s="240"/>
    </row>
    <row r="816" ht="15.75" customHeight="1">
      <c r="H816" s="240"/>
    </row>
    <row r="817" ht="15.75" customHeight="1">
      <c r="H817" s="240"/>
    </row>
    <row r="818" ht="15.75" customHeight="1">
      <c r="H818" s="240"/>
    </row>
    <row r="819" ht="15.75" customHeight="1">
      <c r="H819" s="240"/>
    </row>
    <row r="820" ht="15.75" customHeight="1">
      <c r="H820" s="240"/>
    </row>
    <row r="821" ht="15.75" customHeight="1">
      <c r="H821" s="240"/>
    </row>
    <row r="822" ht="15.75" customHeight="1">
      <c r="H822" s="240"/>
    </row>
    <row r="823" ht="15.75" customHeight="1">
      <c r="H823" s="240"/>
    </row>
    <row r="824" ht="15.75" customHeight="1">
      <c r="H824" s="240"/>
    </row>
    <row r="825" ht="15.75" customHeight="1">
      <c r="H825" s="240"/>
    </row>
    <row r="826" ht="15.75" customHeight="1">
      <c r="H826" s="240"/>
    </row>
    <row r="827" ht="15.75" customHeight="1">
      <c r="H827" s="240"/>
    </row>
    <row r="828" ht="15.75" customHeight="1">
      <c r="H828" s="240"/>
    </row>
    <row r="829" ht="15.75" customHeight="1">
      <c r="H829" s="240"/>
    </row>
    <row r="830" ht="15.75" customHeight="1">
      <c r="H830" s="240"/>
    </row>
    <row r="831" ht="15.75" customHeight="1">
      <c r="H831" s="240"/>
    </row>
    <row r="832" ht="15.75" customHeight="1">
      <c r="H832" s="240"/>
    </row>
    <row r="833" ht="15.75" customHeight="1">
      <c r="H833" s="240"/>
    </row>
    <row r="834" ht="15.75" customHeight="1">
      <c r="H834" s="240"/>
    </row>
    <row r="835" ht="15.75" customHeight="1">
      <c r="H835" s="240"/>
    </row>
    <row r="836" ht="15.75" customHeight="1">
      <c r="H836" s="240"/>
    </row>
    <row r="837" ht="15.75" customHeight="1">
      <c r="H837" s="240"/>
    </row>
    <row r="838" ht="15.75" customHeight="1">
      <c r="H838" s="240"/>
    </row>
    <row r="839" ht="15.75" customHeight="1">
      <c r="H839" s="240"/>
    </row>
    <row r="840" ht="15.75" customHeight="1">
      <c r="H840" s="240"/>
    </row>
    <row r="841" ht="15.75" customHeight="1">
      <c r="H841" s="240"/>
    </row>
    <row r="842" ht="15.75" customHeight="1">
      <c r="H842" s="240"/>
    </row>
    <row r="843" ht="15.75" customHeight="1">
      <c r="H843" s="240"/>
    </row>
    <row r="844" ht="15.75" customHeight="1">
      <c r="H844" s="240"/>
    </row>
    <row r="845" ht="15.75" customHeight="1">
      <c r="H845" s="240"/>
    </row>
    <row r="846" ht="15.75" customHeight="1">
      <c r="H846" s="240"/>
    </row>
    <row r="847" ht="15.75" customHeight="1">
      <c r="H847" s="240"/>
    </row>
    <row r="848" ht="15.75" customHeight="1">
      <c r="H848" s="240"/>
    </row>
    <row r="849" ht="15.75" customHeight="1">
      <c r="H849" s="240"/>
    </row>
    <row r="850" ht="15.75" customHeight="1">
      <c r="H850" s="240"/>
    </row>
    <row r="851" ht="15.75" customHeight="1">
      <c r="H851" s="240"/>
    </row>
    <row r="852" ht="15.75" customHeight="1">
      <c r="H852" s="240"/>
    </row>
    <row r="853" ht="15.75" customHeight="1">
      <c r="H853" s="240"/>
    </row>
    <row r="854" ht="15.75" customHeight="1">
      <c r="H854" s="240"/>
    </row>
    <row r="855" ht="15.75" customHeight="1">
      <c r="H855" s="240"/>
    </row>
    <row r="856" ht="15.75" customHeight="1">
      <c r="H856" s="240"/>
    </row>
    <row r="857" ht="15.75" customHeight="1">
      <c r="H857" s="240"/>
    </row>
    <row r="858" ht="15.75" customHeight="1">
      <c r="H858" s="240"/>
    </row>
    <row r="859" ht="15.75" customHeight="1">
      <c r="H859" s="240"/>
    </row>
    <row r="860" ht="15.75" customHeight="1">
      <c r="H860" s="240"/>
    </row>
    <row r="861" ht="15.75" customHeight="1">
      <c r="H861" s="240"/>
    </row>
    <row r="862" ht="15.75" customHeight="1">
      <c r="H862" s="240"/>
    </row>
    <row r="863" ht="15.75" customHeight="1">
      <c r="H863" s="240"/>
    </row>
    <row r="864" ht="15.75" customHeight="1">
      <c r="H864" s="240"/>
    </row>
    <row r="865" ht="15.75" customHeight="1">
      <c r="H865" s="240"/>
    </row>
    <row r="866" ht="15.75" customHeight="1">
      <c r="H866" s="240"/>
    </row>
    <row r="867" ht="15.75" customHeight="1">
      <c r="H867" s="240"/>
    </row>
    <row r="868" ht="15.75" customHeight="1">
      <c r="H868" s="240"/>
    </row>
    <row r="869" ht="15.75" customHeight="1">
      <c r="H869" s="240"/>
    </row>
    <row r="870" ht="15.75" customHeight="1">
      <c r="H870" s="240"/>
    </row>
    <row r="871" ht="15.75" customHeight="1">
      <c r="H871" s="240"/>
    </row>
    <row r="872" ht="15.75" customHeight="1">
      <c r="H872" s="240"/>
    </row>
    <row r="873" ht="15.75" customHeight="1">
      <c r="H873" s="240"/>
    </row>
    <row r="874" ht="15.75" customHeight="1">
      <c r="H874" s="240"/>
    </row>
    <row r="875" ht="15.75" customHeight="1">
      <c r="H875" s="240"/>
    </row>
    <row r="876" ht="15.75" customHeight="1">
      <c r="H876" s="240"/>
    </row>
    <row r="877" ht="15.75" customHeight="1">
      <c r="H877" s="240"/>
    </row>
    <row r="878" ht="15.75" customHeight="1">
      <c r="H878" s="240"/>
    </row>
    <row r="879" ht="15.75" customHeight="1">
      <c r="H879" s="240"/>
    </row>
    <row r="880" ht="15.75" customHeight="1">
      <c r="H880" s="240"/>
    </row>
    <row r="881" ht="15.75" customHeight="1">
      <c r="H881" s="240"/>
    </row>
    <row r="882" ht="15.75" customHeight="1">
      <c r="H882" s="240"/>
    </row>
    <row r="883" ht="15.75" customHeight="1">
      <c r="H883" s="240"/>
    </row>
    <row r="884" ht="15.75" customHeight="1">
      <c r="H884" s="240"/>
    </row>
    <row r="885" ht="15.75" customHeight="1">
      <c r="H885" s="240"/>
    </row>
    <row r="886" ht="15.75" customHeight="1">
      <c r="H886" s="240"/>
    </row>
    <row r="887" ht="15.75" customHeight="1">
      <c r="H887" s="240"/>
    </row>
    <row r="888" ht="15.75" customHeight="1">
      <c r="H888" s="240"/>
    </row>
    <row r="889" ht="15.75" customHeight="1">
      <c r="H889" s="240"/>
    </row>
    <row r="890" ht="15.75" customHeight="1">
      <c r="H890" s="240"/>
    </row>
    <row r="891" ht="15.75" customHeight="1">
      <c r="H891" s="240"/>
    </row>
    <row r="892" ht="15.75" customHeight="1">
      <c r="H892" s="240"/>
    </row>
    <row r="893" ht="15.75" customHeight="1">
      <c r="H893" s="240"/>
    </row>
    <row r="894" ht="15.75" customHeight="1">
      <c r="H894" s="240"/>
    </row>
    <row r="895" ht="15.75" customHeight="1">
      <c r="H895" s="240"/>
    </row>
    <row r="896" ht="15.75" customHeight="1">
      <c r="H896" s="240"/>
    </row>
    <row r="897" ht="15.75" customHeight="1">
      <c r="H897" s="240"/>
    </row>
    <row r="898" ht="15.75" customHeight="1">
      <c r="H898" s="240"/>
    </row>
    <row r="899" ht="15.75" customHeight="1">
      <c r="H899" s="240"/>
    </row>
    <row r="900" ht="15.75" customHeight="1">
      <c r="H900" s="240"/>
    </row>
    <row r="901" ht="15.75" customHeight="1">
      <c r="H901" s="240"/>
    </row>
    <row r="902" ht="15.75" customHeight="1">
      <c r="H902" s="240"/>
    </row>
    <row r="903" ht="15.75" customHeight="1">
      <c r="H903" s="240"/>
    </row>
    <row r="904" ht="15.75" customHeight="1">
      <c r="H904" s="240"/>
    </row>
    <row r="905" ht="15.75" customHeight="1">
      <c r="H905" s="240"/>
    </row>
    <row r="906" ht="15.75" customHeight="1">
      <c r="H906" s="240"/>
    </row>
    <row r="907" ht="15.75" customHeight="1">
      <c r="H907" s="240"/>
    </row>
    <row r="908" ht="15.75" customHeight="1">
      <c r="H908" s="240"/>
    </row>
    <row r="909" ht="15.75" customHeight="1">
      <c r="H909" s="240"/>
    </row>
    <row r="910" ht="15.75" customHeight="1">
      <c r="H910" s="240"/>
    </row>
    <row r="911" ht="15.75" customHeight="1">
      <c r="H911" s="240"/>
    </row>
    <row r="912" ht="15.75" customHeight="1">
      <c r="H912" s="240"/>
    </row>
    <row r="913" ht="15.75" customHeight="1">
      <c r="H913" s="240"/>
    </row>
    <row r="914" ht="15.75" customHeight="1">
      <c r="H914" s="240"/>
    </row>
    <row r="915" ht="15.75" customHeight="1">
      <c r="H915" s="240"/>
    </row>
    <row r="916" ht="15.75" customHeight="1">
      <c r="H916" s="240"/>
    </row>
    <row r="917" ht="15.75" customHeight="1">
      <c r="H917" s="240"/>
    </row>
    <row r="918" ht="15.75" customHeight="1">
      <c r="H918" s="240"/>
    </row>
    <row r="919" ht="15.75" customHeight="1">
      <c r="H919" s="240"/>
    </row>
    <row r="920" ht="15.75" customHeight="1">
      <c r="H920" s="240"/>
    </row>
    <row r="921" ht="15.75" customHeight="1">
      <c r="H921" s="240"/>
    </row>
    <row r="922" ht="15.75" customHeight="1">
      <c r="H922" s="240"/>
    </row>
    <row r="923" ht="15.75" customHeight="1">
      <c r="H923" s="240"/>
    </row>
    <row r="924" ht="15.75" customHeight="1">
      <c r="H924" s="240"/>
    </row>
    <row r="925" ht="15.75" customHeight="1">
      <c r="H925" s="240"/>
    </row>
    <row r="926" ht="15.75" customHeight="1">
      <c r="H926" s="240"/>
    </row>
    <row r="927" ht="15.75" customHeight="1">
      <c r="H927" s="240"/>
    </row>
    <row r="928" ht="15.75" customHeight="1">
      <c r="H928" s="240"/>
    </row>
    <row r="929" ht="15.75" customHeight="1">
      <c r="H929" s="240"/>
    </row>
    <row r="930" ht="15.75" customHeight="1">
      <c r="H930" s="240"/>
    </row>
    <row r="931" ht="15.75" customHeight="1">
      <c r="H931" s="240"/>
    </row>
    <row r="932" ht="15.75" customHeight="1">
      <c r="H932" s="240"/>
    </row>
    <row r="933" ht="15.75" customHeight="1">
      <c r="H933" s="240"/>
    </row>
    <row r="934" ht="15.75" customHeight="1">
      <c r="H934" s="240"/>
    </row>
    <row r="935" ht="15.75" customHeight="1">
      <c r="H935" s="240"/>
    </row>
    <row r="936" ht="15.75" customHeight="1">
      <c r="H936" s="240"/>
    </row>
    <row r="937" ht="15.75" customHeight="1">
      <c r="H937" s="240"/>
    </row>
    <row r="938" ht="15.75" customHeight="1">
      <c r="H938" s="240"/>
    </row>
    <row r="939" ht="15.75" customHeight="1">
      <c r="H939" s="240"/>
    </row>
    <row r="940" ht="15.75" customHeight="1">
      <c r="H940" s="240"/>
    </row>
    <row r="941" ht="15.75" customHeight="1">
      <c r="H941" s="240"/>
    </row>
    <row r="942" ht="15.75" customHeight="1">
      <c r="H942" s="240"/>
    </row>
    <row r="943" ht="15.75" customHeight="1">
      <c r="H943" s="240"/>
    </row>
    <row r="944" ht="15.75" customHeight="1">
      <c r="H944" s="240"/>
    </row>
    <row r="945" ht="15.75" customHeight="1">
      <c r="H945" s="240"/>
    </row>
    <row r="946" ht="15.75" customHeight="1">
      <c r="H946" s="240"/>
    </row>
    <row r="947" ht="15.75" customHeight="1">
      <c r="H947" s="240"/>
    </row>
    <row r="948" ht="15.75" customHeight="1">
      <c r="H948" s="240"/>
    </row>
    <row r="949" ht="15.75" customHeight="1">
      <c r="H949" s="240"/>
    </row>
    <row r="950" ht="15.75" customHeight="1">
      <c r="H950" s="240"/>
    </row>
    <row r="951" ht="15.75" customHeight="1">
      <c r="H951" s="240"/>
    </row>
    <row r="952" ht="15.75" customHeight="1">
      <c r="H952" s="240"/>
    </row>
    <row r="953" ht="15.75" customHeight="1">
      <c r="H953" s="240"/>
    </row>
    <row r="954" ht="15.75" customHeight="1">
      <c r="H954" s="240"/>
    </row>
    <row r="955" ht="15.75" customHeight="1">
      <c r="H955" s="240"/>
    </row>
    <row r="956" ht="15.75" customHeight="1">
      <c r="H956" s="240"/>
    </row>
    <row r="957" ht="15.75" customHeight="1">
      <c r="H957" s="240"/>
    </row>
    <row r="958" ht="15.75" customHeight="1">
      <c r="H958" s="240"/>
    </row>
    <row r="959" ht="15.75" customHeight="1">
      <c r="H959" s="240"/>
    </row>
    <row r="960" ht="15.75" customHeight="1">
      <c r="H960" s="240"/>
    </row>
    <row r="961" ht="15.75" customHeight="1">
      <c r="H961" s="240"/>
    </row>
    <row r="962" ht="15.75" customHeight="1">
      <c r="H962" s="240"/>
    </row>
    <row r="963" ht="15.75" customHeight="1">
      <c r="H963" s="240"/>
    </row>
    <row r="964" ht="15.75" customHeight="1">
      <c r="H964" s="240"/>
    </row>
    <row r="965" ht="15.75" customHeight="1">
      <c r="H965" s="240"/>
    </row>
    <row r="966" ht="15.75" customHeight="1">
      <c r="H966" s="240"/>
    </row>
    <row r="967" ht="15.75" customHeight="1">
      <c r="H967" s="240"/>
    </row>
    <row r="968" ht="15.75" customHeight="1">
      <c r="H968" s="240"/>
    </row>
    <row r="969" ht="15.75" customHeight="1">
      <c r="H969" s="240"/>
    </row>
    <row r="970" ht="15.75" customHeight="1">
      <c r="H970" s="240"/>
    </row>
    <row r="971" ht="15.75" customHeight="1">
      <c r="H971" s="240"/>
    </row>
    <row r="972" ht="15.75" customHeight="1">
      <c r="H972" s="240"/>
    </row>
    <row r="973" ht="15.75" customHeight="1">
      <c r="H973" s="240"/>
    </row>
    <row r="974" ht="15.75" customHeight="1">
      <c r="H974" s="240"/>
    </row>
    <row r="975" ht="15.75" customHeight="1">
      <c r="H975" s="240"/>
    </row>
    <row r="976" ht="15.75" customHeight="1">
      <c r="H976" s="240"/>
    </row>
    <row r="977" ht="15.75" customHeight="1">
      <c r="H977" s="240"/>
    </row>
    <row r="978" ht="15.75" customHeight="1">
      <c r="H978" s="240"/>
    </row>
    <row r="979" ht="15.75" customHeight="1">
      <c r="H979" s="240"/>
    </row>
    <row r="980" ht="15.75" customHeight="1">
      <c r="H980" s="240"/>
    </row>
    <row r="981" ht="15.75" customHeight="1">
      <c r="H981" s="240"/>
    </row>
    <row r="982" ht="15.75" customHeight="1">
      <c r="H982" s="240"/>
    </row>
    <row r="983" ht="15.75" customHeight="1">
      <c r="H983" s="240"/>
    </row>
    <row r="984" ht="15.75" customHeight="1">
      <c r="H984" s="240"/>
    </row>
    <row r="985" ht="15.75" customHeight="1">
      <c r="H985" s="240"/>
    </row>
    <row r="986" ht="15.75" customHeight="1">
      <c r="H986" s="240"/>
    </row>
    <row r="987" ht="15.75" customHeight="1">
      <c r="H987" s="240"/>
    </row>
    <row r="988" ht="15.75" customHeight="1">
      <c r="H988" s="240"/>
    </row>
    <row r="989" ht="15.75" customHeight="1">
      <c r="H989" s="240"/>
    </row>
    <row r="990" ht="15.75" customHeight="1">
      <c r="H990" s="240"/>
    </row>
    <row r="991" ht="15.75" customHeight="1">
      <c r="H991" s="240"/>
    </row>
    <row r="992" ht="15.75" customHeight="1">
      <c r="H992" s="240"/>
    </row>
    <row r="993" ht="15.75" customHeight="1">
      <c r="H993" s="240"/>
    </row>
    <row r="994" ht="15.75" customHeight="1">
      <c r="H994" s="240"/>
    </row>
    <row r="995" ht="15.75" customHeight="1">
      <c r="H995" s="240"/>
    </row>
    <row r="996" ht="15.75" customHeight="1">
      <c r="H996" s="240"/>
    </row>
    <row r="997" ht="15.75" customHeight="1">
      <c r="H997" s="240"/>
    </row>
    <row r="998" ht="15.75" customHeight="1">
      <c r="H998" s="240"/>
    </row>
    <row r="999" ht="15.75" customHeight="1">
      <c r="H999" s="240"/>
    </row>
    <row r="1000" ht="15.75" customHeight="1">
      <c r="H1000" s="240"/>
    </row>
    <row r="1001" ht="15.75" customHeight="1">
      <c r="H1001" s="240"/>
    </row>
    <row r="1002" ht="15.75" customHeight="1">
      <c r="H1002" s="240"/>
    </row>
    <row r="1003" ht="15.75" customHeight="1">
      <c r="H1003" s="240"/>
    </row>
    <row r="1004" ht="15.75" customHeight="1">
      <c r="H1004" s="240"/>
    </row>
    <row r="1005" ht="15.75" customHeight="1">
      <c r="H1005" s="240"/>
    </row>
    <row r="1006" ht="15.75" customHeight="1">
      <c r="H1006" s="240"/>
    </row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F2:H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56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14"/>
    <col customWidth="1" min="2" max="2" width="56.14"/>
    <col customWidth="1" min="3" max="3" width="110.29"/>
    <col customWidth="1" min="4" max="4" width="38.0"/>
    <col customWidth="1" min="5" max="5" width="46.0"/>
  </cols>
  <sheetData>
    <row r="1" ht="24.0" customHeight="1">
      <c r="A1" s="83" t="s">
        <v>0</v>
      </c>
      <c r="B1" s="90"/>
      <c r="C1" s="278"/>
      <c r="D1" s="279"/>
      <c r="E1" s="280"/>
      <c r="F1" s="280"/>
      <c r="G1" s="280"/>
      <c r="H1" s="280"/>
      <c r="I1" s="176"/>
      <c r="J1" s="280"/>
      <c r="K1" s="176"/>
      <c r="L1" s="89"/>
      <c r="M1" s="281"/>
      <c r="N1" s="280"/>
      <c r="O1" s="280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</row>
    <row r="2" ht="27.75" customHeight="1">
      <c r="A2" s="241" t="s">
        <v>90</v>
      </c>
      <c r="B2" s="89"/>
      <c r="C2" s="89"/>
      <c r="D2" s="89"/>
      <c r="E2" s="196"/>
      <c r="F2" s="196"/>
      <c r="G2" s="280"/>
      <c r="H2" s="280"/>
      <c r="I2" s="176"/>
      <c r="J2" s="280"/>
      <c r="K2" s="176"/>
      <c r="L2" s="89"/>
      <c r="M2" s="281"/>
      <c r="N2" s="196"/>
      <c r="O2" s="196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>
      <c r="A3" s="282" t="s">
        <v>558</v>
      </c>
      <c r="B3" s="283"/>
      <c r="C3" s="283"/>
      <c r="D3" s="284"/>
      <c r="E3" s="285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</row>
    <row r="4">
      <c r="A4" s="282" t="s">
        <v>3</v>
      </c>
      <c r="B4" s="283"/>
      <c r="C4" s="283"/>
      <c r="D4" s="284"/>
      <c r="E4" s="285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283"/>
      <c r="AF4" s="283"/>
      <c r="AG4" s="283"/>
      <c r="AH4" s="283"/>
    </row>
    <row r="5">
      <c r="A5" s="282" t="s">
        <v>4</v>
      </c>
      <c r="B5" s="283"/>
      <c r="C5" s="283"/>
      <c r="D5" s="284"/>
      <c r="E5" s="285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  <c r="AD5" s="283"/>
      <c r="AE5" s="283"/>
      <c r="AF5" s="283"/>
      <c r="AG5" s="283"/>
      <c r="AH5" s="283"/>
    </row>
    <row r="6">
      <c r="A6" s="277"/>
      <c r="B6" s="277"/>
      <c r="C6" s="277"/>
      <c r="D6" s="286"/>
      <c r="E6" s="28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</row>
    <row r="7">
      <c r="A7" s="288" t="s">
        <v>559</v>
      </c>
      <c r="B7" s="288" t="s">
        <v>560</v>
      </c>
      <c r="C7" s="288" t="s">
        <v>561</v>
      </c>
      <c r="D7" s="289" t="s">
        <v>562</v>
      </c>
      <c r="E7" s="290" t="s">
        <v>563</v>
      </c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</row>
    <row r="8" ht="21.0" customHeight="1">
      <c r="A8" s="291" t="s">
        <v>564</v>
      </c>
      <c r="B8" s="16"/>
      <c r="C8" s="16"/>
      <c r="D8" s="16"/>
      <c r="E8" s="15"/>
      <c r="F8" s="292"/>
      <c r="G8" s="292"/>
      <c r="H8" s="292"/>
      <c r="I8" s="292"/>
      <c r="J8" s="293"/>
      <c r="K8" s="293"/>
      <c r="L8" s="292"/>
      <c r="M8" s="293"/>
      <c r="N8" s="293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4"/>
      <c r="AF8" s="294"/>
      <c r="AG8" s="294"/>
      <c r="AH8" s="294"/>
    </row>
    <row r="9" ht="23.25" customHeight="1">
      <c r="A9" s="295" t="s">
        <v>565</v>
      </c>
      <c r="B9" s="296" t="s">
        <v>566</v>
      </c>
      <c r="C9" s="297" t="s">
        <v>567</v>
      </c>
      <c r="D9" s="298">
        <v>1.0</v>
      </c>
      <c r="E9" s="127">
        <v>15000.0</v>
      </c>
      <c r="F9" s="276"/>
      <c r="G9" s="276"/>
      <c r="H9" s="276"/>
      <c r="I9" s="276"/>
      <c r="J9" s="299"/>
      <c r="K9" s="299"/>
      <c r="L9" s="276"/>
      <c r="M9" s="299"/>
      <c r="N9" s="299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</row>
    <row r="10" ht="21.75" customHeight="1">
      <c r="A10" s="142" t="s">
        <v>568</v>
      </c>
      <c r="B10" s="296" t="s">
        <v>569</v>
      </c>
      <c r="C10" s="300" t="s">
        <v>570</v>
      </c>
      <c r="D10" s="298">
        <v>1.0</v>
      </c>
      <c r="E10" s="127">
        <v>15000.0</v>
      </c>
      <c r="F10" s="276"/>
      <c r="G10" s="276"/>
      <c r="H10" s="276"/>
      <c r="I10" s="276"/>
      <c r="J10" s="299"/>
      <c r="K10" s="301"/>
      <c r="L10" s="276"/>
      <c r="M10" s="301"/>
      <c r="N10" s="299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</row>
    <row r="11" ht="15.75" customHeight="1">
      <c r="A11" s="302" t="s">
        <v>15</v>
      </c>
      <c r="B11" s="16"/>
      <c r="C11" s="15"/>
      <c r="D11" s="303">
        <v>2.0</v>
      </c>
      <c r="E11" s="304">
        <v>30000.0</v>
      </c>
      <c r="F11" s="276"/>
      <c r="G11" s="276"/>
      <c r="H11" s="276"/>
      <c r="I11" s="276"/>
      <c r="J11" s="299"/>
      <c r="K11" s="301"/>
      <c r="L11" s="276"/>
      <c r="M11" s="301"/>
      <c r="N11" s="299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</row>
    <row r="12" ht="32.25" customHeight="1">
      <c r="A12" s="305" t="s">
        <v>94</v>
      </c>
      <c r="B12" s="16"/>
      <c r="C12" s="16"/>
      <c r="D12" s="16"/>
      <c r="E12" s="15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306"/>
      <c r="AF12" s="306"/>
      <c r="AG12" s="306"/>
      <c r="AH12" s="306"/>
    </row>
    <row r="13" ht="21.75" customHeight="1">
      <c r="A13" s="307" t="s">
        <v>571</v>
      </c>
      <c r="B13" s="308" t="s">
        <v>572</v>
      </c>
      <c r="C13" s="140" t="s">
        <v>573</v>
      </c>
      <c r="D13" s="309">
        <v>1.333</v>
      </c>
      <c r="E13" s="310">
        <v>20000.0</v>
      </c>
      <c r="F13" s="306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  <c r="AB13" s="306"/>
      <c r="AC13" s="306"/>
      <c r="AD13" s="306"/>
      <c r="AE13" s="306"/>
      <c r="AF13" s="306"/>
      <c r="AG13" s="306"/>
      <c r="AH13" s="306"/>
    </row>
    <row r="14" ht="18.75" customHeight="1">
      <c r="A14" s="311" t="s">
        <v>565</v>
      </c>
      <c r="B14" s="312" t="s">
        <v>566</v>
      </c>
      <c r="C14" s="313" t="s">
        <v>574</v>
      </c>
      <c r="D14" s="314">
        <v>1.0</v>
      </c>
      <c r="E14" s="315">
        <v>20000.0</v>
      </c>
      <c r="F14" s="306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  <c r="AB14" s="306"/>
      <c r="AC14" s="306"/>
      <c r="AD14" s="306"/>
      <c r="AE14" s="306"/>
      <c r="AF14" s="306"/>
      <c r="AG14" s="306"/>
      <c r="AH14" s="306"/>
    </row>
    <row r="15" ht="22.5" customHeight="1">
      <c r="A15" s="307" t="s">
        <v>575</v>
      </c>
      <c r="B15" s="308" t="s">
        <v>576</v>
      </c>
      <c r="C15" s="313" t="s">
        <v>577</v>
      </c>
      <c r="D15" s="314">
        <v>0.5</v>
      </c>
      <c r="E15" s="315">
        <v>10000.0</v>
      </c>
      <c r="F15" s="306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</row>
    <row r="16" ht="20.25" customHeight="1">
      <c r="A16" s="307" t="s">
        <v>578</v>
      </c>
      <c r="B16" s="308" t="s">
        <v>579</v>
      </c>
      <c r="C16" s="313" t="s">
        <v>580</v>
      </c>
      <c r="D16" s="314">
        <v>0.5</v>
      </c>
      <c r="E16" s="315">
        <v>15000.0</v>
      </c>
      <c r="F16" s="306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</row>
    <row r="17" ht="15.75" customHeight="1">
      <c r="A17" s="316" t="s">
        <v>15</v>
      </c>
      <c r="B17" s="16"/>
      <c r="C17" s="15"/>
      <c r="D17" s="317">
        <f t="shared" ref="D17:E17" si="1">SUM(D13:D16)</f>
        <v>3.333</v>
      </c>
      <c r="E17" s="318">
        <f t="shared" si="1"/>
        <v>65000</v>
      </c>
      <c r="F17" s="306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</row>
    <row r="18" ht="26.25" customHeight="1">
      <c r="A18" s="319" t="s">
        <v>581</v>
      </c>
      <c r="B18" s="16"/>
      <c r="C18" s="16"/>
      <c r="D18" s="16"/>
      <c r="E18" s="15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06"/>
      <c r="AF18" s="306"/>
      <c r="AG18" s="306"/>
      <c r="AH18" s="306"/>
    </row>
    <row r="19" ht="21.75" customHeight="1">
      <c r="A19" s="321" t="s">
        <v>578</v>
      </c>
      <c r="B19" s="308" t="s">
        <v>582</v>
      </c>
      <c r="C19" s="313" t="s">
        <v>583</v>
      </c>
      <c r="D19" s="314">
        <v>0.3</v>
      </c>
      <c r="E19" s="315">
        <v>7500.0</v>
      </c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  <c r="AD19" s="320"/>
      <c r="AE19" s="306"/>
      <c r="AF19" s="306"/>
      <c r="AG19" s="306"/>
      <c r="AH19" s="306"/>
    </row>
    <row r="20" ht="21.75" customHeight="1">
      <c r="A20" s="321" t="s">
        <v>578</v>
      </c>
      <c r="B20" s="308" t="s">
        <v>584</v>
      </c>
      <c r="C20" s="313" t="s">
        <v>585</v>
      </c>
      <c r="D20" s="314">
        <v>0.5</v>
      </c>
      <c r="E20" s="315">
        <v>12500.0</v>
      </c>
      <c r="F20" s="320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06"/>
      <c r="AF20" s="306"/>
      <c r="AG20" s="306"/>
      <c r="AH20" s="306"/>
    </row>
    <row r="21" ht="21.75" customHeight="1">
      <c r="A21" s="321" t="s">
        <v>578</v>
      </c>
      <c r="B21" s="308" t="s">
        <v>584</v>
      </c>
      <c r="C21" s="313" t="s">
        <v>586</v>
      </c>
      <c r="D21" s="314">
        <v>0.5</v>
      </c>
      <c r="E21" s="315">
        <v>12500.0</v>
      </c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06"/>
      <c r="AF21" s="306"/>
      <c r="AG21" s="306"/>
      <c r="AH21" s="306"/>
    </row>
    <row r="22" ht="21.75" customHeight="1">
      <c r="A22" s="321" t="s">
        <v>575</v>
      </c>
      <c r="B22" s="308" t="s">
        <v>587</v>
      </c>
      <c r="C22" s="313" t="s">
        <v>588</v>
      </c>
      <c r="D22" s="314">
        <v>0.5</v>
      </c>
      <c r="E22" s="315">
        <v>12500.0</v>
      </c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06"/>
      <c r="AF22" s="306"/>
      <c r="AG22" s="306"/>
      <c r="AH22" s="306"/>
    </row>
    <row r="23" ht="21.75" customHeight="1">
      <c r="A23" s="321" t="s">
        <v>571</v>
      </c>
      <c r="B23" s="308" t="s">
        <v>589</v>
      </c>
      <c r="C23" s="313" t="s">
        <v>590</v>
      </c>
      <c r="D23" s="314">
        <v>0.5</v>
      </c>
      <c r="E23" s="315">
        <v>12500.0</v>
      </c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  <c r="AD23" s="320"/>
      <c r="AE23" s="306"/>
      <c r="AF23" s="306"/>
      <c r="AG23" s="306"/>
      <c r="AH23" s="306"/>
    </row>
    <row r="24" ht="21.75" customHeight="1">
      <c r="A24" s="321" t="s">
        <v>568</v>
      </c>
      <c r="B24" s="308" t="s">
        <v>582</v>
      </c>
      <c r="C24" s="313" t="s">
        <v>591</v>
      </c>
      <c r="D24" s="314">
        <v>0.65</v>
      </c>
      <c r="E24" s="315">
        <v>16500.0</v>
      </c>
      <c r="F24" s="320"/>
      <c r="G24" s="320"/>
      <c r="H24" s="320"/>
      <c r="I24" s="320"/>
      <c r="J24" s="320"/>
      <c r="K24" s="320"/>
      <c r="L24" s="320"/>
      <c r="M24" s="320"/>
      <c r="N24" s="320"/>
      <c r="O24" s="320"/>
      <c r="P24" s="320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06"/>
      <c r="AF24" s="306"/>
      <c r="AG24" s="306"/>
      <c r="AH24" s="306"/>
    </row>
    <row r="25" ht="21.75" customHeight="1">
      <c r="A25" s="321" t="s">
        <v>568</v>
      </c>
      <c r="B25" s="308" t="s">
        <v>592</v>
      </c>
      <c r="C25" s="313" t="s">
        <v>593</v>
      </c>
      <c r="D25" s="314">
        <v>0.84</v>
      </c>
      <c r="E25" s="315">
        <v>21000.0</v>
      </c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320"/>
      <c r="AB25" s="320"/>
      <c r="AC25" s="320"/>
      <c r="AD25" s="320"/>
      <c r="AE25" s="306"/>
      <c r="AF25" s="306"/>
      <c r="AG25" s="306"/>
      <c r="AH25" s="306"/>
    </row>
    <row r="26" ht="21.75" customHeight="1">
      <c r="A26" s="321" t="s">
        <v>565</v>
      </c>
      <c r="B26" s="308" t="s">
        <v>594</v>
      </c>
      <c r="C26" s="313" t="s">
        <v>595</v>
      </c>
      <c r="D26" s="314">
        <v>0.9</v>
      </c>
      <c r="E26" s="315">
        <v>22500.0</v>
      </c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  <c r="AA26" s="320"/>
      <c r="AB26" s="320"/>
      <c r="AC26" s="320"/>
      <c r="AD26" s="320"/>
      <c r="AE26" s="306"/>
      <c r="AF26" s="306"/>
      <c r="AG26" s="306"/>
      <c r="AH26" s="306"/>
    </row>
    <row r="27" ht="21.75" customHeight="1">
      <c r="A27" s="321" t="s">
        <v>596</v>
      </c>
      <c r="B27" s="308" t="s">
        <v>597</v>
      </c>
      <c r="C27" s="313" t="s">
        <v>598</v>
      </c>
      <c r="D27" s="314">
        <v>1.0</v>
      </c>
      <c r="E27" s="315">
        <v>25000.0</v>
      </c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  <c r="AA27" s="320"/>
      <c r="AB27" s="320"/>
      <c r="AC27" s="320"/>
      <c r="AD27" s="320"/>
      <c r="AE27" s="306"/>
      <c r="AF27" s="306"/>
      <c r="AG27" s="306"/>
      <c r="AH27" s="306"/>
    </row>
    <row r="28" ht="21.75" customHeight="1">
      <c r="A28" s="321" t="s">
        <v>565</v>
      </c>
      <c r="B28" s="308" t="s">
        <v>599</v>
      </c>
      <c r="C28" s="313" t="s">
        <v>600</v>
      </c>
      <c r="D28" s="314">
        <v>0.5</v>
      </c>
      <c r="E28" s="315">
        <v>12500.0</v>
      </c>
      <c r="F28" s="320"/>
      <c r="G28" s="322"/>
      <c r="H28" s="320"/>
      <c r="I28" s="320"/>
      <c r="J28" s="323"/>
      <c r="K28" s="320"/>
      <c r="L28" s="323"/>
      <c r="M28" s="320"/>
      <c r="N28" s="322"/>
      <c r="O28" s="320"/>
      <c r="P28" s="322"/>
      <c r="Q28" s="323"/>
      <c r="R28" s="320"/>
      <c r="S28" s="320"/>
      <c r="T28" s="323"/>
      <c r="U28" s="320"/>
      <c r="V28" s="320"/>
      <c r="W28" s="322"/>
      <c r="X28" s="320"/>
      <c r="Y28" s="320"/>
      <c r="Z28" s="320"/>
      <c r="AA28" s="320"/>
      <c r="AB28" s="320"/>
      <c r="AC28" s="320"/>
      <c r="AD28" s="320"/>
      <c r="AE28" s="306"/>
      <c r="AF28" s="306"/>
      <c r="AG28" s="306"/>
      <c r="AH28" s="306"/>
    </row>
    <row r="29" ht="24.0" customHeight="1">
      <c r="A29" s="324" t="s">
        <v>601</v>
      </c>
      <c r="B29" s="16"/>
      <c r="C29" s="15"/>
      <c r="D29" s="325">
        <f>SUM(D23:D28)</f>
        <v>4.39</v>
      </c>
      <c r="E29" s="326">
        <f>SUM(E19:E28)</f>
        <v>155000</v>
      </c>
      <c r="F29" s="320"/>
      <c r="G29" s="322"/>
      <c r="H29" s="320"/>
      <c r="I29" s="320"/>
      <c r="J29" s="323"/>
      <c r="K29" s="320"/>
      <c r="L29" s="323"/>
      <c r="M29" s="322"/>
      <c r="N29" s="322"/>
      <c r="O29" s="323"/>
      <c r="P29" s="322"/>
      <c r="Q29" s="323"/>
      <c r="R29" s="323"/>
      <c r="S29" s="323"/>
      <c r="T29" s="323"/>
      <c r="U29" s="320"/>
      <c r="V29" s="320"/>
      <c r="W29" s="322"/>
      <c r="X29" s="323"/>
      <c r="Y29" s="323"/>
      <c r="Z29" s="323"/>
      <c r="AA29" s="322"/>
      <c r="AB29" s="322"/>
      <c r="AC29" s="322"/>
      <c r="AD29" s="322"/>
      <c r="AE29" s="149"/>
      <c r="AF29" s="149"/>
      <c r="AG29" s="149"/>
      <c r="AH29" s="149"/>
    </row>
    <row r="30" ht="15.75" customHeight="1">
      <c r="A30" s="327"/>
      <c r="B30" s="328"/>
      <c r="C30" s="327"/>
      <c r="D30" s="329"/>
      <c r="E30" s="330"/>
      <c r="F30" s="320"/>
      <c r="G30" s="322"/>
      <c r="H30" s="320"/>
      <c r="I30" s="320"/>
      <c r="J30" s="323"/>
      <c r="K30" s="320"/>
      <c r="L30" s="323"/>
      <c r="M30" s="322"/>
      <c r="N30" s="322"/>
      <c r="O30" s="323"/>
      <c r="P30" s="322"/>
      <c r="Q30" s="323"/>
      <c r="R30" s="323"/>
      <c r="S30" s="323"/>
      <c r="T30" s="323"/>
      <c r="U30" s="320"/>
      <c r="V30" s="320"/>
      <c r="W30" s="322"/>
      <c r="X30" s="323"/>
      <c r="Y30" s="323"/>
      <c r="Z30" s="323"/>
      <c r="AA30" s="322"/>
      <c r="AB30" s="322"/>
      <c r="AC30" s="322"/>
      <c r="AD30" s="322"/>
      <c r="AE30" s="149"/>
      <c r="AF30" s="149"/>
      <c r="AG30" s="149"/>
      <c r="AH30" s="149"/>
    </row>
    <row r="31" ht="22.5" customHeight="1">
      <c r="A31" s="331" t="s">
        <v>602</v>
      </c>
      <c r="B31" s="16"/>
      <c r="C31" s="16"/>
      <c r="D31" s="16"/>
      <c r="E31" s="15"/>
      <c r="F31" s="320"/>
      <c r="G31" s="322"/>
      <c r="H31" s="320"/>
      <c r="I31" s="320"/>
      <c r="J31" s="323"/>
      <c r="K31" s="320"/>
      <c r="L31" s="323"/>
      <c r="M31" s="320"/>
      <c r="N31" s="322"/>
      <c r="O31" s="323"/>
      <c r="P31" s="322"/>
      <c r="Q31" s="323"/>
      <c r="R31" s="323"/>
      <c r="S31" s="323"/>
      <c r="T31" s="323"/>
      <c r="U31" s="320"/>
      <c r="V31" s="320"/>
      <c r="W31" s="322"/>
      <c r="X31" s="323"/>
      <c r="Y31" s="323"/>
      <c r="Z31" s="323"/>
      <c r="AA31" s="320"/>
      <c r="AB31" s="322"/>
      <c r="AC31" s="320"/>
      <c r="AD31" s="320"/>
      <c r="AE31" s="332"/>
      <c r="AF31" s="332"/>
      <c r="AG31" s="332"/>
      <c r="AH31" s="332"/>
    </row>
    <row r="32" ht="23.25" customHeight="1">
      <c r="A32" s="321" t="s">
        <v>596</v>
      </c>
      <c r="B32" s="308" t="s">
        <v>603</v>
      </c>
      <c r="C32" s="313" t="s">
        <v>604</v>
      </c>
      <c r="D32" s="314">
        <v>0.5</v>
      </c>
      <c r="E32" s="315">
        <v>16000.0</v>
      </c>
      <c r="F32" s="320"/>
      <c r="G32" s="322"/>
      <c r="H32" s="320"/>
      <c r="I32" s="320"/>
      <c r="J32" s="323"/>
      <c r="K32" s="320"/>
      <c r="L32" s="323"/>
      <c r="M32" s="320"/>
      <c r="N32" s="322"/>
      <c r="O32" s="320"/>
      <c r="P32" s="322"/>
      <c r="Q32" s="323"/>
      <c r="R32" s="320"/>
      <c r="S32" s="320"/>
      <c r="T32" s="323"/>
      <c r="U32" s="320"/>
      <c r="V32" s="320"/>
      <c r="W32" s="322"/>
      <c r="X32" s="320"/>
      <c r="Y32" s="320"/>
      <c r="Z32" s="320"/>
      <c r="AA32" s="320"/>
      <c r="AB32" s="322"/>
      <c r="AC32" s="320"/>
      <c r="AD32" s="320"/>
      <c r="AE32" s="332"/>
      <c r="AF32" s="332"/>
      <c r="AG32" s="332"/>
      <c r="AH32" s="332"/>
    </row>
    <row r="33" ht="23.25" customHeight="1">
      <c r="A33" s="321" t="s">
        <v>596</v>
      </c>
      <c r="B33" s="308" t="s">
        <v>605</v>
      </c>
      <c r="C33" s="313" t="s">
        <v>606</v>
      </c>
      <c r="D33" s="314">
        <v>0.5</v>
      </c>
      <c r="E33" s="315">
        <v>13500.0</v>
      </c>
      <c r="F33" s="320"/>
      <c r="G33" s="322"/>
      <c r="H33" s="320"/>
      <c r="I33" s="320"/>
      <c r="J33" s="323"/>
      <c r="K33" s="320"/>
      <c r="L33" s="323"/>
      <c r="M33" s="320"/>
      <c r="N33" s="322"/>
      <c r="O33" s="320"/>
      <c r="P33" s="322"/>
      <c r="Q33" s="323"/>
      <c r="R33" s="320"/>
      <c r="S33" s="320"/>
      <c r="T33" s="323"/>
      <c r="U33" s="320"/>
      <c r="V33" s="320"/>
      <c r="W33" s="322"/>
      <c r="X33" s="320"/>
      <c r="Y33" s="320"/>
      <c r="Z33" s="320"/>
      <c r="AA33" s="320"/>
      <c r="AB33" s="322"/>
      <c r="AC33" s="320"/>
      <c r="AD33" s="320"/>
      <c r="AE33" s="332"/>
      <c r="AF33" s="332"/>
      <c r="AG33" s="332"/>
      <c r="AH33" s="332"/>
    </row>
    <row r="34" ht="23.25" customHeight="1">
      <c r="A34" s="307" t="s">
        <v>607</v>
      </c>
      <c r="B34" s="308" t="s">
        <v>608</v>
      </c>
      <c r="C34" s="313" t="s">
        <v>609</v>
      </c>
      <c r="D34" s="314">
        <v>1.0</v>
      </c>
      <c r="E34" s="315">
        <v>23400.0</v>
      </c>
      <c r="F34" s="320"/>
      <c r="G34" s="322"/>
      <c r="H34" s="320"/>
      <c r="I34" s="320"/>
      <c r="J34" s="323"/>
      <c r="K34" s="320"/>
      <c r="L34" s="323"/>
      <c r="M34" s="320"/>
      <c r="N34" s="322"/>
      <c r="O34" s="320"/>
      <c r="P34" s="322"/>
      <c r="Q34" s="323"/>
      <c r="R34" s="320"/>
      <c r="S34" s="320"/>
      <c r="T34" s="323"/>
      <c r="U34" s="320"/>
      <c r="V34" s="320"/>
      <c r="W34" s="322"/>
      <c r="X34" s="320"/>
      <c r="Y34" s="320"/>
      <c r="Z34" s="320"/>
      <c r="AA34" s="320"/>
      <c r="AB34" s="322"/>
      <c r="AC34" s="320"/>
      <c r="AD34" s="320"/>
      <c r="AE34" s="332"/>
      <c r="AF34" s="332"/>
      <c r="AG34" s="332"/>
      <c r="AH34" s="332"/>
    </row>
    <row r="35" ht="23.25" customHeight="1">
      <c r="A35" s="307" t="s">
        <v>607</v>
      </c>
      <c r="B35" s="308" t="s">
        <v>610</v>
      </c>
      <c r="C35" s="313" t="s">
        <v>611</v>
      </c>
      <c r="D35" s="314">
        <v>1.1</v>
      </c>
      <c r="E35" s="315">
        <v>25700.0</v>
      </c>
      <c r="F35" s="320"/>
      <c r="G35" s="322"/>
      <c r="H35" s="320"/>
      <c r="I35" s="320"/>
      <c r="J35" s="323"/>
      <c r="K35" s="320"/>
      <c r="L35" s="323"/>
      <c r="M35" s="320"/>
      <c r="N35" s="322"/>
      <c r="O35" s="320"/>
      <c r="P35" s="322"/>
      <c r="Q35" s="323"/>
      <c r="R35" s="320"/>
      <c r="S35" s="320"/>
      <c r="T35" s="323"/>
      <c r="U35" s="320"/>
      <c r="V35" s="320"/>
      <c r="W35" s="322"/>
      <c r="X35" s="320"/>
      <c r="Y35" s="320"/>
      <c r="Z35" s="320"/>
      <c r="AA35" s="320"/>
      <c r="AB35" s="322"/>
      <c r="AC35" s="320"/>
      <c r="AD35" s="320"/>
      <c r="AE35" s="332"/>
      <c r="AF35" s="332"/>
      <c r="AG35" s="332"/>
      <c r="AH35" s="332"/>
    </row>
    <row r="36" ht="23.25" customHeight="1">
      <c r="A36" s="307" t="s">
        <v>612</v>
      </c>
      <c r="B36" s="308" t="s">
        <v>582</v>
      </c>
      <c r="C36" s="313" t="s">
        <v>613</v>
      </c>
      <c r="D36" s="314">
        <v>0.77</v>
      </c>
      <c r="E36" s="315">
        <v>49000.0</v>
      </c>
      <c r="F36" s="320"/>
      <c r="G36" s="322"/>
      <c r="H36" s="320"/>
      <c r="I36" s="320"/>
      <c r="J36" s="323"/>
      <c r="K36" s="320"/>
      <c r="L36" s="323"/>
      <c r="M36" s="320"/>
      <c r="N36" s="322"/>
      <c r="O36" s="320"/>
      <c r="P36" s="322"/>
      <c r="Q36" s="323"/>
      <c r="R36" s="320"/>
      <c r="S36" s="320"/>
      <c r="T36" s="323"/>
      <c r="U36" s="320"/>
      <c r="V36" s="320"/>
      <c r="W36" s="322"/>
      <c r="X36" s="320"/>
      <c r="Y36" s="320"/>
      <c r="Z36" s="320"/>
      <c r="AA36" s="320"/>
      <c r="AB36" s="322"/>
      <c r="AC36" s="320"/>
      <c r="AD36" s="320"/>
      <c r="AE36" s="332"/>
      <c r="AF36" s="332"/>
      <c r="AG36" s="332"/>
      <c r="AH36" s="332"/>
    </row>
    <row r="37" ht="23.25" customHeight="1">
      <c r="A37" s="321" t="s">
        <v>578</v>
      </c>
      <c r="B37" s="308" t="s">
        <v>579</v>
      </c>
      <c r="C37" s="313" t="s">
        <v>614</v>
      </c>
      <c r="D37" s="314">
        <v>0.5</v>
      </c>
      <c r="E37" s="315">
        <v>19500.0</v>
      </c>
      <c r="F37" s="320"/>
      <c r="G37" s="322"/>
      <c r="H37" s="320"/>
      <c r="I37" s="320"/>
      <c r="J37" s="323"/>
      <c r="K37" s="320"/>
      <c r="L37" s="323"/>
      <c r="M37" s="320"/>
      <c r="N37" s="322"/>
      <c r="O37" s="320"/>
      <c r="P37" s="322"/>
      <c r="Q37" s="323"/>
      <c r="R37" s="320"/>
      <c r="S37" s="320"/>
      <c r="T37" s="323"/>
      <c r="U37" s="320"/>
      <c r="V37" s="320"/>
      <c r="W37" s="322"/>
      <c r="X37" s="320"/>
      <c r="Y37" s="320"/>
      <c r="Z37" s="320"/>
      <c r="AA37" s="320"/>
      <c r="AB37" s="322"/>
      <c r="AC37" s="320"/>
      <c r="AD37" s="320"/>
      <c r="AE37" s="332"/>
      <c r="AF37" s="332"/>
      <c r="AG37" s="332"/>
      <c r="AH37" s="332"/>
    </row>
    <row r="38" ht="23.25" customHeight="1">
      <c r="A38" s="321" t="s">
        <v>578</v>
      </c>
      <c r="B38" s="308" t="s">
        <v>582</v>
      </c>
      <c r="C38" s="313" t="s">
        <v>615</v>
      </c>
      <c r="D38" s="314">
        <v>0.5</v>
      </c>
      <c r="E38" s="315">
        <v>21500.0</v>
      </c>
      <c r="F38" s="320"/>
      <c r="G38" s="322"/>
      <c r="H38" s="320"/>
      <c r="I38" s="320"/>
      <c r="J38" s="323"/>
      <c r="K38" s="320"/>
      <c r="L38" s="323"/>
      <c r="M38" s="320"/>
      <c r="N38" s="322"/>
      <c r="O38" s="320"/>
      <c r="P38" s="322"/>
      <c r="Q38" s="323"/>
      <c r="R38" s="320"/>
      <c r="S38" s="320"/>
      <c r="T38" s="323"/>
      <c r="U38" s="320"/>
      <c r="V38" s="320"/>
      <c r="W38" s="322"/>
      <c r="X38" s="320"/>
      <c r="Y38" s="320"/>
      <c r="Z38" s="320"/>
      <c r="AA38" s="320"/>
      <c r="AB38" s="322"/>
      <c r="AC38" s="320"/>
      <c r="AD38" s="320"/>
      <c r="AE38" s="332"/>
      <c r="AF38" s="332"/>
      <c r="AG38" s="332"/>
      <c r="AH38" s="332"/>
    </row>
    <row r="39" ht="23.25" customHeight="1">
      <c r="A39" s="321" t="s">
        <v>568</v>
      </c>
      <c r="B39" s="308" t="s">
        <v>592</v>
      </c>
      <c r="C39" s="313" t="s">
        <v>616</v>
      </c>
      <c r="D39" s="314">
        <v>0.84</v>
      </c>
      <c r="E39" s="315">
        <v>46200.0</v>
      </c>
      <c r="F39" s="320"/>
      <c r="G39" s="322"/>
      <c r="H39" s="320"/>
      <c r="I39" s="320"/>
      <c r="J39" s="323"/>
      <c r="K39" s="320"/>
      <c r="L39" s="323"/>
      <c r="M39" s="320"/>
      <c r="N39" s="322"/>
      <c r="O39" s="320"/>
      <c r="P39" s="322"/>
      <c r="Q39" s="323"/>
      <c r="R39" s="320"/>
      <c r="S39" s="320"/>
      <c r="T39" s="323"/>
      <c r="U39" s="320"/>
      <c r="V39" s="320"/>
      <c r="W39" s="322"/>
      <c r="X39" s="320"/>
      <c r="Y39" s="320"/>
      <c r="Z39" s="320"/>
      <c r="AA39" s="320"/>
      <c r="AB39" s="322"/>
      <c r="AC39" s="320"/>
      <c r="AD39" s="320"/>
      <c r="AE39" s="332"/>
      <c r="AF39" s="332"/>
      <c r="AG39" s="332"/>
      <c r="AH39" s="332"/>
    </row>
    <row r="40" ht="23.25" customHeight="1">
      <c r="A40" s="321" t="s">
        <v>571</v>
      </c>
      <c r="B40" s="308" t="s">
        <v>589</v>
      </c>
      <c r="C40" s="313" t="s">
        <v>617</v>
      </c>
      <c r="D40" s="314">
        <v>1.0</v>
      </c>
      <c r="E40" s="315">
        <v>48000.0</v>
      </c>
      <c r="F40" s="320"/>
      <c r="G40" s="322"/>
      <c r="H40" s="320"/>
      <c r="I40" s="320"/>
      <c r="J40" s="323"/>
      <c r="K40" s="320"/>
      <c r="L40" s="323"/>
      <c r="M40" s="320"/>
      <c r="N40" s="322"/>
      <c r="O40" s="320"/>
      <c r="P40" s="322"/>
      <c r="Q40" s="323"/>
      <c r="R40" s="320"/>
      <c r="S40" s="320"/>
      <c r="T40" s="323"/>
      <c r="U40" s="320"/>
      <c r="V40" s="320"/>
      <c r="W40" s="322"/>
      <c r="X40" s="320"/>
      <c r="Y40" s="320"/>
      <c r="Z40" s="320"/>
      <c r="AA40" s="320"/>
      <c r="AB40" s="322"/>
      <c r="AC40" s="320"/>
      <c r="AD40" s="320"/>
      <c r="AE40" s="332"/>
      <c r="AF40" s="332"/>
      <c r="AG40" s="332"/>
      <c r="AH40" s="332"/>
    </row>
    <row r="41" ht="23.25" customHeight="1">
      <c r="A41" s="321" t="s">
        <v>571</v>
      </c>
      <c r="B41" s="308" t="s">
        <v>618</v>
      </c>
      <c r="C41" s="313" t="s">
        <v>619</v>
      </c>
      <c r="D41" s="314">
        <v>0.82</v>
      </c>
      <c r="E41" s="315">
        <v>39120.0</v>
      </c>
      <c r="F41" s="320"/>
      <c r="G41" s="333"/>
      <c r="H41" s="333"/>
      <c r="I41" s="333"/>
      <c r="J41" s="323"/>
      <c r="K41" s="334"/>
      <c r="L41" s="323"/>
      <c r="M41" s="320"/>
      <c r="N41" s="322"/>
      <c r="O41" s="320"/>
      <c r="P41" s="322"/>
      <c r="Q41" s="323"/>
      <c r="R41" s="320"/>
      <c r="S41" s="320"/>
      <c r="T41" s="323"/>
      <c r="U41" s="320"/>
      <c r="V41" s="320"/>
      <c r="W41" s="322"/>
      <c r="X41" s="320"/>
      <c r="Y41" s="320"/>
      <c r="Z41" s="320"/>
      <c r="AA41" s="320"/>
      <c r="AB41" s="322"/>
      <c r="AC41" s="320"/>
      <c r="AD41" s="320"/>
      <c r="AE41" s="332"/>
      <c r="AF41" s="332"/>
      <c r="AG41" s="332"/>
      <c r="AH41" s="332"/>
    </row>
    <row r="42" ht="27.0" customHeight="1">
      <c r="A42" s="316" t="s">
        <v>601</v>
      </c>
      <c r="B42" s="16"/>
      <c r="C42" s="15"/>
      <c r="D42" s="325">
        <f>SUM(D38:D41)</f>
        <v>3.16</v>
      </c>
      <c r="E42" s="326">
        <f>SUM(E32:E41)</f>
        <v>301920</v>
      </c>
      <c r="F42" s="320"/>
      <c r="G42" s="320"/>
      <c r="H42" s="320"/>
      <c r="I42" s="320"/>
      <c r="J42" s="320"/>
      <c r="K42" s="320"/>
      <c r="L42" s="320"/>
      <c r="M42" s="320"/>
      <c r="N42" s="320"/>
      <c r="O42" s="320"/>
      <c r="P42" s="320"/>
      <c r="Q42" s="320"/>
      <c r="R42" s="320"/>
      <c r="S42" s="320"/>
      <c r="T42" s="320"/>
      <c r="U42" s="320"/>
      <c r="V42" s="320"/>
      <c r="W42" s="320"/>
      <c r="X42" s="320"/>
      <c r="Y42" s="320"/>
      <c r="Z42" s="320"/>
      <c r="AA42" s="320"/>
      <c r="AB42" s="320"/>
      <c r="AC42" s="320"/>
      <c r="AD42" s="320"/>
      <c r="AE42" s="306"/>
      <c r="AF42" s="306"/>
      <c r="AG42" s="306"/>
      <c r="AH42" s="306"/>
    </row>
    <row r="43" ht="27.75" customHeight="1">
      <c r="A43" s="316" t="s">
        <v>15</v>
      </c>
      <c r="B43" s="16"/>
      <c r="C43" s="15"/>
      <c r="D43" s="325">
        <f t="shared" ref="D43:E43" si="2">D42+D29</f>
        <v>7.55</v>
      </c>
      <c r="E43" s="326">
        <f t="shared" si="2"/>
        <v>456920</v>
      </c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20"/>
      <c r="Q43" s="320"/>
      <c r="R43" s="320"/>
      <c r="S43" s="320"/>
      <c r="T43" s="320"/>
      <c r="U43" s="320"/>
      <c r="V43" s="320"/>
      <c r="W43" s="320"/>
      <c r="X43" s="320"/>
      <c r="Y43" s="320"/>
      <c r="Z43" s="320"/>
      <c r="AA43" s="320"/>
      <c r="AB43" s="320"/>
      <c r="AC43" s="320"/>
      <c r="AD43" s="320"/>
      <c r="AE43" s="306"/>
      <c r="AF43" s="306"/>
      <c r="AG43" s="306"/>
      <c r="AH43" s="306"/>
    </row>
    <row r="44" ht="15.75" customHeight="1">
      <c r="A44" s="277"/>
      <c r="B44" s="277"/>
      <c r="C44" s="277"/>
      <c r="D44" s="286"/>
      <c r="E44" s="28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  <c r="AG44" s="277"/>
      <c r="AH44" s="277"/>
    </row>
    <row r="45">
      <c r="A45" s="147" t="s">
        <v>77</v>
      </c>
      <c r="B45" s="150"/>
      <c r="C45" s="153" t="s">
        <v>466</v>
      </c>
      <c r="D45" s="335"/>
      <c r="E45" s="155" t="s">
        <v>467</v>
      </c>
      <c r="F45" s="154"/>
      <c r="G45" s="154"/>
      <c r="H45" s="154"/>
      <c r="I45" s="154"/>
      <c r="J45" s="154"/>
      <c r="K45" s="154"/>
      <c r="L45" s="154"/>
      <c r="M45" s="154"/>
      <c r="N45" s="147" t="s">
        <v>77</v>
      </c>
      <c r="O45" s="150"/>
      <c r="P45" s="154"/>
      <c r="Q45" s="154"/>
      <c r="R45" s="153" t="s">
        <v>466</v>
      </c>
      <c r="S45" s="154"/>
      <c r="T45" s="154"/>
      <c r="U45" s="154"/>
      <c r="V45" s="154"/>
      <c r="W45" s="154"/>
      <c r="X45" s="154"/>
      <c r="Y45" s="155" t="s">
        <v>467</v>
      </c>
      <c r="Z45" s="154"/>
      <c r="AA45" s="195"/>
      <c r="AB45" s="151"/>
      <c r="AC45" s="195"/>
      <c r="AD45" s="150"/>
      <c r="AE45" s="277"/>
      <c r="AF45" s="277"/>
      <c r="AG45" s="277"/>
      <c r="AH45" s="277"/>
    </row>
    <row r="46" ht="15.75" customHeight="1">
      <c r="A46" s="68"/>
      <c r="B46" s="150"/>
      <c r="C46" s="151"/>
      <c r="D46" s="335"/>
      <c r="E46" s="156"/>
      <c r="F46" s="154"/>
      <c r="G46" s="154"/>
      <c r="H46" s="154"/>
      <c r="I46" s="154"/>
      <c r="J46" s="154"/>
      <c r="K46" s="154"/>
      <c r="L46" s="154"/>
      <c r="M46" s="154"/>
      <c r="N46" s="68"/>
      <c r="O46" s="150"/>
      <c r="P46" s="154"/>
      <c r="Q46" s="154"/>
      <c r="R46" s="151"/>
      <c r="S46" s="154"/>
      <c r="T46" s="154"/>
      <c r="U46" s="154"/>
      <c r="V46" s="154"/>
      <c r="W46" s="154"/>
      <c r="X46" s="154"/>
      <c r="Y46" s="156"/>
      <c r="Z46" s="154"/>
      <c r="AA46" s="195"/>
      <c r="AB46" s="158" t="s">
        <v>84</v>
      </c>
      <c r="AC46" s="195"/>
      <c r="AD46" s="150"/>
      <c r="AE46" s="277"/>
      <c r="AF46" s="277"/>
      <c r="AG46" s="277"/>
      <c r="AH46" s="277"/>
    </row>
    <row r="47" ht="15.75" customHeight="1">
      <c r="A47" s="68"/>
      <c r="B47" s="150"/>
      <c r="C47" s="151"/>
      <c r="D47" s="335"/>
      <c r="E47" s="156"/>
      <c r="F47" s="154"/>
      <c r="G47" s="154"/>
      <c r="H47" s="154"/>
      <c r="I47" s="154"/>
      <c r="J47" s="154"/>
      <c r="K47" s="154"/>
      <c r="L47" s="154"/>
      <c r="M47" s="154"/>
      <c r="N47" s="68"/>
      <c r="O47" s="150"/>
      <c r="P47" s="154"/>
      <c r="Q47" s="154"/>
      <c r="R47" s="151"/>
      <c r="S47" s="154"/>
      <c r="T47" s="154"/>
      <c r="U47" s="154"/>
      <c r="V47" s="154"/>
      <c r="W47" s="154"/>
      <c r="X47" s="154"/>
      <c r="Y47" s="156"/>
      <c r="Z47" s="154"/>
      <c r="AA47" s="195"/>
      <c r="AB47" s="153" t="s">
        <v>88</v>
      </c>
      <c r="AC47" s="195"/>
      <c r="AD47" s="150"/>
      <c r="AE47" s="277"/>
      <c r="AF47" s="277"/>
      <c r="AG47" s="277"/>
      <c r="AH47" s="277"/>
    </row>
    <row r="48" ht="15.75" customHeight="1">
      <c r="A48" s="154"/>
      <c r="B48" s="150"/>
      <c r="C48" s="151"/>
      <c r="D48" s="335"/>
      <c r="E48" s="156"/>
      <c r="F48" s="150"/>
      <c r="G48" s="150"/>
      <c r="H48" s="150"/>
      <c r="I48" s="154"/>
      <c r="J48" s="150"/>
      <c r="K48" s="150"/>
      <c r="L48" s="154"/>
      <c r="M48" s="150"/>
      <c r="N48" s="154"/>
      <c r="O48" s="150"/>
      <c r="P48" s="154"/>
      <c r="Q48" s="154"/>
      <c r="R48" s="151"/>
      <c r="S48" s="150"/>
      <c r="T48" s="150"/>
      <c r="U48" s="150"/>
      <c r="V48" s="154"/>
      <c r="W48" s="150"/>
      <c r="X48" s="150"/>
      <c r="Y48" s="156"/>
      <c r="Z48" s="150"/>
      <c r="AA48" s="150"/>
      <c r="AB48" s="150"/>
      <c r="AC48" s="150"/>
      <c r="AD48" s="150"/>
      <c r="AE48" s="277"/>
      <c r="AF48" s="277"/>
      <c r="AG48" s="277"/>
      <c r="AH48" s="277"/>
    </row>
    <row r="49" ht="15.75" customHeight="1">
      <c r="A49" s="68"/>
      <c r="B49" s="150"/>
      <c r="C49" s="151"/>
      <c r="D49" s="335"/>
      <c r="E49" s="156"/>
      <c r="F49" s="150"/>
      <c r="G49" s="150"/>
      <c r="H49" s="150"/>
      <c r="I49" s="154"/>
      <c r="J49" s="150"/>
      <c r="K49" s="150"/>
      <c r="L49" s="154"/>
      <c r="M49" s="150"/>
      <c r="N49" s="68"/>
      <c r="O49" s="150"/>
      <c r="P49" s="154"/>
      <c r="Q49" s="154"/>
      <c r="R49" s="151"/>
      <c r="S49" s="150"/>
      <c r="T49" s="150"/>
      <c r="U49" s="150"/>
      <c r="V49" s="154"/>
      <c r="W49" s="150"/>
      <c r="X49" s="150"/>
      <c r="Y49" s="156"/>
      <c r="Z49" s="150"/>
      <c r="AA49" s="150"/>
      <c r="AB49" s="150"/>
      <c r="AC49" s="150"/>
      <c r="AD49" s="150"/>
      <c r="AE49" s="277"/>
      <c r="AF49" s="277"/>
      <c r="AG49" s="277"/>
      <c r="AH49" s="277"/>
    </row>
    <row r="50" ht="15.75" customHeight="1">
      <c r="A50" s="157" t="s">
        <v>82</v>
      </c>
      <c r="B50" s="150"/>
      <c r="C50" s="158" t="s">
        <v>83</v>
      </c>
      <c r="D50" s="335"/>
      <c r="E50" s="159" t="s">
        <v>84</v>
      </c>
      <c r="F50" s="150"/>
      <c r="G50" s="150"/>
      <c r="H50" s="150"/>
      <c r="I50" s="154"/>
      <c r="J50" s="150"/>
      <c r="K50" s="150"/>
      <c r="L50" s="154"/>
      <c r="M50" s="150"/>
      <c r="N50" s="157" t="s">
        <v>82</v>
      </c>
      <c r="O50" s="150"/>
      <c r="P50" s="154"/>
      <c r="Q50" s="154"/>
      <c r="R50" s="158" t="s">
        <v>83</v>
      </c>
      <c r="S50" s="150"/>
      <c r="T50" s="150"/>
      <c r="U50" s="150"/>
      <c r="V50" s="154"/>
      <c r="W50" s="150"/>
      <c r="X50" s="150"/>
      <c r="Y50" s="159" t="s">
        <v>84</v>
      </c>
      <c r="Z50" s="150"/>
      <c r="AA50" s="150"/>
      <c r="AB50" s="150"/>
      <c r="AC50" s="150"/>
      <c r="AD50" s="150"/>
      <c r="AE50" s="277"/>
      <c r="AF50" s="277"/>
      <c r="AG50" s="277"/>
      <c r="AH50" s="277"/>
    </row>
    <row r="51" ht="15.75" customHeight="1">
      <c r="A51" s="160" t="s">
        <v>468</v>
      </c>
      <c r="B51" s="150"/>
      <c r="C51" s="153" t="s">
        <v>87</v>
      </c>
      <c r="D51" s="335"/>
      <c r="E51" s="161" t="s">
        <v>88</v>
      </c>
      <c r="F51" s="150"/>
      <c r="G51" s="150"/>
      <c r="H51" s="150"/>
      <c r="I51" s="154"/>
      <c r="J51" s="150"/>
      <c r="K51" s="150"/>
      <c r="L51" s="154"/>
      <c r="M51" s="150"/>
      <c r="N51" s="160" t="s">
        <v>468</v>
      </c>
      <c r="O51" s="150"/>
      <c r="P51" s="154"/>
      <c r="Q51" s="154"/>
      <c r="R51" s="153" t="s">
        <v>87</v>
      </c>
      <c r="S51" s="150"/>
      <c r="T51" s="150"/>
      <c r="U51" s="150"/>
      <c r="V51" s="154"/>
      <c r="W51" s="150"/>
      <c r="X51" s="150"/>
      <c r="Y51" s="161" t="s">
        <v>88</v>
      </c>
      <c r="Z51" s="150"/>
      <c r="AA51" s="150"/>
      <c r="AB51" s="150"/>
      <c r="AC51" s="150"/>
      <c r="AD51" s="150"/>
      <c r="AE51" s="277"/>
      <c r="AF51" s="277"/>
      <c r="AG51" s="277"/>
      <c r="AH51" s="277"/>
    </row>
    <row r="52" ht="15.75" customHeight="1">
      <c r="A52" s="277"/>
      <c r="B52" s="277"/>
      <c r="C52" s="277"/>
      <c r="D52" s="286"/>
      <c r="E52" s="28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</row>
    <row r="53" ht="15.75" customHeight="1">
      <c r="A53" s="277"/>
      <c r="B53" s="277"/>
      <c r="C53" s="277"/>
      <c r="D53" s="286"/>
      <c r="E53" s="28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</row>
    <row r="54" ht="15.75" customHeight="1">
      <c r="A54" s="277"/>
      <c r="B54" s="277"/>
      <c r="C54" s="277"/>
      <c r="D54" s="286"/>
      <c r="E54" s="287"/>
      <c r="F54" s="277"/>
      <c r="G54" s="277"/>
      <c r="H54" s="277"/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</row>
    <row r="55" ht="15.75" customHeight="1">
      <c r="A55" s="277"/>
      <c r="B55" s="277"/>
      <c r="C55" s="277"/>
      <c r="D55" s="286"/>
      <c r="E55" s="28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</row>
    <row r="56" ht="15.75" customHeight="1">
      <c r="A56" s="277"/>
      <c r="B56" s="277"/>
      <c r="C56" s="277"/>
      <c r="D56" s="286"/>
      <c r="E56" s="28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  <c r="AG56" s="277"/>
      <c r="AH56" s="277"/>
    </row>
    <row r="57" ht="15.75" customHeight="1">
      <c r="A57" s="277"/>
      <c r="B57" s="277"/>
      <c r="C57" s="277"/>
      <c r="D57" s="286"/>
      <c r="E57" s="28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</row>
    <row r="58" ht="15.75" customHeight="1">
      <c r="A58" s="277"/>
      <c r="B58" s="277"/>
      <c r="C58" s="277"/>
      <c r="D58" s="286"/>
      <c r="E58" s="28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</row>
    <row r="59" ht="15.75" customHeight="1">
      <c r="A59" s="277"/>
      <c r="B59" s="277"/>
      <c r="C59" s="277"/>
      <c r="D59" s="286"/>
      <c r="E59" s="28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</row>
    <row r="60" ht="15.75" customHeight="1">
      <c r="A60" s="277"/>
      <c r="B60" s="277"/>
      <c r="C60" s="277"/>
      <c r="D60" s="286"/>
      <c r="E60" s="287"/>
      <c r="F60" s="277"/>
      <c r="G60" s="277"/>
      <c r="H60" s="277"/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</row>
    <row r="61" ht="15.75" customHeight="1">
      <c r="A61" s="277"/>
      <c r="B61" s="277"/>
      <c r="C61" s="277"/>
      <c r="D61" s="286"/>
      <c r="E61" s="28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</row>
    <row r="62" ht="15.75" customHeight="1">
      <c r="A62" s="277"/>
      <c r="B62" s="277"/>
      <c r="C62" s="277"/>
      <c r="D62" s="286"/>
      <c r="E62" s="28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</row>
    <row r="63" ht="15.75" customHeight="1">
      <c r="A63" s="277"/>
      <c r="B63" s="277"/>
      <c r="C63" s="277"/>
      <c r="D63" s="286"/>
      <c r="E63" s="28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</row>
    <row r="64" ht="15.75" customHeight="1">
      <c r="A64" s="277"/>
      <c r="B64" s="277"/>
      <c r="C64" s="277"/>
      <c r="D64" s="286"/>
      <c r="E64" s="287"/>
      <c r="F64" s="277"/>
      <c r="G64" s="277"/>
      <c r="H64" s="277"/>
      <c r="I64" s="277"/>
      <c r="J64" s="277"/>
      <c r="K64" s="277"/>
      <c r="L64" s="277"/>
      <c r="M64" s="277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</row>
    <row r="65" ht="15.75" customHeight="1">
      <c r="A65" s="277"/>
      <c r="B65" s="277"/>
      <c r="C65" s="277"/>
      <c r="D65" s="286"/>
      <c r="E65" s="28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</row>
    <row r="66" ht="15.75" customHeight="1">
      <c r="A66" s="277"/>
      <c r="B66" s="277"/>
      <c r="C66" s="277"/>
      <c r="D66" s="286"/>
      <c r="E66" s="28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</row>
    <row r="67" ht="15.75" customHeight="1">
      <c r="A67" s="277"/>
      <c r="B67" s="277"/>
      <c r="C67" s="277"/>
      <c r="D67" s="286"/>
      <c r="E67" s="28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</row>
    <row r="68" ht="15.75" customHeight="1">
      <c r="A68" s="277"/>
      <c r="B68" s="277"/>
      <c r="C68" s="277"/>
      <c r="D68" s="286"/>
      <c r="E68" s="28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</row>
    <row r="69" ht="15.75" customHeight="1">
      <c r="A69" s="277"/>
      <c r="B69" s="277"/>
      <c r="C69" s="277"/>
      <c r="D69" s="286"/>
      <c r="E69" s="28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</row>
    <row r="70" ht="15.75" customHeight="1">
      <c r="A70" s="277"/>
      <c r="B70" s="277"/>
      <c r="C70" s="277"/>
      <c r="D70" s="286"/>
      <c r="E70" s="287"/>
      <c r="F70" s="277"/>
      <c r="G70" s="277"/>
      <c r="H70" s="277"/>
      <c r="I70" s="277"/>
      <c r="J70" s="277"/>
      <c r="K70" s="277"/>
      <c r="L70" s="277"/>
      <c r="M70" s="277"/>
      <c r="N70" s="277"/>
      <c r="O70" s="277"/>
      <c r="P70" s="277"/>
      <c r="Q70" s="277"/>
      <c r="R70" s="277"/>
      <c r="S70" s="277"/>
      <c r="T70" s="277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</row>
    <row r="71" ht="15.75" customHeight="1">
      <c r="A71" s="277"/>
      <c r="B71" s="277"/>
      <c r="C71" s="277"/>
      <c r="D71" s="286"/>
      <c r="E71" s="28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7"/>
      <c r="S71" s="277"/>
      <c r="T71" s="277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</row>
    <row r="72" ht="15.75" customHeight="1">
      <c r="A72" s="277"/>
      <c r="B72" s="277"/>
      <c r="C72" s="277"/>
      <c r="D72" s="286"/>
      <c r="E72" s="28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</row>
    <row r="73" ht="15.75" customHeight="1">
      <c r="A73" s="277"/>
      <c r="B73" s="277"/>
      <c r="C73" s="277"/>
      <c r="D73" s="286"/>
      <c r="E73" s="28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  <c r="AG73" s="277"/>
      <c r="AH73" s="277"/>
    </row>
    <row r="74" ht="15.75" customHeight="1">
      <c r="A74" s="277"/>
      <c r="B74" s="277"/>
      <c r="C74" s="277"/>
      <c r="D74" s="286"/>
      <c r="E74" s="28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</row>
    <row r="75" ht="15.75" customHeight="1">
      <c r="A75" s="277"/>
      <c r="B75" s="277"/>
      <c r="C75" s="277"/>
      <c r="D75" s="286"/>
      <c r="E75" s="28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</row>
    <row r="76" ht="15.75" customHeight="1">
      <c r="A76" s="277"/>
      <c r="B76" s="277"/>
      <c r="C76" s="277"/>
      <c r="D76" s="286"/>
      <c r="E76" s="28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277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</row>
    <row r="77" ht="15.75" customHeight="1">
      <c r="A77" s="277"/>
      <c r="B77" s="277"/>
      <c r="C77" s="277"/>
      <c r="D77" s="286"/>
      <c r="E77" s="287"/>
      <c r="F77" s="277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2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</row>
    <row r="78" ht="15.75" customHeight="1">
      <c r="A78" s="277"/>
      <c r="B78" s="277"/>
      <c r="C78" s="277"/>
      <c r="D78" s="286"/>
      <c r="E78" s="28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</row>
    <row r="79" ht="15.75" customHeight="1">
      <c r="A79" s="277"/>
      <c r="B79" s="277"/>
      <c r="C79" s="277"/>
      <c r="D79" s="286"/>
      <c r="E79" s="28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</row>
    <row r="80" ht="15.75" customHeight="1">
      <c r="A80" s="277"/>
      <c r="B80" s="277"/>
      <c r="C80" s="277"/>
      <c r="D80" s="286"/>
      <c r="E80" s="28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</row>
    <row r="81" ht="15.75" customHeight="1">
      <c r="A81" s="277"/>
      <c r="B81" s="277"/>
      <c r="C81" s="277"/>
      <c r="D81" s="286"/>
      <c r="E81" s="28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</row>
    <row r="82" ht="15.75" customHeight="1">
      <c r="A82" s="277"/>
      <c r="B82" s="277"/>
      <c r="C82" s="277"/>
      <c r="D82" s="286"/>
      <c r="E82" s="287"/>
      <c r="F82" s="277"/>
      <c r="G82" s="277"/>
      <c r="H82" s="277"/>
      <c r="I82" s="277"/>
      <c r="J82" s="277"/>
      <c r="K82" s="277"/>
      <c r="L82" s="277"/>
      <c r="M82" s="277"/>
      <c r="N82" s="277"/>
      <c r="O82" s="277"/>
      <c r="P82" s="277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</row>
    <row r="83" ht="15.75" customHeight="1">
      <c r="A83" s="277"/>
      <c r="B83" s="277"/>
      <c r="C83" s="277"/>
      <c r="D83" s="286"/>
      <c r="E83" s="287"/>
      <c r="F83" s="277"/>
      <c r="G83" s="277"/>
      <c r="H83" s="277"/>
      <c r="I83" s="277"/>
      <c r="J83" s="277"/>
      <c r="K83" s="277"/>
      <c r="L83" s="277"/>
      <c r="M83" s="277"/>
      <c r="N83" s="277"/>
      <c r="O83" s="277"/>
      <c r="P83" s="277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</row>
    <row r="84" ht="15.75" customHeight="1">
      <c r="A84" s="277"/>
      <c r="B84" s="277"/>
      <c r="C84" s="277"/>
      <c r="D84" s="286"/>
      <c r="E84" s="28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</row>
    <row r="85" ht="15.75" customHeight="1">
      <c r="A85" s="277"/>
      <c r="B85" s="277"/>
      <c r="C85" s="277"/>
      <c r="D85" s="286"/>
      <c r="E85" s="28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</row>
    <row r="86" ht="15.75" customHeight="1">
      <c r="A86" s="277"/>
      <c r="B86" s="277"/>
      <c r="C86" s="277"/>
      <c r="D86" s="286"/>
      <c r="E86" s="28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</row>
    <row r="87" ht="15.75" customHeight="1">
      <c r="A87" s="277"/>
      <c r="B87" s="277"/>
      <c r="C87" s="277"/>
      <c r="D87" s="286"/>
      <c r="E87" s="287"/>
      <c r="F87" s="277"/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</row>
    <row r="88" ht="15.75" customHeight="1">
      <c r="A88" s="277"/>
      <c r="B88" s="277"/>
      <c r="C88" s="277"/>
      <c r="D88" s="286"/>
      <c r="E88" s="28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</row>
    <row r="89" ht="15.75" customHeight="1">
      <c r="A89" s="277"/>
      <c r="B89" s="277"/>
      <c r="C89" s="277"/>
      <c r="D89" s="286"/>
      <c r="E89" s="28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</row>
    <row r="90" ht="15.75" customHeight="1">
      <c r="A90" s="277"/>
      <c r="B90" s="277"/>
      <c r="C90" s="277"/>
      <c r="D90" s="286"/>
      <c r="E90" s="28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</row>
    <row r="91" ht="15.75" customHeight="1">
      <c r="A91" s="277"/>
      <c r="B91" s="277"/>
      <c r="C91" s="277"/>
      <c r="D91" s="286"/>
      <c r="E91" s="28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</row>
    <row r="92" ht="15.75" customHeight="1">
      <c r="A92" s="277"/>
      <c r="B92" s="277"/>
      <c r="C92" s="277"/>
      <c r="D92" s="286"/>
      <c r="E92" s="28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</row>
    <row r="93" ht="15.75" customHeight="1">
      <c r="A93" s="277"/>
      <c r="B93" s="277"/>
      <c r="C93" s="277"/>
      <c r="D93" s="286"/>
      <c r="E93" s="28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</row>
    <row r="94" ht="15.75" customHeight="1">
      <c r="A94" s="277"/>
      <c r="B94" s="277"/>
      <c r="C94" s="277"/>
      <c r="D94" s="286"/>
      <c r="E94" s="28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</row>
    <row r="95" ht="15.75" customHeight="1">
      <c r="A95" s="277"/>
      <c r="B95" s="277"/>
      <c r="C95" s="277"/>
      <c r="D95" s="286"/>
      <c r="E95" s="28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</row>
    <row r="96" ht="15.75" customHeight="1">
      <c r="A96" s="277"/>
      <c r="B96" s="277"/>
      <c r="C96" s="277"/>
      <c r="D96" s="286"/>
      <c r="E96" s="28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</row>
    <row r="97" ht="15.75" customHeight="1">
      <c r="A97" s="277"/>
      <c r="B97" s="277"/>
      <c r="C97" s="277"/>
      <c r="D97" s="286"/>
      <c r="E97" s="28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</row>
    <row r="98" ht="15.75" customHeight="1">
      <c r="A98" s="277"/>
      <c r="B98" s="277"/>
      <c r="C98" s="277"/>
      <c r="D98" s="286"/>
      <c r="E98" s="28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</row>
    <row r="99" ht="15.75" customHeight="1">
      <c r="A99" s="277"/>
      <c r="B99" s="277"/>
      <c r="C99" s="277"/>
      <c r="D99" s="286"/>
      <c r="E99" s="28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</row>
    <row r="100" ht="15.75" customHeight="1">
      <c r="A100" s="277"/>
      <c r="B100" s="277"/>
      <c r="C100" s="277"/>
      <c r="D100" s="286"/>
      <c r="E100" s="28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</row>
    <row r="101" ht="15.75" customHeight="1">
      <c r="A101" s="277"/>
      <c r="B101" s="277"/>
      <c r="C101" s="277"/>
      <c r="D101" s="286"/>
      <c r="E101" s="28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</row>
    <row r="102" ht="15.75" customHeight="1">
      <c r="A102" s="277"/>
      <c r="B102" s="277"/>
      <c r="C102" s="277"/>
      <c r="D102" s="286"/>
      <c r="E102" s="28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</row>
    <row r="103" ht="15.75" customHeight="1">
      <c r="A103" s="277"/>
      <c r="B103" s="277"/>
      <c r="C103" s="277"/>
      <c r="D103" s="286"/>
      <c r="E103" s="28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</row>
    <row r="104" ht="15.75" customHeight="1">
      <c r="A104" s="277"/>
      <c r="B104" s="277"/>
      <c r="C104" s="277"/>
      <c r="D104" s="286"/>
      <c r="E104" s="28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</row>
    <row r="105" ht="15.75" customHeight="1">
      <c r="A105" s="277"/>
      <c r="B105" s="277"/>
      <c r="C105" s="277"/>
      <c r="D105" s="286"/>
      <c r="E105" s="28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</row>
    <row r="106" ht="15.75" customHeight="1">
      <c r="A106" s="277"/>
      <c r="B106" s="277"/>
      <c r="C106" s="277"/>
      <c r="D106" s="286"/>
      <c r="E106" s="28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</row>
    <row r="107" ht="15.75" customHeight="1">
      <c r="A107" s="277"/>
      <c r="B107" s="277"/>
      <c r="C107" s="277"/>
      <c r="D107" s="286"/>
      <c r="E107" s="28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</row>
    <row r="108" ht="15.75" customHeight="1">
      <c r="A108" s="277"/>
      <c r="B108" s="277"/>
      <c r="C108" s="277"/>
      <c r="D108" s="286"/>
      <c r="E108" s="28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</row>
    <row r="109" ht="15.75" customHeight="1">
      <c r="A109" s="277"/>
      <c r="B109" s="277"/>
      <c r="C109" s="277"/>
      <c r="D109" s="286"/>
      <c r="E109" s="28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</row>
    <row r="110" ht="15.75" customHeight="1">
      <c r="A110" s="277"/>
      <c r="B110" s="277"/>
      <c r="C110" s="277"/>
      <c r="D110" s="286"/>
      <c r="E110" s="28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</row>
    <row r="111" ht="15.75" customHeight="1">
      <c r="A111" s="277"/>
      <c r="B111" s="277"/>
      <c r="C111" s="277"/>
      <c r="D111" s="286"/>
      <c r="E111" s="28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</row>
    <row r="112" ht="15.75" customHeight="1">
      <c r="A112" s="277"/>
      <c r="B112" s="277"/>
      <c r="C112" s="277"/>
      <c r="D112" s="286"/>
      <c r="E112" s="28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</row>
    <row r="113" ht="15.75" customHeight="1">
      <c r="A113" s="277"/>
      <c r="B113" s="277"/>
      <c r="C113" s="277"/>
      <c r="D113" s="286"/>
      <c r="E113" s="28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</row>
    <row r="114" ht="15.75" customHeight="1">
      <c r="A114" s="277"/>
      <c r="B114" s="277"/>
      <c r="C114" s="277"/>
      <c r="D114" s="286"/>
      <c r="E114" s="28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</row>
    <row r="115" ht="15.75" customHeight="1">
      <c r="A115" s="277"/>
      <c r="B115" s="277"/>
      <c r="C115" s="277"/>
      <c r="D115" s="286"/>
      <c r="E115" s="28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</row>
    <row r="116" ht="15.75" customHeight="1">
      <c r="A116" s="277"/>
      <c r="B116" s="277"/>
      <c r="C116" s="277"/>
      <c r="D116" s="286"/>
      <c r="E116" s="28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</row>
    <row r="117" ht="15.75" customHeight="1">
      <c r="A117" s="277"/>
      <c r="B117" s="277"/>
      <c r="C117" s="277"/>
      <c r="D117" s="286"/>
      <c r="E117" s="28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</row>
    <row r="118" ht="15.75" customHeight="1">
      <c r="A118" s="277"/>
      <c r="B118" s="277"/>
      <c r="C118" s="277"/>
      <c r="D118" s="286"/>
      <c r="E118" s="28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</row>
    <row r="119" ht="15.75" customHeight="1">
      <c r="A119" s="277"/>
      <c r="B119" s="277"/>
      <c r="C119" s="277"/>
      <c r="D119" s="286"/>
      <c r="E119" s="28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</row>
    <row r="120" ht="15.75" customHeight="1">
      <c r="A120" s="277"/>
      <c r="B120" s="277"/>
      <c r="C120" s="277"/>
      <c r="D120" s="286"/>
      <c r="E120" s="28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</row>
    <row r="121" ht="15.75" customHeight="1">
      <c r="A121" s="277"/>
      <c r="B121" s="277"/>
      <c r="C121" s="277"/>
      <c r="D121" s="286"/>
      <c r="E121" s="28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</row>
    <row r="122" ht="15.75" customHeight="1">
      <c r="A122" s="277"/>
      <c r="B122" s="277"/>
      <c r="C122" s="277"/>
      <c r="D122" s="286"/>
      <c r="E122" s="28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</row>
    <row r="123" ht="15.75" customHeight="1">
      <c r="A123" s="277"/>
      <c r="B123" s="277"/>
      <c r="C123" s="277"/>
      <c r="D123" s="286"/>
      <c r="E123" s="28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</row>
    <row r="124" ht="15.75" customHeight="1">
      <c r="A124" s="277"/>
      <c r="B124" s="277"/>
      <c r="C124" s="277"/>
      <c r="D124" s="286"/>
      <c r="E124" s="28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77"/>
      <c r="AB124" s="277"/>
      <c r="AC124" s="277"/>
      <c r="AD124" s="277"/>
      <c r="AE124" s="277"/>
      <c r="AF124" s="277"/>
      <c r="AG124" s="277"/>
      <c r="AH124" s="277"/>
    </row>
    <row r="125" ht="15.75" customHeight="1">
      <c r="A125" s="277"/>
      <c r="B125" s="277"/>
      <c r="C125" s="277"/>
      <c r="D125" s="286"/>
      <c r="E125" s="28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</row>
    <row r="126" ht="15.75" customHeight="1">
      <c r="A126" s="277"/>
      <c r="B126" s="277"/>
      <c r="C126" s="277"/>
      <c r="D126" s="286"/>
      <c r="E126" s="28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</row>
    <row r="127" ht="15.75" customHeight="1">
      <c r="A127" s="277"/>
      <c r="B127" s="277"/>
      <c r="C127" s="277"/>
      <c r="D127" s="286"/>
      <c r="E127" s="28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</row>
    <row r="128" ht="15.75" customHeight="1">
      <c r="A128" s="277"/>
      <c r="B128" s="277"/>
      <c r="C128" s="277"/>
      <c r="D128" s="286"/>
      <c r="E128" s="28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</row>
    <row r="129" ht="15.75" customHeight="1">
      <c r="A129" s="277"/>
      <c r="B129" s="277"/>
      <c r="C129" s="277"/>
      <c r="D129" s="286"/>
      <c r="E129" s="28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</row>
    <row r="130" ht="15.75" customHeight="1">
      <c r="A130" s="277"/>
      <c r="B130" s="277"/>
      <c r="C130" s="277"/>
      <c r="D130" s="286"/>
      <c r="E130" s="28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</row>
    <row r="131" ht="15.75" customHeight="1">
      <c r="A131" s="277"/>
      <c r="B131" s="277"/>
      <c r="C131" s="277"/>
      <c r="D131" s="286"/>
      <c r="E131" s="28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</row>
    <row r="132" ht="15.75" customHeight="1">
      <c r="A132" s="277"/>
      <c r="B132" s="277"/>
      <c r="C132" s="277"/>
      <c r="D132" s="286"/>
      <c r="E132" s="28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  <c r="AG132" s="277"/>
      <c r="AH132" s="277"/>
    </row>
    <row r="133" ht="15.75" customHeight="1">
      <c r="A133" s="277"/>
      <c r="B133" s="277"/>
      <c r="C133" s="277"/>
      <c r="D133" s="286"/>
      <c r="E133" s="28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</row>
    <row r="134" ht="15.75" customHeight="1">
      <c r="A134" s="277"/>
      <c r="B134" s="277"/>
      <c r="C134" s="277"/>
      <c r="D134" s="286"/>
      <c r="E134" s="28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  <c r="W134" s="277"/>
      <c r="X134" s="277"/>
      <c r="Y134" s="277"/>
      <c r="Z134" s="277"/>
      <c r="AA134" s="277"/>
      <c r="AB134" s="277"/>
      <c r="AC134" s="277"/>
      <c r="AD134" s="277"/>
      <c r="AE134" s="277"/>
      <c r="AF134" s="277"/>
      <c r="AG134" s="277"/>
      <c r="AH134" s="277"/>
    </row>
    <row r="135" ht="15.75" customHeight="1">
      <c r="A135" s="277"/>
      <c r="B135" s="277"/>
      <c r="C135" s="277"/>
      <c r="D135" s="286"/>
      <c r="E135" s="28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277"/>
    </row>
    <row r="136" ht="15.75" customHeight="1">
      <c r="A136" s="277"/>
      <c r="B136" s="277"/>
      <c r="C136" s="277"/>
      <c r="D136" s="286"/>
      <c r="E136" s="28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  <c r="W136" s="277"/>
      <c r="X136" s="277"/>
      <c r="Y136" s="277"/>
      <c r="Z136" s="277"/>
      <c r="AA136" s="277"/>
      <c r="AB136" s="277"/>
      <c r="AC136" s="277"/>
      <c r="AD136" s="277"/>
      <c r="AE136" s="277"/>
      <c r="AF136" s="277"/>
      <c r="AG136" s="277"/>
      <c r="AH136" s="277"/>
    </row>
    <row r="137" ht="15.75" customHeight="1">
      <c r="A137" s="277"/>
      <c r="B137" s="277"/>
      <c r="C137" s="277"/>
      <c r="D137" s="286"/>
      <c r="E137" s="28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  <c r="AF137" s="277"/>
      <c r="AG137" s="277"/>
      <c r="AH137" s="277"/>
    </row>
    <row r="138" ht="15.75" customHeight="1">
      <c r="A138" s="277"/>
      <c r="B138" s="277"/>
      <c r="C138" s="277"/>
      <c r="D138" s="286"/>
      <c r="E138" s="28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  <c r="AF138" s="277"/>
      <c r="AG138" s="277"/>
      <c r="AH138" s="277"/>
    </row>
    <row r="139" ht="15.75" customHeight="1">
      <c r="A139" s="277"/>
      <c r="B139" s="277"/>
      <c r="C139" s="277"/>
      <c r="D139" s="286"/>
      <c r="E139" s="28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  <c r="AF139" s="277"/>
      <c r="AG139" s="277"/>
      <c r="AH139" s="277"/>
    </row>
    <row r="140" ht="15.75" customHeight="1">
      <c r="A140" s="277"/>
      <c r="B140" s="277"/>
      <c r="C140" s="277"/>
      <c r="D140" s="286"/>
      <c r="E140" s="28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  <c r="AF140" s="277"/>
      <c r="AG140" s="277"/>
      <c r="AH140" s="277"/>
    </row>
    <row r="141" ht="15.75" customHeight="1">
      <c r="A141" s="277"/>
      <c r="B141" s="277"/>
      <c r="C141" s="277"/>
      <c r="D141" s="286"/>
      <c r="E141" s="28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  <c r="AF141" s="277"/>
      <c r="AG141" s="277"/>
      <c r="AH141" s="277"/>
    </row>
    <row r="142" ht="15.75" customHeight="1">
      <c r="A142" s="277"/>
      <c r="B142" s="277"/>
      <c r="C142" s="277"/>
      <c r="D142" s="286"/>
      <c r="E142" s="28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  <c r="W142" s="277"/>
      <c r="X142" s="277"/>
      <c r="Y142" s="277"/>
      <c r="Z142" s="277"/>
      <c r="AA142" s="277"/>
      <c r="AB142" s="277"/>
      <c r="AC142" s="277"/>
      <c r="AD142" s="277"/>
      <c r="AE142" s="277"/>
      <c r="AF142" s="277"/>
      <c r="AG142" s="277"/>
      <c r="AH142" s="277"/>
    </row>
    <row r="143" ht="15.75" customHeight="1">
      <c r="A143" s="277"/>
      <c r="B143" s="277"/>
      <c r="C143" s="277"/>
      <c r="D143" s="286"/>
      <c r="E143" s="28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  <c r="AF143" s="277"/>
      <c r="AG143" s="277"/>
      <c r="AH143" s="277"/>
    </row>
    <row r="144" ht="15.75" customHeight="1">
      <c r="A144" s="277"/>
      <c r="B144" s="277"/>
      <c r="C144" s="277"/>
      <c r="D144" s="286"/>
      <c r="E144" s="28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77"/>
      <c r="AB144" s="277"/>
      <c r="AC144" s="277"/>
      <c r="AD144" s="277"/>
      <c r="AE144" s="277"/>
      <c r="AF144" s="277"/>
      <c r="AG144" s="277"/>
      <c r="AH144" s="277"/>
    </row>
    <row r="145" ht="15.75" customHeight="1">
      <c r="A145" s="277"/>
      <c r="B145" s="277"/>
      <c r="C145" s="277"/>
      <c r="D145" s="286"/>
      <c r="E145" s="28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</row>
    <row r="146" ht="15.75" customHeight="1">
      <c r="A146" s="277"/>
      <c r="B146" s="277"/>
      <c r="C146" s="277"/>
      <c r="D146" s="286"/>
      <c r="E146" s="28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  <c r="W146" s="277"/>
      <c r="X146" s="277"/>
      <c r="Y146" s="277"/>
      <c r="Z146" s="277"/>
      <c r="AA146" s="277"/>
      <c r="AB146" s="277"/>
      <c r="AC146" s="277"/>
      <c r="AD146" s="277"/>
      <c r="AE146" s="277"/>
      <c r="AF146" s="277"/>
      <c r="AG146" s="277"/>
      <c r="AH146" s="277"/>
    </row>
    <row r="147" ht="15.75" customHeight="1">
      <c r="A147" s="277"/>
      <c r="B147" s="277"/>
      <c r="C147" s="277"/>
      <c r="D147" s="286"/>
      <c r="E147" s="28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  <c r="AF147" s="277"/>
      <c r="AG147" s="277"/>
      <c r="AH147" s="277"/>
    </row>
    <row r="148" ht="15.75" customHeight="1">
      <c r="A148" s="277"/>
      <c r="B148" s="277"/>
      <c r="C148" s="277"/>
      <c r="D148" s="286"/>
      <c r="E148" s="28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77"/>
      <c r="AB148" s="277"/>
      <c r="AC148" s="277"/>
      <c r="AD148" s="277"/>
      <c r="AE148" s="277"/>
      <c r="AF148" s="277"/>
      <c r="AG148" s="277"/>
      <c r="AH148" s="277"/>
    </row>
    <row r="149" ht="15.75" customHeight="1">
      <c r="A149" s="277"/>
      <c r="B149" s="277"/>
      <c r="C149" s="277"/>
      <c r="D149" s="286"/>
      <c r="E149" s="28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  <c r="AF149" s="277"/>
      <c r="AG149" s="277"/>
      <c r="AH149" s="277"/>
    </row>
    <row r="150" ht="15.75" customHeight="1">
      <c r="A150" s="277"/>
      <c r="B150" s="277"/>
      <c r="C150" s="277"/>
      <c r="D150" s="286"/>
      <c r="E150" s="28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  <c r="AH150" s="277"/>
    </row>
    <row r="151" ht="15.75" customHeight="1">
      <c r="A151" s="277"/>
      <c r="B151" s="277"/>
      <c r="C151" s="277"/>
      <c r="D151" s="286"/>
      <c r="E151" s="28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  <c r="AF151" s="277"/>
      <c r="AG151" s="277"/>
      <c r="AH151" s="277"/>
    </row>
    <row r="152" ht="15.75" customHeight="1">
      <c r="A152" s="277"/>
      <c r="B152" s="277"/>
      <c r="C152" s="277"/>
      <c r="D152" s="286"/>
      <c r="E152" s="28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277"/>
      <c r="Y152" s="277"/>
      <c r="Z152" s="277"/>
      <c r="AA152" s="277"/>
      <c r="AB152" s="277"/>
      <c r="AC152" s="277"/>
      <c r="AD152" s="277"/>
      <c r="AE152" s="277"/>
      <c r="AF152" s="277"/>
      <c r="AG152" s="277"/>
      <c r="AH152" s="277"/>
    </row>
    <row r="153" ht="15.75" customHeight="1">
      <c r="A153" s="277"/>
      <c r="B153" s="277"/>
      <c r="C153" s="277"/>
      <c r="D153" s="286"/>
      <c r="E153" s="28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</row>
    <row r="154" ht="15.75" customHeight="1">
      <c r="A154" s="277"/>
      <c r="B154" s="277"/>
      <c r="C154" s="277"/>
      <c r="D154" s="286"/>
      <c r="E154" s="28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</row>
    <row r="155" ht="15.75" customHeight="1">
      <c r="A155" s="277"/>
      <c r="B155" s="277"/>
      <c r="C155" s="277"/>
      <c r="D155" s="286"/>
      <c r="E155" s="28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  <c r="AF155" s="277"/>
      <c r="AG155" s="277"/>
      <c r="AH155" s="277"/>
    </row>
    <row r="156" ht="15.75" customHeight="1">
      <c r="A156" s="277"/>
      <c r="B156" s="277"/>
      <c r="C156" s="277"/>
      <c r="D156" s="286"/>
      <c r="E156" s="28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77"/>
      <c r="AB156" s="277"/>
      <c r="AC156" s="277"/>
      <c r="AD156" s="277"/>
      <c r="AE156" s="277"/>
      <c r="AF156" s="277"/>
      <c r="AG156" s="277"/>
      <c r="AH156" s="277"/>
    </row>
    <row r="157" ht="15.75" customHeight="1">
      <c r="A157" s="277"/>
      <c r="B157" s="277"/>
      <c r="C157" s="277"/>
      <c r="D157" s="286"/>
      <c r="E157" s="28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  <c r="AF157" s="277"/>
      <c r="AG157" s="277"/>
      <c r="AH157" s="277"/>
    </row>
    <row r="158" ht="15.75" customHeight="1">
      <c r="A158" s="277"/>
      <c r="B158" s="277"/>
      <c r="C158" s="277"/>
      <c r="D158" s="286"/>
      <c r="E158" s="28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  <c r="AF158" s="277"/>
      <c r="AG158" s="277"/>
      <c r="AH158" s="277"/>
    </row>
    <row r="159" ht="15.75" customHeight="1">
      <c r="A159" s="277"/>
      <c r="B159" s="277"/>
      <c r="C159" s="277"/>
      <c r="D159" s="286"/>
      <c r="E159" s="28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  <c r="AF159" s="277"/>
      <c r="AG159" s="277"/>
      <c r="AH159" s="277"/>
    </row>
    <row r="160" ht="15.75" customHeight="1">
      <c r="A160" s="277"/>
      <c r="B160" s="277"/>
      <c r="C160" s="277"/>
      <c r="D160" s="286"/>
      <c r="E160" s="28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</row>
    <row r="161" ht="15.75" customHeight="1">
      <c r="A161" s="277"/>
      <c r="B161" s="277"/>
      <c r="C161" s="277"/>
      <c r="D161" s="286"/>
      <c r="E161" s="28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</row>
    <row r="162" ht="15.75" customHeight="1">
      <c r="A162" s="277"/>
      <c r="B162" s="277"/>
      <c r="C162" s="277"/>
      <c r="D162" s="286"/>
      <c r="E162" s="28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  <c r="AF162" s="277"/>
      <c r="AG162" s="277"/>
      <c r="AH162" s="277"/>
    </row>
    <row r="163" ht="15.75" customHeight="1">
      <c r="A163" s="277"/>
      <c r="B163" s="277"/>
      <c r="C163" s="277"/>
      <c r="D163" s="286"/>
      <c r="E163" s="28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</row>
    <row r="164" ht="15.75" customHeight="1">
      <c r="A164" s="277"/>
      <c r="B164" s="277"/>
      <c r="C164" s="277"/>
      <c r="D164" s="286"/>
      <c r="E164" s="28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  <c r="AF164" s="277"/>
      <c r="AG164" s="277"/>
      <c r="AH164" s="277"/>
    </row>
    <row r="165" ht="15.75" customHeight="1">
      <c r="A165" s="277"/>
      <c r="B165" s="277"/>
      <c r="C165" s="277"/>
      <c r="D165" s="286"/>
      <c r="E165" s="28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</row>
    <row r="166" ht="15.75" customHeight="1">
      <c r="A166" s="277"/>
      <c r="B166" s="277"/>
      <c r="C166" s="277"/>
      <c r="D166" s="286"/>
      <c r="E166" s="28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7"/>
      <c r="AH166" s="277"/>
    </row>
    <row r="167" ht="15.75" customHeight="1">
      <c r="A167" s="277"/>
      <c r="B167" s="277"/>
      <c r="C167" s="277"/>
      <c r="D167" s="286"/>
      <c r="E167" s="28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</row>
    <row r="168" ht="15.75" customHeight="1">
      <c r="A168" s="277"/>
      <c r="B168" s="277"/>
      <c r="C168" s="277"/>
      <c r="D168" s="286"/>
      <c r="E168" s="28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  <c r="W168" s="277"/>
      <c r="X168" s="277"/>
      <c r="Y168" s="277"/>
      <c r="Z168" s="277"/>
      <c r="AA168" s="277"/>
      <c r="AB168" s="277"/>
      <c r="AC168" s="277"/>
      <c r="AD168" s="277"/>
      <c r="AE168" s="277"/>
      <c r="AF168" s="277"/>
      <c r="AG168" s="277"/>
      <c r="AH168" s="277"/>
    </row>
    <row r="169" ht="15.75" customHeight="1">
      <c r="A169" s="277"/>
      <c r="B169" s="277"/>
      <c r="C169" s="277"/>
      <c r="D169" s="286"/>
      <c r="E169" s="28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  <c r="AF169" s="277"/>
      <c r="AG169" s="277"/>
      <c r="AH169" s="277"/>
    </row>
    <row r="170" ht="15.75" customHeight="1">
      <c r="A170" s="277"/>
      <c r="B170" s="277"/>
      <c r="C170" s="277"/>
      <c r="D170" s="286"/>
      <c r="E170" s="28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  <c r="AH170" s="277"/>
    </row>
    <row r="171" ht="15.75" customHeight="1">
      <c r="A171" s="277"/>
      <c r="B171" s="277"/>
      <c r="C171" s="277"/>
      <c r="D171" s="286"/>
      <c r="E171" s="28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  <c r="AH171" s="277"/>
    </row>
    <row r="172" ht="15.75" customHeight="1">
      <c r="A172" s="277"/>
      <c r="B172" s="277"/>
      <c r="C172" s="277"/>
      <c r="D172" s="286"/>
      <c r="E172" s="28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  <c r="AF172" s="277"/>
      <c r="AG172" s="277"/>
      <c r="AH172" s="277"/>
    </row>
    <row r="173" ht="15.75" customHeight="1">
      <c r="A173" s="277"/>
      <c r="B173" s="277"/>
      <c r="C173" s="277"/>
      <c r="D173" s="286"/>
      <c r="E173" s="28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  <c r="AH173" s="277"/>
    </row>
    <row r="174" ht="15.75" customHeight="1">
      <c r="A174" s="277"/>
      <c r="B174" s="277"/>
      <c r="C174" s="277"/>
      <c r="D174" s="286"/>
      <c r="E174" s="28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  <c r="W174" s="277"/>
      <c r="X174" s="277"/>
      <c r="Y174" s="277"/>
      <c r="Z174" s="277"/>
      <c r="AA174" s="277"/>
      <c r="AB174" s="277"/>
      <c r="AC174" s="277"/>
      <c r="AD174" s="277"/>
      <c r="AE174" s="277"/>
      <c r="AF174" s="277"/>
      <c r="AG174" s="277"/>
      <c r="AH174" s="277"/>
    </row>
    <row r="175" ht="15.75" customHeight="1">
      <c r="A175" s="277"/>
      <c r="B175" s="277"/>
      <c r="C175" s="277"/>
      <c r="D175" s="286"/>
      <c r="E175" s="28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</row>
    <row r="176" ht="15.75" customHeight="1">
      <c r="A176" s="277"/>
      <c r="B176" s="277"/>
      <c r="C176" s="277"/>
      <c r="D176" s="286"/>
      <c r="E176" s="28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  <c r="AF176" s="277"/>
      <c r="AG176" s="277"/>
      <c r="AH176" s="277"/>
    </row>
    <row r="177" ht="15.75" customHeight="1">
      <c r="A177" s="277"/>
      <c r="B177" s="277"/>
      <c r="C177" s="277"/>
      <c r="D177" s="286"/>
      <c r="E177" s="28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</row>
    <row r="178" ht="15.75" customHeight="1">
      <c r="A178" s="277"/>
      <c r="B178" s="277"/>
      <c r="C178" s="277"/>
      <c r="D178" s="286"/>
      <c r="E178" s="28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7"/>
      <c r="AH178" s="277"/>
    </row>
    <row r="179" ht="15.75" customHeight="1">
      <c r="A179" s="277"/>
      <c r="B179" s="277"/>
      <c r="C179" s="277"/>
      <c r="D179" s="286"/>
      <c r="E179" s="28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F179" s="277"/>
      <c r="AG179" s="277"/>
      <c r="AH179" s="277"/>
    </row>
    <row r="180" ht="15.75" customHeight="1">
      <c r="A180" s="277"/>
      <c r="B180" s="277"/>
      <c r="C180" s="277"/>
      <c r="D180" s="286"/>
      <c r="E180" s="28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  <c r="AF180" s="277"/>
      <c r="AG180" s="277"/>
      <c r="AH180" s="277"/>
    </row>
    <row r="181" ht="15.75" customHeight="1">
      <c r="A181" s="277"/>
      <c r="B181" s="277"/>
      <c r="C181" s="277"/>
      <c r="D181" s="286"/>
      <c r="E181" s="28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7"/>
      <c r="AH181" s="277"/>
    </row>
    <row r="182" ht="15.75" customHeight="1">
      <c r="A182" s="277"/>
      <c r="B182" s="277"/>
      <c r="C182" s="277"/>
      <c r="D182" s="286"/>
      <c r="E182" s="28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  <c r="AF182" s="277"/>
      <c r="AG182" s="277"/>
      <c r="AH182" s="277"/>
    </row>
    <row r="183" ht="15.75" customHeight="1">
      <c r="A183" s="277"/>
      <c r="B183" s="277"/>
      <c r="C183" s="277"/>
      <c r="D183" s="286"/>
      <c r="E183" s="28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</row>
    <row r="184" ht="15.75" customHeight="1">
      <c r="A184" s="277"/>
      <c r="B184" s="277"/>
      <c r="C184" s="277"/>
      <c r="D184" s="286"/>
      <c r="E184" s="28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  <c r="AF184" s="277"/>
      <c r="AG184" s="277"/>
      <c r="AH184" s="277"/>
    </row>
    <row r="185" ht="15.75" customHeight="1">
      <c r="A185" s="277"/>
      <c r="B185" s="277"/>
      <c r="C185" s="277"/>
      <c r="D185" s="286"/>
      <c r="E185" s="28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  <c r="AF185" s="277"/>
      <c r="AG185" s="277"/>
      <c r="AH185" s="277"/>
    </row>
    <row r="186" ht="15.75" customHeight="1">
      <c r="A186" s="277"/>
      <c r="B186" s="277"/>
      <c r="C186" s="277"/>
      <c r="D186" s="286"/>
      <c r="E186" s="28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  <c r="AF186" s="277"/>
      <c r="AG186" s="277"/>
      <c r="AH186" s="277"/>
    </row>
    <row r="187" ht="15.75" customHeight="1">
      <c r="A187" s="277"/>
      <c r="B187" s="277"/>
      <c r="C187" s="277"/>
      <c r="D187" s="286"/>
      <c r="E187" s="28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  <c r="AF187" s="277"/>
      <c r="AG187" s="277"/>
      <c r="AH187" s="277"/>
    </row>
    <row r="188" ht="15.75" customHeight="1">
      <c r="A188" s="277"/>
      <c r="B188" s="277"/>
      <c r="C188" s="277"/>
      <c r="D188" s="286"/>
      <c r="E188" s="28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  <c r="AF188" s="277"/>
      <c r="AG188" s="277"/>
      <c r="AH188" s="277"/>
    </row>
    <row r="189" ht="15.75" customHeight="1">
      <c r="A189" s="277"/>
      <c r="B189" s="277"/>
      <c r="C189" s="277"/>
      <c r="D189" s="286"/>
      <c r="E189" s="28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</row>
    <row r="190" ht="15.75" customHeight="1">
      <c r="A190" s="277"/>
      <c r="B190" s="277"/>
      <c r="C190" s="277"/>
      <c r="D190" s="286"/>
      <c r="E190" s="28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  <c r="AF190" s="277"/>
      <c r="AG190" s="277"/>
      <c r="AH190" s="277"/>
    </row>
    <row r="191" ht="15.75" customHeight="1">
      <c r="A191" s="277"/>
      <c r="B191" s="277"/>
      <c r="C191" s="277"/>
      <c r="D191" s="286"/>
      <c r="E191" s="28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  <c r="AH191" s="277"/>
    </row>
    <row r="192" ht="15.75" customHeight="1">
      <c r="A192" s="277"/>
      <c r="B192" s="277"/>
      <c r="C192" s="277"/>
      <c r="D192" s="286"/>
      <c r="E192" s="28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  <c r="AF192" s="277"/>
      <c r="AG192" s="277"/>
      <c r="AH192" s="277"/>
    </row>
    <row r="193" ht="15.75" customHeight="1">
      <c r="A193" s="277"/>
      <c r="B193" s="277"/>
      <c r="C193" s="277"/>
      <c r="D193" s="286"/>
      <c r="E193" s="28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  <c r="AF193" s="277"/>
      <c r="AG193" s="277"/>
      <c r="AH193" s="277"/>
    </row>
    <row r="194" ht="15.75" customHeight="1">
      <c r="A194" s="277"/>
      <c r="B194" s="277"/>
      <c r="C194" s="277"/>
      <c r="D194" s="286"/>
      <c r="E194" s="28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77"/>
      <c r="AB194" s="277"/>
      <c r="AC194" s="277"/>
      <c r="AD194" s="277"/>
      <c r="AE194" s="277"/>
      <c r="AF194" s="277"/>
      <c r="AG194" s="277"/>
      <c r="AH194" s="277"/>
    </row>
    <row r="195" ht="15.75" customHeight="1">
      <c r="A195" s="277"/>
      <c r="B195" s="277"/>
      <c r="C195" s="277"/>
      <c r="D195" s="286"/>
      <c r="E195" s="28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  <c r="AF195" s="277"/>
      <c r="AG195" s="277"/>
      <c r="AH195" s="277"/>
    </row>
    <row r="196" ht="15.75" customHeight="1">
      <c r="A196" s="277"/>
      <c r="B196" s="277"/>
      <c r="C196" s="277"/>
      <c r="D196" s="286"/>
      <c r="E196" s="28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77"/>
      <c r="AB196" s="277"/>
      <c r="AC196" s="277"/>
      <c r="AD196" s="277"/>
      <c r="AE196" s="277"/>
      <c r="AF196" s="277"/>
      <c r="AG196" s="277"/>
      <c r="AH196" s="277"/>
    </row>
    <row r="197" ht="15.75" customHeight="1">
      <c r="A197" s="277"/>
      <c r="B197" s="277"/>
      <c r="C197" s="277"/>
      <c r="D197" s="286"/>
      <c r="E197" s="28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  <c r="AA197" s="277"/>
      <c r="AB197" s="277"/>
      <c r="AC197" s="277"/>
      <c r="AD197" s="277"/>
      <c r="AE197" s="277"/>
      <c r="AF197" s="277"/>
      <c r="AG197" s="277"/>
      <c r="AH197" s="277"/>
    </row>
    <row r="198" ht="15.75" customHeight="1">
      <c r="A198" s="277"/>
      <c r="B198" s="277"/>
      <c r="C198" s="277"/>
      <c r="D198" s="286"/>
      <c r="E198" s="28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77"/>
      <c r="AB198" s="277"/>
      <c r="AC198" s="277"/>
      <c r="AD198" s="277"/>
      <c r="AE198" s="277"/>
      <c r="AF198" s="277"/>
      <c r="AG198" s="277"/>
      <c r="AH198" s="277"/>
    </row>
    <row r="199" ht="15.75" customHeight="1">
      <c r="A199" s="277"/>
      <c r="B199" s="277"/>
      <c r="C199" s="277"/>
      <c r="D199" s="286"/>
      <c r="E199" s="28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77"/>
      <c r="AB199" s="277"/>
      <c r="AC199" s="277"/>
      <c r="AD199" s="277"/>
      <c r="AE199" s="277"/>
      <c r="AF199" s="277"/>
      <c r="AG199" s="277"/>
      <c r="AH199" s="277"/>
    </row>
    <row r="200" ht="15.75" customHeight="1">
      <c r="A200" s="277"/>
      <c r="B200" s="277"/>
      <c r="C200" s="277"/>
      <c r="D200" s="286"/>
      <c r="E200" s="28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  <c r="AF200" s="277"/>
      <c r="AG200" s="277"/>
      <c r="AH200" s="277"/>
    </row>
    <row r="201" ht="15.75" customHeight="1">
      <c r="A201" s="277"/>
      <c r="B201" s="277"/>
      <c r="C201" s="277"/>
      <c r="D201" s="286"/>
      <c r="E201" s="28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  <c r="AA201" s="277"/>
      <c r="AB201" s="277"/>
      <c r="AC201" s="277"/>
      <c r="AD201" s="277"/>
      <c r="AE201" s="277"/>
      <c r="AF201" s="277"/>
      <c r="AG201" s="277"/>
      <c r="AH201" s="277"/>
    </row>
    <row r="202" ht="15.75" customHeight="1">
      <c r="A202" s="277"/>
      <c r="B202" s="277"/>
      <c r="C202" s="277"/>
      <c r="D202" s="286"/>
      <c r="E202" s="28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77"/>
      <c r="AB202" s="277"/>
      <c r="AC202" s="277"/>
      <c r="AD202" s="277"/>
      <c r="AE202" s="277"/>
      <c r="AF202" s="277"/>
      <c r="AG202" s="277"/>
      <c r="AH202" s="277"/>
    </row>
    <row r="203" ht="15.75" customHeight="1">
      <c r="A203" s="277"/>
      <c r="B203" s="277"/>
      <c r="C203" s="277"/>
      <c r="D203" s="286"/>
      <c r="E203" s="28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77"/>
      <c r="AB203" s="277"/>
      <c r="AC203" s="277"/>
      <c r="AD203" s="277"/>
      <c r="AE203" s="277"/>
      <c r="AF203" s="277"/>
      <c r="AG203" s="277"/>
      <c r="AH203" s="277"/>
    </row>
    <row r="204" ht="15.75" customHeight="1">
      <c r="A204" s="277"/>
      <c r="B204" s="277"/>
      <c r="C204" s="277"/>
      <c r="D204" s="286"/>
      <c r="E204" s="28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77"/>
      <c r="AB204" s="277"/>
      <c r="AC204" s="277"/>
      <c r="AD204" s="277"/>
      <c r="AE204" s="277"/>
      <c r="AF204" s="277"/>
      <c r="AG204" s="277"/>
      <c r="AH204" s="277"/>
    </row>
    <row r="205" ht="15.75" customHeight="1">
      <c r="A205" s="277"/>
      <c r="B205" s="277"/>
      <c r="C205" s="277"/>
      <c r="D205" s="286"/>
      <c r="E205" s="28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  <c r="AF205" s="277"/>
      <c r="AG205" s="277"/>
      <c r="AH205" s="277"/>
    </row>
    <row r="206" ht="15.75" customHeight="1">
      <c r="A206" s="277"/>
      <c r="B206" s="277"/>
      <c r="C206" s="277"/>
      <c r="D206" s="286"/>
      <c r="E206" s="28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  <c r="AF206" s="277"/>
      <c r="AG206" s="277"/>
      <c r="AH206" s="277"/>
    </row>
    <row r="207" ht="15.75" customHeight="1">
      <c r="A207" s="277"/>
      <c r="B207" s="277"/>
      <c r="C207" s="277"/>
      <c r="D207" s="286"/>
      <c r="E207" s="28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F207" s="277"/>
      <c r="AG207" s="277"/>
      <c r="AH207" s="277"/>
    </row>
    <row r="208" ht="15.75" customHeight="1">
      <c r="A208" s="277"/>
      <c r="B208" s="277"/>
      <c r="C208" s="277"/>
      <c r="D208" s="286"/>
      <c r="E208" s="28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77"/>
      <c r="AB208" s="277"/>
      <c r="AC208" s="277"/>
      <c r="AD208" s="277"/>
      <c r="AE208" s="277"/>
      <c r="AF208" s="277"/>
      <c r="AG208" s="277"/>
      <c r="AH208" s="277"/>
    </row>
    <row r="209" ht="15.75" customHeight="1">
      <c r="A209" s="277"/>
      <c r="B209" s="277"/>
      <c r="C209" s="277"/>
      <c r="D209" s="286"/>
      <c r="E209" s="28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  <c r="AF209" s="277"/>
      <c r="AG209" s="277"/>
      <c r="AH209" s="277"/>
    </row>
    <row r="210" ht="15.75" customHeight="1">
      <c r="A210" s="277"/>
      <c r="B210" s="277"/>
      <c r="C210" s="277"/>
      <c r="D210" s="286"/>
      <c r="E210" s="28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77"/>
      <c r="AB210" s="277"/>
      <c r="AC210" s="277"/>
      <c r="AD210" s="277"/>
      <c r="AE210" s="277"/>
      <c r="AF210" s="277"/>
      <c r="AG210" s="277"/>
      <c r="AH210" s="277"/>
    </row>
    <row r="211" ht="15.75" customHeight="1">
      <c r="A211" s="277"/>
      <c r="B211" s="277"/>
      <c r="C211" s="277"/>
      <c r="D211" s="286"/>
      <c r="E211" s="28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7"/>
      <c r="AH211" s="277"/>
    </row>
    <row r="212" ht="15.75" customHeight="1">
      <c r="A212" s="277"/>
      <c r="B212" s="277"/>
      <c r="C212" s="277"/>
      <c r="D212" s="286"/>
      <c r="E212" s="28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  <c r="AF212" s="277"/>
      <c r="AG212" s="277"/>
      <c r="AH212" s="277"/>
    </row>
    <row r="213" ht="15.75" customHeight="1">
      <c r="A213" s="277"/>
      <c r="B213" s="277"/>
      <c r="C213" s="277"/>
      <c r="D213" s="286"/>
      <c r="E213" s="28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77"/>
      <c r="AB213" s="277"/>
      <c r="AC213" s="277"/>
      <c r="AD213" s="277"/>
      <c r="AE213" s="277"/>
      <c r="AF213" s="277"/>
      <c r="AG213" s="277"/>
      <c r="AH213" s="277"/>
    </row>
    <row r="214" ht="15.75" customHeight="1">
      <c r="A214" s="277"/>
      <c r="B214" s="277"/>
      <c r="C214" s="277"/>
      <c r="D214" s="286"/>
      <c r="E214" s="28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77"/>
      <c r="AB214" s="277"/>
      <c r="AC214" s="277"/>
      <c r="AD214" s="277"/>
      <c r="AE214" s="277"/>
      <c r="AF214" s="277"/>
      <c r="AG214" s="277"/>
      <c r="AH214" s="277"/>
    </row>
    <row r="215" ht="15.75" customHeight="1">
      <c r="A215" s="277"/>
      <c r="B215" s="277"/>
      <c r="C215" s="277"/>
      <c r="D215" s="286"/>
      <c r="E215" s="28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  <c r="AF215" s="277"/>
      <c r="AG215" s="277"/>
      <c r="AH215" s="277"/>
    </row>
    <row r="216" ht="15.75" customHeight="1">
      <c r="A216" s="277"/>
      <c r="B216" s="277"/>
      <c r="C216" s="277"/>
      <c r="D216" s="286"/>
      <c r="E216" s="28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  <c r="AA216" s="277"/>
      <c r="AB216" s="277"/>
      <c r="AC216" s="277"/>
      <c r="AD216" s="277"/>
      <c r="AE216" s="277"/>
      <c r="AF216" s="277"/>
      <c r="AG216" s="277"/>
      <c r="AH216" s="277"/>
    </row>
    <row r="217" ht="15.75" customHeight="1">
      <c r="A217" s="277"/>
      <c r="B217" s="277"/>
      <c r="C217" s="277"/>
      <c r="D217" s="286"/>
      <c r="E217" s="28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  <c r="AF217" s="277"/>
      <c r="AG217" s="277"/>
      <c r="AH217" s="277"/>
    </row>
    <row r="218" ht="15.75" customHeight="1">
      <c r="A218" s="277"/>
      <c r="B218" s="277"/>
      <c r="C218" s="277"/>
      <c r="D218" s="286"/>
      <c r="E218" s="28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77"/>
      <c r="AB218" s="277"/>
      <c r="AC218" s="277"/>
      <c r="AD218" s="277"/>
      <c r="AE218" s="277"/>
      <c r="AF218" s="277"/>
      <c r="AG218" s="277"/>
      <c r="AH218" s="277"/>
    </row>
    <row r="219" ht="15.75" customHeight="1">
      <c r="A219" s="277"/>
      <c r="B219" s="277"/>
      <c r="C219" s="277"/>
      <c r="D219" s="286"/>
      <c r="E219" s="28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77"/>
      <c r="AB219" s="277"/>
      <c r="AC219" s="277"/>
      <c r="AD219" s="277"/>
      <c r="AE219" s="277"/>
      <c r="AF219" s="277"/>
      <c r="AG219" s="277"/>
      <c r="AH219" s="277"/>
    </row>
    <row r="220" ht="15.75" customHeight="1">
      <c r="A220" s="277"/>
      <c r="B220" s="277"/>
      <c r="C220" s="277"/>
      <c r="D220" s="286"/>
      <c r="E220" s="28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77"/>
      <c r="AB220" s="277"/>
      <c r="AC220" s="277"/>
      <c r="AD220" s="277"/>
      <c r="AE220" s="277"/>
      <c r="AF220" s="277"/>
      <c r="AG220" s="277"/>
      <c r="AH220" s="277"/>
    </row>
    <row r="221" ht="15.75" customHeight="1">
      <c r="A221" s="277"/>
      <c r="B221" s="277"/>
      <c r="C221" s="277"/>
      <c r="D221" s="286"/>
      <c r="E221" s="28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77"/>
      <c r="AB221" s="277"/>
      <c r="AC221" s="277"/>
      <c r="AD221" s="277"/>
      <c r="AE221" s="277"/>
      <c r="AF221" s="277"/>
      <c r="AG221" s="277"/>
      <c r="AH221" s="277"/>
    </row>
    <row r="222" ht="15.75" customHeight="1">
      <c r="A222" s="277"/>
      <c r="B222" s="277"/>
      <c r="C222" s="277"/>
      <c r="D222" s="286"/>
      <c r="E222" s="28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77"/>
      <c r="AB222" s="277"/>
      <c r="AC222" s="277"/>
      <c r="AD222" s="277"/>
      <c r="AE222" s="277"/>
      <c r="AF222" s="277"/>
      <c r="AG222" s="277"/>
      <c r="AH222" s="277"/>
    </row>
    <row r="223" ht="15.75" customHeight="1">
      <c r="A223" s="277"/>
      <c r="B223" s="277"/>
      <c r="C223" s="277"/>
      <c r="D223" s="286"/>
      <c r="E223" s="28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77"/>
      <c r="AB223" s="277"/>
      <c r="AC223" s="277"/>
      <c r="AD223" s="277"/>
      <c r="AE223" s="277"/>
      <c r="AF223" s="277"/>
      <c r="AG223" s="277"/>
      <c r="AH223" s="277"/>
    </row>
    <row r="224" ht="15.75" customHeight="1">
      <c r="A224" s="277"/>
      <c r="B224" s="277"/>
      <c r="C224" s="277"/>
      <c r="D224" s="286"/>
      <c r="E224" s="28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77"/>
      <c r="AB224" s="277"/>
      <c r="AC224" s="277"/>
      <c r="AD224" s="277"/>
      <c r="AE224" s="277"/>
      <c r="AF224" s="277"/>
      <c r="AG224" s="277"/>
      <c r="AH224" s="277"/>
    </row>
    <row r="225" ht="15.75" customHeight="1">
      <c r="A225" s="277"/>
      <c r="B225" s="277"/>
      <c r="C225" s="277"/>
      <c r="D225" s="286"/>
      <c r="E225" s="28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77"/>
      <c r="AB225" s="277"/>
      <c r="AC225" s="277"/>
      <c r="AD225" s="277"/>
      <c r="AE225" s="277"/>
      <c r="AF225" s="277"/>
      <c r="AG225" s="277"/>
      <c r="AH225" s="277"/>
    </row>
    <row r="226" ht="15.75" customHeight="1">
      <c r="A226" s="277"/>
      <c r="B226" s="277"/>
      <c r="C226" s="277"/>
      <c r="D226" s="286"/>
      <c r="E226" s="28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77"/>
      <c r="AB226" s="277"/>
      <c r="AC226" s="277"/>
      <c r="AD226" s="277"/>
      <c r="AE226" s="277"/>
      <c r="AF226" s="277"/>
      <c r="AG226" s="277"/>
      <c r="AH226" s="277"/>
    </row>
    <row r="227" ht="15.75" customHeight="1">
      <c r="A227" s="277"/>
      <c r="B227" s="277"/>
      <c r="C227" s="277"/>
      <c r="D227" s="286"/>
      <c r="E227" s="28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77"/>
      <c r="AB227" s="277"/>
      <c r="AC227" s="277"/>
      <c r="AD227" s="277"/>
      <c r="AE227" s="277"/>
      <c r="AF227" s="277"/>
      <c r="AG227" s="277"/>
      <c r="AH227" s="277"/>
    </row>
    <row r="228" ht="15.75" customHeight="1">
      <c r="A228" s="277"/>
      <c r="B228" s="277"/>
      <c r="C228" s="277"/>
      <c r="D228" s="286"/>
      <c r="E228" s="28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77"/>
      <c r="AB228" s="277"/>
      <c r="AC228" s="277"/>
      <c r="AD228" s="277"/>
      <c r="AE228" s="277"/>
      <c r="AF228" s="277"/>
      <c r="AG228" s="277"/>
      <c r="AH228" s="277"/>
    </row>
    <row r="229" ht="15.75" customHeight="1">
      <c r="A229" s="277"/>
      <c r="B229" s="277"/>
      <c r="C229" s="277"/>
      <c r="D229" s="286"/>
      <c r="E229" s="28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77"/>
      <c r="AB229" s="277"/>
      <c r="AC229" s="277"/>
      <c r="AD229" s="277"/>
      <c r="AE229" s="277"/>
      <c r="AF229" s="277"/>
      <c r="AG229" s="277"/>
      <c r="AH229" s="277"/>
    </row>
    <row r="230" ht="15.75" customHeight="1">
      <c r="A230" s="277"/>
      <c r="B230" s="277"/>
      <c r="C230" s="277"/>
      <c r="D230" s="286"/>
      <c r="E230" s="28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7"/>
      <c r="AH230" s="277"/>
    </row>
    <row r="231" ht="15.75" customHeight="1">
      <c r="A231" s="277"/>
      <c r="B231" s="277"/>
      <c r="C231" s="277"/>
      <c r="D231" s="286"/>
      <c r="E231" s="28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77"/>
      <c r="AB231" s="277"/>
      <c r="AC231" s="277"/>
      <c r="AD231" s="277"/>
      <c r="AE231" s="277"/>
      <c r="AF231" s="277"/>
      <c r="AG231" s="277"/>
      <c r="AH231" s="277"/>
    </row>
    <row r="232" ht="15.75" customHeight="1">
      <c r="A232" s="277"/>
      <c r="B232" s="277"/>
      <c r="C232" s="277"/>
      <c r="D232" s="286"/>
      <c r="E232" s="28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77"/>
      <c r="AB232" s="277"/>
      <c r="AC232" s="277"/>
      <c r="AD232" s="277"/>
      <c r="AE232" s="277"/>
      <c r="AF232" s="277"/>
      <c r="AG232" s="277"/>
      <c r="AH232" s="277"/>
    </row>
    <row r="233" ht="15.75" customHeight="1">
      <c r="A233" s="277"/>
      <c r="B233" s="277"/>
      <c r="C233" s="277"/>
      <c r="D233" s="286"/>
      <c r="E233" s="28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77"/>
      <c r="AB233" s="277"/>
      <c r="AC233" s="277"/>
      <c r="AD233" s="277"/>
      <c r="AE233" s="277"/>
      <c r="AF233" s="277"/>
      <c r="AG233" s="277"/>
      <c r="AH233" s="277"/>
    </row>
    <row r="234" ht="15.75" customHeight="1">
      <c r="A234" s="277"/>
      <c r="B234" s="277"/>
      <c r="C234" s="277"/>
      <c r="D234" s="286"/>
      <c r="E234" s="28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77"/>
      <c r="AB234" s="277"/>
      <c r="AC234" s="277"/>
      <c r="AD234" s="277"/>
      <c r="AE234" s="277"/>
      <c r="AF234" s="277"/>
      <c r="AG234" s="277"/>
      <c r="AH234" s="277"/>
    </row>
    <row r="235" ht="15.75" customHeight="1">
      <c r="A235" s="277"/>
      <c r="B235" s="277"/>
      <c r="C235" s="277"/>
      <c r="D235" s="286"/>
      <c r="E235" s="28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77"/>
      <c r="AB235" s="277"/>
      <c r="AC235" s="277"/>
      <c r="AD235" s="277"/>
      <c r="AE235" s="277"/>
      <c r="AF235" s="277"/>
      <c r="AG235" s="277"/>
      <c r="AH235" s="277"/>
    </row>
    <row r="236" ht="15.75" customHeight="1">
      <c r="A236" s="277"/>
      <c r="B236" s="277"/>
      <c r="C236" s="277"/>
      <c r="D236" s="286"/>
      <c r="E236" s="28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77"/>
      <c r="AB236" s="277"/>
      <c r="AC236" s="277"/>
      <c r="AD236" s="277"/>
      <c r="AE236" s="277"/>
      <c r="AF236" s="277"/>
      <c r="AG236" s="277"/>
      <c r="AH236" s="277"/>
    </row>
    <row r="237" ht="15.75" customHeight="1">
      <c r="A237" s="277"/>
      <c r="B237" s="277"/>
      <c r="C237" s="277"/>
      <c r="D237" s="286"/>
      <c r="E237" s="28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  <c r="AF237" s="277"/>
      <c r="AG237" s="277"/>
      <c r="AH237" s="277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</sheetData>
  <mergeCells count="9">
    <mergeCell ref="A42:C42"/>
    <mergeCell ref="A43:C43"/>
    <mergeCell ref="A8:E8"/>
    <mergeCell ref="A11:C11"/>
    <mergeCell ref="A12:E12"/>
    <mergeCell ref="A17:C17"/>
    <mergeCell ref="A18:E18"/>
    <mergeCell ref="A29:C29"/>
    <mergeCell ref="A31:E31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1.29"/>
    <col customWidth="1" min="2" max="2" width="17.57"/>
    <col customWidth="1" min="3" max="6" width="24.71"/>
    <col customWidth="1" min="7" max="7" width="20.71"/>
    <col customWidth="1" min="8" max="8" width="18.29"/>
    <col customWidth="1" min="9" max="9" width="19.71"/>
    <col customWidth="1" min="10" max="10" width="19.57"/>
    <col customWidth="1" min="11" max="11" width="20.71"/>
    <col customWidth="1" min="12" max="12" width="21.57"/>
    <col customWidth="1" min="13" max="13" width="24.71"/>
  </cols>
  <sheetData>
    <row r="1" ht="24.0" customHeight="1">
      <c r="A1" s="197" t="s">
        <v>0</v>
      </c>
      <c r="B1" s="171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ht="27.75" customHeight="1">
      <c r="A2" s="198" t="s">
        <v>90</v>
      </c>
      <c r="B2" s="172"/>
      <c r="C2" s="172"/>
      <c r="D2" s="172"/>
      <c r="E2" s="172"/>
      <c r="F2" s="172"/>
      <c r="G2" s="172"/>
      <c r="H2" s="172"/>
      <c r="I2" s="199"/>
      <c r="L2" s="172"/>
      <c r="M2" s="172"/>
    </row>
    <row r="3">
      <c r="A3" s="336" t="s">
        <v>620</v>
      </c>
      <c r="B3" s="66"/>
      <c r="C3" s="66"/>
      <c r="D3" s="337"/>
      <c r="E3" s="338"/>
      <c r="F3" s="338"/>
      <c r="G3" s="338"/>
      <c r="H3" s="338"/>
      <c r="L3" s="339"/>
      <c r="M3" s="339"/>
    </row>
    <row r="4">
      <c r="A4" s="340" t="s">
        <v>3</v>
      </c>
      <c r="B4" s="341"/>
      <c r="C4" s="338"/>
      <c r="D4" s="338"/>
      <c r="E4" s="338"/>
      <c r="F4" s="338"/>
      <c r="G4" s="338"/>
      <c r="H4" s="338"/>
      <c r="L4" s="339"/>
      <c r="M4" s="339"/>
    </row>
    <row r="5">
      <c r="A5" s="340" t="s">
        <v>4</v>
      </c>
      <c r="B5" s="341"/>
      <c r="C5" s="338"/>
      <c r="D5" s="338"/>
      <c r="E5" s="338"/>
      <c r="F5" s="338"/>
      <c r="G5" s="338"/>
      <c r="H5" s="338"/>
      <c r="I5" s="338"/>
      <c r="J5" s="338"/>
      <c r="K5" s="339"/>
      <c r="L5" s="339"/>
      <c r="M5" s="339"/>
    </row>
    <row r="6">
      <c r="A6" s="342"/>
      <c r="B6" s="342"/>
      <c r="C6" s="343"/>
      <c r="D6" s="343"/>
      <c r="E6" s="343"/>
      <c r="F6" s="343"/>
      <c r="G6" s="344"/>
      <c r="H6" s="344"/>
      <c r="I6" s="344"/>
      <c r="J6" s="344"/>
      <c r="K6" s="345"/>
      <c r="L6" s="345"/>
      <c r="M6" s="345"/>
    </row>
    <row r="7" ht="29.25" customHeight="1">
      <c r="A7" s="91" t="s">
        <v>5</v>
      </c>
      <c r="B7" s="91" t="s">
        <v>6</v>
      </c>
      <c r="C7" s="92" t="s">
        <v>93</v>
      </c>
      <c r="D7" s="93"/>
      <c r="E7" s="203" t="s">
        <v>94</v>
      </c>
      <c r="F7" s="93"/>
      <c r="G7" s="204" t="s">
        <v>95</v>
      </c>
      <c r="H7" s="16"/>
      <c r="I7" s="16"/>
      <c r="J7" s="16"/>
      <c r="K7" s="16"/>
      <c r="L7" s="15"/>
      <c r="M7" s="205" t="s">
        <v>621</v>
      </c>
    </row>
    <row r="8" ht="21.0" customHeight="1">
      <c r="A8" s="18"/>
      <c r="B8" s="18"/>
      <c r="C8" s="97"/>
      <c r="D8" s="98"/>
      <c r="E8" s="97"/>
      <c r="F8" s="98"/>
      <c r="G8" s="204" t="s">
        <v>13</v>
      </c>
      <c r="H8" s="15"/>
      <c r="I8" s="204" t="s">
        <v>14</v>
      </c>
      <c r="J8" s="15"/>
      <c r="K8" s="204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203" t="s">
        <v>10</v>
      </c>
      <c r="F9" s="93"/>
      <c r="G9" s="206" t="s">
        <v>18</v>
      </c>
      <c r="H9" s="207" t="s">
        <v>98</v>
      </c>
      <c r="I9" s="206" t="s">
        <v>18</v>
      </c>
      <c r="J9" s="207" t="s">
        <v>98</v>
      </c>
      <c r="K9" s="206" t="s">
        <v>18</v>
      </c>
      <c r="L9" s="207" t="s">
        <v>98</v>
      </c>
      <c r="M9" s="18"/>
    </row>
    <row r="10" ht="73.5" customHeight="1">
      <c r="A10" s="25"/>
      <c r="B10" s="25"/>
      <c r="C10" s="25"/>
      <c r="D10" s="25"/>
      <c r="E10" s="208" t="s">
        <v>18</v>
      </c>
      <c r="F10" s="207" t="s">
        <v>98</v>
      </c>
      <c r="G10" s="25"/>
      <c r="H10" s="25"/>
      <c r="I10" s="25"/>
      <c r="J10" s="25"/>
      <c r="K10" s="25"/>
      <c r="L10" s="25"/>
      <c r="M10" s="25"/>
    </row>
    <row r="11" ht="37.5" customHeight="1">
      <c r="A11" s="346" t="s">
        <v>622</v>
      </c>
      <c r="B11" s="347"/>
      <c r="C11" s="186"/>
      <c r="D11" s="348">
        <v>700.0</v>
      </c>
      <c r="E11" s="347"/>
      <c r="F11" s="349">
        <v>500.0</v>
      </c>
      <c r="G11" s="350"/>
      <c r="H11" s="351">
        <v>353.0</v>
      </c>
      <c r="I11" s="350"/>
      <c r="J11" s="350"/>
      <c r="K11" s="350"/>
      <c r="L11" s="351">
        <v>353.0</v>
      </c>
      <c r="M11" s="350"/>
    </row>
    <row r="12">
      <c r="A12" s="346" t="s">
        <v>623</v>
      </c>
      <c r="B12" s="352"/>
      <c r="C12" s="186"/>
      <c r="D12" s="353"/>
      <c r="E12" s="347"/>
      <c r="F12" s="352"/>
      <c r="G12" s="350"/>
      <c r="H12" s="354"/>
      <c r="I12" s="350"/>
      <c r="J12" s="350"/>
      <c r="K12" s="350"/>
      <c r="L12" s="354"/>
      <c r="M12" s="350"/>
    </row>
    <row r="13">
      <c r="A13" s="355" t="s">
        <v>624</v>
      </c>
      <c r="B13" s="356" t="s">
        <v>43</v>
      </c>
      <c r="C13" s="298"/>
      <c r="D13" s="357"/>
      <c r="E13" s="347">
        <v>1.0</v>
      </c>
      <c r="F13" s="358"/>
      <c r="G13" s="359">
        <v>1.0</v>
      </c>
      <c r="H13" s="354"/>
      <c r="I13" s="350"/>
      <c r="J13" s="350"/>
      <c r="K13" s="359">
        <v>1.0</v>
      </c>
      <c r="L13" s="354"/>
      <c r="M13" s="360" t="s">
        <v>625</v>
      </c>
    </row>
    <row r="14">
      <c r="A14" s="186" t="s">
        <v>626</v>
      </c>
      <c r="B14" s="361" t="s">
        <v>627</v>
      </c>
      <c r="C14" s="298">
        <v>1.0</v>
      </c>
      <c r="D14" s="357"/>
      <c r="E14" s="347"/>
      <c r="F14" s="358"/>
      <c r="G14" s="350"/>
      <c r="H14" s="354"/>
      <c r="I14" s="350"/>
      <c r="J14" s="350"/>
      <c r="K14" s="350"/>
      <c r="L14" s="354"/>
      <c r="M14" s="186"/>
    </row>
    <row r="15">
      <c r="A15" s="346" t="s">
        <v>628</v>
      </c>
      <c r="B15" s="350"/>
      <c r="C15" s="186"/>
      <c r="D15" s="353"/>
      <c r="E15" s="347"/>
      <c r="F15" s="358"/>
      <c r="G15" s="350"/>
      <c r="H15" s="354"/>
      <c r="I15" s="350"/>
      <c r="J15" s="350"/>
      <c r="K15" s="350"/>
      <c r="L15" s="354"/>
      <c r="M15" s="186"/>
    </row>
    <row r="16">
      <c r="A16" s="350" t="s">
        <v>629</v>
      </c>
      <c r="B16" s="361" t="s">
        <v>627</v>
      </c>
      <c r="C16" s="298">
        <v>4.0</v>
      </c>
      <c r="D16" s="357"/>
      <c r="E16" s="347">
        <v>4.0</v>
      </c>
      <c r="F16" s="358"/>
      <c r="G16" s="359">
        <v>4.0</v>
      </c>
      <c r="H16" s="354"/>
      <c r="I16" s="350"/>
      <c r="J16" s="350"/>
      <c r="K16" s="359">
        <v>4.0</v>
      </c>
      <c r="L16" s="354"/>
      <c r="M16" s="360" t="s">
        <v>625</v>
      </c>
    </row>
    <row r="17">
      <c r="A17" s="346" t="s">
        <v>630</v>
      </c>
      <c r="B17" s="350"/>
      <c r="C17" s="186"/>
      <c r="D17" s="353"/>
      <c r="E17" s="347"/>
      <c r="F17" s="358"/>
      <c r="G17" s="350"/>
      <c r="H17" s="354"/>
      <c r="I17" s="350"/>
      <c r="J17" s="350"/>
      <c r="K17" s="350"/>
      <c r="L17" s="354"/>
      <c r="M17" s="186"/>
    </row>
    <row r="18">
      <c r="A18" s="350" t="s">
        <v>631</v>
      </c>
      <c r="B18" s="361" t="s">
        <v>627</v>
      </c>
      <c r="C18" s="298">
        <v>4.0</v>
      </c>
      <c r="D18" s="357"/>
      <c r="E18" s="347">
        <v>4.0</v>
      </c>
      <c r="F18" s="362"/>
      <c r="G18" s="359">
        <v>4.0</v>
      </c>
      <c r="H18" s="354"/>
      <c r="I18" s="350"/>
      <c r="J18" s="350"/>
      <c r="K18" s="359">
        <v>4.0</v>
      </c>
      <c r="L18" s="354"/>
      <c r="M18" s="360" t="s">
        <v>625</v>
      </c>
    </row>
    <row r="19">
      <c r="A19" s="350" t="s">
        <v>632</v>
      </c>
      <c r="B19" s="361" t="s">
        <v>627</v>
      </c>
      <c r="C19" s="298">
        <v>4.0</v>
      </c>
      <c r="D19" s="357"/>
      <c r="E19" s="347">
        <v>4.0</v>
      </c>
      <c r="F19" s="362"/>
      <c r="G19" s="359">
        <v>4.0</v>
      </c>
      <c r="H19" s="354"/>
      <c r="I19" s="350"/>
      <c r="J19" s="350"/>
      <c r="K19" s="359">
        <v>4.0</v>
      </c>
      <c r="L19" s="354"/>
      <c r="M19" s="360" t="s">
        <v>625</v>
      </c>
    </row>
    <row r="20">
      <c r="A20" s="350"/>
      <c r="B20" s="350"/>
      <c r="C20" s="186"/>
      <c r="D20" s="353"/>
      <c r="E20" s="347"/>
      <c r="F20" s="362"/>
      <c r="G20" s="350"/>
      <c r="H20" s="354"/>
      <c r="I20" s="350"/>
      <c r="J20" s="350"/>
      <c r="K20" s="350"/>
      <c r="L20" s="354"/>
      <c r="M20" s="186"/>
    </row>
    <row r="21" ht="24.0" customHeight="1">
      <c r="A21" s="177" t="s">
        <v>633</v>
      </c>
      <c r="B21" s="350"/>
      <c r="C21" s="186"/>
      <c r="D21" s="348">
        <f>D22+D23</f>
        <v>7961</v>
      </c>
      <c r="E21" s="347"/>
      <c r="F21" s="348">
        <f>F22+F23</f>
        <v>2023</v>
      </c>
      <c r="G21" s="350"/>
      <c r="H21" s="348">
        <f>H22+H23</f>
        <v>1555</v>
      </c>
      <c r="I21" s="350"/>
      <c r="J21" s="350"/>
      <c r="K21" s="350"/>
      <c r="L21" s="363">
        <f>L22</f>
        <v>1555</v>
      </c>
      <c r="M21" s="186"/>
    </row>
    <row r="22" ht="20.25" customHeight="1">
      <c r="A22" s="355" t="s">
        <v>634</v>
      </c>
      <c r="B22" s="361" t="s">
        <v>627</v>
      </c>
      <c r="C22" s="298">
        <v>4.0</v>
      </c>
      <c r="D22" s="357">
        <v>7661.0</v>
      </c>
      <c r="E22" s="347">
        <v>3.0</v>
      </c>
      <c r="F22" s="364">
        <v>1623.0</v>
      </c>
      <c r="G22" s="359">
        <v>4.0</v>
      </c>
      <c r="H22" s="365">
        <v>1555.0</v>
      </c>
      <c r="I22" s="350"/>
      <c r="J22" s="350"/>
      <c r="K22" s="359">
        <v>4.0</v>
      </c>
      <c r="L22" s="365">
        <v>1555.0</v>
      </c>
      <c r="M22" s="360" t="s">
        <v>625</v>
      </c>
    </row>
    <row r="23" ht="21.75" customHeight="1">
      <c r="A23" s="355" t="s">
        <v>635</v>
      </c>
      <c r="B23" s="361" t="s">
        <v>43</v>
      </c>
      <c r="C23" s="298">
        <v>5.0</v>
      </c>
      <c r="D23" s="357">
        <v>300.0</v>
      </c>
      <c r="E23" s="347">
        <v>3.0</v>
      </c>
      <c r="F23" s="364">
        <v>400.0</v>
      </c>
      <c r="G23" s="347"/>
      <c r="H23" s="354"/>
      <c r="I23" s="347"/>
      <c r="J23" s="347"/>
      <c r="K23" s="347"/>
      <c r="L23" s="354"/>
      <c r="M23" s="360"/>
    </row>
    <row r="24" ht="15.75" customHeight="1">
      <c r="A24" s="347"/>
      <c r="B24" s="350"/>
      <c r="C24" s="186"/>
      <c r="D24" s="353"/>
      <c r="E24" s="366"/>
      <c r="F24" s="362"/>
      <c r="G24" s="347"/>
      <c r="H24" s="354"/>
      <c r="I24" s="347"/>
      <c r="J24" s="347"/>
      <c r="K24" s="347"/>
      <c r="L24" s="354"/>
      <c r="M24" s="355"/>
    </row>
    <row r="25" ht="39.75" customHeight="1">
      <c r="A25" s="346" t="s">
        <v>636</v>
      </c>
      <c r="B25" s="350"/>
      <c r="C25" s="186"/>
      <c r="D25" s="348">
        <f>D26+D27</f>
        <v>300</v>
      </c>
      <c r="E25" s="367"/>
      <c r="F25" s="348">
        <f>F26+F27</f>
        <v>400</v>
      </c>
      <c r="G25" s="347"/>
      <c r="H25" s="351">
        <v>434.0</v>
      </c>
      <c r="I25" s="347"/>
      <c r="J25" s="347"/>
      <c r="K25" s="347"/>
      <c r="L25" s="351">
        <v>434.0</v>
      </c>
      <c r="M25" s="355"/>
    </row>
    <row r="26" ht="18.0" customHeight="1">
      <c r="A26" s="355" t="s">
        <v>637</v>
      </c>
      <c r="B26" s="361" t="s">
        <v>43</v>
      </c>
      <c r="C26" s="298">
        <v>4.0</v>
      </c>
      <c r="D26" s="357">
        <v>300.0</v>
      </c>
      <c r="E26" s="368">
        <v>4.0</v>
      </c>
      <c r="F26" s="362">
        <v>400.0</v>
      </c>
      <c r="G26" s="369">
        <v>4.0</v>
      </c>
      <c r="H26" s="354"/>
      <c r="I26" s="347"/>
      <c r="J26" s="347"/>
      <c r="K26" s="369">
        <v>4.0</v>
      </c>
      <c r="L26" s="354"/>
      <c r="M26" s="360" t="s">
        <v>625</v>
      </c>
    </row>
    <row r="27" ht="18.75" customHeight="1">
      <c r="A27" s="355" t="s">
        <v>638</v>
      </c>
      <c r="B27" s="361" t="s">
        <v>627</v>
      </c>
      <c r="C27" s="298"/>
      <c r="D27" s="348"/>
      <c r="E27" s="368"/>
      <c r="F27" s="370"/>
      <c r="G27" s="369">
        <v>3.0</v>
      </c>
      <c r="H27" s="354"/>
      <c r="I27" s="347"/>
      <c r="J27" s="347"/>
      <c r="K27" s="369">
        <v>3.0</v>
      </c>
      <c r="L27" s="354"/>
      <c r="M27" s="360" t="s">
        <v>625</v>
      </c>
    </row>
    <row r="28" ht="15.75" customHeight="1">
      <c r="A28" s="347"/>
      <c r="B28" s="350"/>
      <c r="C28" s="186"/>
      <c r="D28" s="353"/>
      <c r="E28" s="367"/>
      <c r="F28" s="370"/>
      <c r="G28" s="347"/>
      <c r="H28" s="354"/>
      <c r="I28" s="347"/>
      <c r="J28" s="347"/>
      <c r="K28" s="347"/>
      <c r="L28" s="354"/>
      <c r="M28" s="347"/>
    </row>
    <row r="29" ht="15.0" hidden="1" customHeight="1">
      <c r="A29" s="346" t="s">
        <v>639</v>
      </c>
      <c r="B29" s="350"/>
      <c r="C29" s="186"/>
      <c r="D29" s="348">
        <v>0.0</v>
      </c>
      <c r="E29" s="367"/>
      <c r="F29" s="304">
        <v>0.0</v>
      </c>
      <c r="G29" s="347"/>
      <c r="H29" s="354"/>
      <c r="I29" s="347"/>
      <c r="J29" s="347"/>
      <c r="K29" s="347"/>
      <c r="L29" s="354"/>
      <c r="M29" s="347"/>
    </row>
    <row r="30" ht="15.0" hidden="1" customHeight="1">
      <c r="A30" s="177" t="s">
        <v>640</v>
      </c>
      <c r="B30" s="350"/>
      <c r="C30" s="186"/>
      <c r="D30" s="353"/>
      <c r="E30" s="367"/>
      <c r="F30" s="362"/>
      <c r="G30" s="352"/>
      <c r="H30" s="354"/>
      <c r="I30" s="352"/>
      <c r="J30" s="352"/>
      <c r="K30" s="352"/>
      <c r="L30" s="354"/>
      <c r="M30" s="352"/>
    </row>
    <row r="31" ht="15.0" hidden="1" customHeight="1">
      <c r="A31" s="186" t="s">
        <v>641</v>
      </c>
      <c r="B31" s="350"/>
      <c r="C31" s="186"/>
      <c r="D31" s="353"/>
      <c r="E31" s="367"/>
      <c r="F31" s="362"/>
      <c r="G31" s="350"/>
      <c r="H31" s="354"/>
      <c r="I31" s="350"/>
      <c r="J31" s="350"/>
      <c r="K31" s="350"/>
      <c r="L31" s="354"/>
      <c r="M31" s="350"/>
    </row>
    <row r="32" ht="15.0" hidden="1" customHeight="1">
      <c r="A32" s="186" t="s">
        <v>642</v>
      </c>
      <c r="B32" s="350"/>
      <c r="C32" s="186"/>
      <c r="D32" s="353"/>
      <c r="E32" s="367"/>
      <c r="F32" s="370"/>
      <c r="G32" s="350"/>
      <c r="H32" s="354"/>
      <c r="I32" s="350"/>
      <c r="J32" s="350"/>
      <c r="K32" s="350"/>
      <c r="L32" s="354"/>
      <c r="M32" s="350"/>
    </row>
    <row r="33" ht="15.0" hidden="1" customHeight="1">
      <c r="A33" s="186" t="s">
        <v>643</v>
      </c>
      <c r="B33" s="350"/>
      <c r="C33" s="186"/>
      <c r="D33" s="353"/>
      <c r="E33" s="367"/>
      <c r="F33" s="370"/>
      <c r="G33" s="350"/>
      <c r="H33" s="354"/>
      <c r="I33" s="350"/>
      <c r="J33" s="350"/>
      <c r="K33" s="350"/>
      <c r="L33" s="354"/>
      <c r="M33" s="350"/>
    </row>
    <row r="34" ht="15.0" hidden="1" customHeight="1">
      <c r="A34" s="186" t="s">
        <v>644</v>
      </c>
      <c r="B34" s="350"/>
      <c r="C34" s="186"/>
      <c r="D34" s="353"/>
      <c r="E34" s="367"/>
      <c r="F34" s="370"/>
      <c r="G34" s="350"/>
      <c r="H34" s="354"/>
      <c r="I34" s="350"/>
      <c r="J34" s="350"/>
      <c r="K34" s="350"/>
      <c r="L34" s="354"/>
      <c r="M34" s="350"/>
    </row>
    <row r="35" ht="15.0" hidden="1" customHeight="1">
      <c r="A35" s="177" t="s">
        <v>645</v>
      </c>
      <c r="B35" s="350"/>
      <c r="C35" s="186"/>
      <c r="D35" s="353"/>
      <c r="E35" s="367"/>
      <c r="F35" s="370"/>
      <c r="G35" s="350"/>
      <c r="H35" s="354"/>
      <c r="I35" s="350"/>
      <c r="J35" s="350"/>
      <c r="K35" s="350"/>
      <c r="L35" s="354"/>
      <c r="M35" s="350"/>
    </row>
    <row r="36" ht="15.0" hidden="1" customHeight="1">
      <c r="A36" s="186" t="s">
        <v>646</v>
      </c>
      <c r="B36" s="350"/>
      <c r="C36" s="186"/>
      <c r="D36" s="353"/>
      <c r="E36" s="367"/>
      <c r="F36" s="370"/>
      <c r="G36" s="350"/>
      <c r="H36" s="354"/>
      <c r="I36" s="350"/>
      <c r="J36" s="350"/>
      <c r="K36" s="350"/>
      <c r="L36" s="354"/>
      <c r="M36" s="350"/>
    </row>
    <row r="37" ht="30.0" hidden="1" customHeight="1">
      <c r="A37" s="186" t="s">
        <v>647</v>
      </c>
      <c r="B37" s="350"/>
      <c r="C37" s="186"/>
      <c r="D37" s="353"/>
      <c r="E37" s="367"/>
      <c r="F37" s="370"/>
      <c r="G37" s="350"/>
      <c r="H37" s="354"/>
      <c r="I37" s="350"/>
      <c r="J37" s="350"/>
      <c r="K37" s="350"/>
      <c r="L37" s="354"/>
      <c r="M37" s="350"/>
    </row>
    <row r="38" ht="15.0" hidden="1" customHeight="1">
      <c r="A38" s="177" t="s">
        <v>648</v>
      </c>
      <c r="B38" s="350"/>
      <c r="C38" s="186"/>
      <c r="D38" s="353"/>
      <c r="E38" s="367"/>
      <c r="F38" s="370"/>
      <c r="G38" s="350"/>
      <c r="H38" s="354"/>
      <c r="I38" s="350"/>
      <c r="J38" s="350"/>
      <c r="K38" s="350"/>
      <c r="L38" s="354"/>
      <c r="M38" s="350"/>
    </row>
    <row r="39" ht="15.0" hidden="1" customHeight="1">
      <c r="A39" s="186" t="s">
        <v>649</v>
      </c>
      <c r="B39" s="350"/>
      <c r="C39" s="186"/>
      <c r="D39" s="353"/>
      <c r="E39" s="367"/>
      <c r="F39" s="370"/>
      <c r="G39" s="350"/>
      <c r="H39" s="354"/>
      <c r="I39" s="350"/>
      <c r="J39" s="350"/>
      <c r="K39" s="350"/>
      <c r="L39" s="354"/>
      <c r="M39" s="350"/>
    </row>
    <row r="40" ht="15.0" hidden="1" customHeight="1">
      <c r="A40" s="186" t="s">
        <v>650</v>
      </c>
      <c r="B40" s="350"/>
      <c r="C40" s="186"/>
      <c r="D40" s="353"/>
      <c r="E40" s="367"/>
      <c r="F40" s="370"/>
      <c r="G40" s="350"/>
      <c r="H40" s="354"/>
      <c r="I40" s="350"/>
      <c r="J40" s="350"/>
      <c r="K40" s="350"/>
      <c r="L40" s="354"/>
      <c r="M40" s="350"/>
    </row>
    <row r="41" ht="15.0" hidden="1" customHeight="1">
      <c r="A41" s="186" t="s">
        <v>651</v>
      </c>
      <c r="B41" s="350"/>
      <c r="C41" s="186"/>
      <c r="D41" s="353"/>
      <c r="E41" s="367"/>
      <c r="F41" s="370"/>
      <c r="G41" s="350"/>
      <c r="H41" s="354"/>
      <c r="I41" s="350"/>
      <c r="J41" s="350"/>
      <c r="K41" s="350"/>
      <c r="L41" s="354"/>
      <c r="M41" s="350"/>
    </row>
    <row r="42" ht="15.0" hidden="1" customHeight="1">
      <c r="A42" s="177" t="s">
        <v>652</v>
      </c>
      <c r="B42" s="350"/>
      <c r="C42" s="186"/>
      <c r="D42" s="353"/>
      <c r="E42" s="367"/>
      <c r="F42" s="370"/>
      <c r="G42" s="350"/>
      <c r="H42" s="354"/>
      <c r="I42" s="350"/>
      <c r="J42" s="350"/>
      <c r="K42" s="350"/>
      <c r="L42" s="354"/>
      <c r="M42" s="350"/>
    </row>
    <row r="43" ht="15.0" hidden="1" customHeight="1">
      <c r="A43" s="371" t="s">
        <v>653</v>
      </c>
      <c r="B43" s="350"/>
      <c r="C43" s="186"/>
      <c r="D43" s="353"/>
      <c r="E43" s="367"/>
      <c r="F43" s="370"/>
      <c r="G43" s="350"/>
      <c r="H43" s="354"/>
      <c r="I43" s="350"/>
      <c r="J43" s="350"/>
      <c r="K43" s="350"/>
      <c r="L43" s="354"/>
      <c r="M43" s="350"/>
    </row>
    <row r="44" ht="15.0" hidden="1" customHeight="1">
      <c r="A44" s="186" t="s">
        <v>654</v>
      </c>
      <c r="B44" s="350"/>
      <c r="C44" s="186"/>
      <c r="D44" s="353"/>
      <c r="E44" s="367"/>
      <c r="F44" s="370"/>
      <c r="G44" s="350"/>
      <c r="H44" s="354"/>
      <c r="I44" s="350"/>
      <c r="J44" s="350"/>
      <c r="K44" s="350"/>
      <c r="L44" s="354"/>
      <c r="M44" s="350"/>
    </row>
    <row r="45" ht="15.0" hidden="1" customHeight="1">
      <c r="A45" s="186" t="s">
        <v>655</v>
      </c>
      <c r="B45" s="350"/>
      <c r="C45" s="186"/>
      <c r="D45" s="353"/>
      <c r="E45" s="367"/>
      <c r="F45" s="370"/>
      <c r="G45" s="350"/>
      <c r="H45" s="354"/>
      <c r="I45" s="350"/>
      <c r="J45" s="350"/>
      <c r="K45" s="350"/>
      <c r="L45" s="354"/>
      <c r="M45" s="350"/>
    </row>
    <row r="46" ht="15.0" hidden="1" customHeight="1">
      <c r="A46" s="350"/>
      <c r="B46" s="350"/>
      <c r="C46" s="186"/>
      <c r="D46" s="353"/>
      <c r="E46" s="367"/>
      <c r="F46" s="362"/>
      <c r="G46" s="350"/>
      <c r="H46" s="354"/>
      <c r="I46" s="350"/>
      <c r="J46" s="350"/>
      <c r="K46" s="350"/>
      <c r="L46" s="354"/>
      <c r="M46" s="350"/>
    </row>
    <row r="47" ht="23.25" customHeight="1">
      <c r="A47" s="146" t="s">
        <v>76</v>
      </c>
      <c r="B47" s="350"/>
      <c r="C47" s="304"/>
      <c r="D47" s="304">
        <f>D29+D25+D21+D11</f>
        <v>8961</v>
      </c>
      <c r="E47" s="304"/>
      <c r="F47" s="304">
        <f>F29+F25+F21+F11</f>
        <v>2923</v>
      </c>
      <c r="G47" s="350"/>
      <c r="H47" s="363">
        <f>H11+H21+H25</f>
        <v>2342</v>
      </c>
      <c r="I47" s="350"/>
      <c r="J47" s="350"/>
      <c r="K47" s="350"/>
      <c r="L47" s="363">
        <f>L11+L21+L25</f>
        <v>2342</v>
      </c>
      <c r="M47" s="350"/>
    </row>
    <row r="48" ht="15.75" customHeight="1">
      <c r="A48" s="372" t="s">
        <v>656</v>
      </c>
      <c r="B48" s="344"/>
      <c r="C48" s="344"/>
      <c r="D48" s="344"/>
      <c r="E48" s="344"/>
      <c r="F48" s="344"/>
      <c r="G48" s="373"/>
      <c r="H48" s="373"/>
      <c r="I48" s="373"/>
      <c r="J48" s="373"/>
      <c r="K48" s="345"/>
      <c r="L48" s="345"/>
      <c r="M48" s="345"/>
    </row>
    <row r="49" ht="15.75" customHeight="1">
      <c r="A49" s="196"/>
      <c r="B49" s="374"/>
      <c r="C49" s="374"/>
      <c r="D49" s="374"/>
      <c r="E49" s="374"/>
      <c r="F49" s="374"/>
      <c r="G49" s="374"/>
      <c r="H49" s="374"/>
      <c r="I49" s="374"/>
      <c r="J49" s="374"/>
      <c r="K49" s="374"/>
      <c r="L49" s="374"/>
      <c r="M49" s="374"/>
    </row>
    <row r="50" ht="22.5" customHeight="1">
      <c r="A50" s="147" t="s">
        <v>77</v>
      </c>
      <c r="B50" s="150"/>
      <c r="C50" s="151"/>
      <c r="D50" s="152"/>
      <c r="E50" s="153" t="s">
        <v>466</v>
      </c>
      <c r="F50" s="154"/>
      <c r="G50" s="154"/>
      <c r="H50" s="154"/>
      <c r="I50" s="154"/>
      <c r="J50" s="154"/>
      <c r="K50" s="154"/>
      <c r="L50" s="155" t="s">
        <v>467</v>
      </c>
      <c r="M50" s="154"/>
    </row>
    <row r="51" ht="15.75" customHeight="1">
      <c r="A51" s="68"/>
      <c r="B51" s="150"/>
      <c r="C51" s="151"/>
      <c r="D51" s="152"/>
      <c r="E51" s="151"/>
      <c r="F51" s="154"/>
      <c r="G51" s="154"/>
      <c r="H51" s="154"/>
      <c r="I51" s="154"/>
      <c r="J51" s="154"/>
      <c r="K51" s="154"/>
      <c r="L51" s="156"/>
      <c r="M51" s="154"/>
    </row>
    <row r="52" ht="15.75" customHeight="1">
      <c r="A52" s="68"/>
      <c r="B52" s="150"/>
      <c r="C52" s="151"/>
      <c r="D52" s="152"/>
      <c r="E52" s="151"/>
      <c r="F52" s="154"/>
      <c r="G52" s="154"/>
      <c r="H52" s="154"/>
      <c r="I52" s="154"/>
      <c r="J52" s="154"/>
      <c r="K52" s="154"/>
      <c r="L52" s="156"/>
      <c r="M52" s="154"/>
    </row>
    <row r="53" ht="15.75" customHeight="1">
      <c r="A53" s="152"/>
      <c r="B53" s="150"/>
      <c r="C53" s="151"/>
      <c r="D53" s="152"/>
      <c r="E53" s="151"/>
      <c r="F53" s="150"/>
      <c r="G53" s="150"/>
      <c r="H53" s="150"/>
      <c r="I53" s="154"/>
      <c r="J53" s="150"/>
      <c r="K53" s="150"/>
      <c r="L53" s="156"/>
      <c r="M53" s="150"/>
    </row>
    <row r="54" ht="15.75" customHeight="1">
      <c r="A54" s="68"/>
      <c r="B54" s="150"/>
      <c r="C54" s="151"/>
      <c r="D54" s="152"/>
      <c r="E54" s="151"/>
      <c r="F54" s="150"/>
      <c r="G54" s="150"/>
      <c r="H54" s="150"/>
      <c r="I54" s="154"/>
      <c r="J54" s="150"/>
      <c r="K54" s="150"/>
      <c r="L54" s="156"/>
      <c r="M54" s="150"/>
    </row>
    <row r="55" ht="21.0" customHeight="1">
      <c r="A55" s="157" t="s">
        <v>82</v>
      </c>
      <c r="B55" s="150"/>
      <c r="C55" s="151"/>
      <c r="D55" s="152"/>
      <c r="E55" s="158" t="s">
        <v>83</v>
      </c>
      <c r="F55" s="150"/>
      <c r="G55" s="150"/>
      <c r="H55" s="150"/>
      <c r="I55" s="154"/>
      <c r="J55" s="150"/>
      <c r="K55" s="150"/>
      <c r="L55" s="159" t="s">
        <v>84</v>
      </c>
      <c r="M55" s="150"/>
    </row>
    <row r="56">
      <c r="A56" s="160" t="s">
        <v>468</v>
      </c>
      <c r="B56" s="150"/>
      <c r="C56" s="151"/>
      <c r="D56" s="152"/>
      <c r="E56" s="153" t="s">
        <v>87</v>
      </c>
      <c r="F56" s="150"/>
      <c r="G56" s="150"/>
      <c r="H56" s="150"/>
      <c r="I56" s="154"/>
      <c r="J56" s="150"/>
      <c r="K56" s="150"/>
      <c r="L56" s="161" t="s">
        <v>88</v>
      </c>
      <c r="M56" s="150"/>
    </row>
    <row r="57" ht="15.75" customHeight="1">
      <c r="A57" s="162"/>
      <c r="B57" s="163"/>
      <c r="C57" s="164"/>
      <c r="D57" s="164"/>
      <c r="E57" s="150"/>
      <c r="F57" s="150"/>
      <c r="G57" s="150"/>
      <c r="H57" s="150"/>
      <c r="I57" s="150"/>
      <c r="J57" s="150"/>
      <c r="K57" s="150"/>
      <c r="L57" s="150"/>
      <c r="M57" s="150"/>
    </row>
    <row r="58" ht="15.75" customHeight="1">
      <c r="A58" s="344"/>
      <c r="B58" s="344"/>
      <c r="C58" s="344"/>
      <c r="D58" s="344"/>
      <c r="E58" s="344"/>
      <c r="F58" s="344"/>
      <c r="G58" s="344"/>
      <c r="H58" s="344"/>
      <c r="I58" s="344"/>
      <c r="J58" s="344"/>
      <c r="K58" s="345"/>
      <c r="L58" s="345"/>
      <c r="M58" s="345"/>
    </row>
    <row r="59" ht="15.75" customHeight="1">
      <c r="A59" s="344"/>
      <c r="B59" s="344"/>
      <c r="C59" s="344"/>
      <c r="D59" s="344"/>
      <c r="E59" s="344"/>
      <c r="F59" s="344"/>
      <c r="G59" s="344"/>
      <c r="H59" s="344"/>
      <c r="I59" s="344"/>
      <c r="J59" s="344"/>
      <c r="K59" s="345"/>
      <c r="L59" s="345"/>
      <c r="M59" s="345"/>
    </row>
    <row r="60" ht="15.75" customHeight="1">
      <c r="A60" s="344"/>
      <c r="B60" s="344"/>
      <c r="C60" s="344"/>
      <c r="D60" s="344"/>
      <c r="E60" s="344"/>
      <c r="F60" s="344"/>
      <c r="G60" s="344"/>
      <c r="H60" s="344"/>
      <c r="I60" s="344"/>
      <c r="J60" s="344"/>
      <c r="K60" s="345"/>
      <c r="L60" s="345"/>
      <c r="M60" s="345"/>
    </row>
    <row r="61" ht="15.75" customHeight="1">
      <c r="B61" s="150"/>
      <c r="C61" s="344"/>
      <c r="D61" s="344"/>
      <c r="E61" s="344"/>
      <c r="F61" s="344"/>
      <c r="G61" s="344"/>
      <c r="H61" s="344"/>
      <c r="I61" s="344"/>
      <c r="J61" s="344"/>
      <c r="K61" s="345"/>
      <c r="L61" s="345"/>
      <c r="M61" s="345"/>
    </row>
    <row r="62" ht="15.75" customHeight="1">
      <c r="B62" s="375"/>
      <c r="C62" s="344"/>
      <c r="D62" s="344"/>
      <c r="E62" s="344"/>
      <c r="F62" s="344"/>
      <c r="G62" s="344"/>
      <c r="H62" s="344"/>
      <c r="I62" s="344"/>
      <c r="J62" s="344"/>
      <c r="K62" s="345"/>
      <c r="L62" s="345"/>
      <c r="M62" s="345"/>
    </row>
    <row r="63" ht="15.75" customHeight="1">
      <c r="B63" s="375"/>
      <c r="C63" s="344"/>
      <c r="D63" s="344"/>
      <c r="E63" s="344"/>
      <c r="F63" s="344"/>
      <c r="G63" s="344"/>
      <c r="H63" s="344"/>
      <c r="I63" s="344"/>
      <c r="J63" s="344"/>
      <c r="K63" s="345"/>
      <c r="L63" s="345"/>
      <c r="M63" s="345"/>
    </row>
    <row r="64" ht="15.75" customHeight="1">
      <c r="B64" s="375"/>
      <c r="C64" s="344"/>
      <c r="D64" s="344"/>
      <c r="E64" s="344"/>
      <c r="F64" s="344"/>
      <c r="G64" s="344"/>
      <c r="H64" s="344"/>
      <c r="I64" s="344"/>
      <c r="J64" s="344"/>
      <c r="K64" s="345"/>
      <c r="L64" s="345"/>
      <c r="M64" s="345"/>
    </row>
    <row r="65" ht="15.75" customHeight="1">
      <c r="B65" s="375"/>
      <c r="C65" s="344"/>
      <c r="D65" s="344"/>
      <c r="E65" s="344"/>
      <c r="F65" s="344"/>
      <c r="G65" s="344"/>
      <c r="H65" s="344"/>
      <c r="I65" s="344"/>
      <c r="J65" s="344"/>
      <c r="K65" s="345"/>
      <c r="L65" s="345"/>
      <c r="M65" s="345"/>
    </row>
    <row r="66" ht="15.75" customHeight="1">
      <c r="B66" s="150"/>
      <c r="C66" s="344"/>
      <c r="D66" s="344"/>
      <c r="E66" s="344"/>
      <c r="F66" s="344"/>
      <c r="G66" s="344"/>
      <c r="H66" s="344"/>
      <c r="I66" s="344"/>
      <c r="J66" s="344"/>
      <c r="K66" s="345"/>
      <c r="L66" s="345"/>
      <c r="M66" s="345"/>
    </row>
    <row r="67" ht="15.75" customHeight="1">
      <c r="B67" s="150"/>
      <c r="C67" s="344"/>
      <c r="D67" s="344"/>
      <c r="E67" s="344"/>
      <c r="F67" s="344"/>
      <c r="G67" s="344"/>
      <c r="H67" s="344"/>
      <c r="I67" s="344"/>
      <c r="J67" s="344"/>
      <c r="K67" s="345"/>
      <c r="L67" s="345"/>
      <c r="M67" s="345"/>
    </row>
    <row r="68" ht="15.75" customHeight="1">
      <c r="A68" s="344"/>
      <c r="B68" s="344"/>
      <c r="C68" s="344"/>
      <c r="D68" s="344"/>
      <c r="E68" s="344"/>
      <c r="F68" s="344"/>
      <c r="G68" s="344"/>
      <c r="H68" s="344"/>
      <c r="I68" s="344"/>
      <c r="J68" s="344"/>
      <c r="K68" s="345"/>
      <c r="L68" s="345"/>
      <c r="M68" s="345"/>
    </row>
    <row r="69" ht="15.75" customHeight="1">
      <c r="A69" s="344"/>
      <c r="B69" s="344"/>
      <c r="C69" s="344"/>
      <c r="D69" s="344"/>
      <c r="E69" s="344"/>
      <c r="F69" s="344"/>
      <c r="G69" s="344"/>
      <c r="H69" s="344"/>
      <c r="I69" s="344"/>
      <c r="J69" s="344"/>
      <c r="K69" s="345"/>
      <c r="L69" s="345"/>
      <c r="M69" s="345"/>
    </row>
    <row r="70" ht="15.75" customHeight="1">
      <c r="A70" s="344"/>
      <c r="B70" s="344"/>
      <c r="C70" s="344"/>
      <c r="D70" s="344"/>
      <c r="E70" s="344"/>
      <c r="F70" s="344"/>
      <c r="G70" s="344"/>
      <c r="H70" s="344"/>
      <c r="I70" s="344"/>
      <c r="J70" s="344"/>
      <c r="K70" s="345"/>
      <c r="L70" s="345"/>
      <c r="M70" s="345"/>
    </row>
    <row r="71" ht="15.75" customHeight="1">
      <c r="A71" s="344"/>
      <c r="B71" s="344"/>
      <c r="C71" s="344"/>
      <c r="D71" s="344"/>
      <c r="E71" s="344"/>
      <c r="F71" s="344"/>
      <c r="G71" s="344"/>
      <c r="H71" s="344"/>
      <c r="I71" s="344"/>
      <c r="J71" s="344"/>
      <c r="K71" s="345"/>
      <c r="L71" s="345"/>
      <c r="M71" s="345"/>
    </row>
    <row r="72" ht="15.75" customHeight="1">
      <c r="A72" s="344"/>
      <c r="B72" s="344"/>
      <c r="C72" s="344"/>
      <c r="D72" s="344"/>
      <c r="E72" s="344"/>
      <c r="F72" s="344"/>
      <c r="G72" s="344"/>
      <c r="H72" s="344"/>
      <c r="I72" s="344"/>
      <c r="J72" s="344"/>
      <c r="K72" s="345"/>
      <c r="L72" s="345"/>
      <c r="M72" s="345"/>
    </row>
    <row r="73" ht="15.75" customHeight="1">
      <c r="A73" s="344"/>
      <c r="B73" s="344"/>
      <c r="C73" s="344"/>
      <c r="D73" s="344"/>
      <c r="E73" s="344"/>
      <c r="F73" s="344"/>
      <c r="G73" s="344"/>
      <c r="H73" s="344"/>
      <c r="I73" s="344"/>
      <c r="J73" s="344"/>
      <c r="K73" s="345"/>
      <c r="L73" s="345"/>
      <c r="M73" s="345"/>
    </row>
    <row r="74" ht="15.75" customHeight="1">
      <c r="A74" s="344"/>
      <c r="B74" s="344"/>
      <c r="C74" s="344"/>
      <c r="D74" s="344"/>
      <c r="E74" s="344"/>
      <c r="F74" s="344"/>
      <c r="G74" s="344"/>
      <c r="H74" s="344"/>
      <c r="I74" s="344"/>
      <c r="J74" s="344"/>
      <c r="K74" s="345"/>
      <c r="L74" s="345"/>
      <c r="M74" s="345"/>
    </row>
    <row r="75" ht="15.75" customHeight="1">
      <c r="A75" s="344"/>
      <c r="B75" s="344"/>
      <c r="C75" s="344"/>
      <c r="D75" s="344"/>
      <c r="E75" s="344"/>
      <c r="F75" s="344"/>
      <c r="G75" s="344"/>
      <c r="H75" s="344"/>
      <c r="I75" s="344"/>
      <c r="J75" s="344"/>
      <c r="K75" s="345"/>
      <c r="L75" s="345"/>
      <c r="M75" s="345"/>
    </row>
    <row r="76" ht="15.75" customHeight="1">
      <c r="A76" s="344"/>
      <c r="B76" s="344"/>
      <c r="C76" s="344"/>
      <c r="D76" s="344"/>
      <c r="E76" s="344"/>
      <c r="F76" s="344"/>
      <c r="G76" s="344"/>
      <c r="H76" s="344"/>
      <c r="I76" s="344"/>
      <c r="J76" s="344"/>
      <c r="K76" s="345"/>
      <c r="L76" s="345"/>
      <c r="M76" s="345"/>
    </row>
    <row r="77" ht="15.75" customHeight="1">
      <c r="A77" s="344"/>
      <c r="B77" s="344"/>
      <c r="C77" s="344"/>
      <c r="D77" s="344"/>
      <c r="E77" s="344"/>
      <c r="F77" s="344"/>
      <c r="G77" s="344"/>
      <c r="H77" s="344"/>
      <c r="I77" s="344"/>
      <c r="J77" s="344"/>
      <c r="K77" s="345"/>
      <c r="L77" s="345"/>
      <c r="M77" s="345"/>
    </row>
    <row r="78" ht="15.75" customHeight="1">
      <c r="A78" s="344"/>
      <c r="B78" s="344"/>
      <c r="C78" s="344"/>
      <c r="D78" s="344"/>
      <c r="E78" s="344"/>
      <c r="F78" s="344"/>
      <c r="G78" s="344"/>
      <c r="H78" s="344"/>
      <c r="I78" s="344"/>
      <c r="J78" s="344"/>
      <c r="K78" s="345"/>
      <c r="L78" s="345"/>
      <c r="M78" s="345"/>
    </row>
    <row r="79" ht="15.75" customHeight="1">
      <c r="A79" s="344"/>
      <c r="B79" s="344"/>
      <c r="C79" s="344"/>
      <c r="D79" s="344"/>
      <c r="E79" s="344"/>
      <c r="F79" s="344"/>
      <c r="G79" s="344"/>
      <c r="H79" s="344"/>
      <c r="I79" s="344"/>
      <c r="J79" s="344"/>
      <c r="K79" s="345"/>
      <c r="L79" s="345"/>
      <c r="M79" s="345"/>
    </row>
    <row r="80" ht="15.75" customHeight="1">
      <c r="A80" s="344"/>
      <c r="B80" s="344"/>
      <c r="C80" s="344"/>
      <c r="D80" s="344"/>
      <c r="E80" s="344"/>
      <c r="F80" s="344"/>
      <c r="G80" s="344"/>
      <c r="H80" s="344"/>
      <c r="I80" s="344"/>
      <c r="J80" s="344"/>
      <c r="K80" s="345"/>
      <c r="L80" s="345"/>
      <c r="M80" s="345"/>
    </row>
    <row r="81" ht="15.75" customHeight="1">
      <c r="A81" s="344"/>
      <c r="B81" s="344"/>
      <c r="C81" s="344"/>
      <c r="D81" s="344"/>
      <c r="E81" s="344"/>
      <c r="F81" s="344"/>
      <c r="G81" s="344"/>
      <c r="H81" s="344"/>
      <c r="I81" s="344"/>
      <c r="J81" s="344"/>
      <c r="K81" s="345"/>
      <c r="L81" s="345"/>
      <c r="M81" s="345"/>
    </row>
    <row r="82" ht="15.75" customHeight="1">
      <c r="A82" s="344"/>
      <c r="B82" s="344"/>
      <c r="C82" s="344"/>
      <c r="D82" s="344"/>
      <c r="E82" s="344"/>
      <c r="F82" s="344"/>
      <c r="G82" s="344"/>
      <c r="H82" s="344"/>
      <c r="I82" s="344"/>
      <c r="J82" s="344"/>
      <c r="K82" s="345"/>
      <c r="L82" s="345"/>
      <c r="M82" s="345"/>
    </row>
    <row r="83" ht="15.75" customHeight="1">
      <c r="A83" s="344"/>
      <c r="B83" s="344"/>
      <c r="C83" s="344"/>
      <c r="D83" s="344"/>
      <c r="E83" s="344"/>
      <c r="F83" s="344"/>
      <c r="G83" s="344"/>
      <c r="H83" s="344"/>
      <c r="I83" s="344"/>
      <c r="J83" s="344"/>
      <c r="K83" s="345"/>
      <c r="L83" s="345"/>
      <c r="M83" s="345"/>
    </row>
    <row r="84" ht="15.75" customHeight="1">
      <c r="A84" s="344"/>
      <c r="B84" s="344"/>
      <c r="C84" s="344"/>
      <c r="D84" s="344"/>
      <c r="E84" s="344"/>
      <c r="F84" s="344"/>
      <c r="G84" s="344"/>
      <c r="H84" s="344"/>
      <c r="I84" s="344"/>
      <c r="J84" s="344"/>
      <c r="K84" s="345"/>
      <c r="L84" s="345"/>
      <c r="M84" s="345"/>
    </row>
    <row r="85" ht="15.75" customHeight="1">
      <c r="A85" s="344"/>
      <c r="B85" s="344"/>
      <c r="C85" s="344"/>
      <c r="D85" s="344"/>
      <c r="E85" s="344"/>
      <c r="F85" s="344"/>
      <c r="G85" s="344"/>
      <c r="H85" s="344"/>
      <c r="I85" s="344"/>
      <c r="J85" s="344"/>
      <c r="K85" s="345"/>
      <c r="L85" s="345"/>
      <c r="M85" s="345"/>
    </row>
    <row r="86" ht="15.75" customHeight="1">
      <c r="A86" s="344"/>
      <c r="B86" s="344"/>
      <c r="C86" s="344"/>
      <c r="D86" s="344"/>
      <c r="E86" s="344"/>
      <c r="F86" s="344"/>
      <c r="G86" s="344"/>
      <c r="H86" s="344"/>
      <c r="I86" s="344"/>
      <c r="J86" s="344"/>
      <c r="K86" s="345"/>
      <c r="L86" s="345"/>
      <c r="M86" s="345"/>
    </row>
    <row r="87" ht="15.75" customHeight="1">
      <c r="A87" s="344"/>
      <c r="B87" s="344"/>
      <c r="C87" s="344"/>
      <c r="D87" s="344"/>
      <c r="E87" s="344"/>
      <c r="F87" s="344"/>
      <c r="G87" s="344"/>
      <c r="H87" s="344"/>
      <c r="I87" s="344"/>
      <c r="J87" s="344"/>
      <c r="K87" s="345"/>
      <c r="L87" s="345"/>
      <c r="M87" s="345"/>
    </row>
    <row r="88" ht="15.75" customHeight="1">
      <c r="A88" s="344"/>
      <c r="B88" s="344"/>
      <c r="C88" s="344"/>
      <c r="D88" s="344"/>
      <c r="E88" s="344"/>
      <c r="F88" s="344"/>
      <c r="G88" s="344"/>
      <c r="H88" s="344"/>
      <c r="I88" s="344"/>
      <c r="J88" s="344"/>
      <c r="K88" s="345"/>
      <c r="L88" s="345"/>
      <c r="M88" s="345"/>
    </row>
    <row r="89" ht="15.75" customHeight="1">
      <c r="A89" s="344"/>
      <c r="B89" s="344"/>
      <c r="C89" s="344"/>
      <c r="D89" s="344"/>
      <c r="E89" s="344"/>
      <c r="F89" s="344"/>
      <c r="G89" s="344"/>
      <c r="H89" s="344"/>
      <c r="I89" s="344"/>
      <c r="J89" s="344"/>
      <c r="K89" s="345"/>
      <c r="L89" s="345"/>
      <c r="M89" s="345"/>
    </row>
    <row r="90" ht="15.75" customHeight="1">
      <c r="A90" s="344"/>
      <c r="B90" s="344"/>
      <c r="C90" s="344"/>
      <c r="D90" s="344"/>
      <c r="E90" s="344"/>
      <c r="F90" s="344"/>
      <c r="G90" s="344"/>
      <c r="H90" s="344"/>
      <c r="I90" s="344"/>
      <c r="J90" s="344"/>
      <c r="K90" s="345"/>
      <c r="L90" s="345"/>
      <c r="M90" s="345"/>
    </row>
    <row r="91" ht="15.75" customHeight="1">
      <c r="A91" s="344"/>
      <c r="B91" s="344"/>
      <c r="C91" s="344"/>
      <c r="D91" s="344"/>
      <c r="E91" s="344"/>
      <c r="F91" s="344"/>
      <c r="G91" s="344"/>
      <c r="H91" s="344"/>
      <c r="I91" s="344"/>
      <c r="J91" s="344"/>
      <c r="K91" s="345"/>
      <c r="L91" s="345"/>
      <c r="M91" s="345"/>
    </row>
    <row r="92" ht="15.75" customHeight="1">
      <c r="A92" s="344"/>
      <c r="B92" s="344"/>
      <c r="C92" s="344"/>
      <c r="D92" s="344"/>
      <c r="E92" s="344"/>
      <c r="F92" s="344"/>
      <c r="G92" s="344"/>
      <c r="H92" s="344"/>
      <c r="I92" s="344"/>
      <c r="J92" s="344"/>
      <c r="K92" s="345"/>
      <c r="L92" s="345"/>
      <c r="M92" s="345"/>
    </row>
    <row r="93" ht="15.75" customHeight="1">
      <c r="A93" s="344"/>
      <c r="B93" s="344"/>
      <c r="C93" s="344"/>
      <c r="D93" s="344"/>
      <c r="E93" s="344"/>
      <c r="F93" s="344"/>
      <c r="G93" s="344"/>
      <c r="H93" s="344"/>
      <c r="I93" s="344"/>
      <c r="J93" s="344"/>
      <c r="K93" s="345"/>
      <c r="L93" s="345"/>
      <c r="M93" s="345"/>
    </row>
    <row r="94" ht="15.75" customHeight="1">
      <c r="A94" s="344"/>
      <c r="B94" s="344"/>
      <c r="C94" s="344"/>
      <c r="D94" s="344"/>
      <c r="E94" s="344"/>
      <c r="F94" s="344"/>
      <c r="G94" s="344"/>
      <c r="H94" s="344"/>
      <c r="I94" s="344"/>
      <c r="J94" s="344"/>
      <c r="K94" s="345"/>
      <c r="L94" s="345"/>
      <c r="M94" s="345"/>
    </row>
    <row r="95" ht="15.75" customHeight="1">
      <c r="A95" s="344"/>
      <c r="B95" s="344"/>
      <c r="C95" s="344"/>
      <c r="D95" s="344"/>
      <c r="E95" s="344"/>
      <c r="F95" s="344"/>
      <c r="G95" s="344"/>
      <c r="H95" s="344"/>
      <c r="I95" s="344"/>
      <c r="J95" s="344"/>
      <c r="K95" s="345"/>
      <c r="L95" s="345"/>
      <c r="M95" s="345"/>
    </row>
    <row r="96" ht="15.75" customHeight="1">
      <c r="A96" s="344"/>
      <c r="B96" s="344"/>
      <c r="C96" s="344"/>
      <c r="D96" s="344"/>
      <c r="E96" s="344"/>
      <c r="F96" s="344"/>
      <c r="G96" s="344"/>
      <c r="H96" s="344"/>
      <c r="I96" s="344"/>
      <c r="J96" s="344"/>
      <c r="K96" s="345"/>
      <c r="L96" s="345"/>
      <c r="M96" s="345"/>
    </row>
    <row r="97" ht="15.75" customHeight="1">
      <c r="A97" s="344"/>
      <c r="B97" s="344"/>
      <c r="C97" s="344"/>
      <c r="D97" s="344"/>
      <c r="E97" s="344"/>
      <c r="F97" s="344"/>
      <c r="G97" s="344"/>
      <c r="H97" s="344"/>
      <c r="I97" s="344"/>
      <c r="J97" s="344"/>
      <c r="K97" s="345"/>
      <c r="L97" s="345"/>
      <c r="M97" s="345"/>
    </row>
    <row r="98" ht="15.75" customHeight="1">
      <c r="A98" s="344"/>
      <c r="B98" s="344"/>
      <c r="C98" s="344"/>
      <c r="D98" s="344"/>
      <c r="E98" s="344"/>
      <c r="F98" s="344"/>
      <c r="G98" s="344"/>
      <c r="H98" s="344"/>
      <c r="I98" s="344"/>
      <c r="J98" s="344"/>
      <c r="K98" s="345"/>
      <c r="L98" s="345"/>
      <c r="M98" s="345"/>
    </row>
    <row r="99" ht="15.75" customHeight="1">
      <c r="A99" s="344"/>
      <c r="B99" s="344"/>
      <c r="C99" s="344"/>
      <c r="D99" s="344"/>
      <c r="E99" s="344"/>
      <c r="F99" s="344"/>
      <c r="G99" s="344"/>
      <c r="H99" s="344"/>
      <c r="I99" s="344"/>
      <c r="J99" s="344"/>
      <c r="K99" s="345"/>
      <c r="L99" s="345"/>
      <c r="M99" s="345"/>
    </row>
    <row r="100" ht="15.75" customHeight="1">
      <c r="A100" s="344"/>
      <c r="B100" s="344"/>
      <c r="C100" s="344"/>
      <c r="D100" s="344"/>
      <c r="E100" s="344"/>
      <c r="F100" s="344"/>
      <c r="G100" s="344"/>
      <c r="H100" s="344"/>
      <c r="I100" s="344"/>
      <c r="J100" s="344"/>
      <c r="K100" s="345"/>
      <c r="L100" s="345"/>
      <c r="M100" s="345"/>
    </row>
    <row r="101" ht="15.75" customHeight="1">
      <c r="A101" s="344"/>
      <c r="B101" s="344"/>
      <c r="C101" s="344"/>
      <c r="D101" s="344"/>
      <c r="E101" s="344"/>
      <c r="F101" s="344"/>
      <c r="G101" s="344"/>
      <c r="H101" s="344"/>
      <c r="I101" s="344"/>
      <c r="J101" s="344"/>
      <c r="K101" s="345"/>
      <c r="L101" s="345"/>
      <c r="M101" s="345"/>
    </row>
    <row r="102" ht="15.75" customHeight="1">
      <c r="A102" s="344"/>
      <c r="B102" s="344"/>
      <c r="C102" s="344"/>
      <c r="D102" s="344"/>
      <c r="E102" s="344"/>
      <c r="F102" s="344"/>
      <c r="G102" s="344"/>
      <c r="H102" s="344"/>
      <c r="I102" s="344"/>
      <c r="J102" s="344"/>
      <c r="K102" s="345"/>
      <c r="L102" s="345"/>
      <c r="M102" s="345"/>
    </row>
    <row r="103" ht="15.75" customHeight="1">
      <c r="A103" s="344"/>
      <c r="B103" s="344"/>
      <c r="C103" s="344"/>
      <c r="D103" s="344"/>
      <c r="E103" s="344"/>
      <c r="F103" s="344"/>
      <c r="G103" s="344"/>
      <c r="H103" s="344"/>
      <c r="I103" s="344"/>
      <c r="J103" s="344"/>
      <c r="K103" s="345"/>
      <c r="L103" s="345"/>
      <c r="M103" s="345"/>
    </row>
    <row r="104" ht="15.75" customHeight="1">
      <c r="A104" s="344"/>
      <c r="B104" s="344"/>
      <c r="C104" s="344"/>
      <c r="D104" s="344"/>
      <c r="E104" s="344"/>
      <c r="F104" s="344"/>
      <c r="G104" s="344"/>
      <c r="H104" s="344"/>
      <c r="I104" s="344"/>
      <c r="J104" s="344"/>
      <c r="K104" s="345"/>
      <c r="L104" s="345"/>
      <c r="M104" s="345"/>
    </row>
    <row r="105" ht="15.75" customHeight="1">
      <c r="A105" s="344"/>
      <c r="B105" s="344"/>
      <c r="C105" s="344"/>
      <c r="D105" s="344"/>
      <c r="E105" s="344"/>
      <c r="F105" s="344"/>
      <c r="G105" s="344"/>
      <c r="H105" s="344"/>
      <c r="I105" s="344"/>
      <c r="J105" s="344"/>
      <c r="K105" s="345"/>
      <c r="L105" s="345"/>
      <c r="M105" s="345"/>
    </row>
    <row r="106" ht="15.75" customHeight="1">
      <c r="A106" s="344"/>
      <c r="B106" s="344"/>
      <c r="C106" s="344"/>
      <c r="D106" s="344"/>
      <c r="E106" s="344"/>
      <c r="F106" s="344"/>
      <c r="G106" s="344"/>
      <c r="H106" s="344"/>
      <c r="I106" s="344"/>
      <c r="J106" s="344"/>
      <c r="K106" s="345"/>
      <c r="L106" s="345"/>
      <c r="M106" s="345"/>
    </row>
    <row r="107" ht="15.75" customHeight="1">
      <c r="A107" s="344"/>
      <c r="B107" s="344"/>
      <c r="C107" s="344"/>
      <c r="D107" s="344"/>
      <c r="E107" s="344"/>
      <c r="F107" s="344"/>
      <c r="G107" s="344"/>
      <c r="H107" s="344"/>
      <c r="I107" s="344"/>
      <c r="J107" s="344"/>
      <c r="K107" s="345"/>
      <c r="L107" s="345"/>
      <c r="M107" s="345"/>
    </row>
    <row r="108" ht="15.75" customHeight="1">
      <c r="A108" s="344"/>
      <c r="B108" s="344"/>
      <c r="C108" s="344"/>
      <c r="D108" s="344"/>
      <c r="E108" s="344"/>
      <c r="F108" s="344"/>
      <c r="G108" s="344"/>
      <c r="H108" s="344"/>
      <c r="I108" s="344"/>
      <c r="J108" s="344"/>
      <c r="K108" s="345"/>
      <c r="L108" s="345"/>
      <c r="M108" s="345"/>
    </row>
    <row r="109" ht="15.75" customHeight="1">
      <c r="A109" s="344"/>
      <c r="B109" s="344"/>
      <c r="C109" s="344"/>
      <c r="D109" s="344"/>
      <c r="E109" s="344"/>
      <c r="F109" s="344"/>
      <c r="G109" s="344"/>
      <c r="H109" s="344"/>
      <c r="I109" s="344"/>
      <c r="J109" s="344"/>
      <c r="K109" s="345"/>
      <c r="L109" s="345"/>
      <c r="M109" s="345"/>
    </row>
    <row r="110" ht="15.75" customHeight="1">
      <c r="A110" s="344"/>
      <c r="B110" s="344"/>
      <c r="C110" s="344"/>
      <c r="D110" s="344"/>
      <c r="E110" s="344"/>
      <c r="F110" s="344"/>
      <c r="G110" s="344"/>
      <c r="H110" s="344"/>
      <c r="I110" s="344"/>
      <c r="J110" s="344"/>
      <c r="K110" s="345"/>
      <c r="L110" s="345"/>
      <c r="M110" s="345"/>
    </row>
    <row r="111" ht="15.75" customHeight="1">
      <c r="A111" s="344"/>
      <c r="B111" s="344"/>
      <c r="C111" s="344"/>
      <c r="D111" s="344"/>
      <c r="E111" s="344"/>
      <c r="F111" s="344"/>
      <c r="G111" s="344"/>
      <c r="H111" s="344"/>
      <c r="I111" s="344"/>
      <c r="J111" s="344"/>
      <c r="K111" s="345"/>
      <c r="L111" s="345"/>
      <c r="M111" s="345"/>
    </row>
    <row r="112" ht="15.75" customHeight="1">
      <c r="A112" s="344"/>
      <c r="B112" s="344"/>
      <c r="C112" s="344"/>
      <c r="D112" s="344"/>
      <c r="E112" s="344"/>
      <c r="F112" s="344"/>
      <c r="G112" s="344"/>
      <c r="H112" s="344"/>
      <c r="I112" s="344"/>
      <c r="J112" s="344"/>
      <c r="K112" s="345"/>
      <c r="L112" s="345"/>
      <c r="M112" s="345"/>
    </row>
    <row r="113" ht="15.75" customHeight="1">
      <c r="A113" s="344"/>
      <c r="B113" s="344"/>
      <c r="C113" s="344"/>
      <c r="D113" s="344"/>
      <c r="E113" s="344"/>
      <c r="F113" s="344"/>
      <c r="G113" s="344"/>
      <c r="H113" s="344"/>
      <c r="I113" s="344"/>
      <c r="J113" s="344"/>
      <c r="K113" s="345"/>
      <c r="L113" s="345"/>
      <c r="M113" s="345"/>
    </row>
    <row r="114" ht="15.75" customHeight="1">
      <c r="A114" s="344"/>
      <c r="B114" s="344"/>
      <c r="C114" s="344"/>
      <c r="D114" s="344"/>
      <c r="E114" s="344"/>
      <c r="F114" s="344"/>
      <c r="G114" s="344"/>
      <c r="H114" s="344"/>
      <c r="I114" s="344"/>
      <c r="J114" s="344"/>
      <c r="K114" s="345"/>
      <c r="L114" s="345"/>
      <c r="M114" s="345"/>
    </row>
    <row r="115" ht="15.75" customHeight="1">
      <c r="A115" s="344"/>
      <c r="B115" s="344"/>
      <c r="C115" s="344"/>
      <c r="D115" s="344"/>
      <c r="E115" s="344"/>
      <c r="F115" s="344"/>
      <c r="G115" s="344"/>
      <c r="H115" s="344"/>
      <c r="I115" s="344"/>
      <c r="J115" s="344"/>
      <c r="K115" s="345"/>
      <c r="L115" s="345"/>
      <c r="M115" s="345"/>
    </row>
    <row r="116" ht="15.75" customHeight="1">
      <c r="A116" s="344"/>
      <c r="B116" s="344"/>
      <c r="C116" s="344"/>
      <c r="D116" s="344"/>
      <c r="E116" s="344"/>
      <c r="F116" s="344"/>
      <c r="G116" s="344"/>
      <c r="H116" s="344"/>
      <c r="I116" s="344"/>
      <c r="J116" s="344"/>
      <c r="K116" s="345"/>
      <c r="L116" s="345"/>
      <c r="M116" s="345"/>
    </row>
    <row r="117" ht="15.75" customHeight="1">
      <c r="A117" s="344"/>
      <c r="B117" s="344"/>
      <c r="C117" s="344"/>
      <c r="D117" s="344"/>
      <c r="E117" s="344"/>
      <c r="F117" s="344"/>
      <c r="G117" s="344"/>
      <c r="H117" s="344"/>
      <c r="I117" s="344"/>
      <c r="J117" s="344"/>
      <c r="K117" s="345"/>
      <c r="L117" s="345"/>
      <c r="M117" s="345"/>
    </row>
    <row r="118" ht="15.75" customHeight="1">
      <c r="A118" s="344"/>
      <c r="B118" s="344"/>
      <c r="C118" s="344"/>
      <c r="D118" s="344"/>
      <c r="E118" s="344"/>
      <c r="F118" s="344"/>
      <c r="G118" s="344"/>
      <c r="H118" s="344"/>
      <c r="I118" s="344"/>
      <c r="J118" s="344"/>
      <c r="K118" s="345"/>
      <c r="L118" s="345"/>
      <c r="M118" s="345"/>
    </row>
    <row r="119" ht="15.75" customHeight="1">
      <c r="A119" s="344"/>
      <c r="B119" s="344"/>
      <c r="C119" s="344"/>
      <c r="D119" s="344"/>
      <c r="E119" s="344"/>
      <c r="F119" s="344"/>
      <c r="G119" s="344"/>
      <c r="H119" s="344"/>
      <c r="I119" s="344"/>
      <c r="J119" s="344"/>
      <c r="K119" s="345"/>
      <c r="L119" s="345"/>
      <c r="M119" s="345"/>
    </row>
    <row r="120" ht="15.75" customHeight="1">
      <c r="A120" s="344"/>
      <c r="B120" s="344"/>
      <c r="C120" s="344"/>
      <c r="D120" s="344"/>
      <c r="E120" s="344"/>
      <c r="F120" s="344"/>
      <c r="G120" s="344"/>
      <c r="H120" s="344"/>
      <c r="I120" s="344"/>
      <c r="J120" s="344"/>
      <c r="K120" s="345"/>
      <c r="L120" s="345"/>
      <c r="M120" s="345"/>
    </row>
    <row r="121" ht="15.75" customHeight="1">
      <c r="A121" s="344"/>
      <c r="B121" s="344"/>
      <c r="C121" s="344"/>
      <c r="D121" s="344"/>
      <c r="E121" s="344"/>
      <c r="F121" s="344"/>
      <c r="G121" s="344"/>
      <c r="H121" s="344"/>
      <c r="I121" s="344"/>
      <c r="J121" s="344"/>
      <c r="K121" s="345"/>
      <c r="L121" s="345"/>
      <c r="M121" s="345"/>
    </row>
    <row r="122" ht="15.75" customHeight="1">
      <c r="A122" s="344"/>
      <c r="B122" s="344"/>
      <c r="C122" s="344"/>
      <c r="D122" s="344"/>
      <c r="E122" s="344"/>
      <c r="F122" s="344"/>
      <c r="G122" s="344"/>
      <c r="H122" s="344"/>
      <c r="I122" s="344"/>
      <c r="J122" s="344"/>
      <c r="K122" s="345"/>
      <c r="L122" s="345"/>
      <c r="M122" s="345"/>
    </row>
    <row r="123" ht="15.75" customHeight="1">
      <c r="A123" s="344"/>
      <c r="B123" s="344"/>
      <c r="C123" s="344"/>
      <c r="D123" s="344"/>
      <c r="E123" s="344"/>
      <c r="F123" s="344"/>
      <c r="G123" s="344"/>
      <c r="H123" s="344"/>
      <c r="I123" s="344"/>
      <c r="J123" s="344"/>
      <c r="K123" s="345"/>
      <c r="L123" s="345"/>
      <c r="M123" s="345"/>
    </row>
    <row r="124" ht="15.75" customHeight="1">
      <c r="A124" s="344"/>
      <c r="B124" s="344"/>
      <c r="C124" s="344"/>
      <c r="D124" s="344"/>
      <c r="E124" s="344"/>
      <c r="F124" s="344"/>
      <c r="G124" s="344"/>
      <c r="H124" s="344"/>
      <c r="I124" s="344"/>
      <c r="J124" s="344"/>
      <c r="K124" s="345"/>
      <c r="L124" s="345"/>
      <c r="M124" s="345"/>
    </row>
    <row r="125" ht="15.75" customHeight="1">
      <c r="A125" s="344"/>
      <c r="B125" s="344"/>
      <c r="C125" s="344"/>
      <c r="D125" s="344"/>
      <c r="E125" s="344"/>
      <c r="F125" s="344"/>
      <c r="G125" s="344"/>
      <c r="H125" s="344"/>
      <c r="I125" s="344"/>
      <c r="J125" s="344"/>
      <c r="K125" s="345"/>
      <c r="L125" s="345"/>
      <c r="M125" s="345"/>
    </row>
    <row r="126" ht="15.75" customHeight="1">
      <c r="A126" s="344"/>
      <c r="B126" s="344"/>
      <c r="C126" s="344"/>
      <c r="D126" s="344"/>
      <c r="E126" s="344"/>
      <c r="F126" s="344"/>
      <c r="G126" s="344"/>
      <c r="H126" s="344"/>
      <c r="I126" s="344"/>
      <c r="J126" s="344"/>
      <c r="K126" s="345"/>
      <c r="L126" s="345"/>
      <c r="M126" s="345"/>
    </row>
    <row r="127" ht="15.75" customHeight="1">
      <c r="A127" s="344"/>
      <c r="B127" s="344"/>
      <c r="C127" s="344"/>
      <c r="D127" s="344"/>
      <c r="E127" s="344"/>
      <c r="F127" s="344"/>
      <c r="G127" s="344"/>
      <c r="H127" s="344"/>
      <c r="I127" s="344"/>
      <c r="J127" s="344"/>
      <c r="K127" s="345"/>
      <c r="L127" s="345"/>
      <c r="M127" s="345"/>
    </row>
    <row r="128" ht="15.75" customHeight="1">
      <c r="A128" s="344"/>
      <c r="B128" s="344"/>
      <c r="C128" s="344"/>
      <c r="D128" s="344"/>
      <c r="E128" s="344"/>
      <c r="F128" s="344"/>
      <c r="G128" s="344"/>
      <c r="H128" s="344"/>
      <c r="I128" s="344"/>
      <c r="J128" s="344"/>
      <c r="K128" s="345"/>
      <c r="L128" s="345"/>
      <c r="M128" s="345"/>
    </row>
    <row r="129" ht="15.75" customHeight="1">
      <c r="A129" s="344"/>
      <c r="B129" s="344"/>
      <c r="C129" s="344"/>
      <c r="D129" s="344"/>
      <c r="E129" s="344"/>
      <c r="F129" s="344"/>
      <c r="G129" s="344"/>
      <c r="H129" s="344"/>
      <c r="I129" s="344"/>
      <c r="J129" s="344"/>
      <c r="K129" s="345"/>
      <c r="L129" s="345"/>
      <c r="M129" s="345"/>
    </row>
    <row r="130" ht="15.75" customHeight="1">
      <c r="A130" s="344"/>
      <c r="B130" s="344"/>
      <c r="C130" s="344"/>
      <c r="D130" s="344"/>
      <c r="E130" s="344"/>
      <c r="F130" s="344"/>
      <c r="G130" s="344"/>
      <c r="H130" s="344"/>
      <c r="I130" s="344"/>
      <c r="J130" s="344"/>
      <c r="K130" s="345"/>
      <c r="L130" s="345"/>
      <c r="M130" s="345"/>
    </row>
    <row r="131" ht="15.75" customHeight="1">
      <c r="A131" s="344"/>
      <c r="B131" s="344"/>
      <c r="C131" s="344"/>
      <c r="D131" s="344"/>
      <c r="E131" s="344"/>
      <c r="F131" s="344"/>
      <c r="G131" s="344"/>
      <c r="H131" s="344"/>
      <c r="I131" s="344"/>
      <c r="J131" s="344"/>
      <c r="K131" s="345"/>
      <c r="L131" s="345"/>
      <c r="M131" s="345"/>
    </row>
    <row r="132" ht="15.75" customHeight="1">
      <c r="A132" s="344"/>
      <c r="B132" s="344"/>
      <c r="C132" s="344"/>
      <c r="D132" s="344"/>
      <c r="E132" s="344"/>
      <c r="F132" s="344"/>
      <c r="G132" s="344"/>
      <c r="H132" s="344"/>
      <c r="I132" s="344"/>
      <c r="J132" s="344"/>
      <c r="K132" s="345"/>
      <c r="L132" s="345"/>
      <c r="M132" s="345"/>
    </row>
    <row r="133" ht="15.75" customHeight="1">
      <c r="A133" s="344"/>
      <c r="B133" s="344"/>
      <c r="C133" s="344"/>
      <c r="D133" s="344"/>
      <c r="E133" s="344"/>
      <c r="F133" s="344"/>
      <c r="G133" s="344"/>
      <c r="H133" s="344"/>
      <c r="I133" s="344"/>
      <c r="J133" s="344"/>
      <c r="K133" s="345"/>
      <c r="L133" s="345"/>
      <c r="M133" s="345"/>
    </row>
    <row r="134" ht="15.75" customHeight="1">
      <c r="A134" s="344"/>
      <c r="B134" s="344"/>
      <c r="C134" s="344"/>
      <c r="D134" s="344"/>
      <c r="E134" s="344"/>
      <c r="F134" s="344"/>
      <c r="G134" s="344"/>
      <c r="H134" s="344"/>
      <c r="I134" s="344"/>
      <c r="J134" s="344"/>
      <c r="K134" s="345"/>
      <c r="L134" s="345"/>
      <c r="M134" s="345"/>
    </row>
    <row r="135" ht="15.75" customHeight="1">
      <c r="A135" s="344"/>
      <c r="B135" s="344"/>
      <c r="C135" s="344"/>
      <c r="D135" s="344"/>
      <c r="E135" s="344"/>
      <c r="F135" s="344"/>
      <c r="G135" s="344"/>
      <c r="H135" s="344"/>
      <c r="I135" s="344"/>
      <c r="J135" s="344"/>
      <c r="K135" s="345"/>
      <c r="L135" s="345"/>
      <c r="M135" s="345"/>
    </row>
    <row r="136" ht="15.75" customHeight="1">
      <c r="A136" s="344"/>
      <c r="B136" s="344"/>
      <c r="C136" s="344"/>
      <c r="D136" s="344"/>
      <c r="E136" s="344"/>
      <c r="F136" s="344"/>
      <c r="G136" s="344"/>
      <c r="H136" s="344"/>
      <c r="I136" s="344"/>
      <c r="J136" s="344"/>
      <c r="K136" s="345"/>
      <c r="L136" s="345"/>
      <c r="M136" s="345"/>
    </row>
    <row r="137" ht="15.75" customHeight="1">
      <c r="A137" s="344"/>
      <c r="B137" s="344"/>
      <c r="C137" s="344"/>
      <c r="D137" s="344"/>
      <c r="E137" s="344"/>
      <c r="F137" s="344"/>
      <c r="G137" s="344"/>
      <c r="H137" s="344"/>
      <c r="I137" s="344"/>
      <c r="J137" s="344"/>
      <c r="K137" s="345"/>
      <c r="L137" s="345"/>
      <c r="M137" s="345"/>
    </row>
    <row r="138" ht="15.75" customHeight="1">
      <c r="A138" s="344"/>
      <c r="B138" s="344"/>
      <c r="C138" s="344"/>
      <c r="D138" s="344"/>
      <c r="E138" s="344"/>
      <c r="F138" s="344"/>
      <c r="G138" s="344"/>
      <c r="H138" s="344"/>
      <c r="I138" s="344"/>
      <c r="J138" s="344"/>
      <c r="K138" s="345"/>
      <c r="L138" s="345"/>
      <c r="M138" s="345"/>
    </row>
    <row r="139" ht="15.75" customHeight="1">
      <c r="A139" s="344"/>
      <c r="B139" s="344"/>
      <c r="C139" s="344"/>
      <c r="D139" s="344"/>
      <c r="E139" s="344"/>
      <c r="F139" s="344"/>
      <c r="G139" s="344"/>
      <c r="H139" s="344"/>
      <c r="I139" s="344"/>
      <c r="J139" s="344"/>
      <c r="K139" s="345"/>
      <c r="L139" s="345"/>
      <c r="M139" s="345"/>
    </row>
    <row r="140" ht="15.75" customHeight="1">
      <c r="A140" s="344"/>
      <c r="B140" s="344"/>
      <c r="C140" s="344"/>
      <c r="D140" s="344"/>
      <c r="E140" s="344"/>
      <c r="F140" s="344"/>
      <c r="G140" s="344"/>
      <c r="H140" s="344"/>
      <c r="I140" s="344"/>
      <c r="J140" s="344"/>
      <c r="K140" s="345"/>
      <c r="L140" s="345"/>
      <c r="M140" s="345"/>
    </row>
    <row r="141" ht="15.75" customHeight="1">
      <c r="A141" s="344"/>
      <c r="B141" s="344"/>
      <c r="C141" s="344"/>
      <c r="D141" s="344"/>
      <c r="E141" s="344"/>
      <c r="F141" s="344"/>
      <c r="G141" s="344"/>
      <c r="H141" s="344"/>
      <c r="I141" s="344"/>
      <c r="J141" s="344"/>
      <c r="K141" s="345"/>
      <c r="L141" s="345"/>
      <c r="M141" s="345"/>
    </row>
    <row r="142" ht="15.75" customHeight="1">
      <c r="A142" s="344"/>
      <c r="B142" s="344"/>
      <c r="C142" s="344"/>
      <c r="D142" s="344"/>
      <c r="E142" s="344"/>
      <c r="F142" s="344"/>
      <c r="G142" s="344"/>
      <c r="H142" s="344"/>
      <c r="I142" s="344"/>
      <c r="J142" s="344"/>
      <c r="K142" s="345"/>
      <c r="L142" s="345"/>
      <c r="M142" s="345"/>
    </row>
    <row r="143" ht="15.75" customHeight="1">
      <c r="A143" s="344"/>
      <c r="B143" s="344"/>
      <c r="C143" s="344"/>
      <c r="D143" s="344"/>
      <c r="E143" s="344"/>
      <c r="F143" s="344"/>
      <c r="G143" s="344"/>
      <c r="H143" s="344"/>
      <c r="I143" s="344"/>
      <c r="J143" s="344"/>
      <c r="K143" s="345"/>
      <c r="L143" s="345"/>
      <c r="M143" s="345"/>
    </row>
    <row r="144" ht="15.75" customHeight="1">
      <c r="A144" s="344"/>
      <c r="B144" s="344"/>
      <c r="C144" s="344"/>
      <c r="D144" s="344"/>
      <c r="E144" s="344"/>
      <c r="F144" s="344"/>
      <c r="G144" s="344"/>
      <c r="H144" s="344"/>
      <c r="I144" s="344"/>
      <c r="J144" s="344"/>
      <c r="K144" s="345"/>
      <c r="L144" s="345"/>
      <c r="M144" s="345"/>
    </row>
    <row r="145" ht="15.75" customHeight="1">
      <c r="A145" s="344"/>
      <c r="B145" s="344"/>
      <c r="C145" s="344"/>
      <c r="D145" s="344"/>
      <c r="E145" s="344"/>
      <c r="F145" s="344"/>
      <c r="G145" s="344"/>
      <c r="H145" s="344"/>
      <c r="I145" s="344"/>
      <c r="J145" s="344"/>
      <c r="K145" s="345"/>
      <c r="L145" s="345"/>
      <c r="M145" s="345"/>
    </row>
    <row r="146" ht="15.75" customHeight="1">
      <c r="A146" s="344"/>
      <c r="B146" s="344"/>
      <c r="C146" s="344"/>
      <c r="D146" s="344"/>
      <c r="E146" s="344"/>
      <c r="F146" s="344"/>
      <c r="G146" s="344"/>
      <c r="H146" s="344"/>
      <c r="I146" s="344"/>
      <c r="J146" s="344"/>
      <c r="K146" s="345"/>
      <c r="L146" s="345"/>
      <c r="M146" s="345"/>
    </row>
    <row r="147" ht="15.75" customHeight="1">
      <c r="A147" s="344"/>
      <c r="B147" s="344"/>
      <c r="C147" s="344"/>
      <c r="D147" s="344"/>
      <c r="E147" s="344"/>
      <c r="F147" s="344"/>
      <c r="G147" s="344"/>
      <c r="H147" s="344"/>
      <c r="I147" s="344"/>
      <c r="J147" s="344"/>
      <c r="K147" s="345"/>
      <c r="L147" s="345"/>
      <c r="M147" s="345"/>
    </row>
    <row r="148" ht="15.75" customHeight="1">
      <c r="A148" s="344"/>
      <c r="B148" s="344"/>
      <c r="C148" s="344"/>
      <c r="D148" s="344"/>
      <c r="E148" s="344"/>
      <c r="F148" s="344"/>
      <c r="G148" s="344"/>
      <c r="H148" s="344"/>
      <c r="I148" s="344"/>
      <c r="J148" s="344"/>
      <c r="K148" s="345"/>
      <c r="L148" s="345"/>
      <c r="M148" s="345"/>
    </row>
    <row r="149" ht="15.75" customHeight="1">
      <c r="A149" s="344"/>
      <c r="B149" s="344"/>
      <c r="C149" s="344"/>
      <c r="D149" s="344"/>
      <c r="E149" s="344"/>
      <c r="F149" s="344"/>
      <c r="G149" s="344"/>
      <c r="H149" s="344"/>
      <c r="I149" s="344"/>
      <c r="J149" s="344"/>
      <c r="K149" s="345"/>
      <c r="L149" s="345"/>
      <c r="M149" s="345"/>
    </row>
    <row r="150" ht="15.75" customHeight="1">
      <c r="A150" s="344"/>
      <c r="B150" s="344"/>
      <c r="C150" s="344"/>
      <c r="D150" s="344"/>
      <c r="E150" s="344"/>
      <c r="F150" s="344"/>
      <c r="G150" s="344"/>
      <c r="H150" s="344"/>
      <c r="I150" s="344"/>
      <c r="J150" s="344"/>
      <c r="K150" s="345"/>
      <c r="L150" s="345"/>
      <c r="M150" s="345"/>
    </row>
    <row r="151" ht="15.75" customHeight="1">
      <c r="A151" s="344"/>
      <c r="B151" s="344"/>
      <c r="C151" s="344"/>
      <c r="D151" s="344"/>
      <c r="E151" s="344"/>
      <c r="F151" s="344"/>
      <c r="G151" s="344"/>
      <c r="H151" s="344"/>
      <c r="I151" s="344"/>
      <c r="J151" s="344"/>
      <c r="K151" s="345"/>
      <c r="L151" s="345"/>
      <c r="M151" s="345"/>
    </row>
    <row r="152" ht="15.75" customHeight="1">
      <c r="A152" s="344"/>
      <c r="B152" s="344"/>
      <c r="C152" s="344"/>
      <c r="D152" s="344"/>
      <c r="E152" s="344"/>
      <c r="F152" s="344"/>
      <c r="G152" s="344"/>
      <c r="H152" s="344"/>
      <c r="I152" s="344"/>
      <c r="J152" s="344"/>
      <c r="K152" s="345"/>
      <c r="L152" s="345"/>
      <c r="M152" s="345"/>
    </row>
    <row r="153" ht="15.75" customHeight="1">
      <c r="A153" s="344"/>
      <c r="B153" s="344"/>
      <c r="C153" s="344"/>
      <c r="D153" s="344"/>
      <c r="E153" s="344"/>
      <c r="F153" s="344"/>
      <c r="G153" s="344"/>
      <c r="H153" s="344"/>
      <c r="I153" s="344"/>
      <c r="J153" s="344"/>
      <c r="K153" s="345"/>
      <c r="L153" s="345"/>
      <c r="M153" s="345"/>
    </row>
    <row r="154" ht="15.75" customHeight="1">
      <c r="A154" s="344"/>
      <c r="B154" s="344"/>
      <c r="C154" s="344"/>
      <c r="D154" s="344"/>
      <c r="E154" s="344"/>
      <c r="F154" s="344"/>
      <c r="G154" s="344"/>
      <c r="H154" s="344"/>
      <c r="I154" s="344"/>
      <c r="J154" s="344"/>
      <c r="K154" s="345"/>
      <c r="L154" s="345"/>
      <c r="M154" s="345"/>
    </row>
    <row r="155" ht="15.75" customHeight="1">
      <c r="A155" s="344"/>
      <c r="B155" s="344"/>
      <c r="C155" s="344"/>
      <c r="D155" s="344"/>
      <c r="E155" s="344"/>
      <c r="F155" s="344"/>
      <c r="G155" s="344"/>
      <c r="H155" s="344"/>
      <c r="I155" s="344"/>
      <c r="J155" s="344"/>
      <c r="K155" s="345"/>
      <c r="L155" s="345"/>
      <c r="M155" s="345"/>
    </row>
    <row r="156" ht="15.75" customHeight="1">
      <c r="A156" s="344"/>
      <c r="B156" s="344"/>
      <c r="C156" s="344"/>
      <c r="D156" s="344"/>
      <c r="E156" s="344"/>
      <c r="F156" s="344"/>
      <c r="G156" s="344"/>
      <c r="H156" s="344"/>
      <c r="I156" s="344"/>
      <c r="J156" s="344"/>
      <c r="K156" s="345"/>
      <c r="L156" s="345"/>
      <c r="M156" s="345"/>
    </row>
    <row r="157" ht="15.75" customHeight="1">
      <c r="A157" s="344"/>
      <c r="B157" s="344"/>
      <c r="C157" s="344"/>
      <c r="D157" s="344"/>
      <c r="E157" s="344"/>
      <c r="F157" s="344"/>
      <c r="G157" s="344"/>
      <c r="H157" s="344"/>
      <c r="I157" s="344"/>
      <c r="J157" s="344"/>
      <c r="K157" s="345"/>
      <c r="L157" s="345"/>
      <c r="M157" s="345"/>
    </row>
    <row r="158" ht="15.75" customHeight="1">
      <c r="A158" s="344"/>
      <c r="B158" s="344"/>
      <c r="C158" s="344"/>
      <c r="D158" s="344"/>
      <c r="E158" s="344"/>
      <c r="F158" s="344"/>
      <c r="G158" s="344"/>
      <c r="H158" s="344"/>
      <c r="I158" s="344"/>
      <c r="J158" s="344"/>
      <c r="K158" s="345"/>
      <c r="L158" s="345"/>
      <c r="M158" s="345"/>
    </row>
    <row r="159" ht="15.75" customHeight="1">
      <c r="A159" s="344"/>
      <c r="B159" s="344"/>
      <c r="C159" s="344"/>
      <c r="D159" s="344"/>
      <c r="E159" s="344"/>
      <c r="F159" s="344"/>
      <c r="G159" s="344"/>
      <c r="H159" s="344"/>
      <c r="I159" s="344"/>
      <c r="J159" s="344"/>
      <c r="K159" s="345"/>
      <c r="L159" s="345"/>
      <c r="M159" s="345"/>
    </row>
    <row r="160" ht="15.75" customHeight="1">
      <c r="A160" s="344"/>
      <c r="B160" s="344"/>
      <c r="C160" s="344"/>
      <c r="D160" s="344"/>
      <c r="E160" s="344"/>
      <c r="F160" s="344"/>
      <c r="G160" s="344"/>
      <c r="H160" s="344"/>
      <c r="I160" s="344"/>
      <c r="J160" s="344"/>
      <c r="K160" s="345"/>
      <c r="L160" s="345"/>
      <c r="M160" s="345"/>
    </row>
    <row r="161" ht="15.75" customHeight="1">
      <c r="A161" s="344"/>
      <c r="B161" s="344"/>
      <c r="C161" s="344"/>
      <c r="D161" s="344"/>
      <c r="E161" s="344"/>
      <c r="F161" s="344"/>
      <c r="G161" s="344"/>
      <c r="H161" s="344"/>
      <c r="I161" s="344"/>
      <c r="J161" s="344"/>
      <c r="K161" s="345"/>
      <c r="L161" s="345"/>
      <c r="M161" s="345"/>
    </row>
    <row r="162" ht="15.75" customHeight="1">
      <c r="A162" s="344"/>
      <c r="B162" s="344"/>
      <c r="C162" s="344"/>
      <c r="D162" s="344"/>
      <c r="E162" s="344"/>
      <c r="F162" s="344"/>
      <c r="G162" s="344"/>
      <c r="H162" s="344"/>
      <c r="I162" s="344"/>
      <c r="J162" s="344"/>
      <c r="K162" s="345"/>
      <c r="L162" s="345"/>
      <c r="M162" s="345"/>
    </row>
    <row r="163" ht="15.75" customHeight="1">
      <c r="A163" s="344"/>
      <c r="B163" s="344"/>
      <c r="C163" s="344"/>
      <c r="D163" s="344"/>
      <c r="E163" s="344"/>
      <c r="F163" s="344"/>
      <c r="G163" s="344"/>
      <c r="H163" s="344"/>
      <c r="I163" s="344"/>
      <c r="J163" s="344"/>
      <c r="K163" s="345"/>
      <c r="L163" s="345"/>
      <c r="M163" s="345"/>
    </row>
    <row r="164" ht="15.75" customHeight="1">
      <c r="A164" s="344"/>
      <c r="B164" s="344"/>
      <c r="C164" s="344"/>
      <c r="D164" s="344"/>
      <c r="E164" s="344"/>
      <c r="F164" s="344"/>
      <c r="G164" s="344"/>
      <c r="H164" s="344"/>
      <c r="I164" s="344"/>
      <c r="J164" s="344"/>
      <c r="K164" s="345"/>
      <c r="L164" s="345"/>
      <c r="M164" s="345"/>
    </row>
    <row r="165" ht="15.75" customHeight="1">
      <c r="A165" s="344"/>
      <c r="B165" s="344"/>
      <c r="C165" s="344"/>
      <c r="D165" s="344"/>
      <c r="E165" s="344"/>
      <c r="F165" s="344"/>
      <c r="G165" s="344"/>
      <c r="H165" s="344"/>
      <c r="I165" s="344"/>
      <c r="J165" s="344"/>
      <c r="K165" s="345"/>
      <c r="L165" s="345"/>
      <c r="M165" s="345"/>
    </row>
    <row r="166" ht="15.75" customHeight="1">
      <c r="A166" s="344"/>
      <c r="B166" s="344"/>
      <c r="C166" s="344"/>
      <c r="D166" s="344"/>
      <c r="E166" s="344"/>
      <c r="F166" s="344"/>
      <c r="G166" s="344"/>
      <c r="H166" s="344"/>
      <c r="I166" s="344"/>
      <c r="J166" s="344"/>
      <c r="K166" s="345"/>
      <c r="L166" s="345"/>
      <c r="M166" s="345"/>
    </row>
    <row r="167" ht="15.75" customHeight="1">
      <c r="A167" s="344"/>
      <c r="B167" s="344"/>
      <c r="C167" s="344"/>
      <c r="D167" s="344"/>
      <c r="E167" s="344"/>
      <c r="F167" s="344"/>
      <c r="G167" s="344"/>
      <c r="H167" s="344"/>
      <c r="I167" s="344"/>
      <c r="J167" s="344"/>
      <c r="K167" s="345"/>
      <c r="L167" s="345"/>
      <c r="M167" s="345"/>
    </row>
    <row r="168" ht="15.75" customHeight="1">
      <c r="A168" s="344"/>
      <c r="B168" s="344"/>
      <c r="C168" s="344"/>
      <c r="D168" s="344"/>
      <c r="E168" s="344"/>
      <c r="F168" s="344"/>
      <c r="G168" s="344"/>
      <c r="H168" s="344"/>
      <c r="I168" s="344"/>
      <c r="J168" s="344"/>
      <c r="K168" s="345"/>
      <c r="L168" s="345"/>
      <c r="M168" s="345"/>
    </row>
    <row r="169" ht="15.75" customHeight="1">
      <c r="A169" s="344"/>
      <c r="B169" s="344"/>
      <c r="C169" s="344"/>
      <c r="D169" s="344"/>
      <c r="E169" s="344"/>
      <c r="F169" s="344"/>
      <c r="G169" s="344"/>
      <c r="H169" s="344"/>
      <c r="I169" s="344"/>
      <c r="J169" s="344"/>
      <c r="K169" s="345"/>
      <c r="L169" s="345"/>
      <c r="M169" s="345"/>
    </row>
    <row r="170" ht="15.75" customHeight="1">
      <c r="A170" s="344"/>
      <c r="B170" s="344"/>
      <c r="C170" s="344"/>
      <c r="D170" s="344"/>
      <c r="E170" s="344"/>
      <c r="F170" s="344"/>
      <c r="G170" s="344"/>
      <c r="H170" s="344"/>
      <c r="I170" s="344"/>
      <c r="J170" s="344"/>
      <c r="K170" s="345"/>
      <c r="L170" s="345"/>
      <c r="M170" s="345"/>
    </row>
    <row r="171" ht="15.75" customHeight="1">
      <c r="A171" s="344"/>
      <c r="B171" s="344"/>
      <c r="C171" s="344"/>
      <c r="D171" s="344"/>
      <c r="E171" s="344"/>
      <c r="F171" s="344"/>
      <c r="G171" s="344"/>
      <c r="H171" s="344"/>
      <c r="I171" s="344"/>
      <c r="J171" s="344"/>
      <c r="K171" s="345"/>
      <c r="L171" s="345"/>
      <c r="M171" s="345"/>
    </row>
    <row r="172" ht="15.75" customHeight="1">
      <c r="A172" s="344"/>
      <c r="B172" s="344"/>
      <c r="C172" s="344"/>
      <c r="D172" s="344"/>
      <c r="E172" s="344"/>
      <c r="F172" s="344"/>
      <c r="G172" s="344"/>
      <c r="H172" s="344"/>
      <c r="I172" s="344"/>
      <c r="J172" s="344"/>
      <c r="K172" s="345"/>
      <c r="L172" s="345"/>
      <c r="M172" s="345"/>
    </row>
    <row r="173" ht="15.75" customHeight="1">
      <c r="A173" s="344"/>
      <c r="B173" s="344"/>
      <c r="C173" s="344"/>
      <c r="D173" s="344"/>
      <c r="E173" s="344"/>
      <c r="F173" s="344"/>
      <c r="G173" s="344"/>
      <c r="H173" s="344"/>
      <c r="I173" s="344"/>
      <c r="J173" s="344"/>
      <c r="K173" s="345"/>
      <c r="L173" s="345"/>
      <c r="M173" s="345"/>
    </row>
    <row r="174" ht="15.75" customHeight="1">
      <c r="A174" s="344"/>
      <c r="B174" s="344"/>
      <c r="C174" s="344"/>
      <c r="D174" s="344"/>
      <c r="E174" s="344"/>
      <c r="F174" s="344"/>
      <c r="G174" s="344"/>
      <c r="H174" s="344"/>
      <c r="I174" s="344"/>
      <c r="J174" s="344"/>
      <c r="K174" s="345"/>
      <c r="L174" s="345"/>
      <c r="M174" s="345"/>
    </row>
    <row r="175" ht="15.75" customHeight="1">
      <c r="A175" s="344"/>
      <c r="B175" s="344"/>
      <c r="C175" s="344"/>
      <c r="D175" s="344"/>
      <c r="E175" s="344"/>
      <c r="F175" s="344"/>
      <c r="G175" s="344"/>
      <c r="H175" s="344"/>
      <c r="I175" s="344"/>
      <c r="J175" s="344"/>
      <c r="K175" s="345"/>
      <c r="L175" s="345"/>
      <c r="M175" s="345"/>
    </row>
    <row r="176" ht="15.75" customHeight="1">
      <c r="A176" s="344"/>
      <c r="B176" s="344"/>
      <c r="C176" s="344"/>
      <c r="D176" s="344"/>
      <c r="E176" s="344"/>
      <c r="F176" s="344"/>
      <c r="G176" s="344"/>
      <c r="H176" s="344"/>
      <c r="I176" s="344"/>
      <c r="J176" s="344"/>
      <c r="K176" s="345"/>
      <c r="L176" s="345"/>
      <c r="M176" s="345"/>
    </row>
    <row r="177" ht="15.75" customHeight="1">
      <c r="A177" s="344"/>
      <c r="B177" s="344"/>
      <c r="C177" s="344"/>
      <c r="D177" s="344"/>
      <c r="E177" s="344"/>
      <c r="F177" s="344"/>
      <c r="G177" s="344"/>
      <c r="H177" s="344"/>
      <c r="I177" s="344"/>
      <c r="J177" s="344"/>
      <c r="K177" s="345"/>
      <c r="L177" s="345"/>
      <c r="M177" s="345"/>
    </row>
    <row r="178" ht="15.75" customHeight="1">
      <c r="A178" s="344"/>
      <c r="B178" s="344"/>
      <c r="C178" s="344"/>
      <c r="D178" s="344"/>
      <c r="E178" s="344"/>
      <c r="F178" s="344"/>
      <c r="G178" s="344"/>
      <c r="H178" s="344"/>
      <c r="I178" s="344"/>
      <c r="J178" s="344"/>
      <c r="K178" s="345"/>
      <c r="L178" s="345"/>
      <c r="M178" s="345"/>
    </row>
    <row r="179" ht="15.75" customHeight="1">
      <c r="A179" s="344"/>
      <c r="B179" s="344"/>
      <c r="C179" s="344"/>
      <c r="D179" s="344"/>
      <c r="E179" s="344"/>
      <c r="F179" s="344"/>
      <c r="G179" s="344"/>
      <c r="H179" s="344"/>
      <c r="I179" s="344"/>
      <c r="J179" s="344"/>
      <c r="K179" s="345"/>
      <c r="L179" s="345"/>
      <c r="M179" s="345"/>
    </row>
    <row r="180" ht="15.75" customHeight="1">
      <c r="A180" s="344"/>
      <c r="B180" s="344"/>
      <c r="C180" s="344"/>
      <c r="D180" s="344"/>
      <c r="E180" s="344"/>
      <c r="F180" s="344"/>
      <c r="G180" s="344"/>
      <c r="H180" s="344"/>
      <c r="I180" s="344"/>
      <c r="J180" s="344"/>
      <c r="K180" s="345"/>
      <c r="L180" s="345"/>
      <c r="M180" s="345"/>
    </row>
    <row r="181" ht="15.75" customHeight="1">
      <c r="A181" s="344"/>
      <c r="B181" s="344"/>
      <c r="C181" s="344"/>
      <c r="D181" s="344"/>
      <c r="E181" s="344"/>
      <c r="F181" s="344"/>
      <c r="G181" s="344"/>
      <c r="H181" s="344"/>
      <c r="I181" s="344"/>
      <c r="J181" s="344"/>
      <c r="K181" s="345"/>
      <c r="L181" s="345"/>
      <c r="M181" s="345"/>
    </row>
    <row r="182" ht="15.75" customHeight="1">
      <c r="A182" s="344"/>
      <c r="B182" s="344"/>
      <c r="C182" s="344"/>
      <c r="D182" s="344"/>
      <c r="E182" s="344"/>
      <c r="F182" s="344"/>
      <c r="G182" s="344"/>
      <c r="H182" s="344"/>
      <c r="I182" s="344"/>
      <c r="J182" s="344"/>
      <c r="K182" s="345"/>
      <c r="L182" s="345"/>
      <c r="M182" s="345"/>
    </row>
    <row r="183" ht="15.75" customHeight="1">
      <c r="A183" s="344"/>
      <c r="B183" s="344"/>
      <c r="C183" s="344"/>
      <c r="D183" s="344"/>
      <c r="E183" s="344"/>
      <c r="F183" s="344"/>
      <c r="G183" s="344"/>
      <c r="H183" s="344"/>
      <c r="I183" s="344"/>
      <c r="J183" s="344"/>
      <c r="K183" s="345"/>
      <c r="L183" s="345"/>
      <c r="M183" s="345"/>
    </row>
    <row r="184" ht="15.75" customHeight="1">
      <c r="A184" s="344"/>
      <c r="B184" s="344"/>
      <c r="C184" s="344"/>
      <c r="D184" s="344"/>
      <c r="E184" s="344"/>
      <c r="F184" s="344"/>
      <c r="G184" s="344"/>
      <c r="H184" s="344"/>
      <c r="I184" s="344"/>
      <c r="J184" s="344"/>
      <c r="K184" s="345"/>
      <c r="L184" s="345"/>
      <c r="M184" s="345"/>
    </row>
    <row r="185" ht="15.75" customHeight="1">
      <c r="A185" s="344"/>
      <c r="B185" s="344"/>
      <c r="C185" s="344"/>
      <c r="D185" s="344"/>
      <c r="E185" s="344"/>
      <c r="F185" s="344"/>
      <c r="G185" s="344"/>
      <c r="H185" s="344"/>
      <c r="I185" s="344"/>
      <c r="J185" s="344"/>
      <c r="K185" s="345"/>
      <c r="L185" s="345"/>
      <c r="M185" s="345"/>
    </row>
    <row r="186" ht="15.75" customHeight="1">
      <c r="A186" s="344"/>
      <c r="B186" s="344"/>
      <c r="C186" s="344"/>
      <c r="D186" s="344"/>
      <c r="E186" s="344"/>
      <c r="F186" s="344"/>
      <c r="G186" s="344"/>
      <c r="H186" s="344"/>
      <c r="I186" s="344"/>
      <c r="J186" s="344"/>
      <c r="K186" s="345"/>
      <c r="L186" s="345"/>
      <c r="M186" s="345"/>
    </row>
    <row r="187" ht="15.75" customHeight="1">
      <c r="A187" s="344"/>
      <c r="B187" s="344"/>
      <c r="C187" s="344"/>
      <c r="D187" s="344"/>
      <c r="E187" s="344"/>
      <c r="F187" s="344"/>
      <c r="G187" s="344"/>
      <c r="H187" s="344"/>
      <c r="I187" s="344"/>
      <c r="J187" s="344"/>
      <c r="K187" s="345"/>
      <c r="L187" s="345"/>
      <c r="M187" s="345"/>
    </row>
    <row r="188" ht="15.75" customHeight="1">
      <c r="A188" s="344"/>
      <c r="B188" s="344"/>
      <c r="C188" s="344"/>
      <c r="D188" s="344"/>
      <c r="E188" s="344"/>
      <c r="F188" s="344"/>
      <c r="G188" s="344"/>
      <c r="H188" s="344"/>
      <c r="I188" s="344"/>
      <c r="J188" s="344"/>
      <c r="K188" s="345"/>
      <c r="L188" s="345"/>
      <c r="M188" s="345"/>
    </row>
    <row r="189" ht="15.75" customHeight="1">
      <c r="A189" s="344"/>
      <c r="B189" s="344"/>
      <c r="C189" s="344"/>
      <c r="D189" s="344"/>
      <c r="E189" s="344"/>
      <c r="F189" s="344"/>
      <c r="G189" s="344"/>
      <c r="H189" s="344"/>
      <c r="I189" s="344"/>
      <c r="J189" s="344"/>
      <c r="K189" s="345"/>
      <c r="L189" s="345"/>
      <c r="M189" s="345"/>
    </row>
    <row r="190" ht="15.75" customHeight="1">
      <c r="A190" s="344"/>
      <c r="B190" s="344"/>
      <c r="C190" s="344"/>
      <c r="D190" s="344"/>
      <c r="E190" s="344"/>
      <c r="F190" s="344"/>
      <c r="G190" s="344"/>
      <c r="H190" s="344"/>
      <c r="I190" s="344"/>
      <c r="J190" s="344"/>
      <c r="K190" s="345"/>
      <c r="L190" s="345"/>
      <c r="M190" s="345"/>
    </row>
    <row r="191" ht="15.75" customHeight="1">
      <c r="A191" s="344"/>
      <c r="B191" s="344"/>
      <c r="C191" s="344"/>
      <c r="D191" s="344"/>
      <c r="E191" s="344"/>
      <c r="F191" s="344"/>
      <c r="G191" s="344"/>
      <c r="H191" s="344"/>
      <c r="I191" s="344"/>
      <c r="J191" s="344"/>
      <c r="K191" s="345"/>
      <c r="L191" s="345"/>
      <c r="M191" s="345"/>
    </row>
    <row r="192" ht="15.75" customHeight="1">
      <c r="A192" s="344"/>
      <c r="B192" s="344"/>
      <c r="C192" s="344"/>
      <c r="D192" s="344"/>
      <c r="E192" s="344"/>
      <c r="F192" s="344"/>
      <c r="G192" s="344"/>
      <c r="H192" s="344"/>
      <c r="I192" s="344"/>
      <c r="J192" s="344"/>
      <c r="K192" s="345"/>
      <c r="L192" s="345"/>
      <c r="M192" s="345"/>
    </row>
    <row r="193" ht="15.75" customHeight="1">
      <c r="A193" s="344"/>
      <c r="B193" s="344"/>
      <c r="C193" s="344"/>
      <c r="D193" s="344"/>
      <c r="E193" s="344"/>
      <c r="F193" s="344"/>
      <c r="G193" s="344"/>
      <c r="H193" s="344"/>
      <c r="I193" s="344"/>
      <c r="J193" s="344"/>
      <c r="K193" s="345"/>
      <c r="L193" s="345"/>
      <c r="M193" s="345"/>
    </row>
    <row r="194" ht="15.75" customHeight="1">
      <c r="A194" s="344"/>
      <c r="B194" s="344"/>
      <c r="C194" s="344"/>
      <c r="D194" s="344"/>
      <c r="E194" s="344"/>
      <c r="F194" s="344"/>
      <c r="G194" s="344"/>
      <c r="H194" s="344"/>
      <c r="I194" s="344"/>
      <c r="J194" s="344"/>
      <c r="K194" s="345"/>
      <c r="L194" s="345"/>
      <c r="M194" s="345"/>
    </row>
    <row r="195" ht="15.75" customHeight="1">
      <c r="A195" s="344"/>
      <c r="B195" s="344"/>
      <c r="C195" s="344"/>
      <c r="D195" s="344"/>
      <c r="E195" s="344"/>
      <c r="F195" s="344"/>
      <c r="G195" s="344"/>
      <c r="H195" s="344"/>
      <c r="I195" s="344"/>
      <c r="J195" s="344"/>
      <c r="K195" s="345"/>
      <c r="L195" s="345"/>
      <c r="M195" s="345"/>
    </row>
    <row r="196" ht="15.75" customHeight="1">
      <c r="A196" s="344"/>
      <c r="B196" s="344"/>
      <c r="C196" s="344"/>
      <c r="D196" s="344"/>
      <c r="E196" s="344"/>
      <c r="F196" s="344"/>
      <c r="G196" s="344"/>
      <c r="H196" s="344"/>
      <c r="I196" s="344"/>
      <c r="J196" s="344"/>
      <c r="K196" s="345"/>
      <c r="L196" s="345"/>
      <c r="M196" s="345"/>
    </row>
    <row r="197" ht="15.75" customHeight="1">
      <c r="A197" s="344"/>
      <c r="B197" s="344"/>
      <c r="C197" s="344"/>
      <c r="D197" s="344"/>
      <c r="E197" s="344"/>
      <c r="F197" s="344"/>
      <c r="G197" s="344"/>
      <c r="H197" s="344"/>
      <c r="I197" s="344"/>
      <c r="J197" s="344"/>
      <c r="K197" s="345"/>
      <c r="L197" s="345"/>
      <c r="M197" s="345"/>
    </row>
    <row r="198" ht="15.75" customHeight="1">
      <c r="A198" s="344"/>
      <c r="B198" s="344"/>
      <c r="C198" s="344"/>
      <c r="D198" s="344"/>
      <c r="E198" s="344"/>
      <c r="F198" s="344"/>
      <c r="G198" s="344"/>
      <c r="H198" s="344"/>
      <c r="I198" s="344"/>
      <c r="J198" s="344"/>
      <c r="K198" s="345"/>
      <c r="L198" s="345"/>
      <c r="M198" s="345"/>
    </row>
    <row r="199" ht="15.75" customHeight="1">
      <c r="A199" s="344"/>
      <c r="B199" s="344"/>
      <c r="C199" s="344"/>
      <c r="D199" s="344"/>
      <c r="E199" s="344"/>
      <c r="F199" s="344"/>
      <c r="G199" s="344"/>
      <c r="H199" s="344"/>
      <c r="I199" s="344"/>
      <c r="J199" s="344"/>
      <c r="K199" s="345"/>
      <c r="L199" s="345"/>
      <c r="M199" s="345"/>
    </row>
    <row r="200" ht="15.75" customHeight="1">
      <c r="A200" s="344"/>
      <c r="B200" s="344"/>
      <c r="C200" s="344"/>
      <c r="D200" s="344"/>
      <c r="E200" s="344"/>
      <c r="F200" s="344"/>
      <c r="G200" s="344"/>
      <c r="H200" s="344"/>
      <c r="I200" s="344"/>
      <c r="J200" s="344"/>
      <c r="K200" s="345"/>
      <c r="L200" s="345"/>
      <c r="M200" s="345"/>
    </row>
    <row r="201" ht="15.75" customHeight="1">
      <c r="A201" s="344"/>
      <c r="B201" s="344"/>
      <c r="C201" s="344"/>
      <c r="D201" s="344"/>
      <c r="E201" s="344"/>
      <c r="F201" s="344"/>
      <c r="G201" s="344"/>
      <c r="H201" s="344"/>
      <c r="I201" s="344"/>
      <c r="J201" s="344"/>
      <c r="K201" s="345"/>
      <c r="L201" s="345"/>
      <c r="M201" s="345"/>
    </row>
    <row r="202" ht="15.75" customHeight="1">
      <c r="A202" s="344"/>
      <c r="B202" s="344"/>
      <c r="C202" s="344"/>
      <c r="D202" s="344"/>
      <c r="E202" s="344"/>
      <c r="F202" s="344"/>
      <c r="G202" s="344"/>
      <c r="H202" s="344"/>
      <c r="I202" s="344"/>
      <c r="J202" s="344"/>
      <c r="K202" s="345"/>
      <c r="L202" s="345"/>
      <c r="M202" s="345"/>
    </row>
    <row r="203" ht="15.75" customHeight="1">
      <c r="A203" s="344"/>
      <c r="B203" s="344"/>
      <c r="C203" s="344"/>
      <c r="D203" s="344"/>
      <c r="E203" s="344"/>
      <c r="F203" s="344"/>
      <c r="G203" s="344"/>
      <c r="H203" s="344"/>
      <c r="I203" s="344"/>
      <c r="J203" s="344"/>
      <c r="K203" s="345"/>
      <c r="L203" s="345"/>
      <c r="M203" s="345"/>
    </row>
    <row r="204" ht="15.75" customHeight="1">
      <c r="A204" s="344"/>
      <c r="B204" s="344"/>
      <c r="C204" s="344"/>
      <c r="D204" s="344"/>
      <c r="E204" s="344"/>
      <c r="F204" s="344"/>
      <c r="G204" s="344"/>
      <c r="H204" s="344"/>
      <c r="I204" s="344"/>
      <c r="J204" s="344"/>
      <c r="K204" s="345"/>
      <c r="L204" s="345"/>
      <c r="M204" s="345"/>
    </row>
    <row r="205" ht="15.75" customHeight="1">
      <c r="A205" s="344"/>
      <c r="B205" s="344"/>
      <c r="C205" s="344"/>
      <c r="D205" s="344"/>
      <c r="E205" s="344"/>
      <c r="F205" s="344"/>
      <c r="G205" s="344"/>
      <c r="H205" s="344"/>
      <c r="I205" s="344"/>
      <c r="J205" s="344"/>
      <c r="K205" s="345"/>
      <c r="L205" s="345"/>
      <c r="M205" s="345"/>
    </row>
    <row r="206" ht="15.75" customHeight="1">
      <c r="A206" s="344"/>
      <c r="B206" s="344"/>
      <c r="C206" s="344"/>
      <c r="D206" s="344"/>
      <c r="E206" s="344"/>
      <c r="F206" s="344"/>
      <c r="G206" s="344"/>
      <c r="H206" s="344"/>
      <c r="I206" s="344"/>
      <c r="J206" s="344"/>
      <c r="K206" s="345"/>
      <c r="L206" s="345"/>
      <c r="M206" s="345"/>
    </row>
    <row r="207" ht="15.75" customHeight="1">
      <c r="A207" s="344"/>
      <c r="B207" s="344"/>
      <c r="C207" s="344"/>
      <c r="D207" s="344"/>
      <c r="E207" s="344"/>
      <c r="F207" s="344"/>
      <c r="G207" s="344"/>
      <c r="H207" s="344"/>
      <c r="I207" s="344"/>
      <c r="J207" s="344"/>
      <c r="K207" s="345"/>
      <c r="L207" s="345"/>
      <c r="M207" s="345"/>
    </row>
    <row r="208" ht="15.75" customHeight="1">
      <c r="A208" s="344"/>
      <c r="B208" s="344"/>
      <c r="C208" s="344"/>
      <c r="D208" s="344"/>
      <c r="E208" s="344"/>
      <c r="F208" s="344"/>
      <c r="G208" s="344"/>
      <c r="H208" s="344"/>
      <c r="I208" s="344"/>
      <c r="J208" s="344"/>
      <c r="K208" s="345"/>
      <c r="L208" s="345"/>
      <c r="M208" s="345"/>
    </row>
    <row r="209" ht="15.75" customHeight="1">
      <c r="A209" s="344"/>
      <c r="B209" s="344"/>
      <c r="C209" s="344"/>
      <c r="D209" s="344"/>
      <c r="E209" s="344"/>
      <c r="F209" s="344"/>
      <c r="G209" s="344"/>
      <c r="H209" s="344"/>
      <c r="I209" s="344"/>
      <c r="J209" s="344"/>
      <c r="K209" s="345"/>
      <c r="L209" s="345"/>
      <c r="M209" s="345"/>
    </row>
    <row r="210" ht="15.75" customHeight="1">
      <c r="A210" s="344"/>
      <c r="B210" s="344"/>
      <c r="C210" s="344"/>
      <c r="D210" s="344"/>
      <c r="E210" s="344"/>
      <c r="F210" s="344"/>
      <c r="G210" s="344"/>
      <c r="H210" s="344"/>
      <c r="I210" s="344"/>
      <c r="J210" s="344"/>
      <c r="K210" s="345"/>
      <c r="L210" s="345"/>
      <c r="M210" s="345"/>
    </row>
    <row r="211" ht="15.75" customHeight="1">
      <c r="A211" s="344"/>
      <c r="B211" s="344"/>
      <c r="C211" s="344"/>
      <c r="D211" s="344"/>
      <c r="E211" s="344"/>
      <c r="F211" s="344"/>
      <c r="G211" s="344"/>
      <c r="H211" s="344"/>
      <c r="I211" s="344"/>
      <c r="J211" s="344"/>
      <c r="K211" s="345"/>
      <c r="L211" s="345"/>
      <c r="M211" s="345"/>
    </row>
    <row r="212" ht="15.75" customHeight="1">
      <c r="A212" s="344"/>
      <c r="B212" s="344"/>
      <c r="C212" s="344"/>
      <c r="D212" s="344"/>
      <c r="E212" s="344"/>
      <c r="F212" s="344"/>
      <c r="G212" s="344"/>
      <c r="H212" s="344"/>
      <c r="I212" s="344"/>
      <c r="J212" s="344"/>
      <c r="K212" s="345"/>
      <c r="L212" s="345"/>
      <c r="M212" s="345"/>
    </row>
    <row r="213" ht="15.75" customHeight="1">
      <c r="A213" s="344"/>
      <c r="B213" s="344"/>
      <c r="C213" s="344"/>
      <c r="D213" s="344"/>
      <c r="E213" s="344"/>
      <c r="F213" s="344"/>
      <c r="G213" s="344"/>
      <c r="H213" s="344"/>
      <c r="I213" s="344"/>
      <c r="J213" s="344"/>
      <c r="K213" s="345"/>
      <c r="L213" s="345"/>
      <c r="M213" s="345"/>
    </row>
    <row r="214" ht="15.75" customHeight="1">
      <c r="A214" s="344"/>
      <c r="B214" s="344"/>
      <c r="C214" s="344"/>
      <c r="D214" s="344"/>
      <c r="E214" s="344"/>
      <c r="F214" s="344"/>
      <c r="G214" s="344"/>
      <c r="H214" s="344"/>
      <c r="I214" s="344"/>
      <c r="J214" s="344"/>
      <c r="K214" s="345"/>
      <c r="L214" s="345"/>
      <c r="M214" s="345"/>
    </row>
    <row r="215" ht="15.75" customHeight="1">
      <c r="A215" s="344"/>
      <c r="B215" s="344"/>
      <c r="C215" s="344"/>
      <c r="D215" s="344"/>
      <c r="E215" s="344"/>
      <c r="F215" s="344"/>
      <c r="G215" s="344"/>
      <c r="H215" s="344"/>
      <c r="I215" s="344"/>
      <c r="J215" s="344"/>
      <c r="K215" s="345"/>
      <c r="L215" s="345"/>
      <c r="M215" s="345"/>
    </row>
    <row r="216" ht="15.75" customHeight="1">
      <c r="A216" s="344"/>
      <c r="B216" s="344"/>
      <c r="C216" s="344"/>
      <c r="D216" s="344"/>
      <c r="E216" s="344"/>
      <c r="F216" s="344"/>
      <c r="G216" s="344"/>
      <c r="H216" s="344"/>
      <c r="I216" s="344"/>
      <c r="J216" s="344"/>
      <c r="K216" s="345"/>
      <c r="L216" s="345"/>
      <c r="M216" s="345"/>
    </row>
    <row r="217" ht="15.75" customHeight="1">
      <c r="A217" s="344"/>
      <c r="B217" s="344"/>
      <c r="C217" s="344"/>
      <c r="D217" s="344"/>
      <c r="E217" s="344"/>
      <c r="F217" s="344"/>
      <c r="G217" s="344"/>
      <c r="H217" s="344"/>
      <c r="I217" s="344"/>
      <c r="J217" s="344"/>
      <c r="K217" s="345"/>
      <c r="L217" s="345"/>
      <c r="M217" s="345"/>
    </row>
    <row r="218" ht="15.75" customHeight="1">
      <c r="A218" s="344"/>
      <c r="B218" s="344"/>
      <c r="C218" s="344"/>
      <c r="D218" s="344"/>
      <c r="E218" s="344"/>
      <c r="F218" s="344"/>
      <c r="G218" s="344"/>
      <c r="H218" s="344"/>
      <c r="I218" s="344"/>
      <c r="J218" s="344"/>
      <c r="K218" s="345"/>
      <c r="L218" s="345"/>
      <c r="M218" s="345"/>
    </row>
    <row r="219" ht="15.75" customHeight="1">
      <c r="A219" s="344"/>
      <c r="B219" s="344"/>
      <c r="C219" s="344"/>
      <c r="D219" s="344"/>
      <c r="E219" s="344"/>
      <c r="F219" s="344"/>
      <c r="G219" s="344"/>
      <c r="H219" s="344"/>
      <c r="I219" s="344"/>
      <c r="J219" s="344"/>
      <c r="K219" s="345"/>
      <c r="L219" s="345"/>
      <c r="M219" s="345"/>
    </row>
    <row r="220" ht="15.75" customHeight="1">
      <c r="A220" s="344"/>
      <c r="B220" s="344"/>
      <c r="C220" s="344"/>
      <c r="D220" s="344"/>
      <c r="E220" s="344"/>
      <c r="F220" s="344"/>
      <c r="G220" s="344"/>
      <c r="H220" s="344"/>
      <c r="I220" s="344"/>
      <c r="J220" s="344"/>
      <c r="K220" s="345"/>
      <c r="L220" s="345"/>
      <c r="M220" s="345"/>
    </row>
    <row r="221" ht="15.75" customHeight="1">
      <c r="A221" s="344"/>
      <c r="B221" s="344"/>
      <c r="C221" s="344"/>
      <c r="D221" s="344"/>
      <c r="E221" s="344"/>
      <c r="F221" s="344"/>
      <c r="G221" s="344"/>
      <c r="H221" s="344"/>
      <c r="I221" s="344"/>
      <c r="J221" s="344"/>
      <c r="K221" s="345"/>
      <c r="L221" s="345"/>
      <c r="M221" s="345"/>
    </row>
    <row r="222" ht="15.75" customHeight="1">
      <c r="A222" s="344"/>
      <c r="B222" s="344"/>
      <c r="C222" s="344"/>
      <c r="D222" s="344"/>
      <c r="E222" s="344"/>
      <c r="F222" s="344"/>
      <c r="G222" s="344"/>
      <c r="H222" s="344"/>
      <c r="I222" s="344"/>
      <c r="J222" s="344"/>
      <c r="K222" s="345"/>
      <c r="L222" s="345"/>
      <c r="M222" s="345"/>
    </row>
    <row r="223" ht="15.75" customHeight="1">
      <c r="A223" s="344"/>
      <c r="B223" s="344"/>
      <c r="C223" s="344"/>
      <c r="D223" s="344"/>
      <c r="E223" s="344"/>
      <c r="F223" s="344"/>
      <c r="G223" s="344"/>
      <c r="H223" s="344"/>
      <c r="I223" s="344"/>
      <c r="J223" s="344"/>
      <c r="K223" s="345"/>
      <c r="L223" s="345"/>
      <c r="M223" s="345"/>
    </row>
    <row r="224" ht="15.75" customHeight="1">
      <c r="A224" s="344"/>
      <c r="B224" s="344"/>
      <c r="C224" s="344"/>
      <c r="D224" s="344"/>
      <c r="E224" s="344"/>
      <c r="F224" s="344"/>
      <c r="G224" s="344"/>
      <c r="H224" s="344"/>
      <c r="I224" s="344"/>
      <c r="J224" s="344"/>
      <c r="K224" s="345"/>
      <c r="L224" s="345"/>
      <c r="M224" s="345"/>
    </row>
    <row r="225" ht="15.75" customHeight="1">
      <c r="A225" s="344"/>
      <c r="B225" s="344"/>
      <c r="C225" s="344"/>
      <c r="D225" s="344"/>
      <c r="E225" s="344"/>
      <c r="F225" s="344"/>
      <c r="G225" s="344"/>
      <c r="H225" s="344"/>
      <c r="I225" s="344"/>
      <c r="J225" s="344"/>
      <c r="K225" s="345"/>
      <c r="L225" s="345"/>
      <c r="M225" s="345"/>
    </row>
    <row r="226" ht="15.75" customHeight="1">
      <c r="A226" s="344"/>
      <c r="B226" s="344"/>
      <c r="C226" s="344"/>
      <c r="D226" s="344"/>
      <c r="E226" s="344"/>
      <c r="F226" s="344"/>
      <c r="G226" s="344"/>
      <c r="H226" s="344"/>
      <c r="I226" s="344"/>
      <c r="J226" s="344"/>
      <c r="K226" s="345"/>
      <c r="L226" s="345"/>
      <c r="M226" s="345"/>
    </row>
    <row r="227" ht="15.75" customHeight="1">
      <c r="A227" s="344"/>
      <c r="B227" s="344"/>
      <c r="C227" s="344"/>
      <c r="D227" s="344"/>
      <c r="E227" s="344"/>
      <c r="F227" s="344"/>
      <c r="G227" s="344"/>
      <c r="H227" s="344"/>
      <c r="I227" s="344"/>
      <c r="J227" s="344"/>
      <c r="K227" s="345"/>
      <c r="L227" s="345"/>
      <c r="M227" s="345"/>
    </row>
    <row r="228" ht="15.75" customHeight="1">
      <c r="A228" s="344"/>
      <c r="B228" s="344"/>
      <c r="C228" s="344"/>
      <c r="D228" s="344"/>
      <c r="E228" s="344"/>
      <c r="F228" s="344"/>
      <c r="G228" s="344"/>
      <c r="H228" s="344"/>
      <c r="I228" s="344"/>
      <c r="J228" s="344"/>
      <c r="K228" s="345"/>
      <c r="L228" s="345"/>
      <c r="M228" s="345"/>
    </row>
    <row r="229" ht="15.75" customHeight="1">
      <c r="A229" s="344"/>
      <c r="B229" s="344"/>
      <c r="C229" s="344"/>
      <c r="D229" s="344"/>
      <c r="E229" s="344"/>
      <c r="F229" s="344"/>
      <c r="G229" s="344"/>
      <c r="H229" s="344"/>
      <c r="I229" s="344"/>
      <c r="J229" s="344"/>
      <c r="K229" s="345"/>
      <c r="L229" s="345"/>
      <c r="M229" s="345"/>
    </row>
    <row r="230" ht="15.75" customHeight="1">
      <c r="A230" s="344"/>
      <c r="B230" s="344"/>
      <c r="C230" s="344"/>
      <c r="D230" s="344"/>
      <c r="E230" s="344"/>
      <c r="F230" s="344"/>
      <c r="G230" s="344"/>
      <c r="H230" s="344"/>
      <c r="I230" s="344"/>
      <c r="J230" s="344"/>
      <c r="K230" s="345"/>
      <c r="L230" s="345"/>
      <c r="M230" s="345"/>
    </row>
    <row r="231" ht="15.75" customHeight="1">
      <c r="A231" s="344"/>
      <c r="B231" s="344"/>
      <c r="C231" s="344"/>
      <c r="D231" s="344"/>
      <c r="E231" s="344"/>
      <c r="F231" s="344"/>
      <c r="G231" s="344"/>
      <c r="H231" s="344"/>
      <c r="I231" s="344"/>
      <c r="J231" s="344"/>
      <c r="K231" s="345"/>
      <c r="L231" s="345"/>
      <c r="M231" s="345"/>
    </row>
    <row r="232" ht="15.75" customHeight="1">
      <c r="A232" s="344"/>
      <c r="B232" s="344"/>
      <c r="C232" s="344"/>
      <c r="D232" s="344"/>
      <c r="E232" s="344"/>
      <c r="F232" s="344"/>
      <c r="G232" s="344"/>
      <c r="H232" s="344"/>
      <c r="I232" s="344"/>
      <c r="J232" s="344"/>
      <c r="K232" s="345"/>
      <c r="L232" s="345"/>
      <c r="M232" s="345"/>
    </row>
    <row r="233" ht="15.75" customHeight="1">
      <c r="A233" s="344"/>
      <c r="B233" s="344"/>
      <c r="C233" s="344"/>
      <c r="D233" s="344"/>
      <c r="E233" s="344"/>
      <c r="F233" s="344"/>
      <c r="G233" s="344"/>
      <c r="H233" s="344"/>
      <c r="I233" s="344"/>
      <c r="J233" s="344"/>
      <c r="K233" s="345"/>
      <c r="L233" s="345"/>
      <c r="M233" s="345"/>
    </row>
    <row r="234" ht="15.75" customHeight="1">
      <c r="A234" s="344"/>
      <c r="B234" s="344"/>
      <c r="C234" s="344"/>
      <c r="D234" s="344"/>
      <c r="E234" s="344"/>
      <c r="F234" s="344"/>
      <c r="G234" s="344"/>
      <c r="H234" s="344"/>
      <c r="I234" s="344"/>
      <c r="J234" s="344"/>
      <c r="K234" s="345"/>
      <c r="L234" s="345"/>
      <c r="M234" s="345"/>
    </row>
    <row r="235" ht="15.75" customHeight="1">
      <c r="A235" s="344"/>
      <c r="B235" s="344"/>
      <c r="C235" s="344"/>
      <c r="D235" s="344"/>
      <c r="E235" s="344"/>
      <c r="F235" s="344"/>
      <c r="G235" s="344"/>
      <c r="H235" s="344"/>
      <c r="I235" s="344"/>
      <c r="J235" s="344"/>
      <c r="K235" s="345"/>
      <c r="L235" s="345"/>
      <c r="M235" s="345"/>
    </row>
    <row r="236" ht="15.75" customHeight="1">
      <c r="A236" s="344"/>
      <c r="B236" s="344"/>
      <c r="C236" s="344"/>
      <c r="D236" s="344"/>
      <c r="E236" s="344"/>
      <c r="F236" s="344"/>
      <c r="G236" s="344"/>
      <c r="H236" s="344"/>
      <c r="I236" s="344"/>
      <c r="J236" s="344"/>
      <c r="K236" s="345"/>
      <c r="L236" s="345"/>
      <c r="M236" s="345"/>
    </row>
    <row r="237" ht="15.75" customHeight="1">
      <c r="A237" s="344"/>
      <c r="B237" s="344"/>
      <c r="C237" s="344"/>
      <c r="D237" s="344"/>
      <c r="E237" s="344"/>
      <c r="F237" s="344"/>
      <c r="G237" s="344"/>
      <c r="H237" s="344"/>
      <c r="I237" s="344"/>
      <c r="J237" s="344"/>
      <c r="K237" s="345"/>
      <c r="L237" s="345"/>
      <c r="M237" s="345"/>
    </row>
    <row r="238" ht="15.75" customHeight="1">
      <c r="A238" s="344"/>
      <c r="B238" s="344"/>
      <c r="C238" s="344"/>
      <c r="D238" s="344"/>
      <c r="E238" s="344"/>
      <c r="F238" s="344"/>
      <c r="G238" s="344"/>
      <c r="H238" s="344"/>
      <c r="I238" s="344"/>
      <c r="J238" s="344"/>
      <c r="K238" s="345"/>
      <c r="L238" s="345"/>
      <c r="M238" s="345"/>
    </row>
    <row r="239" ht="15.75" customHeight="1">
      <c r="A239" s="344"/>
      <c r="B239" s="344"/>
      <c r="C239" s="344"/>
      <c r="D239" s="344"/>
      <c r="E239" s="344"/>
      <c r="F239" s="344"/>
      <c r="G239" s="344"/>
      <c r="H239" s="344"/>
      <c r="I239" s="344"/>
      <c r="J239" s="344"/>
      <c r="K239" s="345"/>
      <c r="L239" s="345"/>
      <c r="M239" s="345"/>
    </row>
    <row r="240" ht="15.75" customHeight="1">
      <c r="A240" s="344"/>
      <c r="B240" s="344"/>
      <c r="C240" s="344"/>
      <c r="D240" s="344"/>
      <c r="E240" s="344"/>
      <c r="F240" s="344"/>
      <c r="G240" s="344"/>
      <c r="H240" s="344"/>
      <c r="I240" s="344"/>
      <c r="J240" s="344"/>
      <c r="K240" s="345"/>
      <c r="L240" s="345"/>
      <c r="M240" s="345"/>
    </row>
    <row r="241" ht="15.75" customHeight="1">
      <c r="A241" s="344"/>
      <c r="B241" s="344"/>
      <c r="C241" s="344"/>
      <c r="D241" s="344"/>
      <c r="E241" s="344"/>
      <c r="F241" s="344"/>
      <c r="G241" s="344"/>
      <c r="H241" s="344"/>
      <c r="I241" s="344"/>
      <c r="J241" s="344"/>
      <c r="K241" s="345"/>
      <c r="L241" s="345"/>
      <c r="M241" s="345"/>
    </row>
    <row r="242" ht="15.75" customHeight="1">
      <c r="A242" s="344"/>
      <c r="B242" s="344"/>
      <c r="C242" s="344"/>
      <c r="D242" s="344"/>
      <c r="E242" s="344"/>
      <c r="F242" s="344"/>
      <c r="G242" s="344"/>
      <c r="H242" s="344"/>
      <c r="I242" s="344"/>
      <c r="J242" s="344"/>
      <c r="K242" s="345"/>
      <c r="L242" s="345"/>
      <c r="M242" s="345"/>
    </row>
    <row r="243" ht="15.75" customHeight="1">
      <c r="A243" s="344"/>
      <c r="B243" s="344"/>
      <c r="C243" s="344"/>
      <c r="D243" s="344"/>
      <c r="E243" s="344"/>
      <c r="F243" s="344"/>
      <c r="G243" s="344"/>
      <c r="H243" s="344"/>
      <c r="I243" s="344"/>
      <c r="J243" s="344"/>
      <c r="K243" s="345"/>
      <c r="L243" s="345"/>
      <c r="M243" s="345"/>
    </row>
    <row r="244" ht="15.75" customHeight="1">
      <c r="A244" s="344"/>
      <c r="B244" s="344"/>
      <c r="C244" s="344"/>
      <c r="D244" s="344"/>
      <c r="E244" s="344"/>
      <c r="F244" s="344"/>
      <c r="G244" s="344"/>
      <c r="H244" s="344"/>
      <c r="I244" s="344"/>
      <c r="J244" s="344"/>
      <c r="K244" s="345"/>
      <c r="L244" s="345"/>
      <c r="M244" s="345"/>
    </row>
    <row r="245" ht="15.75" customHeight="1">
      <c r="A245" s="344"/>
      <c r="B245" s="344"/>
      <c r="C245" s="344"/>
      <c r="D245" s="344"/>
      <c r="E245" s="344"/>
      <c r="F245" s="344"/>
      <c r="G245" s="344"/>
      <c r="H245" s="344"/>
      <c r="I245" s="344"/>
      <c r="J245" s="344"/>
      <c r="K245" s="345"/>
      <c r="L245" s="345"/>
      <c r="M245" s="345"/>
    </row>
    <row r="246" ht="15.75" customHeight="1">
      <c r="A246" s="344"/>
      <c r="B246" s="344"/>
      <c r="C246" s="344"/>
      <c r="D246" s="344"/>
      <c r="E246" s="344"/>
      <c r="F246" s="344"/>
      <c r="G246" s="344"/>
      <c r="H246" s="344"/>
      <c r="I246" s="344"/>
      <c r="J246" s="344"/>
      <c r="K246" s="345"/>
      <c r="L246" s="345"/>
      <c r="M246" s="345"/>
    </row>
    <row r="247" ht="15.75" customHeight="1">
      <c r="A247" s="344"/>
      <c r="B247" s="344"/>
      <c r="C247" s="344"/>
      <c r="D247" s="344"/>
      <c r="E247" s="344"/>
      <c r="F247" s="344"/>
      <c r="G247" s="344"/>
      <c r="H247" s="344"/>
      <c r="I247" s="344"/>
      <c r="J247" s="344"/>
      <c r="K247" s="345"/>
      <c r="L247" s="345"/>
      <c r="M247" s="345"/>
    </row>
    <row r="248" ht="15.75" customHeight="1">
      <c r="A248" s="344"/>
      <c r="B248" s="344"/>
      <c r="C248" s="344"/>
      <c r="D248" s="344"/>
      <c r="E248" s="344"/>
      <c r="F248" s="344"/>
      <c r="G248" s="344"/>
      <c r="H248" s="344"/>
      <c r="I248" s="344"/>
      <c r="J248" s="344"/>
      <c r="K248" s="345"/>
      <c r="L248" s="345"/>
      <c r="M248" s="345"/>
    </row>
    <row r="249" ht="15.75" customHeight="1">
      <c r="A249" s="344"/>
      <c r="B249" s="344"/>
      <c r="C249" s="344"/>
      <c r="D249" s="344"/>
      <c r="E249" s="344"/>
      <c r="F249" s="344"/>
      <c r="G249" s="344"/>
      <c r="H249" s="344"/>
      <c r="I249" s="344"/>
      <c r="J249" s="344"/>
      <c r="K249" s="345"/>
      <c r="L249" s="345"/>
      <c r="M249" s="345"/>
    </row>
    <row r="250" ht="15.75" customHeight="1">
      <c r="A250" s="344"/>
      <c r="B250" s="344"/>
      <c r="C250" s="344"/>
      <c r="D250" s="344"/>
      <c r="E250" s="344"/>
      <c r="F250" s="344"/>
      <c r="G250" s="344"/>
      <c r="H250" s="344"/>
      <c r="I250" s="344"/>
      <c r="J250" s="344"/>
      <c r="K250" s="345"/>
      <c r="L250" s="345"/>
      <c r="M250" s="345"/>
    </row>
    <row r="251" ht="15.75" customHeight="1">
      <c r="A251" s="344"/>
      <c r="B251" s="344"/>
      <c r="C251" s="344"/>
      <c r="D251" s="344"/>
      <c r="E251" s="344"/>
      <c r="F251" s="344"/>
      <c r="G251" s="344"/>
      <c r="H251" s="344"/>
      <c r="I251" s="344"/>
      <c r="J251" s="344"/>
      <c r="K251" s="345"/>
      <c r="L251" s="345"/>
      <c r="M251" s="345"/>
    </row>
    <row r="252" ht="15.75" customHeight="1">
      <c r="A252" s="344"/>
      <c r="B252" s="344"/>
      <c r="C252" s="344"/>
      <c r="D252" s="344"/>
      <c r="E252" s="344"/>
      <c r="F252" s="344"/>
      <c r="G252" s="344"/>
      <c r="H252" s="344"/>
      <c r="I252" s="344"/>
      <c r="J252" s="344"/>
      <c r="K252" s="345"/>
      <c r="L252" s="345"/>
      <c r="M252" s="345"/>
    </row>
    <row r="253" ht="15.75" customHeight="1">
      <c r="A253" s="344"/>
      <c r="B253" s="344"/>
      <c r="C253" s="344"/>
      <c r="D253" s="344"/>
      <c r="E253" s="344"/>
      <c r="F253" s="344"/>
      <c r="G253" s="344"/>
      <c r="H253" s="344"/>
      <c r="I253" s="344"/>
      <c r="J253" s="344"/>
      <c r="K253" s="345"/>
      <c r="L253" s="345"/>
      <c r="M253" s="345"/>
    </row>
    <row r="254" ht="15.75" customHeight="1">
      <c r="A254" s="344"/>
      <c r="B254" s="344"/>
      <c r="C254" s="344"/>
      <c r="D254" s="344"/>
      <c r="E254" s="344"/>
      <c r="F254" s="344"/>
      <c r="G254" s="344"/>
      <c r="H254" s="344"/>
      <c r="I254" s="344"/>
      <c r="J254" s="344"/>
      <c r="K254" s="345"/>
      <c r="L254" s="345"/>
      <c r="M254" s="345"/>
    </row>
    <row r="255" ht="15.75" customHeight="1">
      <c r="A255" s="344"/>
      <c r="B255" s="344"/>
      <c r="C255" s="344"/>
      <c r="D255" s="344"/>
      <c r="E255" s="344"/>
      <c r="F255" s="344"/>
      <c r="G255" s="344"/>
      <c r="H255" s="344"/>
      <c r="I255" s="344"/>
      <c r="J255" s="344"/>
      <c r="K255" s="345"/>
      <c r="L255" s="345"/>
      <c r="M255" s="345"/>
    </row>
    <row r="256" ht="15.75" customHeight="1">
      <c r="A256" s="344"/>
      <c r="B256" s="344"/>
      <c r="C256" s="344"/>
      <c r="D256" s="344"/>
      <c r="E256" s="344"/>
      <c r="F256" s="344"/>
      <c r="G256" s="344"/>
      <c r="H256" s="344"/>
      <c r="I256" s="344"/>
      <c r="J256" s="344"/>
      <c r="K256" s="345"/>
      <c r="L256" s="345"/>
      <c r="M256" s="345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0">
    <mergeCell ref="E7:F8"/>
    <mergeCell ref="G8:H8"/>
    <mergeCell ref="I8:J8"/>
    <mergeCell ref="K8:L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3:D3"/>
    <mergeCell ref="A7:A10"/>
    <mergeCell ref="B7:B10"/>
    <mergeCell ref="C7:D8"/>
    <mergeCell ref="G7:L7"/>
    <mergeCell ref="M7:M10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4.71"/>
    <col customWidth="1" min="2" max="2" width="24.14"/>
    <col customWidth="1" min="3" max="3" width="27.29"/>
    <col customWidth="1" min="4" max="4" width="26.29"/>
    <col customWidth="1" min="5" max="5" width="22.57"/>
    <col customWidth="1" min="6" max="6" width="24.0"/>
    <col customWidth="1" min="7" max="7" width="22.43"/>
    <col customWidth="1" min="8" max="8" width="20.29"/>
    <col customWidth="1" min="9" max="9" width="19.71"/>
    <col customWidth="1" min="10" max="10" width="20.86"/>
    <col customWidth="1" min="11" max="11" width="21.29"/>
    <col customWidth="1" min="12" max="12" width="19.71"/>
    <col customWidth="1" min="13" max="13" width="23.14"/>
  </cols>
  <sheetData>
    <row r="1" ht="24.0" customHeight="1">
      <c r="A1" s="170" t="s">
        <v>0</v>
      </c>
      <c r="B1" s="171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ht="27.75" customHeight="1">
      <c r="A2" s="376" t="s">
        <v>90</v>
      </c>
      <c r="B2" s="172"/>
      <c r="C2" s="172"/>
      <c r="D2" s="172"/>
      <c r="E2" s="172"/>
      <c r="F2" s="172"/>
      <c r="G2" s="172"/>
      <c r="H2" s="172"/>
      <c r="I2" s="86"/>
      <c r="L2" s="172"/>
      <c r="M2" s="172"/>
    </row>
    <row r="3">
      <c r="A3" s="377" t="s">
        <v>657</v>
      </c>
      <c r="B3" s="171"/>
      <c r="C3" s="172"/>
      <c r="D3" s="172"/>
      <c r="E3" s="172"/>
      <c r="F3" s="172"/>
      <c r="G3" s="172"/>
      <c r="H3" s="172"/>
      <c r="L3" s="172"/>
      <c r="M3" s="172"/>
    </row>
    <row r="4">
      <c r="A4" s="377" t="s">
        <v>3</v>
      </c>
      <c r="B4" s="171"/>
      <c r="C4" s="172"/>
      <c r="D4" s="172"/>
      <c r="E4" s="172"/>
      <c r="F4" s="172"/>
      <c r="G4" s="172"/>
      <c r="H4" s="172"/>
      <c r="L4" s="172"/>
      <c r="M4" s="172"/>
    </row>
    <row r="5">
      <c r="A5" s="377" t="s">
        <v>4</v>
      </c>
      <c r="B5" s="171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</row>
    <row r="6">
      <c r="A6" s="90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658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102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 hidden="1">
      <c r="A11" s="378" t="s">
        <v>659</v>
      </c>
      <c r="B11" s="178"/>
      <c r="C11" s="185"/>
      <c r="D11" s="107"/>
      <c r="E11" s="107"/>
      <c r="F11" s="107"/>
      <c r="G11" s="89"/>
      <c r="H11" s="89"/>
      <c r="I11" s="89"/>
      <c r="J11" s="89"/>
      <c r="K11" s="89"/>
      <c r="L11" s="89"/>
      <c r="M11" s="89"/>
    </row>
    <row r="12" hidden="1">
      <c r="A12" s="378" t="s">
        <v>660</v>
      </c>
      <c r="B12" s="178"/>
      <c r="C12" s="379"/>
      <c r="D12" s="380"/>
      <c r="E12" s="380"/>
      <c r="F12" s="380"/>
      <c r="G12" s="89"/>
      <c r="H12" s="89"/>
      <c r="I12" s="89"/>
      <c r="J12" s="89"/>
      <c r="K12" s="89"/>
      <c r="L12" s="89"/>
      <c r="M12" s="89"/>
    </row>
    <row r="13" hidden="1">
      <c r="A13" s="177" t="s">
        <v>661</v>
      </c>
      <c r="B13" s="184"/>
      <c r="C13" s="112"/>
      <c r="D13" s="107"/>
      <c r="E13" s="107"/>
      <c r="F13" s="107"/>
      <c r="G13" s="89"/>
      <c r="H13" s="89"/>
      <c r="I13" s="89"/>
      <c r="J13" s="89"/>
      <c r="K13" s="89"/>
      <c r="L13" s="89"/>
      <c r="M13" s="89"/>
    </row>
    <row r="14" hidden="1">
      <c r="A14" s="186" t="s">
        <v>662</v>
      </c>
      <c r="B14" s="123" t="s">
        <v>663</v>
      </c>
      <c r="C14" s="179"/>
      <c r="D14" s="185"/>
      <c r="E14" s="185"/>
      <c r="F14" s="185"/>
      <c r="G14" s="89"/>
      <c r="H14" s="89"/>
      <c r="I14" s="89"/>
      <c r="J14" s="89"/>
      <c r="K14" s="89"/>
      <c r="L14" s="89"/>
      <c r="M14" s="89"/>
    </row>
    <row r="15" hidden="1">
      <c r="A15" s="186" t="s">
        <v>664</v>
      </c>
      <c r="B15" s="123" t="s">
        <v>663</v>
      </c>
      <c r="C15" s="115"/>
      <c r="D15" s="116"/>
      <c r="E15" s="116"/>
      <c r="F15" s="116"/>
      <c r="G15" s="89"/>
      <c r="H15" s="89"/>
      <c r="I15" s="89"/>
      <c r="J15" s="89"/>
      <c r="K15" s="89"/>
      <c r="L15" s="89"/>
      <c r="M15" s="89"/>
    </row>
    <row r="16" hidden="1">
      <c r="A16" s="186" t="s">
        <v>665</v>
      </c>
      <c r="B16" s="123" t="s">
        <v>663</v>
      </c>
      <c r="C16" s="115"/>
      <c r="D16" s="116"/>
      <c r="E16" s="116"/>
      <c r="F16" s="116"/>
      <c r="G16" s="89"/>
      <c r="H16" s="89"/>
      <c r="I16" s="89"/>
      <c r="J16" s="89"/>
      <c r="K16" s="89"/>
      <c r="L16" s="89"/>
      <c r="M16" s="89"/>
    </row>
    <row r="17" hidden="1">
      <c r="A17" s="186" t="s">
        <v>666</v>
      </c>
      <c r="B17" s="123" t="s">
        <v>663</v>
      </c>
      <c r="C17" s="115"/>
      <c r="D17" s="116"/>
      <c r="E17" s="116"/>
      <c r="F17" s="116"/>
      <c r="G17" s="89"/>
      <c r="H17" s="89"/>
      <c r="I17" s="89"/>
      <c r="J17" s="89"/>
      <c r="K17" s="89"/>
      <c r="L17" s="89"/>
      <c r="M17" s="89"/>
    </row>
    <row r="18" hidden="1">
      <c r="A18" s="186" t="s">
        <v>487</v>
      </c>
      <c r="B18" s="123" t="s">
        <v>663</v>
      </c>
      <c r="C18" s="115"/>
      <c r="D18" s="116"/>
      <c r="E18" s="116"/>
      <c r="F18" s="116"/>
      <c r="G18" s="89"/>
      <c r="H18" s="89"/>
      <c r="I18" s="89"/>
      <c r="J18" s="89"/>
      <c r="K18" s="89"/>
      <c r="L18" s="89"/>
      <c r="M18" s="89"/>
    </row>
    <row r="19" hidden="1">
      <c r="A19" s="184"/>
      <c r="B19" s="184"/>
      <c r="C19" s="179"/>
      <c r="D19" s="185"/>
      <c r="E19" s="185"/>
      <c r="F19" s="185"/>
      <c r="G19" s="89"/>
      <c r="H19" s="89"/>
      <c r="I19" s="89"/>
      <c r="J19" s="89"/>
      <c r="K19" s="89"/>
      <c r="L19" s="89"/>
      <c r="M19" s="89"/>
    </row>
    <row r="20">
      <c r="A20" s="177" t="s">
        <v>667</v>
      </c>
      <c r="B20" s="184"/>
      <c r="C20" s="112"/>
      <c r="D20" s="107">
        <f>D21</f>
        <v>1000</v>
      </c>
      <c r="E20" s="107"/>
      <c r="F20" s="107"/>
      <c r="G20" s="184"/>
      <c r="H20" s="184"/>
      <c r="I20" s="184"/>
      <c r="J20" s="184"/>
      <c r="K20" s="184"/>
      <c r="L20" s="184"/>
      <c r="M20" s="184"/>
    </row>
    <row r="21" ht="43.5" customHeight="1">
      <c r="A21" s="177" t="s">
        <v>353</v>
      </c>
      <c r="B21" s="184"/>
      <c r="C21" s="112"/>
      <c r="D21" s="107">
        <f>SUM(D22:D26)</f>
        <v>1000</v>
      </c>
      <c r="E21" s="107"/>
      <c r="F21" s="107"/>
      <c r="G21" s="184"/>
      <c r="H21" s="184"/>
      <c r="I21" s="184"/>
      <c r="J21" s="184"/>
      <c r="K21" s="184"/>
      <c r="L21" s="184"/>
      <c r="M21" s="184"/>
    </row>
    <row r="22" ht="15.75" hidden="1" customHeight="1">
      <c r="A22" s="186" t="s">
        <v>668</v>
      </c>
      <c r="B22" s="123" t="s">
        <v>663</v>
      </c>
      <c r="C22" s="179"/>
      <c r="D22" s="185"/>
      <c r="E22" s="185"/>
      <c r="F22" s="185"/>
      <c r="G22" s="184"/>
      <c r="H22" s="184"/>
      <c r="I22" s="184"/>
      <c r="J22" s="184"/>
      <c r="K22" s="184"/>
      <c r="L22" s="184"/>
      <c r="M22" s="184"/>
    </row>
    <row r="23" ht="15.75" hidden="1" customHeight="1">
      <c r="A23" s="186" t="s">
        <v>669</v>
      </c>
      <c r="B23" s="123" t="s">
        <v>663</v>
      </c>
      <c r="C23" s="115"/>
      <c r="D23" s="116"/>
      <c r="E23" s="116"/>
      <c r="F23" s="116"/>
      <c r="G23" s="184"/>
      <c r="H23" s="184"/>
      <c r="I23" s="184"/>
      <c r="J23" s="184"/>
      <c r="K23" s="184"/>
      <c r="L23" s="184"/>
      <c r="M23" s="184"/>
    </row>
    <row r="24" ht="15.75" hidden="1" customHeight="1">
      <c r="A24" s="186" t="s">
        <v>670</v>
      </c>
      <c r="B24" s="123" t="s">
        <v>663</v>
      </c>
      <c r="C24" s="115"/>
      <c r="D24" s="116"/>
      <c r="E24" s="116"/>
      <c r="F24" s="116"/>
      <c r="G24" s="184"/>
      <c r="H24" s="184"/>
      <c r="I24" s="184"/>
      <c r="J24" s="184"/>
      <c r="K24" s="184"/>
      <c r="L24" s="184"/>
      <c r="M24" s="184"/>
    </row>
    <row r="25" ht="15.75" hidden="1" customHeight="1">
      <c r="A25" s="186" t="s">
        <v>671</v>
      </c>
      <c r="B25" s="123" t="s">
        <v>663</v>
      </c>
      <c r="C25" s="115"/>
      <c r="D25" s="116"/>
      <c r="E25" s="116"/>
      <c r="F25" s="116"/>
      <c r="G25" s="184"/>
      <c r="H25" s="184"/>
      <c r="I25" s="184"/>
      <c r="J25" s="184"/>
      <c r="K25" s="184"/>
      <c r="L25" s="184"/>
      <c r="M25" s="184"/>
    </row>
    <row r="26" ht="24.75" customHeight="1">
      <c r="A26" s="350" t="s">
        <v>672</v>
      </c>
      <c r="B26" s="123" t="s">
        <v>663</v>
      </c>
      <c r="C26" s="179">
        <v>1.0</v>
      </c>
      <c r="D26" s="185">
        <v>1000.0</v>
      </c>
      <c r="E26" s="185"/>
      <c r="F26" s="185"/>
      <c r="G26" s="184"/>
      <c r="H26" s="184"/>
      <c r="I26" s="184"/>
      <c r="J26" s="184"/>
      <c r="K26" s="184"/>
      <c r="L26" s="184"/>
      <c r="M26" s="184"/>
    </row>
    <row r="27" ht="15.75" customHeight="1">
      <c r="A27" s="350"/>
      <c r="B27" s="184"/>
      <c r="C27" s="179"/>
      <c r="D27" s="185"/>
      <c r="E27" s="185"/>
      <c r="F27" s="185"/>
      <c r="G27" s="184"/>
      <c r="H27" s="184"/>
      <c r="I27" s="184"/>
      <c r="J27" s="184"/>
      <c r="K27" s="184"/>
      <c r="L27" s="184"/>
      <c r="M27" s="184"/>
    </row>
    <row r="28" ht="26.25" customHeight="1">
      <c r="A28" s="146" t="s">
        <v>76</v>
      </c>
      <c r="B28" s="184"/>
      <c r="C28" s="185"/>
      <c r="D28" s="107">
        <f>D12+D20</f>
        <v>1000</v>
      </c>
      <c r="E28" s="107"/>
      <c r="F28" s="381">
        <v>0.0</v>
      </c>
      <c r="G28" s="184"/>
      <c r="H28" s="382">
        <v>0.0</v>
      </c>
      <c r="I28" s="180"/>
      <c r="J28" s="382">
        <v>0.0</v>
      </c>
      <c r="K28" s="180"/>
      <c r="L28" s="382">
        <v>0.0</v>
      </c>
      <c r="M28" s="184"/>
    </row>
    <row r="29" ht="15.75" customHeight="1">
      <c r="B29" s="383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</row>
    <row r="30" ht="22.5" customHeight="1">
      <c r="A30" s="147" t="s">
        <v>77</v>
      </c>
      <c r="B30" s="150"/>
      <c r="C30" s="151"/>
      <c r="D30" s="152"/>
      <c r="E30" s="153" t="s">
        <v>466</v>
      </c>
      <c r="F30" s="154"/>
      <c r="G30" s="154"/>
      <c r="H30" s="154"/>
      <c r="I30" s="154"/>
      <c r="J30" s="154"/>
      <c r="K30" s="154"/>
      <c r="L30" s="155" t="s">
        <v>467</v>
      </c>
      <c r="M30" s="154"/>
    </row>
    <row r="31" ht="15.75" customHeight="1">
      <c r="A31" s="68"/>
      <c r="B31" s="150"/>
      <c r="C31" s="151"/>
      <c r="D31" s="152"/>
      <c r="E31" s="151"/>
      <c r="F31" s="154"/>
      <c r="G31" s="154"/>
      <c r="H31" s="154"/>
      <c r="I31" s="154"/>
      <c r="J31" s="154"/>
      <c r="K31" s="154"/>
      <c r="L31" s="156"/>
      <c r="M31" s="154"/>
    </row>
    <row r="32" ht="15.75" customHeight="1">
      <c r="A32" s="68"/>
      <c r="B32" s="150"/>
      <c r="C32" s="151"/>
      <c r="D32" s="152"/>
      <c r="E32" s="151"/>
      <c r="F32" s="154"/>
      <c r="G32" s="154"/>
      <c r="H32" s="154"/>
      <c r="I32" s="154"/>
      <c r="J32" s="154"/>
      <c r="K32" s="154"/>
      <c r="L32" s="156"/>
      <c r="M32" s="154"/>
    </row>
    <row r="33" ht="15.75" customHeight="1">
      <c r="A33" s="152"/>
      <c r="B33" s="150"/>
      <c r="C33" s="151"/>
      <c r="D33" s="152"/>
      <c r="E33" s="151"/>
      <c r="F33" s="150"/>
      <c r="G33" s="150"/>
      <c r="H33" s="150"/>
      <c r="I33" s="154"/>
      <c r="J33" s="150"/>
      <c r="K33" s="150"/>
      <c r="L33" s="156"/>
      <c r="M33" s="150"/>
    </row>
    <row r="34" ht="15.75" customHeight="1">
      <c r="A34" s="68"/>
      <c r="B34" s="150"/>
      <c r="C34" s="151"/>
      <c r="D34" s="152"/>
      <c r="E34" s="151"/>
      <c r="F34" s="150"/>
      <c r="G34" s="150"/>
      <c r="H34" s="150"/>
      <c r="I34" s="154"/>
      <c r="J34" s="150"/>
      <c r="K34" s="150"/>
      <c r="L34" s="156"/>
      <c r="M34" s="150"/>
    </row>
    <row r="35" ht="21.0" customHeight="1">
      <c r="A35" s="157" t="s">
        <v>82</v>
      </c>
      <c r="B35" s="150"/>
      <c r="C35" s="151"/>
      <c r="D35" s="152"/>
      <c r="E35" s="158" t="s">
        <v>83</v>
      </c>
      <c r="F35" s="150"/>
      <c r="G35" s="150"/>
      <c r="H35" s="150"/>
      <c r="I35" s="154"/>
      <c r="J35" s="150"/>
      <c r="K35" s="150"/>
      <c r="L35" s="159" t="s">
        <v>84</v>
      </c>
      <c r="M35" s="150"/>
    </row>
    <row r="36">
      <c r="A36" s="160" t="s">
        <v>468</v>
      </c>
      <c r="B36" s="150"/>
      <c r="C36" s="151"/>
      <c r="D36" s="152"/>
      <c r="E36" s="153" t="s">
        <v>87</v>
      </c>
      <c r="F36" s="150"/>
      <c r="G36" s="150"/>
      <c r="H36" s="150"/>
      <c r="I36" s="154"/>
      <c r="J36" s="150"/>
      <c r="K36" s="150"/>
      <c r="L36" s="161" t="s">
        <v>88</v>
      </c>
      <c r="M36" s="150"/>
    </row>
    <row r="37" ht="15.75" customHeight="1">
      <c r="A37" s="162"/>
      <c r="B37" s="163"/>
      <c r="C37" s="150"/>
      <c r="D37" s="150"/>
      <c r="E37" s="150"/>
      <c r="F37" s="150"/>
      <c r="G37" s="89"/>
      <c r="H37" s="89"/>
      <c r="I37" s="89"/>
      <c r="J37" s="89"/>
      <c r="K37" s="89"/>
      <c r="L37" s="89"/>
      <c r="M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57"/>
    <col customWidth="1" min="2" max="2" width="20.57"/>
    <col customWidth="1" min="3" max="4" width="23.57"/>
    <col customWidth="1" min="5" max="13" width="22.86"/>
  </cols>
  <sheetData>
    <row r="1" ht="24.0" customHeight="1">
      <c r="A1" s="384" t="s">
        <v>0</v>
      </c>
      <c r="B1" s="171"/>
      <c r="C1" s="172"/>
      <c r="D1" s="172"/>
      <c r="E1" s="172"/>
      <c r="F1" s="172"/>
      <c r="G1" s="172"/>
      <c r="H1" s="172"/>
      <c r="I1" s="172"/>
      <c r="J1" s="172"/>
      <c r="K1" s="173"/>
      <c r="L1" s="173"/>
      <c r="M1" s="173"/>
    </row>
    <row r="2" ht="27.75" customHeight="1">
      <c r="A2" s="376" t="s">
        <v>90</v>
      </c>
      <c r="B2" s="172"/>
      <c r="C2" s="172"/>
      <c r="D2" s="172"/>
      <c r="E2" s="172"/>
      <c r="F2" s="172"/>
      <c r="G2" s="172"/>
      <c r="H2" s="172"/>
      <c r="I2" s="86"/>
    </row>
    <row r="3">
      <c r="A3" s="377" t="s">
        <v>673</v>
      </c>
      <c r="B3" s="171"/>
      <c r="C3" s="172"/>
      <c r="D3" s="385"/>
      <c r="E3" s="173"/>
      <c r="F3" s="173"/>
      <c r="G3" s="173"/>
      <c r="H3" s="173"/>
      <c r="L3" s="173"/>
      <c r="M3" s="173"/>
    </row>
    <row r="4">
      <c r="A4" s="377" t="s">
        <v>3</v>
      </c>
      <c r="B4" s="171"/>
      <c r="C4" s="172"/>
      <c r="D4" s="385"/>
      <c r="E4" s="173"/>
      <c r="F4" s="173"/>
      <c r="G4" s="173"/>
      <c r="H4" s="173"/>
      <c r="L4" s="173"/>
      <c r="M4" s="173"/>
    </row>
    <row r="5">
      <c r="A5" s="377" t="s">
        <v>674</v>
      </c>
      <c r="B5" s="171"/>
      <c r="C5" s="172"/>
      <c r="D5" s="385"/>
      <c r="E5" s="173"/>
      <c r="F5" s="173"/>
      <c r="G5" s="173"/>
      <c r="H5" s="173"/>
      <c r="I5" s="173"/>
      <c r="J5" s="173"/>
      <c r="K5" s="173"/>
      <c r="L5" s="173"/>
      <c r="M5" s="173"/>
    </row>
    <row r="6">
      <c r="A6" s="90"/>
      <c r="B6" s="90"/>
      <c r="C6" s="89"/>
      <c r="D6" s="386"/>
      <c r="E6" s="176"/>
      <c r="F6" s="176"/>
      <c r="G6" s="176"/>
      <c r="H6" s="176"/>
      <c r="I6" s="176"/>
      <c r="J6" s="176"/>
      <c r="K6" s="176"/>
      <c r="L6" s="176"/>
      <c r="M6" s="176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675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102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 ht="41.25" customHeight="1">
      <c r="A11" s="193" t="s">
        <v>676</v>
      </c>
      <c r="B11" s="184"/>
      <c r="C11" s="387"/>
      <c r="D11" s="388">
        <f>SUM(D19:D20)</f>
        <v>364.5</v>
      </c>
      <c r="E11" s="184"/>
      <c r="F11" s="180">
        <f>F19+F20</f>
        <v>171.4</v>
      </c>
      <c r="G11" s="180"/>
      <c r="H11" s="180">
        <f>H19+H20</f>
        <v>156.728</v>
      </c>
      <c r="I11" s="180"/>
      <c r="J11" s="180"/>
      <c r="K11" s="180"/>
      <c r="L11" s="180">
        <f>L19+L20</f>
        <v>156.728</v>
      </c>
      <c r="M11" s="180"/>
    </row>
    <row r="12" hidden="1">
      <c r="A12" s="193" t="s">
        <v>677</v>
      </c>
      <c r="B12" s="184"/>
      <c r="C12" s="389"/>
      <c r="D12" s="388">
        <f>SUM(D13,D18,D28)</f>
        <v>0</v>
      </c>
      <c r="E12" s="184"/>
      <c r="F12" s="185"/>
      <c r="G12" s="185"/>
      <c r="H12" s="185"/>
      <c r="I12" s="185"/>
      <c r="J12" s="185"/>
      <c r="K12" s="185"/>
      <c r="L12" s="185"/>
      <c r="M12" s="185"/>
    </row>
    <row r="13" hidden="1">
      <c r="A13" s="250" t="s">
        <v>678</v>
      </c>
      <c r="B13" s="184"/>
      <c r="C13" s="184"/>
      <c r="D13" s="390"/>
      <c r="E13" s="184"/>
      <c r="F13" s="185"/>
      <c r="G13" s="185"/>
      <c r="H13" s="185"/>
      <c r="I13" s="185"/>
      <c r="J13" s="185"/>
      <c r="K13" s="185"/>
      <c r="L13" s="185"/>
      <c r="M13" s="185"/>
    </row>
    <row r="14" hidden="1">
      <c r="A14" s="250" t="s">
        <v>679</v>
      </c>
      <c r="B14" s="123" t="s">
        <v>680</v>
      </c>
      <c r="C14" s="184"/>
      <c r="D14" s="391" t="s">
        <v>550</v>
      </c>
      <c r="E14" s="184"/>
      <c r="F14" s="185"/>
      <c r="G14" s="185"/>
      <c r="H14" s="185"/>
      <c r="I14" s="185"/>
      <c r="J14" s="185"/>
      <c r="K14" s="185"/>
      <c r="L14" s="185"/>
      <c r="M14" s="185"/>
    </row>
    <row r="15" hidden="1">
      <c r="A15" s="250" t="s">
        <v>681</v>
      </c>
      <c r="B15" s="123" t="s">
        <v>680</v>
      </c>
      <c r="C15" s="184"/>
      <c r="D15" s="391" t="s">
        <v>550</v>
      </c>
      <c r="E15" s="184"/>
      <c r="F15" s="185"/>
      <c r="G15" s="185"/>
      <c r="H15" s="185"/>
      <c r="I15" s="185"/>
      <c r="J15" s="185"/>
      <c r="K15" s="185"/>
      <c r="L15" s="185"/>
      <c r="M15" s="185"/>
    </row>
    <row r="16" hidden="1">
      <c r="A16" s="250" t="s">
        <v>682</v>
      </c>
      <c r="B16" s="123" t="s">
        <v>683</v>
      </c>
      <c r="C16" s="250" t="s">
        <v>550</v>
      </c>
      <c r="D16" s="391" t="s">
        <v>550</v>
      </c>
      <c r="E16" s="184"/>
      <c r="F16" s="185"/>
      <c r="G16" s="185"/>
      <c r="H16" s="185"/>
      <c r="I16" s="185"/>
      <c r="J16" s="185"/>
      <c r="K16" s="185"/>
      <c r="L16" s="185"/>
      <c r="M16" s="185"/>
    </row>
    <row r="17">
      <c r="A17" s="184"/>
      <c r="B17" s="184"/>
      <c r="C17" s="250" t="s">
        <v>550</v>
      </c>
      <c r="D17" s="391" t="s">
        <v>550</v>
      </c>
      <c r="E17" s="184"/>
      <c r="F17" s="185"/>
      <c r="G17" s="185"/>
      <c r="H17" s="185"/>
      <c r="I17" s="185"/>
      <c r="J17" s="185"/>
      <c r="K17" s="185"/>
      <c r="L17" s="185"/>
      <c r="M17" s="185"/>
    </row>
    <row r="18">
      <c r="A18" s="193" t="s">
        <v>684</v>
      </c>
      <c r="B18" s="184"/>
      <c r="C18" s="387"/>
      <c r="D18" s="388"/>
      <c r="E18" s="184"/>
      <c r="F18" s="185"/>
      <c r="G18" s="185"/>
      <c r="H18" s="185"/>
      <c r="I18" s="185"/>
      <c r="J18" s="185"/>
      <c r="K18" s="185"/>
      <c r="L18" s="185"/>
      <c r="M18" s="185"/>
    </row>
    <row r="19">
      <c r="A19" s="250" t="s">
        <v>685</v>
      </c>
      <c r="B19" s="123" t="s">
        <v>680</v>
      </c>
      <c r="C19" s="392">
        <v>9.0</v>
      </c>
      <c r="D19" s="393">
        <v>292.5</v>
      </c>
      <c r="E19" s="184">
        <v>1.6</v>
      </c>
      <c r="F19" s="185">
        <v>108.6</v>
      </c>
      <c r="G19" s="394">
        <v>5.65</v>
      </c>
      <c r="H19" s="394">
        <v>82.56</v>
      </c>
      <c r="I19" s="185"/>
      <c r="J19" s="185"/>
      <c r="K19" s="394">
        <v>5.65</v>
      </c>
      <c r="L19" s="394">
        <v>82.56</v>
      </c>
      <c r="M19" s="394" t="s">
        <v>686</v>
      </c>
    </row>
    <row r="20">
      <c r="A20" s="250" t="s">
        <v>687</v>
      </c>
      <c r="B20" s="123" t="s">
        <v>680</v>
      </c>
      <c r="C20" s="392">
        <v>13.0</v>
      </c>
      <c r="D20" s="393">
        <v>72.0</v>
      </c>
      <c r="E20" s="184">
        <v>25.8</v>
      </c>
      <c r="F20" s="185">
        <v>62.8</v>
      </c>
      <c r="G20" s="394">
        <v>13.7</v>
      </c>
      <c r="H20" s="394">
        <v>74.168</v>
      </c>
      <c r="I20" s="185"/>
      <c r="J20" s="185"/>
      <c r="K20" s="394">
        <v>13.7</v>
      </c>
      <c r="L20" s="394">
        <v>74.168</v>
      </c>
      <c r="M20" s="394" t="s">
        <v>686</v>
      </c>
    </row>
    <row r="21" ht="15.75" hidden="1" customHeight="1">
      <c r="A21" s="250" t="s">
        <v>688</v>
      </c>
      <c r="B21" s="123" t="s">
        <v>689</v>
      </c>
      <c r="C21" s="250" t="s">
        <v>550</v>
      </c>
      <c r="D21" s="391" t="s">
        <v>550</v>
      </c>
      <c r="E21" s="184"/>
      <c r="F21" s="185"/>
      <c r="G21" s="185"/>
      <c r="H21" s="185"/>
      <c r="I21" s="185"/>
      <c r="J21" s="185"/>
      <c r="K21" s="185"/>
      <c r="L21" s="185"/>
      <c r="M21" s="185"/>
    </row>
    <row r="22" ht="15.75" hidden="1" customHeight="1">
      <c r="A22" s="250" t="s">
        <v>690</v>
      </c>
      <c r="B22" s="123" t="s">
        <v>680</v>
      </c>
      <c r="C22" s="250" t="s">
        <v>550</v>
      </c>
      <c r="D22" s="391" t="s">
        <v>550</v>
      </c>
      <c r="E22" s="184"/>
      <c r="F22" s="185"/>
      <c r="G22" s="185"/>
      <c r="H22" s="185"/>
      <c r="I22" s="185"/>
      <c r="J22" s="185"/>
      <c r="K22" s="185"/>
      <c r="L22" s="185"/>
      <c r="M22" s="185"/>
    </row>
    <row r="23" ht="15.75" hidden="1" customHeight="1">
      <c r="A23" s="250" t="s">
        <v>691</v>
      </c>
      <c r="B23" s="123" t="s">
        <v>680</v>
      </c>
      <c r="C23" s="184"/>
      <c r="D23" s="390"/>
      <c r="E23" s="184"/>
      <c r="F23" s="185"/>
      <c r="G23" s="185"/>
      <c r="H23" s="185"/>
      <c r="I23" s="185"/>
      <c r="J23" s="185"/>
      <c r="K23" s="185"/>
      <c r="L23" s="185"/>
      <c r="M23" s="185"/>
    </row>
    <row r="24" ht="15.75" hidden="1" customHeight="1">
      <c r="A24" s="250" t="s">
        <v>692</v>
      </c>
      <c r="B24" s="123" t="s">
        <v>680</v>
      </c>
      <c r="C24" s="250" t="s">
        <v>550</v>
      </c>
      <c r="D24" s="391" t="s">
        <v>550</v>
      </c>
      <c r="E24" s="184"/>
      <c r="F24" s="185"/>
      <c r="G24" s="185"/>
      <c r="H24" s="185"/>
      <c r="I24" s="185"/>
      <c r="J24" s="185"/>
      <c r="K24" s="185"/>
      <c r="L24" s="185"/>
      <c r="M24" s="185"/>
    </row>
    <row r="25" ht="15.75" hidden="1" customHeight="1">
      <c r="A25" s="250" t="s">
        <v>693</v>
      </c>
      <c r="B25" s="123" t="s">
        <v>680</v>
      </c>
      <c r="C25" s="250" t="s">
        <v>550</v>
      </c>
      <c r="D25" s="391" t="s">
        <v>550</v>
      </c>
      <c r="E25" s="184"/>
      <c r="F25" s="185"/>
      <c r="G25" s="185"/>
      <c r="H25" s="185"/>
      <c r="I25" s="185"/>
      <c r="J25" s="185"/>
      <c r="K25" s="185"/>
      <c r="L25" s="185"/>
      <c r="M25" s="185"/>
    </row>
    <row r="26" ht="15.75" hidden="1" customHeight="1">
      <c r="A26" s="250" t="s">
        <v>694</v>
      </c>
      <c r="B26" s="123" t="s">
        <v>689</v>
      </c>
      <c r="C26" s="184"/>
      <c r="D26" s="391" t="s">
        <v>550</v>
      </c>
      <c r="E26" s="184"/>
      <c r="F26" s="185"/>
      <c r="G26" s="185"/>
      <c r="H26" s="185"/>
      <c r="I26" s="185"/>
      <c r="J26" s="185"/>
      <c r="K26" s="185"/>
      <c r="L26" s="185"/>
      <c r="M26" s="185"/>
    </row>
    <row r="27" ht="15.75" hidden="1" customHeight="1">
      <c r="A27" s="184"/>
      <c r="B27" s="184"/>
      <c r="C27" s="250" t="s">
        <v>550</v>
      </c>
      <c r="D27" s="391" t="s">
        <v>550</v>
      </c>
      <c r="E27" s="184"/>
      <c r="F27" s="185"/>
      <c r="G27" s="185"/>
      <c r="H27" s="185"/>
      <c r="I27" s="185"/>
      <c r="J27" s="185"/>
      <c r="K27" s="185"/>
      <c r="L27" s="185"/>
      <c r="M27" s="185"/>
    </row>
    <row r="28" ht="15.75" hidden="1" customHeight="1">
      <c r="A28" s="250" t="s">
        <v>695</v>
      </c>
      <c r="B28" s="184"/>
      <c r="C28" s="250" t="s">
        <v>550</v>
      </c>
      <c r="D28" s="391" t="s">
        <v>550</v>
      </c>
      <c r="E28" s="184"/>
      <c r="F28" s="185"/>
      <c r="G28" s="185"/>
      <c r="H28" s="185"/>
      <c r="I28" s="185"/>
      <c r="J28" s="185"/>
      <c r="K28" s="185"/>
      <c r="L28" s="185"/>
      <c r="M28" s="185"/>
    </row>
    <row r="29" ht="15.75" hidden="1" customHeight="1">
      <c r="A29" s="250" t="s">
        <v>696</v>
      </c>
      <c r="B29" s="123" t="s">
        <v>697</v>
      </c>
      <c r="C29" s="250" t="s">
        <v>550</v>
      </c>
      <c r="D29" s="391" t="s">
        <v>550</v>
      </c>
      <c r="E29" s="184"/>
      <c r="F29" s="185"/>
      <c r="G29" s="185"/>
      <c r="H29" s="185"/>
      <c r="I29" s="185"/>
      <c r="J29" s="185"/>
      <c r="K29" s="185"/>
      <c r="L29" s="185"/>
      <c r="M29" s="185"/>
    </row>
    <row r="30" ht="15.75" hidden="1" customHeight="1">
      <c r="A30" s="250" t="s">
        <v>698</v>
      </c>
      <c r="B30" s="123" t="s">
        <v>697</v>
      </c>
      <c r="C30" s="250" t="s">
        <v>550</v>
      </c>
      <c r="D30" s="391" t="s">
        <v>550</v>
      </c>
      <c r="E30" s="184"/>
      <c r="F30" s="185"/>
      <c r="G30" s="185"/>
      <c r="H30" s="185"/>
      <c r="I30" s="185"/>
      <c r="J30" s="185"/>
      <c r="K30" s="185"/>
      <c r="L30" s="185"/>
      <c r="M30" s="185"/>
    </row>
    <row r="31" ht="15.75" hidden="1" customHeight="1">
      <c r="A31" s="250" t="s">
        <v>699</v>
      </c>
      <c r="B31" s="123" t="s">
        <v>697</v>
      </c>
      <c r="C31" s="250" t="s">
        <v>550</v>
      </c>
      <c r="D31" s="391" t="s">
        <v>550</v>
      </c>
      <c r="E31" s="184"/>
      <c r="F31" s="185"/>
      <c r="G31" s="185"/>
      <c r="H31" s="185"/>
      <c r="I31" s="185"/>
      <c r="J31" s="185"/>
      <c r="K31" s="185"/>
      <c r="L31" s="185"/>
      <c r="M31" s="185"/>
    </row>
    <row r="32" ht="15.75" hidden="1" customHeight="1">
      <c r="A32" s="250" t="s">
        <v>700</v>
      </c>
      <c r="B32" s="123" t="s">
        <v>697</v>
      </c>
      <c r="C32" s="250" t="s">
        <v>550</v>
      </c>
      <c r="D32" s="391" t="s">
        <v>550</v>
      </c>
      <c r="E32" s="184"/>
      <c r="F32" s="185"/>
      <c r="G32" s="185"/>
      <c r="H32" s="185"/>
      <c r="I32" s="185"/>
      <c r="J32" s="185"/>
      <c r="K32" s="185"/>
      <c r="L32" s="185"/>
      <c r="M32" s="185"/>
    </row>
    <row r="33" ht="15.75" hidden="1" customHeight="1">
      <c r="A33" s="184"/>
      <c r="B33" s="184"/>
      <c r="C33" s="250" t="s">
        <v>550</v>
      </c>
      <c r="D33" s="391" t="s">
        <v>550</v>
      </c>
      <c r="E33" s="184"/>
      <c r="F33" s="185"/>
      <c r="G33" s="185"/>
      <c r="H33" s="185"/>
      <c r="I33" s="185"/>
      <c r="J33" s="185"/>
      <c r="K33" s="185"/>
      <c r="L33" s="185"/>
      <c r="M33" s="185"/>
    </row>
    <row r="34" ht="15.75" hidden="1" customHeight="1">
      <c r="A34" s="193" t="s">
        <v>701</v>
      </c>
      <c r="B34" s="184"/>
      <c r="C34" s="193" t="s">
        <v>550</v>
      </c>
      <c r="D34" s="395" t="s">
        <v>550</v>
      </c>
      <c r="E34" s="184"/>
      <c r="F34" s="185"/>
      <c r="G34" s="185"/>
      <c r="H34" s="185"/>
      <c r="I34" s="185"/>
      <c r="J34" s="185"/>
      <c r="K34" s="185"/>
      <c r="L34" s="185"/>
      <c r="M34" s="185"/>
    </row>
    <row r="35" ht="15.75" hidden="1" customHeight="1">
      <c r="A35" s="193" t="s">
        <v>702</v>
      </c>
      <c r="B35" s="184"/>
      <c r="C35" s="250" t="s">
        <v>550</v>
      </c>
      <c r="D35" s="391" t="s">
        <v>550</v>
      </c>
      <c r="E35" s="184"/>
      <c r="F35" s="185"/>
      <c r="G35" s="185"/>
      <c r="H35" s="185"/>
      <c r="I35" s="185"/>
      <c r="J35" s="185"/>
      <c r="K35" s="185"/>
      <c r="L35" s="185"/>
      <c r="M35" s="185"/>
    </row>
    <row r="36" ht="15.75" hidden="1" customHeight="1">
      <c r="A36" s="250" t="s">
        <v>703</v>
      </c>
      <c r="B36" s="123" t="s">
        <v>704</v>
      </c>
      <c r="C36" s="250" t="s">
        <v>550</v>
      </c>
      <c r="D36" s="391" t="s">
        <v>550</v>
      </c>
      <c r="E36" s="184"/>
      <c r="F36" s="185"/>
      <c r="G36" s="185"/>
      <c r="H36" s="185"/>
      <c r="I36" s="185"/>
      <c r="J36" s="185"/>
      <c r="K36" s="185"/>
      <c r="L36" s="185"/>
      <c r="M36" s="185"/>
    </row>
    <row r="37" ht="15.75" hidden="1" customHeight="1">
      <c r="A37" s="250" t="s">
        <v>705</v>
      </c>
      <c r="B37" s="123" t="s">
        <v>704</v>
      </c>
      <c r="C37" s="250" t="s">
        <v>550</v>
      </c>
      <c r="D37" s="391" t="s">
        <v>550</v>
      </c>
      <c r="E37" s="184"/>
      <c r="F37" s="185"/>
      <c r="G37" s="185"/>
      <c r="H37" s="185"/>
      <c r="I37" s="185"/>
      <c r="J37" s="185"/>
      <c r="K37" s="185"/>
      <c r="L37" s="185"/>
      <c r="M37" s="185"/>
    </row>
    <row r="38" ht="15.75" hidden="1" customHeight="1">
      <c r="A38" s="250" t="s">
        <v>706</v>
      </c>
      <c r="B38" s="123" t="s">
        <v>704</v>
      </c>
      <c r="C38" s="250" t="s">
        <v>550</v>
      </c>
      <c r="D38" s="391" t="s">
        <v>550</v>
      </c>
      <c r="E38" s="184"/>
      <c r="F38" s="185"/>
      <c r="G38" s="185"/>
      <c r="H38" s="185"/>
      <c r="I38" s="185"/>
      <c r="J38" s="185"/>
      <c r="K38" s="185"/>
      <c r="L38" s="185"/>
      <c r="M38" s="185"/>
    </row>
    <row r="39" ht="15.75" hidden="1" customHeight="1">
      <c r="A39" s="184"/>
      <c r="B39" s="184"/>
      <c r="C39" s="250" t="s">
        <v>550</v>
      </c>
      <c r="D39" s="391" t="s">
        <v>550</v>
      </c>
      <c r="E39" s="184"/>
      <c r="F39" s="185"/>
      <c r="G39" s="185"/>
      <c r="H39" s="185"/>
      <c r="I39" s="185"/>
      <c r="J39" s="185"/>
      <c r="K39" s="185"/>
      <c r="L39" s="185"/>
      <c r="M39" s="185"/>
    </row>
    <row r="40" ht="15.75" hidden="1" customHeight="1">
      <c r="A40" s="193" t="s">
        <v>707</v>
      </c>
      <c r="B40" s="184"/>
      <c r="C40" s="250" t="s">
        <v>550</v>
      </c>
      <c r="D40" s="391" t="s">
        <v>550</v>
      </c>
      <c r="E40" s="184"/>
      <c r="F40" s="185"/>
      <c r="G40" s="185"/>
      <c r="H40" s="185"/>
      <c r="I40" s="185"/>
      <c r="J40" s="185"/>
      <c r="K40" s="185"/>
      <c r="L40" s="185"/>
      <c r="M40" s="185"/>
    </row>
    <row r="41" ht="15.75" hidden="1" customHeight="1">
      <c r="A41" s="250" t="s">
        <v>708</v>
      </c>
      <c r="B41" s="123" t="s">
        <v>704</v>
      </c>
      <c r="C41" s="250" t="s">
        <v>550</v>
      </c>
      <c r="D41" s="391" t="s">
        <v>550</v>
      </c>
      <c r="E41" s="184"/>
      <c r="F41" s="185"/>
      <c r="G41" s="185"/>
      <c r="H41" s="185"/>
      <c r="I41" s="185"/>
      <c r="J41" s="185"/>
      <c r="K41" s="185"/>
      <c r="L41" s="185"/>
      <c r="M41" s="185"/>
    </row>
    <row r="42" ht="15.75" hidden="1" customHeight="1">
      <c r="A42" s="184"/>
      <c r="B42" s="184"/>
      <c r="C42" s="184"/>
      <c r="D42" s="390"/>
      <c r="E42" s="184"/>
      <c r="F42" s="185"/>
      <c r="G42" s="185"/>
      <c r="H42" s="185"/>
      <c r="I42" s="185"/>
      <c r="J42" s="185"/>
      <c r="K42" s="185"/>
      <c r="L42" s="185"/>
      <c r="M42" s="185"/>
    </row>
    <row r="43" ht="15.75" hidden="1" customHeight="1">
      <c r="A43" s="193" t="s">
        <v>709</v>
      </c>
      <c r="B43" s="184"/>
      <c r="C43" s="184"/>
      <c r="D43" s="390"/>
      <c r="E43" s="184"/>
      <c r="F43" s="185"/>
      <c r="G43" s="185"/>
      <c r="H43" s="185"/>
      <c r="I43" s="185"/>
      <c r="J43" s="185"/>
      <c r="K43" s="185"/>
      <c r="L43" s="185"/>
      <c r="M43" s="185"/>
    </row>
    <row r="44" ht="15.75" hidden="1" customHeight="1">
      <c r="A44" s="193" t="s">
        <v>710</v>
      </c>
      <c r="B44" s="184"/>
      <c r="C44" s="184"/>
      <c r="D44" s="390"/>
      <c r="E44" s="184"/>
      <c r="F44" s="185"/>
      <c r="G44" s="185"/>
      <c r="H44" s="185"/>
      <c r="I44" s="185"/>
      <c r="J44" s="185"/>
      <c r="K44" s="185"/>
      <c r="L44" s="185"/>
      <c r="M44" s="185"/>
    </row>
    <row r="45" ht="15.75" hidden="1" customHeight="1">
      <c r="A45" s="250" t="s">
        <v>711</v>
      </c>
      <c r="B45" s="123" t="s">
        <v>712</v>
      </c>
      <c r="C45" s="184"/>
      <c r="D45" s="390"/>
      <c r="E45" s="184"/>
      <c r="F45" s="185"/>
      <c r="G45" s="185"/>
      <c r="H45" s="185"/>
      <c r="I45" s="185"/>
      <c r="J45" s="185"/>
      <c r="K45" s="185"/>
      <c r="L45" s="185"/>
      <c r="M45" s="185"/>
    </row>
    <row r="46" ht="19.5" customHeight="1">
      <c r="A46" s="142" t="s">
        <v>15</v>
      </c>
      <c r="B46" s="184"/>
      <c r="C46" s="387"/>
      <c r="D46" s="388">
        <f>D11</f>
        <v>364.5</v>
      </c>
      <c r="E46" s="184"/>
      <c r="F46" s="180">
        <f>F11</f>
        <v>171.4</v>
      </c>
      <c r="G46" s="180"/>
      <c r="H46" s="180">
        <f>H11</f>
        <v>156.728</v>
      </c>
      <c r="I46" s="180"/>
      <c r="J46" s="180"/>
      <c r="K46" s="180"/>
      <c r="L46" s="180">
        <f>L11</f>
        <v>156.728</v>
      </c>
      <c r="M46" s="180"/>
    </row>
    <row r="47" ht="15.75" customHeight="1">
      <c r="A47" s="89"/>
      <c r="B47" s="89"/>
      <c r="C47" s="89"/>
      <c r="D47" s="396"/>
      <c r="E47" s="176"/>
      <c r="F47" s="176"/>
      <c r="G47" s="176"/>
      <c r="H47" s="176"/>
      <c r="I47" s="176"/>
      <c r="J47" s="176"/>
      <c r="K47" s="176"/>
      <c r="L47" s="176"/>
      <c r="M47" s="176"/>
    </row>
    <row r="48" ht="22.5" customHeight="1">
      <c r="A48" s="147" t="s">
        <v>77</v>
      </c>
      <c r="B48" s="150"/>
      <c r="C48" s="151"/>
      <c r="D48" s="152"/>
      <c r="E48" s="153" t="s">
        <v>466</v>
      </c>
      <c r="F48" s="154"/>
      <c r="G48" s="154"/>
      <c r="H48" s="154"/>
      <c r="I48" s="154"/>
      <c r="J48" s="154"/>
      <c r="K48" s="154"/>
      <c r="L48" s="155" t="s">
        <v>467</v>
      </c>
      <c r="M48" s="154"/>
    </row>
    <row r="49" ht="15.75" customHeight="1">
      <c r="A49" s="68"/>
      <c r="B49" s="150"/>
      <c r="C49" s="151"/>
      <c r="D49" s="152"/>
      <c r="E49" s="151"/>
      <c r="F49" s="154"/>
      <c r="G49" s="154"/>
      <c r="H49" s="154"/>
      <c r="I49" s="154"/>
      <c r="J49" s="154"/>
      <c r="K49" s="154"/>
      <c r="L49" s="156"/>
      <c r="M49" s="154"/>
    </row>
    <row r="50" ht="15.75" customHeight="1">
      <c r="A50" s="68"/>
      <c r="B50" s="150"/>
      <c r="C50" s="151"/>
      <c r="D50" s="152"/>
      <c r="E50" s="151"/>
      <c r="F50" s="154"/>
      <c r="G50" s="154"/>
      <c r="H50" s="154"/>
      <c r="I50" s="154"/>
      <c r="J50" s="154"/>
      <c r="K50" s="154"/>
      <c r="L50" s="156"/>
      <c r="M50" s="154"/>
    </row>
    <row r="51" ht="15.75" customHeight="1">
      <c r="A51" s="152"/>
      <c r="B51" s="150"/>
      <c r="C51" s="151"/>
      <c r="D51" s="152"/>
      <c r="E51" s="151"/>
      <c r="F51" s="150"/>
      <c r="G51" s="150"/>
      <c r="H51" s="150"/>
      <c r="I51" s="154"/>
      <c r="J51" s="150"/>
      <c r="K51" s="150"/>
      <c r="L51" s="156"/>
      <c r="M51" s="150"/>
    </row>
    <row r="52" ht="15.75" customHeight="1">
      <c r="A52" s="68"/>
      <c r="B52" s="150"/>
      <c r="C52" s="151"/>
      <c r="D52" s="152"/>
      <c r="E52" s="151"/>
      <c r="F52" s="150"/>
      <c r="G52" s="150"/>
      <c r="H52" s="150"/>
      <c r="I52" s="154"/>
      <c r="J52" s="150"/>
      <c r="K52" s="150"/>
      <c r="L52" s="156"/>
      <c r="M52" s="150"/>
    </row>
    <row r="53" ht="21.0" customHeight="1">
      <c r="A53" s="157" t="s">
        <v>82</v>
      </c>
      <c r="B53" s="150"/>
      <c r="C53" s="151"/>
      <c r="D53" s="152"/>
      <c r="E53" s="158" t="s">
        <v>83</v>
      </c>
      <c r="F53" s="150"/>
      <c r="G53" s="150"/>
      <c r="H53" s="150"/>
      <c r="I53" s="154"/>
      <c r="J53" s="150"/>
      <c r="K53" s="150"/>
      <c r="L53" s="159" t="s">
        <v>84</v>
      </c>
      <c r="M53" s="150"/>
    </row>
    <row r="54">
      <c r="A54" s="160" t="s">
        <v>468</v>
      </c>
      <c r="B54" s="150"/>
      <c r="C54" s="151"/>
      <c r="D54" s="152"/>
      <c r="E54" s="153" t="s">
        <v>87</v>
      </c>
      <c r="F54" s="150"/>
      <c r="G54" s="150"/>
      <c r="H54" s="150"/>
      <c r="I54" s="154"/>
      <c r="J54" s="150"/>
      <c r="K54" s="150"/>
      <c r="L54" s="161" t="s">
        <v>88</v>
      </c>
      <c r="M54" s="150"/>
    </row>
    <row r="55" ht="15.75" customHeight="1">
      <c r="A55" s="162"/>
      <c r="B55" s="163"/>
      <c r="C55" s="150"/>
      <c r="D55" s="150"/>
      <c r="E55" s="397"/>
      <c r="F55" s="397"/>
      <c r="G55" s="397"/>
      <c r="H55" s="397"/>
      <c r="I55" s="397"/>
      <c r="J55" s="397"/>
      <c r="K55" s="397"/>
      <c r="L55" s="397"/>
      <c r="M55" s="397"/>
    </row>
    <row r="56" ht="15.75" customHeight="1">
      <c r="A56" s="89"/>
      <c r="B56" s="89"/>
      <c r="C56" s="89"/>
      <c r="D56" s="386"/>
      <c r="E56" s="176"/>
      <c r="F56" s="176"/>
      <c r="G56" s="176"/>
      <c r="H56" s="176"/>
      <c r="I56" s="176"/>
      <c r="J56" s="176"/>
      <c r="K56" s="176"/>
      <c r="L56" s="176"/>
      <c r="M56" s="176"/>
    </row>
    <row r="57" ht="15.75" customHeight="1">
      <c r="B57" s="150"/>
      <c r="C57" s="89"/>
      <c r="D57" s="386"/>
      <c r="E57" s="176"/>
      <c r="F57" s="176"/>
      <c r="G57" s="176"/>
      <c r="H57" s="176"/>
      <c r="I57" s="176"/>
      <c r="J57" s="176"/>
      <c r="K57" s="176"/>
      <c r="L57" s="176"/>
      <c r="M57" s="176"/>
    </row>
    <row r="58" ht="15.75" customHeight="1">
      <c r="B58" s="398"/>
      <c r="C58" s="89"/>
      <c r="D58" s="386"/>
      <c r="E58" s="176"/>
      <c r="F58" s="176"/>
      <c r="G58" s="176"/>
      <c r="H58" s="176"/>
      <c r="I58" s="176"/>
      <c r="J58" s="176"/>
      <c r="K58" s="176"/>
      <c r="L58" s="176"/>
      <c r="M58" s="176"/>
    </row>
    <row r="59" ht="15.75" customHeight="1">
      <c r="B59" s="398"/>
      <c r="C59" s="89"/>
      <c r="D59" s="386"/>
      <c r="E59" s="176"/>
      <c r="F59" s="176"/>
      <c r="G59" s="176"/>
      <c r="H59" s="176"/>
      <c r="I59" s="176"/>
      <c r="J59" s="176"/>
      <c r="K59" s="176"/>
      <c r="L59" s="176"/>
      <c r="M59" s="176"/>
    </row>
    <row r="60" ht="15.75" customHeight="1">
      <c r="B60" s="398"/>
      <c r="C60" s="89"/>
      <c r="D60" s="386"/>
      <c r="E60" s="176"/>
      <c r="F60" s="176"/>
      <c r="G60" s="176"/>
      <c r="H60" s="176"/>
      <c r="I60" s="176"/>
      <c r="J60" s="176"/>
      <c r="K60" s="176"/>
      <c r="L60" s="176"/>
      <c r="M60" s="176"/>
    </row>
    <row r="61" ht="15.75" customHeight="1">
      <c r="B61" s="398"/>
      <c r="C61" s="89"/>
      <c r="D61" s="386"/>
      <c r="E61" s="176"/>
      <c r="F61" s="176"/>
      <c r="G61" s="176"/>
      <c r="H61" s="176"/>
      <c r="I61" s="176"/>
      <c r="J61" s="176"/>
      <c r="K61" s="176"/>
      <c r="L61" s="176"/>
      <c r="M61" s="176"/>
    </row>
    <row r="62" ht="15.75" customHeight="1">
      <c r="B62" s="150"/>
      <c r="C62" s="89"/>
      <c r="D62" s="386"/>
      <c r="E62" s="176"/>
      <c r="F62" s="176"/>
      <c r="G62" s="176"/>
      <c r="H62" s="176"/>
      <c r="I62" s="176"/>
      <c r="J62" s="176"/>
      <c r="K62" s="176"/>
      <c r="L62" s="176"/>
      <c r="M62" s="176"/>
    </row>
    <row r="63" ht="15.75" customHeight="1">
      <c r="B63" s="150"/>
      <c r="C63" s="89"/>
      <c r="D63" s="386"/>
      <c r="E63" s="176"/>
      <c r="F63" s="176"/>
      <c r="G63" s="176"/>
      <c r="H63" s="176"/>
      <c r="I63" s="176"/>
      <c r="J63" s="176"/>
      <c r="K63" s="176"/>
      <c r="L63" s="176"/>
      <c r="M63" s="176"/>
    </row>
    <row r="64" ht="15.75" customHeight="1">
      <c r="A64" s="89"/>
      <c r="B64" s="89"/>
      <c r="C64" s="89"/>
      <c r="D64" s="386"/>
      <c r="E64" s="176"/>
      <c r="F64" s="176"/>
      <c r="G64" s="176"/>
      <c r="H64" s="176"/>
      <c r="I64" s="176"/>
      <c r="J64" s="176"/>
      <c r="K64" s="176"/>
      <c r="L64" s="176"/>
      <c r="M64" s="176"/>
    </row>
    <row r="65" ht="15.75" customHeight="1">
      <c r="A65" s="89"/>
      <c r="B65" s="89"/>
      <c r="C65" s="89"/>
      <c r="D65" s="386"/>
      <c r="E65" s="176"/>
      <c r="F65" s="176"/>
      <c r="G65" s="176"/>
      <c r="H65" s="176"/>
      <c r="I65" s="176"/>
      <c r="J65" s="176"/>
      <c r="K65" s="176"/>
      <c r="L65" s="176"/>
      <c r="M65" s="176"/>
    </row>
    <row r="66" ht="15.75" customHeight="1">
      <c r="A66" s="89"/>
      <c r="B66" s="89"/>
      <c r="C66" s="89"/>
      <c r="D66" s="386"/>
      <c r="E66" s="176"/>
      <c r="F66" s="176"/>
      <c r="G66" s="176"/>
      <c r="H66" s="176"/>
      <c r="I66" s="176"/>
      <c r="J66" s="176"/>
      <c r="K66" s="176"/>
      <c r="L66" s="176"/>
      <c r="M66" s="176"/>
    </row>
    <row r="67" ht="15.75" customHeight="1">
      <c r="A67" s="89"/>
      <c r="B67" s="89"/>
      <c r="C67" s="89"/>
      <c r="D67" s="386"/>
      <c r="E67" s="176"/>
      <c r="F67" s="176"/>
      <c r="G67" s="176"/>
      <c r="H67" s="176"/>
      <c r="I67" s="176"/>
      <c r="J67" s="176"/>
      <c r="K67" s="176"/>
      <c r="L67" s="176"/>
      <c r="M67" s="176"/>
    </row>
    <row r="68" ht="15.75" customHeight="1">
      <c r="A68" s="89"/>
      <c r="B68" s="89"/>
      <c r="C68" s="89"/>
      <c r="D68" s="386"/>
      <c r="E68" s="176"/>
      <c r="F68" s="176"/>
      <c r="G68" s="176"/>
      <c r="H68" s="176"/>
      <c r="I68" s="176"/>
      <c r="J68" s="176"/>
      <c r="K68" s="176"/>
      <c r="L68" s="176"/>
      <c r="M68" s="176"/>
    </row>
    <row r="69" ht="15.75" customHeight="1">
      <c r="A69" s="89"/>
      <c r="B69" s="89"/>
      <c r="C69" s="89"/>
      <c r="D69" s="386"/>
      <c r="E69" s="176"/>
      <c r="F69" s="176"/>
      <c r="G69" s="176"/>
      <c r="H69" s="176"/>
      <c r="I69" s="176"/>
      <c r="J69" s="176"/>
      <c r="K69" s="176"/>
      <c r="L69" s="176"/>
      <c r="M69" s="176"/>
    </row>
    <row r="70" ht="15.75" customHeight="1">
      <c r="A70" s="89"/>
      <c r="B70" s="89"/>
      <c r="C70" s="89"/>
      <c r="D70" s="386"/>
      <c r="E70" s="176"/>
      <c r="F70" s="176"/>
      <c r="G70" s="176"/>
      <c r="H70" s="176"/>
      <c r="I70" s="176"/>
      <c r="J70" s="176"/>
      <c r="K70" s="176"/>
      <c r="L70" s="176"/>
      <c r="M70" s="176"/>
    </row>
    <row r="71" ht="15.75" customHeight="1">
      <c r="A71" s="89"/>
      <c r="B71" s="89"/>
      <c r="C71" s="89"/>
      <c r="D71" s="386"/>
      <c r="E71" s="176"/>
      <c r="F71" s="176"/>
      <c r="G71" s="176"/>
      <c r="H71" s="176"/>
      <c r="I71" s="176"/>
      <c r="J71" s="176"/>
      <c r="K71" s="176"/>
      <c r="L71" s="176"/>
      <c r="M71" s="176"/>
    </row>
    <row r="72" ht="15.75" customHeight="1">
      <c r="A72" s="89"/>
      <c r="B72" s="89"/>
      <c r="C72" s="89"/>
      <c r="D72" s="386"/>
      <c r="E72" s="176"/>
      <c r="F72" s="176"/>
      <c r="G72" s="176"/>
      <c r="H72" s="176"/>
      <c r="I72" s="176"/>
      <c r="J72" s="176"/>
      <c r="K72" s="176"/>
      <c r="L72" s="176"/>
      <c r="M72" s="176"/>
    </row>
    <row r="73" ht="15.75" customHeight="1">
      <c r="A73" s="89"/>
      <c r="B73" s="89"/>
      <c r="C73" s="89"/>
      <c r="D73" s="386"/>
      <c r="E73" s="176"/>
      <c r="F73" s="176"/>
      <c r="G73" s="176"/>
      <c r="H73" s="176"/>
      <c r="I73" s="176"/>
      <c r="J73" s="176"/>
      <c r="K73" s="176"/>
      <c r="L73" s="176"/>
      <c r="M73" s="176"/>
    </row>
    <row r="74" ht="15.75" customHeight="1">
      <c r="A74" s="89"/>
      <c r="B74" s="89"/>
      <c r="C74" s="89"/>
      <c r="D74" s="386"/>
      <c r="E74" s="176"/>
      <c r="F74" s="176"/>
      <c r="G74" s="176"/>
      <c r="H74" s="176"/>
      <c r="I74" s="176"/>
      <c r="J74" s="176"/>
      <c r="K74" s="176"/>
      <c r="L74" s="176"/>
      <c r="M74" s="176"/>
    </row>
    <row r="75" ht="15.75" customHeight="1">
      <c r="A75" s="89"/>
      <c r="B75" s="89"/>
      <c r="C75" s="89"/>
      <c r="D75" s="386"/>
      <c r="E75" s="176"/>
      <c r="F75" s="176"/>
      <c r="G75" s="176"/>
      <c r="H75" s="176"/>
      <c r="I75" s="176"/>
      <c r="J75" s="176"/>
      <c r="K75" s="176"/>
      <c r="L75" s="176"/>
      <c r="M75" s="176"/>
    </row>
    <row r="76" ht="15.75" customHeight="1">
      <c r="A76" s="89"/>
      <c r="B76" s="89"/>
      <c r="C76" s="89"/>
      <c r="D76" s="386"/>
      <c r="E76" s="176"/>
      <c r="F76" s="176"/>
      <c r="G76" s="176"/>
      <c r="H76" s="176"/>
      <c r="I76" s="176"/>
      <c r="J76" s="176"/>
      <c r="K76" s="176"/>
      <c r="L76" s="176"/>
      <c r="M76" s="176"/>
    </row>
    <row r="77" ht="15.75" customHeight="1">
      <c r="A77" s="89"/>
      <c r="B77" s="89"/>
      <c r="C77" s="89"/>
      <c r="D77" s="386"/>
      <c r="E77" s="176"/>
      <c r="F77" s="176"/>
      <c r="G77" s="176"/>
      <c r="H77" s="176"/>
      <c r="I77" s="176"/>
      <c r="J77" s="176"/>
      <c r="K77" s="176"/>
      <c r="L77" s="176"/>
      <c r="M77" s="176"/>
    </row>
    <row r="78" ht="15.75" customHeight="1">
      <c r="A78" s="89"/>
      <c r="B78" s="89"/>
      <c r="C78" s="89"/>
      <c r="D78" s="386"/>
      <c r="E78" s="176"/>
      <c r="F78" s="176"/>
      <c r="G78" s="176"/>
      <c r="H78" s="176"/>
      <c r="I78" s="176"/>
      <c r="J78" s="176"/>
      <c r="K78" s="176"/>
      <c r="L78" s="176"/>
      <c r="M78" s="176"/>
    </row>
    <row r="79" ht="15.75" customHeight="1">
      <c r="A79" s="89"/>
      <c r="B79" s="89"/>
      <c r="C79" s="89"/>
      <c r="D79" s="386"/>
      <c r="E79" s="176"/>
      <c r="F79" s="176"/>
      <c r="G79" s="176"/>
      <c r="H79" s="176"/>
      <c r="I79" s="176"/>
      <c r="J79" s="176"/>
      <c r="K79" s="176"/>
      <c r="L79" s="176"/>
      <c r="M79" s="176"/>
    </row>
    <row r="80" ht="15.75" customHeight="1">
      <c r="A80" s="89"/>
      <c r="B80" s="89"/>
      <c r="C80" s="89"/>
      <c r="D80" s="386"/>
      <c r="E80" s="176"/>
      <c r="F80" s="176"/>
      <c r="G80" s="176"/>
      <c r="H80" s="176"/>
      <c r="I80" s="176"/>
      <c r="J80" s="176"/>
      <c r="K80" s="176"/>
      <c r="L80" s="176"/>
      <c r="M80" s="176"/>
    </row>
    <row r="81" ht="15.75" customHeight="1">
      <c r="A81" s="89"/>
      <c r="B81" s="89"/>
      <c r="C81" s="89"/>
      <c r="D81" s="386"/>
      <c r="E81" s="176"/>
      <c r="F81" s="176"/>
      <c r="G81" s="176"/>
      <c r="H81" s="176"/>
      <c r="I81" s="176"/>
      <c r="J81" s="176"/>
      <c r="K81" s="176"/>
      <c r="L81" s="176"/>
      <c r="M81" s="176"/>
    </row>
    <row r="82" ht="15.75" customHeight="1">
      <c r="A82" s="89"/>
      <c r="B82" s="89"/>
      <c r="C82" s="89"/>
      <c r="D82" s="386"/>
      <c r="E82" s="176"/>
      <c r="F82" s="176"/>
      <c r="G82" s="176"/>
      <c r="H82" s="176"/>
      <c r="I82" s="176"/>
      <c r="J82" s="176"/>
      <c r="K82" s="176"/>
      <c r="L82" s="176"/>
      <c r="M82" s="176"/>
    </row>
    <row r="83" ht="15.75" customHeight="1">
      <c r="A83" s="89"/>
      <c r="B83" s="89"/>
      <c r="C83" s="89"/>
      <c r="D83" s="386"/>
      <c r="E83" s="176"/>
      <c r="F83" s="176"/>
      <c r="G83" s="176"/>
      <c r="H83" s="176"/>
      <c r="I83" s="176"/>
      <c r="J83" s="176"/>
      <c r="K83" s="176"/>
      <c r="L83" s="176"/>
      <c r="M83" s="176"/>
    </row>
    <row r="84" ht="15.75" customHeight="1">
      <c r="A84" s="89"/>
      <c r="B84" s="89"/>
      <c r="C84" s="89"/>
      <c r="D84" s="386"/>
      <c r="E84" s="176"/>
      <c r="F84" s="176"/>
      <c r="G84" s="176"/>
      <c r="H84" s="176"/>
      <c r="I84" s="176"/>
      <c r="J84" s="176"/>
      <c r="K84" s="176"/>
      <c r="L84" s="176"/>
      <c r="M84" s="176"/>
    </row>
    <row r="85" ht="15.75" customHeight="1">
      <c r="A85" s="89"/>
      <c r="B85" s="89"/>
      <c r="C85" s="89"/>
      <c r="D85" s="386"/>
      <c r="E85" s="176"/>
      <c r="F85" s="176"/>
      <c r="G85" s="176"/>
      <c r="H85" s="176"/>
      <c r="I85" s="176"/>
      <c r="J85" s="176"/>
      <c r="K85" s="176"/>
      <c r="L85" s="176"/>
      <c r="M85" s="176"/>
    </row>
    <row r="86" ht="15.75" customHeight="1">
      <c r="A86" s="89"/>
      <c r="B86" s="89"/>
      <c r="C86" s="89"/>
      <c r="D86" s="386"/>
      <c r="E86" s="176"/>
      <c r="F86" s="176"/>
      <c r="G86" s="176"/>
      <c r="H86" s="176"/>
      <c r="I86" s="176"/>
      <c r="J86" s="176"/>
      <c r="K86" s="176"/>
      <c r="L86" s="176"/>
      <c r="M86" s="176"/>
    </row>
    <row r="87" ht="15.75" customHeight="1">
      <c r="A87" s="89"/>
      <c r="B87" s="89"/>
      <c r="C87" s="89"/>
      <c r="D87" s="386"/>
      <c r="E87" s="176"/>
      <c r="F87" s="176"/>
      <c r="G87" s="176"/>
      <c r="H87" s="176"/>
      <c r="I87" s="176"/>
      <c r="J87" s="176"/>
      <c r="K87" s="176"/>
      <c r="L87" s="176"/>
      <c r="M87" s="176"/>
    </row>
    <row r="88" ht="15.75" customHeight="1">
      <c r="A88" s="89"/>
      <c r="B88" s="89"/>
      <c r="C88" s="89"/>
      <c r="D88" s="386"/>
      <c r="E88" s="176"/>
      <c r="F88" s="176"/>
      <c r="G88" s="176"/>
      <c r="H88" s="176"/>
      <c r="I88" s="176"/>
      <c r="J88" s="176"/>
      <c r="K88" s="176"/>
      <c r="L88" s="176"/>
      <c r="M88" s="176"/>
    </row>
    <row r="89" ht="15.75" customHeight="1">
      <c r="A89" s="89"/>
      <c r="B89" s="89"/>
      <c r="C89" s="89"/>
      <c r="D89" s="386"/>
      <c r="E89" s="176"/>
      <c r="F89" s="176"/>
      <c r="G89" s="176"/>
      <c r="H89" s="176"/>
      <c r="I89" s="176"/>
      <c r="J89" s="176"/>
      <c r="K89" s="176"/>
      <c r="L89" s="176"/>
      <c r="M89" s="176"/>
    </row>
    <row r="90" ht="15.75" customHeight="1">
      <c r="A90" s="89"/>
      <c r="B90" s="89"/>
      <c r="C90" s="89"/>
      <c r="D90" s="386"/>
      <c r="E90" s="176"/>
      <c r="F90" s="176"/>
      <c r="G90" s="176"/>
      <c r="H90" s="176"/>
      <c r="I90" s="176"/>
      <c r="J90" s="176"/>
      <c r="K90" s="176"/>
      <c r="L90" s="176"/>
      <c r="M90" s="176"/>
    </row>
    <row r="91" ht="15.75" customHeight="1">
      <c r="A91" s="89"/>
      <c r="B91" s="89"/>
      <c r="C91" s="89"/>
      <c r="D91" s="386"/>
      <c r="E91" s="176"/>
      <c r="F91" s="176"/>
      <c r="G91" s="176"/>
      <c r="H91" s="176"/>
      <c r="I91" s="176"/>
      <c r="J91" s="176"/>
      <c r="K91" s="176"/>
      <c r="L91" s="176"/>
      <c r="M91" s="176"/>
    </row>
    <row r="92" ht="15.75" customHeight="1">
      <c r="A92" s="89"/>
      <c r="B92" s="89"/>
      <c r="C92" s="89"/>
      <c r="D92" s="386"/>
      <c r="E92" s="176"/>
      <c r="F92" s="176"/>
      <c r="G92" s="176"/>
      <c r="H92" s="176"/>
      <c r="I92" s="176"/>
      <c r="J92" s="176"/>
      <c r="K92" s="176"/>
      <c r="L92" s="176"/>
      <c r="M92" s="176"/>
    </row>
    <row r="93" ht="15.75" customHeight="1">
      <c r="A93" s="89"/>
      <c r="B93" s="89"/>
      <c r="C93" s="89"/>
      <c r="D93" s="386"/>
      <c r="E93" s="176"/>
      <c r="F93" s="176"/>
      <c r="G93" s="176"/>
      <c r="H93" s="176"/>
      <c r="I93" s="176"/>
      <c r="J93" s="176"/>
      <c r="K93" s="176"/>
      <c r="L93" s="176"/>
      <c r="M93" s="176"/>
    </row>
    <row r="94" ht="15.75" customHeight="1">
      <c r="A94" s="89"/>
      <c r="B94" s="89"/>
      <c r="C94" s="89"/>
      <c r="D94" s="386"/>
      <c r="E94" s="176"/>
      <c r="F94" s="176"/>
      <c r="G94" s="176"/>
      <c r="H94" s="176"/>
      <c r="I94" s="176"/>
      <c r="J94" s="176"/>
      <c r="K94" s="176"/>
      <c r="L94" s="176"/>
      <c r="M94" s="176"/>
    </row>
    <row r="95" ht="15.75" customHeight="1">
      <c r="A95" s="89"/>
      <c r="B95" s="89"/>
      <c r="C95" s="89"/>
      <c r="D95" s="386"/>
      <c r="E95" s="176"/>
      <c r="F95" s="176"/>
      <c r="G95" s="176"/>
      <c r="H95" s="176"/>
      <c r="I95" s="176"/>
      <c r="J95" s="176"/>
      <c r="K95" s="176"/>
      <c r="L95" s="176"/>
      <c r="M95" s="176"/>
    </row>
    <row r="96" ht="15.75" customHeight="1">
      <c r="A96" s="89"/>
      <c r="B96" s="89"/>
      <c r="C96" s="89"/>
      <c r="D96" s="386"/>
      <c r="E96" s="176"/>
      <c r="F96" s="176"/>
      <c r="G96" s="176"/>
      <c r="H96" s="176"/>
      <c r="I96" s="176"/>
      <c r="J96" s="176"/>
      <c r="K96" s="176"/>
      <c r="L96" s="176"/>
      <c r="M96" s="176"/>
    </row>
    <row r="97" ht="15.75" customHeight="1">
      <c r="A97" s="89"/>
      <c r="B97" s="89"/>
      <c r="C97" s="89"/>
      <c r="D97" s="386"/>
      <c r="E97" s="176"/>
      <c r="F97" s="176"/>
      <c r="G97" s="176"/>
      <c r="H97" s="176"/>
      <c r="I97" s="176"/>
      <c r="J97" s="176"/>
      <c r="K97" s="176"/>
      <c r="L97" s="176"/>
      <c r="M97" s="176"/>
    </row>
    <row r="98" ht="15.75" customHeight="1">
      <c r="A98" s="89"/>
      <c r="B98" s="89"/>
      <c r="C98" s="89"/>
      <c r="D98" s="386"/>
      <c r="E98" s="176"/>
      <c r="F98" s="176"/>
      <c r="G98" s="176"/>
      <c r="H98" s="176"/>
      <c r="I98" s="176"/>
      <c r="J98" s="176"/>
      <c r="K98" s="176"/>
      <c r="L98" s="176"/>
      <c r="M98" s="176"/>
    </row>
    <row r="99" ht="15.75" customHeight="1">
      <c r="A99" s="89"/>
      <c r="B99" s="89"/>
      <c r="C99" s="89"/>
      <c r="D99" s="386"/>
      <c r="E99" s="176"/>
      <c r="F99" s="176"/>
      <c r="G99" s="176"/>
      <c r="H99" s="176"/>
      <c r="I99" s="176"/>
      <c r="J99" s="176"/>
      <c r="K99" s="176"/>
      <c r="L99" s="176"/>
      <c r="M99" s="176"/>
    </row>
    <row r="100" ht="15.75" customHeight="1">
      <c r="A100" s="89"/>
      <c r="B100" s="89"/>
      <c r="C100" s="89"/>
      <c r="D100" s="386"/>
      <c r="E100" s="176"/>
      <c r="F100" s="176"/>
      <c r="G100" s="176"/>
      <c r="H100" s="176"/>
      <c r="I100" s="176"/>
      <c r="J100" s="176"/>
      <c r="K100" s="176"/>
      <c r="L100" s="176"/>
      <c r="M100" s="176"/>
    </row>
    <row r="101" ht="15.75" customHeight="1">
      <c r="A101" s="89"/>
      <c r="B101" s="89"/>
      <c r="C101" s="89"/>
      <c r="D101" s="386"/>
      <c r="E101" s="176"/>
      <c r="F101" s="176"/>
      <c r="G101" s="176"/>
      <c r="H101" s="176"/>
      <c r="I101" s="176"/>
      <c r="J101" s="176"/>
      <c r="K101" s="176"/>
      <c r="L101" s="176"/>
      <c r="M101" s="176"/>
    </row>
    <row r="102" ht="15.75" customHeight="1">
      <c r="A102" s="89"/>
      <c r="B102" s="89"/>
      <c r="C102" s="89"/>
      <c r="D102" s="386"/>
      <c r="E102" s="176"/>
      <c r="F102" s="176"/>
      <c r="G102" s="176"/>
      <c r="H102" s="176"/>
      <c r="I102" s="176"/>
      <c r="J102" s="176"/>
      <c r="K102" s="176"/>
      <c r="L102" s="176"/>
      <c r="M102" s="176"/>
    </row>
    <row r="103" ht="15.75" customHeight="1">
      <c r="A103" s="89"/>
      <c r="B103" s="89"/>
      <c r="C103" s="89"/>
      <c r="D103" s="386"/>
      <c r="E103" s="176"/>
      <c r="F103" s="176"/>
      <c r="G103" s="176"/>
      <c r="H103" s="176"/>
      <c r="I103" s="176"/>
      <c r="J103" s="176"/>
      <c r="K103" s="176"/>
      <c r="L103" s="176"/>
      <c r="M103" s="176"/>
    </row>
    <row r="104" ht="15.75" customHeight="1">
      <c r="A104" s="89"/>
      <c r="B104" s="89"/>
      <c r="C104" s="89"/>
      <c r="D104" s="386"/>
      <c r="E104" s="176"/>
      <c r="F104" s="176"/>
      <c r="G104" s="176"/>
      <c r="H104" s="176"/>
      <c r="I104" s="176"/>
      <c r="J104" s="176"/>
      <c r="K104" s="176"/>
      <c r="L104" s="176"/>
      <c r="M104" s="176"/>
    </row>
    <row r="105" ht="15.75" customHeight="1">
      <c r="A105" s="89"/>
      <c r="B105" s="89"/>
      <c r="C105" s="89"/>
      <c r="D105" s="386"/>
      <c r="E105" s="176"/>
      <c r="F105" s="176"/>
      <c r="G105" s="176"/>
      <c r="H105" s="176"/>
      <c r="I105" s="176"/>
      <c r="J105" s="176"/>
      <c r="K105" s="176"/>
      <c r="L105" s="176"/>
      <c r="M105" s="176"/>
    </row>
    <row r="106" ht="15.75" customHeight="1">
      <c r="A106" s="89"/>
      <c r="B106" s="89"/>
      <c r="C106" s="89"/>
      <c r="D106" s="386"/>
      <c r="E106" s="176"/>
      <c r="F106" s="176"/>
      <c r="G106" s="176"/>
      <c r="H106" s="176"/>
      <c r="I106" s="176"/>
      <c r="J106" s="176"/>
      <c r="K106" s="176"/>
      <c r="L106" s="176"/>
      <c r="M106" s="176"/>
    </row>
    <row r="107" ht="15.75" customHeight="1">
      <c r="A107" s="89"/>
      <c r="B107" s="89"/>
      <c r="C107" s="89"/>
      <c r="D107" s="386"/>
      <c r="E107" s="176"/>
      <c r="F107" s="176"/>
      <c r="G107" s="176"/>
      <c r="H107" s="176"/>
      <c r="I107" s="176"/>
      <c r="J107" s="176"/>
      <c r="K107" s="176"/>
      <c r="L107" s="176"/>
      <c r="M107" s="176"/>
    </row>
    <row r="108" ht="15.75" customHeight="1">
      <c r="A108" s="89"/>
      <c r="B108" s="89"/>
      <c r="C108" s="89"/>
      <c r="D108" s="386"/>
      <c r="E108" s="176"/>
      <c r="F108" s="176"/>
      <c r="G108" s="176"/>
      <c r="H108" s="176"/>
      <c r="I108" s="176"/>
      <c r="J108" s="176"/>
      <c r="K108" s="176"/>
      <c r="L108" s="176"/>
      <c r="M108" s="176"/>
    </row>
    <row r="109" ht="15.75" customHeight="1">
      <c r="A109" s="89"/>
      <c r="B109" s="89"/>
      <c r="C109" s="89"/>
      <c r="D109" s="386"/>
      <c r="E109" s="176"/>
      <c r="F109" s="176"/>
      <c r="G109" s="176"/>
      <c r="H109" s="176"/>
      <c r="I109" s="176"/>
      <c r="J109" s="176"/>
      <c r="K109" s="176"/>
      <c r="L109" s="176"/>
      <c r="M109" s="176"/>
    </row>
    <row r="110" ht="15.75" customHeight="1">
      <c r="A110" s="89"/>
      <c r="B110" s="89"/>
      <c r="C110" s="89"/>
      <c r="D110" s="386"/>
      <c r="E110" s="176"/>
      <c r="F110" s="176"/>
      <c r="G110" s="176"/>
      <c r="H110" s="176"/>
      <c r="I110" s="176"/>
      <c r="J110" s="176"/>
      <c r="K110" s="176"/>
      <c r="L110" s="176"/>
      <c r="M110" s="176"/>
    </row>
    <row r="111" ht="15.75" customHeight="1">
      <c r="A111" s="89"/>
      <c r="B111" s="89"/>
      <c r="C111" s="89"/>
      <c r="D111" s="386"/>
      <c r="E111" s="176"/>
      <c r="F111" s="176"/>
      <c r="G111" s="176"/>
      <c r="H111" s="176"/>
      <c r="I111" s="176"/>
      <c r="J111" s="176"/>
      <c r="K111" s="176"/>
      <c r="L111" s="176"/>
      <c r="M111" s="176"/>
    </row>
    <row r="112" ht="15.75" customHeight="1">
      <c r="A112" s="89"/>
      <c r="B112" s="89"/>
      <c r="C112" s="89"/>
      <c r="D112" s="386"/>
      <c r="E112" s="176"/>
      <c r="F112" s="176"/>
      <c r="G112" s="176"/>
      <c r="H112" s="176"/>
      <c r="I112" s="176"/>
      <c r="J112" s="176"/>
      <c r="K112" s="176"/>
      <c r="L112" s="176"/>
      <c r="M112" s="176"/>
    </row>
    <row r="113" ht="15.75" customHeight="1">
      <c r="A113" s="89"/>
      <c r="B113" s="89"/>
      <c r="C113" s="89"/>
      <c r="D113" s="386"/>
      <c r="E113" s="176"/>
      <c r="F113" s="176"/>
      <c r="G113" s="176"/>
      <c r="H113" s="176"/>
      <c r="I113" s="176"/>
      <c r="J113" s="176"/>
      <c r="K113" s="176"/>
      <c r="L113" s="176"/>
      <c r="M113" s="176"/>
    </row>
    <row r="114" ht="15.75" customHeight="1">
      <c r="A114" s="89"/>
      <c r="B114" s="89"/>
      <c r="C114" s="89"/>
      <c r="D114" s="386"/>
      <c r="E114" s="176"/>
      <c r="F114" s="176"/>
      <c r="G114" s="176"/>
      <c r="H114" s="176"/>
      <c r="I114" s="176"/>
      <c r="J114" s="176"/>
      <c r="K114" s="176"/>
      <c r="L114" s="176"/>
      <c r="M114" s="176"/>
    </row>
    <row r="115" ht="15.75" customHeight="1">
      <c r="A115" s="89"/>
      <c r="B115" s="89"/>
      <c r="C115" s="89"/>
      <c r="D115" s="386"/>
      <c r="E115" s="176"/>
      <c r="F115" s="176"/>
      <c r="G115" s="176"/>
      <c r="H115" s="176"/>
      <c r="I115" s="176"/>
      <c r="J115" s="176"/>
      <c r="K115" s="176"/>
      <c r="L115" s="176"/>
      <c r="M115" s="176"/>
    </row>
    <row r="116" ht="15.75" customHeight="1">
      <c r="A116" s="89"/>
      <c r="B116" s="89"/>
      <c r="C116" s="89"/>
      <c r="D116" s="386"/>
      <c r="E116" s="176"/>
      <c r="F116" s="176"/>
      <c r="G116" s="176"/>
      <c r="H116" s="176"/>
      <c r="I116" s="176"/>
      <c r="J116" s="176"/>
      <c r="K116" s="176"/>
      <c r="L116" s="176"/>
      <c r="M116" s="176"/>
    </row>
    <row r="117" ht="15.75" customHeight="1">
      <c r="A117" s="89"/>
      <c r="B117" s="89"/>
      <c r="C117" s="89"/>
      <c r="D117" s="386"/>
      <c r="E117" s="176"/>
      <c r="F117" s="176"/>
      <c r="G117" s="176"/>
      <c r="H117" s="176"/>
      <c r="I117" s="176"/>
      <c r="J117" s="176"/>
      <c r="K117" s="176"/>
      <c r="L117" s="176"/>
      <c r="M117" s="176"/>
    </row>
    <row r="118" ht="15.75" customHeight="1">
      <c r="A118" s="89"/>
      <c r="B118" s="89"/>
      <c r="C118" s="89"/>
      <c r="D118" s="386"/>
      <c r="E118" s="176"/>
      <c r="F118" s="176"/>
      <c r="G118" s="176"/>
      <c r="H118" s="176"/>
      <c r="I118" s="176"/>
      <c r="J118" s="176"/>
      <c r="K118" s="176"/>
      <c r="L118" s="176"/>
      <c r="M118" s="176"/>
    </row>
    <row r="119" ht="15.75" customHeight="1">
      <c r="A119" s="89"/>
      <c r="B119" s="89"/>
      <c r="C119" s="89"/>
      <c r="D119" s="386"/>
      <c r="E119" s="176"/>
      <c r="F119" s="176"/>
      <c r="G119" s="176"/>
      <c r="H119" s="176"/>
      <c r="I119" s="176"/>
      <c r="J119" s="176"/>
      <c r="K119" s="176"/>
      <c r="L119" s="176"/>
      <c r="M119" s="176"/>
    </row>
    <row r="120" ht="15.75" customHeight="1">
      <c r="A120" s="89"/>
      <c r="B120" s="89"/>
      <c r="C120" s="89"/>
      <c r="D120" s="386"/>
      <c r="E120" s="176"/>
      <c r="F120" s="176"/>
      <c r="G120" s="176"/>
      <c r="H120" s="176"/>
      <c r="I120" s="176"/>
      <c r="J120" s="176"/>
      <c r="K120" s="176"/>
      <c r="L120" s="176"/>
      <c r="M120" s="176"/>
    </row>
    <row r="121" ht="15.75" customHeight="1">
      <c r="A121" s="89"/>
      <c r="B121" s="89"/>
      <c r="C121" s="89"/>
      <c r="D121" s="386"/>
      <c r="E121" s="176"/>
      <c r="F121" s="176"/>
      <c r="G121" s="176"/>
      <c r="H121" s="176"/>
      <c r="I121" s="176"/>
      <c r="J121" s="176"/>
      <c r="K121" s="176"/>
      <c r="L121" s="176"/>
      <c r="M121" s="176"/>
    </row>
    <row r="122" ht="15.75" customHeight="1">
      <c r="A122" s="89"/>
      <c r="B122" s="89"/>
      <c r="C122" s="89"/>
      <c r="D122" s="386"/>
      <c r="E122" s="176"/>
      <c r="F122" s="176"/>
      <c r="G122" s="176"/>
      <c r="H122" s="176"/>
      <c r="I122" s="176"/>
      <c r="J122" s="176"/>
      <c r="K122" s="176"/>
      <c r="L122" s="176"/>
      <c r="M122" s="176"/>
    </row>
    <row r="123" ht="15.75" customHeight="1">
      <c r="A123" s="89"/>
      <c r="B123" s="89"/>
      <c r="C123" s="89"/>
      <c r="D123" s="386"/>
      <c r="E123" s="176"/>
      <c r="F123" s="176"/>
      <c r="G123" s="176"/>
      <c r="H123" s="176"/>
      <c r="I123" s="176"/>
      <c r="J123" s="176"/>
      <c r="K123" s="176"/>
      <c r="L123" s="176"/>
      <c r="M123" s="176"/>
    </row>
    <row r="124" ht="15.75" customHeight="1">
      <c r="A124" s="89"/>
      <c r="B124" s="89"/>
      <c r="C124" s="89"/>
      <c r="D124" s="386"/>
      <c r="E124" s="176"/>
      <c r="F124" s="176"/>
      <c r="G124" s="176"/>
      <c r="H124" s="176"/>
      <c r="I124" s="176"/>
      <c r="J124" s="176"/>
      <c r="K124" s="176"/>
      <c r="L124" s="176"/>
      <c r="M124" s="176"/>
    </row>
    <row r="125" ht="15.75" customHeight="1">
      <c r="A125" s="89"/>
      <c r="B125" s="89"/>
      <c r="C125" s="89"/>
      <c r="D125" s="386"/>
      <c r="E125" s="176"/>
      <c r="F125" s="176"/>
      <c r="G125" s="176"/>
      <c r="H125" s="176"/>
      <c r="I125" s="176"/>
      <c r="J125" s="176"/>
      <c r="K125" s="176"/>
      <c r="L125" s="176"/>
      <c r="M125" s="176"/>
    </row>
    <row r="126" ht="15.75" customHeight="1">
      <c r="A126" s="89"/>
      <c r="B126" s="89"/>
      <c r="C126" s="89"/>
      <c r="D126" s="386"/>
      <c r="E126" s="176"/>
      <c r="F126" s="176"/>
      <c r="G126" s="176"/>
      <c r="H126" s="176"/>
      <c r="I126" s="176"/>
      <c r="J126" s="176"/>
      <c r="K126" s="176"/>
      <c r="L126" s="176"/>
      <c r="M126" s="176"/>
    </row>
    <row r="127" ht="15.75" customHeight="1">
      <c r="A127" s="89"/>
      <c r="B127" s="89"/>
      <c r="C127" s="89"/>
      <c r="D127" s="386"/>
      <c r="E127" s="176"/>
      <c r="F127" s="176"/>
      <c r="G127" s="176"/>
      <c r="H127" s="176"/>
      <c r="I127" s="176"/>
      <c r="J127" s="176"/>
      <c r="K127" s="176"/>
      <c r="L127" s="176"/>
      <c r="M127" s="176"/>
    </row>
    <row r="128" ht="15.75" customHeight="1">
      <c r="A128" s="89"/>
      <c r="B128" s="89"/>
      <c r="C128" s="89"/>
      <c r="D128" s="386"/>
      <c r="E128" s="176"/>
      <c r="F128" s="176"/>
      <c r="G128" s="176"/>
      <c r="H128" s="176"/>
      <c r="I128" s="176"/>
      <c r="J128" s="176"/>
      <c r="K128" s="176"/>
      <c r="L128" s="176"/>
      <c r="M128" s="176"/>
    </row>
    <row r="129" ht="15.75" customHeight="1">
      <c r="A129" s="89"/>
      <c r="B129" s="89"/>
      <c r="C129" s="89"/>
      <c r="D129" s="386"/>
      <c r="E129" s="176"/>
      <c r="F129" s="176"/>
      <c r="G129" s="176"/>
      <c r="H129" s="176"/>
      <c r="I129" s="176"/>
      <c r="J129" s="176"/>
      <c r="K129" s="176"/>
      <c r="L129" s="176"/>
      <c r="M129" s="176"/>
    </row>
    <row r="130" ht="15.75" customHeight="1">
      <c r="A130" s="89"/>
      <c r="B130" s="89"/>
      <c r="C130" s="89"/>
      <c r="D130" s="386"/>
      <c r="E130" s="176"/>
      <c r="F130" s="176"/>
      <c r="G130" s="176"/>
      <c r="H130" s="176"/>
      <c r="I130" s="176"/>
      <c r="J130" s="176"/>
      <c r="K130" s="176"/>
      <c r="L130" s="176"/>
      <c r="M130" s="176"/>
    </row>
    <row r="131" ht="15.75" customHeight="1">
      <c r="A131" s="89"/>
      <c r="B131" s="89"/>
      <c r="C131" s="89"/>
      <c r="D131" s="386"/>
      <c r="E131" s="176"/>
      <c r="F131" s="176"/>
      <c r="G131" s="176"/>
      <c r="H131" s="176"/>
      <c r="I131" s="176"/>
      <c r="J131" s="176"/>
      <c r="K131" s="176"/>
      <c r="L131" s="176"/>
      <c r="M131" s="176"/>
    </row>
    <row r="132" ht="15.75" customHeight="1">
      <c r="A132" s="89"/>
      <c r="B132" s="89"/>
      <c r="C132" s="89"/>
      <c r="D132" s="386"/>
      <c r="E132" s="176"/>
      <c r="F132" s="176"/>
      <c r="G132" s="176"/>
      <c r="H132" s="176"/>
      <c r="I132" s="176"/>
      <c r="J132" s="176"/>
      <c r="K132" s="176"/>
      <c r="L132" s="176"/>
      <c r="M132" s="176"/>
    </row>
    <row r="133" ht="15.75" customHeight="1">
      <c r="A133" s="89"/>
      <c r="B133" s="89"/>
      <c r="C133" s="89"/>
      <c r="D133" s="386"/>
      <c r="E133" s="176"/>
      <c r="F133" s="176"/>
      <c r="G133" s="176"/>
      <c r="H133" s="176"/>
      <c r="I133" s="176"/>
      <c r="J133" s="176"/>
      <c r="K133" s="176"/>
      <c r="L133" s="176"/>
      <c r="M133" s="176"/>
    </row>
    <row r="134" ht="15.75" customHeight="1">
      <c r="A134" s="89"/>
      <c r="B134" s="89"/>
      <c r="C134" s="89"/>
      <c r="D134" s="386"/>
      <c r="E134" s="176"/>
      <c r="F134" s="176"/>
      <c r="G134" s="176"/>
      <c r="H134" s="176"/>
      <c r="I134" s="176"/>
      <c r="J134" s="176"/>
      <c r="K134" s="176"/>
      <c r="L134" s="176"/>
      <c r="M134" s="176"/>
    </row>
    <row r="135" ht="15.75" customHeight="1">
      <c r="A135" s="89"/>
      <c r="B135" s="89"/>
      <c r="C135" s="89"/>
      <c r="D135" s="386"/>
      <c r="E135" s="176"/>
      <c r="F135" s="176"/>
      <c r="G135" s="176"/>
      <c r="H135" s="176"/>
      <c r="I135" s="176"/>
      <c r="J135" s="176"/>
      <c r="K135" s="176"/>
      <c r="L135" s="176"/>
      <c r="M135" s="176"/>
    </row>
    <row r="136" ht="15.75" customHeight="1">
      <c r="A136" s="89"/>
      <c r="B136" s="89"/>
      <c r="C136" s="89"/>
      <c r="D136" s="386"/>
      <c r="E136" s="176"/>
      <c r="F136" s="176"/>
      <c r="G136" s="176"/>
      <c r="H136" s="176"/>
      <c r="I136" s="176"/>
      <c r="J136" s="176"/>
      <c r="K136" s="176"/>
      <c r="L136" s="176"/>
      <c r="M136" s="176"/>
    </row>
    <row r="137" ht="15.75" customHeight="1">
      <c r="A137" s="89"/>
      <c r="B137" s="89"/>
      <c r="C137" s="89"/>
      <c r="D137" s="386"/>
      <c r="E137" s="176"/>
      <c r="F137" s="176"/>
      <c r="G137" s="176"/>
      <c r="H137" s="176"/>
      <c r="I137" s="176"/>
      <c r="J137" s="176"/>
      <c r="K137" s="176"/>
      <c r="L137" s="176"/>
      <c r="M137" s="176"/>
    </row>
    <row r="138" ht="15.75" customHeight="1">
      <c r="A138" s="89"/>
      <c r="B138" s="89"/>
      <c r="C138" s="89"/>
      <c r="D138" s="386"/>
      <c r="E138" s="176"/>
      <c r="F138" s="176"/>
      <c r="G138" s="176"/>
      <c r="H138" s="176"/>
      <c r="I138" s="176"/>
      <c r="J138" s="176"/>
      <c r="K138" s="176"/>
      <c r="L138" s="176"/>
      <c r="M138" s="176"/>
    </row>
    <row r="139" ht="15.75" customHeight="1">
      <c r="A139" s="89"/>
      <c r="B139" s="89"/>
      <c r="C139" s="89"/>
      <c r="D139" s="386"/>
      <c r="E139" s="176"/>
      <c r="F139" s="176"/>
      <c r="G139" s="176"/>
      <c r="H139" s="176"/>
      <c r="I139" s="176"/>
      <c r="J139" s="176"/>
      <c r="K139" s="176"/>
      <c r="L139" s="176"/>
      <c r="M139" s="176"/>
    </row>
    <row r="140" ht="15.75" customHeight="1">
      <c r="A140" s="89"/>
      <c r="B140" s="89"/>
      <c r="C140" s="89"/>
      <c r="D140" s="386"/>
      <c r="E140" s="176"/>
      <c r="F140" s="176"/>
      <c r="G140" s="176"/>
      <c r="H140" s="176"/>
      <c r="I140" s="176"/>
      <c r="J140" s="176"/>
      <c r="K140" s="176"/>
      <c r="L140" s="176"/>
      <c r="M140" s="176"/>
    </row>
    <row r="141" ht="15.75" customHeight="1">
      <c r="A141" s="89"/>
      <c r="B141" s="89"/>
      <c r="C141" s="89"/>
      <c r="D141" s="386"/>
      <c r="E141" s="176"/>
      <c r="F141" s="176"/>
      <c r="G141" s="176"/>
      <c r="H141" s="176"/>
      <c r="I141" s="176"/>
      <c r="J141" s="176"/>
      <c r="K141" s="176"/>
      <c r="L141" s="176"/>
      <c r="M141" s="176"/>
    </row>
    <row r="142" ht="15.75" customHeight="1">
      <c r="A142" s="89"/>
      <c r="B142" s="89"/>
      <c r="C142" s="89"/>
      <c r="D142" s="386"/>
      <c r="E142" s="176"/>
      <c r="F142" s="176"/>
      <c r="G142" s="176"/>
      <c r="H142" s="176"/>
      <c r="I142" s="176"/>
      <c r="J142" s="176"/>
      <c r="K142" s="176"/>
      <c r="L142" s="176"/>
      <c r="M142" s="176"/>
    </row>
    <row r="143" ht="15.75" customHeight="1">
      <c r="A143" s="89"/>
      <c r="B143" s="89"/>
      <c r="C143" s="89"/>
      <c r="D143" s="386"/>
      <c r="E143" s="176"/>
      <c r="F143" s="176"/>
      <c r="G143" s="176"/>
      <c r="H143" s="176"/>
      <c r="I143" s="176"/>
      <c r="J143" s="176"/>
      <c r="K143" s="176"/>
      <c r="L143" s="176"/>
      <c r="M143" s="176"/>
    </row>
    <row r="144" ht="15.75" customHeight="1">
      <c r="A144" s="89"/>
      <c r="B144" s="89"/>
      <c r="C144" s="89"/>
      <c r="D144" s="386"/>
      <c r="E144" s="176"/>
      <c r="F144" s="176"/>
      <c r="G144" s="176"/>
      <c r="H144" s="176"/>
      <c r="I144" s="176"/>
      <c r="J144" s="176"/>
      <c r="K144" s="176"/>
      <c r="L144" s="176"/>
      <c r="M144" s="176"/>
    </row>
    <row r="145" ht="15.75" customHeight="1">
      <c r="A145" s="89"/>
      <c r="B145" s="89"/>
      <c r="C145" s="89"/>
      <c r="D145" s="386"/>
      <c r="E145" s="176"/>
      <c r="F145" s="176"/>
      <c r="G145" s="176"/>
      <c r="H145" s="176"/>
      <c r="I145" s="176"/>
      <c r="J145" s="176"/>
      <c r="K145" s="176"/>
      <c r="L145" s="176"/>
      <c r="M145" s="176"/>
    </row>
    <row r="146" ht="15.75" customHeight="1">
      <c r="A146" s="89"/>
      <c r="B146" s="89"/>
      <c r="C146" s="89"/>
      <c r="D146" s="386"/>
      <c r="E146" s="176"/>
      <c r="F146" s="176"/>
      <c r="G146" s="176"/>
      <c r="H146" s="176"/>
      <c r="I146" s="176"/>
      <c r="J146" s="176"/>
      <c r="K146" s="176"/>
      <c r="L146" s="176"/>
      <c r="M146" s="176"/>
    </row>
    <row r="147" ht="15.75" customHeight="1">
      <c r="A147" s="89"/>
      <c r="B147" s="89"/>
      <c r="C147" s="89"/>
      <c r="D147" s="386"/>
      <c r="E147" s="176"/>
      <c r="F147" s="176"/>
      <c r="G147" s="176"/>
      <c r="H147" s="176"/>
      <c r="I147" s="176"/>
      <c r="J147" s="176"/>
      <c r="K147" s="176"/>
      <c r="L147" s="176"/>
      <c r="M147" s="176"/>
    </row>
    <row r="148" ht="15.75" customHeight="1">
      <c r="A148" s="89"/>
      <c r="B148" s="89"/>
      <c r="C148" s="89"/>
      <c r="D148" s="386"/>
      <c r="E148" s="176"/>
      <c r="F148" s="176"/>
      <c r="G148" s="176"/>
      <c r="H148" s="176"/>
      <c r="I148" s="176"/>
      <c r="J148" s="176"/>
      <c r="K148" s="176"/>
      <c r="L148" s="176"/>
      <c r="M148" s="176"/>
    </row>
    <row r="149" ht="15.75" customHeight="1">
      <c r="A149" s="89"/>
      <c r="B149" s="89"/>
      <c r="C149" s="89"/>
      <c r="D149" s="386"/>
      <c r="E149" s="176"/>
      <c r="F149" s="176"/>
      <c r="G149" s="176"/>
      <c r="H149" s="176"/>
      <c r="I149" s="176"/>
      <c r="J149" s="176"/>
      <c r="K149" s="176"/>
      <c r="L149" s="176"/>
      <c r="M149" s="176"/>
    </row>
    <row r="150" ht="15.75" customHeight="1">
      <c r="A150" s="89"/>
      <c r="B150" s="89"/>
      <c r="C150" s="89"/>
      <c r="D150" s="386"/>
      <c r="E150" s="176"/>
      <c r="F150" s="176"/>
      <c r="G150" s="176"/>
      <c r="H150" s="176"/>
      <c r="I150" s="176"/>
      <c r="J150" s="176"/>
      <c r="K150" s="176"/>
      <c r="L150" s="176"/>
      <c r="M150" s="176"/>
    </row>
    <row r="151" ht="15.75" customHeight="1">
      <c r="A151" s="89"/>
      <c r="B151" s="89"/>
      <c r="C151" s="89"/>
      <c r="D151" s="386"/>
      <c r="E151" s="176"/>
      <c r="F151" s="176"/>
      <c r="G151" s="176"/>
      <c r="H151" s="176"/>
      <c r="I151" s="176"/>
      <c r="J151" s="176"/>
      <c r="K151" s="176"/>
      <c r="L151" s="176"/>
      <c r="M151" s="176"/>
    </row>
    <row r="152" ht="15.75" customHeight="1">
      <c r="A152" s="89"/>
      <c r="B152" s="89"/>
      <c r="C152" s="89"/>
      <c r="D152" s="386"/>
      <c r="E152" s="176"/>
      <c r="F152" s="176"/>
      <c r="G152" s="176"/>
      <c r="H152" s="176"/>
      <c r="I152" s="176"/>
      <c r="J152" s="176"/>
      <c r="K152" s="176"/>
      <c r="L152" s="176"/>
      <c r="M152" s="176"/>
    </row>
    <row r="153" ht="15.75" customHeight="1">
      <c r="A153" s="89"/>
      <c r="B153" s="89"/>
      <c r="C153" s="89"/>
      <c r="D153" s="386"/>
      <c r="E153" s="176"/>
      <c r="F153" s="176"/>
      <c r="G153" s="176"/>
      <c r="H153" s="176"/>
      <c r="I153" s="176"/>
      <c r="J153" s="176"/>
      <c r="K153" s="176"/>
      <c r="L153" s="176"/>
      <c r="M153" s="176"/>
    </row>
    <row r="154" ht="15.75" customHeight="1">
      <c r="A154" s="89"/>
      <c r="B154" s="89"/>
      <c r="C154" s="89"/>
      <c r="D154" s="386"/>
      <c r="E154" s="176"/>
      <c r="F154" s="176"/>
      <c r="G154" s="176"/>
      <c r="H154" s="176"/>
      <c r="I154" s="176"/>
      <c r="J154" s="176"/>
      <c r="K154" s="176"/>
      <c r="L154" s="176"/>
      <c r="M154" s="176"/>
    </row>
    <row r="155" ht="15.75" customHeight="1">
      <c r="A155" s="89"/>
      <c r="B155" s="89"/>
      <c r="C155" s="89"/>
      <c r="D155" s="386"/>
      <c r="E155" s="176"/>
      <c r="F155" s="176"/>
      <c r="G155" s="176"/>
      <c r="H155" s="176"/>
      <c r="I155" s="176"/>
      <c r="J155" s="176"/>
      <c r="K155" s="176"/>
      <c r="L155" s="176"/>
      <c r="M155" s="176"/>
    </row>
    <row r="156" ht="15.75" customHeight="1">
      <c r="A156" s="89"/>
      <c r="B156" s="89"/>
      <c r="C156" s="89"/>
      <c r="D156" s="386"/>
      <c r="E156" s="176"/>
      <c r="F156" s="176"/>
      <c r="G156" s="176"/>
      <c r="H156" s="176"/>
      <c r="I156" s="176"/>
      <c r="J156" s="176"/>
      <c r="K156" s="176"/>
      <c r="L156" s="176"/>
      <c r="M156" s="176"/>
    </row>
    <row r="157" ht="15.75" customHeight="1">
      <c r="A157" s="89"/>
      <c r="B157" s="89"/>
      <c r="C157" s="89"/>
      <c r="D157" s="386"/>
      <c r="E157" s="176"/>
      <c r="F157" s="176"/>
      <c r="G157" s="176"/>
      <c r="H157" s="176"/>
      <c r="I157" s="176"/>
      <c r="J157" s="176"/>
      <c r="K157" s="176"/>
      <c r="L157" s="176"/>
      <c r="M157" s="176"/>
    </row>
    <row r="158" ht="15.75" customHeight="1">
      <c r="A158" s="89"/>
      <c r="B158" s="89"/>
      <c r="C158" s="89"/>
      <c r="D158" s="386"/>
      <c r="E158" s="176"/>
      <c r="F158" s="176"/>
      <c r="G158" s="176"/>
      <c r="H158" s="176"/>
      <c r="I158" s="176"/>
      <c r="J158" s="176"/>
      <c r="K158" s="176"/>
      <c r="L158" s="176"/>
      <c r="M158" s="176"/>
    </row>
    <row r="159" ht="15.75" customHeight="1">
      <c r="A159" s="89"/>
      <c r="B159" s="89"/>
      <c r="C159" s="89"/>
      <c r="D159" s="386"/>
      <c r="E159" s="176"/>
      <c r="F159" s="176"/>
      <c r="G159" s="176"/>
      <c r="H159" s="176"/>
      <c r="I159" s="176"/>
      <c r="J159" s="176"/>
      <c r="K159" s="176"/>
      <c r="L159" s="176"/>
      <c r="M159" s="176"/>
    </row>
    <row r="160" ht="15.75" customHeight="1">
      <c r="A160" s="89"/>
      <c r="B160" s="89"/>
      <c r="C160" s="89"/>
      <c r="D160" s="386"/>
      <c r="E160" s="176"/>
      <c r="F160" s="176"/>
      <c r="G160" s="176"/>
      <c r="H160" s="176"/>
      <c r="I160" s="176"/>
      <c r="J160" s="176"/>
      <c r="K160" s="176"/>
      <c r="L160" s="176"/>
      <c r="M160" s="176"/>
    </row>
    <row r="161" ht="15.75" customHeight="1">
      <c r="A161" s="89"/>
      <c r="B161" s="89"/>
      <c r="C161" s="89"/>
      <c r="D161" s="386"/>
      <c r="E161" s="176"/>
      <c r="F161" s="176"/>
      <c r="G161" s="176"/>
      <c r="H161" s="176"/>
      <c r="I161" s="176"/>
      <c r="J161" s="176"/>
      <c r="K161" s="176"/>
      <c r="L161" s="176"/>
      <c r="M161" s="176"/>
    </row>
    <row r="162" ht="15.75" customHeight="1">
      <c r="A162" s="89"/>
      <c r="B162" s="89"/>
      <c r="C162" s="89"/>
      <c r="D162" s="386"/>
      <c r="E162" s="176"/>
      <c r="F162" s="176"/>
      <c r="G162" s="176"/>
      <c r="H162" s="176"/>
      <c r="I162" s="176"/>
      <c r="J162" s="176"/>
      <c r="K162" s="176"/>
      <c r="L162" s="176"/>
      <c r="M162" s="176"/>
    </row>
    <row r="163" ht="15.75" customHeight="1">
      <c r="A163" s="89"/>
      <c r="B163" s="89"/>
      <c r="C163" s="89"/>
      <c r="D163" s="386"/>
      <c r="E163" s="176"/>
      <c r="F163" s="176"/>
      <c r="G163" s="176"/>
      <c r="H163" s="176"/>
      <c r="I163" s="176"/>
      <c r="J163" s="176"/>
      <c r="K163" s="176"/>
      <c r="L163" s="176"/>
      <c r="M163" s="176"/>
    </row>
    <row r="164" ht="15.75" customHeight="1">
      <c r="A164" s="89"/>
      <c r="B164" s="89"/>
      <c r="C164" s="89"/>
      <c r="D164" s="386"/>
      <c r="E164" s="176"/>
      <c r="F164" s="176"/>
      <c r="G164" s="176"/>
      <c r="H164" s="176"/>
      <c r="I164" s="176"/>
      <c r="J164" s="176"/>
      <c r="K164" s="176"/>
      <c r="L164" s="176"/>
      <c r="M164" s="176"/>
    </row>
    <row r="165" ht="15.75" customHeight="1">
      <c r="A165" s="89"/>
      <c r="B165" s="89"/>
      <c r="C165" s="89"/>
      <c r="D165" s="386"/>
      <c r="E165" s="176"/>
      <c r="F165" s="176"/>
      <c r="G165" s="176"/>
      <c r="H165" s="176"/>
      <c r="I165" s="176"/>
      <c r="J165" s="176"/>
      <c r="K165" s="176"/>
      <c r="L165" s="176"/>
      <c r="M165" s="176"/>
    </row>
    <row r="166" ht="15.75" customHeight="1">
      <c r="A166" s="89"/>
      <c r="B166" s="89"/>
      <c r="C166" s="89"/>
      <c r="D166" s="386"/>
      <c r="E166" s="176"/>
      <c r="F166" s="176"/>
      <c r="G166" s="176"/>
      <c r="H166" s="176"/>
      <c r="I166" s="176"/>
      <c r="J166" s="176"/>
      <c r="K166" s="176"/>
      <c r="L166" s="176"/>
      <c r="M166" s="176"/>
    </row>
    <row r="167" ht="15.75" customHeight="1">
      <c r="A167" s="89"/>
      <c r="B167" s="89"/>
      <c r="C167" s="89"/>
      <c r="D167" s="386"/>
      <c r="E167" s="176"/>
      <c r="F167" s="176"/>
      <c r="G167" s="176"/>
      <c r="H167" s="176"/>
      <c r="I167" s="176"/>
      <c r="J167" s="176"/>
      <c r="K167" s="176"/>
      <c r="L167" s="176"/>
      <c r="M167" s="176"/>
    </row>
    <row r="168" ht="15.75" customHeight="1">
      <c r="A168" s="89"/>
      <c r="B168" s="89"/>
      <c r="C168" s="89"/>
      <c r="D168" s="386"/>
      <c r="E168" s="176"/>
      <c r="F168" s="176"/>
      <c r="G168" s="176"/>
      <c r="H168" s="176"/>
      <c r="I168" s="176"/>
      <c r="J168" s="176"/>
      <c r="K168" s="176"/>
      <c r="L168" s="176"/>
      <c r="M168" s="176"/>
    </row>
    <row r="169" ht="15.75" customHeight="1">
      <c r="A169" s="89"/>
      <c r="B169" s="89"/>
      <c r="C169" s="89"/>
      <c r="D169" s="386"/>
      <c r="E169" s="176"/>
      <c r="F169" s="176"/>
      <c r="G169" s="176"/>
      <c r="H169" s="176"/>
      <c r="I169" s="176"/>
      <c r="J169" s="176"/>
      <c r="K169" s="176"/>
      <c r="L169" s="176"/>
      <c r="M169" s="176"/>
    </row>
    <row r="170" ht="15.75" customHeight="1">
      <c r="A170" s="89"/>
      <c r="B170" s="89"/>
      <c r="C170" s="89"/>
      <c r="D170" s="386"/>
      <c r="E170" s="176"/>
      <c r="F170" s="176"/>
      <c r="G170" s="176"/>
      <c r="H170" s="176"/>
      <c r="I170" s="176"/>
      <c r="J170" s="176"/>
      <c r="K170" s="176"/>
      <c r="L170" s="176"/>
      <c r="M170" s="176"/>
    </row>
    <row r="171" ht="15.75" customHeight="1">
      <c r="A171" s="89"/>
      <c r="B171" s="89"/>
      <c r="C171" s="89"/>
      <c r="D171" s="386"/>
      <c r="E171" s="176"/>
      <c r="F171" s="176"/>
      <c r="G171" s="176"/>
      <c r="H171" s="176"/>
      <c r="I171" s="176"/>
      <c r="J171" s="176"/>
      <c r="K171" s="176"/>
      <c r="L171" s="176"/>
      <c r="M171" s="176"/>
    </row>
    <row r="172" ht="15.75" customHeight="1">
      <c r="A172" s="89"/>
      <c r="B172" s="89"/>
      <c r="C172" s="89"/>
      <c r="D172" s="386"/>
      <c r="E172" s="176"/>
      <c r="F172" s="176"/>
      <c r="G172" s="176"/>
      <c r="H172" s="176"/>
      <c r="I172" s="176"/>
      <c r="J172" s="176"/>
      <c r="K172" s="176"/>
      <c r="L172" s="176"/>
      <c r="M172" s="176"/>
    </row>
    <row r="173" ht="15.75" customHeight="1">
      <c r="A173" s="89"/>
      <c r="B173" s="89"/>
      <c r="C173" s="89"/>
      <c r="D173" s="386"/>
      <c r="E173" s="176"/>
      <c r="F173" s="176"/>
      <c r="G173" s="176"/>
      <c r="H173" s="176"/>
      <c r="I173" s="176"/>
      <c r="J173" s="176"/>
      <c r="K173" s="176"/>
      <c r="L173" s="176"/>
      <c r="M173" s="176"/>
    </row>
    <row r="174" ht="15.75" customHeight="1">
      <c r="A174" s="89"/>
      <c r="B174" s="89"/>
      <c r="C174" s="89"/>
      <c r="D174" s="386"/>
      <c r="E174" s="176"/>
      <c r="F174" s="176"/>
      <c r="G174" s="176"/>
      <c r="H174" s="176"/>
      <c r="I174" s="176"/>
      <c r="J174" s="176"/>
      <c r="K174" s="176"/>
      <c r="L174" s="176"/>
      <c r="M174" s="176"/>
    </row>
    <row r="175" ht="15.75" customHeight="1">
      <c r="A175" s="89"/>
      <c r="B175" s="89"/>
      <c r="C175" s="89"/>
      <c r="D175" s="386"/>
      <c r="E175" s="176"/>
      <c r="F175" s="176"/>
      <c r="G175" s="176"/>
      <c r="H175" s="176"/>
      <c r="I175" s="176"/>
      <c r="J175" s="176"/>
      <c r="K175" s="176"/>
      <c r="L175" s="176"/>
      <c r="M175" s="176"/>
    </row>
    <row r="176" ht="15.75" customHeight="1">
      <c r="A176" s="89"/>
      <c r="B176" s="89"/>
      <c r="C176" s="89"/>
      <c r="D176" s="386"/>
      <c r="E176" s="176"/>
      <c r="F176" s="176"/>
      <c r="G176" s="176"/>
      <c r="H176" s="176"/>
      <c r="I176" s="176"/>
      <c r="J176" s="176"/>
      <c r="K176" s="176"/>
      <c r="L176" s="176"/>
      <c r="M176" s="176"/>
    </row>
    <row r="177" ht="15.75" customHeight="1">
      <c r="A177" s="89"/>
      <c r="B177" s="89"/>
      <c r="C177" s="89"/>
      <c r="D177" s="386"/>
      <c r="E177" s="176"/>
      <c r="F177" s="176"/>
      <c r="G177" s="176"/>
      <c r="H177" s="176"/>
      <c r="I177" s="176"/>
      <c r="J177" s="176"/>
      <c r="K177" s="176"/>
      <c r="L177" s="176"/>
      <c r="M177" s="176"/>
    </row>
    <row r="178" ht="15.75" customHeight="1">
      <c r="A178" s="89"/>
      <c r="B178" s="89"/>
      <c r="C178" s="89"/>
      <c r="D178" s="386"/>
      <c r="E178" s="176"/>
      <c r="F178" s="176"/>
      <c r="G178" s="176"/>
      <c r="H178" s="176"/>
      <c r="I178" s="176"/>
      <c r="J178" s="176"/>
      <c r="K178" s="176"/>
      <c r="L178" s="176"/>
      <c r="M178" s="176"/>
    </row>
    <row r="179" ht="15.75" customHeight="1">
      <c r="A179" s="89"/>
      <c r="B179" s="89"/>
      <c r="C179" s="89"/>
      <c r="D179" s="386"/>
      <c r="E179" s="176"/>
      <c r="F179" s="176"/>
      <c r="G179" s="176"/>
      <c r="H179" s="176"/>
      <c r="I179" s="176"/>
      <c r="J179" s="176"/>
      <c r="K179" s="176"/>
      <c r="L179" s="176"/>
      <c r="M179" s="176"/>
    </row>
    <row r="180" ht="15.75" customHeight="1">
      <c r="A180" s="89"/>
      <c r="B180" s="89"/>
      <c r="C180" s="89"/>
      <c r="D180" s="386"/>
      <c r="E180" s="176"/>
      <c r="F180" s="176"/>
      <c r="G180" s="176"/>
      <c r="H180" s="176"/>
      <c r="I180" s="176"/>
      <c r="J180" s="176"/>
      <c r="K180" s="176"/>
      <c r="L180" s="176"/>
      <c r="M180" s="176"/>
    </row>
    <row r="181" ht="15.75" customHeight="1">
      <c r="A181" s="89"/>
      <c r="B181" s="89"/>
      <c r="C181" s="89"/>
      <c r="D181" s="386"/>
      <c r="E181" s="176"/>
      <c r="F181" s="176"/>
      <c r="G181" s="176"/>
      <c r="H181" s="176"/>
      <c r="I181" s="176"/>
      <c r="J181" s="176"/>
      <c r="K181" s="176"/>
      <c r="L181" s="176"/>
      <c r="M181" s="176"/>
    </row>
    <row r="182" ht="15.75" customHeight="1">
      <c r="A182" s="89"/>
      <c r="B182" s="89"/>
      <c r="C182" s="89"/>
      <c r="D182" s="386"/>
      <c r="E182" s="176"/>
      <c r="F182" s="176"/>
      <c r="G182" s="176"/>
      <c r="H182" s="176"/>
      <c r="I182" s="176"/>
      <c r="J182" s="176"/>
      <c r="K182" s="176"/>
      <c r="L182" s="176"/>
      <c r="M182" s="176"/>
    </row>
    <row r="183" ht="15.75" customHeight="1">
      <c r="A183" s="89"/>
      <c r="B183" s="89"/>
      <c r="C183" s="89"/>
      <c r="D183" s="386"/>
      <c r="E183" s="176"/>
      <c r="F183" s="176"/>
      <c r="G183" s="176"/>
      <c r="H183" s="176"/>
      <c r="I183" s="176"/>
      <c r="J183" s="176"/>
      <c r="K183" s="176"/>
      <c r="L183" s="176"/>
      <c r="M183" s="176"/>
    </row>
    <row r="184" ht="15.75" customHeight="1">
      <c r="A184" s="89"/>
      <c r="B184" s="89"/>
      <c r="C184" s="89"/>
      <c r="D184" s="386"/>
      <c r="E184" s="176"/>
      <c r="F184" s="176"/>
      <c r="G184" s="176"/>
      <c r="H184" s="176"/>
      <c r="I184" s="176"/>
      <c r="J184" s="176"/>
      <c r="K184" s="176"/>
      <c r="L184" s="176"/>
      <c r="M184" s="176"/>
    </row>
    <row r="185" ht="15.75" customHeight="1">
      <c r="A185" s="89"/>
      <c r="B185" s="89"/>
      <c r="C185" s="89"/>
      <c r="D185" s="386"/>
      <c r="E185" s="176"/>
      <c r="F185" s="176"/>
      <c r="G185" s="176"/>
      <c r="H185" s="176"/>
      <c r="I185" s="176"/>
      <c r="J185" s="176"/>
      <c r="K185" s="176"/>
      <c r="L185" s="176"/>
      <c r="M185" s="176"/>
    </row>
    <row r="186" ht="15.75" customHeight="1">
      <c r="A186" s="89"/>
      <c r="B186" s="89"/>
      <c r="C186" s="89"/>
      <c r="D186" s="386"/>
      <c r="E186" s="176"/>
      <c r="F186" s="176"/>
      <c r="G186" s="176"/>
      <c r="H186" s="176"/>
      <c r="I186" s="176"/>
      <c r="J186" s="176"/>
      <c r="K186" s="176"/>
      <c r="L186" s="176"/>
      <c r="M186" s="176"/>
    </row>
    <row r="187" ht="15.75" customHeight="1">
      <c r="A187" s="89"/>
      <c r="B187" s="89"/>
      <c r="C187" s="89"/>
      <c r="D187" s="386"/>
      <c r="E187" s="176"/>
      <c r="F187" s="176"/>
      <c r="G187" s="176"/>
      <c r="H187" s="176"/>
      <c r="I187" s="176"/>
      <c r="J187" s="176"/>
      <c r="K187" s="176"/>
      <c r="L187" s="176"/>
      <c r="M187" s="176"/>
    </row>
    <row r="188" ht="15.75" customHeight="1">
      <c r="A188" s="89"/>
      <c r="B188" s="89"/>
      <c r="C188" s="89"/>
      <c r="D188" s="386"/>
      <c r="E188" s="176"/>
      <c r="F188" s="176"/>
      <c r="G188" s="176"/>
      <c r="H188" s="176"/>
      <c r="I188" s="176"/>
      <c r="J188" s="176"/>
      <c r="K188" s="176"/>
      <c r="L188" s="176"/>
      <c r="M188" s="176"/>
    </row>
    <row r="189" ht="15.75" customHeight="1">
      <c r="A189" s="89"/>
      <c r="B189" s="89"/>
      <c r="C189" s="89"/>
      <c r="D189" s="386"/>
      <c r="E189" s="176"/>
      <c r="F189" s="176"/>
      <c r="G189" s="176"/>
      <c r="H189" s="176"/>
      <c r="I189" s="176"/>
      <c r="J189" s="176"/>
      <c r="K189" s="176"/>
      <c r="L189" s="176"/>
      <c r="M189" s="176"/>
    </row>
    <row r="190" ht="15.75" customHeight="1">
      <c r="A190" s="89"/>
      <c r="B190" s="89"/>
      <c r="C190" s="89"/>
      <c r="D190" s="386"/>
      <c r="E190" s="176"/>
      <c r="F190" s="176"/>
      <c r="G190" s="176"/>
      <c r="H190" s="176"/>
      <c r="I190" s="176"/>
      <c r="J190" s="176"/>
      <c r="K190" s="176"/>
      <c r="L190" s="176"/>
      <c r="M190" s="176"/>
    </row>
    <row r="191" ht="15.75" customHeight="1">
      <c r="A191" s="89"/>
      <c r="B191" s="89"/>
      <c r="C191" s="89"/>
      <c r="D191" s="386"/>
      <c r="E191" s="176"/>
      <c r="F191" s="176"/>
      <c r="G191" s="176"/>
      <c r="H191" s="176"/>
      <c r="I191" s="176"/>
      <c r="J191" s="176"/>
      <c r="K191" s="176"/>
      <c r="L191" s="176"/>
      <c r="M191" s="176"/>
    </row>
    <row r="192" ht="15.75" customHeight="1">
      <c r="A192" s="89"/>
      <c r="B192" s="89"/>
      <c r="C192" s="89"/>
      <c r="D192" s="386"/>
      <c r="E192" s="176"/>
      <c r="F192" s="176"/>
      <c r="G192" s="176"/>
      <c r="H192" s="176"/>
      <c r="I192" s="176"/>
      <c r="J192" s="176"/>
      <c r="K192" s="176"/>
      <c r="L192" s="176"/>
      <c r="M192" s="176"/>
    </row>
    <row r="193" ht="15.75" customHeight="1">
      <c r="A193" s="89"/>
      <c r="B193" s="89"/>
      <c r="C193" s="89"/>
      <c r="D193" s="386"/>
      <c r="E193" s="176"/>
      <c r="F193" s="176"/>
      <c r="G193" s="176"/>
      <c r="H193" s="176"/>
      <c r="I193" s="176"/>
      <c r="J193" s="176"/>
      <c r="K193" s="176"/>
      <c r="L193" s="176"/>
      <c r="M193" s="176"/>
    </row>
    <row r="194" ht="15.75" customHeight="1">
      <c r="A194" s="89"/>
      <c r="B194" s="89"/>
      <c r="C194" s="89"/>
      <c r="D194" s="386"/>
      <c r="E194" s="176"/>
      <c r="F194" s="176"/>
      <c r="G194" s="176"/>
      <c r="H194" s="176"/>
      <c r="I194" s="176"/>
      <c r="J194" s="176"/>
      <c r="K194" s="176"/>
      <c r="L194" s="176"/>
      <c r="M194" s="176"/>
    </row>
    <row r="195" ht="15.75" customHeight="1">
      <c r="A195" s="89"/>
      <c r="B195" s="89"/>
      <c r="C195" s="89"/>
      <c r="D195" s="386"/>
      <c r="E195" s="176"/>
      <c r="F195" s="176"/>
      <c r="G195" s="176"/>
      <c r="H195" s="176"/>
      <c r="I195" s="176"/>
      <c r="J195" s="176"/>
      <c r="K195" s="176"/>
      <c r="L195" s="176"/>
      <c r="M195" s="176"/>
    </row>
    <row r="196" ht="15.75" customHeight="1">
      <c r="A196" s="89"/>
      <c r="B196" s="89"/>
      <c r="C196" s="89"/>
      <c r="D196" s="386"/>
      <c r="E196" s="176"/>
      <c r="F196" s="176"/>
      <c r="G196" s="176"/>
      <c r="H196" s="176"/>
      <c r="I196" s="176"/>
      <c r="J196" s="176"/>
      <c r="K196" s="176"/>
      <c r="L196" s="176"/>
      <c r="M196" s="176"/>
    </row>
    <row r="197" ht="15.75" customHeight="1">
      <c r="A197" s="89"/>
      <c r="B197" s="89"/>
      <c r="C197" s="89"/>
      <c r="D197" s="386"/>
      <c r="E197" s="176"/>
      <c r="F197" s="176"/>
      <c r="G197" s="176"/>
      <c r="H197" s="176"/>
      <c r="I197" s="176"/>
      <c r="J197" s="176"/>
      <c r="K197" s="176"/>
      <c r="L197" s="176"/>
      <c r="M197" s="176"/>
    </row>
    <row r="198" ht="15.75" customHeight="1">
      <c r="A198" s="89"/>
      <c r="B198" s="89"/>
      <c r="C198" s="89"/>
      <c r="D198" s="386"/>
      <c r="E198" s="176"/>
      <c r="F198" s="176"/>
      <c r="G198" s="176"/>
      <c r="H198" s="176"/>
      <c r="I198" s="176"/>
      <c r="J198" s="176"/>
      <c r="K198" s="176"/>
      <c r="L198" s="176"/>
      <c r="M198" s="176"/>
    </row>
    <row r="199" ht="15.75" customHeight="1">
      <c r="A199" s="89"/>
      <c r="B199" s="89"/>
      <c r="C199" s="89"/>
      <c r="D199" s="386"/>
      <c r="E199" s="176"/>
      <c r="F199" s="176"/>
      <c r="G199" s="176"/>
      <c r="H199" s="176"/>
      <c r="I199" s="176"/>
      <c r="J199" s="176"/>
      <c r="K199" s="176"/>
      <c r="L199" s="176"/>
      <c r="M199" s="176"/>
    </row>
    <row r="200" ht="15.75" customHeight="1">
      <c r="A200" s="89"/>
      <c r="B200" s="89"/>
      <c r="C200" s="89"/>
      <c r="D200" s="386"/>
      <c r="E200" s="176"/>
      <c r="F200" s="176"/>
      <c r="G200" s="176"/>
      <c r="H200" s="176"/>
      <c r="I200" s="176"/>
      <c r="J200" s="176"/>
      <c r="K200" s="176"/>
      <c r="L200" s="176"/>
      <c r="M200" s="176"/>
    </row>
    <row r="201" ht="15.75" customHeight="1">
      <c r="A201" s="89"/>
      <c r="B201" s="89"/>
      <c r="C201" s="89"/>
      <c r="D201" s="386"/>
      <c r="E201" s="176"/>
      <c r="F201" s="176"/>
      <c r="G201" s="176"/>
      <c r="H201" s="176"/>
      <c r="I201" s="176"/>
      <c r="J201" s="176"/>
      <c r="K201" s="176"/>
      <c r="L201" s="176"/>
      <c r="M201" s="176"/>
    </row>
    <row r="202" ht="15.75" customHeight="1">
      <c r="A202" s="89"/>
      <c r="B202" s="89"/>
      <c r="C202" s="89"/>
      <c r="D202" s="386"/>
      <c r="E202" s="176"/>
      <c r="F202" s="176"/>
      <c r="G202" s="176"/>
      <c r="H202" s="176"/>
      <c r="I202" s="176"/>
      <c r="J202" s="176"/>
      <c r="K202" s="176"/>
      <c r="L202" s="176"/>
      <c r="M202" s="176"/>
    </row>
    <row r="203" ht="15.75" customHeight="1">
      <c r="A203" s="89"/>
      <c r="B203" s="89"/>
      <c r="C203" s="89"/>
      <c r="D203" s="386"/>
      <c r="E203" s="176"/>
      <c r="F203" s="176"/>
      <c r="G203" s="176"/>
      <c r="H203" s="176"/>
      <c r="I203" s="176"/>
      <c r="J203" s="176"/>
      <c r="K203" s="176"/>
      <c r="L203" s="176"/>
      <c r="M203" s="176"/>
    </row>
    <row r="204" ht="15.75" customHeight="1">
      <c r="A204" s="89"/>
      <c r="B204" s="89"/>
      <c r="C204" s="89"/>
      <c r="D204" s="386"/>
      <c r="E204" s="176"/>
      <c r="F204" s="176"/>
      <c r="G204" s="176"/>
      <c r="H204" s="176"/>
      <c r="I204" s="176"/>
      <c r="J204" s="176"/>
      <c r="K204" s="176"/>
      <c r="L204" s="176"/>
      <c r="M204" s="176"/>
    </row>
    <row r="205" ht="15.75" customHeight="1">
      <c r="A205" s="89"/>
      <c r="B205" s="89"/>
      <c r="C205" s="89"/>
      <c r="D205" s="386"/>
      <c r="E205" s="176"/>
      <c r="F205" s="176"/>
      <c r="G205" s="176"/>
      <c r="H205" s="176"/>
      <c r="I205" s="176"/>
      <c r="J205" s="176"/>
      <c r="K205" s="176"/>
      <c r="L205" s="176"/>
      <c r="M205" s="176"/>
    </row>
    <row r="206" ht="15.75" customHeight="1">
      <c r="A206" s="89"/>
      <c r="B206" s="89"/>
      <c r="C206" s="89"/>
      <c r="D206" s="386"/>
      <c r="E206" s="176"/>
      <c r="F206" s="176"/>
      <c r="G206" s="176"/>
      <c r="H206" s="176"/>
      <c r="I206" s="176"/>
      <c r="J206" s="176"/>
      <c r="K206" s="176"/>
      <c r="L206" s="176"/>
      <c r="M206" s="176"/>
    </row>
    <row r="207" ht="15.75" customHeight="1">
      <c r="A207" s="89"/>
      <c r="B207" s="89"/>
      <c r="C207" s="89"/>
      <c r="D207" s="386"/>
      <c r="E207" s="176"/>
      <c r="F207" s="176"/>
      <c r="G207" s="176"/>
      <c r="H207" s="176"/>
      <c r="I207" s="176"/>
      <c r="J207" s="176"/>
      <c r="K207" s="176"/>
      <c r="L207" s="176"/>
      <c r="M207" s="176"/>
    </row>
    <row r="208" ht="15.75" customHeight="1">
      <c r="A208" s="89"/>
      <c r="B208" s="89"/>
      <c r="C208" s="89"/>
      <c r="D208" s="386"/>
      <c r="E208" s="176"/>
      <c r="F208" s="176"/>
      <c r="G208" s="176"/>
      <c r="H208" s="176"/>
      <c r="I208" s="176"/>
      <c r="J208" s="176"/>
      <c r="K208" s="176"/>
      <c r="L208" s="176"/>
      <c r="M208" s="176"/>
    </row>
    <row r="209" ht="15.75" customHeight="1">
      <c r="A209" s="89"/>
      <c r="B209" s="89"/>
      <c r="C209" s="89"/>
      <c r="D209" s="386"/>
      <c r="E209" s="176"/>
      <c r="F209" s="176"/>
      <c r="G209" s="176"/>
      <c r="H209" s="176"/>
      <c r="I209" s="176"/>
      <c r="J209" s="176"/>
      <c r="K209" s="176"/>
      <c r="L209" s="176"/>
      <c r="M209" s="176"/>
    </row>
    <row r="210" ht="15.75" customHeight="1">
      <c r="A210" s="89"/>
      <c r="B210" s="89"/>
      <c r="C210" s="89"/>
      <c r="D210" s="386"/>
      <c r="E210" s="176"/>
      <c r="F210" s="176"/>
      <c r="G210" s="176"/>
      <c r="H210" s="176"/>
      <c r="I210" s="176"/>
      <c r="J210" s="176"/>
      <c r="K210" s="176"/>
      <c r="L210" s="176"/>
      <c r="M210" s="176"/>
    </row>
    <row r="211" ht="15.75" customHeight="1">
      <c r="A211" s="89"/>
      <c r="B211" s="89"/>
      <c r="C211" s="89"/>
      <c r="D211" s="386"/>
      <c r="E211" s="176"/>
      <c r="F211" s="176"/>
      <c r="G211" s="176"/>
      <c r="H211" s="176"/>
      <c r="I211" s="176"/>
      <c r="J211" s="176"/>
      <c r="K211" s="176"/>
      <c r="L211" s="176"/>
      <c r="M211" s="176"/>
    </row>
    <row r="212" ht="15.75" customHeight="1">
      <c r="A212" s="89"/>
      <c r="B212" s="89"/>
      <c r="C212" s="89"/>
      <c r="D212" s="386"/>
      <c r="E212" s="176"/>
      <c r="F212" s="176"/>
      <c r="G212" s="176"/>
      <c r="H212" s="176"/>
      <c r="I212" s="176"/>
      <c r="J212" s="176"/>
      <c r="K212" s="176"/>
      <c r="L212" s="176"/>
      <c r="M212" s="176"/>
    </row>
    <row r="213" ht="15.75" customHeight="1">
      <c r="A213" s="89"/>
      <c r="B213" s="89"/>
      <c r="C213" s="89"/>
      <c r="D213" s="386"/>
      <c r="E213" s="176"/>
      <c r="F213" s="176"/>
      <c r="G213" s="176"/>
      <c r="H213" s="176"/>
      <c r="I213" s="176"/>
      <c r="J213" s="176"/>
      <c r="K213" s="176"/>
      <c r="L213" s="176"/>
      <c r="M213" s="176"/>
    </row>
    <row r="214" ht="15.75" customHeight="1">
      <c r="A214" s="89"/>
      <c r="B214" s="89"/>
      <c r="C214" s="89"/>
      <c r="D214" s="386"/>
      <c r="E214" s="176"/>
      <c r="F214" s="176"/>
      <c r="G214" s="176"/>
      <c r="H214" s="176"/>
      <c r="I214" s="176"/>
      <c r="J214" s="176"/>
      <c r="K214" s="176"/>
      <c r="L214" s="176"/>
      <c r="M214" s="176"/>
    </row>
    <row r="215" ht="15.75" customHeight="1">
      <c r="A215" s="89"/>
      <c r="B215" s="89"/>
      <c r="C215" s="89"/>
      <c r="D215" s="386"/>
      <c r="E215" s="176"/>
      <c r="F215" s="176"/>
      <c r="G215" s="176"/>
      <c r="H215" s="176"/>
      <c r="I215" s="176"/>
      <c r="J215" s="176"/>
      <c r="K215" s="176"/>
      <c r="L215" s="176"/>
      <c r="M215" s="176"/>
    </row>
    <row r="216" ht="15.75" customHeight="1">
      <c r="A216" s="89"/>
      <c r="B216" s="89"/>
      <c r="C216" s="89"/>
      <c r="D216" s="386"/>
      <c r="E216" s="176"/>
      <c r="F216" s="176"/>
      <c r="G216" s="176"/>
      <c r="H216" s="176"/>
      <c r="I216" s="176"/>
      <c r="J216" s="176"/>
      <c r="K216" s="176"/>
      <c r="L216" s="176"/>
      <c r="M216" s="176"/>
    </row>
    <row r="217" ht="15.75" customHeight="1">
      <c r="A217" s="89"/>
      <c r="B217" s="89"/>
      <c r="C217" s="89"/>
      <c r="D217" s="386"/>
      <c r="E217" s="176"/>
      <c r="F217" s="176"/>
      <c r="G217" s="176"/>
      <c r="H217" s="176"/>
      <c r="I217" s="176"/>
      <c r="J217" s="176"/>
      <c r="K217" s="176"/>
      <c r="L217" s="176"/>
      <c r="M217" s="176"/>
    </row>
    <row r="218" ht="15.75" customHeight="1">
      <c r="A218" s="89"/>
      <c r="B218" s="89"/>
      <c r="C218" s="89"/>
      <c r="D218" s="386"/>
      <c r="E218" s="176"/>
      <c r="F218" s="176"/>
      <c r="G218" s="176"/>
      <c r="H218" s="176"/>
      <c r="I218" s="176"/>
      <c r="J218" s="176"/>
      <c r="K218" s="176"/>
      <c r="L218" s="176"/>
      <c r="M218" s="176"/>
    </row>
    <row r="219" ht="15.75" customHeight="1">
      <c r="A219" s="89"/>
      <c r="B219" s="89"/>
      <c r="C219" s="89"/>
      <c r="D219" s="386"/>
      <c r="E219" s="176"/>
      <c r="F219" s="176"/>
      <c r="G219" s="176"/>
      <c r="H219" s="176"/>
      <c r="I219" s="176"/>
      <c r="J219" s="176"/>
      <c r="K219" s="176"/>
      <c r="L219" s="176"/>
      <c r="M219" s="176"/>
    </row>
    <row r="220" ht="15.75" customHeight="1">
      <c r="A220" s="89"/>
      <c r="B220" s="89"/>
      <c r="C220" s="89"/>
      <c r="D220" s="386"/>
      <c r="E220" s="176"/>
      <c r="F220" s="176"/>
      <c r="G220" s="176"/>
      <c r="H220" s="176"/>
      <c r="I220" s="176"/>
      <c r="J220" s="176"/>
      <c r="K220" s="176"/>
      <c r="L220" s="176"/>
      <c r="M220" s="176"/>
    </row>
    <row r="221" ht="15.75" customHeight="1">
      <c r="A221" s="89"/>
      <c r="B221" s="89"/>
      <c r="C221" s="89"/>
      <c r="D221" s="386"/>
      <c r="E221" s="176"/>
      <c r="F221" s="176"/>
      <c r="G221" s="176"/>
      <c r="H221" s="176"/>
      <c r="I221" s="176"/>
      <c r="J221" s="176"/>
      <c r="K221" s="176"/>
      <c r="L221" s="176"/>
      <c r="M221" s="176"/>
    </row>
    <row r="222" ht="15.75" customHeight="1">
      <c r="A222" s="89"/>
      <c r="B222" s="89"/>
      <c r="C222" s="89"/>
      <c r="D222" s="386"/>
      <c r="E222" s="176"/>
      <c r="F222" s="176"/>
      <c r="G222" s="176"/>
      <c r="H222" s="176"/>
      <c r="I222" s="176"/>
      <c r="J222" s="176"/>
      <c r="K222" s="176"/>
      <c r="L222" s="176"/>
      <c r="M222" s="176"/>
    </row>
    <row r="223" ht="15.75" customHeight="1">
      <c r="A223" s="89"/>
      <c r="B223" s="89"/>
      <c r="C223" s="89"/>
      <c r="D223" s="386"/>
      <c r="E223" s="176"/>
      <c r="F223" s="176"/>
      <c r="G223" s="176"/>
      <c r="H223" s="176"/>
      <c r="I223" s="176"/>
      <c r="J223" s="176"/>
      <c r="K223" s="176"/>
      <c r="L223" s="176"/>
      <c r="M223" s="176"/>
    </row>
    <row r="224" ht="15.75" customHeight="1">
      <c r="A224" s="89"/>
      <c r="B224" s="89"/>
      <c r="C224" s="89"/>
      <c r="D224" s="386"/>
      <c r="E224" s="176"/>
      <c r="F224" s="176"/>
      <c r="G224" s="176"/>
      <c r="H224" s="176"/>
      <c r="I224" s="176"/>
      <c r="J224" s="176"/>
      <c r="K224" s="176"/>
      <c r="L224" s="176"/>
      <c r="M224" s="176"/>
    </row>
    <row r="225" ht="15.75" customHeight="1">
      <c r="A225" s="89"/>
      <c r="B225" s="89"/>
      <c r="C225" s="89"/>
      <c r="D225" s="386"/>
      <c r="E225" s="176"/>
      <c r="F225" s="176"/>
      <c r="G225" s="176"/>
      <c r="H225" s="176"/>
      <c r="I225" s="176"/>
      <c r="J225" s="176"/>
      <c r="K225" s="176"/>
      <c r="L225" s="176"/>
      <c r="M225" s="176"/>
    </row>
    <row r="226" ht="15.75" customHeight="1">
      <c r="A226" s="89"/>
      <c r="B226" s="89"/>
      <c r="C226" s="89"/>
      <c r="D226" s="386"/>
      <c r="E226" s="176"/>
      <c r="F226" s="176"/>
      <c r="G226" s="176"/>
      <c r="H226" s="176"/>
      <c r="I226" s="176"/>
      <c r="J226" s="176"/>
      <c r="K226" s="176"/>
      <c r="L226" s="176"/>
      <c r="M226" s="176"/>
    </row>
    <row r="227" ht="15.75" customHeight="1">
      <c r="A227" s="89"/>
      <c r="B227" s="89"/>
      <c r="C227" s="89"/>
      <c r="D227" s="386"/>
      <c r="E227" s="176"/>
      <c r="F227" s="176"/>
      <c r="G227" s="176"/>
      <c r="H227" s="176"/>
      <c r="I227" s="176"/>
      <c r="J227" s="176"/>
      <c r="K227" s="176"/>
      <c r="L227" s="176"/>
      <c r="M227" s="176"/>
    </row>
    <row r="228" ht="15.75" customHeight="1">
      <c r="A228" s="89"/>
      <c r="B228" s="89"/>
      <c r="C228" s="89"/>
      <c r="D228" s="386"/>
      <c r="E228" s="176"/>
      <c r="F228" s="176"/>
      <c r="G228" s="176"/>
      <c r="H228" s="176"/>
      <c r="I228" s="176"/>
      <c r="J228" s="176"/>
      <c r="K228" s="176"/>
      <c r="L228" s="176"/>
      <c r="M228" s="176"/>
    </row>
    <row r="229" ht="15.75" customHeight="1">
      <c r="A229" s="89"/>
      <c r="B229" s="89"/>
      <c r="C229" s="89"/>
      <c r="D229" s="386"/>
      <c r="E229" s="176"/>
      <c r="F229" s="176"/>
      <c r="G229" s="176"/>
      <c r="H229" s="176"/>
      <c r="I229" s="176"/>
      <c r="J229" s="176"/>
      <c r="K229" s="176"/>
      <c r="L229" s="176"/>
      <c r="M229" s="176"/>
    </row>
    <row r="230" ht="15.75" customHeight="1">
      <c r="A230" s="89"/>
      <c r="B230" s="89"/>
      <c r="C230" s="89"/>
      <c r="D230" s="386"/>
      <c r="E230" s="176"/>
      <c r="F230" s="176"/>
      <c r="G230" s="176"/>
      <c r="H230" s="176"/>
      <c r="I230" s="176"/>
      <c r="J230" s="176"/>
      <c r="K230" s="176"/>
      <c r="L230" s="176"/>
      <c r="M230" s="176"/>
    </row>
    <row r="231" ht="15.75" customHeight="1">
      <c r="A231" s="89"/>
      <c r="B231" s="89"/>
      <c r="C231" s="89"/>
      <c r="D231" s="386"/>
      <c r="E231" s="176"/>
      <c r="F231" s="176"/>
      <c r="G231" s="176"/>
      <c r="H231" s="176"/>
      <c r="I231" s="176"/>
      <c r="J231" s="176"/>
      <c r="K231" s="176"/>
      <c r="L231" s="176"/>
      <c r="M231" s="176"/>
    </row>
    <row r="232" ht="15.75" customHeight="1">
      <c r="A232" s="89"/>
      <c r="B232" s="89"/>
      <c r="C232" s="89"/>
      <c r="D232" s="386"/>
      <c r="E232" s="176"/>
      <c r="F232" s="176"/>
      <c r="G232" s="176"/>
      <c r="H232" s="176"/>
      <c r="I232" s="176"/>
      <c r="J232" s="176"/>
      <c r="K232" s="176"/>
      <c r="L232" s="176"/>
      <c r="M232" s="176"/>
    </row>
    <row r="233" ht="15.75" customHeight="1">
      <c r="A233" s="89"/>
      <c r="B233" s="89"/>
      <c r="C233" s="89"/>
      <c r="D233" s="386"/>
      <c r="E233" s="176"/>
      <c r="F233" s="176"/>
      <c r="G233" s="176"/>
      <c r="H233" s="176"/>
      <c r="I233" s="176"/>
      <c r="J233" s="176"/>
      <c r="K233" s="176"/>
      <c r="L233" s="176"/>
      <c r="M233" s="176"/>
    </row>
    <row r="234" ht="15.75" customHeight="1">
      <c r="A234" s="89"/>
      <c r="B234" s="89"/>
      <c r="C234" s="89"/>
      <c r="D234" s="386"/>
      <c r="E234" s="176"/>
      <c r="F234" s="176"/>
      <c r="G234" s="176"/>
      <c r="H234" s="176"/>
      <c r="I234" s="176"/>
      <c r="J234" s="176"/>
      <c r="K234" s="176"/>
      <c r="L234" s="176"/>
      <c r="M234" s="176"/>
    </row>
    <row r="235" ht="15.75" customHeight="1">
      <c r="A235" s="89"/>
      <c r="B235" s="89"/>
      <c r="C235" s="89"/>
      <c r="D235" s="386"/>
      <c r="E235" s="176"/>
      <c r="F235" s="176"/>
      <c r="G235" s="176"/>
      <c r="H235" s="176"/>
      <c r="I235" s="176"/>
      <c r="J235" s="176"/>
      <c r="K235" s="176"/>
      <c r="L235" s="176"/>
      <c r="M235" s="176"/>
    </row>
    <row r="236" ht="15.75" customHeight="1">
      <c r="A236" s="89"/>
      <c r="B236" s="89"/>
      <c r="C236" s="89"/>
      <c r="D236" s="386"/>
      <c r="E236" s="176"/>
      <c r="F236" s="176"/>
      <c r="G236" s="176"/>
      <c r="H236" s="176"/>
      <c r="I236" s="176"/>
      <c r="J236" s="176"/>
      <c r="K236" s="176"/>
      <c r="L236" s="176"/>
      <c r="M236" s="176"/>
    </row>
    <row r="237" ht="15.75" customHeight="1">
      <c r="A237" s="89"/>
      <c r="B237" s="89"/>
      <c r="C237" s="89"/>
      <c r="D237" s="386"/>
      <c r="E237" s="176"/>
      <c r="F237" s="176"/>
      <c r="G237" s="176"/>
      <c r="H237" s="176"/>
      <c r="I237" s="176"/>
      <c r="J237" s="176"/>
      <c r="K237" s="176"/>
      <c r="L237" s="176"/>
      <c r="M237" s="176"/>
    </row>
    <row r="238" ht="15.75" customHeight="1">
      <c r="A238" s="89"/>
      <c r="B238" s="89"/>
      <c r="C238" s="89"/>
      <c r="D238" s="386"/>
      <c r="E238" s="176"/>
      <c r="F238" s="176"/>
      <c r="G238" s="176"/>
      <c r="H238" s="176"/>
      <c r="I238" s="176"/>
      <c r="J238" s="176"/>
      <c r="K238" s="176"/>
      <c r="L238" s="176"/>
      <c r="M238" s="176"/>
    </row>
    <row r="239" ht="15.75" customHeight="1">
      <c r="A239" s="89"/>
      <c r="B239" s="89"/>
      <c r="C239" s="89"/>
      <c r="D239" s="386"/>
      <c r="E239" s="176"/>
      <c r="F239" s="176"/>
      <c r="G239" s="176"/>
      <c r="H239" s="176"/>
      <c r="I239" s="176"/>
      <c r="J239" s="176"/>
      <c r="K239" s="176"/>
      <c r="L239" s="176"/>
      <c r="M239" s="176"/>
    </row>
    <row r="240" ht="15.75" customHeight="1">
      <c r="A240" s="89"/>
      <c r="B240" s="89"/>
      <c r="C240" s="89"/>
      <c r="D240" s="386"/>
      <c r="E240" s="176"/>
      <c r="F240" s="176"/>
      <c r="G240" s="176"/>
      <c r="H240" s="176"/>
      <c r="I240" s="176"/>
      <c r="J240" s="176"/>
      <c r="K240" s="176"/>
      <c r="L240" s="176"/>
      <c r="M240" s="176"/>
    </row>
    <row r="241" ht="15.75" customHeight="1">
      <c r="A241" s="89"/>
      <c r="B241" s="89"/>
      <c r="C241" s="89"/>
      <c r="D241" s="386"/>
      <c r="E241" s="176"/>
      <c r="F241" s="176"/>
      <c r="G241" s="176"/>
      <c r="H241" s="176"/>
      <c r="I241" s="176"/>
      <c r="J241" s="176"/>
      <c r="K241" s="176"/>
      <c r="L241" s="176"/>
      <c r="M241" s="176"/>
    </row>
    <row r="242" ht="15.75" customHeight="1">
      <c r="A242" s="89"/>
      <c r="B242" s="89"/>
      <c r="C242" s="89"/>
      <c r="D242" s="386"/>
      <c r="E242" s="176"/>
      <c r="F242" s="176"/>
      <c r="G242" s="176"/>
      <c r="H242" s="176"/>
      <c r="I242" s="176"/>
      <c r="J242" s="176"/>
      <c r="K242" s="176"/>
      <c r="L242" s="176"/>
      <c r="M242" s="176"/>
    </row>
    <row r="243" ht="15.75" customHeight="1">
      <c r="A243" s="89"/>
      <c r="B243" s="89"/>
      <c r="C243" s="89"/>
      <c r="D243" s="386"/>
      <c r="E243" s="176"/>
      <c r="F243" s="176"/>
      <c r="G243" s="176"/>
      <c r="H243" s="176"/>
      <c r="I243" s="176"/>
      <c r="J243" s="176"/>
      <c r="K243" s="176"/>
      <c r="L243" s="176"/>
      <c r="M243" s="176"/>
    </row>
    <row r="244" ht="15.75" customHeight="1">
      <c r="A244" s="89"/>
      <c r="B244" s="89"/>
      <c r="C244" s="89"/>
      <c r="D244" s="386"/>
      <c r="E244" s="176"/>
      <c r="F244" s="176"/>
      <c r="G244" s="176"/>
      <c r="H244" s="176"/>
      <c r="I244" s="176"/>
      <c r="J244" s="176"/>
      <c r="K244" s="176"/>
      <c r="L244" s="176"/>
      <c r="M244" s="176"/>
    </row>
    <row r="245" ht="15.75" customHeight="1">
      <c r="A245" s="89"/>
      <c r="B245" s="89"/>
      <c r="C245" s="89"/>
      <c r="D245" s="386"/>
      <c r="E245" s="176"/>
      <c r="F245" s="176"/>
      <c r="G245" s="176"/>
      <c r="H245" s="176"/>
      <c r="I245" s="176"/>
      <c r="J245" s="176"/>
      <c r="K245" s="176"/>
      <c r="L245" s="176"/>
      <c r="M245" s="176"/>
    </row>
    <row r="246" ht="15.75" customHeight="1">
      <c r="A246" s="89"/>
      <c r="B246" s="89"/>
      <c r="C246" s="89"/>
      <c r="D246" s="386"/>
      <c r="E246" s="176"/>
      <c r="F246" s="176"/>
      <c r="G246" s="176"/>
      <c r="H246" s="176"/>
      <c r="I246" s="176"/>
      <c r="J246" s="176"/>
      <c r="K246" s="176"/>
      <c r="L246" s="176"/>
      <c r="M246" s="176"/>
    </row>
    <row r="247" ht="15.75" customHeight="1">
      <c r="A247" s="89"/>
      <c r="B247" s="89"/>
      <c r="C247" s="89"/>
      <c r="D247" s="386"/>
      <c r="E247" s="176"/>
      <c r="F247" s="176"/>
      <c r="G247" s="176"/>
      <c r="H247" s="176"/>
      <c r="I247" s="176"/>
      <c r="J247" s="176"/>
      <c r="K247" s="176"/>
      <c r="L247" s="176"/>
      <c r="M247" s="176"/>
    </row>
    <row r="248" ht="15.75" customHeight="1">
      <c r="A248" s="89"/>
      <c r="B248" s="89"/>
      <c r="C248" s="89"/>
      <c r="D248" s="386"/>
      <c r="E248" s="176"/>
      <c r="F248" s="176"/>
      <c r="G248" s="176"/>
      <c r="H248" s="176"/>
      <c r="I248" s="176"/>
      <c r="J248" s="176"/>
      <c r="K248" s="176"/>
      <c r="L248" s="176"/>
      <c r="M248" s="176"/>
    </row>
    <row r="249" ht="15.75" customHeight="1">
      <c r="A249" s="89"/>
      <c r="B249" s="89"/>
      <c r="C249" s="89"/>
      <c r="D249" s="386"/>
      <c r="E249" s="176"/>
      <c r="F249" s="176"/>
      <c r="G249" s="176"/>
      <c r="H249" s="176"/>
      <c r="I249" s="176"/>
      <c r="J249" s="176"/>
      <c r="K249" s="176"/>
      <c r="L249" s="176"/>
      <c r="M249" s="176"/>
    </row>
    <row r="250" ht="15.75" customHeight="1">
      <c r="A250" s="89"/>
      <c r="B250" s="89"/>
      <c r="C250" s="89"/>
      <c r="D250" s="386"/>
      <c r="E250" s="176"/>
      <c r="F250" s="176"/>
      <c r="G250" s="176"/>
      <c r="H250" s="176"/>
      <c r="I250" s="176"/>
      <c r="J250" s="176"/>
      <c r="K250" s="176"/>
      <c r="L250" s="176"/>
      <c r="M250" s="176"/>
    </row>
    <row r="251" ht="15.75" customHeight="1">
      <c r="A251" s="89"/>
      <c r="B251" s="89"/>
      <c r="C251" s="89"/>
      <c r="D251" s="386"/>
      <c r="E251" s="176"/>
      <c r="F251" s="176"/>
      <c r="G251" s="176"/>
      <c r="H251" s="176"/>
      <c r="I251" s="176"/>
      <c r="J251" s="176"/>
      <c r="K251" s="176"/>
      <c r="L251" s="176"/>
      <c r="M251" s="176"/>
    </row>
    <row r="252" ht="15.75" customHeight="1">
      <c r="A252" s="89"/>
      <c r="B252" s="89"/>
      <c r="C252" s="89"/>
      <c r="D252" s="386"/>
      <c r="E252" s="176"/>
      <c r="F252" s="176"/>
      <c r="G252" s="176"/>
      <c r="H252" s="176"/>
      <c r="I252" s="176"/>
      <c r="J252" s="176"/>
      <c r="K252" s="176"/>
      <c r="L252" s="176"/>
      <c r="M252" s="176"/>
    </row>
    <row r="253" ht="15.75" customHeight="1">
      <c r="A253" s="89"/>
      <c r="B253" s="89"/>
      <c r="C253" s="89"/>
      <c r="D253" s="386"/>
      <c r="E253" s="176"/>
      <c r="F253" s="176"/>
      <c r="G253" s="176"/>
      <c r="H253" s="176"/>
      <c r="I253" s="176"/>
      <c r="J253" s="176"/>
      <c r="K253" s="176"/>
      <c r="L253" s="176"/>
      <c r="M253" s="176"/>
    </row>
    <row r="254" ht="15.75" customHeight="1">
      <c r="A254" s="89"/>
      <c r="B254" s="89"/>
      <c r="C254" s="89"/>
      <c r="D254" s="386"/>
      <c r="E254" s="176"/>
      <c r="F254" s="176"/>
      <c r="G254" s="176"/>
      <c r="H254" s="176"/>
      <c r="I254" s="176"/>
      <c r="J254" s="176"/>
      <c r="K254" s="176"/>
      <c r="L254" s="176"/>
      <c r="M254" s="176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I2:K4"/>
    <mergeCell ref="A7:A10"/>
    <mergeCell ref="B7:B10"/>
    <mergeCell ref="E7:F8"/>
    <mergeCell ref="G7:L7"/>
    <mergeCell ref="M7:M10"/>
    <mergeCell ref="K8:L8"/>
    <mergeCell ref="L9:L10"/>
  </mergeCells>
  <printOptions horizontalCentered="1"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5.29"/>
    <col customWidth="1" min="2" max="2" width="28.29"/>
    <col customWidth="1" min="3" max="4" width="23.57"/>
    <col customWidth="1" min="5" max="6" width="22.14"/>
    <col customWidth="1" min="7" max="7" width="24.71"/>
    <col customWidth="1" min="8" max="8" width="25.86"/>
    <col customWidth="1" min="9" max="9" width="23.14"/>
    <col customWidth="1" min="10" max="10" width="23.57"/>
    <col customWidth="1" min="11" max="11" width="23.0"/>
    <col customWidth="1" min="12" max="12" width="21.14"/>
    <col customWidth="1" min="13" max="13" width="22.71"/>
  </cols>
  <sheetData>
    <row r="1" ht="27.0" customHeight="1">
      <c r="A1" s="399" t="s">
        <v>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</row>
    <row r="2" ht="27.0" customHeight="1">
      <c r="A2" s="400" t="s">
        <v>90</v>
      </c>
      <c r="B2" s="172"/>
      <c r="C2" s="172"/>
      <c r="D2" s="172"/>
      <c r="E2" s="172"/>
      <c r="F2" s="172"/>
      <c r="G2" s="172"/>
      <c r="H2" s="86"/>
      <c r="K2" s="172"/>
      <c r="L2" s="172"/>
      <c r="M2" s="172"/>
    </row>
    <row r="3" ht="22.5" customHeight="1">
      <c r="A3" s="401" t="s">
        <v>713</v>
      </c>
      <c r="B3" s="402"/>
      <c r="C3" s="169"/>
      <c r="D3" s="169"/>
      <c r="E3" s="84"/>
      <c r="F3" s="84"/>
      <c r="G3" s="84"/>
      <c r="K3" s="84"/>
      <c r="L3" s="84"/>
      <c r="M3" s="84"/>
    </row>
    <row r="4" ht="27.0" customHeight="1">
      <c r="A4" s="401" t="s">
        <v>3</v>
      </c>
      <c r="B4" s="402"/>
      <c r="C4" s="169"/>
      <c r="D4" s="169"/>
      <c r="E4" s="84"/>
      <c r="F4" s="84"/>
      <c r="G4" s="84"/>
      <c r="K4" s="84"/>
      <c r="L4" s="84"/>
      <c r="M4" s="84"/>
    </row>
    <row r="5" ht="23.25" customHeight="1">
      <c r="A5" s="401" t="s">
        <v>4</v>
      </c>
      <c r="B5" s="402"/>
      <c r="C5" s="169"/>
      <c r="D5" s="169"/>
      <c r="E5" s="84"/>
      <c r="F5" s="84"/>
      <c r="G5" s="84"/>
      <c r="H5" s="84"/>
      <c r="I5" s="84"/>
      <c r="J5" s="84"/>
      <c r="K5" s="84"/>
      <c r="L5" s="84"/>
      <c r="M5" s="84"/>
    </row>
    <row r="6" ht="16.5" customHeight="1">
      <c r="A6" s="169"/>
      <c r="B6" s="402"/>
      <c r="C6" s="169"/>
      <c r="D6" s="169"/>
      <c r="E6" s="84"/>
      <c r="F6" s="84"/>
      <c r="G6" s="84"/>
      <c r="H6" s="84"/>
      <c r="I6" s="84"/>
      <c r="J6" s="84"/>
      <c r="K6" s="84"/>
      <c r="L6" s="84"/>
      <c r="M6" s="84"/>
    </row>
    <row r="7" ht="29.25" customHeight="1">
      <c r="A7" s="91" t="s">
        <v>5</v>
      </c>
      <c r="B7" s="91" t="s">
        <v>6</v>
      </c>
      <c r="C7" s="92" t="s">
        <v>93</v>
      </c>
      <c r="D7" s="93"/>
      <c r="E7" s="94" t="s">
        <v>94</v>
      </c>
      <c r="F7" s="93"/>
      <c r="G7" s="95" t="s">
        <v>95</v>
      </c>
      <c r="H7" s="16"/>
      <c r="I7" s="16"/>
      <c r="J7" s="16"/>
      <c r="K7" s="16"/>
      <c r="L7" s="15"/>
      <c r="M7" s="96" t="s">
        <v>714</v>
      </c>
    </row>
    <row r="8" ht="21.0" customHeight="1">
      <c r="A8" s="18"/>
      <c r="B8" s="18"/>
      <c r="C8" s="97"/>
      <c r="D8" s="98"/>
      <c r="E8" s="97"/>
      <c r="F8" s="98"/>
      <c r="G8" s="95" t="s">
        <v>13</v>
      </c>
      <c r="H8" s="15"/>
      <c r="I8" s="95" t="s">
        <v>14</v>
      </c>
      <c r="J8" s="15"/>
      <c r="K8" s="95" t="s">
        <v>15</v>
      </c>
      <c r="L8" s="15"/>
      <c r="M8" s="18"/>
    </row>
    <row r="9" ht="20.25" customHeight="1">
      <c r="A9" s="18"/>
      <c r="B9" s="18"/>
      <c r="C9" s="99" t="s">
        <v>11</v>
      </c>
      <c r="D9" s="100" t="s">
        <v>97</v>
      </c>
      <c r="E9" s="94" t="s">
        <v>10</v>
      </c>
      <c r="F9" s="93"/>
      <c r="G9" s="101" t="s">
        <v>18</v>
      </c>
      <c r="H9" s="102" t="s">
        <v>98</v>
      </c>
      <c r="I9" s="101" t="s">
        <v>18</v>
      </c>
      <c r="J9" s="102" t="s">
        <v>98</v>
      </c>
      <c r="K9" s="101" t="s">
        <v>18</v>
      </c>
      <c r="L9" s="102" t="s">
        <v>98</v>
      </c>
      <c r="M9" s="18"/>
    </row>
    <row r="10" ht="73.5" customHeight="1">
      <c r="A10" s="25"/>
      <c r="B10" s="25"/>
      <c r="C10" s="25"/>
      <c r="D10" s="25"/>
      <c r="E10" s="103" t="s">
        <v>18</v>
      </c>
      <c r="F10" s="102" t="s">
        <v>98</v>
      </c>
      <c r="G10" s="25"/>
      <c r="H10" s="25"/>
      <c r="I10" s="25"/>
      <c r="J10" s="25"/>
      <c r="K10" s="25"/>
      <c r="L10" s="25"/>
      <c r="M10" s="25"/>
    </row>
    <row r="11">
      <c r="A11" s="403" t="s">
        <v>715</v>
      </c>
      <c r="B11" s="404"/>
      <c r="C11" s="405"/>
      <c r="D11" s="117"/>
      <c r="E11" s="117"/>
      <c r="F11" s="117"/>
      <c r="G11" s="226"/>
      <c r="H11" s="226"/>
      <c r="I11" s="226"/>
      <c r="J11" s="226"/>
      <c r="K11" s="226"/>
      <c r="L11" s="226"/>
      <c r="M11" s="226"/>
    </row>
    <row r="12" ht="37.5" customHeight="1">
      <c r="A12" s="406" t="s">
        <v>716</v>
      </c>
      <c r="B12" s="407"/>
      <c r="C12" s="405"/>
      <c r="D12" s="393"/>
      <c r="E12" s="117"/>
      <c r="F12" s="117"/>
      <c r="G12" s="226"/>
      <c r="H12" s="226"/>
      <c r="I12" s="226"/>
      <c r="J12" s="226"/>
      <c r="K12" s="226"/>
      <c r="L12" s="226"/>
      <c r="M12" s="226"/>
    </row>
    <row r="13">
      <c r="A13" s="407" t="s">
        <v>717</v>
      </c>
      <c r="B13" s="407" t="s">
        <v>718</v>
      </c>
      <c r="C13" s="408">
        <v>36.0</v>
      </c>
      <c r="D13" s="409">
        <v>462.5</v>
      </c>
      <c r="E13" s="408">
        <v>36.0</v>
      </c>
      <c r="F13" s="410">
        <v>226.0</v>
      </c>
      <c r="G13" s="226"/>
      <c r="H13" s="226"/>
      <c r="I13" s="226"/>
      <c r="J13" s="226"/>
      <c r="K13" s="226"/>
      <c r="L13" s="226"/>
      <c r="M13" s="226"/>
    </row>
    <row r="14">
      <c r="A14" s="407" t="s">
        <v>719</v>
      </c>
      <c r="B14" s="407" t="s">
        <v>718</v>
      </c>
      <c r="C14" s="408">
        <v>5.0</v>
      </c>
      <c r="D14" s="411">
        <v>20.0</v>
      </c>
      <c r="E14" s="408">
        <v>5.0</v>
      </c>
      <c r="F14" s="410">
        <v>45.0</v>
      </c>
      <c r="G14" s="226"/>
      <c r="H14" s="226"/>
      <c r="I14" s="226"/>
      <c r="J14" s="226"/>
      <c r="K14" s="226"/>
      <c r="L14" s="226"/>
      <c r="M14" s="226"/>
    </row>
    <row r="15">
      <c r="A15" s="407" t="s">
        <v>720</v>
      </c>
      <c r="B15" s="407" t="s">
        <v>718</v>
      </c>
      <c r="C15" s="408">
        <v>4.0</v>
      </c>
      <c r="D15" s="411">
        <v>7.5</v>
      </c>
      <c r="E15" s="412"/>
      <c r="F15" s="410">
        <v>0.0</v>
      </c>
      <c r="G15" s="226"/>
      <c r="H15" s="226"/>
      <c r="I15" s="226"/>
      <c r="J15" s="226"/>
      <c r="K15" s="226"/>
      <c r="L15" s="226"/>
      <c r="M15" s="226"/>
    </row>
    <row r="16" ht="24.0" customHeight="1">
      <c r="A16" s="407" t="s">
        <v>721</v>
      </c>
      <c r="B16" s="413" t="s">
        <v>722</v>
      </c>
      <c r="C16" s="405"/>
      <c r="D16" s="414"/>
      <c r="E16" s="412"/>
      <c r="F16" s="410">
        <v>0.0</v>
      </c>
      <c r="G16" s="226"/>
      <c r="H16" s="226"/>
      <c r="I16" s="226"/>
      <c r="J16" s="226"/>
      <c r="K16" s="226"/>
      <c r="L16" s="226"/>
      <c r="M16" s="226"/>
    </row>
    <row r="17" ht="22.5" customHeight="1">
      <c r="A17" s="250" t="s">
        <v>723</v>
      </c>
      <c r="B17" s="415" t="s">
        <v>724</v>
      </c>
      <c r="C17" s="416"/>
      <c r="D17" s="178"/>
      <c r="E17" s="417">
        <v>36.0</v>
      </c>
      <c r="F17" s="418">
        <v>50.0</v>
      </c>
      <c r="G17" s="184"/>
      <c r="H17" s="184"/>
      <c r="I17" s="184"/>
      <c r="J17" s="184"/>
      <c r="K17" s="184"/>
      <c r="L17" s="184"/>
      <c r="M17" s="184"/>
    </row>
    <row r="18" ht="37.5" customHeight="1">
      <c r="A18" s="407" t="s">
        <v>725</v>
      </c>
      <c r="B18" s="413" t="s">
        <v>726</v>
      </c>
      <c r="C18" s="405"/>
      <c r="D18" s="414"/>
      <c r="E18" s="419"/>
      <c r="F18" s="420">
        <v>0.0</v>
      </c>
      <c r="G18" s="226"/>
      <c r="H18" s="226"/>
      <c r="I18" s="226"/>
      <c r="J18" s="226"/>
      <c r="K18" s="226"/>
      <c r="L18" s="226"/>
      <c r="M18" s="226"/>
    </row>
    <row r="19">
      <c r="A19" s="407"/>
      <c r="B19" s="413"/>
      <c r="C19" s="405"/>
      <c r="D19" s="414"/>
      <c r="E19" s="420"/>
      <c r="F19" s="420"/>
      <c r="G19" s="226"/>
      <c r="H19" s="226"/>
      <c r="I19" s="226"/>
      <c r="J19" s="226"/>
      <c r="K19" s="226"/>
      <c r="L19" s="226"/>
      <c r="M19" s="226"/>
    </row>
    <row r="20">
      <c r="A20" s="406" t="s">
        <v>727</v>
      </c>
      <c r="B20" s="413"/>
      <c r="C20" s="405"/>
      <c r="D20" s="414"/>
      <c r="E20" s="419"/>
      <c r="F20" s="420"/>
      <c r="G20" s="226"/>
      <c r="H20" s="226"/>
      <c r="I20" s="226"/>
      <c r="J20" s="226"/>
      <c r="K20" s="226"/>
      <c r="L20" s="226"/>
      <c r="M20" s="226"/>
    </row>
    <row r="21" ht="20.25" customHeight="1">
      <c r="A21" s="407" t="s">
        <v>728</v>
      </c>
      <c r="B21" s="407" t="s">
        <v>729</v>
      </c>
      <c r="C21" s="117"/>
      <c r="D21" s="414"/>
      <c r="E21" s="408"/>
      <c r="F21" s="420">
        <v>0.0</v>
      </c>
      <c r="G21" s="226"/>
      <c r="H21" s="226"/>
      <c r="I21" s="226"/>
      <c r="J21" s="226"/>
      <c r="K21" s="226"/>
      <c r="L21" s="226"/>
      <c r="M21" s="226"/>
    </row>
    <row r="22" ht="21.0" customHeight="1">
      <c r="A22" s="407" t="s">
        <v>730</v>
      </c>
      <c r="B22" s="407" t="s">
        <v>729</v>
      </c>
      <c r="C22" s="117"/>
      <c r="D22" s="414"/>
      <c r="E22" s="408"/>
      <c r="F22" s="420">
        <v>0.0</v>
      </c>
      <c r="G22" s="226"/>
      <c r="H22" s="226"/>
      <c r="I22" s="226"/>
      <c r="J22" s="226"/>
      <c r="K22" s="226"/>
      <c r="L22" s="226"/>
      <c r="M22" s="226"/>
    </row>
    <row r="23" ht="22.5" customHeight="1">
      <c r="A23" s="407" t="s">
        <v>731</v>
      </c>
      <c r="B23" s="407" t="s">
        <v>729</v>
      </c>
      <c r="C23" s="117"/>
      <c r="D23" s="414"/>
      <c r="E23" s="408"/>
      <c r="F23" s="420">
        <v>0.0</v>
      </c>
      <c r="G23" s="226"/>
      <c r="H23" s="226"/>
      <c r="I23" s="226"/>
      <c r="J23" s="226"/>
      <c r="K23" s="226"/>
      <c r="L23" s="226"/>
      <c r="M23" s="226"/>
    </row>
    <row r="24" ht="23.25" customHeight="1">
      <c r="A24" s="407" t="s">
        <v>732</v>
      </c>
      <c r="B24" s="407" t="s">
        <v>733</v>
      </c>
      <c r="C24" s="117"/>
      <c r="D24" s="414"/>
      <c r="E24" s="408"/>
      <c r="F24" s="420">
        <v>0.0</v>
      </c>
      <c r="G24" s="226"/>
      <c r="H24" s="226"/>
      <c r="I24" s="226"/>
      <c r="J24" s="226"/>
      <c r="K24" s="226"/>
      <c r="L24" s="226"/>
      <c r="M24" s="226"/>
    </row>
    <row r="25" ht="23.25" customHeight="1">
      <c r="A25" s="407" t="s">
        <v>734</v>
      </c>
      <c r="B25" s="407" t="s">
        <v>735</v>
      </c>
      <c r="C25" s="117"/>
      <c r="D25" s="414"/>
      <c r="E25" s="421"/>
      <c r="F25" s="422"/>
      <c r="G25" s="226"/>
      <c r="H25" s="226"/>
      <c r="I25" s="226"/>
      <c r="J25" s="226"/>
      <c r="K25" s="226"/>
      <c r="L25" s="226"/>
      <c r="M25" s="226"/>
    </row>
    <row r="26" ht="21.75" customHeight="1">
      <c r="A26" s="423" t="s">
        <v>76</v>
      </c>
      <c r="B26" s="226"/>
      <c r="C26" s="424"/>
      <c r="D26" s="425">
        <f>D13+D14+D15</f>
        <v>490</v>
      </c>
      <c r="E26" s="426"/>
      <c r="F26" s="426">
        <f>SUM(F13:F25)</f>
        <v>321</v>
      </c>
      <c r="G26" s="226"/>
      <c r="H26" s="144">
        <v>0.0</v>
      </c>
      <c r="I26" s="143"/>
      <c r="J26" s="144">
        <v>0.0</v>
      </c>
      <c r="K26" s="143"/>
      <c r="L26" s="144">
        <v>0.0</v>
      </c>
      <c r="M26" s="226"/>
    </row>
    <row r="27" ht="16.5" customHeight="1">
      <c r="A27" s="427"/>
      <c r="B27" s="428"/>
      <c r="C27" s="169"/>
      <c r="D27" s="169"/>
      <c r="E27" s="84"/>
      <c r="F27" s="84"/>
      <c r="G27" s="84"/>
      <c r="H27" s="84"/>
      <c r="I27" s="84"/>
      <c r="J27" s="84"/>
      <c r="K27" s="84"/>
      <c r="L27" s="84"/>
      <c r="M27" s="84"/>
    </row>
    <row r="28" ht="22.5" customHeight="1">
      <c r="A28" s="147" t="s">
        <v>77</v>
      </c>
      <c r="B28" s="150"/>
      <c r="C28" s="151"/>
      <c r="D28" s="152"/>
      <c r="E28" s="153" t="s">
        <v>466</v>
      </c>
      <c r="F28" s="154"/>
      <c r="G28" s="154"/>
      <c r="H28" s="154"/>
      <c r="I28" s="154"/>
      <c r="J28" s="154"/>
      <c r="K28" s="154"/>
      <c r="L28" s="155" t="s">
        <v>467</v>
      </c>
      <c r="M28" s="154"/>
    </row>
    <row r="29" ht="15.75" customHeight="1">
      <c r="A29" s="68"/>
      <c r="B29" s="150"/>
      <c r="C29" s="151"/>
      <c r="D29" s="152"/>
      <c r="E29" s="151"/>
      <c r="F29" s="154"/>
      <c r="G29" s="154"/>
      <c r="H29" s="154"/>
      <c r="I29" s="154"/>
      <c r="J29" s="154"/>
      <c r="K29" s="154"/>
      <c r="L29" s="156"/>
      <c r="M29" s="154"/>
    </row>
    <row r="30" ht="15.75" customHeight="1">
      <c r="A30" s="68"/>
      <c r="B30" s="150"/>
      <c r="C30" s="151"/>
      <c r="D30" s="152"/>
      <c r="E30" s="151"/>
      <c r="F30" s="154"/>
      <c r="G30" s="154"/>
      <c r="H30" s="154"/>
      <c r="I30" s="154"/>
      <c r="J30" s="154"/>
      <c r="K30" s="154"/>
      <c r="L30" s="156"/>
      <c r="M30" s="154"/>
    </row>
    <row r="31" ht="15.75" customHeight="1">
      <c r="A31" s="152"/>
      <c r="B31" s="150"/>
      <c r="C31" s="151"/>
      <c r="D31" s="152"/>
      <c r="E31" s="151"/>
      <c r="F31" s="150"/>
      <c r="G31" s="150"/>
      <c r="H31" s="150"/>
      <c r="I31" s="154"/>
      <c r="J31" s="150"/>
      <c r="K31" s="150"/>
      <c r="L31" s="156"/>
      <c r="M31" s="150"/>
    </row>
    <row r="32" ht="15.75" customHeight="1">
      <c r="A32" s="68"/>
      <c r="B32" s="150"/>
      <c r="C32" s="151"/>
      <c r="D32" s="152"/>
      <c r="E32" s="151"/>
      <c r="F32" s="150"/>
      <c r="G32" s="150"/>
      <c r="H32" s="150"/>
      <c r="I32" s="154"/>
      <c r="J32" s="150"/>
      <c r="K32" s="150"/>
      <c r="L32" s="156"/>
      <c r="M32" s="150"/>
    </row>
    <row r="33" ht="21.0" customHeight="1">
      <c r="A33" s="157" t="s">
        <v>82</v>
      </c>
      <c r="B33" s="150"/>
      <c r="C33" s="151"/>
      <c r="D33" s="152"/>
      <c r="E33" s="158" t="s">
        <v>83</v>
      </c>
      <c r="F33" s="150"/>
      <c r="G33" s="150"/>
      <c r="H33" s="150"/>
      <c r="I33" s="154"/>
      <c r="J33" s="150"/>
      <c r="K33" s="150"/>
      <c r="L33" s="159" t="s">
        <v>84</v>
      </c>
      <c r="M33" s="150"/>
    </row>
    <row r="34">
      <c r="A34" s="160" t="s">
        <v>468</v>
      </c>
      <c r="B34" s="150"/>
      <c r="C34" s="151"/>
      <c r="D34" s="152"/>
      <c r="E34" s="153" t="s">
        <v>87</v>
      </c>
      <c r="F34" s="150"/>
      <c r="G34" s="150"/>
      <c r="H34" s="150"/>
      <c r="I34" s="154"/>
      <c r="J34" s="150"/>
      <c r="K34" s="150"/>
      <c r="L34" s="161" t="s">
        <v>88</v>
      </c>
      <c r="M34" s="150"/>
    </row>
    <row r="35" ht="15.75" customHeight="1">
      <c r="A35" s="162"/>
      <c r="B35" s="163"/>
      <c r="C35" s="150"/>
      <c r="D35" s="150"/>
      <c r="E35" s="84"/>
      <c r="F35" s="84"/>
      <c r="G35" s="84"/>
      <c r="H35" s="84"/>
      <c r="I35" s="84"/>
      <c r="J35" s="84"/>
      <c r="K35" s="84"/>
      <c r="L35" s="84"/>
      <c r="M35" s="84"/>
    </row>
    <row r="36" ht="15.75" customHeight="1">
      <c r="A36" s="147"/>
      <c r="B36" s="429"/>
      <c r="C36" s="149"/>
      <c r="D36" s="430"/>
      <c r="E36" s="84"/>
      <c r="F36" s="84"/>
      <c r="G36" s="84"/>
      <c r="H36" s="84"/>
      <c r="I36" s="84"/>
      <c r="J36" s="84"/>
      <c r="K36" s="84"/>
      <c r="L36" s="84"/>
      <c r="M36" s="84"/>
    </row>
    <row r="37" ht="15.75" customHeight="1">
      <c r="A37" s="162"/>
      <c r="B37" s="27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</row>
    <row r="38" ht="15.75" customHeight="1">
      <c r="A38" s="202"/>
      <c r="B38" s="202"/>
      <c r="C38" s="169"/>
      <c r="D38" s="169"/>
      <c r="E38" s="84"/>
      <c r="F38" s="84"/>
      <c r="G38" s="84"/>
      <c r="H38" s="84"/>
      <c r="I38" s="84"/>
      <c r="J38" s="84"/>
      <c r="K38" s="84"/>
      <c r="L38" s="84"/>
      <c r="M38" s="84"/>
    </row>
    <row r="39" ht="16.5" customHeight="1">
      <c r="A39" s="84"/>
      <c r="B39" s="84"/>
      <c r="C39" s="169"/>
      <c r="D39" s="169"/>
      <c r="E39" s="84"/>
      <c r="F39" s="84"/>
      <c r="G39" s="84"/>
      <c r="H39" s="84"/>
      <c r="I39" s="84"/>
      <c r="J39" s="84"/>
      <c r="K39" s="84"/>
      <c r="L39" s="84"/>
      <c r="M39" s="84"/>
    </row>
    <row r="40" ht="16.5" customHeight="1">
      <c r="A40" s="84"/>
      <c r="B40" s="196"/>
      <c r="C40" s="169"/>
      <c r="D40" s="169"/>
      <c r="E40" s="84"/>
      <c r="F40" s="84"/>
      <c r="G40" s="84"/>
      <c r="H40" s="84"/>
      <c r="I40" s="84"/>
      <c r="J40" s="84"/>
      <c r="K40" s="84"/>
      <c r="L40" s="84"/>
      <c r="M40" s="84"/>
    </row>
    <row r="41" ht="16.5" customHeight="1">
      <c r="A41" s="84"/>
      <c r="B41" s="196"/>
      <c r="C41" s="169"/>
      <c r="D41" s="169"/>
      <c r="E41" s="84"/>
      <c r="F41" s="84"/>
      <c r="G41" s="84"/>
      <c r="H41" s="84"/>
      <c r="I41" s="84"/>
      <c r="J41" s="84"/>
      <c r="K41" s="84"/>
      <c r="L41" s="84"/>
      <c r="M41" s="84"/>
    </row>
    <row r="42" ht="16.5" customHeight="1">
      <c r="A42" s="84"/>
      <c r="B42" s="196"/>
      <c r="C42" s="169"/>
      <c r="D42" s="169"/>
      <c r="E42" s="84"/>
      <c r="F42" s="84"/>
      <c r="G42" s="84"/>
      <c r="H42" s="84"/>
      <c r="I42" s="84"/>
      <c r="J42" s="84"/>
      <c r="K42" s="84"/>
      <c r="L42" s="84"/>
      <c r="M42" s="84"/>
    </row>
    <row r="43" ht="16.5" customHeight="1">
      <c r="A43" s="84"/>
      <c r="B43" s="196"/>
      <c r="C43" s="169"/>
      <c r="D43" s="169"/>
      <c r="E43" s="84"/>
      <c r="F43" s="84"/>
      <c r="G43" s="84"/>
      <c r="H43" s="84"/>
      <c r="I43" s="84"/>
      <c r="J43" s="84"/>
      <c r="K43" s="84"/>
      <c r="L43" s="84"/>
      <c r="M43" s="84"/>
    </row>
    <row r="44" ht="16.5" customHeight="1">
      <c r="A44" s="84"/>
      <c r="B44" s="431"/>
      <c r="C44" s="169"/>
      <c r="D44" s="169"/>
      <c r="E44" s="84"/>
      <c r="F44" s="84"/>
      <c r="G44" s="84"/>
      <c r="H44" s="84"/>
      <c r="I44" s="84"/>
      <c r="J44" s="84"/>
      <c r="K44" s="84"/>
      <c r="L44" s="84"/>
      <c r="M44" s="84"/>
    </row>
    <row r="45" ht="16.5" customHeight="1">
      <c r="A45" s="84"/>
      <c r="B45" s="84"/>
      <c r="C45" s="169"/>
      <c r="D45" s="169"/>
      <c r="E45" s="84"/>
      <c r="F45" s="84"/>
      <c r="G45" s="84"/>
      <c r="H45" s="84"/>
      <c r="I45" s="84"/>
      <c r="J45" s="84"/>
      <c r="K45" s="84"/>
      <c r="L45" s="84"/>
      <c r="M45" s="84"/>
    </row>
    <row r="46" ht="16.5" customHeight="1">
      <c r="A46" s="169"/>
      <c r="B46" s="166"/>
      <c r="C46" s="169"/>
      <c r="D46" s="169"/>
      <c r="E46" s="84"/>
      <c r="F46" s="84"/>
      <c r="G46" s="84"/>
      <c r="H46" s="84"/>
      <c r="I46" s="84"/>
      <c r="J46" s="84"/>
      <c r="K46" s="84"/>
      <c r="L46" s="84"/>
      <c r="M46" s="84"/>
    </row>
    <row r="47" ht="16.5" customHeight="1">
      <c r="A47" s="169"/>
      <c r="B47" s="166"/>
      <c r="C47" s="169"/>
      <c r="D47" s="169"/>
      <c r="E47" s="84"/>
      <c r="F47" s="84"/>
      <c r="G47" s="84"/>
      <c r="H47" s="84"/>
      <c r="I47" s="84"/>
      <c r="J47" s="84"/>
      <c r="K47" s="84"/>
      <c r="L47" s="84"/>
      <c r="M47" s="84"/>
    </row>
    <row r="48" ht="16.5" customHeight="1">
      <c r="A48" s="169"/>
      <c r="B48" s="166"/>
      <c r="C48" s="169"/>
      <c r="D48" s="169"/>
      <c r="E48" s="84"/>
      <c r="F48" s="84"/>
      <c r="G48" s="84"/>
      <c r="H48" s="84"/>
      <c r="I48" s="84"/>
      <c r="J48" s="84"/>
      <c r="K48" s="84"/>
      <c r="L48" s="84"/>
      <c r="M48" s="84"/>
    </row>
    <row r="49" ht="16.5" customHeight="1">
      <c r="A49" s="169"/>
      <c r="B49" s="166"/>
      <c r="C49" s="169"/>
      <c r="D49" s="169"/>
      <c r="E49" s="84"/>
      <c r="F49" s="84"/>
      <c r="G49" s="84"/>
      <c r="H49" s="84"/>
      <c r="I49" s="84"/>
      <c r="J49" s="84"/>
      <c r="K49" s="84"/>
      <c r="L49" s="84"/>
      <c r="M49" s="84"/>
    </row>
    <row r="50" ht="16.5" customHeight="1">
      <c r="A50" s="169"/>
      <c r="B50" s="166"/>
      <c r="C50" s="169"/>
      <c r="D50" s="169"/>
      <c r="E50" s="84"/>
      <c r="F50" s="84"/>
      <c r="G50" s="84"/>
      <c r="H50" s="84"/>
      <c r="I50" s="84"/>
      <c r="J50" s="84"/>
      <c r="K50" s="84"/>
      <c r="L50" s="84"/>
      <c r="M50" s="84"/>
    </row>
    <row r="51" ht="16.5" customHeight="1">
      <c r="A51" s="169"/>
      <c r="B51" s="166"/>
      <c r="C51" s="169"/>
      <c r="D51" s="169"/>
      <c r="E51" s="84"/>
      <c r="F51" s="84"/>
      <c r="G51" s="84"/>
      <c r="H51" s="84"/>
      <c r="I51" s="84"/>
      <c r="J51" s="84"/>
      <c r="K51" s="84"/>
      <c r="L51" s="84"/>
      <c r="M51" s="84"/>
    </row>
    <row r="52" ht="16.5" customHeight="1">
      <c r="A52" s="169"/>
      <c r="B52" s="166"/>
      <c r="C52" s="169"/>
      <c r="D52" s="169"/>
      <c r="E52" s="84"/>
      <c r="F52" s="84"/>
      <c r="G52" s="84"/>
      <c r="H52" s="84"/>
      <c r="I52" s="84"/>
      <c r="J52" s="84"/>
      <c r="K52" s="84"/>
      <c r="L52" s="84"/>
      <c r="M52" s="84"/>
    </row>
    <row r="53" ht="16.5" customHeight="1">
      <c r="A53" s="169"/>
      <c r="B53" s="166"/>
      <c r="C53" s="169"/>
      <c r="D53" s="169"/>
      <c r="E53" s="84"/>
      <c r="F53" s="84"/>
      <c r="G53" s="84"/>
      <c r="H53" s="84"/>
      <c r="I53" s="84"/>
      <c r="J53" s="84"/>
      <c r="K53" s="84"/>
      <c r="L53" s="84"/>
      <c r="M53" s="84"/>
    </row>
    <row r="54" ht="16.5" customHeight="1">
      <c r="A54" s="169"/>
      <c r="B54" s="166"/>
      <c r="C54" s="169"/>
      <c r="D54" s="169"/>
      <c r="E54" s="84"/>
      <c r="F54" s="84"/>
      <c r="G54" s="84"/>
      <c r="H54" s="84"/>
      <c r="I54" s="84"/>
      <c r="J54" s="84"/>
      <c r="K54" s="84"/>
      <c r="L54" s="84"/>
      <c r="M54" s="84"/>
    </row>
    <row r="55" ht="16.5" customHeight="1">
      <c r="A55" s="169"/>
      <c r="B55" s="166"/>
      <c r="C55" s="169"/>
      <c r="D55" s="169"/>
      <c r="E55" s="84"/>
      <c r="F55" s="84"/>
      <c r="G55" s="84"/>
      <c r="H55" s="84"/>
      <c r="I55" s="84"/>
      <c r="J55" s="84"/>
      <c r="K55" s="84"/>
      <c r="L55" s="84"/>
      <c r="M55" s="84"/>
    </row>
    <row r="56" ht="16.5" customHeight="1">
      <c r="A56" s="169"/>
      <c r="B56" s="166"/>
      <c r="C56" s="169"/>
      <c r="D56" s="169"/>
      <c r="E56" s="84"/>
      <c r="F56" s="84"/>
      <c r="G56" s="84"/>
      <c r="H56" s="84"/>
      <c r="I56" s="84"/>
      <c r="J56" s="84"/>
      <c r="K56" s="84"/>
      <c r="L56" s="84"/>
      <c r="M56" s="84"/>
    </row>
    <row r="57" ht="16.5" customHeight="1">
      <c r="A57" s="169"/>
      <c r="B57" s="166"/>
      <c r="C57" s="169"/>
      <c r="D57" s="169"/>
      <c r="E57" s="84"/>
      <c r="F57" s="84"/>
      <c r="G57" s="84"/>
      <c r="H57" s="84"/>
      <c r="I57" s="84"/>
      <c r="J57" s="84"/>
      <c r="K57" s="84"/>
      <c r="L57" s="84"/>
      <c r="M57" s="84"/>
    </row>
    <row r="58" ht="16.5" customHeight="1">
      <c r="A58" s="169"/>
      <c r="B58" s="166"/>
      <c r="C58" s="169"/>
      <c r="D58" s="169"/>
      <c r="E58" s="84"/>
      <c r="F58" s="84"/>
      <c r="G58" s="84"/>
      <c r="H58" s="84"/>
      <c r="I58" s="84"/>
      <c r="J58" s="84"/>
      <c r="K58" s="84"/>
      <c r="L58" s="84"/>
      <c r="M58" s="84"/>
    </row>
    <row r="59" ht="16.5" customHeight="1">
      <c r="A59" s="169"/>
      <c r="B59" s="166"/>
      <c r="C59" s="169"/>
      <c r="D59" s="169"/>
      <c r="E59" s="84"/>
      <c r="F59" s="84"/>
      <c r="G59" s="84"/>
      <c r="H59" s="84"/>
      <c r="I59" s="84"/>
      <c r="J59" s="84"/>
      <c r="K59" s="84"/>
      <c r="L59" s="84"/>
      <c r="M59" s="84"/>
    </row>
    <row r="60" ht="16.5" customHeight="1">
      <c r="A60" s="169"/>
      <c r="B60" s="166"/>
      <c r="C60" s="169"/>
      <c r="D60" s="169"/>
      <c r="E60" s="84"/>
      <c r="F60" s="84"/>
      <c r="G60" s="84"/>
      <c r="H60" s="84"/>
      <c r="I60" s="84"/>
      <c r="J60" s="84"/>
      <c r="K60" s="84"/>
      <c r="L60" s="84"/>
      <c r="M60" s="84"/>
    </row>
    <row r="61" ht="16.5" customHeight="1">
      <c r="A61" s="169"/>
      <c r="B61" s="166"/>
      <c r="C61" s="169"/>
      <c r="D61" s="169"/>
      <c r="E61" s="84"/>
      <c r="F61" s="84"/>
      <c r="G61" s="84"/>
      <c r="H61" s="84"/>
      <c r="I61" s="84"/>
      <c r="J61" s="84"/>
      <c r="K61" s="84"/>
      <c r="L61" s="84"/>
      <c r="M61" s="84"/>
    </row>
    <row r="62" ht="16.5" customHeight="1">
      <c r="A62" s="169"/>
      <c r="B62" s="166"/>
      <c r="C62" s="169"/>
      <c r="D62" s="169"/>
      <c r="E62" s="84"/>
      <c r="F62" s="84"/>
      <c r="G62" s="84"/>
      <c r="H62" s="84"/>
      <c r="I62" s="84"/>
      <c r="J62" s="84"/>
      <c r="K62" s="84"/>
      <c r="L62" s="84"/>
      <c r="M62" s="84"/>
    </row>
    <row r="63" ht="16.5" customHeight="1">
      <c r="A63" s="169"/>
      <c r="B63" s="166"/>
      <c r="C63" s="169"/>
      <c r="D63" s="169"/>
      <c r="E63" s="84"/>
      <c r="F63" s="84"/>
      <c r="G63" s="84"/>
      <c r="H63" s="84"/>
      <c r="I63" s="84"/>
      <c r="J63" s="84"/>
      <c r="K63" s="84"/>
      <c r="L63" s="84"/>
      <c r="M63" s="84"/>
    </row>
    <row r="64" ht="16.5" customHeight="1">
      <c r="A64" s="169"/>
      <c r="B64" s="166"/>
      <c r="C64" s="169"/>
      <c r="D64" s="169"/>
      <c r="E64" s="84"/>
      <c r="F64" s="84"/>
      <c r="G64" s="84"/>
      <c r="H64" s="84"/>
      <c r="I64" s="84"/>
      <c r="J64" s="84"/>
      <c r="K64" s="84"/>
      <c r="L64" s="84"/>
      <c r="M64" s="84"/>
    </row>
    <row r="65" ht="16.5" customHeight="1">
      <c r="A65" s="169"/>
      <c r="B65" s="166"/>
      <c r="C65" s="169"/>
      <c r="D65" s="169"/>
      <c r="E65" s="84"/>
      <c r="F65" s="84"/>
      <c r="G65" s="84"/>
      <c r="H65" s="84"/>
      <c r="I65" s="84"/>
      <c r="J65" s="84"/>
      <c r="K65" s="84"/>
      <c r="L65" s="84"/>
      <c r="M65" s="84"/>
    </row>
    <row r="66" ht="16.5" customHeight="1">
      <c r="A66" s="169"/>
      <c r="B66" s="166"/>
      <c r="C66" s="169"/>
      <c r="D66" s="169"/>
      <c r="E66" s="84"/>
      <c r="F66" s="84"/>
      <c r="G66" s="84"/>
      <c r="H66" s="84"/>
      <c r="I66" s="84"/>
      <c r="J66" s="84"/>
      <c r="K66" s="84"/>
      <c r="L66" s="84"/>
      <c r="M66" s="84"/>
    </row>
    <row r="67" ht="16.5" customHeight="1">
      <c r="A67" s="169"/>
      <c r="B67" s="166"/>
      <c r="C67" s="169"/>
      <c r="D67" s="169"/>
      <c r="E67" s="84"/>
      <c r="F67" s="84"/>
      <c r="G67" s="84"/>
      <c r="H67" s="84"/>
      <c r="I67" s="84"/>
      <c r="J67" s="84"/>
      <c r="K67" s="84"/>
      <c r="L67" s="84"/>
      <c r="M67" s="84"/>
    </row>
    <row r="68" ht="16.5" customHeight="1">
      <c r="A68" s="169"/>
      <c r="B68" s="166"/>
      <c r="C68" s="169"/>
      <c r="D68" s="169"/>
      <c r="E68" s="84"/>
      <c r="F68" s="84"/>
      <c r="G68" s="84"/>
      <c r="H68" s="84"/>
      <c r="I68" s="84"/>
      <c r="J68" s="84"/>
      <c r="K68" s="84"/>
      <c r="L68" s="84"/>
      <c r="M68" s="84"/>
    </row>
    <row r="69" ht="16.5" customHeight="1">
      <c r="A69" s="169"/>
      <c r="B69" s="166"/>
      <c r="C69" s="169"/>
      <c r="D69" s="169"/>
      <c r="E69" s="84"/>
      <c r="F69" s="84"/>
      <c r="G69" s="84"/>
      <c r="H69" s="84"/>
      <c r="I69" s="84"/>
      <c r="J69" s="84"/>
      <c r="K69" s="84"/>
      <c r="L69" s="84"/>
      <c r="M69" s="84"/>
    </row>
    <row r="70" ht="16.5" customHeight="1">
      <c r="A70" s="169"/>
      <c r="B70" s="166"/>
      <c r="C70" s="169"/>
      <c r="D70" s="169"/>
      <c r="E70" s="84"/>
      <c r="F70" s="84"/>
      <c r="G70" s="84"/>
      <c r="H70" s="84"/>
      <c r="I70" s="84"/>
      <c r="J70" s="84"/>
      <c r="K70" s="84"/>
      <c r="L70" s="84"/>
      <c r="M70" s="84"/>
    </row>
    <row r="71" ht="16.5" customHeight="1">
      <c r="A71" s="169"/>
      <c r="B71" s="166"/>
      <c r="C71" s="169"/>
      <c r="D71" s="169"/>
      <c r="E71" s="84"/>
      <c r="F71" s="84"/>
      <c r="G71" s="84"/>
      <c r="H71" s="84"/>
      <c r="I71" s="84"/>
      <c r="J71" s="84"/>
      <c r="K71" s="84"/>
      <c r="L71" s="84"/>
      <c r="M71" s="84"/>
    </row>
    <row r="72" ht="16.5" customHeight="1">
      <c r="A72" s="169"/>
      <c r="B72" s="166"/>
      <c r="C72" s="169"/>
      <c r="D72" s="169"/>
      <c r="E72" s="84"/>
      <c r="F72" s="84"/>
      <c r="G72" s="84"/>
      <c r="H72" s="84"/>
      <c r="I72" s="84"/>
      <c r="J72" s="84"/>
      <c r="K72" s="84"/>
      <c r="L72" s="84"/>
      <c r="M72" s="84"/>
    </row>
    <row r="73" ht="16.5" customHeight="1">
      <c r="A73" s="169"/>
      <c r="B73" s="166"/>
      <c r="C73" s="169"/>
      <c r="D73" s="169"/>
      <c r="E73" s="84"/>
      <c r="F73" s="84"/>
      <c r="G73" s="84"/>
      <c r="H73" s="84"/>
      <c r="I73" s="84"/>
      <c r="J73" s="84"/>
      <c r="K73" s="84"/>
      <c r="L73" s="84"/>
      <c r="M73" s="84"/>
    </row>
    <row r="74" ht="16.5" customHeight="1">
      <c r="A74" s="169"/>
      <c r="B74" s="166"/>
      <c r="C74" s="169"/>
      <c r="D74" s="169"/>
      <c r="E74" s="84"/>
      <c r="F74" s="84"/>
      <c r="G74" s="84"/>
      <c r="H74" s="84"/>
      <c r="I74" s="84"/>
      <c r="J74" s="84"/>
      <c r="K74" s="84"/>
      <c r="L74" s="84"/>
      <c r="M74" s="84"/>
    </row>
    <row r="75" ht="16.5" customHeight="1">
      <c r="A75" s="169"/>
      <c r="B75" s="166"/>
      <c r="C75" s="169"/>
      <c r="D75" s="169"/>
      <c r="E75" s="84"/>
      <c r="F75" s="84"/>
      <c r="G75" s="84"/>
      <c r="H75" s="84"/>
      <c r="I75" s="84"/>
      <c r="J75" s="84"/>
      <c r="K75" s="84"/>
      <c r="L75" s="84"/>
      <c r="M75" s="84"/>
    </row>
    <row r="76" ht="16.5" customHeight="1">
      <c r="A76" s="169"/>
      <c r="B76" s="166"/>
      <c r="C76" s="169"/>
      <c r="D76" s="169"/>
      <c r="E76" s="84"/>
      <c r="F76" s="84"/>
      <c r="G76" s="84"/>
      <c r="H76" s="84"/>
      <c r="I76" s="84"/>
      <c r="J76" s="84"/>
      <c r="K76" s="84"/>
      <c r="L76" s="84"/>
      <c r="M76" s="84"/>
    </row>
    <row r="77" ht="16.5" customHeight="1">
      <c r="A77" s="169"/>
      <c r="B77" s="166"/>
      <c r="C77" s="169"/>
      <c r="D77" s="169"/>
      <c r="E77" s="84"/>
      <c r="F77" s="84"/>
      <c r="G77" s="84"/>
      <c r="H77" s="84"/>
      <c r="I77" s="84"/>
      <c r="J77" s="84"/>
      <c r="K77" s="84"/>
      <c r="L77" s="84"/>
      <c r="M77" s="84"/>
    </row>
    <row r="78" ht="16.5" customHeight="1">
      <c r="A78" s="169"/>
      <c r="B78" s="166"/>
      <c r="C78" s="169"/>
      <c r="D78" s="169"/>
      <c r="E78" s="84"/>
      <c r="F78" s="84"/>
      <c r="G78" s="84"/>
      <c r="H78" s="84"/>
      <c r="I78" s="84"/>
      <c r="J78" s="84"/>
      <c r="K78" s="84"/>
      <c r="L78" s="84"/>
      <c r="M78" s="84"/>
    </row>
    <row r="79" ht="16.5" customHeight="1">
      <c r="A79" s="169"/>
      <c r="B79" s="166"/>
      <c r="C79" s="169"/>
      <c r="D79" s="169"/>
      <c r="E79" s="84"/>
      <c r="F79" s="84"/>
      <c r="G79" s="84"/>
      <c r="H79" s="84"/>
      <c r="I79" s="84"/>
      <c r="J79" s="84"/>
      <c r="K79" s="84"/>
      <c r="L79" s="84"/>
      <c r="M79" s="84"/>
    </row>
    <row r="80" ht="16.5" customHeight="1">
      <c r="A80" s="169"/>
      <c r="B80" s="166"/>
      <c r="C80" s="169"/>
      <c r="D80" s="169"/>
      <c r="E80" s="84"/>
      <c r="F80" s="84"/>
      <c r="G80" s="84"/>
      <c r="H80" s="84"/>
      <c r="I80" s="84"/>
      <c r="J80" s="84"/>
      <c r="K80" s="84"/>
      <c r="L80" s="84"/>
      <c r="M80" s="84"/>
    </row>
    <row r="81" ht="16.5" customHeight="1">
      <c r="A81" s="169"/>
      <c r="B81" s="166"/>
      <c r="C81" s="169"/>
      <c r="D81" s="169"/>
      <c r="E81" s="84"/>
      <c r="F81" s="84"/>
      <c r="G81" s="84"/>
      <c r="H81" s="84"/>
      <c r="I81" s="84"/>
      <c r="J81" s="84"/>
      <c r="K81" s="84"/>
      <c r="L81" s="84"/>
      <c r="M81" s="84"/>
    </row>
    <row r="82" ht="16.5" customHeight="1">
      <c r="A82" s="169"/>
      <c r="B82" s="166"/>
      <c r="C82" s="169"/>
      <c r="D82" s="169"/>
      <c r="E82" s="84"/>
      <c r="F82" s="84"/>
      <c r="G82" s="84"/>
      <c r="H82" s="84"/>
      <c r="I82" s="84"/>
      <c r="J82" s="84"/>
      <c r="K82" s="84"/>
      <c r="L82" s="84"/>
      <c r="M82" s="84"/>
    </row>
    <row r="83" ht="16.5" customHeight="1">
      <c r="A83" s="169"/>
      <c r="B83" s="166"/>
      <c r="C83" s="169"/>
      <c r="D83" s="169"/>
      <c r="E83" s="84"/>
      <c r="F83" s="84"/>
      <c r="G83" s="84"/>
      <c r="H83" s="84"/>
      <c r="I83" s="84"/>
      <c r="J83" s="84"/>
      <c r="K83" s="84"/>
      <c r="L83" s="84"/>
      <c r="M83" s="84"/>
    </row>
    <row r="84" ht="16.5" customHeight="1">
      <c r="A84" s="169"/>
      <c r="B84" s="166"/>
      <c r="C84" s="169"/>
      <c r="D84" s="169"/>
      <c r="E84" s="84"/>
      <c r="F84" s="84"/>
      <c r="G84" s="84"/>
      <c r="H84" s="84"/>
      <c r="I84" s="84"/>
      <c r="J84" s="84"/>
      <c r="K84" s="84"/>
      <c r="L84" s="84"/>
      <c r="M84" s="84"/>
    </row>
    <row r="85" ht="16.5" customHeight="1">
      <c r="A85" s="169"/>
      <c r="B85" s="166"/>
      <c r="C85" s="169"/>
      <c r="D85" s="169"/>
      <c r="E85" s="84"/>
      <c r="F85" s="84"/>
      <c r="G85" s="84"/>
      <c r="H85" s="84"/>
      <c r="I85" s="84"/>
      <c r="J85" s="84"/>
      <c r="K85" s="84"/>
      <c r="L85" s="84"/>
      <c r="M85" s="84"/>
    </row>
    <row r="86" ht="16.5" customHeight="1">
      <c r="A86" s="169"/>
      <c r="B86" s="166"/>
      <c r="C86" s="169"/>
      <c r="D86" s="169"/>
      <c r="E86" s="84"/>
      <c r="F86" s="84"/>
      <c r="G86" s="84"/>
      <c r="H86" s="84"/>
      <c r="I86" s="84"/>
      <c r="J86" s="84"/>
      <c r="K86" s="84"/>
      <c r="L86" s="84"/>
      <c r="M86" s="84"/>
    </row>
    <row r="87" ht="16.5" customHeight="1">
      <c r="A87" s="169"/>
      <c r="B87" s="166"/>
      <c r="C87" s="169"/>
      <c r="D87" s="169"/>
      <c r="E87" s="84"/>
      <c r="F87" s="84"/>
      <c r="G87" s="84"/>
      <c r="H87" s="84"/>
      <c r="I87" s="84"/>
      <c r="J87" s="84"/>
      <c r="K87" s="84"/>
      <c r="L87" s="84"/>
      <c r="M87" s="84"/>
    </row>
    <row r="88" ht="16.5" customHeight="1">
      <c r="A88" s="169"/>
      <c r="B88" s="166"/>
      <c r="C88" s="169"/>
      <c r="D88" s="169"/>
      <c r="E88" s="84"/>
      <c r="F88" s="84"/>
      <c r="G88" s="84"/>
      <c r="H88" s="84"/>
      <c r="I88" s="84"/>
      <c r="J88" s="84"/>
      <c r="K88" s="84"/>
      <c r="L88" s="84"/>
      <c r="M88" s="84"/>
    </row>
    <row r="89" ht="16.5" customHeight="1">
      <c r="A89" s="169"/>
      <c r="B89" s="166"/>
      <c r="C89" s="169"/>
      <c r="D89" s="169"/>
      <c r="E89" s="84"/>
      <c r="F89" s="84"/>
      <c r="G89" s="84"/>
      <c r="H89" s="84"/>
      <c r="I89" s="84"/>
      <c r="J89" s="84"/>
      <c r="K89" s="84"/>
      <c r="L89" s="84"/>
      <c r="M89" s="84"/>
    </row>
    <row r="90" ht="16.5" customHeight="1">
      <c r="A90" s="169"/>
      <c r="B90" s="166"/>
      <c r="C90" s="169"/>
      <c r="D90" s="169"/>
      <c r="E90" s="84"/>
      <c r="F90" s="84"/>
      <c r="G90" s="84"/>
      <c r="H90" s="84"/>
      <c r="I90" s="84"/>
      <c r="J90" s="84"/>
      <c r="K90" s="84"/>
      <c r="L90" s="84"/>
      <c r="M90" s="84"/>
    </row>
    <row r="91" ht="16.5" customHeight="1">
      <c r="A91" s="169"/>
      <c r="B91" s="166"/>
      <c r="C91" s="169"/>
      <c r="D91" s="169"/>
      <c r="E91" s="84"/>
      <c r="F91" s="84"/>
      <c r="G91" s="84"/>
      <c r="H91" s="84"/>
      <c r="I91" s="84"/>
      <c r="J91" s="84"/>
      <c r="K91" s="84"/>
      <c r="L91" s="84"/>
      <c r="M91" s="84"/>
    </row>
    <row r="92" ht="16.5" customHeight="1">
      <c r="A92" s="169"/>
      <c r="B92" s="166"/>
      <c r="C92" s="169"/>
      <c r="D92" s="169"/>
      <c r="E92" s="84"/>
      <c r="F92" s="84"/>
      <c r="G92" s="84"/>
      <c r="H92" s="84"/>
      <c r="I92" s="84"/>
      <c r="J92" s="84"/>
      <c r="K92" s="84"/>
      <c r="L92" s="84"/>
      <c r="M92" s="84"/>
    </row>
    <row r="93" ht="16.5" customHeight="1">
      <c r="A93" s="169"/>
      <c r="B93" s="166"/>
      <c r="C93" s="169"/>
      <c r="D93" s="169"/>
      <c r="E93" s="84"/>
      <c r="F93" s="84"/>
      <c r="G93" s="84"/>
      <c r="H93" s="84"/>
      <c r="I93" s="84"/>
      <c r="J93" s="84"/>
      <c r="K93" s="84"/>
      <c r="L93" s="84"/>
      <c r="M93" s="84"/>
    </row>
    <row r="94" ht="16.5" customHeight="1">
      <c r="A94" s="169"/>
      <c r="B94" s="166"/>
      <c r="C94" s="169"/>
      <c r="D94" s="169"/>
      <c r="E94" s="84"/>
      <c r="F94" s="84"/>
      <c r="G94" s="84"/>
      <c r="H94" s="84"/>
      <c r="I94" s="84"/>
      <c r="J94" s="84"/>
      <c r="K94" s="84"/>
      <c r="L94" s="84"/>
      <c r="M94" s="84"/>
    </row>
    <row r="95" ht="16.5" customHeight="1">
      <c r="A95" s="169"/>
      <c r="B95" s="166"/>
      <c r="C95" s="169"/>
      <c r="D95" s="169"/>
      <c r="E95" s="84"/>
      <c r="F95" s="84"/>
      <c r="G95" s="84"/>
      <c r="H95" s="84"/>
      <c r="I95" s="84"/>
      <c r="J95" s="84"/>
      <c r="K95" s="84"/>
      <c r="L95" s="84"/>
      <c r="M95" s="84"/>
    </row>
    <row r="96" ht="16.5" customHeight="1">
      <c r="A96" s="169"/>
      <c r="B96" s="166"/>
      <c r="C96" s="169"/>
      <c r="D96" s="169"/>
      <c r="E96" s="84"/>
      <c r="F96" s="84"/>
      <c r="G96" s="84"/>
      <c r="H96" s="84"/>
      <c r="I96" s="84"/>
      <c r="J96" s="84"/>
      <c r="K96" s="84"/>
      <c r="L96" s="84"/>
      <c r="M96" s="84"/>
    </row>
    <row r="97" ht="16.5" customHeight="1">
      <c r="A97" s="169"/>
      <c r="B97" s="166"/>
      <c r="C97" s="169"/>
      <c r="D97" s="169"/>
      <c r="E97" s="84"/>
      <c r="F97" s="84"/>
      <c r="G97" s="84"/>
      <c r="H97" s="84"/>
      <c r="I97" s="84"/>
      <c r="J97" s="84"/>
      <c r="K97" s="84"/>
      <c r="L97" s="84"/>
      <c r="M97" s="84"/>
    </row>
    <row r="98" ht="16.5" customHeight="1">
      <c r="A98" s="169"/>
      <c r="B98" s="166"/>
      <c r="C98" s="169"/>
      <c r="D98" s="169"/>
      <c r="E98" s="84"/>
      <c r="F98" s="84"/>
      <c r="G98" s="84"/>
      <c r="H98" s="84"/>
      <c r="I98" s="84"/>
      <c r="J98" s="84"/>
      <c r="K98" s="84"/>
      <c r="L98" s="84"/>
      <c r="M98" s="84"/>
    </row>
    <row r="99" ht="16.5" customHeight="1">
      <c r="A99" s="169"/>
      <c r="B99" s="166"/>
      <c r="C99" s="169"/>
      <c r="D99" s="169"/>
      <c r="E99" s="84"/>
      <c r="F99" s="84"/>
      <c r="G99" s="84"/>
      <c r="H99" s="84"/>
      <c r="I99" s="84"/>
      <c r="J99" s="84"/>
      <c r="K99" s="84"/>
      <c r="L99" s="84"/>
      <c r="M99" s="84"/>
    </row>
    <row r="100" ht="16.5" customHeight="1">
      <c r="A100" s="169"/>
      <c r="B100" s="166"/>
      <c r="C100" s="169"/>
      <c r="D100" s="169"/>
      <c r="E100" s="84"/>
      <c r="F100" s="84"/>
      <c r="G100" s="84"/>
      <c r="H100" s="84"/>
      <c r="I100" s="84"/>
      <c r="J100" s="84"/>
      <c r="K100" s="84"/>
      <c r="L100" s="84"/>
      <c r="M100" s="84"/>
    </row>
    <row r="101" ht="16.5" customHeight="1">
      <c r="A101" s="169"/>
      <c r="B101" s="166"/>
      <c r="C101" s="169"/>
      <c r="D101" s="169"/>
      <c r="E101" s="84"/>
      <c r="F101" s="84"/>
      <c r="G101" s="84"/>
      <c r="H101" s="84"/>
      <c r="I101" s="84"/>
      <c r="J101" s="84"/>
      <c r="K101" s="84"/>
      <c r="L101" s="84"/>
      <c r="M101" s="84"/>
    </row>
    <row r="102" ht="16.5" customHeight="1">
      <c r="A102" s="169"/>
      <c r="B102" s="166"/>
      <c r="C102" s="169"/>
      <c r="D102" s="169"/>
      <c r="E102" s="84"/>
      <c r="F102" s="84"/>
      <c r="G102" s="84"/>
      <c r="H102" s="84"/>
      <c r="I102" s="84"/>
      <c r="J102" s="84"/>
      <c r="K102" s="84"/>
      <c r="L102" s="84"/>
      <c r="M102" s="84"/>
    </row>
    <row r="103" ht="16.5" customHeight="1">
      <c r="A103" s="169"/>
      <c r="B103" s="166"/>
      <c r="C103" s="169"/>
      <c r="D103" s="169"/>
      <c r="E103" s="84"/>
      <c r="F103" s="84"/>
      <c r="G103" s="84"/>
      <c r="H103" s="84"/>
      <c r="I103" s="84"/>
      <c r="J103" s="84"/>
      <c r="K103" s="84"/>
      <c r="L103" s="84"/>
      <c r="M103" s="84"/>
    </row>
    <row r="104" ht="16.5" customHeight="1">
      <c r="A104" s="169"/>
      <c r="B104" s="166"/>
      <c r="C104" s="169"/>
      <c r="D104" s="169"/>
      <c r="E104" s="84"/>
      <c r="F104" s="84"/>
      <c r="G104" s="84"/>
      <c r="H104" s="84"/>
      <c r="I104" s="84"/>
      <c r="J104" s="84"/>
      <c r="K104" s="84"/>
      <c r="L104" s="84"/>
      <c r="M104" s="84"/>
    </row>
    <row r="105" ht="16.5" customHeight="1">
      <c r="A105" s="169"/>
      <c r="B105" s="166"/>
      <c r="C105" s="169"/>
      <c r="D105" s="169"/>
      <c r="E105" s="84"/>
      <c r="F105" s="84"/>
      <c r="G105" s="84"/>
      <c r="H105" s="84"/>
      <c r="I105" s="84"/>
      <c r="J105" s="84"/>
      <c r="K105" s="84"/>
      <c r="L105" s="84"/>
      <c r="M105" s="84"/>
    </row>
    <row r="106" ht="16.5" customHeight="1">
      <c r="A106" s="169"/>
      <c r="B106" s="166"/>
      <c r="C106" s="169"/>
      <c r="D106" s="169"/>
      <c r="E106" s="84"/>
      <c r="F106" s="84"/>
      <c r="G106" s="84"/>
      <c r="H106" s="84"/>
      <c r="I106" s="84"/>
      <c r="J106" s="84"/>
      <c r="K106" s="84"/>
      <c r="L106" s="84"/>
      <c r="M106" s="84"/>
    </row>
    <row r="107" ht="16.5" customHeight="1">
      <c r="A107" s="169"/>
      <c r="B107" s="166"/>
      <c r="C107" s="169"/>
      <c r="D107" s="169"/>
      <c r="E107" s="84"/>
      <c r="F107" s="84"/>
      <c r="G107" s="84"/>
      <c r="H107" s="84"/>
      <c r="I107" s="84"/>
      <c r="J107" s="84"/>
      <c r="K107" s="84"/>
      <c r="L107" s="84"/>
      <c r="M107" s="84"/>
    </row>
    <row r="108" ht="16.5" customHeight="1">
      <c r="A108" s="169"/>
      <c r="B108" s="166"/>
      <c r="C108" s="169"/>
      <c r="D108" s="169"/>
      <c r="E108" s="84"/>
      <c r="F108" s="84"/>
      <c r="G108" s="84"/>
      <c r="H108" s="84"/>
      <c r="I108" s="84"/>
      <c r="J108" s="84"/>
      <c r="K108" s="84"/>
      <c r="L108" s="84"/>
      <c r="M108" s="84"/>
    </row>
    <row r="109" ht="16.5" customHeight="1">
      <c r="A109" s="169"/>
      <c r="B109" s="166"/>
      <c r="C109" s="169"/>
      <c r="D109" s="169"/>
      <c r="E109" s="84"/>
      <c r="F109" s="84"/>
      <c r="G109" s="84"/>
      <c r="H109" s="84"/>
      <c r="I109" s="84"/>
      <c r="J109" s="84"/>
      <c r="K109" s="84"/>
      <c r="L109" s="84"/>
      <c r="M109" s="84"/>
    </row>
    <row r="110" ht="16.5" customHeight="1">
      <c r="A110" s="169"/>
      <c r="B110" s="166"/>
      <c r="C110" s="169"/>
      <c r="D110" s="169"/>
      <c r="E110" s="84"/>
      <c r="F110" s="84"/>
      <c r="G110" s="84"/>
      <c r="H110" s="84"/>
      <c r="I110" s="84"/>
      <c r="J110" s="84"/>
      <c r="K110" s="84"/>
      <c r="L110" s="84"/>
      <c r="M110" s="84"/>
    </row>
    <row r="111" ht="16.5" customHeight="1">
      <c r="A111" s="169"/>
      <c r="B111" s="166"/>
      <c r="C111" s="169"/>
      <c r="D111" s="169"/>
      <c r="E111" s="84"/>
      <c r="F111" s="84"/>
      <c r="G111" s="84"/>
      <c r="H111" s="84"/>
      <c r="I111" s="84"/>
      <c r="J111" s="84"/>
      <c r="K111" s="84"/>
      <c r="L111" s="84"/>
      <c r="M111" s="84"/>
    </row>
    <row r="112" ht="16.5" customHeight="1">
      <c r="A112" s="169"/>
      <c r="B112" s="166"/>
      <c r="C112" s="169"/>
      <c r="D112" s="169"/>
      <c r="E112" s="84"/>
      <c r="F112" s="84"/>
      <c r="G112" s="84"/>
      <c r="H112" s="84"/>
      <c r="I112" s="84"/>
      <c r="J112" s="84"/>
      <c r="K112" s="84"/>
      <c r="L112" s="84"/>
      <c r="M112" s="84"/>
    </row>
    <row r="113" ht="16.5" customHeight="1">
      <c r="A113" s="169"/>
      <c r="B113" s="166"/>
      <c r="C113" s="169"/>
      <c r="D113" s="169"/>
      <c r="E113" s="84"/>
      <c r="F113" s="84"/>
      <c r="G113" s="84"/>
      <c r="H113" s="84"/>
      <c r="I113" s="84"/>
      <c r="J113" s="84"/>
      <c r="K113" s="84"/>
      <c r="L113" s="84"/>
      <c r="M113" s="84"/>
    </row>
    <row r="114" ht="16.5" customHeight="1">
      <c r="A114" s="169"/>
      <c r="B114" s="166"/>
      <c r="C114" s="169"/>
      <c r="D114" s="169"/>
      <c r="E114" s="84"/>
      <c r="F114" s="84"/>
      <c r="G114" s="84"/>
      <c r="H114" s="84"/>
      <c r="I114" s="84"/>
      <c r="J114" s="84"/>
      <c r="K114" s="84"/>
      <c r="L114" s="84"/>
      <c r="M114" s="84"/>
    </row>
    <row r="115" ht="16.5" customHeight="1">
      <c r="A115" s="169"/>
      <c r="B115" s="166"/>
      <c r="C115" s="169"/>
      <c r="D115" s="169"/>
      <c r="E115" s="84"/>
      <c r="F115" s="84"/>
      <c r="G115" s="84"/>
      <c r="H115" s="84"/>
      <c r="I115" s="84"/>
      <c r="J115" s="84"/>
      <c r="K115" s="84"/>
      <c r="L115" s="84"/>
      <c r="M115" s="84"/>
    </row>
    <row r="116" ht="16.5" customHeight="1">
      <c r="A116" s="169"/>
      <c r="B116" s="166"/>
      <c r="C116" s="169"/>
      <c r="D116" s="169"/>
      <c r="E116" s="84"/>
      <c r="F116" s="84"/>
      <c r="G116" s="84"/>
      <c r="H116" s="84"/>
      <c r="I116" s="84"/>
      <c r="J116" s="84"/>
      <c r="K116" s="84"/>
      <c r="L116" s="84"/>
      <c r="M116" s="84"/>
    </row>
    <row r="117" ht="16.5" customHeight="1">
      <c r="A117" s="169"/>
      <c r="B117" s="166"/>
      <c r="C117" s="169"/>
      <c r="D117" s="169"/>
      <c r="E117" s="84"/>
      <c r="F117" s="84"/>
      <c r="G117" s="84"/>
      <c r="H117" s="84"/>
      <c r="I117" s="84"/>
      <c r="J117" s="84"/>
      <c r="K117" s="84"/>
      <c r="L117" s="84"/>
      <c r="M117" s="84"/>
    </row>
    <row r="118" ht="16.5" customHeight="1">
      <c r="A118" s="169"/>
      <c r="B118" s="166"/>
      <c r="C118" s="169"/>
      <c r="D118" s="169"/>
      <c r="E118" s="84"/>
      <c r="F118" s="84"/>
      <c r="G118" s="84"/>
      <c r="H118" s="84"/>
      <c r="I118" s="84"/>
      <c r="J118" s="84"/>
      <c r="K118" s="84"/>
      <c r="L118" s="84"/>
      <c r="M118" s="84"/>
    </row>
    <row r="119" ht="16.5" customHeight="1">
      <c r="A119" s="169"/>
      <c r="B119" s="166"/>
      <c r="C119" s="169"/>
      <c r="D119" s="169"/>
      <c r="E119" s="84"/>
      <c r="F119" s="84"/>
      <c r="G119" s="84"/>
      <c r="H119" s="84"/>
      <c r="I119" s="84"/>
      <c r="J119" s="84"/>
      <c r="K119" s="84"/>
      <c r="L119" s="84"/>
      <c r="M119" s="84"/>
    </row>
    <row r="120" ht="16.5" customHeight="1">
      <c r="A120" s="169"/>
      <c r="B120" s="166"/>
      <c r="C120" s="169"/>
      <c r="D120" s="169"/>
      <c r="E120" s="84"/>
      <c r="F120" s="84"/>
      <c r="G120" s="84"/>
      <c r="H120" s="84"/>
      <c r="I120" s="84"/>
      <c r="J120" s="84"/>
      <c r="K120" s="84"/>
      <c r="L120" s="84"/>
      <c r="M120" s="84"/>
    </row>
    <row r="121" ht="16.5" customHeight="1">
      <c r="A121" s="169"/>
      <c r="B121" s="166"/>
      <c r="C121" s="169"/>
      <c r="D121" s="169"/>
      <c r="E121" s="84"/>
      <c r="F121" s="84"/>
      <c r="G121" s="84"/>
      <c r="H121" s="84"/>
      <c r="I121" s="84"/>
      <c r="J121" s="84"/>
      <c r="K121" s="84"/>
      <c r="L121" s="84"/>
      <c r="M121" s="84"/>
    </row>
    <row r="122" ht="16.5" customHeight="1">
      <c r="A122" s="169"/>
      <c r="B122" s="166"/>
      <c r="C122" s="169"/>
      <c r="D122" s="169"/>
      <c r="E122" s="84"/>
      <c r="F122" s="84"/>
      <c r="G122" s="84"/>
      <c r="H122" s="84"/>
      <c r="I122" s="84"/>
      <c r="J122" s="84"/>
      <c r="K122" s="84"/>
      <c r="L122" s="84"/>
      <c r="M122" s="84"/>
    </row>
    <row r="123" ht="16.5" customHeight="1">
      <c r="A123" s="169"/>
      <c r="B123" s="166"/>
      <c r="C123" s="169"/>
      <c r="D123" s="169"/>
      <c r="E123" s="84"/>
      <c r="F123" s="84"/>
      <c r="G123" s="84"/>
      <c r="H123" s="84"/>
      <c r="I123" s="84"/>
      <c r="J123" s="84"/>
      <c r="K123" s="84"/>
      <c r="L123" s="84"/>
      <c r="M123" s="84"/>
    </row>
    <row r="124" ht="16.5" customHeight="1">
      <c r="A124" s="169"/>
      <c r="B124" s="166"/>
      <c r="C124" s="169"/>
      <c r="D124" s="169"/>
      <c r="E124" s="84"/>
      <c r="F124" s="84"/>
      <c r="G124" s="84"/>
      <c r="H124" s="84"/>
      <c r="I124" s="84"/>
      <c r="J124" s="84"/>
      <c r="K124" s="84"/>
      <c r="L124" s="84"/>
      <c r="M124" s="84"/>
    </row>
    <row r="125" ht="16.5" customHeight="1">
      <c r="A125" s="169"/>
      <c r="B125" s="166"/>
      <c r="C125" s="169"/>
      <c r="D125" s="169"/>
      <c r="E125" s="84"/>
      <c r="F125" s="84"/>
      <c r="G125" s="84"/>
      <c r="H125" s="84"/>
      <c r="I125" s="84"/>
      <c r="J125" s="84"/>
      <c r="K125" s="84"/>
      <c r="L125" s="84"/>
      <c r="M125" s="84"/>
    </row>
    <row r="126" ht="16.5" customHeight="1">
      <c r="A126" s="169"/>
      <c r="B126" s="166"/>
      <c r="C126" s="169"/>
      <c r="D126" s="169"/>
      <c r="E126" s="84"/>
      <c r="F126" s="84"/>
      <c r="G126" s="84"/>
      <c r="H126" s="84"/>
      <c r="I126" s="84"/>
      <c r="J126" s="84"/>
      <c r="K126" s="84"/>
      <c r="L126" s="84"/>
      <c r="M126" s="84"/>
    </row>
    <row r="127" ht="16.5" customHeight="1">
      <c r="A127" s="169"/>
      <c r="B127" s="166"/>
      <c r="C127" s="169"/>
      <c r="D127" s="169"/>
      <c r="E127" s="84"/>
      <c r="F127" s="84"/>
      <c r="G127" s="84"/>
      <c r="H127" s="84"/>
      <c r="I127" s="84"/>
      <c r="J127" s="84"/>
      <c r="K127" s="84"/>
      <c r="L127" s="84"/>
      <c r="M127" s="84"/>
    </row>
    <row r="128" ht="16.5" customHeight="1">
      <c r="A128" s="169"/>
      <c r="B128" s="166"/>
      <c r="C128" s="169"/>
      <c r="D128" s="169"/>
      <c r="E128" s="84"/>
      <c r="F128" s="84"/>
      <c r="G128" s="84"/>
      <c r="H128" s="84"/>
      <c r="I128" s="84"/>
      <c r="J128" s="84"/>
      <c r="K128" s="84"/>
      <c r="L128" s="84"/>
      <c r="M128" s="84"/>
    </row>
    <row r="129" ht="16.5" customHeight="1">
      <c r="A129" s="169"/>
      <c r="B129" s="166"/>
      <c r="C129" s="169"/>
      <c r="D129" s="169"/>
      <c r="E129" s="84"/>
      <c r="F129" s="84"/>
      <c r="G129" s="84"/>
      <c r="H129" s="84"/>
      <c r="I129" s="84"/>
      <c r="J129" s="84"/>
      <c r="K129" s="84"/>
      <c r="L129" s="84"/>
      <c r="M129" s="84"/>
    </row>
    <row r="130" ht="16.5" customHeight="1">
      <c r="A130" s="169"/>
      <c r="B130" s="166"/>
      <c r="C130" s="169"/>
      <c r="D130" s="169"/>
      <c r="E130" s="84"/>
      <c r="F130" s="84"/>
      <c r="G130" s="84"/>
      <c r="H130" s="84"/>
      <c r="I130" s="84"/>
      <c r="J130" s="84"/>
      <c r="K130" s="84"/>
      <c r="L130" s="84"/>
      <c r="M130" s="84"/>
    </row>
    <row r="131" ht="16.5" customHeight="1">
      <c r="A131" s="169"/>
      <c r="B131" s="166"/>
      <c r="C131" s="169"/>
      <c r="D131" s="169"/>
      <c r="E131" s="84"/>
      <c r="F131" s="84"/>
      <c r="G131" s="84"/>
      <c r="H131" s="84"/>
      <c r="I131" s="84"/>
      <c r="J131" s="84"/>
      <c r="K131" s="84"/>
      <c r="L131" s="84"/>
      <c r="M131" s="84"/>
    </row>
    <row r="132" ht="16.5" customHeight="1">
      <c r="A132" s="169"/>
      <c r="B132" s="166"/>
      <c r="C132" s="169"/>
      <c r="D132" s="169"/>
      <c r="E132" s="84"/>
      <c r="F132" s="84"/>
      <c r="G132" s="84"/>
      <c r="H132" s="84"/>
      <c r="I132" s="84"/>
      <c r="J132" s="84"/>
      <c r="K132" s="84"/>
      <c r="L132" s="84"/>
      <c r="M132" s="84"/>
    </row>
    <row r="133" ht="16.5" customHeight="1">
      <c r="A133" s="169"/>
      <c r="B133" s="166"/>
      <c r="C133" s="169"/>
      <c r="D133" s="169"/>
      <c r="E133" s="84"/>
      <c r="F133" s="84"/>
      <c r="G133" s="84"/>
      <c r="H133" s="84"/>
      <c r="I133" s="84"/>
      <c r="J133" s="84"/>
      <c r="K133" s="84"/>
      <c r="L133" s="84"/>
      <c r="M133" s="84"/>
    </row>
    <row r="134" ht="16.5" customHeight="1">
      <c r="A134" s="169"/>
      <c r="B134" s="166"/>
      <c r="C134" s="169"/>
      <c r="D134" s="169"/>
      <c r="E134" s="84"/>
      <c r="F134" s="84"/>
      <c r="G134" s="84"/>
      <c r="H134" s="84"/>
      <c r="I134" s="84"/>
      <c r="J134" s="84"/>
      <c r="K134" s="84"/>
      <c r="L134" s="84"/>
      <c r="M134" s="84"/>
    </row>
    <row r="135" ht="16.5" customHeight="1">
      <c r="A135" s="169"/>
      <c r="B135" s="166"/>
      <c r="C135" s="169"/>
      <c r="D135" s="169"/>
      <c r="E135" s="84"/>
      <c r="F135" s="84"/>
      <c r="G135" s="84"/>
      <c r="H135" s="84"/>
      <c r="I135" s="84"/>
      <c r="J135" s="84"/>
      <c r="K135" s="84"/>
      <c r="L135" s="84"/>
      <c r="M135" s="84"/>
    </row>
    <row r="136" ht="16.5" customHeight="1">
      <c r="A136" s="169"/>
      <c r="B136" s="166"/>
      <c r="C136" s="169"/>
      <c r="D136" s="169"/>
      <c r="E136" s="84"/>
      <c r="F136" s="84"/>
      <c r="G136" s="84"/>
      <c r="H136" s="84"/>
      <c r="I136" s="84"/>
      <c r="J136" s="84"/>
      <c r="K136" s="84"/>
      <c r="L136" s="84"/>
      <c r="M136" s="84"/>
    </row>
    <row r="137" ht="16.5" customHeight="1">
      <c r="A137" s="169"/>
      <c r="B137" s="166"/>
      <c r="C137" s="169"/>
      <c r="D137" s="169"/>
      <c r="E137" s="84"/>
      <c r="F137" s="84"/>
      <c r="G137" s="84"/>
      <c r="H137" s="84"/>
      <c r="I137" s="84"/>
      <c r="J137" s="84"/>
      <c r="K137" s="84"/>
      <c r="L137" s="84"/>
      <c r="M137" s="84"/>
    </row>
    <row r="138" ht="16.5" customHeight="1">
      <c r="A138" s="169"/>
      <c r="B138" s="166"/>
      <c r="C138" s="169"/>
      <c r="D138" s="169"/>
      <c r="E138" s="84"/>
      <c r="F138" s="84"/>
      <c r="G138" s="84"/>
      <c r="H138" s="84"/>
      <c r="I138" s="84"/>
      <c r="J138" s="84"/>
      <c r="K138" s="84"/>
      <c r="L138" s="84"/>
      <c r="M138" s="84"/>
    </row>
    <row r="139" ht="16.5" customHeight="1">
      <c r="A139" s="169"/>
      <c r="B139" s="166"/>
      <c r="C139" s="169"/>
      <c r="D139" s="169"/>
      <c r="E139" s="84"/>
      <c r="F139" s="84"/>
      <c r="G139" s="84"/>
      <c r="H139" s="84"/>
      <c r="I139" s="84"/>
      <c r="J139" s="84"/>
      <c r="K139" s="84"/>
      <c r="L139" s="84"/>
      <c r="M139" s="84"/>
    </row>
    <row r="140" ht="16.5" customHeight="1">
      <c r="A140" s="169"/>
      <c r="B140" s="166"/>
      <c r="C140" s="169"/>
      <c r="D140" s="169"/>
      <c r="E140" s="84"/>
      <c r="F140" s="84"/>
      <c r="G140" s="84"/>
      <c r="H140" s="84"/>
      <c r="I140" s="84"/>
      <c r="J140" s="84"/>
      <c r="K140" s="84"/>
      <c r="L140" s="84"/>
      <c r="M140" s="84"/>
    </row>
    <row r="141" ht="16.5" customHeight="1">
      <c r="A141" s="169"/>
      <c r="B141" s="166"/>
      <c r="C141" s="169"/>
      <c r="D141" s="169"/>
      <c r="E141" s="84"/>
      <c r="F141" s="84"/>
      <c r="G141" s="84"/>
      <c r="H141" s="84"/>
      <c r="I141" s="84"/>
      <c r="J141" s="84"/>
      <c r="K141" s="84"/>
      <c r="L141" s="84"/>
      <c r="M141" s="84"/>
    </row>
    <row r="142" ht="16.5" customHeight="1">
      <c r="A142" s="169"/>
      <c r="B142" s="166"/>
      <c r="C142" s="169"/>
      <c r="D142" s="169"/>
      <c r="E142" s="84"/>
      <c r="F142" s="84"/>
      <c r="G142" s="84"/>
      <c r="H142" s="84"/>
      <c r="I142" s="84"/>
      <c r="J142" s="84"/>
      <c r="K142" s="84"/>
      <c r="L142" s="84"/>
      <c r="M142" s="84"/>
    </row>
    <row r="143" ht="16.5" customHeight="1">
      <c r="A143" s="169"/>
      <c r="B143" s="166"/>
      <c r="C143" s="169"/>
      <c r="D143" s="169"/>
      <c r="E143" s="84"/>
      <c r="F143" s="84"/>
      <c r="G143" s="84"/>
      <c r="H143" s="84"/>
      <c r="I143" s="84"/>
      <c r="J143" s="84"/>
      <c r="K143" s="84"/>
      <c r="L143" s="84"/>
      <c r="M143" s="84"/>
    </row>
    <row r="144" ht="16.5" customHeight="1">
      <c r="A144" s="169"/>
      <c r="B144" s="166"/>
      <c r="C144" s="169"/>
      <c r="D144" s="169"/>
      <c r="E144" s="84"/>
      <c r="F144" s="84"/>
      <c r="G144" s="84"/>
      <c r="H144" s="84"/>
      <c r="I144" s="84"/>
      <c r="J144" s="84"/>
      <c r="K144" s="84"/>
      <c r="L144" s="84"/>
      <c r="M144" s="84"/>
    </row>
    <row r="145" ht="16.5" customHeight="1">
      <c r="A145" s="169"/>
      <c r="B145" s="166"/>
      <c r="C145" s="169"/>
      <c r="D145" s="169"/>
      <c r="E145" s="84"/>
      <c r="F145" s="84"/>
      <c r="G145" s="84"/>
      <c r="H145" s="84"/>
      <c r="I145" s="84"/>
      <c r="J145" s="84"/>
      <c r="K145" s="84"/>
      <c r="L145" s="84"/>
      <c r="M145" s="84"/>
    </row>
    <row r="146" ht="16.5" customHeight="1">
      <c r="A146" s="169"/>
      <c r="B146" s="166"/>
      <c r="C146" s="169"/>
      <c r="D146" s="169"/>
      <c r="E146" s="84"/>
      <c r="F146" s="84"/>
      <c r="G146" s="84"/>
      <c r="H146" s="84"/>
      <c r="I146" s="84"/>
      <c r="J146" s="84"/>
      <c r="K146" s="84"/>
      <c r="L146" s="84"/>
      <c r="M146" s="84"/>
    </row>
    <row r="147" ht="16.5" customHeight="1">
      <c r="A147" s="169"/>
      <c r="B147" s="166"/>
      <c r="C147" s="169"/>
      <c r="D147" s="169"/>
      <c r="E147" s="84"/>
      <c r="F147" s="84"/>
      <c r="G147" s="84"/>
      <c r="H147" s="84"/>
      <c r="I147" s="84"/>
      <c r="J147" s="84"/>
      <c r="K147" s="84"/>
      <c r="L147" s="84"/>
      <c r="M147" s="84"/>
    </row>
    <row r="148" ht="16.5" customHeight="1">
      <c r="A148" s="169"/>
      <c r="B148" s="166"/>
      <c r="C148" s="169"/>
      <c r="D148" s="169"/>
      <c r="E148" s="84"/>
      <c r="F148" s="84"/>
      <c r="G148" s="84"/>
      <c r="H148" s="84"/>
      <c r="I148" s="84"/>
      <c r="J148" s="84"/>
      <c r="K148" s="84"/>
      <c r="L148" s="84"/>
      <c r="M148" s="84"/>
    </row>
    <row r="149" ht="16.5" customHeight="1">
      <c r="A149" s="169"/>
      <c r="B149" s="166"/>
      <c r="C149" s="169"/>
      <c r="D149" s="169"/>
      <c r="E149" s="84"/>
      <c r="F149" s="84"/>
      <c r="G149" s="84"/>
      <c r="H149" s="84"/>
      <c r="I149" s="84"/>
      <c r="J149" s="84"/>
      <c r="K149" s="84"/>
      <c r="L149" s="84"/>
      <c r="M149" s="84"/>
    </row>
    <row r="150" ht="16.5" customHeight="1">
      <c r="A150" s="169"/>
      <c r="B150" s="166"/>
      <c r="C150" s="169"/>
      <c r="D150" s="169"/>
      <c r="E150" s="84"/>
      <c r="F150" s="84"/>
      <c r="G150" s="84"/>
      <c r="H150" s="84"/>
      <c r="I150" s="84"/>
      <c r="J150" s="84"/>
      <c r="K150" s="84"/>
      <c r="L150" s="84"/>
      <c r="M150" s="84"/>
    </row>
    <row r="151" ht="16.5" customHeight="1">
      <c r="A151" s="169"/>
      <c r="B151" s="166"/>
      <c r="C151" s="169"/>
      <c r="D151" s="169"/>
      <c r="E151" s="84"/>
      <c r="F151" s="84"/>
      <c r="G151" s="84"/>
      <c r="H151" s="84"/>
      <c r="I151" s="84"/>
      <c r="J151" s="84"/>
      <c r="K151" s="84"/>
      <c r="L151" s="84"/>
      <c r="M151" s="84"/>
    </row>
    <row r="152" ht="16.5" customHeight="1">
      <c r="A152" s="169"/>
      <c r="B152" s="166"/>
      <c r="C152" s="169"/>
      <c r="D152" s="169"/>
      <c r="E152" s="84"/>
      <c r="F152" s="84"/>
      <c r="G152" s="84"/>
      <c r="H152" s="84"/>
      <c r="I152" s="84"/>
      <c r="J152" s="84"/>
      <c r="K152" s="84"/>
      <c r="L152" s="84"/>
      <c r="M152" s="84"/>
    </row>
    <row r="153" ht="16.5" customHeight="1">
      <c r="A153" s="169"/>
      <c r="B153" s="166"/>
      <c r="C153" s="169"/>
      <c r="D153" s="169"/>
      <c r="E153" s="84"/>
      <c r="F153" s="84"/>
      <c r="G153" s="84"/>
      <c r="H153" s="84"/>
      <c r="I153" s="84"/>
      <c r="J153" s="84"/>
      <c r="K153" s="84"/>
      <c r="L153" s="84"/>
      <c r="M153" s="84"/>
    </row>
    <row r="154" ht="16.5" customHeight="1">
      <c r="A154" s="169"/>
      <c r="B154" s="166"/>
      <c r="C154" s="169"/>
      <c r="D154" s="169"/>
      <c r="E154" s="84"/>
      <c r="F154" s="84"/>
      <c r="G154" s="84"/>
      <c r="H154" s="84"/>
      <c r="I154" s="84"/>
      <c r="J154" s="84"/>
      <c r="K154" s="84"/>
      <c r="L154" s="84"/>
      <c r="M154" s="84"/>
    </row>
    <row r="155" ht="16.5" customHeight="1">
      <c r="A155" s="169"/>
      <c r="B155" s="166"/>
      <c r="C155" s="169"/>
      <c r="D155" s="169"/>
      <c r="E155" s="84"/>
      <c r="F155" s="84"/>
      <c r="G155" s="84"/>
      <c r="H155" s="84"/>
      <c r="I155" s="84"/>
      <c r="J155" s="84"/>
      <c r="K155" s="84"/>
      <c r="L155" s="84"/>
      <c r="M155" s="84"/>
    </row>
    <row r="156" ht="16.5" customHeight="1">
      <c r="A156" s="169"/>
      <c r="B156" s="166"/>
      <c r="C156" s="169"/>
      <c r="D156" s="169"/>
      <c r="E156" s="84"/>
      <c r="F156" s="84"/>
      <c r="G156" s="84"/>
      <c r="H156" s="84"/>
      <c r="I156" s="84"/>
      <c r="J156" s="84"/>
      <c r="K156" s="84"/>
      <c r="L156" s="84"/>
      <c r="M156" s="84"/>
    </row>
    <row r="157" ht="16.5" customHeight="1">
      <c r="A157" s="169"/>
      <c r="B157" s="166"/>
      <c r="C157" s="169"/>
      <c r="D157" s="169"/>
      <c r="E157" s="84"/>
      <c r="F157" s="84"/>
      <c r="G157" s="84"/>
      <c r="H157" s="84"/>
      <c r="I157" s="84"/>
      <c r="J157" s="84"/>
      <c r="K157" s="84"/>
      <c r="L157" s="84"/>
      <c r="M157" s="84"/>
    </row>
    <row r="158" ht="16.5" customHeight="1">
      <c r="A158" s="169"/>
      <c r="B158" s="166"/>
      <c r="C158" s="169"/>
      <c r="D158" s="169"/>
      <c r="E158" s="84"/>
      <c r="F158" s="84"/>
      <c r="G158" s="84"/>
      <c r="H158" s="84"/>
      <c r="I158" s="84"/>
      <c r="J158" s="84"/>
      <c r="K158" s="84"/>
      <c r="L158" s="84"/>
      <c r="M158" s="84"/>
    </row>
    <row r="159" ht="16.5" customHeight="1">
      <c r="A159" s="169"/>
      <c r="B159" s="166"/>
      <c r="C159" s="169"/>
      <c r="D159" s="169"/>
      <c r="E159" s="84"/>
      <c r="F159" s="84"/>
      <c r="G159" s="84"/>
      <c r="H159" s="84"/>
      <c r="I159" s="84"/>
      <c r="J159" s="84"/>
      <c r="K159" s="84"/>
      <c r="L159" s="84"/>
      <c r="M159" s="84"/>
    </row>
    <row r="160" ht="16.5" customHeight="1">
      <c r="A160" s="169"/>
      <c r="B160" s="166"/>
      <c r="C160" s="169"/>
      <c r="D160" s="169"/>
      <c r="E160" s="84"/>
      <c r="F160" s="84"/>
      <c r="G160" s="84"/>
      <c r="H160" s="84"/>
      <c r="I160" s="84"/>
      <c r="J160" s="84"/>
      <c r="K160" s="84"/>
      <c r="L160" s="84"/>
      <c r="M160" s="84"/>
    </row>
    <row r="161" ht="16.5" customHeight="1">
      <c r="A161" s="169"/>
      <c r="B161" s="166"/>
      <c r="C161" s="169"/>
      <c r="D161" s="169"/>
      <c r="E161" s="84"/>
      <c r="F161" s="84"/>
      <c r="G161" s="84"/>
      <c r="H161" s="84"/>
      <c r="I161" s="84"/>
      <c r="J161" s="84"/>
      <c r="K161" s="84"/>
      <c r="L161" s="84"/>
      <c r="M161" s="84"/>
    </row>
    <row r="162" ht="16.5" customHeight="1">
      <c r="A162" s="169"/>
      <c r="B162" s="166"/>
      <c r="C162" s="169"/>
      <c r="D162" s="169"/>
      <c r="E162" s="84"/>
      <c r="F162" s="84"/>
      <c r="G162" s="84"/>
      <c r="H162" s="84"/>
      <c r="I162" s="84"/>
      <c r="J162" s="84"/>
      <c r="K162" s="84"/>
      <c r="L162" s="84"/>
      <c r="M162" s="84"/>
    </row>
    <row r="163" ht="16.5" customHeight="1">
      <c r="A163" s="169"/>
      <c r="B163" s="166"/>
      <c r="C163" s="169"/>
      <c r="D163" s="169"/>
      <c r="E163" s="84"/>
      <c r="F163" s="84"/>
      <c r="G163" s="84"/>
      <c r="H163" s="84"/>
      <c r="I163" s="84"/>
      <c r="J163" s="84"/>
      <c r="K163" s="84"/>
      <c r="L163" s="84"/>
      <c r="M163" s="84"/>
    </row>
    <row r="164" ht="16.5" customHeight="1">
      <c r="A164" s="169"/>
      <c r="B164" s="166"/>
      <c r="C164" s="169"/>
      <c r="D164" s="169"/>
      <c r="E164" s="84"/>
      <c r="F164" s="84"/>
      <c r="G164" s="84"/>
      <c r="H164" s="84"/>
      <c r="I164" s="84"/>
      <c r="J164" s="84"/>
      <c r="K164" s="84"/>
      <c r="L164" s="84"/>
      <c r="M164" s="84"/>
    </row>
    <row r="165" ht="16.5" customHeight="1">
      <c r="A165" s="169"/>
      <c r="B165" s="166"/>
      <c r="C165" s="169"/>
      <c r="D165" s="169"/>
      <c r="E165" s="84"/>
      <c r="F165" s="84"/>
      <c r="G165" s="84"/>
      <c r="H165" s="84"/>
      <c r="I165" s="84"/>
      <c r="J165" s="84"/>
      <c r="K165" s="84"/>
      <c r="L165" s="84"/>
      <c r="M165" s="84"/>
    </row>
    <row r="166" ht="16.5" customHeight="1">
      <c r="A166" s="169"/>
      <c r="B166" s="166"/>
      <c r="C166" s="169"/>
      <c r="D166" s="169"/>
      <c r="E166" s="84"/>
      <c r="F166" s="84"/>
      <c r="G166" s="84"/>
      <c r="H166" s="84"/>
      <c r="I166" s="84"/>
      <c r="J166" s="84"/>
      <c r="K166" s="84"/>
      <c r="L166" s="84"/>
      <c r="M166" s="84"/>
    </row>
    <row r="167" ht="16.5" customHeight="1">
      <c r="A167" s="169"/>
      <c r="B167" s="166"/>
      <c r="C167" s="169"/>
      <c r="D167" s="169"/>
      <c r="E167" s="84"/>
      <c r="F167" s="84"/>
      <c r="G167" s="84"/>
      <c r="H167" s="84"/>
      <c r="I167" s="84"/>
      <c r="J167" s="84"/>
      <c r="K167" s="84"/>
      <c r="L167" s="84"/>
      <c r="M167" s="84"/>
    </row>
    <row r="168" ht="16.5" customHeight="1">
      <c r="A168" s="169"/>
      <c r="B168" s="166"/>
      <c r="C168" s="169"/>
      <c r="D168" s="169"/>
      <c r="E168" s="84"/>
      <c r="F168" s="84"/>
      <c r="G168" s="84"/>
      <c r="H168" s="84"/>
      <c r="I168" s="84"/>
      <c r="J168" s="84"/>
      <c r="K168" s="84"/>
      <c r="L168" s="84"/>
      <c r="M168" s="84"/>
    </row>
    <row r="169" ht="16.5" customHeight="1">
      <c r="A169" s="169"/>
      <c r="B169" s="166"/>
      <c r="C169" s="169"/>
      <c r="D169" s="169"/>
      <c r="E169" s="84"/>
      <c r="F169" s="84"/>
      <c r="G169" s="84"/>
      <c r="H169" s="84"/>
      <c r="I169" s="84"/>
      <c r="J169" s="84"/>
      <c r="K169" s="84"/>
      <c r="L169" s="84"/>
      <c r="M169" s="84"/>
    </row>
    <row r="170" ht="16.5" customHeight="1">
      <c r="A170" s="169"/>
      <c r="B170" s="166"/>
      <c r="C170" s="169"/>
      <c r="D170" s="169"/>
      <c r="E170" s="84"/>
      <c r="F170" s="84"/>
      <c r="G170" s="84"/>
      <c r="H170" s="84"/>
      <c r="I170" s="84"/>
      <c r="J170" s="84"/>
      <c r="K170" s="84"/>
      <c r="L170" s="84"/>
      <c r="M170" s="84"/>
    </row>
    <row r="171" ht="16.5" customHeight="1">
      <c r="A171" s="169"/>
      <c r="B171" s="166"/>
      <c r="C171" s="169"/>
      <c r="D171" s="169"/>
      <c r="E171" s="84"/>
      <c r="F171" s="84"/>
      <c r="G171" s="84"/>
      <c r="H171" s="84"/>
      <c r="I171" s="84"/>
      <c r="J171" s="84"/>
      <c r="K171" s="84"/>
      <c r="L171" s="84"/>
      <c r="M171" s="84"/>
    </row>
    <row r="172" ht="16.5" customHeight="1">
      <c r="A172" s="169"/>
      <c r="B172" s="166"/>
      <c r="C172" s="169"/>
      <c r="D172" s="169"/>
      <c r="E172" s="84"/>
      <c r="F172" s="84"/>
      <c r="G172" s="84"/>
      <c r="H172" s="84"/>
      <c r="I172" s="84"/>
      <c r="J172" s="84"/>
      <c r="K172" s="84"/>
      <c r="L172" s="84"/>
      <c r="M172" s="84"/>
    </row>
    <row r="173" ht="16.5" customHeight="1">
      <c r="A173" s="169"/>
      <c r="B173" s="166"/>
      <c r="C173" s="169"/>
      <c r="D173" s="169"/>
      <c r="E173" s="84"/>
      <c r="F173" s="84"/>
      <c r="G173" s="84"/>
      <c r="H173" s="84"/>
      <c r="I173" s="84"/>
      <c r="J173" s="84"/>
      <c r="K173" s="84"/>
      <c r="L173" s="84"/>
      <c r="M173" s="84"/>
    </row>
    <row r="174" ht="16.5" customHeight="1">
      <c r="A174" s="169"/>
      <c r="B174" s="166"/>
      <c r="C174" s="169"/>
      <c r="D174" s="169"/>
      <c r="E174" s="84"/>
      <c r="F174" s="84"/>
      <c r="G174" s="84"/>
      <c r="H174" s="84"/>
      <c r="I174" s="84"/>
      <c r="J174" s="84"/>
      <c r="K174" s="84"/>
      <c r="L174" s="84"/>
      <c r="M174" s="84"/>
    </row>
    <row r="175" ht="16.5" customHeight="1">
      <c r="A175" s="169"/>
      <c r="B175" s="166"/>
      <c r="C175" s="169"/>
      <c r="D175" s="169"/>
      <c r="E175" s="84"/>
      <c r="F175" s="84"/>
      <c r="G175" s="84"/>
      <c r="H175" s="84"/>
      <c r="I175" s="84"/>
      <c r="J175" s="84"/>
      <c r="K175" s="84"/>
      <c r="L175" s="84"/>
      <c r="M175" s="84"/>
    </row>
    <row r="176" ht="16.5" customHeight="1">
      <c r="A176" s="169"/>
      <c r="B176" s="166"/>
      <c r="C176" s="169"/>
      <c r="D176" s="169"/>
      <c r="E176" s="84"/>
      <c r="F176" s="84"/>
      <c r="G176" s="84"/>
      <c r="H176" s="84"/>
      <c r="I176" s="84"/>
      <c r="J176" s="84"/>
      <c r="K176" s="84"/>
      <c r="L176" s="84"/>
      <c r="M176" s="84"/>
    </row>
    <row r="177" ht="16.5" customHeight="1">
      <c r="A177" s="169"/>
      <c r="B177" s="166"/>
      <c r="C177" s="169"/>
      <c r="D177" s="169"/>
      <c r="E177" s="84"/>
      <c r="F177" s="84"/>
      <c r="G177" s="84"/>
      <c r="H177" s="84"/>
      <c r="I177" s="84"/>
      <c r="J177" s="84"/>
      <c r="K177" s="84"/>
      <c r="L177" s="84"/>
      <c r="M177" s="84"/>
    </row>
    <row r="178" ht="16.5" customHeight="1">
      <c r="A178" s="169"/>
      <c r="B178" s="166"/>
      <c r="C178" s="169"/>
      <c r="D178" s="169"/>
      <c r="E178" s="84"/>
      <c r="F178" s="84"/>
      <c r="G178" s="84"/>
      <c r="H178" s="84"/>
      <c r="I178" s="84"/>
      <c r="J178" s="84"/>
      <c r="K178" s="84"/>
      <c r="L178" s="84"/>
      <c r="M178" s="84"/>
    </row>
    <row r="179" ht="16.5" customHeight="1">
      <c r="A179" s="169"/>
      <c r="B179" s="166"/>
      <c r="C179" s="169"/>
      <c r="D179" s="169"/>
      <c r="E179" s="84"/>
      <c r="F179" s="84"/>
      <c r="G179" s="84"/>
      <c r="H179" s="84"/>
      <c r="I179" s="84"/>
      <c r="J179" s="84"/>
      <c r="K179" s="84"/>
      <c r="L179" s="84"/>
      <c r="M179" s="84"/>
    </row>
    <row r="180" ht="16.5" customHeight="1">
      <c r="A180" s="169"/>
      <c r="B180" s="166"/>
      <c r="C180" s="169"/>
      <c r="D180" s="169"/>
      <c r="E180" s="84"/>
      <c r="F180" s="84"/>
      <c r="G180" s="84"/>
      <c r="H180" s="84"/>
      <c r="I180" s="84"/>
      <c r="J180" s="84"/>
      <c r="K180" s="84"/>
      <c r="L180" s="84"/>
      <c r="M180" s="84"/>
    </row>
    <row r="181" ht="16.5" customHeight="1">
      <c r="A181" s="169"/>
      <c r="B181" s="166"/>
      <c r="C181" s="169"/>
      <c r="D181" s="169"/>
      <c r="E181" s="84"/>
      <c r="F181" s="84"/>
      <c r="G181" s="84"/>
      <c r="H181" s="84"/>
      <c r="I181" s="84"/>
      <c r="J181" s="84"/>
      <c r="K181" s="84"/>
      <c r="L181" s="84"/>
      <c r="M181" s="84"/>
    </row>
    <row r="182" ht="16.5" customHeight="1">
      <c r="A182" s="169"/>
      <c r="B182" s="166"/>
      <c r="C182" s="169"/>
      <c r="D182" s="169"/>
      <c r="E182" s="84"/>
      <c r="F182" s="84"/>
      <c r="G182" s="84"/>
      <c r="H182" s="84"/>
      <c r="I182" s="84"/>
      <c r="J182" s="84"/>
      <c r="K182" s="84"/>
      <c r="L182" s="84"/>
      <c r="M182" s="84"/>
    </row>
    <row r="183" ht="16.5" customHeight="1">
      <c r="A183" s="169"/>
      <c r="B183" s="166"/>
      <c r="C183" s="169"/>
      <c r="D183" s="169"/>
      <c r="E183" s="84"/>
      <c r="F183" s="84"/>
      <c r="G183" s="84"/>
      <c r="H183" s="84"/>
      <c r="I183" s="84"/>
      <c r="J183" s="84"/>
      <c r="K183" s="84"/>
      <c r="L183" s="84"/>
      <c r="M183" s="84"/>
    </row>
    <row r="184" ht="16.5" customHeight="1">
      <c r="A184" s="169"/>
      <c r="B184" s="166"/>
      <c r="C184" s="169"/>
      <c r="D184" s="169"/>
      <c r="E184" s="84"/>
      <c r="F184" s="84"/>
      <c r="G184" s="84"/>
      <c r="H184" s="84"/>
      <c r="I184" s="84"/>
      <c r="J184" s="84"/>
      <c r="K184" s="84"/>
      <c r="L184" s="84"/>
      <c r="M184" s="84"/>
    </row>
    <row r="185" ht="16.5" customHeight="1">
      <c r="A185" s="169"/>
      <c r="B185" s="166"/>
      <c r="C185" s="169"/>
      <c r="D185" s="169"/>
      <c r="E185" s="84"/>
      <c r="F185" s="84"/>
      <c r="G185" s="84"/>
      <c r="H185" s="84"/>
      <c r="I185" s="84"/>
      <c r="J185" s="84"/>
      <c r="K185" s="84"/>
      <c r="L185" s="84"/>
      <c r="M185" s="84"/>
    </row>
    <row r="186" ht="16.5" customHeight="1">
      <c r="A186" s="169"/>
      <c r="B186" s="166"/>
      <c r="C186" s="169"/>
      <c r="D186" s="169"/>
      <c r="E186" s="84"/>
      <c r="F186" s="84"/>
      <c r="G186" s="84"/>
      <c r="H186" s="84"/>
      <c r="I186" s="84"/>
      <c r="J186" s="84"/>
      <c r="K186" s="84"/>
      <c r="L186" s="84"/>
      <c r="M186" s="84"/>
    </row>
    <row r="187" ht="16.5" customHeight="1">
      <c r="A187" s="169"/>
      <c r="B187" s="166"/>
      <c r="C187" s="169"/>
      <c r="D187" s="169"/>
      <c r="E187" s="84"/>
      <c r="F187" s="84"/>
      <c r="G187" s="84"/>
      <c r="H187" s="84"/>
      <c r="I187" s="84"/>
      <c r="J187" s="84"/>
      <c r="K187" s="84"/>
      <c r="L187" s="84"/>
      <c r="M187" s="84"/>
    </row>
    <row r="188" ht="16.5" customHeight="1">
      <c r="A188" s="169"/>
      <c r="B188" s="166"/>
      <c r="C188" s="169"/>
      <c r="D188" s="169"/>
      <c r="E188" s="84"/>
      <c r="F188" s="84"/>
      <c r="G188" s="84"/>
      <c r="H188" s="84"/>
      <c r="I188" s="84"/>
      <c r="J188" s="84"/>
      <c r="K188" s="84"/>
      <c r="L188" s="84"/>
      <c r="M188" s="84"/>
    </row>
    <row r="189" ht="16.5" customHeight="1">
      <c r="A189" s="169"/>
      <c r="B189" s="166"/>
      <c r="C189" s="169"/>
      <c r="D189" s="169"/>
      <c r="E189" s="84"/>
      <c r="F189" s="84"/>
      <c r="G189" s="84"/>
      <c r="H189" s="84"/>
      <c r="I189" s="84"/>
      <c r="J189" s="84"/>
      <c r="K189" s="84"/>
      <c r="L189" s="84"/>
      <c r="M189" s="84"/>
    </row>
    <row r="190" ht="16.5" customHeight="1">
      <c r="A190" s="169"/>
      <c r="B190" s="166"/>
      <c r="C190" s="169"/>
      <c r="D190" s="169"/>
      <c r="E190" s="84"/>
      <c r="F190" s="84"/>
      <c r="G190" s="84"/>
      <c r="H190" s="84"/>
      <c r="I190" s="84"/>
      <c r="J190" s="84"/>
      <c r="K190" s="84"/>
      <c r="L190" s="84"/>
      <c r="M190" s="84"/>
    </row>
    <row r="191" ht="16.5" customHeight="1">
      <c r="A191" s="169"/>
      <c r="B191" s="166"/>
      <c r="C191" s="169"/>
      <c r="D191" s="169"/>
      <c r="E191" s="84"/>
      <c r="F191" s="84"/>
      <c r="G191" s="84"/>
      <c r="H191" s="84"/>
      <c r="I191" s="84"/>
      <c r="J191" s="84"/>
      <c r="K191" s="84"/>
      <c r="L191" s="84"/>
      <c r="M191" s="84"/>
    </row>
    <row r="192" ht="16.5" customHeight="1">
      <c r="A192" s="169"/>
      <c r="B192" s="166"/>
      <c r="C192" s="169"/>
      <c r="D192" s="169"/>
      <c r="E192" s="84"/>
      <c r="F192" s="84"/>
      <c r="G192" s="84"/>
      <c r="H192" s="84"/>
      <c r="I192" s="84"/>
      <c r="J192" s="84"/>
      <c r="K192" s="84"/>
      <c r="L192" s="84"/>
      <c r="M192" s="84"/>
    </row>
    <row r="193" ht="16.5" customHeight="1">
      <c r="A193" s="169"/>
      <c r="B193" s="166"/>
      <c r="C193" s="169"/>
      <c r="D193" s="169"/>
      <c r="E193" s="84"/>
      <c r="F193" s="84"/>
      <c r="G193" s="84"/>
      <c r="H193" s="84"/>
      <c r="I193" s="84"/>
      <c r="J193" s="84"/>
      <c r="K193" s="84"/>
      <c r="L193" s="84"/>
      <c r="M193" s="84"/>
    </row>
    <row r="194" ht="16.5" customHeight="1">
      <c r="A194" s="169"/>
      <c r="B194" s="166"/>
      <c r="C194" s="169"/>
      <c r="D194" s="169"/>
      <c r="E194" s="84"/>
      <c r="F194" s="84"/>
      <c r="G194" s="84"/>
      <c r="H194" s="84"/>
      <c r="I194" s="84"/>
      <c r="J194" s="84"/>
      <c r="K194" s="84"/>
      <c r="L194" s="84"/>
      <c r="M194" s="84"/>
    </row>
    <row r="195" ht="16.5" customHeight="1">
      <c r="A195" s="169"/>
      <c r="B195" s="166"/>
      <c r="C195" s="169"/>
      <c r="D195" s="169"/>
      <c r="E195" s="84"/>
      <c r="F195" s="84"/>
      <c r="G195" s="84"/>
      <c r="H195" s="84"/>
      <c r="I195" s="84"/>
      <c r="J195" s="84"/>
      <c r="K195" s="84"/>
      <c r="L195" s="84"/>
      <c r="M195" s="84"/>
    </row>
    <row r="196" ht="16.5" customHeight="1">
      <c r="A196" s="169"/>
      <c r="B196" s="166"/>
      <c r="C196" s="169"/>
      <c r="D196" s="169"/>
      <c r="E196" s="84"/>
      <c r="F196" s="84"/>
      <c r="G196" s="84"/>
      <c r="H196" s="84"/>
      <c r="I196" s="84"/>
      <c r="J196" s="84"/>
      <c r="K196" s="84"/>
      <c r="L196" s="84"/>
      <c r="M196" s="84"/>
    </row>
    <row r="197" ht="16.5" customHeight="1">
      <c r="A197" s="169"/>
      <c r="B197" s="166"/>
      <c r="C197" s="169"/>
      <c r="D197" s="169"/>
      <c r="E197" s="84"/>
      <c r="F197" s="84"/>
      <c r="G197" s="84"/>
      <c r="H197" s="84"/>
      <c r="I197" s="84"/>
      <c r="J197" s="84"/>
      <c r="K197" s="84"/>
      <c r="L197" s="84"/>
      <c r="M197" s="84"/>
    </row>
    <row r="198" ht="16.5" customHeight="1">
      <c r="A198" s="169"/>
      <c r="B198" s="166"/>
      <c r="C198" s="169"/>
      <c r="D198" s="169"/>
      <c r="E198" s="84"/>
      <c r="F198" s="84"/>
      <c r="G198" s="84"/>
      <c r="H198" s="84"/>
      <c r="I198" s="84"/>
      <c r="J198" s="84"/>
      <c r="K198" s="84"/>
      <c r="L198" s="84"/>
      <c r="M198" s="84"/>
    </row>
    <row r="199" ht="16.5" customHeight="1">
      <c r="A199" s="169"/>
      <c r="B199" s="166"/>
      <c r="C199" s="169"/>
      <c r="D199" s="169"/>
      <c r="E199" s="84"/>
      <c r="F199" s="84"/>
      <c r="G199" s="84"/>
      <c r="H199" s="84"/>
      <c r="I199" s="84"/>
      <c r="J199" s="84"/>
      <c r="K199" s="84"/>
      <c r="L199" s="84"/>
      <c r="M199" s="84"/>
    </row>
    <row r="200" ht="16.5" customHeight="1">
      <c r="A200" s="169"/>
      <c r="B200" s="166"/>
      <c r="C200" s="169"/>
      <c r="D200" s="169"/>
      <c r="E200" s="84"/>
      <c r="F200" s="84"/>
      <c r="G200" s="84"/>
      <c r="H200" s="84"/>
      <c r="I200" s="84"/>
      <c r="J200" s="84"/>
      <c r="K200" s="84"/>
      <c r="L200" s="84"/>
      <c r="M200" s="84"/>
    </row>
    <row r="201" ht="16.5" customHeight="1">
      <c r="A201" s="169"/>
      <c r="B201" s="166"/>
      <c r="C201" s="169"/>
      <c r="D201" s="169"/>
      <c r="E201" s="84"/>
      <c r="F201" s="84"/>
      <c r="G201" s="84"/>
      <c r="H201" s="84"/>
      <c r="I201" s="84"/>
      <c r="J201" s="84"/>
      <c r="K201" s="84"/>
      <c r="L201" s="84"/>
      <c r="M201" s="84"/>
    </row>
    <row r="202" ht="16.5" customHeight="1">
      <c r="A202" s="169"/>
      <c r="B202" s="166"/>
      <c r="C202" s="169"/>
      <c r="D202" s="169"/>
      <c r="E202" s="84"/>
      <c r="F202" s="84"/>
      <c r="G202" s="84"/>
      <c r="H202" s="84"/>
      <c r="I202" s="84"/>
      <c r="J202" s="84"/>
      <c r="K202" s="84"/>
      <c r="L202" s="84"/>
      <c r="M202" s="84"/>
    </row>
    <row r="203" ht="16.5" customHeight="1">
      <c r="A203" s="169"/>
      <c r="B203" s="166"/>
      <c r="C203" s="169"/>
      <c r="D203" s="169"/>
      <c r="E203" s="84"/>
      <c r="F203" s="84"/>
      <c r="G203" s="84"/>
      <c r="H203" s="84"/>
      <c r="I203" s="84"/>
      <c r="J203" s="84"/>
      <c r="K203" s="84"/>
      <c r="L203" s="84"/>
      <c r="M203" s="84"/>
    </row>
    <row r="204" ht="16.5" customHeight="1">
      <c r="A204" s="169"/>
      <c r="B204" s="166"/>
      <c r="C204" s="169"/>
      <c r="D204" s="169"/>
      <c r="E204" s="84"/>
      <c r="F204" s="84"/>
      <c r="G204" s="84"/>
      <c r="H204" s="84"/>
      <c r="I204" s="84"/>
      <c r="J204" s="84"/>
      <c r="K204" s="84"/>
      <c r="L204" s="84"/>
      <c r="M204" s="84"/>
    </row>
    <row r="205" ht="16.5" customHeight="1">
      <c r="A205" s="169"/>
      <c r="B205" s="166"/>
      <c r="C205" s="169"/>
      <c r="D205" s="169"/>
      <c r="E205" s="84"/>
      <c r="F205" s="84"/>
      <c r="G205" s="84"/>
      <c r="H205" s="84"/>
      <c r="I205" s="84"/>
      <c r="J205" s="84"/>
      <c r="K205" s="84"/>
      <c r="L205" s="84"/>
      <c r="M205" s="84"/>
    </row>
    <row r="206" ht="16.5" customHeight="1">
      <c r="A206" s="169"/>
      <c r="B206" s="166"/>
      <c r="C206" s="169"/>
      <c r="D206" s="169"/>
      <c r="E206" s="84"/>
      <c r="F206" s="84"/>
      <c r="G206" s="84"/>
      <c r="H206" s="84"/>
      <c r="I206" s="84"/>
      <c r="J206" s="84"/>
      <c r="K206" s="84"/>
      <c r="L206" s="84"/>
      <c r="M206" s="84"/>
    </row>
    <row r="207" ht="16.5" customHeight="1">
      <c r="A207" s="169"/>
      <c r="B207" s="166"/>
      <c r="C207" s="169"/>
      <c r="D207" s="169"/>
      <c r="E207" s="84"/>
      <c r="F207" s="84"/>
      <c r="G207" s="84"/>
      <c r="H207" s="84"/>
      <c r="I207" s="84"/>
      <c r="J207" s="84"/>
      <c r="K207" s="84"/>
      <c r="L207" s="84"/>
      <c r="M207" s="84"/>
    </row>
    <row r="208" ht="16.5" customHeight="1">
      <c r="A208" s="169"/>
      <c r="B208" s="166"/>
      <c r="C208" s="169"/>
      <c r="D208" s="169"/>
      <c r="E208" s="84"/>
      <c r="F208" s="84"/>
      <c r="G208" s="84"/>
      <c r="H208" s="84"/>
      <c r="I208" s="84"/>
      <c r="J208" s="84"/>
      <c r="K208" s="84"/>
      <c r="L208" s="84"/>
      <c r="M208" s="84"/>
    </row>
    <row r="209" ht="16.5" customHeight="1">
      <c r="A209" s="169"/>
      <c r="B209" s="166"/>
      <c r="C209" s="169"/>
      <c r="D209" s="169"/>
      <c r="E209" s="84"/>
      <c r="F209" s="84"/>
      <c r="G209" s="84"/>
      <c r="H209" s="84"/>
      <c r="I209" s="84"/>
      <c r="J209" s="84"/>
      <c r="K209" s="84"/>
      <c r="L209" s="84"/>
      <c r="M209" s="84"/>
    </row>
    <row r="210" ht="16.5" customHeight="1">
      <c r="A210" s="169"/>
      <c r="B210" s="166"/>
      <c r="C210" s="169"/>
      <c r="D210" s="169"/>
      <c r="E210" s="84"/>
      <c r="F210" s="84"/>
      <c r="G210" s="84"/>
      <c r="H210" s="84"/>
      <c r="I210" s="84"/>
      <c r="J210" s="84"/>
      <c r="K210" s="84"/>
      <c r="L210" s="84"/>
      <c r="M210" s="84"/>
    </row>
    <row r="211" ht="16.5" customHeight="1">
      <c r="A211" s="169"/>
      <c r="B211" s="166"/>
      <c r="C211" s="169"/>
      <c r="D211" s="169"/>
      <c r="E211" s="84"/>
      <c r="F211" s="84"/>
      <c r="G211" s="84"/>
      <c r="H211" s="84"/>
      <c r="I211" s="84"/>
      <c r="J211" s="84"/>
      <c r="K211" s="84"/>
      <c r="L211" s="84"/>
      <c r="M211" s="84"/>
    </row>
    <row r="212" ht="16.5" customHeight="1">
      <c r="A212" s="169"/>
      <c r="B212" s="166"/>
      <c r="C212" s="169"/>
      <c r="D212" s="169"/>
      <c r="E212" s="84"/>
      <c r="F212" s="84"/>
      <c r="G212" s="84"/>
      <c r="H212" s="84"/>
      <c r="I212" s="84"/>
      <c r="J212" s="84"/>
      <c r="K212" s="84"/>
      <c r="L212" s="84"/>
      <c r="M212" s="84"/>
    </row>
    <row r="213" ht="16.5" customHeight="1">
      <c r="A213" s="169"/>
      <c r="B213" s="166"/>
      <c r="C213" s="169"/>
      <c r="D213" s="169"/>
      <c r="E213" s="84"/>
      <c r="F213" s="84"/>
      <c r="G213" s="84"/>
      <c r="H213" s="84"/>
      <c r="I213" s="84"/>
      <c r="J213" s="84"/>
      <c r="K213" s="84"/>
      <c r="L213" s="84"/>
      <c r="M213" s="84"/>
    </row>
    <row r="214" ht="16.5" customHeight="1">
      <c r="A214" s="169"/>
      <c r="B214" s="166"/>
      <c r="C214" s="169"/>
      <c r="D214" s="169"/>
      <c r="E214" s="84"/>
      <c r="F214" s="84"/>
      <c r="G214" s="84"/>
      <c r="H214" s="84"/>
      <c r="I214" s="84"/>
      <c r="J214" s="84"/>
      <c r="K214" s="84"/>
      <c r="L214" s="84"/>
      <c r="M214" s="84"/>
    </row>
    <row r="215" ht="16.5" customHeight="1">
      <c r="A215" s="169"/>
      <c r="B215" s="166"/>
      <c r="C215" s="169"/>
      <c r="D215" s="169"/>
      <c r="E215" s="84"/>
      <c r="F215" s="84"/>
      <c r="G215" s="84"/>
      <c r="H215" s="84"/>
      <c r="I215" s="84"/>
      <c r="J215" s="84"/>
      <c r="K215" s="84"/>
      <c r="L215" s="84"/>
      <c r="M215" s="84"/>
    </row>
    <row r="216" ht="16.5" customHeight="1">
      <c r="A216" s="169"/>
      <c r="B216" s="166"/>
      <c r="C216" s="169"/>
      <c r="D216" s="169"/>
      <c r="E216" s="84"/>
      <c r="F216" s="84"/>
      <c r="G216" s="84"/>
      <c r="H216" s="84"/>
      <c r="I216" s="84"/>
      <c r="J216" s="84"/>
      <c r="K216" s="84"/>
      <c r="L216" s="84"/>
      <c r="M216" s="84"/>
    </row>
    <row r="217" ht="16.5" customHeight="1">
      <c r="A217" s="169"/>
      <c r="B217" s="166"/>
      <c r="C217" s="169"/>
      <c r="D217" s="169"/>
      <c r="E217" s="84"/>
      <c r="F217" s="84"/>
      <c r="G217" s="84"/>
      <c r="H217" s="84"/>
      <c r="I217" s="84"/>
      <c r="J217" s="84"/>
      <c r="K217" s="84"/>
      <c r="L217" s="84"/>
      <c r="M217" s="84"/>
    </row>
    <row r="218" ht="16.5" customHeight="1">
      <c r="A218" s="169"/>
      <c r="B218" s="166"/>
      <c r="C218" s="169"/>
      <c r="D218" s="169"/>
      <c r="E218" s="84"/>
      <c r="F218" s="84"/>
      <c r="G218" s="84"/>
      <c r="H218" s="84"/>
      <c r="I218" s="84"/>
      <c r="J218" s="84"/>
      <c r="K218" s="84"/>
      <c r="L218" s="84"/>
      <c r="M218" s="84"/>
    </row>
    <row r="219" ht="16.5" customHeight="1">
      <c r="A219" s="169"/>
      <c r="B219" s="166"/>
      <c r="C219" s="169"/>
      <c r="D219" s="169"/>
      <c r="E219" s="84"/>
      <c r="F219" s="84"/>
      <c r="G219" s="84"/>
      <c r="H219" s="84"/>
      <c r="I219" s="84"/>
      <c r="J219" s="84"/>
      <c r="K219" s="84"/>
      <c r="L219" s="84"/>
      <c r="M219" s="84"/>
    </row>
    <row r="220" ht="16.5" customHeight="1">
      <c r="A220" s="169"/>
      <c r="B220" s="166"/>
      <c r="C220" s="169"/>
      <c r="D220" s="169"/>
      <c r="E220" s="84"/>
      <c r="F220" s="84"/>
      <c r="G220" s="84"/>
      <c r="H220" s="84"/>
      <c r="I220" s="84"/>
      <c r="J220" s="84"/>
      <c r="K220" s="84"/>
      <c r="L220" s="84"/>
      <c r="M220" s="84"/>
    </row>
    <row r="221" ht="16.5" customHeight="1">
      <c r="A221" s="169"/>
      <c r="B221" s="166"/>
      <c r="C221" s="169"/>
      <c r="D221" s="169"/>
      <c r="E221" s="84"/>
      <c r="F221" s="84"/>
      <c r="G221" s="84"/>
      <c r="H221" s="84"/>
      <c r="I221" s="84"/>
      <c r="J221" s="84"/>
      <c r="K221" s="84"/>
      <c r="L221" s="84"/>
      <c r="M221" s="84"/>
    </row>
    <row r="222" ht="16.5" customHeight="1">
      <c r="A222" s="169"/>
      <c r="B222" s="166"/>
      <c r="C222" s="169"/>
      <c r="D222" s="169"/>
      <c r="E222" s="84"/>
      <c r="F222" s="84"/>
      <c r="G222" s="84"/>
      <c r="H222" s="84"/>
      <c r="I222" s="84"/>
      <c r="J222" s="84"/>
      <c r="K222" s="84"/>
      <c r="L222" s="84"/>
      <c r="M222" s="84"/>
    </row>
    <row r="223" ht="16.5" customHeight="1">
      <c r="A223" s="169"/>
      <c r="B223" s="166"/>
      <c r="C223" s="169"/>
      <c r="D223" s="169"/>
      <c r="E223" s="84"/>
      <c r="F223" s="84"/>
      <c r="G223" s="84"/>
      <c r="H223" s="84"/>
      <c r="I223" s="84"/>
      <c r="J223" s="84"/>
      <c r="K223" s="84"/>
      <c r="L223" s="84"/>
      <c r="M223" s="84"/>
    </row>
    <row r="224" ht="16.5" customHeight="1">
      <c r="A224" s="169"/>
      <c r="B224" s="166"/>
      <c r="C224" s="169"/>
      <c r="D224" s="169"/>
      <c r="E224" s="84"/>
      <c r="F224" s="84"/>
      <c r="G224" s="84"/>
      <c r="H224" s="84"/>
      <c r="I224" s="84"/>
      <c r="J224" s="84"/>
      <c r="K224" s="84"/>
      <c r="L224" s="84"/>
      <c r="M224" s="84"/>
    </row>
    <row r="225" ht="16.5" customHeight="1">
      <c r="A225" s="169"/>
      <c r="B225" s="166"/>
      <c r="C225" s="169"/>
      <c r="D225" s="169"/>
      <c r="E225" s="84"/>
      <c r="F225" s="84"/>
      <c r="G225" s="84"/>
      <c r="H225" s="84"/>
      <c r="I225" s="84"/>
      <c r="J225" s="84"/>
      <c r="K225" s="84"/>
      <c r="L225" s="84"/>
      <c r="M225" s="84"/>
    </row>
    <row r="226" ht="16.5" customHeight="1">
      <c r="A226" s="169"/>
      <c r="B226" s="166"/>
      <c r="C226" s="169"/>
      <c r="D226" s="169"/>
      <c r="E226" s="84"/>
      <c r="F226" s="84"/>
      <c r="G226" s="84"/>
      <c r="H226" s="84"/>
      <c r="I226" s="84"/>
      <c r="J226" s="84"/>
      <c r="K226" s="84"/>
      <c r="L226" s="84"/>
      <c r="M226" s="84"/>
    </row>
    <row r="227" ht="16.5" customHeight="1">
      <c r="A227" s="169"/>
      <c r="B227" s="166"/>
      <c r="C227" s="169"/>
      <c r="D227" s="169"/>
      <c r="E227" s="84"/>
      <c r="F227" s="84"/>
      <c r="G227" s="84"/>
      <c r="H227" s="84"/>
      <c r="I227" s="84"/>
      <c r="J227" s="84"/>
      <c r="K227" s="84"/>
      <c r="L227" s="84"/>
      <c r="M227" s="84"/>
    </row>
    <row r="228" ht="16.5" customHeight="1">
      <c r="A228" s="169"/>
      <c r="B228" s="166"/>
      <c r="C228" s="169"/>
      <c r="D228" s="169"/>
      <c r="E228" s="84"/>
      <c r="F228" s="84"/>
      <c r="G228" s="84"/>
      <c r="H228" s="84"/>
      <c r="I228" s="84"/>
      <c r="J228" s="84"/>
      <c r="K228" s="84"/>
      <c r="L228" s="84"/>
      <c r="M228" s="84"/>
    </row>
    <row r="229" ht="16.5" customHeight="1">
      <c r="A229" s="169"/>
      <c r="B229" s="166"/>
      <c r="C229" s="169"/>
      <c r="D229" s="169"/>
      <c r="E229" s="84"/>
      <c r="F229" s="84"/>
      <c r="G229" s="84"/>
      <c r="H229" s="84"/>
      <c r="I229" s="84"/>
      <c r="J229" s="84"/>
      <c r="K229" s="84"/>
      <c r="L229" s="84"/>
      <c r="M229" s="84"/>
    </row>
    <row r="230" ht="16.5" customHeight="1">
      <c r="A230" s="169"/>
      <c r="B230" s="166"/>
      <c r="C230" s="169"/>
      <c r="D230" s="169"/>
      <c r="E230" s="84"/>
      <c r="F230" s="84"/>
      <c r="G230" s="84"/>
      <c r="H230" s="84"/>
      <c r="I230" s="84"/>
      <c r="J230" s="84"/>
      <c r="K230" s="84"/>
      <c r="L230" s="84"/>
      <c r="M230" s="84"/>
    </row>
    <row r="231" ht="16.5" customHeight="1">
      <c r="A231" s="169"/>
      <c r="B231" s="166"/>
      <c r="C231" s="169"/>
      <c r="D231" s="169"/>
      <c r="E231" s="84"/>
      <c r="F231" s="84"/>
      <c r="G231" s="84"/>
      <c r="H231" s="84"/>
      <c r="I231" s="84"/>
      <c r="J231" s="84"/>
      <c r="K231" s="84"/>
      <c r="L231" s="84"/>
      <c r="M231" s="84"/>
    </row>
    <row r="232" ht="16.5" customHeight="1">
      <c r="A232" s="169"/>
      <c r="B232" s="166"/>
      <c r="C232" s="169"/>
      <c r="D232" s="169"/>
      <c r="E232" s="84"/>
      <c r="F232" s="84"/>
      <c r="G232" s="84"/>
      <c r="H232" s="84"/>
      <c r="I232" s="84"/>
      <c r="J232" s="84"/>
      <c r="K232" s="84"/>
      <c r="L232" s="84"/>
      <c r="M232" s="84"/>
    </row>
    <row r="233" ht="16.5" customHeight="1">
      <c r="A233" s="169"/>
      <c r="B233" s="166"/>
      <c r="C233" s="169"/>
      <c r="D233" s="169"/>
      <c r="E233" s="84"/>
      <c r="F233" s="84"/>
      <c r="G233" s="84"/>
      <c r="H233" s="84"/>
      <c r="I233" s="84"/>
      <c r="J233" s="84"/>
      <c r="K233" s="84"/>
      <c r="L233" s="84"/>
      <c r="M233" s="84"/>
    </row>
    <row r="234" ht="16.5" customHeight="1">
      <c r="A234" s="169"/>
      <c r="B234" s="166"/>
      <c r="C234" s="169"/>
      <c r="D234" s="169"/>
      <c r="E234" s="84"/>
      <c r="F234" s="84"/>
      <c r="G234" s="84"/>
      <c r="H234" s="84"/>
      <c r="I234" s="84"/>
      <c r="J234" s="84"/>
      <c r="K234" s="84"/>
      <c r="L234" s="84"/>
      <c r="M234" s="8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G8:H8"/>
    <mergeCell ref="I8:J8"/>
    <mergeCell ref="C7:D8"/>
    <mergeCell ref="C9:C10"/>
    <mergeCell ref="D9:D10"/>
    <mergeCell ref="E9:F9"/>
    <mergeCell ref="G9:G10"/>
    <mergeCell ref="H9:H10"/>
    <mergeCell ref="I9:I10"/>
    <mergeCell ref="J9:J10"/>
    <mergeCell ref="K9:K10"/>
    <mergeCell ref="H2:J4"/>
    <mergeCell ref="A7:A10"/>
    <mergeCell ref="B7:B10"/>
    <mergeCell ref="E7:F8"/>
    <mergeCell ref="G7:L7"/>
    <mergeCell ref="M7:M10"/>
    <mergeCell ref="K8:L8"/>
    <mergeCell ref="L9:L10"/>
  </mergeCells>
  <printOptions/>
  <pageMargins bottom="0.75" footer="0.0" header="0.0" left="0.25" right="0.25" top="0.7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0.86"/>
    <col customWidth="1" min="2" max="5" width="31.71"/>
    <col customWidth="1" min="6" max="6" width="21.86"/>
    <col customWidth="1" min="7" max="7" width="24.71"/>
    <col customWidth="1" min="8" max="8" width="29.86"/>
    <col customWidth="1" min="9" max="16" width="12.57"/>
  </cols>
  <sheetData>
    <row r="1" ht="15.75" customHeight="1">
      <c r="A1" s="432" t="s">
        <v>736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</row>
    <row r="2" ht="25.5" customHeight="1">
      <c r="A2" s="433" t="s">
        <v>737</v>
      </c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2"/>
      <c r="R2" s="432"/>
      <c r="S2" s="432"/>
      <c r="T2" s="432"/>
      <c r="U2" s="432"/>
    </row>
    <row r="3" ht="25.5" customHeight="1">
      <c r="A3" s="435" t="s">
        <v>738</v>
      </c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2"/>
      <c r="R3" s="432"/>
      <c r="S3" s="432"/>
      <c r="T3" s="432"/>
      <c r="U3" s="432"/>
    </row>
    <row r="4" ht="25.5" customHeight="1">
      <c r="A4" s="436" t="s">
        <v>739</v>
      </c>
      <c r="F4" s="434"/>
      <c r="G4" s="434"/>
      <c r="H4" s="434"/>
      <c r="I4" s="434"/>
      <c r="J4" s="434"/>
      <c r="K4" s="434"/>
      <c r="L4" s="434"/>
      <c r="M4" s="434"/>
      <c r="N4" s="434"/>
      <c r="O4" s="434"/>
      <c r="P4" s="434"/>
      <c r="Q4" s="432"/>
      <c r="R4" s="432"/>
      <c r="S4" s="432"/>
      <c r="T4" s="432"/>
      <c r="U4" s="432"/>
    </row>
    <row r="5" ht="20.25" customHeight="1">
      <c r="A5" s="436" t="s">
        <v>740</v>
      </c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2"/>
      <c r="R5" s="432"/>
      <c r="S5" s="432"/>
      <c r="T5" s="432"/>
      <c r="U5" s="432"/>
    </row>
    <row r="6" ht="20.25" customHeight="1">
      <c r="A6" s="434"/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2"/>
      <c r="R6" s="432"/>
      <c r="S6" s="432"/>
      <c r="T6" s="432"/>
      <c r="U6" s="432"/>
    </row>
    <row r="7" ht="22.5" customHeight="1">
      <c r="A7" s="437" t="s">
        <v>741</v>
      </c>
      <c r="B7" s="438" t="s">
        <v>564</v>
      </c>
      <c r="C7" s="439" t="s">
        <v>94</v>
      </c>
      <c r="D7" s="440" t="s">
        <v>95</v>
      </c>
      <c r="E7" s="16"/>
      <c r="F7" s="15"/>
      <c r="G7" s="441" t="s">
        <v>742</v>
      </c>
      <c r="H7" s="442" t="s">
        <v>743</v>
      </c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</row>
    <row r="8" ht="33.75" customHeight="1">
      <c r="A8" s="25"/>
      <c r="B8" s="25"/>
      <c r="C8" s="97"/>
      <c r="D8" s="443" t="s">
        <v>13</v>
      </c>
      <c r="E8" s="443" t="s">
        <v>14</v>
      </c>
      <c r="F8" s="443" t="s">
        <v>15</v>
      </c>
      <c r="G8" s="25"/>
      <c r="H8" s="25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</row>
    <row r="9" ht="26.25" customHeight="1">
      <c r="A9" s="444" t="s">
        <v>744</v>
      </c>
      <c r="B9" s="445"/>
      <c r="C9" s="445"/>
      <c r="D9" s="178"/>
      <c r="E9" s="446"/>
      <c r="F9" s="445"/>
      <c r="G9" s="445"/>
      <c r="H9" s="445"/>
      <c r="I9" s="447"/>
      <c r="J9" s="447"/>
      <c r="K9" s="447"/>
      <c r="L9" s="447"/>
      <c r="M9" s="447"/>
      <c r="N9" s="447"/>
      <c r="O9" s="447"/>
      <c r="P9" s="447"/>
      <c r="Q9" s="432"/>
      <c r="R9" s="432"/>
      <c r="S9" s="432"/>
      <c r="T9" s="432"/>
      <c r="U9" s="432"/>
    </row>
    <row r="10" ht="26.25" customHeight="1">
      <c r="A10" s="445" t="s">
        <v>745</v>
      </c>
      <c r="B10" s="448">
        <f>HVCDP!D793</f>
        <v>5625.71</v>
      </c>
      <c r="C10" s="448">
        <f>HVCDP!F793</f>
        <v>11435.71</v>
      </c>
      <c r="D10" s="352">
        <f>HVCDP!H793</f>
        <v>8020</v>
      </c>
      <c r="E10" s="370">
        <f>HVCDP!J793</f>
        <v>0</v>
      </c>
      <c r="F10" s="449">
        <f t="shared" ref="F10:F13" si="1">SUM(D10:E10)</f>
        <v>8020</v>
      </c>
      <c r="G10" s="450">
        <f>F10-C100</f>
        <v>8020</v>
      </c>
      <c r="H10" s="451">
        <f t="shared" ref="H10:H14" si="2">G10/C10*100</f>
        <v>70.1311943</v>
      </c>
      <c r="I10" s="447"/>
      <c r="J10" s="447"/>
      <c r="K10" s="447"/>
      <c r="L10" s="447"/>
      <c r="M10" s="447"/>
      <c r="N10" s="447"/>
      <c r="O10" s="447"/>
      <c r="P10" s="447"/>
      <c r="Q10" s="432"/>
      <c r="R10" s="432"/>
      <c r="S10" s="432"/>
      <c r="T10" s="432"/>
      <c r="U10" s="432"/>
    </row>
    <row r="11" ht="26.25" customHeight="1">
      <c r="A11" s="445" t="s">
        <v>746</v>
      </c>
      <c r="B11" s="448">
        <f>NUPAP!D48</f>
        <v>194.94733</v>
      </c>
      <c r="C11" s="448">
        <f>NUPAP!F48</f>
        <v>2792</v>
      </c>
      <c r="D11" s="452">
        <f>NUPAP!H48</f>
        <v>0</v>
      </c>
      <c r="E11" s="453">
        <f>NUPAP!J48</f>
        <v>0</v>
      </c>
      <c r="F11" s="454">
        <f t="shared" si="1"/>
        <v>0</v>
      </c>
      <c r="G11" s="450">
        <f t="shared" ref="G11:G14" si="3">F11-C11</f>
        <v>-2792</v>
      </c>
      <c r="H11" s="451">
        <f t="shared" si="2"/>
        <v>-100</v>
      </c>
      <c r="I11" s="447"/>
      <c r="J11" s="447"/>
      <c r="K11" s="447"/>
      <c r="L11" s="447"/>
      <c r="M11" s="447"/>
      <c r="N11" s="447"/>
      <c r="O11" s="447"/>
      <c r="P11" s="447"/>
      <c r="Q11" s="432"/>
      <c r="R11" s="432"/>
      <c r="S11" s="432"/>
      <c r="T11" s="432"/>
      <c r="U11" s="432"/>
    </row>
    <row r="12" ht="26.25" customHeight="1">
      <c r="A12" s="445" t="s">
        <v>747</v>
      </c>
      <c r="B12" s="448">
        <f>LIVESTOCK!D41</f>
        <v>4205.46</v>
      </c>
      <c r="C12" s="455">
        <f>LIVESTOCK!F41</f>
        <v>405.46</v>
      </c>
      <c r="D12" s="178">
        <f>LIVESTOCK!H41</f>
        <v>1630</v>
      </c>
      <c r="E12" s="456">
        <f>LIVESTOCK!J41</f>
        <v>0</v>
      </c>
      <c r="F12" s="450">
        <f t="shared" si="1"/>
        <v>1630</v>
      </c>
      <c r="G12" s="450">
        <f t="shared" si="3"/>
        <v>1224.54</v>
      </c>
      <c r="H12" s="451">
        <f t="shared" si="2"/>
        <v>302.012529</v>
      </c>
      <c r="I12" s="447"/>
      <c r="J12" s="447"/>
      <c r="K12" s="447"/>
      <c r="L12" s="447"/>
      <c r="M12" s="447"/>
      <c r="N12" s="447"/>
      <c r="O12" s="447"/>
      <c r="P12" s="447"/>
      <c r="Q12" s="432"/>
      <c r="R12" s="432"/>
      <c r="S12" s="432"/>
      <c r="T12" s="432"/>
      <c r="U12" s="432"/>
    </row>
    <row r="13" ht="26.25" customHeight="1">
      <c r="A13" s="445" t="s">
        <v>748</v>
      </c>
      <c r="B13" s="448">
        <f>OAP!D60</f>
        <v>1450</v>
      </c>
      <c r="C13" s="457">
        <f>OAP!F60</f>
        <v>750</v>
      </c>
      <c r="D13" s="178">
        <f>OAP!H60</f>
        <v>2100</v>
      </c>
      <c r="E13" s="456">
        <f>OAP!J60</f>
        <v>0</v>
      </c>
      <c r="F13" s="450">
        <f t="shared" si="1"/>
        <v>2100</v>
      </c>
      <c r="G13" s="450">
        <f t="shared" si="3"/>
        <v>1350</v>
      </c>
      <c r="H13" s="451">
        <f t="shared" si="2"/>
        <v>180</v>
      </c>
      <c r="I13" s="447"/>
      <c r="J13" s="447"/>
      <c r="K13" s="447"/>
      <c r="L13" s="447"/>
      <c r="M13" s="447"/>
      <c r="N13" s="447"/>
      <c r="O13" s="447"/>
      <c r="P13" s="447"/>
      <c r="Q13" s="432"/>
      <c r="R13" s="432"/>
      <c r="S13" s="432"/>
      <c r="T13" s="432"/>
      <c r="U13" s="432"/>
    </row>
    <row r="14" ht="26.25" hidden="1" customHeight="1">
      <c r="A14" s="458" t="s">
        <v>749</v>
      </c>
      <c r="B14" s="448"/>
      <c r="C14" s="457"/>
      <c r="D14" s="178"/>
      <c r="E14" s="446"/>
      <c r="F14" s="445"/>
      <c r="G14" s="450">
        <f t="shared" si="3"/>
        <v>0</v>
      </c>
      <c r="H14" s="451" t="str">
        <f t="shared" si="2"/>
        <v>#DIV/0!</v>
      </c>
      <c r="I14" s="447"/>
      <c r="J14" s="447"/>
      <c r="K14" s="447"/>
      <c r="L14" s="447"/>
      <c r="M14" s="447"/>
      <c r="N14" s="447"/>
      <c r="O14" s="447"/>
      <c r="P14" s="447"/>
      <c r="Q14" s="432"/>
      <c r="R14" s="432"/>
      <c r="S14" s="432"/>
      <c r="T14" s="432"/>
      <c r="U14" s="432"/>
    </row>
    <row r="15">
      <c r="A15" s="444" t="s">
        <v>750</v>
      </c>
      <c r="B15" s="445"/>
      <c r="C15" s="445"/>
      <c r="D15" s="178"/>
      <c r="E15" s="446"/>
      <c r="F15" s="445"/>
      <c r="G15" s="445"/>
      <c r="H15" s="451"/>
      <c r="I15" s="447"/>
      <c r="J15" s="447"/>
      <c r="K15" s="447"/>
      <c r="L15" s="447"/>
      <c r="M15" s="447"/>
      <c r="N15" s="447"/>
      <c r="O15" s="447"/>
      <c r="P15" s="447"/>
      <c r="Q15" s="432"/>
      <c r="R15" s="432"/>
      <c r="S15" s="432"/>
      <c r="T15" s="432"/>
      <c r="U15" s="432"/>
    </row>
    <row r="16" ht="26.25" customHeight="1">
      <c r="A16" s="445" t="s">
        <v>751</v>
      </c>
      <c r="B16" s="448">
        <f>FMR!E11</f>
        <v>30000</v>
      </c>
      <c r="C16" s="448">
        <f>FMR!E17</f>
        <v>65000</v>
      </c>
      <c r="D16" s="178">
        <f>FMR!E29</f>
        <v>155000</v>
      </c>
      <c r="E16" s="459">
        <f>FMR!E42</f>
        <v>301920</v>
      </c>
      <c r="F16" s="450">
        <f t="shared" ref="F16:F23" si="4">SUM(D16:E16)</f>
        <v>456920</v>
      </c>
      <c r="G16" s="450">
        <f t="shared" ref="G16:G23" si="5">F16-C16</f>
        <v>391920</v>
      </c>
      <c r="H16" s="451">
        <f t="shared" ref="H16:H18" si="6">G16/C16*100</f>
        <v>602.9538462</v>
      </c>
      <c r="I16" s="447"/>
      <c r="J16" s="447"/>
      <c r="K16" s="447"/>
      <c r="L16" s="447"/>
      <c r="M16" s="447"/>
      <c r="N16" s="447"/>
      <c r="O16" s="447"/>
      <c r="P16" s="447"/>
      <c r="Q16" s="432"/>
      <c r="R16" s="432"/>
      <c r="S16" s="432"/>
      <c r="T16" s="432"/>
      <c r="U16" s="432"/>
    </row>
    <row r="17" ht="43.5" customHeight="1">
      <c r="A17" s="445" t="s">
        <v>752</v>
      </c>
      <c r="B17" s="448">
        <f>SAAD!D47</f>
        <v>8961</v>
      </c>
      <c r="C17" s="448">
        <f>SAAD!F47</f>
        <v>2923</v>
      </c>
      <c r="D17" s="178">
        <f>SAAD!H47</f>
        <v>2342</v>
      </c>
      <c r="E17" s="460">
        <v>0.0</v>
      </c>
      <c r="F17" s="450">
        <f t="shared" si="4"/>
        <v>2342</v>
      </c>
      <c r="G17" s="450">
        <f t="shared" si="5"/>
        <v>-581</v>
      </c>
      <c r="H17" s="451">
        <f t="shared" si="6"/>
        <v>-19.87683886</v>
      </c>
      <c r="I17" s="447"/>
      <c r="J17" s="447"/>
      <c r="K17" s="447"/>
      <c r="L17" s="447"/>
      <c r="M17" s="447"/>
      <c r="N17" s="447"/>
      <c r="O17" s="447"/>
      <c r="P17" s="447"/>
      <c r="Q17" s="432"/>
      <c r="R17" s="432"/>
      <c r="S17" s="432"/>
      <c r="T17" s="432"/>
      <c r="U17" s="432"/>
    </row>
    <row r="18" ht="45.0" customHeight="1">
      <c r="A18" s="445" t="s">
        <v>753</v>
      </c>
      <c r="B18" s="461">
        <v>364.5</v>
      </c>
      <c r="C18" s="462">
        <v>171.4</v>
      </c>
      <c r="D18" s="463">
        <v>156.73</v>
      </c>
      <c r="E18" s="460">
        <v>0.0</v>
      </c>
      <c r="F18" s="450">
        <f t="shared" si="4"/>
        <v>156.73</v>
      </c>
      <c r="G18" s="450">
        <f t="shared" si="5"/>
        <v>-14.67</v>
      </c>
      <c r="H18" s="451">
        <f t="shared" si="6"/>
        <v>-8.558926488</v>
      </c>
      <c r="I18" s="447"/>
      <c r="J18" s="447"/>
      <c r="K18" s="447"/>
      <c r="L18" s="447"/>
      <c r="M18" s="447"/>
      <c r="N18" s="447"/>
      <c r="O18" s="447"/>
      <c r="P18" s="447"/>
      <c r="Q18" s="432"/>
      <c r="R18" s="432"/>
      <c r="S18" s="432"/>
      <c r="T18" s="432"/>
      <c r="U18" s="432"/>
    </row>
    <row r="19" ht="50.25" customHeight="1">
      <c r="A19" s="445" t="s">
        <v>754</v>
      </c>
      <c r="B19" s="448">
        <f>MCRA!D28</f>
        <v>1000</v>
      </c>
      <c r="C19" s="464">
        <f>MCRA!F28</f>
        <v>0</v>
      </c>
      <c r="D19" s="178">
        <f>MCRA!H28</f>
        <v>0</v>
      </c>
      <c r="E19" s="456">
        <f>MCRA!J28</f>
        <v>0</v>
      </c>
      <c r="F19" s="450">
        <f t="shared" si="4"/>
        <v>0</v>
      </c>
      <c r="G19" s="450">
        <f t="shared" si="5"/>
        <v>0</v>
      </c>
      <c r="H19" s="465">
        <v>0.0</v>
      </c>
      <c r="I19" s="447"/>
      <c r="J19" s="447"/>
      <c r="K19" s="447"/>
      <c r="L19" s="447"/>
      <c r="M19" s="447"/>
      <c r="N19" s="447"/>
      <c r="O19" s="447"/>
      <c r="P19" s="447"/>
      <c r="Q19" s="432"/>
      <c r="R19" s="432"/>
      <c r="S19" s="432"/>
      <c r="T19" s="432"/>
      <c r="U19" s="432"/>
    </row>
    <row r="20" ht="36.0" customHeight="1">
      <c r="A20" s="445" t="s">
        <v>755</v>
      </c>
      <c r="B20" s="455">
        <f>NHSP!D26</f>
        <v>490</v>
      </c>
      <c r="C20" s="448">
        <f>NHSP!F26</f>
        <v>321</v>
      </c>
      <c r="D20" s="463">
        <v>0.0</v>
      </c>
      <c r="E20" s="460">
        <v>0.0</v>
      </c>
      <c r="F20" s="450">
        <f t="shared" si="4"/>
        <v>0</v>
      </c>
      <c r="G20" s="450">
        <f t="shared" si="5"/>
        <v>-321</v>
      </c>
      <c r="H20" s="451">
        <f t="shared" ref="H20:H23" si="7">G20/C20*100</f>
        <v>-100</v>
      </c>
      <c r="I20" s="447"/>
      <c r="J20" s="447"/>
      <c r="K20" s="447"/>
      <c r="L20" s="447"/>
      <c r="M20" s="447"/>
      <c r="N20" s="447"/>
      <c r="O20" s="447"/>
      <c r="P20" s="447"/>
      <c r="Q20" s="432"/>
      <c r="R20" s="432"/>
      <c r="S20" s="432"/>
      <c r="T20" s="432"/>
      <c r="U20" s="432"/>
    </row>
    <row r="21" ht="26.25" hidden="1" customHeight="1">
      <c r="A21" s="444" t="s">
        <v>756</v>
      </c>
      <c r="B21" s="445"/>
      <c r="C21" s="445"/>
      <c r="D21" s="178"/>
      <c r="E21" s="446"/>
      <c r="F21" s="450">
        <f t="shared" si="4"/>
        <v>0</v>
      </c>
      <c r="G21" s="450">
        <f t="shared" si="5"/>
        <v>0</v>
      </c>
      <c r="H21" s="451" t="str">
        <f t="shared" si="7"/>
        <v>#DIV/0!</v>
      </c>
      <c r="I21" s="447"/>
      <c r="J21" s="447"/>
      <c r="K21" s="447"/>
      <c r="L21" s="447"/>
      <c r="M21" s="447"/>
      <c r="N21" s="447"/>
      <c r="O21" s="447"/>
      <c r="P21" s="447"/>
      <c r="Q21" s="432"/>
      <c r="R21" s="432"/>
      <c r="S21" s="432"/>
      <c r="T21" s="432"/>
      <c r="U21" s="432"/>
    </row>
    <row r="22" ht="25.5" hidden="1" customHeight="1">
      <c r="A22" s="445" t="s">
        <v>757</v>
      </c>
      <c r="B22" s="466"/>
      <c r="C22" s="445"/>
      <c r="D22" s="178"/>
      <c r="E22" s="446"/>
      <c r="F22" s="450">
        <f t="shared" si="4"/>
        <v>0</v>
      </c>
      <c r="G22" s="450">
        <f t="shared" si="5"/>
        <v>0</v>
      </c>
      <c r="H22" s="451" t="str">
        <f t="shared" si="7"/>
        <v>#DIV/0!</v>
      </c>
      <c r="I22" s="447"/>
      <c r="J22" s="447"/>
      <c r="K22" s="447"/>
      <c r="L22" s="447"/>
      <c r="M22" s="447"/>
      <c r="N22" s="447"/>
      <c r="O22" s="447"/>
      <c r="P22" s="447"/>
      <c r="Q22" s="432"/>
      <c r="R22" s="432"/>
      <c r="S22" s="432"/>
      <c r="T22" s="432"/>
      <c r="U22" s="432"/>
    </row>
    <row r="23" ht="26.25" customHeight="1">
      <c r="A23" s="467" t="s">
        <v>15</v>
      </c>
      <c r="B23" s="468">
        <f t="shared" ref="B23:E23" si="8">SUM(B10:B13,B16:B20)</f>
        <v>52291.61733</v>
      </c>
      <c r="C23" s="468">
        <f t="shared" si="8"/>
        <v>83798.57</v>
      </c>
      <c r="D23" s="468">
        <f t="shared" si="8"/>
        <v>169248.73</v>
      </c>
      <c r="E23" s="468">
        <f t="shared" si="8"/>
        <v>301920</v>
      </c>
      <c r="F23" s="469">
        <f t="shared" si="4"/>
        <v>471168.73</v>
      </c>
      <c r="G23" s="469">
        <f t="shared" si="5"/>
        <v>387370.16</v>
      </c>
      <c r="H23" s="470">
        <f t="shared" si="7"/>
        <v>462.2634491</v>
      </c>
      <c r="I23" s="447"/>
      <c r="J23" s="447"/>
      <c r="K23" s="447"/>
      <c r="L23" s="447"/>
      <c r="M23" s="447"/>
      <c r="N23" s="447"/>
      <c r="O23" s="447"/>
      <c r="P23" s="447"/>
      <c r="Q23" s="432"/>
      <c r="R23" s="432"/>
      <c r="S23" s="432"/>
      <c r="T23" s="432"/>
      <c r="U23" s="432"/>
    </row>
    <row r="24" ht="15.75" customHeight="1">
      <c r="A24" s="471"/>
      <c r="B24" s="472"/>
      <c r="C24" s="432"/>
      <c r="D24" s="473"/>
      <c r="E24" s="474"/>
      <c r="F24" s="434"/>
      <c r="G24" s="475"/>
      <c r="H24" s="432"/>
      <c r="I24" s="432"/>
      <c r="J24" s="476"/>
      <c r="K24" s="477"/>
      <c r="L24" s="432"/>
      <c r="M24" s="432"/>
      <c r="N24" s="432"/>
      <c r="O24" s="432"/>
      <c r="P24" s="432"/>
      <c r="Q24" s="432"/>
      <c r="R24" s="432"/>
      <c r="S24" s="432"/>
      <c r="T24" s="432"/>
      <c r="U24" s="432"/>
    </row>
    <row r="25" ht="15.75" customHeight="1">
      <c r="A25" s="471"/>
      <c r="B25" s="432"/>
      <c r="C25" s="432"/>
      <c r="D25" s="476"/>
      <c r="E25" s="478"/>
      <c r="F25" s="479"/>
      <c r="G25" s="476"/>
      <c r="H25" s="432"/>
      <c r="I25" s="432"/>
      <c r="J25" s="476"/>
      <c r="K25" s="477"/>
      <c r="L25" s="432"/>
      <c r="M25" s="432"/>
      <c r="N25" s="432"/>
      <c r="O25" s="432"/>
      <c r="P25" s="432"/>
      <c r="Q25" s="432"/>
      <c r="R25" s="432"/>
      <c r="S25" s="432"/>
      <c r="T25" s="432"/>
      <c r="U25" s="432"/>
    </row>
    <row r="26" ht="14.25" customHeight="1">
      <c r="A26" s="476"/>
      <c r="B26" s="432"/>
      <c r="C26" s="432"/>
      <c r="D26" s="478"/>
      <c r="E26" s="478"/>
      <c r="F26" s="434"/>
      <c r="G26" s="476"/>
      <c r="H26" s="432"/>
      <c r="I26" s="432"/>
      <c r="J26" s="476"/>
      <c r="K26" s="477"/>
      <c r="L26" s="432"/>
      <c r="M26" s="432"/>
      <c r="N26" s="432"/>
      <c r="O26" s="432"/>
      <c r="P26" s="432"/>
      <c r="Q26" s="432"/>
      <c r="R26" s="432"/>
      <c r="S26" s="432"/>
      <c r="T26" s="432"/>
      <c r="U26" s="432"/>
    </row>
    <row r="27" ht="14.25" customHeight="1">
      <c r="A27" s="476"/>
      <c r="B27" s="432"/>
      <c r="C27" s="432"/>
      <c r="D27" s="478"/>
      <c r="E27" s="478"/>
      <c r="F27" s="434"/>
      <c r="G27" s="476"/>
      <c r="H27" s="432"/>
      <c r="I27" s="432"/>
      <c r="J27" s="476"/>
      <c r="K27" s="477"/>
      <c r="L27" s="432"/>
      <c r="M27" s="432"/>
      <c r="N27" s="432"/>
      <c r="O27" s="432"/>
      <c r="P27" s="432"/>
      <c r="Q27" s="432"/>
      <c r="R27" s="432"/>
      <c r="S27" s="432"/>
      <c r="T27" s="432"/>
      <c r="U27" s="432"/>
    </row>
    <row r="28" ht="22.5" customHeight="1">
      <c r="A28" s="147" t="s">
        <v>77</v>
      </c>
      <c r="B28" s="150"/>
      <c r="C28" s="480"/>
      <c r="D28" s="430" t="s">
        <v>466</v>
      </c>
      <c r="E28" s="154"/>
      <c r="F28" s="150"/>
      <c r="G28" s="160" t="s">
        <v>467</v>
      </c>
      <c r="H28" s="150"/>
      <c r="I28" s="150"/>
      <c r="J28" s="150"/>
      <c r="K28" s="150"/>
      <c r="L28" s="154"/>
      <c r="M28" s="481"/>
      <c r="N28" s="154"/>
      <c r="O28" s="154"/>
      <c r="P28" s="482"/>
      <c r="Q28" s="150"/>
      <c r="R28" s="150"/>
      <c r="S28" s="150"/>
      <c r="T28" s="150"/>
      <c r="U28" s="150"/>
    </row>
    <row r="29" ht="15.0" customHeight="1">
      <c r="A29" s="68"/>
      <c r="B29" s="150"/>
      <c r="C29" s="480"/>
      <c r="D29" s="480"/>
      <c r="E29" s="154"/>
      <c r="F29" s="150"/>
      <c r="G29" s="68"/>
      <c r="H29" s="150"/>
      <c r="I29" s="150"/>
      <c r="J29" s="150"/>
      <c r="K29" s="150"/>
      <c r="L29" s="154"/>
      <c r="M29" s="481"/>
      <c r="N29" s="154"/>
      <c r="O29" s="154"/>
      <c r="P29" s="482"/>
      <c r="Q29" s="150"/>
      <c r="R29" s="150"/>
      <c r="S29" s="150"/>
      <c r="T29" s="150"/>
      <c r="U29" s="150"/>
    </row>
    <row r="30" ht="15.0" customHeight="1">
      <c r="A30" s="68"/>
      <c r="B30" s="150"/>
      <c r="C30" s="480"/>
      <c r="D30" s="480"/>
      <c r="E30" s="154"/>
      <c r="F30" s="150"/>
      <c r="G30" s="68"/>
      <c r="H30" s="150"/>
      <c r="I30" s="150"/>
      <c r="J30" s="150"/>
      <c r="K30" s="150"/>
      <c r="L30" s="154"/>
      <c r="M30" s="481"/>
      <c r="N30" s="154"/>
      <c r="O30" s="154"/>
      <c r="P30" s="482"/>
      <c r="Q30" s="150"/>
      <c r="R30" s="150"/>
      <c r="S30" s="150"/>
      <c r="T30" s="150"/>
      <c r="U30" s="150"/>
    </row>
    <row r="31" ht="15.0" customHeight="1">
      <c r="A31" s="480"/>
      <c r="B31" s="150"/>
      <c r="C31" s="480"/>
      <c r="D31" s="480"/>
      <c r="E31" s="154"/>
      <c r="F31" s="150"/>
      <c r="G31" s="68"/>
      <c r="H31" s="150"/>
      <c r="I31" s="150"/>
      <c r="J31" s="150"/>
      <c r="K31" s="150"/>
      <c r="L31" s="154"/>
      <c r="M31" s="481"/>
      <c r="N31" s="154"/>
      <c r="O31" s="154"/>
      <c r="P31" s="482"/>
      <c r="Q31" s="150"/>
      <c r="R31" s="150"/>
      <c r="S31" s="150"/>
      <c r="T31" s="150"/>
      <c r="U31" s="150"/>
    </row>
    <row r="32" ht="15.75" customHeight="1">
      <c r="A32" s="68"/>
      <c r="B32" s="150"/>
      <c r="C32" s="480"/>
      <c r="D32" s="480"/>
      <c r="E32" s="151"/>
      <c r="F32" s="150"/>
      <c r="G32" s="68"/>
      <c r="H32" s="150"/>
      <c r="I32" s="150"/>
      <c r="J32" s="150"/>
      <c r="K32" s="150"/>
      <c r="L32" s="154"/>
      <c r="M32" s="481"/>
      <c r="N32" s="154"/>
      <c r="O32" s="154"/>
      <c r="P32" s="482"/>
      <c r="Q32" s="150"/>
      <c r="R32" s="150"/>
      <c r="S32" s="150"/>
      <c r="T32" s="150"/>
      <c r="U32" s="150"/>
    </row>
    <row r="33" ht="18.75" customHeight="1">
      <c r="A33" s="157" t="s">
        <v>82</v>
      </c>
      <c r="B33" s="150"/>
      <c r="C33" s="480"/>
      <c r="D33" s="483" t="s">
        <v>83</v>
      </c>
      <c r="E33" s="151"/>
      <c r="F33" s="150"/>
      <c r="G33" s="157" t="s">
        <v>84</v>
      </c>
      <c r="H33" s="150"/>
      <c r="I33" s="150"/>
      <c r="J33" s="150"/>
      <c r="K33" s="150"/>
      <c r="L33" s="154"/>
      <c r="M33" s="481"/>
      <c r="N33" s="154"/>
      <c r="O33" s="154"/>
      <c r="P33" s="482"/>
      <c r="Q33" s="150"/>
      <c r="R33" s="150"/>
      <c r="S33" s="150"/>
      <c r="T33" s="150"/>
      <c r="U33" s="150"/>
    </row>
    <row r="34" ht="21.0" customHeight="1">
      <c r="A34" s="160" t="s">
        <v>468</v>
      </c>
      <c r="B34" s="484"/>
      <c r="C34" s="480"/>
      <c r="D34" s="430" t="s">
        <v>87</v>
      </c>
      <c r="E34" s="485"/>
      <c r="F34" s="150"/>
      <c r="G34" s="160" t="s">
        <v>88</v>
      </c>
      <c r="H34" s="150"/>
      <c r="I34" s="150"/>
      <c r="J34" s="150"/>
      <c r="K34" s="150"/>
      <c r="L34" s="154"/>
      <c r="M34" s="481"/>
      <c r="N34" s="154"/>
      <c r="O34" s="154"/>
      <c r="P34" s="482"/>
      <c r="Q34" s="150"/>
      <c r="R34" s="150"/>
      <c r="S34" s="150"/>
      <c r="T34" s="150"/>
      <c r="U34" s="150"/>
    </row>
    <row r="35" ht="32.25" customHeight="1">
      <c r="A35" s="486"/>
      <c r="B35" s="487"/>
      <c r="C35" s="432"/>
      <c r="D35" s="487"/>
      <c r="E35" s="487"/>
      <c r="F35" s="432"/>
      <c r="G35" s="432"/>
      <c r="H35" s="432"/>
      <c r="I35" s="432"/>
      <c r="J35" s="432"/>
      <c r="K35" s="432"/>
      <c r="L35" s="432"/>
      <c r="M35" s="488"/>
      <c r="N35" s="432"/>
      <c r="O35" s="432"/>
      <c r="P35" s="432"/>
      <c r="Q35" s="432"/>
      <c r="R35" s="432"/>
      <c r="S35" s="432"/>
      <c r="T35" s="432"/>
      <c r="U35" s="432"/>
    </row>
    <row r="36" ht="14.25" customHeight="1">
      <c r="A36" s="432"/>
      <c r="B36" s="432"/>
      <c r="C36" s="432"/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2"/>
      <c r="O36" s="432"/>
      <c r="P36" s="432"/>
      <c r="Q36" s="432"/>
      <c r="R36" s="432"/>
      <c r="S36" s="432"/>
      <c r="T36" s="432"/>
      <c r="U36" s="432"/>
    </row>
    <row r="37" ht="14.25" customHeight="1">
      <c r="A37" s="432"/>
      <c r="B37" s="432"/>
      <c r="C37" s="432"/>
      <c r="D37" s="432"/>
      <c r="E37" s="432"/>
      <c r="F37" s="432"/>
      <c r="G37" s="432"/>
      <c r="H37" s="432"/>
      <c r="I37" s="432"/>
      <c r="J37" s="432"/>
      <c r="K37" s="432"/>
      <c r="L37" s="432"/>
      <c r="M37" s="432"/>
      <c r="N37" s="432"/>
      <c r="O37" s="432"/>
      <c r="P37" s="432"/>
      <c r="Q37" s="432"/>
      <c r="R37" s="432"/>
      <c r="S37" s="432"/>
      <c r="T37" s="432"/>
      <c r="U37" s="432"/>
    </row>
    <row r="38" ht="14.25" customHeight="1">
      <c r="A38" s="432"/>
      <c r="B38" s="432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</row>
    <row r="39" ht="14.25" customHeight="1">
      <c r="A39" s="432"/>
      <c r="B39" s="432"/>
      <c r="C39" s="432"/>
      <c r="D39" s="432"/>
      <c r="E39" s="432"/>
      <c r="F39" s="432"/>
      <c r="G39" s="432"/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</row>
    <row r="40" ht="14.25" customHeight="1">
      <c r="A40" s="432"/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2"/>
      <c r="P40" s="432"/>
      <c r="Q40" s="432"/>
      <c r="R40" s="432"/>
      <c r="S40" s="432"/>
      <c r="T40" s="432"/>
      <c r="U40" s="432"/>
    </row>
    <row r="41" ht="14.25" customHeight="1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2"/>
      <c r="L41" s="432"/>
      <c r="M41" s="432"/>
      <c r="N41" s="432"/>
      <c r="O41" s="432"/>
      <c r="P41" s="432"/>
      <c r="Q41" s="432"/>
      <c r="R41" s="432"/>
      <c r="S41" s="432"/>
      <c r="T41" s="432"/>
      <c r="U41" s="432"/>
    </row>
    <row r="42" ht="14.25" customHeight="1">
      <c r="A42" s="432"/>
      <c r="B42" s="432"/>
      <c r="C42" s="432"/>
      <c r="D42" s="432"/>
      <c r="E42" s="432"/>
      <c r="F42" s="432"/>
      <c r="G42" s="432"/>
      <c r="H42" s="432"/>
      <c r="I42" s="432"/>
      <c r="J42" s="432"/>
      <c r="K42" s="432"/>
      <c r="L42" s="432"/>
      <c r="M42" s="432"/>
      <c r="N42" s="432"/>
      <c r="O42" s="432"/>
      <c r="P42" s="432"/>
      <c r="Q42" s="432"/>
      <c r="R42" s="432"/>
      <c r="S42" s="432"/>
      <c r="T42" s="432"/>
      <c r="U42" s="432"/>
    </row>
    <row r="43" ht="14.25" customHeight="1">
      <c r="A43" s="432"/>
      <c r="B43" s="432"/>
      <c r="C43" s="432"/>
      <c r="D43" s="432"/>
      <c r="E43" s="432"/>
      <c r="F43" s="432"/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</row>
    <row r="44" ht="14.25" customHeight="1">
      <c r="A44" s="432"/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</row>
    <row r="45" ht="14.25" customHeight="1">
      <c r="A45" s="432"/>
      <c r="B45" s="432"/>
      <c r="C45" s="432"/>
      <c r="D45" s="432"/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</row>
    <row r="46" ht="14.25" customHeight="1">
      <c r="A46" s="432"/>
      <c r="B46" s="432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</row>
    <row r="47" ht="14.25" customHeight="1">
      <c r="A47" s="432"/>
      <c r="B47" s="432"/>
      <c r="C47" s="432"/>
      <c r="D47" s="432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</row>
    <row r="48" ht="14.25" customHeight="1">
      <c r="A48" s="432"/>
      <c r="B48" s="432"/>
      <c r="C48" s="432"/>
      <c r="D48" s="432"/>
      <c r="E48" s="432"/>
      <c r="F48" s="432"/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</row>
    <row r="49" ht="14.25" customHeight="1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</row>
    <row r="50" ht="14.25" customHeight="1">
      <c r="A50" s="432"/>
      <c r="B50" s="432"/>
      <c r="C50" s="432"/>
      <c r="D50" s="432"/>
      <c r="E50" s="432"/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</row>
    <row r="51" ht="14.25" customHeight="1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</row>
    <row r="52" ht="14.25" customHeight="1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</row>
    <row r="53" ht="14.25" customHeight="1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</row>
    <row r="54" ht="14.25" customHeight="1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</row>
    <row r="55" ht="14.25" customHeight="1">
      <c r="A55" s="432"/>
      <c r="B55" s="432"/>
      <c r="C55" s="432"/>
      <c r="D55" s="432"/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</row>
    <row r="56" ht="14.25" customHeight="1">
      <c r="A56" s="432"/>
      <c r="B56" s="432"/>
      <c r="C56" s="432"/>
      <c r="D56" s="432"/>
      <c r="E56" s="432"/>
      <c r="F56" s="432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</row>
    <row r="57" ht="14.25" customHeight="1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</row>
    <row r="58" ht="14.25" customHeight="1">
      <c r="A58" s="432"/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</row>
    <row r="59" ht="14.25" customHeight="1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</row>
    <row r="60" ht="14.25" customHeight="1">
      <c r="A60" s="432"/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</row>
    <row r="61" ht="14.25" customHeight="1">
      <c r="A61" s="432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</row>
    <row r="62" ht="14.25" customHeight="1">
      <c r="A62" s="432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</row>
    <row r="63" ht="14.25" customHeight="1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</row>
    <row r="64" ht="14.25" customHeight="1">
      <c r="A64" s="432"/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</row>
    <row r="65" ht="14.25" customHeight="1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</row>
    <row r="66" ht="14.25" customHeight="1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</row>
    <row r="67" ht="14.25" customHeight="1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</row>
    <row r="68" ht="14.25" customHeight="1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</row>
    <row r="69" ht="14.25" customHeight="1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</row>
    <row r="70" ht="14.25" customHeight="1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</row>
    <row r="71" ht="14.25" customHeight="1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</row>
    <row r="72" ht="14.25" customHeight="1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</row>
    <row r="73" ht="14.25" customHeight="1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</row>
    <row r="74" ht="14.25" customHeight="1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</row>
    <row r="75" ht="14.25" customHeight="1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</row>
    <row r="76" ht="14.25" customHeight="1">
      <c r="A76" s="432"/>
      <c r="B76" s="432"/>
      <c r="C76" s="432"/>
      <c r="D76" s="432"/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</row>
    <row r="77" ht="14.25" customHeight="1">
      <c r="A77" s="432"/>
      <c r="B77" s="432"/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</row>
    <row r="78" ht="14.25" customHeight="1">
      <c r="A78" s="432"/>
      <c r="B78" s="432"/>
      <c r="C78" s="432"/>
      <c r="D78" s="432"/>
      <c r="E78" s="432"/>
      <c r="F78" s="432"/>
      <c r="G78" s="432"/>
      <c r="H78" s="432"/>
      <c r="I78" s="432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</row>
    <row r="79" ht="14.25" customHeight="1">
      <c r="A79" s="432"/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</row>
    <row r="80" ht="14.25" customHeight="1">
      <c r="A80" s="432"/>
      <c r="B80" s="432"/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</row>
    <row r="81" ht="14.25" customHeight="1">
      <c r="A81" s="432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</row>
    <row r="82" ht="14.25" customHeight="1">
      <c r="A82" s="432"/>
      <c r="B82" s="432"/>
      <c r="C82" s="432"/>
      <c r="D82" s="432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</row>
    <row r="83" ht="14.25" customHeight="1">
      <c r="A83" s="432"/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</row>
    <row r="84" ht="14.25" customHeight="1">
      <c r="A84" s="432"/>
      <c r="B84" s="432"/>
      <c r="C84" s="432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</row>
    <row r="85" ht="14.25" customHeight="1">
      <c r="A85" s="432"/>
      <c r="B85" s="432"/>
      <c r="C85" s="432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</row>
    <row r="86" ht="14.25" customHeight="1">
      <c r="A86" s="432"/>
      <c r="B86" s="432"/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</row>
    <row r="87" ht="14.25" customHeight="1">
      <c r="A87" s="432"/>
      <c r="B87" s="432"/>
      <c r="C87" s="432"/>
      <c r="D87" s="432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</row>
    <row r="88" ht="14.25" customHeight="1">
      <c r="A88" s="432"/>
      <c r="B88" s="432"/>
      <c r="C88" s="432"/>
      <c r="D88" s="432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</row>
    <row r="89" ht="14.25" customHeight="1">
      <c r="A89" s="432"/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</row>
    <row r="90" ht="14.25" customHeight="1">
      <c r="A90" s="432"/>
      <c r="B90" s="432"/>
      <c r="C90" s="432"/>
      <c r="D90" s="432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</row>
    <row r="91" ht="14.25" customHeight="1">
      <c r="A91" s="432"/>
      <c r="B91" s="432"/>
      <c r="C91" s="432"/>
      <c r="D91" s="432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</row>
    <row r="92" ht="14.25" customHeight="1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</row>
    <row r="93" ht="14.25" customHeight="1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</row>
    <row r="94" ht="14.25" customHeight="1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</row>
    <row r="95" ht="14.25" customHeight="1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</row>
    <row r="96" ht="14.25" customHeight="1">
      <c r="A96" s="432"/>
      <c r="B96" s="432"/>
      <c r="C96" s="432"/>
      <c r="D96" s="432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</row>
    <row r="97" ht="14.25" customHeight="1">
      <c r="A97" s="432"/>
      <c r="B97" s="432"/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</row>
    <row r="98" ht="14.25" customHeight="1">
      <c r="A98" s="432"/>
      <c r="B98" s="432"/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</row>
    <row r="99" ht="14.25" customHeight="1">
      <c r="A99" s="432"/>
      <c r="B99" s="432"/>
      <c r="C99" s="432"/>
      <c r="D99" s="432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</row>
    <row r="100" ht="14.25" customHeight="1">
      <c r="A100" s="432"/>
      <c r="B100" s="432"/>
      <c r="C100" s="432"/>
      <c r="D100" s="432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</row>
    <row r="101" ht="14.25" customHeight="1">
      <c r="A101" s="432"/>
      <c r="B101" s="432"/>
      <c r="C101" s="432"/>
      <c r="D101" s="432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</row>
    <row r="102" ht="14.25" customHeight="1">
      <c r="A102" s="432"/>
      <c r="B102" s="432"/>
      <c r="C102" s="432"/>
      <c r="D102" s="432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</row>
    <row r="103" ht="14.25" customHeight="1">
      <c r="A103" s="432"/>
      <c r="B103" s="432"/>
      <c r="C103" s="432"/>
      <c r="D103" s="432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</row>
    <row r="104" ht="14.25" customHeight="1">
      <c r="A104" s="432"/>
      <c r="B104" s="432"/>
      <c r="C104" s="432"/>
      <c r="D104" s="432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</row>
    <row r="105" ht="14.25" customHeight="1">
      <c r="A105" s="432"/>
      <c r="B105" s="432"/>
      <c r="C105" s="432"/>
      <c r="D105" s="432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</row>
    <row r="106" ht="14.25" customHeight="1">
      <c r="A106" s="432"/>
      <c r="B106" s="432"/>
      <c r="C106" s="432"/>
      <c r="D106" s="432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</row>
    <row r="107" ht="14.25" customHeight="1">
      <c r="A107" s="432"/>
      <c r="B107" s="432"/>
      <c r="C107" s="432"/>
      <c r="D107" s="432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</row>
    <row r="108" ht="14.25" customHeight="1">
      <c r="A108" s="432"/>
      <c r="B108" s="432"/>
      <c r="C108" s="432"/>
      <c r="D108" s="432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</row>
    <row r="109" ht="14.25" customHeight="1">
      <c r="A109" s="432"/>
      <c r="B109" s="432"/>
      <c r="C109" s="432"/>
      <c r="D109" s="432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</row>
    <row r="110" ht="14.25" customHeight="1">
      <c r="A110" s="432"/>
      <c r="B110" s="432"/>
      <c r="C110" s="432"/>
      <c r="D110" s="432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</row>
    <row r="111" ht="14.25" customHeight="1">
      <c r="A111" s="432"/>
      <c r="B111" s="432"/>
      <c r="C111" s="432"/>
      <c r="D111" s="432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</row>
    <row r="112" ht="14.25" customHeight="1">
      <c r="A112" s="432"/>
      <c r="B112" s="432"/>
      <c r="C112" s="432"/>
      <c r="D112" s="432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</row>
    <row r="113" ht="14.25" customHeight="1">
      <c r="A113" s="432"/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</row>
    <row r="114" ht="14.25" customHeight="1">
      <c r="A114" s="432"/>
      <c r="B114" s="432"/>
      <c r="C114" s="432"/>
      <c r="D114" s="432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</row>
    <row r="115" ht="14.25" customHeight="1">
      <c r="A115" s="432"/>
      <c r="B115" s="432"/>
      <c r="C115" s="432"/>
      <c r="D115" s="432"/>
      <c r="E115" s="432"/>
      <c r="F115" s="432"/>
      <c r="G115" s="432"/>
      <c r="H115" s="432"/>
      <c r="I115" s="432"/>
      <c r="J115" s="432"/>
      <c r="K115" s="432"/>
      <c r="L115" s="432"/>
      <c r="M115" s="432"/>
      <c r="N115" s="432"/>
      <c r="O115" s="432"/>
      <c r="P115" s="432"/>
      <c r="Q115" s="432"/>
      <c r="R115" s="432"/>
      <c r="S115" s="432"/>
      <c r="T115" s="432"/>
      <c r="U115" s="432"/>
    </row>
    <row r="116" ht="14.25" customHeight="1">
      <c r="A116" s="432"/>
      <c r="B116" s="432"/>
      <c r="C116" s="432"/>
      <c r="D116" s="432"/>
      <c r="E116" s="432"/>
      <c r="F116" s="432"/>
      <c r="G116" s="432"/>
      <c r="H116" s="432"/>
      <c r="I116" s="432"/>
      <c r="J116" s="432"/>
      <c r="K116" s="432"/>
      <c r="L116" s="432"/>
      <c r="M116" s="432"/>
      <c r="N116" s="432"/>
      <c r="O116" s="432"/>
      <c r="P116" s="432"/>
      <c r="Q116" s="432"/>
      <c r="R116" s="432"/>
      <c r="S116" s="432"/>
      <c r="T116" s="432"/>
      <c r="U116" s="432"/>
    </row>
    <row r="117" ht="14.25" customHeight="1">
      <c r="A117" s="432"/>
      <c r="B117" s="432"/>
      <c r="C117" s="432"/>
      <c r="D117" s="432"/>
      <c r="E117" s="432"/>
      <c r="F117" s="432"/>
      <c r="G117" s="432"/>
      <c r="H117" s="432"/>
      <c r="I117" s="432"/>
      <c r="J117" s="432"/>
      <c r="K117" s="432"/>
      <c r="L117" s="432"/>
      <c r="M117" s="432"/>
      <c r="N117" s="432"/>
      <c r="O117" s="432"/>
      <c r="P117" s="432"/>
      <c r="Q117" s="432"/>
      <c r="R117" s="432"/>
      <c r="S117" s="432"/>
      <c r="T117" s="432"/>
      <c r="U117" s="432"/>
    </row>
    <row r="118" ht="14.25" customHeight="1">
      <c r="A118" s="432"/>
      <c r="B118" s="432"/>
      <c r="C118" s="432"/>
      <c r="D118" s="432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</row>
    <row r="119" ht="14.25" customHeight="1">
      <c r="A119" s="432"/>
      <c r="B119" s="432"/>
      <c r="C119" s="432"/>
      <c r="D119" s="432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</row>
    <row r="120" ht="14.25" customHeight="1">
      <c r="A120" s="432"/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432"/>
      <c r="Q120" s="432"/>
      <c r="R120" s="432"/>
      <c r="S120" s="432"/>
      <c r="T120" s="432"/>
      <c r="U120" s="432"/>
    </row>
    <row r="121" ht="14.25" customHeight="1">
      <c r="A121" s="432"/>
      <c r="B121" s="432"/>
      <c r="C121" s="432"/>
      <c r="D121" s="432"/>
      <c r="E121" s="432"/>
      <c r="F121" s="432"/>
      <c r="G121" s="432"/>
      <c r="H121" s="432"/>
      <c r="I121" s="432"/>
      <c r="J121" s="432"/>
      <c r="K121" s="432"/>
      <c r="L121" s="432"/>
      <c r="M121" s="432"/>
      <c r="N121" s="432"/>
      <c r="O121" s="432"/>
      <c r="P121" s="432"/>
      <c r="Q121" s="432"/>
      <c r="R121" s="432"/>
      <c r="S121" s="432"/>
      <c r="T121" s="432"/>
      <c r="U121" s="432"/>
    </row>
    <row r="122" ht="14.25" customHeight="1">
      <c r="A122" s="432"/>
      <c r="B122" s="432"/>
      <c r="C122" s="432"/>
      <c r="D122" s="432"/>
      <c r="E122" s="432"/>
      <c r="F122" s="432"/>
      <c r="G122" s="432"/>
      <c r="H122" s="432"/>
      <c r="I122" s="432"/>
      <c r="J122" s="432"/>
      <c r="K122" s="432"/>
      <c r="L122" s="432"/>
      <c r="M122" s="432"/>
      <c r="N122" s="432"/>
      <c r="O122" s="432"/>
      <c r="P122" s="432"/>
      <c r="Q122" s="432"/>
      <c r="R122" s="432"/>
      <c r="S122" s="432"/>
      <c r="T122" s="432"/>
      <c r="U122" s="432"/>
    </row>
    <row r="123" ht="14.25" customHeight="1">
      <c r="A123" s="432"/>
      <c r="B123" s="432"/>
      <c r="C123" s="432"/>
      <c r="D123" s="432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432"/>
      <c r="U123" s="432"/>
    </row>
    <row r="124" ht="14.25" customHeight="1">
      <c r="A124" s="432"/>
      <c r="B124" s="432"/>
      <c r="C124" s="432"/>
      <c r="D124" s="432"/>
      <c r="E124" s="432"/>
      <c r="F124" s="432"/>
      <c r="G124" s="432"/>
      <c r="H124" s="432"/>
      <c r="I124" s="432"/>
      <c r="J124" s="432"/>
      <c r="K124" s="432"/>
      <c r="L124" s="432"/>
      <c r="M124" s="432"/>
      <c r="N124" s="432"/>
      <c r="O124" s="432"/>
      <c r="P124" s="432"/>
      <c r="Q124" s="432"/>
      <c r="R124" s="432"/>
      <c r="S124" s="432"/>
      <c r="T124" s="432"/>
      <c r="U124" s="432"/>
    </row>
    <row r="125" ht="14.25" customHeight="1">
      <c r="A125" s="432"/>
      <c r="B125" s="432"/>
      <c r="C125" s="432"/>
      <c r="D125" s="432"/>
      <c r="E125" s="432"/>
      <c r="F125" s="432"/>
      <c r="G125" s="432"/>
      <c r="H125" s="432"/>
      <c r="I125" s="432"/>
      <c r="J125" s="432"/>
      <c r="K125" s="432"/>
      <c r="L125" s="432"/>
      <c r="M125" s="432"/>
      <c r="N125" s="432"/>
      <c r="O125" s="432"/>
      <c r="P125" s="432"/>
      <c r="Q125" s="432"/>
      <c r="R125" s="432"/>
      <c r="S125" s="432"/>
      <c r="T125" s="432"/>
      <c r="U125" s="432"/>
    </row>
    <row r="126" ht="14.25" customHeight="1">
      <c r="A126" s="432"/>
      <c r="B126" s="432"/>
      <c r="C126" s="432"/>
      <c r="D126" s="432"/>
      <c r="E126" s="432"/>
      <c r="F126" s="432"/>
      <c r="G126" s="432"/>
      <c r="H126" s="432"/>
      <c r="I126" s="432"/>
      <c r="J126" s="432"/>
      <c r="K126" s="432"/>
      <c r="L126" s="432"/>
      <c r="M126" s="432"/>
      <c r="N126" s="432"/>
      <c r="O126" s="432"/>
      <c r="P126" s="432"/>
      <c r="Q126" s="432"/>
      <c r="R126" s="432"/>
      <c r="S126" s="432"/>
      <c r="T126" s="432"/>
      <c r="U126" s="432"/>
    </row>
    <row r="127" ht="14.25" customHeight="1">
      <c r="A127" s="432"/>
      <c r="B127" s="432"/>
      <c r="C127" s="432"/>
      <c r="D127" s="432"/>
      <c r="E127" s="432"/>
      <c r="F127" s="432"/>
      <c r="G127" s="432"/>
      <c r="H127" s="432"/>
      <c r="I127" s="432"/>
      <c r="J127" s="432"/>
      <c r="K127" s="432"/>
      <c r="L127" s="432"/>
      <c r="M127" s="432"/>
      <c r="N127" s="432"/>
      <c r="O127" s="432"/>
      <c r="P127" s="432"/>
      <c r="Q127" s="432"/>
      <c r="R127" s="432"/>
      <c r="S127" s="432"/>
      <c r="T127" s="432"/>
      <c r="U127" s="432"/>
    </row>
    <row r="128" ht="14.25" customHeight="1">
      <c r="A128" s="432"/>
      <c r="B128" s="432"/>
      <c r="C128" s="432"/>
      <c r="D128" s="432"/>
      <c r="E128" s="432"/>
      <c r="F128" s="432"/>
      <c r="G128" s="432"/>
      <c r="H128" s="432"/>
      <c r="I128" s="432"/>
      <c r="J128" s="432"/>
      <c r="K128" s="432"/>
      <c r="L128" s="432"/>
      <c r="M128" s="432"/>
      <c r="N128" s="432"/>
      <c r="O128" s="432"/>
      <c r="P128" s="432"/>
      <c r="Q128" s="432"/>
      <c r="R128" s="432"/>
      <c r="S128" s="432"/>
      <c r="T128" s="432"/>
      <c r="U128" s="432"/>
    </row>
    <row r="129" ht="14.25" customHeight="1">
      <c r="A129" s="432"/>
      <c r="B129" s="432"/>
      <c r="C129" s="432"/>
      <c r="D129" s="432"/>
      <c r="E129" s="432"/>
      <c r="F129" s="432"/>
      <c r="G129" s="432"/>
      <c r="H129" s="432"/>
      <c r="I129" s="432"/>
      <c r="J129" s="432"/>
      <c r="K129" s="432"/>
      <c r="L129" s="432"/>
      <c r="M129" s="432"/>
      <c r="N129" s="432"/>
      <c r="O129" s="432"/>
      <c r="P129" s="432"/>
      <c r="Q129" s="432"/>
      <c r="R129" s="432"/>
      <c r="S129" s="432"/>
      <c r="T129" s="432"/>
      <c r="U129" s="432"/>
    </row>
    <row r="130" ht="14.25" customHeight="1">
      <c r="A130" s="432"/>
      <c r="B130" s="432"/>
      <c r="C130" s="432"/>
      <c r="D130" s="432"/>
      <c r="E130" s="432"/>
      <c r="F130" s="432"/>
      <c r="G130" s="432"/>
      <c r="H130" s="432"/>
      <c r="I130" s="432"/>
      <c r="J130" s="432"/>
      <c r="K130" s="432"/>
      <c r="L130" s="432"/>
      <c r="M130" s="432"/>
      <c r="N130" s="432"/>
      <c r="O130" s="432"/>
      <c r="P130" s="432"/>
      <c r="Q130" s="432"/>
      <c r="R130" s="432"/>
      <c r="S130" s="432"/>
      <c r="T130" s="432"/>
      <c r="U130" s="432"/>
    </row>
    <row r="131" ht="14.25" customHeight="1">
      <c r="A131" s="432"/>
      <c r="B131" s="432"/>
      <c r="C131" s="432"/>
      <c r="D131" s="432"/>
      <c r="E131" s="432"/>
      <c r="F131" s="432"/>
      <c r="G131" s="432"/>
      <c r="H131" s="432"/>
      <c r="I131" s="432"/>
      <c r="J131" s="432"/>
      <c r="K131" s="432"/>
      <c r="L131" s="432"/>
      <c r="M131" s="432"/>
      <c r="N131" s="432"/>
      <c r="O131" s="432"/>
      <c r="P131" s="432"/>
      <c r="Q131" s="432"/>
      <c r="R131" s="432"/>
      <c r="S131" s="432"/>
      <c r="T131" s="432"/>
      <c r="U131" s="432"/>
    </row>
    <row r="132" ht="14.25" customHeight="1">
      <c r="A132" s="432"/>
      <c r="B132" s="432"/>
      <c r="C132" s="432"/>
      <c r="D132" s="432"/>
      <c r="E132" s="432"/>
      <c r="F132" s="432"/>
      <c r="G132" s="432"/>
      <c r="H132" s="432"/>
      <c r="I132" s="432"/>
      <c r="J132" s="432"/>
      <c r="K132" s="432"/>
      <c r="L132" s="432"/>
      <c r="M132" s="432"/>
      <c r="N132" s="432"/>
      <c r="O132" s="432"/>
      <c r="P132" s="432"/>
      <c r="Q132" s="432"/>
      <c r="R132" s="432"/>
      <c r="S132" s="432"/>
      <c r="T132" s="432"/>
      <c r="U132" s="432"/>
    </row>
    <row r="133" ht="14.25" customHeight="1">
      <c r="A133" s="432"/>
      <c r="B133" s="432"/>
      <c r="C133" s="432"/>
      <c r="D133" s="432"/>
      <c r="E133" s="432"/>
      <c r="F133" s="432"/>
      <c r="G133" s="432"/>
      <c r="H133" s="432"/>
      <c r="I133" s="432"/>
      <c r="J133" s="432"/>
      <c r="K133" s="432"/>
      <c r="L133" s="432"/>
      <c r="M133" s="432"/>
      <c r="N133" s="432"/>
      <c r="O133" s="432"/>
      <c r="P133" s="432"/>
      <c r="Q133" s="432"/>
      <c r="R133" s="432"/>
      <c r="S133" s="432"/>
      <c r="T133" s="432"/>
      <c r="U133" s="432"/>
    </row>
    <row r="134" ht="14.25" customHeight="1">
      <c r="A134" s="432"/>
      <c r="B134" s="432"/>
      <c r="C134" s="432"/>
      <c r="D134" s="432"/>
      <c r="E134" s="432"/>
      <c r="F134" s="432"/>
      <c r="G134" s="432"/>
      <c r="H134" s="432"/>
      <c r="I134" s="432"/>
      <c r="J134" s="432"/>
      <c r="K134" s="432"/>
      <c r="L134" s="432"/>
      <c r="M134" s="432"/>
      <c r="N134" s="432"/>
      <c r="O134" s="432"/>
      <c r="P134" s="432"/>
      <c r="Q134" s="432"/>
      <c r="R134" s="432"/>
      <c r="S134" s="432"/>
      <c r="T134" s="432"/>
      <c r="U134" s="432"/>
    </row>
    <row r="135" ht="14.25" customHeight="1">
      <c r="A135" s="432"/>
      <c r="B135" s="432"/>
      <c r="C135" s="432"/>
      <c r="D135" s="432"/>
      <c r="E135" s="432"/>
      <c r="F135" s="432"/>
      <c r="G135" s="432"/>
      <c r="H135" s="432"/>
      <c r="I135" s="432"/>
      <c r="J135" s="432"/>
      <c r="K135" s="432"/>
      <c r="L135" s="432"/>
      <c r="M135" s="432"/>
      <c r="N135" s="432"/>
      <c r="O135" s="432"/>
      <c r="P135" s="432"/>
      <c r="Q135" s="432"/>
      <c r="R135" s="432"/>
      <c r="S135" s="432"/>
      <c r="T135" s="432"/>
      <c r="U135" s="432"/>
    </row>
    <row r="136" ht="14.25" customHeight="1">
      <c r="A136" s="432"/>
      <c r="B136" s="432"/>
      <c r="C136" s="432"/>
      <c r="D136" s="432"/>
      <c r="E136" s="432"/>
      <c r="F136" s="432"/>
      <c r="G136" s="432"/>
      <c r="H136" s="432"/>
      <c r="I136" s="432"/>
      <c r="J136" s="432"/>
      <c r="K136" s="432"/>
      <c r="L136" s="432"/>
      <c r="M136" s="432"/>
      <c r="N136" s="432"/>
      <c r="O136" s="432"/>
      <c r="P136" s="432"/>
      <c r="Q136" s="432"/>
      <c r="R136" s="432"/>
      <c r="S136" s="432"/>
      <c r="T136" s="432"/>
      <c r="U136" s="432"/>
    </row>
    <row r="137" ht="14.25" customHeight="1">
      <c r="A137" s="432"/>
      <c r="B137" s="432"/>
      <c r="C137" s="432"/>
      <c r="D137" s="432"/>
      <c r="E137" s="432"/>
      <c r="F137" s="432"/>
      <c r="G137" s="432"/>
      <c r="H137" s="432"/>
      <c r="I137" s="432"/>
      <c r="J137" s="432"/>
      <c r="K137" s="432"/>
      <c r="L137" s="432"/>
      <c r="M137" s="432"/>
      <c r="N137" s="432"/>
      <c r="O137" s="432"/>
      <c r="P137" s="432"/>
      <c r="Q137" s="432"/>
      <c r="R137" s="432"/>
      <c r="S137" s="432"/>
      <c r="T137" s="432"/>
      <c r="U137" s="432"/>
    </row>
    <row r="138" ht="14.25" customHeight="1">
      <c r="A138" s="432"/>
      <c r="B138" s="432"/>
      <c r="C138" s="432"/>
      <c r="D138" s="432"/>
      <c r="E138" s="432"/>
      <c r="F138" s="432"/>
      <c r="G138" s="432"/>
      <c r="H138" s="432"/>
      <c r="I138" s="432"/>
      <c r="J138" s="432"/>
      <c r="K138" s="432"/>
      <c r="L138" s="432"/>
      <c r="M138" s="432"/>
      <c r="N138" s="432"/>
      <c r="O138" s="432"/>
      <c r="P138" s="432"/>
      <c r="Q138" s="432"/>
      <c r="R138" s="432"/>
      <c r="S138" s="432"/>
      <c r="T138" s="432"/>
      <c r="U138" s="432"/>
    </row>
    <row r="139" ht="14.25" customHeight="1">
      <c r="A139" s="432"/>
      <c r="B139" s="432"/>
      <c r="C139" s="432"/>
      <c r="D139" s="432"/>
      <c r="E139" s="432"/>
      <c r="F139" s="432"/>
      <c r="G139" s="432"/>
      <c r="H139" s="432"/>
      <c r="I139" s="432"/>
      <c r="J139" s="432"/>
      <c r="K139" s="432"/>
      <c r="L139" s="432"/>
      <c r="M139" s="432"/>
      <c r="N139" s="432"/>
      <c r="O139" s="432"/>
      <c r="P139" s="432"/>
      <c r="Q139" s="432"/>
      <c r="R139" s="432"/>
      <c r="S139" s="432"/>
      <c r="T139" s="432"/>
      <c r="U139" s="432"/>
    </row>
    <row r="140" ht="14.25" customHeight="1">
      <c r="A140" s="432"/>
      <c r="B140" s="432"/>
      <c r="C140" s="432"/>
      <c r="D140" s="432"/>
      <c r="E140" s="432"/>
      <c r="F140" s="432"/>
      <c r="G140" s="432"/>
      <c r="H140" s="432"/>
      <c r="I140" s="432"/>
      <c r="J140" s="432"/>
      <c r="K140" s="432"/>
      <c r="L140" s="432"/>
      <c r="M140" s="432"/>
      <c r="N140" s="432"/>
      <c r="O140" s="432"/>
      <c r="P140" s="432"/>
      <c r="Q140" s="432"/>
      <c r="R140" s="432"/>
      <c r="S140" s="432"/>
      <c r="T140" s="432"/>
      <c r="U140" s="432"/>
    </row>
    <row r="141" ht="14.25" customHeight="1">
      <c r="A141" s="432"/>
      <c r="B141" s="432"/>
      <c r="C141" s="432"/>
      <c r="D141" s="432"/>
      <c r="E141" s="432"/>
      <c r="F141" s="432"/>
      <c r="G141" s="432"/>
      <c r="H141" s="432"/>
      <c r="I141" s="432"/>
      <c r="J141" s="432"/>
      <c r="K141" s="432"/>
      <c r="L141" s="432"/>
      <c r="M141" s="432"/>
      <c r="N141" s="432"/>
      <c r="O141" s="432"/>
      <c r="P141" s="432"/>
      <c r="Q141" s="432"/>
      <c r="R141" s="432"/>
      <c r="S141" s="432"/>
      <c r="T141" s="432"/>
      <c r="U141" s="432"/>
    </row>
    <row r="142" ht="14.25" customHeight="1">
      <c r="A142" s="432"/>
      <c r="B142" s="432"/>
      <c r="C142" s="432"/>
      <c r="D142" s="432"/>
      <c r="E142" s="432"/>
      <c r="F142" s="432"/>
      <c r="G142" s="432"/>
      <c r="H142" s="432"/>
      <c r="I142" s="432"/>
      <c r="J142" s="432"/>
      <c r="K142" s="432"/>
      <c r="L142" s="432"/>
      <c r="M142" s="432"/>
      <c r="N142" s="432"/>
      <c r="O142" s="432"/>
      <c r="P142" s="432"/>
      <c r="Q142" s="432"/>
      <c r="R142" s="432"/>
      <c r="S142" s="432"/>
      <c r="T142" s="432"/>
      <c r="U142" s="432"/>
    </row>
    <row r="143" ht="14.25" customHeight="1">
      <c r="A143" s="432"/>
      <c r="B143" s="432"/>
      <c r="C143" s="432"/>
      <c r="D143" s="432"/>
      <c r="E143" s="432"/>
      <c r="F143" s="432"/>
      <c r="G143" s="432"/>
      <c r="H143" s="432"/>
      <c r="I143" s="432"/>
      <c r="J143" s="432"/>
      <c r="K143" s="432"/>
      <c r="L143" s="432"/>
      <c r="M143" s="432"/>
      <c r="N143" s="432"/>
      <c r="O143" s="432"/>
      <c r="P143" s="432"/>
      <c r="Q143" s="432"/>
      <c r="R143" s="432"/>
      <c r="S143" s="432"/>
      <c r="T143" s="432"/>
      <c r="U143" s="432"/>
    </row>
    <row r="144" ht="14.25" customHeight="1">
      <c r="A144" s="432"/>
      <c r="B144" s="432"/>
      <c r="C144" s="432"/>
      <c r="D144" s="432"/>
      <c r="E144" s="432"/>
      <c r="F144" s="432"/>
      <c r="G144" s="432"/>
      <c r="H144" s="432"/>
      <c r="I144" s="432"/>
      <c r="J144" s="432"/>
      <c r="K144" s="432"/>
      <c r="L144" s="432"/>
      <c r="M144" s="432"/>
      <c r="N144" s="432"/>
      <c r="O144" s="432"/>
      <c r="P144" s="432"/>
      <c r="Q144" s="432"/>
      <c r="R144" s="432"/>
      <c r="S144" s="432"/>
      <c r="T144" s="432"/>
      <c r="U144" s="432"/>
    </row>
    <row r="145" ht="14.25" customHeight="1">
      <c r="A145" s="432"/>
      <c r="B145" s="432"/>
      <c r="C145" s="432"/>
      <c r="D145" s="432"/>
      <c r="E145" s="432"/>
      <c r="F145" s="432"/>
      <c r="G145" s="432"/>
      <c r="H145" s="432"/>
      <c r="I145" s="432"/>
      <c r="J145" s="432"/>
      <c r="K145" s="432"/>
      <c r="L145" s="432"/>
      <c r="M145" s="432"/>
      <c r="N145" s="432"/>
      <c r="O145" s="432"/>
      <c r="P145" s="432"/>
      <c r="Q145" s="432"/>
      <c r="R145" s="432"/>
      <c r="S145" s="432"/>
      <c r="T145" s="432"/>
      <c r="U145" s="432"/>
    </row>
    <row r="146" ht="14.25" customHeight="1">
      <c r="A146" s="432"/>
      <c r="B146" s="432"/>
      <c r="C146" s="432"/>
      <c r="D146" s="432"/>
      <c r="E146" s="432"/>
      <c r="F146" s="432"/>
      <c r="G146" s="432"/>
      <c r="H146" s="432"/>
      <c r="I146" s="432"/>
      <c r="J146" s="432"/>
      <c r="K146" s="432"/>
      <c r="L146" s="432"/>
      <c r="M146" s="432"/>
      <c r="N146" s="432"/>
      <c r="O146" s="432"/>
      <c r="P146" s="432"/>
      <c r="Q146" s="432"/>
      <c r="R146" s="432"/>
      <c r="S146" s="432"/>
      <c r="T146" s="432"/>
      <c r="U146" s="432"/>
    </row>
    <row r="147" ht="14.25" customHeight="1">
      <c r="A147" s="432"/>
      <c r="B147" s="432"/>
      <c r="C147" s="432"/>
      <c r="D147" s="432"/>
      <c r="E147" s="432"/>
      <c r="F147" s="432"/>
      <c r="G147" s="432"/>
      <c r="H147" s="432"/>
      <c r="I147" s="432"/>
      <c r="J147" s="432"/>
      <c r="K147" s="432"/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</row>
    <row r="148" ht="14.25" customHeight="1">
      <c r="A148" s="432"/>
      <c r="B148" s="432"/>
      <c r="C148" s="432"/>
      <c r="D148" s="432"/>
      <c r="E148" s="432"/>
      <c r="F148" s="432"/>
      <c r="G148" s="432"/>
      <c r="H148" s="432"/>
      <c r="I148" s="432"/>
      <c r="J148" s="432"/>
      <c r="K148" s="432"/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</row>
    <row r="149" ht="14.25" customHeight="1">
      <c r="A149" s="432"/>
      <c r="B149" s="432"/>
      <c r="C149" s="432"/>
      <c r="D149" s="432"/>
      <c r="E149" s="432"/>
      <c r="F149" s="432"/>
      <c r="G149" s="432"/>
      <c r="H149" s="432"/>
      <c r="I149" s="432"/>
      <c r="J149" s="432"/>
      <c r="K149" s="432"/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</row>
    <row r="150" ht="14.25" customHeight="1">
      <c r="A150" s="432"/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432"/>
      <c r="Q150" s="432"/>
      <c r="R150" s="432"/>
      <c r="S150" s="432"/>
      <c r="T150" s="432"/>
      <c r="U150" s="432"/>
    </row>
    <row r="151" ht="14.25" customHeight="1">
      <c r="A151" s="432"/>
      <c r="B151" s="432"/>
      <c r="C151" s="432"/>
      <c r="D151" s="432"/>
      <c r="E151" s="432"/>
      <c r="F151" s="432"/>
      <c r="G151" s="432"/>
      <c r="H151" s="432"/>
      <c r="I151" s="432"/>
      <c r="J151" s="432"/>
      <c r="K151" s="432"/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</row>
    <row r="152" ht="14.25" customHeight="1">
      <c r="A152" s="432"/>
      <c r="B152" s="432"/>
      <c r="C152" s="432"/>
      <c r="D152" s="432"/>
      <c r="E152" s="432"/>
      <c r="F152" s="432"/>
      <c r="G152" s="432"/>
      <c r="H152" s="432"/>
      <c r="I152" s="432"/>
      <c r="J152" s="432"/>
      <c r="K152" s="432"/>
      <c r="L152" s="432"/>
      <c r="M152" s="432"/>
      <c r="N152" s="432"/>
      <c r="O152" s="432"/>
      <c r="P152" s="432"/>
      <c r="Q152" s="432"/>
      <c r="R152" s="432"/>
      <c r="S152" s="432"/>
      <c r="T152" s="432"/>
      <c r="U152" s="432"/>
    </row>
    <row r="153" ht="14.25" customHeight="1">
      <c r="A153" s="432"/>
      <c r="B153" s="432"/>
      <c r="C153" s="432"/>
      <c r="D153" s="432"/>
      <c r="E153" s="432"/>
      <c r="F153" s="432"/>
      <c r="G153" s="432"/>
      <c r="H153" s="432"/>
      <c r="I153" s="432"/>
      <c r="J153" s="432"/>
      <c r="K153" s="432"/>
      <c r="L153" s="432"/>
      <c r="M153" s="432"/>
      <c r="N153" s="432"/>
      <c r="O153" s="432"/>
      <c r="P153" s="432"/>
      <c r="Q153" s="432"/>
      <c r="R153" s="432"/>
      <c r="S153" s="432"/>
      <c r="T153" s="432"/>
      <c r="U153" s="432"/>
    </row>
    <row r="154" ht="14.25" customHeight="1">
      <c r="A154" s="432"/>
      <c r="B154" s="432"/>
      <c r="C154" s="432"/>
      <c r="D154" s="432"/>
      <c r="E154" s="432"/>
      <c r="F154" s="432"/>
      <c r="G154" s="432"/>
      <c r="H154" s="432"/>
      <c r="I154" s="432"/>
      <c r="J154" s="432"/>
      <c r="K154" s="432"/>
      <c r="L154" s="432"/>
      <c r="M154" s="432"/>
      <c r="N154" s="432"/>
      <c r="O154" s="432"/>
      <c r="P154" s="432"/>
      <c r="Q154" s="432"/>
      <c r="R154" s="432"/>
      <c r="S154" s="432"/>
      <c r="T154" s="432"/>
      <c r="U154" s="432"/>
    </row>
    <row r="155" ht="14.25" customHeight="1">
      <c r="A155" s="432"/>
      <c r="B155" s="432"/>
      <c r="C155" s="432"/>
      <c r="D155" s="432"/>
      <c r="E155" s="432"/>
      <c r="F155" s="432"/>
      <c r="G155" s="432"/>
      <c r="H155" s="432"/>
      <c r="I155" s="432"/>
      <c r="J155" s="432"/>
      <c r="K155" s="432"/>
      <c r="L155" s="432"/>
      <c r="M155" s="432"/>
      <c r="N155" s="432"/>
      <c r="O155" s="432"/>
      <c r="P155" s="432"/>
      <c r="Q155" s="432"/>
      <c r="R155" s="432"/>
      <c r="S155" s="432"/>
      <c r="T155" s="432"/>
      <c r="U155" s="432"/>
    </row>
    <row r="156" ht="14.25" customHeight="1">
      <c r="A156" s="432"/>
      <c r="B156" s="432"/>
      <c r="C156" s="432"/>
      <c r="D156" s="432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32"/>
      <c r="P156" s="432"/>
      <c r="Q156" s="432"/>
      <c r="R156" s="432"/>
      <c r="S156" s="432"/>
      <c r="T156" s="432"/>
      <c r="U156" s="432"/>
    </row>
    <row r="157" ht="14.25" customHeight="1">
      <c r="A157" s="432"/>
      <c r="B157" s="432"/>
      <c r="C157" s="432"/>
      <c r="D157" s="432"/>
      <c r="E157" s="432"/>
      <c r="F157" s="432"/>
      <c r="G157" s="432"/>
      <c r="H157" s="432"/>
      <c r="I157" s="432"/>
      <c r="J157" s="432"/>
      <c r="K157" s="432"/>
      <c r="L157" s="432"/>
      <c r="M157" s="432"/>
      <c r="N157" s="432"/>
      <c r="O157" s="432"/>
      <c r="P157" s="432"/>
      <c r="Q157" s="432"/>
      <c r="R157" s="432"/>
      <c r="S157" s="432"/>
      <c r="T157" s="432"/>
      <c r="U157" s="432"/>
    </row>
    <row r="158" ht="14.25" customHeight="1">
      <c r="A158" s="432"/>
      <c r="B158" s="432"/>
      <c r="C158" s="432"/>
      <c r="D158" s="432"/>
      <c r="E158" s="432"/>
      <c r="F158" s="432"/>
      <c r="G158" s="432"/>
      <c r="H158" s="432"/>
      <c r="I158" s="432"/>
      <c r="J158" s="432"/>
      <c r="K158" s="432"/>
      <c r="L158" s="432"/>
      <c r="M158" s="432"/>
      <c r="N158" s="432"/>
      <c r="O158" s="432"/>
      <c r="P158" s="432"/>
      <c r="Q158" s="432"/>
      <c r="R158" s="432"/>
      <c r="S158" s="432"/>
      <c r="T158" s="432"/>
      <c r="U158" s="432"/>
    </row>
    <row r="159" ht="14.25" customHeight="1">
      <c r="A159" s="432"/>
      <c r="B159" s="432"/>
      <c r="C159" s="432"/>
      <c r="D159" s="432"/>
      <c r="E159" s="432"/>
      <c r="F159" s="432"/>
      <c r="G159" s="432"/>
      <c r="H159" s="432"/>
      <c r="I159" s="432"/>
      <c r="J159" s="432"/>
      <c r="K159" s="432"/>
      <c r="L159" s="432"/>
      <c r="M159" s="432"/>
      <c r="N159" s="432"/>
      <c r="O159" s="432"/>
      <c r="P159" s="432"/>
      <c r="Q159" s="432"/>
      <c r="R159" s="432"/>
      <c r="S159" s="432"/>
      <c r="T159" s="432"/>
      <c r="U159" s="432"/>
    </row>
    <row r="160" ht="14.25" customHeight="1">
      <c r="A160" s="432"/>
      <c r="B160" s="432"/>
      <c r="C160" s="432"/>
      <c r="D160" s="432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2"/>
      <c r="P160" s="432"/>
      <c r="Q160" s="432"/>
      <c r="R160" s="432"/>
      <c r="S160" s="432"/>
      <c r="T160" s="432"/>
      <c r="U160" s="432"/>
    </row>
    <row r="161" ht="14.25" customHeight="1">
      <c r="A161" s="432"/>
      <c r="B161" s="432"/>
      <c r="C161" s="432"/>
      <c r="D161" s="432"/>
      <c r="E161" s="432"/>
      <c r="F161" s="432"/>
      <c r="G161" s="432"/>
      <c r="H161" s="432"/>
      <c r="I161" s="432"/>
      <c r="J161" s="432"/>
      <c r="K161" s="432"/>
      <c r="L161" s="432"/>
      <c r="M161" s="432"/>
      <c r="N161" s="432"/>
      <c r="O161" s="432"/>
      <c r="P161" s="432"/>
      <c r="Q161" s="432"/>
      <c r="R161" s="432"/>
      <c r="S161" s="432"/>
      <c r="T161" s="432"/>
      <c r="U161" s="432"/>
    </row>
    <row r="162" ht="14.25" customHeight="1">
      <c r="A162" s="432"/>
      <c r="B162" s="432"/>
      <c r="C162" s="432"/>
      <c r="D162" s="432"/>
      <c r="E162" s="432"/>
      <c r="F162" s="432"/>
      <c r="G162" s="432"/>
      <c r="H162" s="432"/>
      <c r="I162" s="432"/>
      <c r="J162" s="432"/>
      <c r="K162" s="432"/>
      <c r="L162" s="432"/>
      <c r="M162" s="432"/>
      <c r="N162" s="432"/>
      <c r="O162" s="432"/>
      <c r="P162" s="432"/>
      <c r="Q162" s="432"/>
      <c r="R162" s="432"/>
      <c r="S162" s="432"/>
      <c r="T162" s="432"/>
      <c r="U162" s="432"/>
    </row>
    <row r="163" ht="14.25" customHeight="1">
      <c r="A163" s="432"/>
      <c r="B163" s="432"/>
      <c r="C163" s="432"/>
      <c r="D163" s="432"/>
      <c r="E163" s="432"/>
      <c r="F163" s="432"/>
      <c r="G163" s="432"/>
      <c r="H163" s="432"/>
      <c r="I163" s="432"/>
      <c r="J163" s="432"/>
      <c r="K163" s="432"/>
      <c r="L163" s="432"/>
      <c r="M163" s="432"/>
      <c r="N163" s="432"/>
      <c r="O163" s="432"/>
      <c r="P163" s="432"/>
      <c r="Q163" s="432"/>
      <c r="R163" s="432"/>
      <c r="S163" s="432"/>
      <c r="T163" s="432"/>
      <c r="U163" s="432"/>
    </row>
    <row r="164" ht="14.25" customHeight="1">
      <c r="A164" s="432"/>
      <c r="B164" s="432"/>
      <c r="C164" s="432"/>
      <c r="D164" s="432"/>
      <c r="E164" s="432"/>
      <c r="F164" s="432"/>
      <c r="G164" s="432"/>
      <c r="H164" s="432"/>
      <c r="I164" s="432"/>
      <c r="J164" s="432"/>
      <c r="K164" s="432"/>
      <c r="L164" s="432"/>
      <c r="M164" s="432"/>
      <c r="N164" s="432"/>
      <c r="O164" s="432"/>
      <c r="P164" s="432"/>
      <c r="Q164" s="432"/>
      <c r="R164" s="432"/>
      <c r="S164" s="432"/>
      <c r="T164" s="432"/>
      <c r="U164" s="432"/>
    </row>
    <row r="165" ht="14.25" customHeight="1">
      <c r="A165" s="432"/>
      <c r="B165" s="432"/>
      <c r="C165" s="432"/>
      <c r="D165" s="432"/>
      <c r="E165" s="432"/>
      <c r="F165" s="432"/>
      <c r="G165" s="432"/>
      <c r="H165" s="432"/>
      <c r="I165" s="432"/>
      <c r="J165" s="432"/>
      <c r="K165" s="432"/>
      <c r="L165" s="432"/>
      <c r="M165" s="432"/>
      <c r="N165" s="432"/>
      <c r="O165" s="432"/>
      <c r="P165" s="432"/>
      <c r="Q165" s="432"/>
      <c r="R165" s="432"/>
      <c r="S165" s="432"/>
      <c r="T165" s="432"/>
      <c r="U165" s="432"/>
    </row>
    <row r="166" ht="14.25" customHeight="1">
      <c r="A166" s="432"/>
      <c r="B166" s="432"/>
      <c r="C166" s="432"/>
      <c r="D166" s="432"/>
      <c r="E166" s="432"/>
      <c r="F166" s="432"/>
      <c r="G166" s="432"/>
      <c r="H166" s="432"/>
      <c r="I166" s="432"/>
      <c r="J166" s="432"/>
      <c r="K166" s="432"/>
      <c r="L166" s="432"/>
      <c r="M166" s="432"/>
      <c r="N166" s="432"/>
      <c r="O166" s="432"/>
      <c r="P166" s="432"/>
      <c r="Q166" s="432"/>
      <c r="R166" s="432"/>
      <c r="S166" s="432"/>
      <c r="T166" s="432"/>
      <c r="U166" s="432"/>
    </row>
    <row r="167" ht="14.25" customHeight="1">
      <c r="A167" s="432"/>
      <c r="B167" s="432"/>
      <c r="C167" s="432"/>
      <c r="D167" s="432"/>
      <c r="E167" s="432"/>
      <c r="F167" s="432"/>
      <c r="G167" s="432"/>
      <c r="H167" s="432"/>
      <c r="I167" s="432"/>
      <c r="J167" s="432"/>
      <c r="K167" s="432"/>
      <c r="L167" s="432"/>
      <c r="M167" s="432"/>
      <c r="N167" s="432"/>
      <c r="O167" s="432"/>
      <c r="P167" s="432"/>
      <c r="Q167" s="432"/>
      <c r="R167" s="432"/>
      <c r="S167" s="432"/>
      <c r="T167" s="432"/>
      <c r="U167" s="432"/>
    </row>
    <row r="168" ht="14.25" customHeight="1">
      <c r="A168" s="432"/>
      <c r="B168" s="432"/>
      <c r="C168" s="432"/>
      <c r="D168" s="432"/>
      <c r="E168" s="432"/>
      <c r="F168" s="432"/>
      <c r="G168" s="432"/>
      <c r="H168" s="432"/>
      <c r="I168" s="432"/>
      <c r="J168" s="432"/>
      <c r="K168" s="432"/>
      <c r="L168" s="432"/>
      <c r="M168" s="432"/>
      <c r="N168" s="432"/>
      <c r="O168" s="432"/>
      <c r="P168" s="432"/>
      <c r="Q168" s="432"/>
      <c r="R168" s="432"/>
      <c r="S168" s="432"/>
      <c r="T168" s="432"/>
      <c r="U168" s="432"/>
    </row>
    <row r="169" ht="14.25" customHeight="1">
      <c r="A169" s="432"/>
      <c r="B169" s="432"/>
      <c r="C169" s="432"/>
      <c r="D169" s="432"/>
      <c r="E169" s="432"/>
      <c r="F169" s="432"/>
      <c r="G169" s="432"/>
      <c r="H169" s="432"/>
      <c r="I169" s="432"/>
      <c r="J169" s="432"/>
      <c r="K169" s="432"/>
      <c r="L169" s="432"/>
      <c r="M169" s="432"/>
      <c r="N169" s="432"/>
      <c r="O169" s="432"/>
      <c r="P169" s="432"/>
      <c r="Q169" s="432"/>
      <c r="R169" s="432"/>
      <c r="S169" s="432"/>
      <c r="T169" s="432"/>
      <c r="U169" s="432"/>
    </row>
    <row r="170" ht="14.25" customHeight="1">
      <c r="A170" s="432"/>
      <c r="B170" s="432"/>
      <c r="C170" s="432"/>
      <c r="D170" s="432"/>
      <c r="E170" s="432"/>
      <c r="F170" s="432"/>
      <c r="G170" s="432"/>
      <c r="H170" s="432"/>
      <c r="I170" s="432"/>
      <c r="J170" s="432"/>
      <c r="K170" s="432"/>
      <c r="L170" s="432"/>
      <c r="M170" s="432"/>
      <c r="N170" s="432"/>
      <c r="O170" s="432"/>
      <c r="P170" s="432"/>
      <c r="Q170" s="432"/>
      <c r="R170" s="432"/>
      <c r="S170" s="432"/>
      <c r="T170" s="432"/>
      <c r="U170" s="432"/>
    </row>
    <row r="171" ht="14.25" customHeight="1">
      <c r="A171" s="432"/>
      <c r="B171" s="432"/>
      <c r="C171" s="432"/>
      <c r="D171" s="432"/>
      <c r="E171" s="432"/>
      <c r="F171" s="432"/>
      <c r="G171" s="432"/>
      <c r="H171" s="432"/>
      <c r="I171" s="432"/>
      <c r="J171" s="432"/>
      <c r="K171" s="432"/>
      <c r="L171" s="432"/>
      <c r="M171" s="432"/>
      <c r="N171" s="432"/>
      <c r="O171" s="432"/>
      <c r="P171" s="432"/>
      <c r="Q171" s="432"/>
      <c r="R171" s="432"/>
      <c r="S171" s="432"/>
      <c r="T171" s="432"/>
      <c r="U171" s="432"/>
    </row>
    <row r="172" ht="14.25" customHeight="1">
      <c r="A172" s="432"/>
      <c r="B172" s="432"/>
      <c r="C172" s="432"/>
      <c r="D172" s="432"/>
      <c r="E172" s="432"/>
      <c r="F172" s="432"/>
      <c r="G172" s="432"/>
      <c r="H172" s="432"/>
      <c r="I172" s="432"/>
      <c r="J172" s="432"/>
      <c r="K172" s="432"/>
      <c r="L172" s="432"/>
      <c r="M172" s="432"/>
      <c r="N172" s="432"/>
      <c r="O172" s="432"/>
      <c r="P172" s="432"/>
      <c r="Q172" s="432"/>
      <c r="R172" s="432"/>
      <c r="S172" s="432"/>
      <c r="T172" s="432"/>
      <c r="U172" s="432"/>
    </row>
    <row r="173" ht="14.25" customHeight="1">
      <c r="A173" s="432"/>
      <c r="B173" s="432"/>
      <c r="C173" s="432"/>
      <c r="D173" s="432"/>
      <c r="E173" s="432"/>
      <c r="F173" s="432"/>
      <c r="G173" s="432"/>
      <c r="H173" s="432"/>
      <c r="I173" s="432"/>
      <c r="J173" s="432"/>
      <c r="K173" s="432"/>
      <c r="L173" s="432"/>
      <c r="M173" s="432"/>
      <c r="N173" s="432"/>
      <c r="O173" s="432"/>
      <c r="P173" s="432"/>
      <c r="Q173" s="432"/>
      <c r="R173" s="432"/>
      <c r="S173" s="432"/>
      <c r="T173" s="432"/>
      <c r="U173" s="432"/>
    </row>
    <row r="174" ht="14.25" customHeight="1">
      <c r="A174" s="432"/>
      <c r="B174" s="432"/>
      <c r="C174" s="432"/>
      <c r="D174" s="432"/>
      <c r="E174" s="432"/>
      <c r="F174" s="432"/>
      <c r="G174" s="432"/>
      <c r="H174" s="432"/>
      <c r="I174" s="432"/>
      <c r="J174" s="432"/>
      <c r="K174" s="432"/>
      <c r="L174" s="432"/>
      <c r="M174" s="432"/>
      <c r="N174" s="432"/>
      <c r="O174" s="432"/>
      <c r="P174" s="432"/>
      <c r="Q174" s="432"/>
      <c r="R174" s="432"/>
      <c r="S174" s="432"/>
      <c r="T174" s="432"/>
      <c r="U174" s="432"/>
    </row>
    <row r="175" ht="14.25" customHeight="1">
      <c r="A175" s="432"/>
      <c r="B175" s="432"/>
      <c r="C175" s="432"/>
      <c r="D175" s="432"/>
      <c r="E175" s="432"/>
      <c r="F175" s="432"/>
      <c r="G175" s="432"/>
      <c r="H175" s="432"/>
      <c r="I175" s="432"/>
      <c r="J175" s="432"/>
      <c r="K175" s="432"/>
      <c r="L175" s="432"/>
      <c r="M175" s="432"/>
      <c r="N175" s="432"/>
      <c r="O175" s="432"/>
      <c r="P175" s="432"/>
      <c r="Q175" s="432"/>
      <c r="R175" s="432"/>
      <c r="S175" s="432"/>
      <c r="T175" s="432"/>
      <c r="U175" s="432"/>
    </row>
    <row r="176" ht="14.25" customHeight="1">
      <c r="A176" s="432"/>
      <c r="B176" s="432"/>
      <c r="C176" s="432"/>
      <c r="D176" s="432"/>
      <c r="E176" s="432"/>
      <c r="F176" s="432"/>
      <c r="G176" s="432"/>
      <c r="H176" s="432"/>
      <c r="I176" s="432"/>
      <c r="J176" s="432"/>
      <c r="K176" s="432"/>
      <c r="L176" s="432"/>
      <c r="M176" s="432"/>
      <c r="N176" s="432"/>
      <c r="O176" s="432"/>
      <c r="P176" s="432"/>
      <c r="Q176" s="432"/>
      <c r="R176" s="432"/>
      <c r="S176" s="432"/>
      <c r="T176" s="432"/>
      <c r="U176" s="432"/>
    </row>
    <row r="177" ht="14.25" customHeight="1">
      <c r="A177" s="432"/>
      <c r="B177" s="432"/>
      <c r="C177" s="432"/>
      <c r="D177" s="432"/>
      <c r="E177" s="432"/>
      <c r="F177" s="432"/>
      <c r="G177" s="432"/>
      <c r="H177" s="432"/>
      <c r="I177" s="432"/>
      <c r="J177" s="432"/>
      <c r="K177" s="432"/>
      <c r="L177" s="432"/>
      <c r="M177" s="432"/>
      <c r="N177" s="432"/>
      <c r="O177" s="432"/>
      <c r="P177" s="432"/>
      <c r="Q177" s="432"/>
      <c r="R177" s="432"/>
      <c r="S177" s="432"/>
      <c r="T177" s="432"/>
      <c r="U177" s="432"/>
    </row>
    <row r="178" ht="14.25" customHeight="1">
      <c r="A178" s="432"/>
      <c r="B178" s="432"/>
      <c r="C178" s="432"/>
      <c r="D178" s="432"/>
      <c r="E178" s="432"/>
      <c r="F178" s="432"/>
      <c r="G178" s="432"/>
      <c r="H178" s="432"/>
      <c r="I178" s="432"/>
      <c r="J178" s="432"/>
      <c r="K178" s="432"/>
      <c r="L178" s="432"/>
      <c r="M178" s="432"/>
      <c r="N178" s="432"/>
      <c r="O178" s="432"/>
      <c r="P178" s="432"/>
      <c r="Q178" s="432"/>
      <c r="R178" s="432"/>
      <c r="S178" s="432"/>
      <c r="T178" s="432"/>
      <c r="U178" s="432"/>
    </row>
    <row r="179" ht="14.25" customHeight="1">
      <c r="A179" s="432"/>
      <c r="B179" s="432"/>
      <c r="C179" s="432"/>
      <c r="D179" s="432"/>
      <c r="E179" s="432"/>
      <c r="F179" s="432"/>
      <c r="G179" s="432"/>
      <c r="H179" s="432"/>
      <c r="I179" s="432"/>
      <c r="J179" s="432"/>
      <c r="K179" s="432"/>
      <c r="L179" s="432"/>
      <c r="M179" s="432"/>
      <c r="N179" s="432"/>
      <c r="O179" s="432"/>
      <c r="P179" s="432"/>
      <c r="Q179" s="432"/>
      <c r="R179" s="432"/>
      <c r="S179" s="432"/>
      <c r="T179" s="432"/>
      <c r="U179" s="432"/>
    </row>
    <row r="180" ht="14.25" customHeight="1">
      <c r="A180" s="432"/>
      <c r="B180" s="432"/>
      <c r="C180" s="432"/>
      <c r="D180" s="432"/>
      <c r="E180" s="432"/>
      <c r="F180" s="432"/>
      <c r="G180" s="432"/>
      <c r="H180" s="432"/>
      <c r="I180" s="432"/>
      <c r="J180" s="432"/>
      <c r="K180" s="432"/>
      <c r="L180" s="432"/>
      <c r="M180" s="432"/>
      <c r="N180" s="432"/>
      <c r="O180" s="432"/>
      <c r="P180" s="432"/>
      <c r="Q180" s="432"/>
      <c r="R180" s="432"/>
      <c r="S180" s="432"/>
      <c r="T180" s="432"/>
      <c r="U180" s="432"/>
    </row>
    <row r="181" ht="14.25" customHeight="1">
      <c r="A181" s="432"/>
      <c r="B181" s="432"/>
      <c r="C181" s="432"/>
      <c r="D181" s="432"/>
      <c r="E181" s="432"/>
      <c r="F181" s="432"/>
      <c r="G181" s="432"/>
      <c r="H181" s="432"/>
      <c r="I181" s="432"/>
      <c r="J181" s="432"/>
      <c r="K181" s="432"/>
      <c r="L181" s="432"/>
      <c r="M181" s="432"/>
      <c r="N181" s="432"/>
      <c r="O181" s="432"/>
      <c r="P181" s="432"/>
      <c r="Q181" s="432"/>
      <c r="R181" s="432"/>
      <c r="S181" s="432"/>
      <c r="T181" s="432"/>
      <c r="U181" s="432"/>
    </row>
    <row r="182" ht="14.25" customHeight="1">
      <c r="A182" s="432"/>
      <c r="B182" s="432"/>
      <c r="C182" s="432"/>
      <c r="D182" s="432"/>
      <c r="E182" s="432"/>
      <c r="F182" s="432"/>
      <c r="G182" s="432"/>
      <c r="H182" s="432"/>
      <c r="I182" s="432"/>
      <c r="J182" s="432"/>
      <c r="K182" s="432"/>
      <c r="L182" s="432"/>
      <c r="M182" s="432"/>
      <c r="N182" s="432"/>
      <c r="O182" s="432"/>
      <c r="P182" s="432"/>
      <c r="Q182" s="432"/>
      <c r="R182" s="432"/>
      <c r="S182" s="432"/>
      <c r="T182" s="432"/>
      <c r="U182" s="432"/>
    </row>
    <row r="183" ht="14.25" customHeight="1">
      <c r="A183" s="432"/>
      <c r="B183" s="432"/>
      <c r="C183" s="432"/>
      <c r="D183" s="432"/>
      <c r="E183" s="432"/>
      <c r="F183" s="432"/>
      <c r="G183" s="432"/>
      <c r="H183" s="432"/>
      <c r="I183" s="432"/>
      <c r="J183" s="432"/>
      <c r="K183" s="432"/>
      <c r="L183" s="432"/>
      <c r="M183" s="432"/>
      <c r="N183" s="432"/>
      <c r="O183" s="432"/>
      <c r="P183" s="432"/>
      <c r="Q183" s="432"/>
      <c r="R183" s="432"/>
      <c r="S183" s="432"/>
      <c r="T183" s="432"/>
      <c r="U183" s="432"/>
    </row>
    <row r="184" ht="14.25" customHeight="1">
      <c r="A184" s="432"/>
      <c r="B184" s="432"/>
      <c r="C184" s="432"/>
      <c r="D184" s="432"/>
      <c r="E184" s="432"/>
      <c r="F184" s="432"/>
      <c r="G184" s="432"/>
      <c r="H184" s="432"/>
      <c r="I184" s="432"/>
      <c r="J184" s="432"/>
      <c r="K184" s="432"/>
      <c r="L184" s="432"/>
      <c r="M184" s="432"/>
      <c r="N184" s="432"/>
      <c r="O184" s="432"/>
      <c r="P184" s="432"/>
      <c r="Q184" s="432"/>
      <c r="R184" s="432"/>
      <c r="S184" s="432"/>
      <c r="T184" s="432"/>
      <c r="U184" s="432"/>
    </row>
    <row r="185" ht="14.25" customHeight="1">
      <c r="A185" s="432"/>
      <c r="B185" s="432"/>
      <c r="C185" s="432"/>
      <c r="D185" s="432"/>
      <c r="E185" s="432"/>
      <c r="F185" s="432"/>
      <c r="G185" s="432"/>
      <c r="H185" s="432"/>
      <c r="I185" s="432"/>
      <c r="J185" s="432"/>
      <c r="K185" s="432"/>
      <c r="L185" s="432"/>
      <c r="M185" s="432"/>
      <c r="N185" s="432"/>
      <c r="O185" s="432"/>
      <c r="P185" s="432"/>
      <c r="Q185" s="432"/>
      <c r="R185" s="432"/>
      <c r="S185" s="432"/>
      <c r="T185" s="432"/>
      <c r="U185" s="432"/>
    </row>
    <row r="186" ht="14.25" customHeight="1">
      <c r="A186" s="432"/>
      <c r="B186" s="432"/>
      <c r="C186" s="432"/>
      <c r="D186" s="432"/>
      <c r="E186" s="432"/>
      <c r="F186" s="432"/>
      <c r="G186" s="432"/>
      <c r="H186" s="432"/>
      <c r="I186" s="432"/>
      <c r="J186" s="432"/>
      <c r="K186" s="432"/>
      <c r="L186" s="432"/>
      <c r="M186" s="432"/>
      <c r="N186" s="432"/>
      <c r="O186" s="432"/>
      <c r="P186" s="432"/>
      <c r="Q186" s="432"/>
      <c r="R186" s="432"/>
      <c r="S186" s="432"/>
      <c r="T186" s="432"/>
      <c r="U186" s="432"/>
    </row>
    <row r="187" ht="14.25" customHeight="1">
      <c r="A187" s="432"/>
      <c r="B187" s="432"/>
      <c r="C187" s="432"/>
      <c r="D187" s="432"/>
      <c r="E187" s="432"/>
      <c r="F187" s="432"/>
      <c r="G187" s="432"/>
      <c r="H187" s="432"/>
      <c r="I187" s="432"/>
      <c r="J187" s="432"/>
      <c r="K187" s="432"/>
      <c r="L187" s="432"/>
      <c r="M187" s="432"/>
      <c r="N187" s="432"/>
      <c r="O187" s="432"/>
      <c r="P187" s="432"/>
      <c r="Q187" s="432"/>
      <c r="R187" s="432"/>
      <c r="S187" s="432"/>
      <c r="T187" s="432"/>
      <c r="U187" s="432"/>
    </row>
    <row r="188" ht="14.25" customHeight="1">
      <c r="A188" s="432"/>
      <c r="B188" s="432"/>
      <c r="C188" s="432"/>
      <c r="D188" s="432"/>
      <c r="E188" s="432"/>
      <c r="F188" s="432"/>
      <c r="G188" s="432"/>
      <c r="H188" s="432"/>
      <c r="I188" s="432"/>
      <c r="J188" s="432"/>
      <c r="K188" s="432"/>
      <c r="L188" s="432"/>
      <c r="M188" s="432"/>
      <c r="N188" s="432"/>
      <c r="O188" s="432"/>
      <c r="P188" s="432"/>
      <c r="Q188" s="432"/>
      <c r="R188" s="432"/>
      <c r="S188" s="432"/>
      <c r="T188" s="432"/>
      <c r="U188" s="432"/>
    </row>
    <row r="189" ht="14.25" customHeight="1">
      <c r="A189" s="432"/>
      <c r="B189" s="432"/>
      <c r="C189" s="432"/>
      <c r="D189" s="432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2"/>
      <c r="S189" s="432"/>
      <c r="T189" s="432"/>
      <c r="U189" s="432"/>
    </row>
    <row r="190" ht="14.25" customHeight="1">
      <c r="A190" s="432"/>
      <c r="B190" s="432"/>
      <c r="C190" s="432"/>
      <c r="D190" s="432"/>
      <c r="E190" s="432"/>
      <c r="F190" s="432"/>
      <c r="G190" s="432"/>
      <c r="H190" s="432"/>
      <c r="I190" s="432"/>
      <c r="J190" s="432"/>
      <c r="K190" s="432"/>
      <c r="L190" s="432"/>
      <c r="M190" s="432"/>
      <c r="N190" s="432"/>
      <c r="O190" s="432"/>
      <c r="P190" s="432"/>
      <c r="Q190" s="432"/>
      <c r="R190" s="432"/>
      <c r="S190" s="432"/>
      <c r="T190" s="432"/>
      <c r="U190" s="432"/>
    </row>
    <row r="191" ht="14.25" customHeight="1">
      <c r="A191" s="432"/>
      <c r="B191" s="432"/>
      <c r="C191" s="432"/>
      <c r="D191" s="432"/>
      <c r="E191" s="432"/>
      <c r="F191" s="432"/>
      <c r="G191" s="432"/>
      <c r="H191" s="432"/>
      <c r="I191" s="432"/>
      <c r="J191" s="432"/>
      <c r="K191" s="432"/>
      <c r="L191" s="432"/>
      <c r="M191" s="432"/>
      <c r="N191" s="432"/>
      <c r="O191" s="432"/>
      <c r="P191" s="432"/>
      <c r="Q191" s="432"/>
      <c r="R191" s="432"/>
      <c r="S191" s="432"/>
      <c r="T191" s="432"/>
      <c r="U191" s="432"/>
    </row>
    <row r="192" ht="14.25" customHeight="1">
      <c r="A192" s="432"/>
      <c r="B192" s="432"/>
      <c r="C192" s="432"/>
      <c r="D192" s="432"/>
      <c r="E192" s="432"/>
      <c r="F192" s="432"/>
      <c r="G192" s="432"/>
      <c r="H192" s="432"/>
      <c r="I192" s="432"/>
      <c r="J192" s="432"/>
      <c r="K192" s="432"/>
      <c r="L192" s="432"/>
      <c r="M192" s="432"/>
      <c r="N192" s="432"/>
      <c r="O192" s="432"/>
      <c r="P192" s="432"/>
      <c r="Q192" s="432"/>
      <c r="R192" s="432"/>
      <c r="S192" s="432"/>
      <c r="T192" s="432"/>
      <c r="U192" s="432"/>
    </row>
    <row r="193" ht="14.25" customHeight="1">
      <c r="A193" s="432"/>
      <c r="B193" s="432"/>
      <c r="C193" s="432"/>
      <c r="D193" s="432"/>
      <c r="E193" s="432"/>
      <c r="F193" s="432"/>
      <c r="G193" s="432"/>
      <c r="H193" s="432"/>
      <c r="I193" s="432"/>
      <c r="J193" s="432"/>
      <c r="K193" s="432"/>
      <c r="L193" s="432"/>
      <c r="M193" s="432"/>
      <c r="N193" s="432"/>
      <c r="O193" s="432"/>
      <c r="P193" s="432"/>
      <c r="Q193" s="432"/>
      <c r="R193" s="432"/>
      <c r="S193" s="432"/>
      <c r="T193" s="432"/>
      <c r="U193" s="432"/>
    </row>
    <row r="194" ht="14.25" customHeight="1">
      <c r="A194" s="432"/>
      <c r="B194" s="432"/>
      <c r="C194" s="432"/>
      <c r="D194" s="432"/>
      <c r="E194" s="432"/>
      <c r="F194" s="432"/>
      <c r="G194" s="432"/>
      <c r="H194" s="432"/>
      <c r="I194" s="432"/>
      <c r="J194" s="432"/>
      <c r="K194" s="432"/>
      <c r="L194" s="432"/>
      <c r="M194" s="432"/>
      <c r="N194" s="432"/>
      <c r="O194" s="432"/>
      <c r="P194" s="432"/>
      <c r="Q194" s="432"/>
      <c r="R194" s="432"/>
      <c r="S194" s="432"/>
      <c r="T194" s="432"/>
      <c r="U194" s="432"/>
    </row>
    <row r="195" ht="14.25" customHeight="1">
      <c r="A195" s="432"/>
      <c r="B195" s="432"/>
      <c r="C195" s="432"/>
      <c r="D195" s="432"/>
      <c r="E195" s="432"/>
      <c r="F195" s="432"/>
      <c r="G195" s="432"/>
      <c r="H195" s="432"/>
      <c r="I195" s="432"/>
      <c r="J195" s="432"/>
      <c r="K195" s="432"/>
      <c r="L195" s="432"/>
      <c r="M195" s="432"/>
      <c r="N195" s="432"/>
      <c r="O195" s="432"/>
      <c r="P195" s="432"/>
      <c r="Q195" s="432"/>
      <c r="R195" s="432"/>
      <c r="S195" s="432"/>
      <c r="T195" s="432"/>
      <c r="U195" s="432"/>
    </row>
    <row r="196" ht="14.25" customHeight="1">
      <c r="A196" s="432"/>
      <c r="B196" s="432"/>
      <c r="C196" s="432"/>
      <c r="D196" s="432"/>
      <c r="E196" s="432"/>
      <c r="F196" s="432"/>
      <c r="G196" s="432"/>
      <c r="H196" s="432"/>
      <c r="I196" s="432"/>
      <c r="J196" s="432"/>
      <c r="K196" s="432"/>
      <c r="L196" s="432"/>
      <c r="M196" s="432"/>
      <c r="N196" s="432"/>
      <c r="O196" s="432"/>
      <c r="P196" s="432"/>
      <c r="Q196" s="432"/>
      <c r="R196" s="432"/>
      <c r="S196" s="432"/>
      <c r="T196" s="432"/>
      <c r="U196" s="432"/>
    </row>
    <row r="197" ht="14.25" customHeight="1">
      <c r="A197" s="432"/>
      <c r="B197" s="432"/>
      <c r="C197" s="432"/>
      <c r="D197" s="432"/>
      <c r="E197" s="432"/>
      <c r="F197" s="432"/>
      <c r="G197" s="432"/>
      <c r="H197" s="432"/>
      <c r="I197" s="432"/>
      <c r="J197" s="432"/>
      <c r="K197" s="432"/>
      <c r="L197" s="432"/>
      <c r="M197" s="432"/>
      <c r="N197" s="432"/>
      <c r="O197" s="432"/>
      <c r="P197" s="432"/>
      <c r="Q197" s="432"/>
      <c r="R197" s="432"/>
      <c r="S197" s="432"/>
      <c r="T197" s="432"/>
      <c r="U197" s="432"/>
    </row>
    <row r="198" ht="14.25" customHeight="1">
      <c r="A198" s="432"/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432"/>
      <c r="Q198" s="432"/>
      <c r="R198" s="432"/>
      <c r="S198" s="432"/>
      <c r="T198" s="432"/>
      <c r="U198" s="432"/>
    </row>
    <row r="199" ht="14.25" customHeight="1">
      <c r="A199" s="432"/>
      <c r="B199" s="432"/>
      <c r="C199" s="432"/>
      <c r="D199" s="432"/>
      <c r="E199" s="432"/>
      <c r="F199" s="432"/>
      <c r="G199" s="432"/>
      <c r="H199" s="432"/>
      <c r="I199" s="432"/>
      <c r="J199" s="432"/>
      <c r="K199" s="432"/>
      <c r="L199" s="432"/>
      <c r="M199" s="432"/>
      <c r="N199" s="432"/>
      <c r="O199" s="432"/>
      <c r="P199" s="432"/>
      <c r="Q199" s="432"/>
      <c r="R199" s="432"/>
      <c r="S199" s="432"/>
      <c r="T199" s="432"/>
      <c r="U199" s="432"/>
    </row>
    <row r="200" ht="14.25" customHeight="1">
      <c r="A200" s="432"/>
      <c r="B200" s="432"/>
      <c r="C200" s="432"/>
      <c r="D200" s="432"/>
      <c r="E200" s="432"/>
      <c r="F200" s="432"/>
      <c r="G200" s="432"/>
      <c r="H200" s="432"/>
      <c r="I200" s="432"/>
      <c r="J200" s="432"/>
      <c r="K200" s="432"/>
      <c r="L200" s="432"/>
      <c r="M200" s="432"/>
      <c r="N200" s="432"/>
      <c r="O200" s="432"/>
      <c r="P200" s="432"/>
      <c r="Q200" s="432"/>
      <c r="R200" s="432"/>
      <c r="S200" s="432"/>
      <c r="T200" s="432"/>
      <c r="U200" s="432"/>
    </row>
    <row r="201" ht="14.25" customHeight="1">
      <c r="A201" s="432"/>
      <c r="B201" s="432"/>
      <c r="C201" s="432"/>
      <c r="D201" s="432"/>
      <c r="E201" s="432"/>
      <c r="F201" s="432"/>
      <c r="G201" s="432"/>
      <c r="H201" s="432"/>
      <c r="I201" s="432"/>
      <c r="J201" s="432"/>
      <c r="K201" s="432"/>
      <c r="L201" s="432"/>
      <c r="M201" s="432"/>
      <c r="N201" s="432"/>
      <c r="O201" s="432"/>
      <c r="P201" s="432"/>
      <c r="Q201" s="432"/>
      <c r="R201" s="432"/>
      <c r="S201" s="432"/>
      <c r="T201" s="432"/>
      <c r="U201" s="432"/>
    </row>
    <row r="202" ht="14.25" customHeight="1">
      <c r="A202" s="432"/>
      <c r="B202" s="432"/>
      <c r="C202" s="432"/>
      <c r="D202" s="432"/>
      <c r="E202" s="432"/>
      <c r="F202" s="432"/>
      <c r="G202" s="432"/>
      <c r="H202" s="432"/>
      <c r="I202" s="432"/>
      <c r="J202" s="432"/>
      <c r="K202" s="432"/>
      <c r="L202" s="432"/>
      <c r="M202" s="432"/>
      <c r="N202" s="432"/>
      <c r="O202" s="432"/>
      <c r="P202" s="432"/>
      <c r="Q202" s="432"/>
      <c r="R202" s="432"/>
      <c r="S202" s="432"/>
      <c r="T202" s="432"/>
      <c r="U202" s="432"/>
    </row>
    <row r="203" ht="14.25" customHeight="1">
      <c r="A203" s="432"/>
      <c r="B203" s="432"/>
      <c r="C203" s="432"/>
      <c r="D203" s="432"/>
      <c r="E203" s="432"/>
      <c r="F203" s="432"/>
      <c r="G203" s="432"/>
      <c r="H203" s="432"/>
      <c r="I203" s="432"/>
      <c r="J203" s="432"/>
      <c r="K203" s="432"/>
      <c r="L203" s="432"/>
      <c r="M203" s="432"/>
      <c r="N203" s="432"/>
      <c r="O203" s="432"/>
      <c r="P203" s="432"/>
      <c r="Q203" s="432"/>
      <c r="R203" s="432"/>
      <c r="S203" s="432"/>
      <c r="T203" s="432"/>
      <c r="U203" s="432"/>
    </row>
    <row r="204" ht="14.25" customHeight="1">
      <c r="A204" s="432"/>
      <c r="B204" s="432"/>
      <c r="C204" s="432"/>
      <c r="D204" s="432"/>
      <c r="E204" s="432"/>
      <c r="F204" s="432"/>
      <c r="G204" s="432"/>
      <c r="H204" s="432"/>
      <c r="I204" s="432"/>
      <c r="J204" s="432"/>
      <c r="K204" s="432"/>
      <c r="L204" s="432"/>
      <c r="M204" s="432"/>
      <c r="N204" s="432"/>
      <c r="O204" s="432"/>
      <c r="P204" s="432"/>
      <c r="Q204" s="432"/>
      <c r="R204" s="432"/>
      <c r="S204" s="432"/>
      <c r="T204" s="432"/>
      <c r="U204" s="432"/>
    </row>
    <row r="205" ht="14.25" customHeight="1">
      <c r="A205" s="432"/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432"/>
      <c r="Q205" s="432"/>
      <c r="R205" s="432"/>
      <c r="S205" s="432"/>
      <c r="T205" s="432"/>
      <c r="U205" s="432"/>
    </row>
    <row r="206" ht="14.25" customHeight="1">
      <c r="A206" s="432"/>
      <c r="B206" s="432"/>
      <c r="C206" s="432"/>
      <c r="D206" s="432"/>
      <c r="E206" s="432"/>
      <c r="F206" s="432"/>
      <c r="G206" s="432"/>
      <c r="H206" s="432"/>
      <c r="I206" s="432"/>
      <c r="J206" s="432"/>
      <c r="K206" s="432"/>
      <c r="L206" s="432"/>
      <c r="M206" s="432"/>
      <c r="N206" s="432"/>
      <c r="O206" s="432"/>
      <c r="P206" s="432"/>
      <c r="Q206" s="432"/>
      <c r="R206" s="432"/>
      <c r="S206" s="432"/>
      <c r="T206" s="432"/>
      <c r="U206" s="432"/>
    </row>
    <row r="207" ht="14.25" customHeight="1">
      <c r="A207" s="432"/>
      <c r="B207" s="432"/>
      <c r="C207" s="432"/>
      <c r="D207" s="432"/>
      <c r="E207" s="432"/>
      <c r="F207" s="432"/>
      <c r="G207" s="432"/>
      <c r="H207" s="432"/>
      <c r="I207" s="432"/>
      <c r="J207" s="432"/>
      <c r="K207" s="432"/>
      <c r="L207" s="432"/>
      <c r="M207" s="432"/>
      <c r="N207" s="432"/>
      <c r="O207" s="432"/>
      <c r="P207" s="432"/>
      <c r="Q207" s="432"/>
      <c r="R207" s="432"/>
      <c r="S207" s="432"/>
      <c r="T207" s="432"/>
      <c r="U207" s="432"/>
    </row>
    <row r="208" ht="14.25" customHeight="1">
      <c r="A208" s="432"/>
      <c r="B208" s="432"/>
      <c r="C208" s="432"/>
      <c r="D208" s="432"/>
      <c r="E208" s="432"/>
      <c r="F208" s="432"/>
      <c r="G208" s="432"/>
      <c r="H208" s="432"/>
      <c r="I208" s="432"/>
      <c r="J208" s="432"/>
      <c r="K208" s="432"/>
      <c r="L208" s="432"/>
      <c r="M208" s="432"/>
      <c r="N208" s="432"/>
      <c r="O208" s="432"/>
      <c r="P208" s="432"/>
      <c r="Q208" s="432"/>
      <c r="R208" s="432"/>
      <c r="S208" s="432"/>
      <c r="T208" s="432"/>
      <c r="U208" s="432"/>
    </row>
    <row r="209" ht="14.25" customHeight="1">
      <c r="A209" s="432"/>
      <c r="B209" s="432"/>
      <c r="C209" s="432"/>
      <c r="D209" s="432"/>
      <c r="E209" s="432"/>
      <c r="F209" s="432"/>
      <c r="G209" s="432"/>
      <c r="H209" s="432"/>
      <c r="I209" s="432"/>
      <c r="J209" s="432"/>
      <c r="K209" s="432"/>
      <c r="L209" s="432"/>
      <c r="M209" s="432"/>
      <c r="N209" s="432"/>
      <c r="O209" s="432"/>
      <c r="P209" s="432"/>
      <c r="Q209" s="432"/>
      <c r="R209" s="432"/>
      <c r="S209" s="432"/>
      <c r="T209" s="432"/>
      <c r="U209" s="432"/>
    </row>
    <row r="210" ht="14.25" customHeight="1">
      <c r="A210" s="432"/>
      <c r="B210" s="432"/>
      <c r="C210" s="432"/>
      <c r="D210" s="432"/>
      <c r="E210" s="432"/>
      <c r="F210" s="432"/>
      <c r="G210" s="432"/>
      <c r="H210" s="432"/>
      <c r="I210" s="432"/>
      <c r="J210" s="432"/>
      <c r="K210" s="432"/>
      <c r="L210" s="432"/>
      <c r="M210" s="432"/>
      <c r="N210" s="432"/>
      <c r="O210" s="432"/>
      <c r="P210" s="432"/>
      <c r="Q210" s="432"/>
      <c r="R210" s="432"/>
      <c r="S210" s="432"/>
      <c r="T210" s="432"/>
      <c r="U210" s="432"/>
    </row>
    <row r="211" ht="14.25" customHeight="1">
      <c r="A211" s="432"/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432"/>
      <c r="Q211" s="432"/>
      <c r="R211" s="432"/>
      <c r="S211" s="432"/>
      <c r="T211" s="432"/>
      <c r="U211" s="432"/>
    </row>
    <row r="212" ht="14.25" customHeight="1">
      <c r="A212" s="432"/>
      <c r="B212" s="432"/>
      <c r="C212" s="432"/>
      <c r="D212" s="432"/>
      <c r="E212" s="432"/>
      <c r="F212" s="432"/>
      <c r="G212" s="432"/>
      <c r="H212" s="432"/>
      <c r="I212" s="432"/>
      <c r="J212" s="432"/>
      <c r="K212" s="432"/>
      <c r="L212" s="432"/>
      <c r="M212" s="432"/>
      <c r="N212" s="432"/>
      <c r="O212" s="432"/>
      <c r="P212" s="432"/>
      <c r="Q212" s="432"/>
      <c r="R212" s="432"/>
      <c r="S212" s="432"/>
      <c r="T212" s="432"/>
      <c r="U212" s="432"/>
    </row>
    <row r="213" ht="14.25" customHeight="1">
      <c r="A213" s="432"/>
      <c r="B213" s="432"/>
      <c r="C213" s="432"/>
      <c r="D213" s="432"/>
      <c r="E213" s="432"/>
      <c r="F213" s="432"/>
      <c r="G213" s="432"/>
      <c r="H213" s="432"/>
      <c r="I213" s="432"/>
      <c r="J213" s="432"/>
      <c r="K213" s="432"/>
      <c r="L213" s="432"/>
      <c r="M213" s="432"/>
      <c r="N213" s="432"/>
      <c r="O213" s="432"/>
      <c r="P213" s="432"/>
      <c r="Q213" s="432"/>
      <c r="R213" s="432"/>
      <c r="S213" s="432"/>
      <c r="T213" s="432"/>
      <c r="U213" s="432"/>
    </row>
    <row r="214" ht="14.25" customHeight="1">
      <c r="A214" s="432"/>
      <c r="B214" s="432"/>
      <c r="C214" s="432"/>
      <c r="D214" s="432"/>
      <c r="E214" s="432"/>
      <c r="F214" s="432"/>
      <c r="G214" s="432"/>
      <c r="H214" s="432"/>
      <c r="I214" s="432"/>
      <c r="J214" s="432"/>
      <c r="K214" s="432"/>
      <c r="L214" s="432"/>
      <c r="M214" s="432"/>
      <c r="N214" s="432"/>
      <c r="O214" s="432"/>
      <c r="P214" s="432"/>
      <c r="Q214" s="432"/>
      <c r="R214" s="432"/>
      <c r="S214" s="432"/>
      <c r="T214" s="432"/>
      <c r="U214" s="432"/>
    </row>
    <row r="215" ht="14.25" customHeight="1">
      <c r="A215" s="432"/>
      <c r="B215" s="432"/>
      <c r="C215" s="432"/>
      <c r="D215" s="432"/>
      <c r="E215" s="432"/>
      <c r="F215" s="432"/>
      <c r="G215" s="432"/>
      <c r="H215" s="432"/>
      <c r="I215" s="432"/>
      <c r="J215" s="432"/>
      <c r="K215" s="432"/>
      <c r="L215" s="432"/>
      <c r="M215" s="432"/>
      <c r="N215" s="432"/>
      <c r="O215" s="432"/>
      <c r="P215" s="432"/>
      <c r="Q215" s="432"/>
      <c r="R215" s="432"/>
      <c r="S215" s="432"/>
      <c r="T215" s="432"/>
      <c r="U215" s="432"/>
    </row>
    <row r="216" ht="14.25" customHeight="1">
      <c r="A216" s="432"/>
      <c r="B216" s="432"/>
      <c r="C216" s="432"/>
      <c r="D216" s="432"/>
      <c r="E216" s="432"/>
      <c r="F216" s="432"/>
      <c r="G216" s="432"/>
      <c r="H216" s="432"/>
      <c r="I216" s="432"/>
      <c r="J216" s="432"/>
      <c r="K216" s="432"/>
      <c r="L216" s="432"/>
      <c r="M216" s="432"/>
      <c r="N216" s="432"/>
      <c r="O216" s="432"/>
      <c r="P216" s="432"/>
      <c r="Q216" s="432"/>
      <c r="R216" s="432"/>
      <c r="S216" s="432"/>
      <c r="T216" s="432"/>
      <c r="U216" s="432"/>
    </row>
    <row r="217" ht="14.25" customHeight="1">
      <c r="A217" s="432"/>
      <c r="B217" s="432"/>
      <c r="C217" s="432"/>
      <c r="D217" s="432"/>
      <c r="E217" s="432"/>
      <c r="F217" s="432"/>
      <c r="G217" s="432"/>
      <c r="H217" s="432"/>
      <c r="I217" s="432"/>
      <c r="J217" s="432"/>
      <c r="K217" s="432"/>
      <c r="L217" s="432"/>
      <c r="M217" s="432"/>
      <c r="N217" s="432"/>
      <c r="O217" s="432"/>
      <c r="P217" s="432"/>
      <c r="Q217" s="432"/>
      <c r="R217" s="432"/>
      <c r="S217" s="432"/>
      <c r="T217" s="432"/>
      <c r="U217" s="432"/>
    </row>
    <row r="218" ht="14.25" customHeight="1">
      <c r="A218" s="432"/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432"/>
      <c r="Q218" s="432"/>
      <c r="R218" s="432"/>
      <c r="S218" s="432"/>
      <c r="T218" s="432"/>
      <c r="U218" s="432"/>
    </row>
    <row r="219" ht="14.25" customHeight="1">
      <c r="A219" s="432"/>
      <c r="B219" s="432"/>
      <c r="C219" s="432"/>
      <c r="D219" s="432"/>
      <c r="E219" s="432"/>
      <c r="F219" s="432"/>
      <c r="G219" s="432"/>
      <c r="H219" s="432"/>
      <c r="I219" s="432"/>
      <c r="J219" s="432"/>
      <c r="K219" s="432"/>
      <c r="L219" s="432"/>
      <c r="M219" s="432"/>
      <c r="N219" s="432"/>
      <c r="O219" s="432"/>
      <c r="P219" s="432"/>
      <c r="Q219" s="432"/>
      <c r="R219" s="432"/>
      <c r="S219" s="432"/>
      <c r="T219" s="432"/>
      <c r="U219" s="432"/>
    </row>
    <row r="220" ht="14.25" customHeight="1">
      <c r="A220" s="432"/>
      <c r="B220" s="432"/>
      <c r="C220" s="432"/>
      <c r="D220" s="432"/>
      <c r="E220" s="432"/>
      <c r="F220" s="432"/>
      <c r="G220" s="432"/>
      <c r="H220" s="432"/>
      <c r="I220" s="432"/>
      <c r="J220" s="432"/>
      <c r="K220" s="432"/>
      <c r="L220" s="432"/>
      <c r="M220" s="432"/>
      <c r="N220" s="432"/>
      <c r="O220" s="432"/>
      <c r="P220" s="432"/>
      <c r="Q220" s="432"/>
      <c r="R220" s="432"/>
      <c r="S220" s="432"/>
      <c r="T220" s="432"/>
      <c r="U220" s="432"/>
    </row>
    <row r="221" ht="14.25" customHeight="1">
      <c r="A221" s="432"/>
      <c r="B221" s="432"/>
      <c r="C221" s="432"/>
      <c r="D221" s="432"/>
      <c r="E221" s="432"/>
      <c r="F221" s="432"/>
      <c r="G221" s="432"/>
      <c r="H221" s="432"/>
      <c r="I221" s="432"/>
      <c r="J221" s="432"/>
      <c r="K221" s="432"/>
      <c r="L221" s="432"/>
      <c r="M221" s="432"/>
      <c r="N221" s="432"/>
      <c r="O221" s="432"/>
      <c r="P221" s="432"/>
      <c r="Q221" s="432"/>
      <c r="R221" s="432"/>
      <c r="S221" s="432"/>
      <c r="T221" s="432"/>
      <c r="U221" s="432"/>
    </row>
    <row r="222" ht="14.25" customHeight="1">
      <c r="A222" s="432"/>
      <c r="B222" s="432"/>
      <c r="C222" s="432"/>
      <c r="D222" s="432"/>
      <c r="E222" s="432"/>
      <c r="F222" s="432"/>
      <c r="G222" s="432"/>
      <c r="H222" s="432"/>
      <c r="I222" s="432"/>
      <c r="J222" s="432"/>
      <c r="K222" s="432"/>
      <c r="L222" s="432"/>
      <c r="M222" s="432"/>
      <c r="N222" s="432"/>
      <c r="O222" s="432"/>
      <c r="P222" s="432"/>
      <c r="Q222" s="432"/>
      <c r="R222" s="432"/>
      <c r="S222" s="432"/>
      <c r="T222" s="432"/>
      <c r="U222" s="432"/>
    </row>
    <row r="223" ht="14.25" customHeight="1">
      <c r="A223" s="432"/>
      <c r="B223" s="432"/>
      <c r="C223" s="432"/>
      <c r="D223" s="432"/>
      <c r="E223" s="432"/>
      <c r="F223" s="432"/>
      <c r="G223" s="432"/>
      <c r="H223" s="432"/>
      <c r="I223" s="432"/>
      <c r="J223" s="432"/>
      <c r="K223" s="432"/>
      <c r="L223" s="432"/>
      <c r="M223" s="432"/>
      <c r="N223" s="432"/>
      <c r="O223" s="432"/>
      <c r="P223" s="432"/>
      <c r="Q223" s="432"/>
      <c r="R223" s="432"/>
      <c r="S223" s="432"/>
      <c r="T223" s="432"/>
      <c r="U223" s="432"/>
    </row>
    <row r="224" ht="14.25" customHeight="1">
      <c r="A224" s="432"/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432"/>
      <c r="Q224" s="432"/>
      <c r="R224" s="432"/>
      <c r="S224" s="432"/>
      <c r="T224" s="432"/>
      <c r="U224" s="432"/>
    </row>
    <row r="225" ht="14.25" customHeight="1">
      <c r="A225" s="432"/>
      <c r="B225" s="432"/>
      <c r="C225" s="432"/>
      <c r="D225" s="432"/>
      <c r="E225" s="432"/>
      <c r="F225" s="432"/>
      <c r="G225" s="432"/>
      <c r="H225" s="432"/>
      <c r="I225" s="432"/>
      <c r="J225" s="432"/>
      <c r="K225" s="432"/>
      <c r="L225" s="432"/>
      <c r="M225" s="432"/>
      <c r="N225" s="432"/>
      <c r="O225" s="432"/>
      <c r="P225" s="432"/>
      <c r="Q225" s="432"/>
      <c r="R225" s="432"/>
      <c r="S225" s="432"/>
      <c r="T225" s="432"/>
      <c r="U225" s="432"/>
    </row>
    <row r="226" ht="14.25" customHeight="1">
      <c r="A226" s="432"/>
      <c r="B226" s="432"/>
      <c r="C226" s="432"/>
      <c r="D226" s="432"/>
      <c r="E226" s="432"/>
      <c r="F226" s="432"/>
      <c r="G226" s="432"/>
      <c r="H226" s="432"/>
      <c r="I226" s="432"/>
      <c r="J226" s="432"/>
      <c r="K226" s="432"/>
      <c r="L226" s="432"/>
      <c r="M226" s="432"/>
      <c r="N226" s="432"/>
      <c r="O226" s="432"/>
      <c r="P226" s="432"/>
      <c r="Q226" s="432"/>
      <c r="R226" s="432"/>
      <c r="S226" s="432"/>
      <c r="T226" s="432"/>
      <c r="U226" s="432"/>
    </row>
    <row r="227" ht="15.75" customHeight="1">
      <c r="A227" s="432"/>
      <c r="B227" s="432"/>
      <c r="C227" s="432"/>
      <c r="D227" s="432"/>
      <c r="E227" s="432"/>
      <c r="F227" s="432"/>
      <c r="G227" s="432"/>
      <c r="H227" s="432"/>
      <c r="I227" s="432"/>
      <c r="J227" s="432"/>
      <c r="K227" s="432"/>
      <c r="L227" s="432"/>
      <c r="M227" s="432"/>
      <c r="N227" s="432"/>
      <c r="O227" s="432"/>
      <c r="P227" s="432"/>
      <c r="Q227" s="432"/>
      <c r="R227" s="432"/>
      <c r="S227" s="432"/>
      <c r="T227" s="432"/>
      <c r="U227" s="432"/>
    </row>
    <row r="228" ht="15.75" customHeight="1">
      <c r="A228" s="432"/>
      <c r="B228" s="432"/>
      <c r="C228" s="432"/>
      <c r="D228" s="432"/>
      <c r="E228" s="432"/>
      <c r="F228" s="432"/>
      <c r="G228" s="432"/>
      <c r="H228" s="432"/>
      <c r="I228" s="432"/>
      <c r="J228" s="432"/>
      <c r="K228" s="432"/>
      <c r="L228" s="432"/>
      <c r="M228" s="432"/>
      <c r="N228" s="432"/>
      <c r="O228" s="432"/>
      <c r="P228" s="432"/>
      <c r="Q228" s="432"/>
      <c r="R228" s="432"/>
      <c r="S228" s="432"/>
      <c r="T228" s="432"/>
      <c r="U228" s="432"/>
    </row>
    <row r="229" ht="15.75" customHeight="1">
      <c r="A229" s="432"/>
      <c r="B229" s="432"/>
      <c r="C229" s="432"/>
      <c r="D229" s="432"/>
      <c r="E229" s="432"/>
      <c r="F229" s="432"/>
      <c r="G229" s="432"/>
      <c r="H229" s="432"/>
      <c r="I229" s="432"/>
      <c r="J229" s="432"/>
      <c r="K229" s="432"/>
      <c r="L229" s="432"/>
      <c r="M229" s="432"/>
      <c r="N229" s="432"/>
      <c r="O229" s="432"/>
      <c r="P229" s="432"/>
      <c r="Q229" s="432"/>
      <c r="R229" s="432"/>
      <c r="S229" s="432"/>
      <c r="T229" s="432"/>
      <c r="U229" s="432"/>
    </row>
    <row r="230" ht="15.75" customHeight="1">
      <c r="A230" s="432"/>
      <c r="B230" s="432"/>
      <c r="C230" s="432"/>
      <c r="D230" s="432"/>
      <c r="E230" s="432"/>
      <c r="F230" s="432"/>
      <c r="G230" s="432"/>
      <c r="H230" s="432"/>
      <c r="I230" s="432"/>
      <c r="J230" s="432"/>
      <c r="K230" s="432"/>
      <c r="L230" s="432"/>
      <c r="M230" s="432"/>
      <c r="N230" s="432"/>
      <c r="O230" s="432"/>
      <c r="P230" s="432"/>
      <c r="Q230" s="432"/>
      <c r="R230" s="432"/>
      <c r="S230" s="432"/>
      <c r="T230" s="432"/>
      <c r="U230" s="432"/>
    </row>
    <row r="231" ht="15.75" customHeight="1">
      <c r="A231" s="432"/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432"/>
      <c r="Q231" s="432"/>
      <c r="R231" s="432"/>
      <c r="S231" s="432"/>
      <c r="T231" s="432"/>
      <c r="U231" s="432"/>
    </row>
    <row r="232" ht="15.75" customHeight="1">
      <c r="A232" s="432"/>
      <c r="B232" s="432"/>
      <c r="C232" s="432"/>
      <c r="D232" s="432"/>
      <c r="E232" s="432"/>
      <c r="F232" s="432"/>
      <c r="G232" s="432"/>
      <c r="H232" s="432"/>
      <c r="I232" s="432"/>
      <c r="J232" s="432"/>
      <c r="K232" s="432"/>
      <c r="L232" s="432"/>
      <c r="M232" s="432"/>
      <c r="N232" s="432"/>
      <c r="O232" s="432"/>
      <c r="P232" s="432"/>
      <c r="Q232" s="432"/>
      <c r="R232" s="432"/>
      <c r="S232" s="432"/>
      <c r="T232" s="432"/>
      <c r="U232" s="432"/>
    </row>
    <row r="233" ht="15.75" customHeight="1">
      <c r="A233" s="432"/>
      <c r="B233" s="432"/>
      <c r="C233" s="432"/>
      <c r="D233" s="432"/>
      <c r="E233" s="432"/>
      <c r="F233" s="432"/>
      <c r="G233" s="432"/>
      <c r="H233" s="432"/>
      <c r="I233" s="432"/>
      <c r="J233" s="432"/>
      <c r="K233" s="432"/>
      <c r="L233" s="432"/>
      <c r="M233" s="432"/>
      <c r="N233" s="432"/>
      <c r="O233" s="432"/>
      <c r="P233" s="432"/>
      <c r="Q233" s="432"/>
      <c r="R233" s="432"/>
      <c r="S233" s="432"/>
      <c r="T233" s="432"/>
      <c r="U233" s="432"/>
    </row>
    <row r="234" ht="15.75" customHeight="1">
      <c r="A234" s="432"/>
      <c r="B234" s="432"/>
      <c r="C234" s="432"/>
      <c r="D234" s="432"/>
      <c r="E234" s="432"/>
      <c r="F234" s="432"/>
      <c r="G234" s="432"/>
      <c r="H234" s="432"/>
      <c r="I234" s="432"/>
      <c r="J234" s="432"/>
      <c r="K234" s="432"/>
      <c r="L234" s="432"/>
      <c r="M234" s="432"/>
      <c r="N234" s="432"/>
      <c r="O234" s="432"/>
      <c r="P234" s="432"/>
      <c r="Q234" s="432"/>
      <c r="R234" s="432"/>
      <c r="S234" s="432"/>
      <c r="T234" s="432"/>
      <c r="U234" s="43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D7:F7"/>
    <mergeCell ref="G7:G8"/>
    <mergeCell ref="H7:H8"/>
    <mergeCell ref="A2:E2"/>
    <mergeCell ref="A3:E3"/>
    <mergeCell ref="A4:E4"/>
    <mergeCell ref="A5:E5"/>
    <mergeCell ref="A7:A8"/>
    <mergeCell ref="B7:B8"/>
    <mergeCell ref="C7:C8"/>
  </mergeCells>
  <printOptions horizontalCentered="1"/>
  <pageMargins bottom="0.2362204724409449" footer="0.0" header="0.0" left="0.2362204724409449" right="0.2362204724409449" top="0.3149606299212598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